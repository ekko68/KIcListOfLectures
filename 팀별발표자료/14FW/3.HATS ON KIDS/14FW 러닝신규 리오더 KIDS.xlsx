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pivotCache/pivotCacheRecords3.xml" ContentType="application/vnd.openxmlformats-officedocument.spreadsheetml.pivotCacheRecords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21435" windowHeight="8895" activeTab="3"/>
  </bookViews>
  <sheets>
    <sheet name="DB" sheetId="1" r:id="rId1"/>
    <sheet name="P" sheetId="3" r:id="rId2"/>
    <sheet name="DB2" sheetId="2" r:id="rId3"/>
    <sheet name="P (2)" sheetId="6" r:id="rId4"/>
    <sheet name="CODE" sheetId="5" r:id="rId5"/>
    <sheet name="P (3)" sheetId="7" r:id="rId6"/>
  </sheets>
  <definedNames>
    <definedName name="_xlnm._FilterDatabase" localSheetId="4" hidden="1">CODE!$A$3:$G$158</definedName>
    <definedName name="_xlnm._FilterDatabase" localSheetId="0" hidden="1">DB!$A$2:$J$2047</definedName>
    <definedName name="_xlnm._FilterDatabase" localSheetId="2" hidden="1">'DB2'!$A$1:$X$902</definedName>
  </definedNames>
  <calcPr calcId="125725" calcMode="manual"/>
  <pivotCaches>
    <pivotCache cacheId="263" r:id="rId7"/>
    <pivotCache cacheId="264" r:id="rId8"/>
    <pivotCache cacheId="271" r:id="rId9"/>
  </pivotCaches>
</workbook>
</file>

<file path=xl/calcChain.xml><?xml version="1.0" encoding="utf-8"?>
<calcChain xmlns="http://schemas.openxmlformats.org/spreadsheetml/2006/main">
  <c r="E161" i="5"/>
  <c r="D161"/>
  <c r="E160"/>
  <c r="D160"/>
  <c r="E159"/>
  <c r="D159"/>
  <c r="E158"/>
  <c r="D158"/>
  <c r="E157"/>
  <c r="D157"/>
  <c r="E156"/>
  <c r="D156"/>
  <c r="E155"/>
  <c r="D155"/>
  <c r="E154"/>
  <c r="D154"/>
  <c r="E153"/>
  <c r="D153"/>
  <c r="E152"/>
  <c r="D152"/>
  <c r="E151"/>
  <c r="D151"/>
  <c r="E150"/>
  <c r="D150"/>
  <c r="E149"/>
  <c r="D149"/>
  <c r="E148"/>
  <c r="D148"/>
  <c r="E147"/>
  <c r="D147"/>
  <c r="E146"/>
  <c r="D146"/>
  <c r="E145"/>
  <c r="D145"/>
  <c r="E144"/>
  <c r="D144"/>
  <c r="E143"/>
  <c r="D143"/>
  <c r="E142"/>
  <c r="D142"/>
  <c r="E141"/>
  <c r="D141"/>
  <c r="E140"/>
  <c r="D140"/>
  <c r="E139"/>
  <c r="D139"/>
  <c r="E138"/>
  <c r="D138"/>
  <c r="E137"/>
  <c r="D137"/>
  <c r="E136"/>
  <c r="D136"/>
  <c r="E135"/>
  <c r="D135"/>
  <c r="E134"/>
  <c r="D134"/>
  <c r="E133"/>
  <c r="D133"/>
  <c r="E132"/>
  <c r="D132"/>
  <c r="E131"/>
  <c r="D131"/>
  <c r="E130"/>
  <c r="D130"/>
  <c r="E129"/>
  <c r="D129"/>
  <c r="E128"/>
  <c r="D128"/>
  <c r="E127"/>
  <c r="D127"/>
  <c r="E126"/>
  <c r="D126"/>
  <c r="E125"/>
  <c r="D125"/>
  <c r="E124"/>
  <c r="D124"/>
  <c r="E123"/>
  <c r="D123"/>
  <c r="E122"/>
  <c r="D122"/>
  <c r="E121"/>
  <c r="D121"/>
  <c r="E120"/>
  <c r="D120"/>
  <c r="E119"/>
  <c r="D119"/>
  <c r="E118"/>
  <c r="D118"/>
  <c r="E117"/>
  <c r="D117"/>
  <c r="E116"/>
  <c r="D116"/>
  <c r="AF114"/>
  <c r="AF113"/>
  <c r="AF112"/>
  <c r="AF111"/>
  <c r="E111"/>
  <c r="D111"/>
  <c r="AF110"/>
  <c r="E110"/>
  <c r="D110"/>
  <c r="AF109"/>
  <c r="E109"/>
  <c r="D109"/>
  <c r="AF108"/>
  <c r="E108"/>
  <c r="D108"/>
  <c r="AF107"/>
  <c r="E107"/>
  <c r="D107"/>
  <c r="AF106"/>
  <c r="E106"/>
  <c r="D106"/>
  <c r="AF105"/>
  <c r="E105"/>
  <c r="D105"/>
  <c r="E104"/>
  <c r="D104"/>
  <c r="E103"/>
  <c r="D103"/>
  <c r="AF102"/>
  <c r="E102"/>
  <c r="D102"/>
  <c r="E101"/>
  <c r="D101"/>
  <c r="E100"/>
  <c r="D100"/>
  <c r="E99"/>
  <c r="D99"/>
  <c r="AF98"/>
  <c r="E98"/>
  <c r="D98"/>
  <c r="AF97"/>
  <c r="E97"/>
  <c r="D97"/>
  <c r="AF96"/>
  <c r="E96"/>
  <c r="D96"/>
  <c r="AF95"/>
  <c r="E95"/>
  <c r="D95"/>
  <c r="AF94"/>
  <c r="E94"/>
  <c r="D94"/>
  <c r="AF93"/>
  <c r="E93"/>
  <c r="D93"/>
  <c r="AF92"/>
  <c r="E92"/>
  <c r="D92"/>
  <c r="AF91"/>
  <c r="E91"/>
  <c r="D91"/>
  <c r="AF90"/>
  <c r="E90"/>
  <c r="D90"/>
  <c r="AF89"/>
  <c r="E89"/>
  <c r="D89"/>
  <c r="AF88"/>
  <c r="E88"/>
  <c r="D88"/>
  <c r="AF87"/>
  <c r="E87"/>
  <c r="D87"/>
  <c r="AF86"/>
  <c r="E86"/>
  <c r="D86"/>
  <c r="AF85"/>
  <c r="E85"/>
  <c r="D85"/>
  <c r="AF84"/>
  <c r="E84"/>
  <c r="D84"/>
  <c r="AF83"/>
  <c r="E83"/>
  <c r="D83"/>
  <c r="AF82"/>
  <c r="E82"/>
  <c r="D82"/>
  <c r="AF81"/>
  <c r="E81"/>
  <c r="D81"/>
  <c r="AF80"/>
  <c r="E80"/>
  <c r="D80"/>
  <c r="AF79"/>
  <c r="E79"/>
  <c r="D79"/>
  <c r="AF78"/>
  <c r="E78"/>
  <c r="D78"/>
  <c r="AF77"/>
  <c r="E77"/>
  <c r="D77"/>
  <c r="AF76"/>
  <c r="E76"/>
  <c r="D76"/>
  <c r="AF75"/>
  <c r="E75"/>
  <c r="D75"/>
  <c r="AF74"/>
  <c r="E74"/>
  <c r="D74"/>
  <c r="AF73"/>
  <c r="E73"/>
  <c r="D73"/>
  <c r="AF72"/>
  <c r="E72"/>
  <c r="D72"/>
  <c r="AF71"/>
  <c r="E71"/>
  <c r="D71"/>
  <c r="AF70"/>
  <c r="E70"/>
  <c r="D70"/>
  <c r="AF69"/>
  <c r="E69"/>
  <c r="D69"/>
  <c r="AF68"/>
  <c r="E68"/>
  <c r="D68"/>
  <c r="AF67"/>
  <c r="E67"/>
  <c r="D67"/>
  <c r="AF66"/>
  <c r="E66"/>
  <c r="D66"/>
  <c r="AF65"/>
  <c r="E65"/>
  <c r="D65"/>
  <c r="AF64"/>
  <c r="E64"/>
  <c r="D64"/>
  <c r="AF63"/>
  <c r="E63"/>
  <c r="D63"/>
  <c r="AF62"/>
  <c r="E62"/>
  <c r="D62"/>
  <c r="AF61"/>
  <c r="E61"/>
  <c r="D61"/>
  <c r="AF60"/>
  <c r="E60"/>
  <c r="D60"/>
  <c r="AF59"/>
  <c r="E59"/>
  <c r="D59"/>
  <c r="AF58"/>
  <c r="E58"/>
  <c r="D58"/>
  <c r="AF57"/>
  <c r="E57"/>
  <c r="D57"/>
  <c r="AF56"/>
  <c r="E56"/>
  <c r="D56"/>
  <c r="AF55"/>
  <c r="E55"/>
  <c r="D55"/>
  <c r="AF54"/>
  <c r="E54"/>
  <c r="D54"/>
  <c r="AF53"/>
  <c r="E53"/>
  <c r="D53"/>
  <c r="AF52"/>
  <c r="E52"/>
  <c r="D52"/>
  <c r="AF51"/>
  <c r="E51"/>
  <c r="AF50"/>
  <c r="M50"/>
  <c r="E50"/>
  <c r="AF49"/>
  <c r="M49"/>
  <c r="E49"/>
  <c r="AF48"/>
  <c r="M48"/>
  <c r="E48"/>
  <c r="AF47"/>
  <c r="M47"/>
  <c r="E47"/>
  <c r="AF46"/>
  <c r="M46"/>
  <c r="E46"/>
  <c r="AF45"/>
  <c r="M45"/>
  <c r="E45"/>
  <c r="AF44"/>
  <c r="M44"/>
  <c r="E44"/>
  <c r="AF43"/>
  <c r="M43"/>
  <c r="E43"/>
  <c r="AF42"/>
  <c r="M42"/>
  <c r="E42"/>
  <c r="AF41"/>
  <c r="M41"/>
  <c r="E41"/>
  <c r="AF40"/>
  <c r="M40"/>
  <c r="E40"/>
  <c r="AF39"/>
  <c r="M39"/>
  <c r="E39"/>
  <c r="AF38"/>
  <c r="M38"/>
  <c r="E38"/>
  <c r="AF37"/>
  <c r="M37"/>
  <c r="E37"/>
  <c r="AL36"/>
  <c r="AF36"/>
  <c r="M36"/>
  <c r="E36"/>
  <c r="AL35"/>
  <c r="AF35"/>
  <c r="M35"/>
  <c r="E35"/>
  <c r="AL34"/>
  <c r="AF34"/>
  <c r="M34"/>
  <c r="E34"/>
  <c r="AL33"/>
  <c r="AF33"/>
  <c r="M33"/>
  <c r="E33"/>
  <c r="AF32"/>
  <c r="M32"/>
  <c r="E32"/>
  <c r="AL31"/>
  <c r="AF31"/>
  <c r="M31"/>
  <c r="E31"/>
  <c r="AL30"/>
  <c r="AF30"/>
  <c r="M30"/>
  <c r="E30"/>
  <c r="AL29"/>
  <c r="AF29"/>
  <c r="M29"/>
  <c r="E29"/>
  <c r="AL28"/>
  <c r="AF28"/>
  <c r="M28"/>
  <c r="E28"/>
  <c r="AL27"/>
  <c r="AF27"/>
  <c r="M27"/>
  <c r="E27"/>
  <c r="AL26"/>
  <c r="AF26"/>
  <c r="M26"/>
  <c r="E26"/>
  <c r="AL25"/>
  <c r="AF25"/>
  <c r="M25"/>
  <c r="E25"/>
  <c r="AL24"/>
  <c r="AF24"/>
  <c r="M24"/>
  <c r="E24"/>
  <c r="AF23"/>
  <c r="M23"/>
  <c r="E23"/>
  <c r="AL22"/>
  <c r="AF22"/>
  <c r="M22"/>
  <c r="E22"/>
  <c r="AL21"/>
  <c r="AF21"/>
  <c r="M21"/>
  <c r="E21"/>
  <c r="AX20"/>
  <c r="AL20"/>
  <c r="AF20"/>
  <c r="M20"/>
  <c r="E20"/>
  <c r="AX19"/>
  <c r="AL19"/>
  <c r="AF19"/>
  <c r="M19"/>
  <c r="E19"/>
  <c r="AX18"/>
  <c r="AL18"/>
  <c r="AF18"/>
  <c r="M18"/>
  <c r="E18"/>
  <c r="AX17"/>
  <c r="AL17"/>
  <c r="AF17"/>
  <c r="M17"/>
  <c r="E17"/>
  <c r="AX16"/>
  <c r="AL16"/>
  <c r="AF16"/>
  <c r="M16"/>
  <c r="E16"/>
  <c r="AX15"/>
  <c r="AL15"/>
  <c r="AF15"/>
  <c r="M15"/>
  <c r="E15"/>
  <c r="AX14"/>
  <c r="AL14"/>
  <c r="AF14"/>
  <c r="M14"/>
  <c r="E14"/>
  <c r="AX13"/>
  <c r="AF13"/>
  <c r="Y13"/>
  <c r="T13"/>
  <c r="M13"/>
  <c r="E13"/>
  <c r="AX12"/>
  <c r="AL12"/>
  <c r="AF12"/>
  <c r="Y12"/>
  <c r="T12"/>
  <c r="M12"/>
  <c r="E12"/>
  <c r="AX11"/>
  <c r="AL11"/>
  <c r="AF11"/>
  <c r="Y11"/>
  <c r="T11"/>
  <c r="M11"/>
  <c r="E11"/>
  <c r="D11"/>
  <c r="AX10"/>
  <c r="AL10"/>
  <c r="AF10"/>
  <c r="Y10"/>
  <c r="T10"/>
  <c r="M10"/>
  <c r="E10"/>
  <c r="D10"/>
  <c r="AX9"/>
  <c r="AT9"/>
  <c r="AL9"/>
  <c r="AF9"/>
  <c r="Y9"/>
  <c r="T9"/>
  <c r="M9"/>
  <c r="E9"/>
  <c r="AX8"/>
  <c r="AT8"/>
  <c r="AL8"/>
  <c r="AF8"/>
  <c r="Y8"/>
  <c r="T8"/>
  <c r="M8"/>
  <c r="E8"/>
  <c r="D8"/>
  <c r="AX7"/>
  <c r="AT7"/>
  <c r="AL7"/>
  <c r="AF7"/>
  <c r="Y7"/>
  <c r="T7"/>
  <c r="M7"/>
  <c r="E7"/>
  <c r="D7"/>
  <c r="AX6"/>
  <c r="AT6"/>
  <c r="AP6"/>
  <c r="AL6"/>
  <c r="AF6"/>
  <c r="Y6"/>
  <c r="T6"/>
  <c r="M6"/>
  <c r="E6"/>
  <c r="D6"/>
  <c r="AX5"/>
  <c r="AT5"/>
  <c r="AP5"/>
  <c r="AL5"/>
  <c r="AF5"/>
  <c r="Y5"/>
  <c r="T5"/>
  <c r="M5"/>
  <c r="E5"/>
  <c r="D5"/>
  <c r="AX4"/>
  <c r="AT4"/>
  <c r="AP4"/>
  <c r="AL4"/>
  <c r="AF4"/>
  <c r="Y4"/>
  <c r="T4"/>
  <c r="M4"/>
  <c r="E4"/>
  <c r="D4"/>
  <c r="A858" i="2"/>
  <c r="B858"/>
  <c r="K858"/>
  <c r="M858"/>
  <c r="N858"/>
  <c r="L858" s="1"/>
  <c r="P858"/>
  <c r="A859"/>
  <c r="B859"/>
  <c r="K859"/>
  <c r="M859"/>
  <c r="N859"/>
  <c r="L859" s="1"/>
  <c r="P859"/>
  <c r="A860"/>
  <c r="B860"/>
  <c r="K860"/>
  <c r="M860"/>
  <c r="N860"/>
  <c r="L860" s="1"/>
  <c r="P860"/>
  <c r="A861"/>
  <c r="B861"/>
  <c r="K861"/>
  <c r="M861"/>
  <c r="N861"/>
  <c r="L861" s="1"/>
  <c r="P861"/>
  <c r="A862"/>
  <c r="B862"/>
  <c r="K862"/>
  <c r="M862"/>
  <c r="N862"/>
  <c r="L862" s="1"/>
  <c r="P862"/>
  <c r="A863"/>
  <c r="B863"/>
  <c r="K863"/>
  <c r="M863"/>
  <c r="N863"/>
  <c r="L863" s="1"/>
  <c r="P863"/>
  <c r="A864"/>
  <c r="B864"/>
  <c r="K864"/>
  <c r="M864"/>
  <c r="N864"/>
  <c r="L864" s="1"/>
  <c r="P864"/>
  <c r="A865"/>
  <c r="B865"/>
  <c r="K865"/>
  <c r="M865"/>
  <c r="N865"/>
  <c r="L865" s="1"/>
  <c r="P865"/>
  <c r="A866"/>
  <c r="B866"/>
  <c r="K866"/>
  <c r="M866"/>
  <c r="N866"/>
  <c r="L866" s="1"/>
  <c r="P866"/>
  <c r="A867"/>
  <c r="B867"/>
  <c r="K867"/>
  <c r="M867"/>
  <c r="N867"/>
  <c r="L867" s="1"/>
  <c r="P867"/>
  <c r="A868"/>
  <c r="B868"/>
  <c r="K868"/>
  <c r="M868"/>
  <c r="N868"/>
  <c r="L868" s="1"/>
  <c r="P868"/>
  <c r="A869"/>
  <c r="B869"/>
  <c r="K869"/>
  <c r="M869"/>
  <c r="N869"/>
  <c r="L869" s="1"/>
  <c r="P869"/>
  <c r="A870"/>
  <c r="B870"/>
  <c r="K870"/>
  <c r="M870"/>
  <c r="N870"/>
  <c r="L870" s="1"/>
  <c r="P870"/>
  <c r="A871"/>
  <c r="B871"/>
  <c r="K871"/>
  <c r="M871"/>
  <c r="N871"/>
  <c r="L871" s="1"/>
  <c r="P871"/>
  <c r="A872"/>
  <c r="B872"/>
  <c r="K872"/>
  <c r="M872"/>
  <c r="N872"/>
  <c r="L872" s="1"/>
  <c r="P872"/>
  <c r="A873"/>
  <c r="B873"/>
  <c r="K873"/>
  <c r="M873"/>
  <c r="N873"/>
  <c r="L873" s="1"/>
  <c r="P873"/>
  <c r="A874"/>
  <c r="B874"/>
  <c r="K874"/>
  <c r="M874"/>
  <c r="N874"/>
  <c r="L874" s="1"/>
  <c r="P874"/>
  <c r="A875"/>
  <c r="B875"/>
  <c r="K875"/>
  <c r="M875"/>
  <c r="N875"/>
  <c r="L875" s="1"/>
  <c r="P875"/>
  <c r="A876"/>
  <c r="B876"/>
  <c r="K876"/>
  <c r="M876"/>
  <c r="N876"/>
  <c r="L876" s="1"/>
  <c r="P876"/>
  <c r="A877"/>
  <c r="B877"/>
  <c r="K877"/>
  <c r="M877"/>
  <c r="N877"/>
  <c r="L877" s="1"/>
  <c r="P877"/>
  <c r="A878"/>
  <c r="B878"/>
  <c r="K878"/>
  <c r="M878"/>
  <c r="N878"/>
  <c r="L878" s="1"/>
  <c r="P878"/>
  <c r="A879"/>
  <c r="B879"/>
  <c r="K879"/>
  <c r="M879"/>
  <c r="N879"/>
  <c r="L879" s="1"/>
  <c r="P879"/>
  <c r="A880"/>
  <c r="B880"/>
  <c r="K880"/>
  <c r="M880"/>
  <c r="N880"/>
  <c r="L880" s="1"/>
  <c r="P880"/>
  <c r="A881"/>
  <c r="B881"/>
  <c r="K881"/>
  <c r="M881"/>
  <c r="N881"/>
  <c r="L881" s="1"/>
  <c r="P881"/>
  <c r="A882"/>
  <c r="B882"/>
  <c r="K882"/>
  <c r="M882"/>
  <c r="N882"/>
  <c r="L882" s="1"/>
  <c r="P882"/>
  <c r="A883"/>
  <c r="B883"/>
  <c r="K883"/>
  <c r="M883"/>
  <c r="N883"/>
  <c r="L883" s="1"/>
  <c r="P883"/>
  <c r="A884"/>
  <c r="B884"/>
  <c r="K884"/>
  <c r="M884"/>
  <c r="N884"/>
  <c r="L884" s="1"/>
  <c r="P884"/>
  <c r="A885"/>
  <c r="B885"/>
  <c r="K885"/>
  <c r="M885"/>
  <c r="N885"/>
  <c r="L885" s="1"/>
  <c r="P885"/>
  <c r="A886"/>
  <c r="B886"/>
  <c r="K886"/>
  <c r="M886"/>
  <c r="N886"/>
  <c r="L886" s="1"/>
  <c r="P886"/>
  <c r="A887"/>
  <c r="B887"/>
  <c r="K887"/>
  <c r="M887"/>
  <c r="N887"/>
  <c r="L887" s="1"/>
  <c r="P887"/>
  <c r="A888"/>
  <c r="B888"/>
  <c r="K888"/>
  <c r="M888"/>
  <c r="N888"/>
  <c r="L888" s="1"/>
  <c r="P888"/>
  <c r="A889"/>
  <c r="B889"/>
  <c r="K889"/>
  <c r="M889"/>
  <c r="N889"/>
  <c r="L889" s="1"/>
  <c r="P889"/>
  <c r="A890"/>
  <c r="B890"/>
  <c r="K890"/>
  <c r="M890"/>
  <c r="N890"/>
  <c r="L890" s="1"/>
  <c r="P890"/>
  <c r="A891"/>
  <c r="B891"/>
  <c r="K891"/>
  <c r="M891"/>
  <c r="N891"/>
  <c r="L891" s="1"/>
  <c r="P891"/>
  <c r="A892"/>
  <c r="B892"/>
  <c r="K892"/>
  <c r="M892"/>
  <c r="N892"/>
  <c r="L892" s="1"/>
  <c r="P892"/>
  <c r="A893"/>
  <c r="B893"/>
  <c r="K893"/>
  <c r="M893"/>
  <c r="N893"/>
  <c r="L893" s="1"/>
  <c r="P893"/>
  <c r="A894"/>
  <c r="B894"/>
  <c r="K894"/>
  <c r="M894"/>
  <c r="N894"/>
  <c r="L894" s="1"/>
  <c r="P894"/>
  <c r="A895"/>
  <c r="B895"/>
  <c r="K895"/>
  <c r="M895"/>
  <c r="N895"/>
  <c r="L895" s="1"/>
  <c r="P895"/>
  <c r="A896"/>
  <c r="B896"/>
  <c r="K896"/>
  <c r="M896"/>
  <c r="N896"/>
  <c r="L896" s="1"/>
  <c r="P896"/>
  <c r="A897"/>
  <c r="B897"/>
  <c r="K897"/>
  <c r="M897"/>
  <c r="N897"/>
  <c r="L897" s="1"/>
  <c r="P897"/>
  <c r="A898"/>
  <c r="B898"/>
  <c r="K898"/>
  <c r="M898"/>
  <c r="N898"/>
  <c r="L898" s="1"/>
  <c r="P898"/>
  <c r="A899"/>
  <c r="B899"/>
  <c r="K899"/>
  <c r="M899"/>
  <c r="N899"/>
  <c r="L899" s="1"/>
  <c r="P899"/>
  <c r="A900"/>
  <c r="B900"/>
  <c r="C900" s="1"/>
  <c r="K900"/>
  <c r="M900"/>
  <c r="N900"/>
  <c r="L900" s="1"/>
  <c r="P900"/>
  <c r="A901"/>
  <c r="B901"/>
  <c r="C901" s="1"/>
  <c r="K901"/>
  <c r="M901"/>
  <c r="N901"/>
  <c r="L901" s="1"/>
  <c r="P901"/>
  <c r="A902"/>
  <c r="B902"/>
  <c r="C902" s="1"/>
  <c r="K902"/>
  <c r="M902"/>
  <c r="N902"/>
  <c r="L902" s="1"/>
  <c r="P902"/>
  <c r="A802"/>
  <c r="B802"/>
  <c r="K802"/>
  <c r="M802"/>
  <c r="N802"/>
  <c r="L802" s="1"/>
  <c r="P802"/>
  <c r="A803"/>
  <c r="B803"/>
  <c r="K803"/>
  <c r="M803"/>
  <c r="N803"/>
  <c r="L803" s="1"/>
  <c r="P803"/>
  <c r="A804"/>
  <c r="B804"/>
  <c r="K804"/>
  <c r="M804"/>
  <c r="N804"/>
  <c r="L804" s="1"/>
  <c r="P804"/>
  <c r="A805"/>
  <c r="B805"/>
  <c r="K805"/>
  <c r="M805"/>
  <c r="N805"/>
  <c r="L805" s="1"/>
  <c r="P805"/>
  <c r="A806"/>
  <c r="B806"/>
  <c r="K806"/>
  <c r="M806"/>
  <c r="N806"/>
  <c r="L806" s="1"/>
  <c r="P806"/>
  <c r="A807"/>
  <c r="B807"/>
  <c r="K807"/>
  <c r="M807"/>
  <c r="N807"/>
  <c r="L807" s="1"/>
  <c r="P807"/>
  <c r="A808"/>
  <c r="B808"/>
  <c r="K808"/>
  <c r="M808"/>
  <c r="N808"/>
  <c r="L808" s="1"/>
  <c r="P808"/>
  <c r="A809"/>
  <c r="B809"/>
  <c r="K809"/>
  <c r="M809"/>
  <c r="N809"/>
  <c r="L809" s="1"/>
  <c r="P809"/>
  <c r="A810"/>
  <c r="B810"/>
  <c r="C810" s="1"/>
  <c r="D810" s="1"/>
  <c r="K810"/>
  <c r="M810"/>
  <c r="N810"/>
  <c r="L810" s="1"/>
  <c r="P810"/>
  <c r="A811"/>
  <c r="B811"/>
  <c r="K811"/>
  <c r="M811"/>
  <c r="N811"/>
  <c r="L811" s="1"/>
  <c r="P811"/>
  <c r="A812"/>
  <c r="B812"/>
  <c r="K812"/>
  <c r="M812"/>
  <c r="N812"/>
  <c r="L812" s="1"/>
  <c r="P812"/>
  <c r="A813"/>
  <c r="B813"/>
  <c r="C813" s="1"/>
  <c r="D813" s="1"/>
  <c r="K813"/>
  <c r="M813"/>
  <c r="N813"/>
  <c r="L813" s="1"/>
  <c r="P813"/>
  <c r="A814"/>
  <c r="B814"/>
  <c r="C814" s="1"/>
  <c r="D814" s="1"/>
  <c r="K814"/>
  <c r="M814"/>
  <c r="N814"/>
  <c r="L814" s="1"/>
  <c r="P814"/>
  <c r="A815"/>
  <c r="B815"/>
  <c r="C815" s="1"/>
  <c r="D815" s="1"/>
  <c r="K815"/>
  <c r="M815"/>
  <c r="N815"/>
  <c r="P815"/>
  <c r="A816"/>
  <c r="B816"/>
  <c r="K816"/>
  <c r="M816"/>
  <c r="N816"/>
  <c r="P816"/>
  <c r="A817"/>
  <c r="B817"/>
  <c r="K817"/>
  <c r="M817"/>
  <c r="N817"/>
  <c r="P817"/>
  <c r="A818"/>
  <c r="B818"/>
  <c r="K818"/>
  <c r="M818"/>
  <c r="N818"/>
  <c r="P818"/>
  <c r="A819"/>
  <c r="B819"/>
  <c r="K819"/>
  <c r="M819"/>
  <c r="N819"/>
  <c r="P819"/>
  <c r="A820"/>
  <c r="B820"/>
  <c r="K820"/>
  <c r="M820"/>
  <c r="N820"/>
  <c r="P820"/>
  <c r="A821"/>
  <c r="B821"/>
  <c r="K821"/>
  <c r="M821"/>
  <c r="N821"/>
  <c r="P821"/>
  <c r="A822"/>
  <c r="B822"/>
  <c r="K822"/>
  <c r="M822"/>
  <c r="N822"/>
  <c r="P822"/>
  <c r="A823"/>
  <c r="B823"/>
  <c r="K823"/>
  <c r="M823"/>
  <c r="N823"/>
  <c r="P823"/>
  <c r="A824"/>
  <c r="B824"/>
  <c r="K824"/>
  <c r="M824"/>
  <c r="N824"/>
  <c r="P824"/>
  <c r="A825"/>
  <c r="B825"/>
  <c r="K825"/>
  <c r="M825"/>
  <c r="N825"/>
  <c r="P825"/>
  <c r="A826"/>
  <c r="B826"/>
  <c r="K826"/>
  <c r="M826"/>
  <c r="N826"/>
  <c r="P826"/>
  <c r="A827"/>
  <c r="B827"/>
  <c r="K827"/>
  <c r="M827"/>
  <c r="N827"/>
  <c r="P827"/>
  <c r="A828"/>
  <c r="B828"/>
  <c r="K828"/>
  <c r="M828"/>
  <c r="N828"/>
  <c r="P828"/>
  <c r="A829"/>
  <c r="B829"/>
  <c r="K829"/>
  <c r="M829"/>
  <c r="N829"/>
  <c r="P829"/>
  <c r="A830"/>
  <c r="B830"/>
  <c r="K830"/>
  <c r="M830"/>
  <c r="N830"/>
  <c r="P830"/>
  <c r="A831"/>
  <c r="B831"/>
  <c r="K831"/>
  <c r="M831"/>
  <c r="N831"/>
  <c r="P831"/>
  <c r="A832"/>
  <c r="B832"/>
  <c r="K832"/>
  <c r="M832"/>
  <c r="N832"/>
  <c r="P832"/>
  <c r="A833"/>
  <c r="B833"/>
  <c r="K833"/>
  <c r="M833"/>
  <c r="N833"/>
  <c r="P833"/>
  <c r="A834"/>
  <c r="B834"/>
  <c r="K834"/>
  <c r="M834"/>
  <c r="N834"/>
  <c r="P834"/>
  <c r="A835"/>
  <c r="B835"/>
  <c r="K835"/>
  <c r="M835"/>
  <c r="N835"/>
  <c r="P835"/>
  <c r="A836"/>
  <c r="B836"/>
  <c r="K836"/>
  <c r="M836"/>
  <c r="N836"/>
  <c r="P836"/>
  <c r="A837"/>
  <c r="B837"/>
  <c r="K837"/>
  <c r="M837"/>
  <c r="N837"/>
  <c r="P837"/>
  <c r="A838"/>
  <c r="B838"/>
  <c r="K838"/>
  <c r="M838"/>
  <c r="N838"/>
  <c r="P838"/>
  <c r="A839"/>
  <c r="B839"/>
  <c r="K839"/>
  <c r="M839"/>
  <c r="N839"/>
  <c r="P839"/>
  <c r="A840"/>
  <c r="B840"/>
  <c r="K840"/>
  <c r="M840"/>
  <c r="N840"/>
  <c r="P840"/>
  <c r="A841"/>
  <c r="B841"/>
  <c r="K841"/>
  <c r="M841"/>
  <c r="N841"/>
  <c r="P841"/>
  <c r="A842"/>
  <c r="B842"/>
  <c r="K842"/>
  <c r="M842"/>
  <c r="N842"/>
  <c r="P842"/>
  <c r="A843"/>
  <c r="B843"/>
  <c r="K843"/>
  <c r="M843"/>
  <c r="N843"/>
  <c r="P843"/>
  <c r="A844"/>
  <c r="B844"/>
  <c r="K844"/>
  <c r="M844"/>
  <c r="N844"/>
  <c r="P844"/>
  <c r="A845"/>
  <c r="B845"/>
  <c r="K845"/>
  <c r="M845"/>
  <c r="N845"/>
  <c r="P845"/>
  <c r="A846"/>
  <c r="B846"/>
  <c r="K846"/>
  <c r="M846"/>
  <c r="N846"/>
  <c r="P846"/>
  <c r="A847"/>
  <c r="B847"/>
  <c r="K847"/>
  <c r="M847"/>
  <c r="N847"/>
  <c r="P847"/>
  <c r="A848"/>
  <c r="B848"/>
  <c r="K848"/>
  <c r="M848"/>
  <c r="N848"/>
  <c r="P848"/>
  <c r="A849"/>
  <c r="B849"/>
  <c r="K849"/>
  <c r="M849"/>
  <c r="N849"/>
  <c r="P849"/>
  <c r="A850"/>
  <c r="B850"/>
  <c r="K850"/>
  <c r="M850"/>
  <c r="N850"/>
  <c r="P850"/>
  <c r="A851"/>
  <c r="B851"/>
  <c r="K851"/>
  <c r="M851"/>
  <c r="N851"/>
  <c r="P851"/>
  <c r="A852"/>
  <c r="B852"/>
  <c r="K852"/>
  <c r="M852"/>
  <c r="N852"/>
  <c r="P852"/>
  <c r="A853"/>
  <c r="B853"/>
  <c r="C853" s="1"/>
  <c r="D853" s="1"/>
  <c r="K853"/>
  <c r="M853"/>
  <c r="N853"/>
  <c r="L853" s="1"/>
  <c r="P853"/>
  <c r="A854"/>
  <c r="B854"/>
  <c r="K854"/>
  <c r="M854"/>
  <c r="N854"/>
  <c r="P854"/>
  <c r="A855"/>
  <c r="B855"/>
  <c r="C855" s="1"/>
  <c r="D855" s="1"/>
  <c r="K855"/>
  <c r="M855"/>
  <c r="N855"/>
  <c r="P855"/>
  <c r="A856"/>
  <c r="B856"/>
  <c r="C856" s="1"/>
  <c r="D856" s="1"/>
  <c r="K856"/>
  <c r="M856"/>
  <c r="N856"/>
  <c r="P856"/>
  <c r="A857"/>
  <c r="B857"/>
  <c r="K857"/>
  <c r="M857"/>
  <c r="N857"/>
  <c r="P857"/>
  <c r="A692"/>
  <c r="B692"/>
  <c r="K692"/>
  <c r="M692"/>
  <c r="N692"/>
  <c r="L692" s="1"/>
  <c r="P692"/>
  <c r="A693"/>
  <c r="B693"/>
  <c r="K693"/>
  <c r="M693"/>
  <c r="N693"/>
  <c r="L693" s="1"/>
  <c r="P693"/>
  <c r="A694"/>
  <c r="B694"/>
  <c r="K694"/>
  <c r="M694"/>
  <c r="N694"/>
  <c r="L694" s="1"/>
  <c r="P694"/>
  <c r="A695"/>
  <c r="B695"/>
  <c r="K695"/>
  <c r="M695"/>
  <c r="N695"/>
  <c r="L695" s="1"/>
  <c r="P695"/>
  <c r="A696"/>
  <c r="B696"/>
  <c r="K696"/>
  <c r="M696"/>
  <c r="N696"/>
  <c r="L696" s="1"/>
  <c r="P696"/>
  <c r="A697"/>
  <c r="B697"/>
  <c r="K697"/>
  <c r="M697"/>
  <c r="N697"/>
  <c r="L697" s="1"/>
  <c r="P697"/>
  <c r="A698"/>
  <c r="B698"/>
  <c r="K698"/>
  <c r="M698"/>
  <c r="N698"/>
  <c r="L698" s="1"/>
  <c r="P698"/>
  <c r="A699"/>
  <c r="B699"/>
  <c r="K699"/>
  <c r="M699"/>
  <c r="N699"/>
  <c r="L699" s="1"/>
  <c r="P699"/>
  <c r="A700"/>
  <c r="B700"/>
  <c r="K700"/>
  <c r="M700"/>
  <c r="N700"/>
  <c r="L700" s="1"/>
  <c r="P700"/>
  <c r="A701"/>
  <c r="B701"/>
  <c r="K701"/>
  <c r="M701"/>
  <c r="N701"/>
  <c r="L701" s="1"/>
  <c r="P701"/>
  <c r="A702"/>
  <c r="B702"/>
  <c r="K702"/>
  <c r="M702"/>
  <c r="N702"/>
  <c r="L702" s="1"/>
  <c r="P702"/>
  <c r="A703"/>
  <c r="B703"/>
  <c r="K703"/>
  <c r="M703"/>
  <c r="N703"/>
  <c r="L703" s="1"/>
  <c r="P703"/>
  <c r="A704"/>
  <c r="B704"/>
  <c r="K704"/>
  <c r="M704"/>
  <c r="N704"/>
  <c r="L704" s="1"/>
  <c r="P704"/>
  <c r="A705"/>
  <c r="B705"/>
  <c r="K705"/>
  <c r="M705"/>
  <c r="N705"/>
  <c r="L705" s="1"/>
  <c r="P705"/>
  <c r="A706"/>
  <c r="B706"/>
  <c r="K706"/>
  <c r="M706"/>
  <c r="N706"/>
  <c r="P706"/>
  <c r="A707"/>
  <c r="B707"/>
  <c r="K707"/>
  <c r="M707"/>
  <c r="N707"/>
  <c r="P707"/>
  <c r="A708"/>
  <c r="B708"/>
  <c r="K708"/>
  <c r="M708"/>
  <c r="N708"/>
  <c r="P708"/>
  <c r="A709"/>
  <c r="B709"/>
  <c r="K709"/>
  <c r="M709"/>
  <c r="N709"/>
  <c r="P709"/>
  <c r="A710"/>
  <c r="B710"/>
  <c r="K710"/>
  <c r="M710"/>
  <c r="N710"/>
  <c r="P710"/>
  <c r="A711"/>
  <c r="B711"/>
  <c r="K711"/>
  <c r="M711"/>
  <c r="N711"/>
  <c r="P711"/>
  <c r="A712"/>
  <c r="B712"/>
  <c r="K712"/>
  <c r="M712"/>
  <c r="N712"/>
  <c r="P712"/>
  <c r="A713"/>
  <c r="B713"/>
  <c r="K713"/>
  <c r="M713"/>
  <c r="N713"/>
  <c r="P713"/>
  <c r="A714"/>
  <c r="B714"/>
  <c r="K714"/>
  <c r="M714"/>
  <c r="N714"/>
  <c r="P714"/>
  <c r="A715"/>
  <c r="B715"/>
  <c r="K715"/>
  <c r="M715"/>
  <c r="N715"/>
  <c r="P715"/>
  <c r="A716"/>
  <c r="B716"/>
  <c r="K716"/>
  <c r="M716"/>
  <c r="N716"/>
  <c r="P716"/>
  <c r="A717"/>
  <c r="B717"/>
  <c r="K717"/>
  <c r="M717"/>
  <c r="N717"/>
  <c r="P717"/>
  <c r="A718"/>
  <c r="B718"/>
  <c r="K718"/>
  <c r="M718"/>
  <c r="N718"/>
  <c r="P718"/>
  <c r="A719"/>
  <c r="B719"/>
  <c r="K719"/>
  <c r="M719"/>
  <c r="N719"/>
  <c r="P719"/>
  <c r="A720"/>
  <c r="B720"/>
  <c r="K720"/>
  <c r="M720"/>
  <c r="N720"/>
  <c r="P720"/>
  <c r="A721"/>
  <c r="B721"/>
  <c r="K721"/>
  <c r="M721"/>
  <c r="N721"/>
  <c r="P721"/>
  <c r="A722"/>
  <c r="B722"/>
  <c r="K722"/>
  <c r="M722"/>
  <c r="N722"/>
  <c r="P722"/>
  <c r="A723"/>
  <c r="B723"/>
  <c r="K723"/>
  <c r="M723"/>
  <c r="N723"/>
  <c r="P723"/>
  <c r="A724"/>
  <c r="B724"/>
  <c r="K724"/>
  <c r="M724"/>
  <c r="N724"/>
  <c r="P724"/>
  <c r="A725"/>
  <c r="B725"/>
  <c r="K725"/>
  <c r="M725"/>
  <c r="N725"/>
  <c r="P725"/>
  <c r="A726"/>
  <c r="B726"/>
  <c r="K726"/>
  <c r="M726"/>
  <c r="N726"/>
  <c r="P726"/>
  <c r="A727"/>
  <c r="B727"/>
  <c r="K727"/>
  <c r="M727"/>
  <c r="N727"/>
  <c r="P727"/>
  <c r="A728"/>
  <c r="B728"/>
  <c r="K728"/>
  <c r="M728"/>
  <c r="N728"/>
  <c r="P728"/>
  <c r="A729"/>
  <c r="B729"/>
  <c r="K729"/>
  <c r="M729"/>
  <c r="N729"/>
  <c r="P729"/>
  <c r="A730"/>
  <c r="B730"/>
  <c r="K730"/>
  <c r="M730"/>
  <c r="N730"/>
  <c r="P730"/>
  <c r="A731"/>
  <c r="B731"/>
  <c r="K731"/>
  <c r="M731"/>
  <c r="N731"/>
  <c r="P731"/>
  <c r="A732"/>
  <c r="B732"/>
  <c r="K732"/>
  <c r="M732"/>
  <c r="N732"/>
  <c r="P732"/>
  <c r="A733"/>
  <c r="B733"/>
  <c r="K733"/>
  <c r="M733"/>
  <c r="N733"/>
  <c r="P733"/>
  <c r="A734"/>
  <c r="B734"/>
  <c r="K734"/>
  <c r="M734"/>
  <c r="N734"/>
  <c r="P734"/>
  <c r="A735"/>
  <c r="B735"/>
  <c r="K735"/>
  <c r="M735"/>
  <c r="N735"/>
  <c r="P735"/>
  <c r="A736"/>
  <c r="B736"/>
  <c r="K736"/>
  <c r="M736"/>
  <c r="N736"/>
  <c r="P736"/>
  <c r="A737"/>
  <c r="B737"/>
  <c r="K737"/>
  <c r="M737"/>
  <c r="N737"/>
  <c r="P737"/>
  <c r="A738"/>
  <c r="B738"/>
  <c r="K738"/>
  <c r="M738"/>
  <c r="N738"/>
  <c r="P738"/>
  <c r="A739"/>
  <c r="B739"/>
  <c r="K739"/>
  <c r="M739"/>
  <c r="N739"/>
  <c r="P739"/>
  <c r="A740"/>
  <c r="B740"/>
  <c r="K740"/>
  <c r="M740"/>
  <c r="N740"/>
  <c r="P740"/>
  <c r="A741"/>
  <c r="B741"/>
  <c r="K741"/>
  <c r="M741"/>
  <c r="N741"/>
  <c r="P741"/>
  <c r="A742"/>
  <c r="B742"/>
  <c r="K742"/>
  <c r="M742"/>
  <c r="N742"/>
  <c r="P742"/>
  <c r="A743"/>
  <c r="B743"/>
  <c r="K743"/>
  <c r="M743"/>
  <c r="N743"/>
  <c r="L743" s="1"/>
  <c r="P743"/>
  <c r="A744"/>
  <c r="B744"/>
  <c r="C744" s="1"/>
  <c r="K744"/>
  <c r="M744"/>
  <c r="O744" s="1"/>
  <c r="N744"/>
  <c r="L744" s="1"/>
  <c r="P744"/>
  <c r="A745"/>
  <c r="B745"/>
  <c r="K745"/>
  <c r="M745"/>
  <c r="N745"/>
  <c r="L745" s="1"/>
  <c r="P745"/>
  <c r="A746"/>
  <c r="B746"/>
  <c r="C746" s="1"/>
  <c r="K746"/>
  <c r="M746"/>
  <c r="N746"/>
  <c r="L746" s="1"/>
  <c r="P746"/>
  <c r="A747"/>
  <c r="B747"/>
  <c r="C747" s="1"/>
  <c r="K747"/>
  <c r="M747"/>
  <c r="N747"/>
  <c r="L747" s="1"/>
  <c r="P747"/>
  <c r="A748"/>
  <c r="B748"/>
  <c r="C748" s="1"/>
  <c r="K748"/>
  <c r="M748"/>
  <c r="N748"/>
  <c r="L748" s="1"/>
  <c r="P748"/>
  <c r="A749"/>
  <c r="B749"/>
  <c r="C749" s="1"/>
  <c r="K749"/>
  <c r="M749"/>
  <c r="N749"/>
  <c r="L749" s="1"/>
  <c r="P749"/>
  <c r="A750"/>
  <c r="B750"/>
  <c r="C750" s="1"/>
  <c r="K750"/>
  <c r="M750"/>
  <c r="N750"/>
  <c r="L750" s="1"/>
  <c r="P750"/>
  <c r="A751"/>
  <c r="B751"/>
  <c r="C751" s="1"/>
  <c r="K751"/>
  <c r="M751"/>
  <c r="N751"/>
  <c r="L751" s="1"/>
  <c r="P751"/>
  <c r="A752"/>
  <c r="B752"/>
  <c r="C752" s="1"/>
  <c r="K752"/>
  <c r="M752"/>
  <c r="N752"/>
  <c r="L752" s="1"/>
  <c r="P752"/>
  <c r="A753"/>
  <c r="B753"/>
  <c r="C753" s="1"/>
  <c r="K753"/>
  <c r="M753"/>
  <c r="N753"/>
  <c r="L753" s="1"/>
  <c r="P753"/>
  <c r="A754"/>
  <c r="B754"/>
  <c r="C754" s="1"/>
  <c r="K754"/>
  <c r="M754"/>
  <c r="N754"/>
  <c r="L754" s="1"/>
  <c r="P754"/>
  <c r="A755"/>
  <c r="B755"/>
  <c r="C755" s="1"/>
  <c r="K755"/>
  <c r="M755"/>
  <c r="N755"/>
  <c r="L755" s="1"/>
  <c r="P755"/>
  <c r="A756"/>
  <c r="B756"/>
  <c r="C756" s="1"/>
  <c r="K756"/>
  <c r="M756"/>
  <c r="N756"/>
  <c r="L756" s="1"/>
  <c r="P756"/>
  <c r="A757"/>
  <c r="B757"/>
  <c r="C757" s="1"/>
  <c r="D757" s="1"/>
  <c r="K757"/>
  <c r="M757"/>
  <c r="N757"/>
  <c r="L757" s="1"/>
  <c r="P757"/>
  <c r="A758"/>
  <c r="B758"/>
  <c r="C758" s="1"/>
  <c r="D758" s="1"/>
  <c r="K758"/>
  <c r="M758"/>
  <c r="N758"/>
  <c r="L758" s="1"/>
  <c r="P758"/>
  <c r="A759"/>
  <c r="B759"/>
  <c r="C759" s="1"/>
  <c r="K759"/>
  <c r="M759"/>
  <c r="N759"/>
  <c r="L759" s="1"/>
  <c r="P759"/>
  <c r="A760"/>
  <c r="B760"/>
  <c r="C760" s="1"/>
  <c r="K760"/>
  <c r="M760"/>
  <c r="N760"/>
  <c r="L760" s="1"/>
  <c r="P760"/>
  <c r="A761"/>
  <c r="B761"/>
  <c r="C761" s="1"/>
  <c r="K761"/>
  <c r="M761"/>
  <c r="N761"/>
  <c r="L761" s="1"/>
  <c r="P761"/>
  <c r="A762"/>
  <c r="B762"/>
  <c r="C762" s="1"/>
  <c r="K762"/>
  <c r="M762"/>
  <c r="N762"/>
  <c r="P762"/>
  <c r="A763"/>
  <c r="K763"/>
  <c r="M763"/>
  <c r="N763"/>
  <c r="L763" s="1"/>
  <c r="P763"/>
  <c r="C763" s="1"/>
  <c r="A764"/>
  <c r="B764"/>
  <c r="K764"/>
  <c r="M764"/>
  <c r="N764"/>
  <c r="P764"/>
  <c r="A765"/>
  <c r="B765"/>
  <c r="K765"/>
  <c r="M765"/>
  <c r="N765"/>
  <c r="L765" s="1"/>
  <c r="P765"/>
  <c r="A766"/>
  <c r="B766"/>
  <c r="K766"/>
  <c r="M766"/>
  <c r="N766"/>
  <c r="P766"/>
  <c r="A767"/>
  <c r="B767"/>
  <c r="K767"/>
  <c r="M767"/>
  <c r="N767"/>
  <c r="L767" s="1"/>
  <c r="P767"/>
  <c r="A768"/>
  <c r="B768"/>
  <c r="K768"/>
  <c r="M768"/>
  <c r="N768"/>
  <c r="P768"/>
  <c r="A769"/>
  <c r="B769"/>
  <c r="K769"/>
  <c r="M769"/>
  <c r="N769"/>
  <c r="L769" s="1"/>
  <c r="P769"/>
  <c r="A770"/>
  <c r="B770"/>
  <c r="C770" s="1"/>
  <c r="D770" s="1"/>
  <c r="K770"/>
  <c r="M770"/>
  <c r="N770"/>
  <c r="P770"/>
  <c r="A771"/>
  <c r="B771"/>
  <c r="C771" s="1"/>
  <c r="D771" s="1"/>
  <c r="K771"/>
  <c r="M771"/>
  <c r="N771"/>
  <c r="L771" s="1"/>
  <c r="P771"/>
  <c r="A772"/>
  <c r="B772"/>
  <c r="K772"/>
  <c r="M772"/>
  <c r="N772"/>
  <c r="P772"/>
  <c r="A773"/>
  <c r="B773"/>
  <c r="K773"/>
  <c r="M773"/>
  <c r="N773"/>
  <c r="L773" s="1"/>
  <c r="P773"/>
  <c r="A774"/>
  <c r="B774"/>
  <c r="K774"/>
  <c r="M774"/>
  <c r="N774"/>
  <c r="P774"/>
  <c r="A775"/>
  <c r="B775"/>
  <c r="C775" s="1"/>
  <c r="D775" s="1"/>
  <c r="K775"/>
  <c r="M775"/>
  <c r="N775"/>
  <c r="L775" s="1"/>
  <c r="P775"/>
  <c r="A776"/>
  <c r="B776"/>
  <c r="C776" s="1"/>
  <c r="D776" s="1"/>
  <c r="K776"/>
  <c r="M776"/>
  <c r="N776"/>
  <c r="P776"/>
  <c r="A777"/>
  <c r="B777"/>
  <c r="C777" s="1"/>
  <c r="D777" s="1"/>
  <c r="K777"/>
  <c r="M777"/>
  <c r="N777"/>
  <c r="L777" s="1"/>
  <c r="P777"/>
  <c r="A778"/>
  <c r="B778"/>
  <c r="K778"/>
  <c r="M778"/>
  <c r="N778"/>
  <c r="P778"/>
  <c r="A779"/>
  <c r="B779"/>
  <c r="K779"/>
  <c r="M779"/>
  <c r="N779"/>
  <c r="L779" s="1"/>
  <c r="P779"/>
  <c r="A780"/>
  <c r="B780"/>
  <c r="K780"/>
  <c r="M780"/>
  <c r="N780"/>
  <c r="P780"/>
  <c r="A781"/>
  <c r="B781"/>
  <c r="K781"/>
  <c r="M781"/>
  <c r="N781"/>
  <c r="L781" s="1"/>
  <c r="P781"/>
  <c r="A782"/>
  <c r="B782"/>
  <c r="C782" s="1"/>
  <c r="D782" s="1"/>
  <c r="K782"/>
  <c r="M782"/>
  <c r="N782"/>
  <c r="P782"/>
  <c r="A783"/>
  <c r="B783"/>
  <c r="K783"/>
  <c r="M783"/>
  <c r="N783"/>
  <c r="P783"/>
  <c r="A784"/>
  <c r="B784"/>
  <c r="K784"/>
  <c r="M784"/>
  <c r="N784"/>
  <c r="P784"/>
  <c r="A785"/>
  <c r="B785"/>
  <c r="K785"/>
  <c r="M785"/>
  <c r="N785"/>
  <c r="P785"/>
  <c r="A786"/>
  <c r="B786"/>
  <c r="K786"/>
  <c r="M786"/>
  <c r="N786"/>
  <c r="P786"/>
  <c r="A787"/>
  <c r="B787"/>
  <c r="K787"/>
  <c r="M787"/>
  <c r="N787"/>
  <c r="P787"/>
  <c r="A788"/>
  <c r="B788"/>
  <c r="K788"/>
  <c r="M788"/>
  <c r="N788"/>
  <c r="P788"/>
  <c r="A789"/>
  <c r="B789"/>
  <c r="K789"/>
  <c r="M789"/>
  <c r="N789"/>
  <c r="P789"/>
  <c r="A790"/>
  <c r="B790"/>
  <c r="K790"/>
  <c r="M790"/>
  <c r="N790"/>
  <c r="P790"/>
  <c r="A791"/>
  <c r="B791"/>
  <c r="K791"/>
  <c r="M791"/>
  <c r="N791"/>
  <c r="P791"/>
  <c r="A792"/>
  <c r="B792"/>
  <c r="K792"/>
  <c r="M792"/>
  <c r="N792"/>
  <c r="P792"/>
  <c r="A793"/>
  <c r="B793"/>
  <c r="K793"/>
  <c r="M793"/>
  <c r="N793"/>
  <c r="P793"/>
  <c r="A794"/>
  <c r="B794"/>
  <c r="K794"/>
  <c r="M794"/>
  <c r="N794"/>
  <c r="P794"/>
  <c r="A795"/>
  <c r="B795"/>
  <c r="K795"/>
  <c r="M795"/>
  <c r="N795"/>
  <c r="P795"/>
  <c r="A796"/>
  <c r="B796"/>
  <c r="K796"/>
  <c r="M796"/>
  <c r="N796"/>
  <c r="P796"/>
  <c r="A797"/>
  <c r="B797"/>
  <c r="K797"/>
  <c r="M797"/>
  <c r="N797"/>
  <c r="P797"/>
  <c r="A798"/>
  <c r="B798"/>
  <c r="K798"/>
  <c r="M798"/>
  <c r="N798"/>
  <c r="P798"/>
  <c r="A799"/>
  <c r="B799"/>
  <c r="K799"/>
  <c r="M799"/>
  <c r="N799"/>
  <c r="P799"/>
  <c r="A800"/>
  <c r="B800"/>
  <c r="K800"/>
  <c r="M800"/>
  <c r="N800"/>
  <c r="P800"/>
  <c r="A801"/>
  <c r="B801"/>
  <c r="K801"/>
  <c r="M801"/>
  <c r="N801"/>
  <c r="P801"/>
  <c r="A2"/>
  <c r="C781" l="1"/>
  <c r="C780"/>
  <c r="C779"/>
  <c r="C778"/>
  <c r="C774"/>
  <c r="C773"/>
  <c r="C772"/>
  <c r="C768"/>
  <c r="C767"/>
  <c r="C766"/>
  <c r="C765"/>
  <c r="C764"/>
  <c r="C899"/>
  <c r="C898"/>
  <c r="C897"/>
  <c r="C896"/>
  <c r="C895"/>
  <c r="C894"/>
  <c r="C893"/>
  <c r="C892"/>
  <c r="C891"/>
  <c r="C890"/>
  <c r="C889"/>
  <c r="C888"/>
  <c r="C887"/>
  <c r="C886"/>
  <c r="C885"/>
  <c r="C884"/>
  <c r="C883"/>
  <c r="C882"/>
  <c r="C880"/>
  <c r="C879"/>
  <c r="C878"/>
  <c r="C877"/>
  <c r="C876"/>
  <c r="C875"/>
  <c r="C874"/>
  <c r="C873"/>
  <c r="C872"/>
  <c r="C871"/>
  <c r="C870"/>
  <c r="C869"/>
  <c r="C868"/>
  <c r="C769"/>
  <c r="C867"/>
  <c r="C866"/>
  <c r="C865"/>
  <c r="C881"/>
  <c r="C864"/>
  <c r="C863"/>
  <c r="C862"/>
  <c r="C861"/>
  <c r="C860"/>
  <c r="C859"/>
  <c r="C858"/>
  <c r="C743"/>
  <c r="C705"/>
  <c r="C704"/>
  <c r="C703"/>
  <c r="C702"/>
  <c r="C701"/>
  <c r="C700"/>
  <c r="C699"/>
  <c r="C857"/>
  <c r="C854"/>
  <c r="C812"/>
  <c r="C811"/>
  <c r="C809"/>
  <c r="O902"/>
  <c r="I902"/>
  <c r="J902" s="1"/>
  <c r="G902"/>
  <c r="E902"/>
  <c r="F902" s="1"/>
  <c r="O901"/>
  <c r="I901"/>
  <c r="J901" s="1"/>
  <c r="G901"/>
  <c r="E901"/>
  <c r="F901" s="1"/>
  <c r="O900"/>
  <c r="I900"/>
  <c r="J900" s="1"/>
  <c r="G900"/>
  <c r="E900"/>
  <c r="F900" s="1"/>
  <c r="O899"/>
  <c r="I899"/>
  <c r="J899" s="1"/>
  <c r="G899"/>
  <c r="E899"/>
  <c r="F899" s="1"/>
  <c r="O898"/>
  <c r="I898"/>
  <c r="J898" s="1"/>
  <c r="G898"/>
  <c r="E898"/>
  <c r="F898" s="1"/>
  <c r="O897"/>
  <c r="I897"/>
  <c r="J897" s="1"/>
  <c r="G897"/>
  <c r="E897"/>
  <c r="F897" s="1"/>
  <c r="O896"/>
  <c r="I896"/>
  <c r="J896" s="1"/>
  <c r="G896"/>
  <c r="E896"/>
  <c r="F896" s="1"/>
  <c r="O895"/>
  <c r="I895"/>
  <c r="J895" s="1"/>
  <c r="G895"/>
  <c r="E895"/>
  <c r="F895" s="1"/>
  <c r="O894"/>
  <c r="I894"/>
  <c r="J894" s="1"/>
  <c r="G894"/>
  <c r="E894"/>
  <c r="F894" s="1"/>
  <c r="O893"/>
  <c r="I893"/>
  <c r="J893" s="1"/>
  <c r="G893"/>
  <c r="E893"/>
  <c r="F893" s="1"/>
  <c r="O892"/>
  <c r="I892"/>
  <c r="J892" s="1"/>
  <c r="G892"/>
  <c r="E892"/>
  <c r="F892" s="1"/>
  <c r="O891"/>
  <c r="I891"/>
  <c r="J891" s="1"/>
  <c r="G891"/>
  <c r="E891"/>
  <c r="F891" s="1"/>
  <c r="O890"/>
  <c r="I890"/>
  <c r="J890" s="1"/>
  <c r="G890"/>
  <c r="E890"/>
  <c r="F890" s="1"/>
  <c r="O889"/>
  <c r="I889"/>
  <c r="J889" s="1"/>
  <c r="G889"/>
  <c r="E889"/>
  <c r="F889" s="1"/>
  <c r="O888"/>
  <c r="I888"/>
  <c r="J888" s="1"/>
  <c r="G888"/>
  <c r="E888"/>
  <c r="F888" s="1"/>
  <c r="O887"/>
  <c r="I887"/>
  <c r="J887" s="1"/>
  <c r="G887"/>
  <c r="E887"/>
  <c r="F887" s="1"/>
  <c r="O886"/>
  <c r="I886"/>
  <c r="J886" s="1"/>
  <c r="G886"/>
  <c r="E886"/>
  <c r="F886" s="1"/>
  <c r="O885"/>
  <c r="I885"/>
  <c r="J885" s="1"/>
  <c r="G885"/>
  <c r="E885"/>
  <c r="F885" s="1"/>
  <c r="O884"/>
  <c r="I884"/>
  <c r="J884" s="1"/>
  <c r="G884"/>
  <c r="E884"/>
  <c r="F884" s="1"/>
  <c r="O883"/>
  <c r="I883"/>
  <c r="J883" s="1"/>
  <c r="G883"/>
  <c r="E883"/>
  <c r="F883" s="1"/>
  <c r="O882"/>
  <c r="I882"/>
  <c r="J882" s="1"/>
  <c r="G882"/>
  <c r="E882"/>
  <c r="F882" s="1"/>
  <c r="O881"/>
  <c r="I881"/>
  <c r="J881" s="1"/>
  <c r="G881"/>
  <c r="E881"/>
  <c r="F881" s="1"/>
  <c r="O880"/>
  <c r="I880"/>
  <c r="J880" s="1"/>
  <c r="G880"/>
  <c r="E880"/>
  <c r="F880" s="1"/>
  <c r="O879"/>
  <c r="I879"/>
  <c r="J879" s="1"/>
  <c r="G879"/>
  <c r="E879"/>
  <c r="F879" s="1"/>
  <c r="O878"/>
  <c r="I878"/>
  <c r="J878" s="1"/>
  <c r="G878"/>
  <c r="E878"/>
  <c r="F878" s="1"/>
  <c r="O877"/>
  <c r="I877"/>
  <c r="J877" s="1"/>
  <c r="G877"/>
  <c r="E877"/>
  <c r="F877" s="1"/>
  <c r="O876"/>
  <c r="I876"/>
  <c r="J876" s="1"/>
  <c r="G876"/>
  <c r="E876"/>
  <c r="F876" s="1"/>
  <c r="O875"/>
  <c r="I875"/>
  <c r="J875" s="1"/>
  <c r="G875"/>
  <c r="E875"/>
  <c r="F875" s="1"/>
  <c r="O874"/>
  <c r="I874"/>
  <c r="J874" s="1"/>
  <c r="G874"/>
  <c r="E874"/>
  <c r="F874" s="1"/>
  <c r="O873"/>
  <c r="I873"/>
  <c r="J873" s="1"/>
  <c r="G873"/>
  <c r="E873"/>
  <c r="F873" s="1"/>
  <c r="O872"/>
  <c r="I872"/>
  <c r="J872" s="1"/>
  <c r="G872"/>
  <c r="E872"/>
  <c r="F872" s="1"/>
  <c r="O871"/>
  <c r="I871"/>
  <c r="J871" s="1"/>
  <c r="G871"/>
  <c r="E871"/>
  <c r="F871" s="1"/>
  <c r="O870"/>
  <c r="I870"/>
  <c r="J870" s="1"/>
  <c r="G870"/>
  <c r="E870"/>
  <c r="F870" s="1"/>
  <c r="O869"/>
  <c r="I869"/>
  <c r="J869" s="1"/>
  <c r="G869"/>
  <c r="E869"/>
  <c r="F869" s="1"/>
  <c r="O868"/>
  <c r="I868"/>
  <c r="J868" s="1"/>
  <c r="G868"/>
  <c r="E868"/>
  <c r="F868" s="1"/>
  <c r="O867"/>
  <c r="I867"/>
  <c r="J867" s="1"/>
  <c r="G867"/>
  <c r="E867"/>
  <c r="F867" s="1"/>
  <c r="O866"/>
  <c r="I866"/>
  <c r="J866" s="1"/>
  <c r="G866"/>
  <c r="E866"/>
  <c r="F866" s="1"/>
  <c r="O865"/>
  <c r="I865"/>
  <c r="J865" s="1"/>
  <c r="G865"/>
  <c r="E865"/>
  <c r="F865" s="1"/>
  <c r="O864"/>
  <c r="I864"/>
  <c r="J864" s="1"/>
  <c r="G864"/>
  <c r="E864"/>
  <c r="F864" s="1"/>
  <c r="O863"/>
  <c r="I863"/>
  <c r="J863" s="1"/>
  <c r="G863"/>
  <c r="E863"/>
  <c r="F863" s="1"/>
  <c r="O862"/>
  <c r="I862"/>
  <c r="J862" s="1"/>
  <c r="G862"/>
  <c r="E862"/>
  <c r="F862" s="1"/>
  <c r="O861"/>
  <c r="I861"/>
  <c r="J861" s="1"/>
  <c r="G861"/>
  <c r="E861"/>
  <c r="F861" s="1"/>
  <c r="O860"/>
  <c r="I860"/>
  <c r="J860" s="1"/>
  <c r="G860"/>
  <c r="E860"/>
  <c r="F860" s="1"/>
  <c r="O859"/>
  <c r="I859"/>
  <c r="J859" s="1"/>
  <c r="G859"/>
  <c r="E859"/>
  <c r="F859" s="1"/>
  <c r="O858"/>
  <c r="I858"/>
  <c r="J858" s="1"/>
  <c r="G858"/>
  <c r="E858"/>
  <c r="F858" s="1"/>
  <c r="C808"/>
  <c r="C807"/>
  <c r="C806"/>
  <c r="C805"/>
  <c r="C804"/>
  <c r="C803"/>
  <c r="C802"/>
  <c r="G853"/>
  <c r="H853" s="1"/>
  <c r="O857"/>
  <c r="O856"/>
  <c r="O855"/>
  <c r="O854"/>
  <c r="O853"/>
  <c r="I853"/>
  <c r="E853"/>
  <c r="O852"/>
  <c r="O851"/>
  <c r="O850"/>
  <c r="O849"/>
  <c r="O848"/>
  <c r="O847"/>
  <c r="O846"/>
  <c r="O845"/>
  <c r="O844"/>
  <c r="O843"/>
  <c r="O842"/>
  <c r="O841"/>
  <c r="O840"/>
  <c r="O839"/>
  <c r="O838"/>
  <c r="O837"/>
  <c r="O836"/>
  <c r="O835"/>
  <c r="O834"/>
  <c r="O833"/>
  <c r="O832"/>
  <c r="O831"/>
  <c r="O830"/>
  <c r="O829"/>
  <c r="O828"/>
  <c r="O827"/>
  <c r="O826"/>
  <c r="O825"/>
  <c r="O824"/>
  <c r="O823"/>
  <c r="O822"/>
  <c r="O821"/>
  <c r="O820"/>
  <c r="O819"/>
  <c r="O818"/>
  <c r="O817"/>
  <c r="O816"/>
  <c r="O815"/>
  <c r="C852"/>
  <c r="D852" s="1"/>
  <c r="E852"/>
  <c r="G852"/>
  <c r="H852" s="1"/>
  <c r="I852"/>
  <c r="C850"/>
  <c r="E850"/>
  <c r="F850" s="1"/>
  <c r="G850"/>
  <c r="I850"/>
  <c r="J850" s="1"/>
  <c r="C848"/>
  <c r="D848" s="1"/>
  <c r="E848"/>
  <c r="G848"/>
  <c r="H848" s="1"/>
  <c r="I848"/>
  <c r="C846"/>
  <c r="D846" s="1"/>
  <c r="E846"/>
  <c r="G846"/>
  <c r="H846" s="1"/>
  <c r="I846"/>
  <c r="C844"/>
  <c r="D844" s="1"/>
  <c r="E844"/>
  <c r="G844"/>
  <c r="H844" s="1"/>
  <c r="I844"/>
  <c r="C842"/>
  <c r="D842" s="1"/>
  <c r="E842"/>
  <c r="G842"/>
  <c r="H842" s="1"/>
  <c r="I842"/>
  <c r="C840"/>
  <c r="D840" s="1"/>
  <c r="E840"/>
  <c r="G840"/>
  <c r="H840" s="1"/>
  <c r="I840"/>
  <c r="C838"/>
  <c r="D838" s="1"/>
  <c r="E838"/>
  <c r="G838"/>
  <c r="H838" s="1"/>
  <c r="I838"/>
  <c r="C836"/>
  <c r="E836"/>
  <c r="F836" s="1"/>
  <c r="G836"/>
  <c r="I836"/>
  <c r="J836" s="1"/>
  <c r="C834"/>
  <c r="E834"/>
  <c r="F834" s="1"/>
  <c r="G834"/>
  <c r="I834"/>
  <c r="J834" s="1"/>
  <c r="C832"/>
  <c r="D832" s="1"/>
  <c r="E832"/>
  <c r="G832"/>
  <c r="H832" s="1"/>
  <c r="I832"/>
  <c r="C830"/>
  <c r="E830"/>
  <c r="F830" s="1"/>
  <c r="G830"/>
  <c r="I830"/>
  <c r="J830" s="1"/>
  <c r="C828"/>
  <c r="D828" s="1"/>
  <c r="E828"/>
  <c r="G828"/>
  <c r="H828" s="1"/>
  <c r="I828"/>
  <c r="C826"/>
  <c r="E826"/>
  <c r="F826" s="1"/>
  <c r="G826"/>
  <c r="I826"/>
  <c r="J826" s="1"/>
  <c r="C824"/>
  <c r="E824"/>
  <c r="F824" s="1"/>
  <c r="G824"/>
  <c r="I824"/>
  <c r="J824" s="1"/>
  <c r="C822"/>
  <c r="D822" s="1"/>
  <c r="E822"/>
  <c r="G822"/>
  <c r="H822" s="1"/>
  <c r="I822"/>
  <c r="C820"/>
  <c r="D820" s="1"/>
  <c r="E820"/>
  <c r="G820"/>
  <c r="H820" s="1"/>
  <c r="I820"/>
  <c r="C818"/>
  <c r="D818" s="1"/>
  <c r="E818"/>
  <c r="G818"/>
  <c r="H818" s="1"/>
  <c r="I818"/>
  <c r="C816"/>
  <c r="D816" s="1"/>
  <c r="E816"/>
  <c r="G816"/>
  <c r="H816" s="1"/>
  <c r="I816"/>
  <c r="I744"/>
  <c r="J744" s="1"/>
  <c r="E744"/>
  <c r="F744" s="1"/>
  <c r="C698"/>
  <c r="C697"/>
  <c r="C696"/>
  <c r="C695"/>
  <c r="C694"/>
  <c r="C693"/>
  <c r="C692"/>
  <c r="L857"/>
  <c r="L856"/>
  <c r="L855"/>
  <c r="L854"/>
  <c r="L852"/>
  <c r="L850"/>
  <c r="L848"/>
  <c r="L846"/>
  <c r="L844"/>
  <c r="L842"/>
  <c r="L840"/>
  <c r="L838"/>
  <c r="L836"/>
  <c r="L834"/>
  <c r="L832"/>
  <c r="L830"/>
  <c r="L828"/>
  <c r="L826"/>
  <c r="L824"/>
  <c r="L822"/>
  <c r="L820"/>
  <c r="L818"/>
  <c r="L816"/>
  <c r="C851"/>
  <c r="D851" s="1"/>
  <c r="E851"/>
  <c r="G851"/>
  <c r="H851" s="1"/>
  <c r="I851"/>
  <c r="C849"/>
  <c r="D849" s="1"/>
  <c r="E849"/>
  <c r="G849"/>
  <c r="H849" s="1"/>
  <c r="I849"/>
  <c r="C847"/>
  <c r="D847" s="1"/>
  <c r="E847"/>
  <c r="G847"/>
  <c r="H847" s="1"/>
  <c r="I847"/>
  <c r="C845"/>
  <c r="D845" s="1"/>
  <c r="E845"/>
  <c r="G845"/>
  <c r="H845" s="1"/>
  <c r="I845"/>
  <c r="C843"/>
  <c r="D843" s="1"/>
  <c r="E843"/>
  <c r="G843"/>
  <c r="H843" s="1"/>
  <c r="I843"/>
  <c r="C841"/>
  <c r="D841" s="1"/>
  <c r="E841"/>
  <c r="G841"/>
  <c r="H841" s="1"/>
  <c r="I841"/>
  <c r="C839"/>
  <c r="E839"/>
  <c r="F839" s="1"/>
  <c r="G839"/>
  <c r="I839"/>
  <c r="J839" s="1"/>
  <c r="C837"/>
  <c r="D837" s="1"/>
  <c r="E837"/>
  <c r="G837"/>
  <c r="H837" s="1"/>
  <c r="I837"/>
  <c r="C835"/>
  <c r="D835" s="1"/>
  <c r="E835"/>
  <c r="G835"/>
  <c r="H835" s="1"/>
  <c r="I835"/>
  <c r="C833"/>
  <c r="E833"/>
  <c r="F833" s="1"/>
  <c r="G833"/>
  <c r="I833"/>
  <c r="J833" s="1"/>
  <c r="C831"/>
  <c r="D831" s="1"/>
  <c r="E831"/>
  <c r="G831"/>
  <c r="H831" s="1"/>
  <c r="I831"/>
  <c r="C829"/>
  <c r="E829"/>
  <c r="F829" s="1"/>
  <c r="G829"/>
  <c r="I829"/>
  <c r="J829" s="1"/>
  <c r="C827"/>
  <c r="E827"/>
  <c r="F827" s="1"/>
  <c r="G827"/>
  <c r="I827"/>
  <c r="J827" s="1"/>
  <c r="C825"/>
  <c r="E825"/>
  <c r="F825" s="1"/>
  <c r="G825"/>
  <c r="I825"/>
  <c r="J825" s="1"/>
  <c r="C823"/>
  <c r="E823"/>
  <c r="F823" s="1"/>
  <c r="G823"/>
  <c r="I823"/>
  <c r="J823" s="1"/>
  <c r="C821"/>
  <c r="E821"/>
  <c r="F821" s="1"/>
  <c r="G821"/>
  <c r="I821"/>
  <c r="J821" s="1"/>
  <c r="C819"/>
  <c r="D819" s="1"/>
  <c r="E819"/>
  <c r="G819"/>
  <c r="H819" s="1"/>
  <c r="I819"/>
  <c r="C817"/>
  <c r="D817" s="1"/>
  <c r="E817"/>
  <c r="G817"/>
  <c r="H817" s="1"/>
  <c r="I817"/>
  <c r="G743"/>
  <c r="O801"/>
  <c r="O800"/>
  <c r="O799"/>
  <c r="O798"/>
  <c r="O797"/>
  <c r="O796"/>
  <c r="O795"/>
  <c r="O794"/>
  <c r="O793"/>
  <c r="O792"/>
  <c r="O791"/>
  <c r="O790"/>
  <c r="O789"/>
  <c r="O788"/>
  <c r="O787"/>
  <c r="O786"/>
  <c r="O785"/>
  <c r="O784"/>
  <c r="O783"/>
  <c r="O782"/>
  <c r="O780"/>
  <c r="O778"/>
  <c r="O776"/>
  <c r="O774"/>
  <c r="O772"/>
  <c r="O770"/>
  <c r="O768"/>
  <c r="O766"/>
  <c r="O764"/>
  <c r="O762"/>
  <c r="O745"/>
  <c r="C745"/>
  <c r="G744"/>
  <c r="O743"/>
  <c r="I743"/>
  <c r="J743" s="1"/>
  <c r="E743"/>
  <c r="F743" s="1"/>
  <c r="O742"/>
  <c r="O741"/>
  <c r="O740"/>
  <c r="O739"/>
  <c r="O738"/>
  <c r="O737"/>
  <c r="O736"/>
  <c r="O735"/>
  <c r="O734"/>
  <c r="O733"/>
  <c r="O732"/>
  <c r="O731"/>
  <c r="O730"/>
  <c r="O729"/>
  <c r="O728"/>
  <c r="O727"/>
  <c r="O726"/>
  <c r="O725"/>
  <c r="O724"/>
  <c r="O723"/>
  <c r="O722"/>
  <c r="O721"/>
  <c r="O720"/>
  <c r="O719"/>
  <c r="O718"/>
  <c r="O717"/>
  <c r="O716"/>
  <c r="O715"/>
  <c r="O714"/>
  <c r="O713"/>
  <c r="O712"/>
  <c r="O711"/>
  <c r="O710"/>
  <c r="O709"/>
  <c r="O708"/>
  <c r="O707"/>
  <c r="O706"/>
  <c r="I857"/>
  <c r="J857" s="1"/>
  <c r="G857"/>
  <c r="E857"/>
  <c r="F857" s="1"/>
  <c r="I856"/>
  <c r="G856"/>
  <c r="H856" s="1"/>
  <c r="E856"/>
  <c r="I855"/>
  <c r="G855"/>
  <c r="H855" s="1"/>
  <c r="E855"/>
  <c r="I854"/>
  <c r="J854" s="1"/>
  <c r="G854"/>
  <c r="E854"/>
  <c r="F854" s="1"/>
  <c r="L851"/>
  <c r="L849"/>
  <c r="L847"/>
  <c r="L845"/>
  <c r="L843"/>
  <c r="L841"/>
  <c r="L839"/>
  <c r="L837"/>
  <c r="L835"/>
  <c r="L833"/>
  <c r="L831"/>
  <c r="L829"/>
  <c r="L827"/>
  <c r="L825"/>
  <c r="L823"/>
  <c r="L821"/>
  <c r="L819"/>
  <c r="L817"/>
  <c r="L815"/>
  <c r="I815"/>
  <c r="G815"/>
  <c r="H815" s="1"/>
  <c r="E815"/>
  <c r="O814"/>
  <c r="I814"/>
  <c r="G814"/>
  <c r="H814" s="1"/>
  <c r="E814"/>
  <c r="O813"/>
  <c r="I813"/>
  <c r="G813"/>
  <c r="H813" s="1"/>
  <c r="E813"/>
  <c r="O812"/>
  <c r="I812"/>
  <c r="J812" s="1"/>
  <c r="G812"/>
  <c r="E812"/>
  <c r="F812" s="1"/>
  <c r="O811"/>
  <c r="I811"/>
  <c r="J811" s="1"/>
  <c r="G811"/>
  <c r="E811"/>
  <c r="F811" s="1"/>
  <c r="O810"/>
  <c r="I810"/>
  <c r="G810"/>
  <c r="H810" s="1"/>
  <c r="E810"/>
  <c r="O809"/>
  <c r="I809"/>
  <c r="J809" s="1"/>
  <c r="G809"/>
  <c r="E809"/>
  <c r="F809" s="1"/>
  <c r="O808"/>
  <c r="I808"/>
  <c r="J808" s="1"/>
  <c r="G808"/>
  <c r="E808"/>
  <c r="F808" s="1"/>
  <c r="O807"/>
  <c r="I807"/>
  <c r="J807" s="1"/>
  <c r="G807"/>
  <c r="E807"/>
  <c r="F807" s="1"/>
  <c r="O806"/>
  <c r="I806"/>
  <c r="J806" s="1"/>
  <c r="G806"/>
  <c r="E806"/>
  <c r="F806" s="1"/>
  <c r="O805"/>
  <c r="I805"/>
  <c r="J805" s="1"/>
  <c r="G805"/>
  <c r="E805"/>
  <c r="F805" s="1"/>
  <c r="O804"/>
  <c r="I804"/>
  <c r="J804" s="1"/>
  <c r="G804"/>
  <c r="E804"/>
  <c r="F804" s="1"/>
  <c r="O803"/>
  <c r="I803"/>
  <c r="J803" s="1"/>
  <c r="G803"/>
  <c r="E803"/>
  <c r="F803" s="1"/>
  <c r="O802"/>
  <c r="I802"/>
  <c r="J802" s="1"/>
  <c r="G802"/>
  <c r="E802"/>
  <c r="F802" s="1"/>
  <c r="C801"/>
  <c r="E801"/>
  <c r="F801" s="1"/>
  <c r="G801"/>
  <c r="I801"/>
  <c r="J801" s="1"/>
  <c r="C799"/>
  <c r="E799"/>
  <c r="F799" s="1"/>
  <c r="G799"/>
  <c r="I799"/>
  <c r="J799" s="1"/>
  <c r="C797"/>
  <c r="E797"/>
  <c r="F797" s="1"/>
  <c r="G797"/>
  <c r="I797"/>
  <c r="J797" s="1"/>
  <c r="C795"/>
  <c r="E795"/>
  <c r="F795" s="1"/>
  <c r="G795"/>
  <c r="I795"/>
  <c r="J795" s="1"/>
  <c r="C793"/>
  <c r="E793"/>
  <c r="F793" s="1"/>
  <c r="G793"/>
  <c r="I793"/>
  <c r="J793" s="1"/>
  <c r="C791"/>
  <c r="E791"/>
  <c r="F791" s="1"/>
  <c r="G791"/>
  <c r="I791"/>
  <c r="J791" s="1"/>
  <c r="C789"/>
  <c r="E789"/>
  <c r="F789" s="1"/>
  <c r="G789"/>
  <c r="I789"/>
  <c r="J789" s="1"/>
  <c r="C787"/>
  <c r="E787"/>
  <c r="F787" s="1"/>
  <c r="G787"/>
  <c r="I787"/>
  <c r="J787" s="1"/>
  <c r="C785"/>
  <c r="E785"/>
  <c r="F785" s="1"/>
  <c r="G785"/>
  <c r="I785"/>
  <c r="J785" s="1"/>
  <c r="L800"/>
  <c r="L801"/>
  <c r="L799"/>
  <c r="L797"/>
  <c r="L795"/>
  <c r="L793"/>
  <c r="L791"/>
  <c r="L789"/>
  <c r="L787"/>
  <c r="L785"/>
  <c r="L783"/>
  <c r="C800"/>
  <c r="E800"/>
  <c r="F800" s="1"/>
  <c r="G800"/>
  <c r="I800"/>
  <c r="J800" s="1"/>
  <c r="C798"/>
  <c r="E798"/>
  <c r="F798" s="1"/>
  <c r="G798"/>
  <c r="I798"/>
  <c r="J798" s="1"/>
  <c r="C796"/>
  <c r="E796"/>
  <c r="F796" s="1"/>
  <c r="G796"/>
  <c r="I796"/>
  <c r="J796" s="1"/>
  <c r="C794"/>
  <c r="E794"/>
  <c r="F794" s="1"/>
  <c r="G794"/>
  <c r="I794"/>
  <c r="J794" s="1"/>
  <c r="C792"/>
  <c r="E792"/>
  <c r="F792" s="1"/>
  <c r="G792"/>
  <c r="I792"/>
  <c r="J792" s="1"/>
  <c r="C790"/>
  <c r="E790"/>
  <c r="F790" s="1"/>
  <c r="G790"/>
  <c r="I790"/>
  <c r="J790" s="1"/>
  <c r="C788"/>
  <c r="E788"/>
  <c r="F788" s="1"/>
  <c r="G788"/>
  <c r="I788"/>
  <c r="J788" s="1"/>
  <c r="C786"/>
  <c r="E786"/>
  <c r="F786" s="1"/>
  <c r="G786"/>
  <c r="I786"/>
  <c r="J786" s="1"/>
  <c r="C784"/>
  <c r="E784"/>
  <c r="F784" s="1"/>
  <c r="G784"/>
  <c r="I784"/>
  <c r="J784" s="1"/>
  <c r="L798"/>
  <c r="L796"/>
  <c r="L794"/>
  <c r="L792"/>
  <c r="L790"/>
  <c r="L788"/>
  <c r="L786"/>
  <c r="L784"/>
  <c r="C783"/>
  <c r="C741"/>
  <c r="E741"/>
  <c r="F741" s="1"/>
  <c r="G741"/>
  <c r="I741"/>
  <c r="J741" s="1"/>
  <c r="C739"/>
  <c r="E739"/>
  <c r="F739" s="1"/>
  <c r="G739"/>
  <c r="I739"/>
  <c r="J739" s="1"/>
  <c r="C737"/>
  <c r="E737"/>
  <c r="F737" s="1"/>
  <c r="G737"/>
  <c r="I737"/>
  <c r="J737" s="1"/>
  <c r="C735"/>
  <c r="E735"/>
  <c r="F735" s="1"/>
  <c r="G735"/>
  <c r="I735"/>
  <c r="J735" s="1"/>
  <c r="C733"/>
  <c r="E733"/>
  <c r="F733" s="1"/>
  <c r="G733"/>
  <c r="I733"/>
  <c r="J733" s="1"/>
  <c r="C731"/>
  <c r="E731"/>
  <c r="F731" s="1"/>
  <c r="G731"/>
  <c r="I731"/>
  <c r="J731" s="1"/>
  <c r="C729"/>
  <c r="E729"/>
  <c r="F729" s="1"/>
  <c r="G729"/>
  <c r="I729"/>
  <c r="J729" s="1"/>
  <c r="C727"/>
  <c r="E727"/>
  <c r="F727" s="1"/>
  <c r="G727"/>
  <c r="I727"/>
  <c r="J727" s="1"/>
  <c r="C725"/>
  <c r="D725" s="1"/>
  <c r="E725"/>
  <c r="G725"/>
  <c r="H725" s="1"/>
  <c r="I725"/>
  <c r="C723"/>
  <c r="D723" s="1"/>
  <c r="E723"/>
  <c r="G723"/>
  <c r="H723" s="1"/>
  <c r="I723"/>
  <c r="C721"/>
  <c r="D721" s="1"/>
  <c r="E721"/>
  <c r="G721"/>
  <c r="H721" s="1"/>
  <c r="I721"/>
  <c r="C719"/>
  <c r="D719" s="1"/>
  <c r="E719"/>
  <c r="G719"/>
  <c r="H719" s="1"/>
  <c r="I719"/>
  <c r="C717"/>
  <c r="D717" s="1"/>
  <c r="E717"/>
  <c r="G717"/>
  <c r="H717" s="1"/>
  <c r="I717"/>
  <c r="C715"/>
  <c r="E715"/>
  <c r="F715" s="1"/>
  <c r="G715"/>
  <c r="I715"/>
  <c r="J715" s="1"/>
  <c r="C713"/>
  <c r="E713"/>
  <c r="F713" s="1"/>
  <c r="G713"/>
  <c r="I713"/>
  <c r="J713" s="1"/>
  <c r="C711"/>
  <c r="E711"/>
  <c r="F711" s="1"/>
  <c r="G711"/>
  <c r="I711"/>
  <c r="J711" s="1"/>
  <c r="C709"/>
  <c r="E709"/>
  <c r="F709" s="1"/>
  <c r="G709"/>
  <c r="I709"/>
  <c r="J709" s="1"/>
  <c r="C707"/>
  <c r="E707"/>
  <c r="F707" s="1"/>
  <c r="G707"/>
  <c r="I707"/>
  <c r="J707" s="1"/>
  <c r="L782"/>
  <c r="L780"/>
  <c r="L778"/>
  <c r="L776"/>
  <c r="L774"/>
  <c r="L772"/>
  <c r="L770"/>
  <c r="L768"/>
  <c r="L766"/>
  <c r="L764"/>
  <c r="L762"/>
  <c r="I783"/>
  <c r="J783" s="1"/>
  <c r="G783"/>
  <c r="E783"/>
  <c r="F783" s="1"/>
  <c r="I782"/>
  <c r="G782"/>
  <c r="H782" s="1"/>
  <c r="E782"/>
  <c r="O781"/>
  <c r="I781"/>
  <c r="J781" s="1"/>
  <c r="G781"/>
  <c r="E781"/>
  <c r="F781" s="1"/>
  <c r="I780"/>
  <c r="J780" s="1"/>
  <c r="G780"/>
  <c r="E780"/>
  <c r="F780" s="1"/>
  <c r="O779"/>
  <c r="I779"/>
  <c r="J779" s="1"/>
  <c r="G779"/>
  <c r="E779"/>
  <c r="F779" s="1"/>
  <c r="I778"/>
  <c r="J778" s="1"/>
  <c r="G778"/>
  <c r="E778"/>
  <c r="F778" s="1"/>
  <c r="O777"/>
  <c r="I777"/>
  <c r="G777"/>
  <c r="H777" s="1"/>
  <c r="E777"/>
  <c r="I776"/>
  <c r="G776"/>
  <c r="H776" s="1"/>
  <c r="E776"/>
  <c r="O775"/>
  <c r="I775"/>
  <c r="G775"/>
  <c r="H775" s="1"/>
  <c r="E775"/>
  <c r="I774"/>
  <c r="J774" s="1"/>
  <c r="G774"/>
  <c r="E774"/>
  <c r="F774" s="1"/>
  <c r="O773"/>
  <c r="I773"/>
  <c r="J773" s="1"/>
  <c r="G773"/>
  <c r="E773"/>
  <c r="F773" s="1"/>
  <c r="I772"/>
  <c r="J772" s="1"/>
  <c r="G772"/>
  <c r="E772"/>
  <c r="F772" s="1"/>
  <c r="O771"/>
  <c r="I771"/>
  <c r="G771"/>
  <c r="H771" s="1"/>
  <c r="E771"/>
  <c r="I770"/>
  <c r="G770"/>
  <c r="H770" s="1"/>
  <c r="E770"/>
  <c r="O769"/>
  <c r="I769"/>
  <c r="J769" s="1"/>
  <c r="G769"/>
  <c r="E769"/>
  <c r="F769" s="1"/>
  <c r="I768"/>
  <c r="J768" s="1"/>
  <c r="G768"/>
  <c r="E768"/>
  <c r="F768" s="1"/>
  <c r="O767"/>
  <c r="I767"/>
  <c r="J767" s="1"/>
  <c r="G767"/>
  <c r="E767"/>
  <c r="F767" s="1"/>
  <c r="I766"/>
  <c r="J766" s="1"/>
  <c r="G766"/>
  <c r="E766"/>
  <c r="F766" s="1"/>
  <c r="O765"/>
  <c r="I765"/>
  <c r="J765" s="1"/>
  <c r="G765"/>
  <c r="E765"/>
  <c r="F765" s="1"/>
  <c r="I764"/>
  <c r="J764" s="1"/>
  <c r="G764"/>
  <c r="E764"/>
  <c r="F764" s="1"/>
  <c r="O763"/>
  <c r="I763"/>
  <c r="G763"/>
  <c r="E763"/>
  <c r="I762"/>
  <c r="J762" s="1"/>
  <c r="G762"/>
  <c r="E762"/>
  <c r="F762" s="1"/>
  <c r="O761"/>
  <c r="I761"/>
  <c r="J761" s="1"/>
  <c r="G761"/>
  <c r="E761"/>
  <c r="F761" s="1"/>
  <c r="O760"/>
  <c r="I760"/>
  <c r="J760" s="1"/>
  <c r="G760"/>
  <c r="E760"/>
  <c r="F760" s="1"/>
  <c r="O759"/>
  <c r="I759"/>
  <c r="J759" s="1"/>
  <c r="G759"/>
  <c r="E759"/>
  <c r="F759" s="1"/>
  <c r="O758"/>
  <c r="I758"/>
  <c r="G758"/>
  <c r="H758" s="1"/>
  <c r="E758"/>
  <c r="O757"/>
  <c r="I757"/>
  <c r="G757"/>
  <c r="H757" s="1"/>
  <c r="E757"/>
  <c r="O756"/>
  <c r="I756"/>
  <c r="J756" s="1"/>
  <c r="G756"/>
  <c r="E756"/>
  <c r="F756" s="1"/>
  <c r="O755"/>
  <c r="I755"/>
  <c r="J755" s="1"/>
  <c r="G755"/>
  <c r="E755"/>
  <c r="F755" s="1"/>
  <c r="O754"/>
  <c r="I754"/>
  <c r="J754" s="1"/>
  <c r="G754"/>
  <c r="E754"/>
  <c r="F754" s="1"/>
  <c r="O753"/>
  <c r="I753"/>
  <c r="J753" s="1"/>
  <c r="G753"/>
  <c r="E753"/>
  <c r="F753" s="1"/>
  <c r="O752"/>
  <c r="I752"/>
  <c r="J752" s="1"/>
  <c r="G752"/>
  <c r="E752"/>
  <c r="F752" s="1"/>
  <c r="O751"/>
  <c r="I751"/>
  <c r="J751" s="1"/>
  <c r="G751"/>
  <c r="E751"/>
  <c r="F751" s="1"/>
  <c r="O750"/>
  <c r="I750"/>
  <c r="J750" s="1"/>
  <c r="G750"/>
  <c r="E750"/>
  <c r="F750" s="1"/>
  <c r="O749"/>
  <c r="I749"/>
  <c r="J749" s="1"/>
  <c r="G749"/>
  <c r="E749"/>
  <c r="F749" s="1"/>
  <c r="O748"/>
  <c r="I748"/>
  <c r="J748" s="1"/>
  <c r="G748"/>
  <c r="E748"/>
  <c r="F748" s="1"/>
  <c r="O747"/>
  <c r="I747"/>
  <c r="J747" s="1"/>
  <c r="G747"/>
  <c r="E747"/>
  <c r="F747" s="1"/>
  <c r="O746"/>
  <c r="I746"/>
  <c r="J746" s="1"/>
  <c r="G746"/>
  <c r="E746"/>
  <c r="F746" s="1"/>
  <c r="I745"/>
  <c r="J745" s="1"/>
  <c r="G745"/>
  <c r="E745"/>
  <c r="F745" s="1"/>
  <c r="L741"/>
  <c r="L739"/>
  <c r="L737"/>
  <c r="L735"/>
  <c r="L733"/>
  <c r="L731"/>
  <c r="L729"/>
  <c r="L727"/>
  <c r="L725"/>
  <c r="L723"/>
  <c r="L721"/>
  <c r="L719"/>
  <c r="L717"/>
  <c r="L715"/>
  <c r="L713"/>
  <c r="L711"/>
  <c r="L709"/>
  <c r="L707"/>
  <c r="C742"/>
  <c r="E742"/>
  <c r="F742" s="1"/>
  <c r="G742"/>
  <c r="I742"/>
  <c r="J742" s="1"/>
  <c r="C740"/>
  <c r="E740"/>
  <c r="F740" s="1"/>
  <c r="G740"/>
  <c r="I740"/>
  <c r="J740" s="1"/>
  <c r="C738"/>
  <c r="E738"/>
  <c r="F738" s="1"/>
  <c r="G738"/>
  <c r="I738"/>
  <c r="J738" s="1"/>
  <c r="C736"/>
  <c r="E736"/>
  <c r="F736" s="1"/>
  <c r="G736"/>
  <c r="I736"/>
  <c r="J736" s="1"/>
  <c r="C734"/>
  <c r="E734"/>
  <c r="F734" s="1"/>
  <c r="G734"/>
  <c r="I734"/>
  <c r="J734" s="1"/>
  <c r="C732"/>
  <c r="E732"/>
  <c r="F732" s="1"/>
  <c r="G732"/>
  <c r="I732"/>
  <c r="J732" s="1"/>
  <c r="C730"/>
  <c r="E730"/>
  <c r="F730" s="1"/>
  <c r="G730"/>
  <c r="I730"/>
  <c r="J730" s="1"/>
  <c r="C728"/>
  <c r="E728"/>
  <c r="F728" s="1"/>
  <c r="G728"/>
  <c r="I728"/>
  <c r="J728" s="1"/>
  <c r="C726"/>
  <c r="D726" s="1"/>
  <c r="E726"/>
  <c r="G726"/>
  <c r="H726" s="1"/>
  <c r="I726"/>
  <c r="C724"/>
  <c r="D724" s="1"/>
  <c r="E724"/>
  <c r="G724"/>
  <c r="H724" s="1"/>
  <c r="I724"/>
  <c r="C722"/>
  <c r="D722" s="1"/>
  <c r="E722"/>
  <c r="G722"/>
  <c r="H722" s="1"/>
  <c r="I722"/>
  <c r="C720"/>
  <c r="D720" s="1"/>
  <c r="E720"/>
  <c r="G720"/>
  <c r="H720" s="1"/>
  <c r="I720"/>
  <c r="C718"/>
  <c r="D718" s="1"/>
  <c r="E718"/>
  <c r="G718"/>
  <c r="H718" s="1"/>
  <c r="I718"/>
  <c r="C716"/>
  <c r="D716" s="1"/>
  <c r="E716"/>
  <c r="G716"/>
  <c r="H716" s="1"/>
  <c r="I716"/>
  <c r="C714"/>
  <c r="E714"/>
  <c r="F714" s="1"/>
  <c r="G714"/>
  <c r="I714"/>
  <c r="J714" s="1"/>
  <c r="C712"/>
  <c r="E712"/>
  <c r="F712" s="1"/>
  <c r="G712"/>
  <c r="I712"/>
  <c r="J712" s="1"/>
  <c r="C710"/>
  <c r="E710"/>
  <c r="F710" s="1"/>
  <c r="G710"/>
  <c r="I710"/>
  <c r="J710" s="1"/>
  <c r="C708"/>
  <c r="E708"/>
  <c r="F708" s="1"/>
  <c r="G708"/>
  <c r="I708"/>
  <c r="J708" s="1"/>
  <c r="L742"/>
  <c r="L740"/>
  <c r="L738"/>
  <c r="L736"/>
  <c r="L734"/>
  <c r="L732"/>
  <c r="L730"/>
  <c r="L728"/>
  <c r="L726"/>
  <c r="L724"/>
  <c r="L722"/>
  <c r="L720"/>
  <c r="L718"/>
  <c r="L716"/>
  <c r="L714"/>
  <c r="L712"/>
  <c r="L710"/>
  <c r="L708"/>
  <c r="L706"/>
  <c r="C706"/>
  <c r="I706"/>
  <c r="J706" s="1"/>
  <c r="G706"/>
  <c r="E706"/>
  <c r="F706" s="1"/>
  <c r="O705"/>
  <c r="I705"/>
  <c r="J705" s="1"/>
  <c r="G705"/>
  <c r="E705"/>
  <c r="F705" s="1"/>
  <c r="O704"/>
  <c r="I704"/>
  <c r="J704" s="1"/>
  <c r="G704"/>
  <c r="E704"/>
  <c r="F704" s="1"/>
  <c r="O703"/>
  <c r="I703"/>
  <c r="J703" s="1"/>
  <c r="G703"/>
  <c r="E703"/>
  <c r="F703" s="1"/>
  <c r="O702"/>
  <c r="I702"/>
  <c r="J702" s="1"/>
  <c r="G702"/>
  <c r="E702"/>
  <c r="F702" s="1"/>
  <c r="O701"/>
  <c r="I701"/>
  <c r="J701" s="1"/>
  <c r="G701"/>
  <c r="E701"/>
  <c r="F701" s="1"/>
  <c r="O700"/>
  <c r="I700"/>
  <c r="J700" s="1"/>
  <c r="G700"/>
  <c r="E700"/>
  <c r="F700" s="1"/>
  <c r="O699"/>
  <c r="I699"/>
  <c r="J699" s="1"/>
  <c r="G699"/>
  <c r="E699"/>
  <c r="F699" s="1"/>
  <c r="O698"/>
  <c r="I698"/>
  <c r="J698" s="1"/>
  <c r="G698"/>
  <c r="E698"/>
  <c r="F698" s="1"/>
  <c r="O697"/>
  <c r="I697"/>
  <c r="J697" s="1"/>
  <c r="G697"/>
  <c r="E697"/>
  <c r="F697" s="1"/>
  <c r="O696"/>
  <c r="I696"/>
  <c r="J696" s="1"/>
  <c r="G696"/>
  <c r="E696"/>
  <c r="F696" s="1"/>
  <c r="O695"/>
  <c r="I695"/>
  <c r="J695" s="1"/>
  <c r="G695"/>
  <c r="E695"/>
  <c r="F695" s="1"/>
  <c r="O694"/>
  <c r="I694"/>
  <c r="J694" s="1"/>
  <c r="G694"/>
  <c r="E694"/>
  <c r="F694" s="1"/>
  <c r="O693"/>
  <c r="I693"/>
  <c r="J693" s="1"/>
  <c r="G693"/>
  <c r="E693"/>
  <c r="F693" s="1"/>
  <c r="O692"/>
  <c r="I692"/>
  <c r="J692" s="1"/>
  <c r="G692"/>
  <c r="E692"/>
  <c r="F692" s="1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462"/>
  <c r="A463"/>
  <c r="A464"/>
  <c r="A465"/>
  <c r="A466"/>
  <c r="A467"/>
  <c r="A468"/>
  <c r="A469"/>
  <c r="A470"/>
  <c r="A471"/>
  <c r="A472"/>
  <c r="A473"/>
  <c r="A474"/>
  <c r="A475"/>
  <c r="A476"/>
  <c r="A477"/>
  <c r="A478"/>
  <c r="A479"/>
  <c r="A480"/>
  <c r="A481"/>
  <c r="A482"/>
  <c r="A483"/>
  <c r="A484"/>
  <c r="A485"/>
  <c r="A486"/>
  <c r="A487"/>
  <c r="A488"/>
  <c r="A489"/>
  <c r="A490"/>
  <c r="A491"/>
  <c r="A492"/>
  <c r="A493"/>
  <c r="A494"/>
  <c r="A495"/>
  <c r="A496"/>
  <c r="A497"/>
  <c r="A498"/>
  <c r="A499"/>
  <c r="A500"/>
  <c r="A501"/>
  <c r="A502"/>
  <c r="A503"/>
  <c r="A504"/>
  <c r="A505"/>
  <c r="A506"/>
  <c r="A507"/>
  <c r="A508"/>
  <c r="A509"/>
  <c r="A510"/>
  <c r="A511"/>
  <c r="A512"/>
  <c r="A513"/>
  <c r="A514"/>
  <c r="A515"/>
  <c r="A516"/>
  <c r="A517"/>
  <c r="A518"/>
  <c r="A519"/>
  <c r="A520"/>
  <c r="A521"/>
  <c r="A522"/>
  <c r="A523"/>
  <c r="A524"/>
  <c r="A525"/>
  <c r="A526"/>
  <c r="A527"/>
  <c r="A528"/>
  <c r="A529"/>
  <c r="A530"/>
  <c r="A531"/>
  <c r="A532"/>
  <c r="A533"/>
  <c r="A534"/>
  <c r="A535"/>
  <c r="A536"/>
  <c r="A537"/>
  <c r="A538"/>
  <c r="A539"/>
  <c r="A540"/>
  <c r="A541"/>
  <c r="A542"/>
  <c r="A543"/>
  <c r="A544"/>
  <c r="A545"/>
  <c r="A546"/>
  <c r="A547"/>
  <c r="A548"/>
  <c r="A549"/>
  <c r="A550"/>
  <c r="A551"/>
  <c r="A552"/>
  <c r="A553"/>
  <c r="A554"/>
  <c r="A555"/>
  <c r="A556"/>
  <c r="A557"/>
  <c r="A558"/>
  <c r="A559"/>
  <c r="A560"/>
  <c r="A561"/>
  <c r="A562"/>
  <c r="A563"/>
  <c r="A564"/>
  <c r="A565"/>
  <c r="A566"/>
  <c r="A567"/>
  <c r="A568"/>
  <c r="A569"/>
  <c r="A570"/>
  <c r="A571"/>
  <c r="A572"/>
  <c r="A573"/>
  <c r="A574"/>
  <c r="A575"/>
  <c r="A576"/>
  <c r="A577"/>
  <c r="A578"/>
  <c r="A579"/>
  <c r="A580"/>
  <c r="A581"/>
  <c r="A582"/>
  <c r="A583"/>
  <c r="A584"/>
  <c r="A585"/>
  <c r="A586"/>
  <c r="A587"/>
  <c r="A588"/>
  <c r="A589"/>
  <c r="A590"/>
  <c r="A591"/>
  <c r="A592"/>
  <c r="A593"/>
  <c r="A594"/>
  <c r="A595"/>
  <c r="A596"/>
  <c r="A597"/>
  <c r="A598"/>
  <c r="A599"/>
  <c r="A600"/>
  <c r="A601"/>
  <c r="A602"/>
  <c r="A603"/>
  <c r="A604"/>
  <c r="A605"/>
  <c r="A606"/>
  <c r="A607"/>
  <c r="A608"/>
  <c r="A609"/>
  <c r="A610"/>
  <c r="A611"/>
  <c r="A612"/>
  <c r="A613"/>
  <c r="A614"/>
  <c r="A615"/>
  <c r="A616"/>
  <c r="A617"/>
  <c r="A618"/>
  <c r="A619"/>
  <c r="A620"/>
  <c r="A621"/>
  <c r="A622"/>
  <c r="A623"/>
  <c r="A624"/>
  <c r="A625"/>
  <c r="A626"/>
  <c r="A627"/>
  <c r="A628"/>
  <c r="A629"/>
  <c r="A630"/>
  <c r="A631"/>
  <c r="A632"/>
  <c r="A633"/>
  <c r="A634"/>
  <c r="A635"/>
  <c r="A636"/>
  <c r="A637"/>
  <c r="A638"/>
  <c r="A639"/>
  <c r="A640"/>
  <c r="A641"/>
  <c r="A642"/>
  <c r="A643"/>
  <c r="A644"/>
  <c r="A645"/>
  <c r="A646"/>
  <c r="A647"/>
  <c r="A648"/>
  <c r="A649"/>
  <c r="A650"/>
  <c r="A651"/>
  <c r="A652"/>
  <c r="A653"/>
  <c r="A654"/>
  <c r="A655"/>
  <c r="A656"/>
  <c r="A657"/>
  <c r="A658"/>
  <c r="A659"/>
  <c r="A660"/>
  <c r="A661"/>
  <c r="A662"/>
  <c r="A663"/>
  <c r="A664"/>
  <c r="A665"/>
  <c r="A666"/>
  <c r="A667"/>
  <c r="A668"/>
  <c r="A669"/>
  <c r="A670"/>
  <c r="A671"/>
  <c r="A672"/>
  <c r="A673"/>
  <c r="A674"/>
  <c r="A675"/>
  <c r="A676"/>
  <c r="A677"/>
  <c r="A678"/>
  <c r="A679"/>
  <c r="A680"/>
  <c r="A681"/>
  <c r="A682"/>
  <c r="A683"/>
  <c r="A684"/>
  <c r="A685"/>
  <c r="A686"/>
  <c r="A687"/>
  <c r="A688"/>
  <c r="A689"/>
  <c r="A690"/>
  <c r="A691"/>
  <c r="B597"/>
  <c r="K597"/>
  <c r="M597"/>
  <c r="N597"/>
  <c r="L597" s="1"/>
  <c r="P597"/>
  <c r="B598"/>
  <c r="K598"/>
  <c r="M598"/>
  <c r="N598"/>
  <c r="L598" s="1"/>
  <c r="P598"/>
  <c r="B599"/>
  <c r="K599"/>
  <c r="M599"/>
  <c r="N599"/>
  <c r="L599" s="1"/>
  <c r="P599"/>
  <c r="B600"/>
  <c r="K600"/>
  <c r="M600"/>
  <c r="N600"/>
  <c r="L600" s="1"/>
  <c r="P600"/>
  <c r="B601"/>
  <c r="K601"/>
  <c r="M601"/>
  <c r="N601"/>
  <c r="L601" s="1"/>
  <c r="P601"/>
  <c r="B602"/>
  <c r="K602"/>
  <c r="M602"/>
  <c r="N602"/>
  <c r="L602" s="1"/>
  <c r="P602"/>
  <c r="B603"/>
  <c r="K603"/>
  <c r="M603"/>
  <c r="N603"/>
  <c r="L603" s="1"/>
  <c r="P603"/>
  <c r="B604"/>
  <c r="K604"/>
  <c r="M604"/>
  <c r="N604"/>
  <c r="L604" s="1"/>
  <c r="P604"/>
  <c r="B605"/>
  <c r="K605"/>
  <c r="M605"/>
  <c r="N605"/>
  <c r="L605" s="1"/>
  <c r="P605"/>
  <c r="B606"/>
  <c r="K606"/>
  <c r="M606"/>
  <c r="N606"/>
  <c r="L606" s="1"/>
  <c r="P606"/>
  <c r="B607"/>
  <c r="K607"/>
  <c r="M607"/>
  <c r="N607"/>
  <c r="L607" s="1"/>
  <c r="P607"/>
  <c r="B608"/>
  <c r="K608"/>
  <c r="M608"/>
  <c r="N608"/>
  <c r="L608" s="1"/>
  <c r="P608"/>
  <c r="B609"/>
  <c r="K609"/>
  <c r="M609"/>
  <c r="N609"/>
  <c r="L609" s="1"/>
  <c r="P609"/>
  <c r="B610"/>
  <c r="K610"/>
  <c r="M610"/>
  <c r="N610"/>
  <c r="L610" s="1"/>
  <c r="P610"/>
  <c r="B611"/>
  <c r="K611"/>
  <c r="M611"/>
  <c r="N611"/>
  <c r="L611" s="1"/>
  <c r="P611"/>
  <c r="B612"/>
  <c r="C612" s="1"/>
  <c r="K612"/>
  <c r="M612"/>
  <c r="N612"/>
  <c r="L612" s="1"/>
  <c r="P612"/>
  <c r="B613"/>
  <c r="K613"/>
  <c r="M613"/>
  <c r="N613"/>
  <c r="O613" s="1"/>
  <c r="P613"/>
  <c r="B614"/>
  <c r="K614"/>
  <c r="M614"/>
  <c r="N614"/>
  <c r="P614"/>
  <c r="B615"/>
  <c r="K615"/>
  <c r="M615"/>
  <c r="N615"/>
  <c r="O615" s="1"/>
  <c r="P615"/>
  <c r="B616"/>
  <c r="K616"/>
  <c r="M616"/>
  <c r="N616"/>
  <c r="P616"/>
  <c r="B617"/>
  <c r="K617"/>
  <c r="M617"/>
  <c r="N617"/>
  <c r="O617" s="1"/>
  <c r="P617"/>
  <c r="B618"/>
  <c r="K618"/>
  <c r="M618"/>
  <c r="N618"/>
  <c r="P618"/>
  <c r="B619"/>
  <c r="K619"/>
  <c r="M619"/>
  <c r="N619"/>
  <c r="O619" s="1"/>
  <c r="P619"/>
  <c r="B620"/>
  <c r="K620"/>
  <c r="M620"/>
  <c r="N620"/>
  <c r="P620"/>
  <c r="B621"/>
  <c r="K621"/>
  <c r="M621"/>
  <c r="N621"/>
  <c r="O621" s="1"/>
  <c r="P621"/>
  <c r="B622"/>
  <c r="K622"/>
  <c r="M622"/>
  <c r="N622"/>
  <c r="P622"/>
  <c r="B623"/>
  <c r="K623"/>
  <c r="M623"/>
  <c r="N623"/>
  <c r="O623" s="1"/>
  <c r="P623"/>
  <c r="B624"/>
  <c r="K624"/>
  <c r="M624"/>
  <c r="N624"/>
  <c r="P624"/>
  <c r="B625"/>
  <c r="K625"/>
  <c r="M625"/>
  <c r="N625"/>
  <c r="O625" s="1"/>
  <c r="P625"/>
  <c r="B626"/>
  <c r="K626"/>
  <c r="M626"/>
  <c r="N626"/>
  <c r="P626"/>
  <c r="B627"/>
  <c r="K627"/>
  <c r="M627"/>
  <c r="N627"/>
  <c r="O627" s="1"/>
  <c r="P627"/>
  <c r="B628"/>
  <c r="K628"/>
  <c r="M628"/>
  <c r="N628"/>
  <c r="P628"/>
  <c r="B629"/>
  <c r="K629"/>
  <c r="M629"/>
  <c r="N629"/>
  <c r="O629" s="1"/>
  <c r="P629"/>
  <c r="B630"/>
  <c r="K630"/>
  <c r="M630"/>
  <c r="N630"/>
  <c r="P630"/>
  <c r="B631"/>
  <c r="K631"/>
  <c r="M631"/>
  <c r="N631"/>
  <c r="O631" s="1"/>
  <c r="P631"/>
  <c r="B632"/>
  <c r="K632"/>
  <c r="M632"/>
  <c r="N632"/>
  <c r="P632"/>
  <c r="B633"/>
  <c r="K633"/>
  <c r="M633"/>
  <c r="N633"/>
  <c r="O633" s="1"/>
  <c r="P633"/>
  <c r="B634"/>
  <c r="K634"/>
  <c r="M634"/>
  <c r="N634"/>
  <c r="P634"/>
  <c r="B635"/>
  <c r="K635"/>
  <c r="M635"/>
  <c r="N635"/>
  <c r="O635" s="1"/>
  <c r="P635"/>
  <c r="B636"/>
  <c r="K636"/>
  <c r="M636"/>
  <c r="N636"/>
  <c r="P636"/>
  <c r="B637"/>
  <c r="K637"/>
  <c r="M637"/>
  <c r="N637"/>
  <c r="O637" s="1"/>
  <c r="P637"/>
  <c r="B638"/>
  <c r="K638"/>
  <c r="M638"/>
  <c r="N638"/>
  <c r="P638"/>
  <c r="B639"/>
  <c r="K639"/>
  <c r="M639"/>
  <c r="N639"/>
  <c r="O639" s="1"/>
  <c r="P639"/>
  <c r="B640"/>
  <c r="K640"/>
  <c r="M640"/>
  <c r="N640"/>
  <c r="P640"/>
  <c r="B641"/>
  <c r="K641"/>
  <c r="M641"/>
  <c r="N641"/>
  <c r="O641" s="1"/>
  <c r="P641"/>
  <c r="B642"/>
  <c r="K642"/>
  <c r="M642"/>
  <c r="N642"/>
  <c r="P642"/>
  <c r="B643"/>
  <c r="K643"/>
  <c r="M643"/>
  <c r="N643"/>
  <c r="O643" s="1"/>
  <c r="P643"/>
  <c r="B644"/>
  <c r="K644"/>
  <c r="M644"/>
  <c r="N644"/>
  <c r="P644"/>
  <c r="B645"/>
  <c r="K645"/>
  <c r="M645"/>
  <c r="N645"/>
  <c r="O645" s="1"/>
  <c r="P645"/>
  <c r="B646"/>
  <c r="K646"/>
  <c r="M646"/>
  <c r="N646"/>
  <c r="P646"/>
  <c r="B647"/>
  <c r="K647"/>
  <c r="M647"/>
  <c r="N647"/>
  <c r="O647" s="1"/>
  <c r="P647"/>
  <c r="B648"/>
  <c r="G648" s="1"/>
  <c r="K648"/>
  <c r="M648"/>
  <c r="N648"/>
  <c r="L648" s="1"/>
  <c r="P648"/>
  <c r="B649"/>
  <c r="K649"/>
  <c r="M649"/>
  <c r="N649"/>
  <c r="L649" s="1"/>
  <c r="P649"/>
  <c r="B650"/>
  <c r="K650"/>
  <c r="M650"/>
  <c r="N650"/>
  <c r="L650" s="1"/>
  <c r="P650"/>
  <c r="B651"/>
  <c r="K651"/>
  <c r="M651"/>
  <c r="N651"/>
  <c r="L651" s="1"/>
  <c r="P651"/>
  <c r="B652"/>
  <c r="K652"/>
  <c r="M652"/>
  <c r="N652"/>
  <c r="L652" s="1"/>
  <c r="P652"/>
  <c r="B653"/>
  <c r="K653"/>
  <c r="M653"/>
  <c r="N653"/>
  <c r="L653" s="1"/>
  <c r="P653"/>
  <c r="B654"/>
  <c r="K654"/>
  <c r="M654"/>
  <c r="N654"/>
  <c r="L654" s="1"/>
  <c r="P654"/>
  <c r="B655"/>
  <c r="K655"/>
  <c r="M655"/>
  <c r="N655"/>
  <c r="L655" s="1"/>
  <c r="P655"/>
  <c r="B656"/>
  <c r="K656"/>
  <c r="M656"/>
  <c r="N656"/>
  <c r="L656" s="1"/>
  <c r="P656"/>
  <c r="B657"/>
  <c r="K657"/>
  <c r="M657"/>
  <c r="N657"/>
  <c r="L657" s="1"/>
  <c r="P657"/>
  <c r="B658"/>
  <c r="K658"/>
  <c r="M658"/>
  <c r="N658"/>
  <c r="L658" s="1"/>
  <c r="P658"/>
  <c r="B659"/>
  <c r="K659"/>
  <c r="M659"/>
  <c r="N659"/>
  <c r="L659" s="1"/>
  <c r="P659"/>
  <c r="B660"/>
  <c r="K660"/>
  <c r="M660"/>
  <c r="N660"/>
  <c r="L660" s="1"/>
  <c r="P660"/>
  <c r="B661"/>
  <c r="K661"/>
  <c r="M661"/>
  <c r="N661"/>
  <c r="L661" s="1"/>
  <c r="P661"/>
  <c r="B662"/>
  <c r="K662"/>
  <c r="M662"/>
  <c r="N662"/>
  <c r="L662" s="1"/>
  <c r="P662"/>
  <c r="B663"/>
  <c r="K663"/>
  <c r="M663"/>
  <c r="N663"/>
  <c r="L663" s="1"/>
  <c r="P663"/>
  <c r="B664"/>
  <c r="K664"/>
  <c r="M664"/>
  <c r="N664"/>
  <c r="L664" s="1"/>
  <c r="P664"/>
  <c r="B665"/>
  <c r="K665"/>
  <c r="M665"/>
  <c r="N665"/>
  <c r="L665" s="1"/>
  <c r="P665"/>
  <c r="B666"/>
  <c r="K666"/>
  <c r="M666"/>
  <c r="N666"/>
  <c r="L666" s="1"/>
  <c r="P666"/>
  <c r="B667"/>
  <c r="K667"/>
  <c r="M667"/>
  <c r="N667"/>
  <c r="L667" s="1"/>
  <c r="P667"/>
  <c r="B668"/>
  <c r="K668"/>
  <c r="M668"/>
  <c r="N668"/>
  <c r="L668" s="1"/>
  <c r="P668"/>
  <c r="B669"/>
  <c r="K669"/>
  <c r="M669"/>
  <c r="N669"/>
  <c r="L669" s="1"/>
  <c r="P669"/>
  <c r="B670"/>
  <c r="K670"/>
  <c r="M670"/>
  <c r="N670"/>
  <c r="L670" s="1"/>
  <c r="P670"/>
  <c r="B671"/>
  <c r="K671"/>
  <c r="M671"/>
  <c r="N671"/>
  <c r="L671" s="1"/>
  <c r="P671"/>
  <c r="B672"/>
  <c r="K672"/>
  <c r="M672"/>
  <c r="N672"/>
  <c r="L672" s="1"/>
  <c r="P672"/>
  <c r="B673"/>
  <c r="K673"/>
  <c r="M673"/>
  <c r="N673"/>
  <c r="L673" s="1"/>
  <c r="P673"/>
  <c r="B674"/>
  <c r="K674"/>
  <c r="M674"/>
  <c r="N674"/>
  <c r="L674" s="1"/>
  <c r="P674"/>
  <c r="B675"/>
  <c r="K675"/>
  <c r="M675"/>
  <c r="N675"/>
  <c r="L675" s="1"/>
  <c r="P675"/>
  <c r="B676"/>
  <c r="K676"/>
  <c r="M676"/>
  <c r="N676"/>
  <c r="L676" s="1"/>
  <c r="P676"/>
  <c r="B677"/>
  <c r="K677"/>
  <c r="M677"/>
  <c r="N677"/>
  <c r="L677" s="1"/>
  <c r="P677"/>
  <c r="B678"/>
  <c r="K678"/>
  <c r="M678"/>
  <c r="N678"/>
  <c r="P678"/>
  <c r="B679"/>
  <c r="K679"/>
  <c r="M679"/>
  <c r="N679"/>
  <c r="P679"/>
  <c r="B680"/>
  <c r="K680"/>
  <c r="M680"/>
  <c r="N680"/>
  <c r="P680"/>
  <c r="B681"/>
  <c r="K681"/>
  <c r="M681"/>
  <c r="N681"/>
  <c r="P681"/>
  <c r="B682"/>
  <c r="K682"/>
  <c r="M682"/>
  <c r="N682"/>
  <c r="P682"/>
  <c r="B683"/>
  <c r="K683"/>
  <c r="M683"/>
  <c r="N683"/>
  <c r="P683"/>
  <c r="B684"/>
  <c r="K684"/>
  <c r="M684"/>
  <c r="N684"/>
  <c r="P684"/>
  <c r="B685"/>
  <c r="K685"/>
  <c r="M685"/>
  <c r="N685"/>
  <c r="P685"/>
  <c r="B686"/>
  <c r="K686"/>
  <c r="M686"/>
  <c r="N686"/>
  <c r="P686"/>
  <c r="B687"/>
  <c r="K687"/>
  <c r="M687"/>
  <c r="N687"/>
  <c r="P687"/>
  <c r="B688"/>
  <c r="K688"/>
  <c r="M688"/>
  <c r="N688"/>
  <c r="P688"/>
  <c r="B689"/>
  <c r="K689"/>
  <c r="M689"/>
  <c r="N689"/>
  <c r="P689"/>
  <c r="B690"/>
  <c r="K690"/>
  <c r="M690"/>
  <c r="N690"/>
  <c r="P690"/>
  <c r="B691"/>
  <c r="K691"/>
  <c r="M691"/>
  <c r="N691"/>
  <c r="P691"/>
  <c r="M3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502"/>
  <c r="M503"/>
  <c r="M504"/>
  <c r="M505"/>
  <c r="M506"/>
  <c r="M507"/>
  <c r="M508"/>
  <c r="M509"/>
  <c r="M510"/>
  <c r="M511"/>
  <c r="M512"/>
  <c r="M513"/>
  <c r="M514"/>
  <c r="M515"/>
  <c r="M516"/>
  <c r="M517"/>
  <c r="M518"/>
  <c r="M519"/>
  <c r="M520"/>
  <c r="M521"/>
  <c r="M522"/>
  <c r="M523"/>
  <c r="M524"/>
  <c r="M525"/>
  <c r="M526"/>
  <c r="M527"/>
  <c r="M528"/>
  <c r="M529"/>
  <c r="M530"/>
  <c r="M531"/>
  <c r="M532"/>
  <c r="M533"/>
  <c r="M534"/>
  <c r="M535"/>
  <c r="M536"/>
  <c r="M537"/>
  <c r="M538"/>
  <c r="M539"/>
  <c r="M540"/>
  <c r="M541"/>
  <c r="M542"/>
  <c r="M543"/>
  <c r="M544"/>
  <c r="M545"/>
  <c r="M546"/>
  <c r="M547"/>
  <c r="M548"/>
  <c r="M549"/>
  <c r="M550"/>
  <c r="M551"/>
  <c r="M552"/>
  <c r="M553"/>
  <c r="M554"/>
  <c r="M555"/>
  <c r="M556"/>
  <c r="M557"/>
  <c r="M558"/>
  <c r="M559"/>
  <c r="M560"/>
  <c r="M561"/>
  <c r="M562"/>
  <c r="M563"/>
  <c r="M564"/>
  <c r="M565"/>
  <c r="M566"/>
  <c r="M567"/>
  <c r="M568"/>
  <c r="M569"/>
  <c r="M570"/>
  <c r="M571"/>
  <c r="M572"/>
  <c r="M573"/>
  <c r="M574"/>
  <c r="M575"/>
  <c r="M576"/>
  <c r="M577"/>
  <c r="M578"/>
  <c r="M579"/>
  <c r="M580"/>
  <c r="M581"/>
  <c r="M582"/>
  <c r="M583"/>
  <c r="M584"/>
  <c r="M585"/>
  <c r="M586"/>
  <c r="M587"/>
  <c r="M588"/>
  <c r="M589"/>
  <c r="M590"/>
  <c r="M591"/>
  <c r="M592"/>
  <c r="M593"/>
  <c r="M594"/>
  <c r="M595"/>
  <c r="M596"/>
  <c r="M2"/>
  <c r="B562"/>
  <c r="K562"/>
  <c r="N562"/>
  <c r="L562" s="1"/>
  <c r="P562"/>
  <c r="B563"/>
  <c r="K563"/>
  <c r="N563"/>
  <c r="L563" s="1"/>
  <c r="P563"/>
  <c r="K564"/>
  <c r="N564"/>
  <c r="L564" s="1"/>
  <c r="P564"/>
  <c r="C564" s="1"/>
  <c r="K565"/>
  <c r="N565"/>
  <c r="L565" s="1"/>
  <c r="P565"/>
  <c r="K566"/>
  <c r="N566"/>
  <c r="L566" s="1"/>
  <c r="P566"/>
  <c r="C566" s="1"/>
  <c r="K567"/>
  <c r="N567"/>
  <c r="L567" s="1"/>
  <c r="P567"/>
  <c r="C567" s="1"/>
  <c r="K568"/>
  <c r="N568"/>
  <c r="O568" s="1"/>
  <c r="P568"/>
  <c r="C568" s="1"/>
  <c r="K569"/>
  <c r="N569"/>
  <c r="L569" s="1"/>
  <c r="P569"/>
  <c r="C569" s="1"/>
  <c r="K570"/>
  <c r="N570"/>
  <c r="O570" s="1"/>
  <c r="P570"/>
  <c r="C570" s="1"/>
  <c r="K571"/>
  <c r="N571"/>
  <c r="L571" s="1"/>
  <c r="P571"/>
  <c r="C571" s="1"/>
  <c r="K572"/>
  <c r="N572"/>
  <c r="O572" s="1"/>
  <c r="P572"/>
  <c r="C572" s="1"/>
  <c r="K573"/>
  <c r="N573"/>
  <c r="L573" s="1"/>
  <c r="P573"/>
  <c r="C573" s="1"/>
  <c r="K574"/>
  <c r="N574"/>
  <c r="O574" s="1"/>
  <c r="P574"/>
  <c r="C574" s="1"/>
  <c r="K575"/>
  <c r="N575"/>
  <c r="L575" s="1"/>
  <c r="P575"/>
  <c r="C575" s="1"/>
  <c r="K576"/>
  <c r="N576"/>
  <c r="O576" s="1"/>
  <c r="P576"/>
  <c r="C576" s="1"/>
  <c r="K577"/>
  <c r="N577"/>
  <c r="L577" s="1"/>
  <c r="P577"/>
  <c r="C577" s="1"/>
  <c r="K578"/>
  <c r="N578"/>
  <c r="O578" s="1"/>
  <c r="P578"/>
  <c r="C578" s="1"/>
  <c r="K579"/>
  <c r="N579"/>
  <c r="L579" s="1"/>
  <c r="P579"/>
  <c r="C579" s="1"/>
  <c r="B580"/>
  <c r="K580"/>
  <c r="N580"/>
  <c r="O580" s="1"/>
  <c r="P580"/>
  <c r="B581"/>
  <c r="K581"/>
  <c r="N581"/>
  <c r="L581" s="1"/>
  <c r="P581"/>
  <c r="B582"/>
  <c r="K582"/>
  <c r="N582"/>
  <c r="O582" s="1"/>
  <c r="P582"/>
  <c r="B583"/>
  <c r="K583"/>
  <c r="N583"/>
  <c r="L583" s="1"/>
  <c r="P583"/>
  <c r="B584"/>
  <c r="K584"/>
  <c r="N584"/>
  <c r="O584" s="1"/>
  <c r="P584"/>
  <c r="B585"/>
  <c r="K585"/>
  <c r="N585"/>
  <c r="L585" s="1"/>
  <c r="P585"/>
  <c r="B586"/>
  <c r="K586"/>
  <c r="N586"/>
  <c r="O586" s="1"/>
  <c r="P586"/>
  <c r="B587"/>
  <c r="K587"/>
  <c r="N587"/>
  <c r="L587" s="1"/>
  <c r="P587"/>
  <c r="B588"/>
  <c r="C588" s="1"/>
  <c r="K588"/>
  <c r="N588"/>
  <c r="O588" s="1"/>
  <c r="P588"/>
  <c r="B589"/>
  <c r="K589"/>
  <c r="N589"/>
  <c r="L589" s="1"/>
  <c r="P589"/>
  <c r="B590"/>
  <c r="C590" s="1"/>
  <c r="K590"/>
  <c r="N590"/>
  <c r="O590" s="1"/>
  <c r="P590"/>
  <c r="B591"/>
  <c r="K591"/>
  <c r="N591"/>
  <c r="L591" s="1"/>
  <c r="P591"/>
  <c r="B592"/>
  <c r="C592" s="1"/>
  <c r="K592"/>
  <c r="N592"/>
  <c r="O592" s="1"/>
  <c r="P592"/>
  <c r="B593"/>
  <c r="K593"/>
  <c r="N593"/>
  <c r="L593" s="1"/>
  <c r="P593"/>
  <c r="B594"/>
  <c r="C594" s="1"/>
  <c r="K594"/>
  <c r="N594"/>
  <c r="O594" s="1"/>
  <c r="P594"/>
  <c r="B595"/>
  <c r="C595" s="1"/>
  <c r="K595"/>
  <c r="N595"/>
  <c r="L595" s="1"/>
  <c r="P595"/>
  <c r="B596"/>
  <c r="C596" s="1"/>
  <c r="K596"/>
  <c r="N596"/>
  <c r="O596" s="1"/>
  <c r="P596"/>
  <c r="P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166"/>
  <c r="P167"/>
  <c r="P168"/>
  <c r="P169"/>
  <c r="P170"/>
  <c r="P171"/>
  <c r="P172"/>
  <c r="P173"/>
  <c r="P174"/>
  <c r="P175"/>
  <c r="P176"/>
  <c r="P177"/>
  <c r="P178"/>
  <c r="P179"/>
  <c r="P180"/>
  <c r="P181"/>
  <c r="P182"/>
  <c r="P183"/>
  <c r="P184"/>
  <c r="P185"/>
  <c r="P186"/>
  <c r="P187"/>
  <c r="P188"/>
  <c r="P189"/>
  <c r="P190"/>
  <c r="P191"/>
  <c r="P192"/>
  <c r="P193"/>
  <c r="P194"/>
  <c r="P195"/>
  <c r="P196"/>
  <c r="P197"/>
  <c r="P198"/>
  <c r="P199"/>
  <c r="P200"/>
  <c r="P201"/>
  <c r="P202"/>
  <c r="P203"/>
  <c r="P204"/>
  <c r="P205"/>
  <c r="P206"/>
  <c r="P207"/>
  <c r="P208"/>
  <c r="P209"/>
  <c r="P210"/>
  <c r="P211"/>
  <c r="P212"/>
  <c r="P213"/>
  <c r="P214"/>
  <c r="P215"/>
  <c r="P216"/>
  <c r="P217"/>
  <c r="P218"/>
  <c r="P219"/>
  <c r="P220"/>
  <c r="P221"/>
  <c r="P222"/>
  <c r="P223"/>
  <c r="P224"/>
  <c r="P225"/>
  <c r="P226"/>
  <c r="P227"/>
  <c r="P228"/>
  <c r="P229"/>
  <c r="P230"/>
  <c r="P231"/>
  <c r="P232"/>
  <c r="P233"/>
  <c r="P234"/>
  <c r="P235"/>
  <c r="P236"/>
  <c r="P237"/>
  <c r="P238"/>
  <c r="P239"/>
  <c r="P240"/>
  <c r="P241"/>
  <c r="P242"/>
  <c r="P243"/>
  <c r="P244"/>
  <c r="P245"/>
  <c r="P246"/>
  <c r="P247"/>
  <c r="P248"/>
  <c r="P249"/>
  <c r="P250"/>
  <c r="P251"/>
  <c r="P252"/>
  <c r="P253"/>
  <c r="P254"/>
  <c r="P255"/>
  <c r="P256"/>
  <c r="P257"/>
  <c r="P258"/>
  <c r="P259"/>
  <c r="P260"/>
  <c r="P261"/>
  <c r="P262"/>
  <c r="P263"/>
  <c r="P264"/>
  <c r="P265"/>
  <c r="P266"/>
  <c r="P267"/>
  <c r="P268"/>
  <c r="P269"/>
  <c r="P270"/>
  <c r="P271"/>
  <c r="P272"/>
  <c r="P273"/>
  <c r="P274"/>
  <c r="P275"/>
  <c r="P276"/>
  <c r="P277"/>
  <c r="P278"/>
  <c r="P279"/>
  <c r="P280"/>
  <c r="P281"/>
  <c r="P282"/>
  <c r="P283"/>
  <c r="P284"/>
  <c r="P285"/>
  <c r="P286"/>
  <c r="P287"/>
  <c r="P288"/>
  <c r="P289"/>
  <c r="P290"/>
  <c r="P291"/>
  <c r="P292"/>
  <c r="P293"/>
  <c r="P294"/>
  <c r="P295"/>
  <c r="P296"/>
  <c r="P297"/>
  <c r="P298"/>
  <c r="P299"/>
  <c r="P300"/>
  <c r="P301"/>
  <c r="P302"/>
  <c r="P303"/>
  <c r="P304"/>
  <c r="P305"/>
  <c r="P306"/>
  <c r="P307"/>
  <c r="P308"/>
  <c r="P309"/>
  <c r="P310"/>
  <c r="P311"/>
  <c r="P312"/>
  <c r="P313"/>
  <c r="P314"/>
  <c r="P315"/>
  <c r="P316"/>
  <c r="P317"/>
  <c r="P318"/>
  <c r="P319"/>
  <c r="P320"/>
  <c r="P321"/>
  <c r="P322"/>
  <c r="P323"/>
  <c r="P324"/>
  <c r="P325"/>
  <c r="P326"/>
  <c r="P327"/>
  <c r="P328"/>
  <c r="P329"/>
  <c r="P330"/>
  <c r="P331"/>
  <c r="P332"/>
  <c r="P333"/>
  <c r="P334"/>
  <c r="P335"/>
  <c r="P336"/>
  <c r="P337"/>
  <c r="P338"/>
  <c r="P339"/>
  <c r="P340"/>
  <c r="P341"/>
  <c r="P342"/>
  <c r="P343"/>
  <c r="P344"/>
  <c r="P345"/>
  <c r="P346"/>
  <c r="P347"/>
  <c r="P348"/>
  <c r="P349"/>
  <c r="P350"/>
  <c r="P351"/>
  <c r="P352"/>
  <c r="P353"/>
  <c r="P354"/>
  <c r="P355"/>
  <c r="P356"/>
  <c r="P357"/>
  <c r="P358"/>
  <c r="P359"/>
  <c r="P360"/>
  <c r="P361"/>
  <c r="P362"/>
  <c r="P363"/>
  <c r="P364"/>
  <c r="P365"/>
  <c r="P366"/>
  <c r="P367"/>
  <c r="P368"/>
  <c r="P369"/>
  <c r="P370"/>
  <c r="P371"/>
  <c r="P372"/>
  <c r="P373"/>
  <c r="P374"/>
  <c r="P375"/>
  <c r="P376"/>
  <c r="P377"/>
  <c r="P378"/>
  <c r="P379"/>
  <c r="P380"/>
  <c r="P381"/>
  <c r="P382"/>
  <c r="P383"/>
  <c r="P384"/>
  <c r="P385"/>
  <c r="P386"/>
  <c r="P387"/>
  <c r="P388"/>
  <c r="P389"/>
  <c r="P390"/>
  <c r="P391"/>
  <c r="P392"/>
  <c r="P393"/>
  <c r="P394"/>
  <c r="P395"/>
  <c r="P396"/>
  <c r="P397"/>
  <c r="P398"/>
  <c r="P399"/>
  <c r="P400"/>
  <c r="P401"/>
  <c r="P402"/>
  <c r="P403"/>
  <c r="P404"/>
  <c r="P405"/>
  <c r="P406"/>
  <c r="P407"/>
  <c r="P408"/>
  <c r="P409"/>
  <c r="P410"/>
  <c r="P411"/>
  <c r="P412"/>
  <c r="P413"/>
  <c r="P414"/>
  <c r="P415"/>
  <c r="P416"/>
  <c r="P417"/>
  <c r="P418"/>
  <c r="P419"/>
  <c r="P420"/>
  <c r="P421"/>
  <c r="P422"/>
  <c r="P423"/>
  <c r="P424"/>
  <c r="P425"/>
  <c r="P426"/>
  <c r="P427"/>
  <c r="P428"/>
  <c r="P429"/>
  <c r="P430"/>
  <c r="P431"/>
  <c r="P432"/>
  <c r="P433"/>
  <c r="P434"/>
  <c r="P435"/>
  <c r="P436"/>
  <c r="P437"/>
  <c r="P438"/>
  <c r="P439"/>
  <c r="P440"/>
  <c r="P441"/>
  <c r="P442"/>
  <c r="P443"/>
  <c r="P444"/>
  <c r="P445"/>
  <c r="P446"/>
  <c r="P447"/>
  <c r="P448"/>
  <c r="P449"/>
  <c r="P450"/>
  <c r="P451"/>
  <c r="P452"/>
  <c r="P453"/>
  <c r="P454"/>
  <c r="P455"/>
  <c r="P456"/>
  <c r="P457"/>
  <c r="P458"/>
  <c r="P459"/>
  <c r="P460"/>
  <c r="P461"/>
  <c r="P462"/>
  <c r="P463"/>
  <c r="P464"/>
  <c r="P465"/>
  <c r="P466"/>
  <c r="P467"/>
  <c r="P468"/>
  <c r="P469"/>
  <c r="P470"/>
  <c r="P471"/>
  <c r="P472"/>
  <c r="P473"/>
  <c r="P474"/>
  <c r="P475"/>
  <c r="P476"/>
  <c r="P477"/>
  <c r="P478"/>
  <c r="P479"/>
  <c r="P480"/>
  <c r="P481"/>
  <c r="P482"/>
  <c r="P483"/>
  <c r="P484"/>
  <c r="P485"/>
  <c r="P486"/>
  <c r="P487"/>
  <c r="P488"/>
  <c r="P489"/>
  <c r="P490"/>
  <c r="P491"/>
  <c r="P492"/>
  <c r="P493"/>
  <c r="P494"/>
  <c r="P495"/>
  <c r="P496"/>
  <c r="P497"/>
  <c r="P498"/>
  <c r="P499"/>
  <c r="P500"/>
  <c r="P501"/>
  <c r="P502"/>
  <c r="P503"/>
  <c r="P504"/>
  <c r="P505"/>
  <c r="P506"/>
  <c r="P507"/>
  <c r="P508"/>
  <c r="P509"/>
  <c r="P510"/>
  <c r="P511"/>
  <c r="P512"/>
  <c r="P513"/>
  <c r="P514"/>
  <c r="P515"/>
  <c r="P516"/>
  <c r="P517"/>
  <c r="P518"/>
  <c r="P519"/>
  <c r="P520"/>
  <c r="P521"/>
  <c r="P522"/>
  <c r="P523"/>
  <c r="P524"/>
  <c r="P525"/>
  <c r="P526"/>
  <c r="P527"/>
  <c r="P528"/>
  <c r="P529"/>
  <c r="P530"/>
  <c r="P531"/>
  <c r="P532"/>
  <c r="P533"/>
  <c r="P534"/>
  <c r="P535"/>
  <c r="P536"/>
  <c r="P537"/>
  <c r="P538"/>
  <c r="P539"/>
  <c r="P540"/>
  <c r="P541"/>
  <c r="P542"/>
  <c r="P543"/>
  <c r="P544"/>
  <c r="P545"/>
  <c r="P546"/>
  <c r="P547"/>
  <c r="P548"/>
  <c r="P549"/>
  <c r="P550"/>
  <c r="P551"/>
  <c r="P552"/>
  <c r="P553"/>
  <c r="P554"/>
  <c r="P555"/>
  <c r="P556"/>
  <c r="P557"/>
  <c r="P558"/>
  <c r="P559"/>
  <c r="P560"/>
  <c r="P561"/>
  <c r="P2"/>
  <c r="F1" i="1"/>
  <c r="G1"/>
  <c r="I1"/>
  <c r="J1"/>
  <c r="H1"/>
  <c r="C586" i="2" l="1"/>
  <c r="C584"/>
  <c r="C582"/>
  <c r="C581"/>
  <c r="C580"/>
  <c r="C562"/>
  <c r="O690"/>
  <c r="O688"/>
  <c r="O686"/>
  <c r="O684"/>
  <c r="O682"/>
  <c r="O680"/>
  <c r="O678"/>
  <c r="C677"/>
  <c r="C675"/>
  <c r="C673"/>
  <c r="C671"/>
  <c r="C669"/>
  <c r="C667"/>
  <c r="C665"/>
  <c r="C663"/>
  <c r="C661"/>
  <c r="C659"/>
  <c r="C657"/>
  <c r="C655"/>
  <c r="C653"/>
  <c r="C651"/>
  <c r="C648"/>
  <c r="C610"/>
  <c r="C608"/>
  <c r="C606"/>
  <c r="C604"/>
  <c r="C602"/>
  <c r="C600"/>
  <c r="C598"/>
  <c r="O691"/>
  <c r="O689"/>
  <c r="O687"/>
  <c r="O685"/>
  <c r="O683"/>
  <c r="O681"/>
  <c r="O679"/>
  <c r="C678"/>
  <c r="C676"/>
  <c r="C674"/>
  <c r="C672"/>
  <c r="C670"/>
  <c r="C668"/>
  <c r="C666"/>
  <c r="C664"/>
  <c r="C662"/>
  <c r="C660"/>
  <c r="C658"/>
  <c r="C656"/>
  <c r="C654"/>
  <c r="C652"/>
  <c r="C650"/>
  <c r="O649"/>
  <c r="C649"/>
  <c r="O648"/>
  <c r="I648"/>
  <c r="J648" s="1"/>
  <c r="E648"/>
  <c r="F648" s="1"/>
  <c r="O646"/>
  <c r="O644"/>
  <c r="O642"/>
  <c r="O640"/>
  <c r="O638"/>
  <c r="O636"/>
  <c r="O634"/>
  <c r="O632"/>
  <c r="O630"/>
  <c r="O628"/>
  <c r="O626"/>
  <c r="O624"/>
  <c r="O622"/>
  <c r="O620"/>
  <c r="O618"/>
  <c r="O616"/>
  <c r="O614"/>
  <c r="C613"/>
  <c r="C611"/>
  <c r="C609"/>
  <c r="C607"/>
  <c r="C605"/>
  <c r="C603"/>
  <c r="C601"/>
  <c r="C599"/>
  <c r="C597"/>
  <c r="C690"/>
  <c r="E690"/>
  <c r="F690" s="1"/>
  <c r="G690"/>
  <c r="I690"/>
  <c r="J690" s="1"/>
  <c r="C688"/>
  <c r="E688"/>
  <c r="F688" s="1"/>
  <c r="G688"/>
  <c r="I688"/>
  <c r="J688" s="1"/>
  <c r="C686"/>
  <c r="E686"/>
  <c r="F686" s="1"/>
  <c r="G686"/>
  <c r="I686"/>
  <c r="J686" s="1"/>
  <c r="C684"/>
  <c r="E684"/>
  <c r="F684" s="1"/>
  <c r="G684"/>
  <c r="I684"/>
  <c r="J684" s="1"/>
  <c r="C682"/>
  <c r="E682"/>
  <c r="F682" s="1"/>
  <c r="G682"/>
  <c r="I682"/>
  <c r="J682" s="1"/>
  <c r="C680"/>
  <c r="E680"/>
  <c r="F680" s="1"/>
  <c r="G680"/>
  <c r="I680"/>
  <c r="J680" s="1"/>
  <c r="L690"/>
  <c r="L688"/>
  <c r="L686"/>
  <c r="L684"/>
  <c r="L682"/>
  <c r="L680"/>
  <c r="L678"/>
  <c r="C691"/>
  <c r="E691"/>
  <c r="F691" s="1"/>
  <c r="G691"/>
  <c r="I691"/>
  <c r="J691" s="1"/>
  <c r="C689"/>
  <c r="E689"/>
  <c r="F689" s="1"/>
  <c r="G689"/>
  <c r="I689"/>
  <c r="J689" s="1"/>
  <c r="C687"/>
  <c r="E687"/>
  <c r="F687" s="1"/>
  <c r="G687"/>
  <c r="I687"/>
  <c r="J687" s="1"/>
  <c r="C685"/>
  <c r="E685"/>
  <c r="F685" s="1"/>
  <c r="G685"/>
  <c r="I685"/>
  <c r="J685" s="1"/>
  <c r="C683"/>
  <c r="E683"/>
  <c r="F683" s="1"/>
  <c r="G683"/>
  <c r="I683"/>
  <c r="J683" s="1"/>
  <c r="C681"/>
  <c r="E681"/>
  <c r="F681" s="1"/>
  <c r="G681"/>
  <c r="I681"/>
  <c r="J681" s="1"/>
  <c r="C679"/>
  <c r="E679"/>
  <c r="F679" s="1"/>
  <c r="G679"/>
  <c r="I679"/>
  <c r="J679" s="1"/>
  <c r="C593"/>
  <c r="C591"/>
  <c r="C589"/>
  <c r="C587"/>
  <c r="C585"/>
  <c r="C583"/>
  <c r="C565"/>
  <c r="C563"/>
  <c r="L691"/>
  <c r="L689"/>
  <c r="L687"/>
  <c r="L685"/>
  <c r="L683"/>
  <c r="L681"/>
  <c r="L679"/>
  <c r="C646"/>
  <c r="E646"/>
  <c r="F646" s="1"/>
  <c r="G646"/>
  <c r="I646"/>
  <c r="J646" s="1"/>
  <c r="C644"/>
  <c r="E644"/>
  <c r="F644" s="1"/>
  <c r="G644"/>
  <c r="I644"/>
  <c r="J644" s="1"/>
  <c r="C642"/>
  <c r="E642"/>
  <c r="F642" s="1"/>
  <c r="G642"/>
  <c r="I642"/>
  <c r="J642" s="1"/>
  <c r="C640"/>
  <c r="E640"/>
  <c r="F640" s="1"/>
  <c r="G640"/>
  <c r="I640"/>
  <c r="J640" s="1"/>
  <c r="C638"/>
  <c r="E638"/>
  <c r="F638" s="1"/>
  <c r="G638"/>
  <c r="I638"/>
  <c r="J638" s="1"/>
  <c r="C636"/>
  <c r="E636"/>
  <c r="F636" s="1"/>
  <c r="G636"/>
  <c r="I636"/>
  <c r="J636" s="1"/>
  <c r="C634"/>
  <c r="E634"/>
  <c r="F634" s="1"/>
  <c r="G634"/>
  <c r="I634"/>
  <c r="J634" s="1"/>
  <c r="C632"/>
  <c r="E632"/>
  <c r="F632" s="1"/>
  <c r="G632"/>
  <c r="I632"/>
  <c r="J632" s="1"/>
  <c r="C630"/>
  <c r="E630"/>
  <c r="F630" s="1"/>
  <c r="G630"/>
  <c r="I630"/>
  <c r="J630" s="1"/>
  <c r="C628"/>
  <c r="E628"/>
  <c r="F628" s="1"/>
  <c r="G628"/>
  <c r="I628"/>
  <c r="J628" s="1"/>
  <c r="C626"/>
  <c r="E626"/>
  <c r="F626" s="1"/>
  <c r="G626"/>
  <c r="I626"/>
  <c r="J626" s="1"/>
  <c r="C624"/>
  <c r="E624"/>
  <c r="F624" s="1"/>
  <c r="G624"/>
  <c r="I624"/>
  <c r="J624" s="1"/>
  <c r="C622"/>
  <c r="E622"/>
  <c r="F622" s="1"/>
  <c r="G622"/>
  <c r="I622"/>
  <c r="J622" s="1"/>
  <c r="C620"/>
  <c r="E620"/>
  <c r="F620" s="1"/>
  <c r="G620"/>
  <c r="I620"/>
  <c r="J620" s="1"/>
  <c r="C618"/>
  <c r="E618"/>
  <c r="F618" s="1"/>
  <c r="G618"/>
  <c r="I618"/>
  <c r="J618" s="1"/>
  <c r="C616"/>
  <c r="E616"/>
  <c r="F616" s="1"/>
  <c r="G616"/>
  <c r="I616"/>
  <c r="J616" s="1"/>
  <c r="C614"/>
  <c r="E614"/>
  <c r="F614" s="1"/>
  <c r="G614"/>
  <c r="I614"/>
  <c r="J614" s="1"/>
  <c r="I678"/>
  <c r="J678" s="1"/>
  <c r="G678"/>
  <c r="E678"/>
  <c r="F678" s="1"/>
  <c r="O677"/>
  <c r="I677"/>
  <c r="J677" s="1"/>
  <c r="G677"/>
  <c r="E677"/>
  <c r="F677" s="1"/>
  <c r="O676"/>
  <c r="I676"/>
  <c r="J676" s="1"/>
  <c r="G676"/>
  <c r="E676"/>
  <c r="F676" s="1"/>
  <c r="O675"/>
  <c r="I675"/>
  <c r="J675" s="1"/>
  <c r="G675"/>
  <c r="E675"/>
  <c r="F675" s="1"/>
  <c r="O674"/>
  <c r="I674"/>
  <c r="J674" s="1"/>
  <c r="G674"/>
  <c r="E674"/>
  <c r="F674" s="1"/>
  <c r="O673"/>
  <c r="I673"/>
  <c r="J673" s="1"/>
  <c r="G673"/>
  <c r="E673"/>
  <c r="F673" s="1"/>
  <c r="O672"/>
  <c r="I672"/>
  <c r="J672" s="1"/>
  <c r="G672"/>
  <c r="E672"/>
  <c r="F672" s="1"/>
  <c r="O671"/>
  <c r="I671"/>
  <c r="J671" s="1"/>
  <c r="G671"/>
  <c r="E671"/>
  <c r="F671" s="1"/>
  <c r="O670"/>
  <c r="I670"/>
  <c r="J670" s="1"/>
  <c r="G670"/>
  <c r="E670"/>
  <c r="F670" s="1"/>
  <c r="O669"/>
  <c r="I669"/>
  <c r="J669" s="1"/>
  <c r="G669"/>
  <c r="E669"/>
  <c r="F669" s="1"/>
  <c r="O668"/>
  <c r="I668"/>
  <c r="J668" s="1"/>
  <c r="G668"/>
  <c r="E668"/>
  <c r="F668" s="1"/>
  <c r="O667"/>
  <c r="I667"/>
  <c r="J667" s="1"/>
  <c r="G667"/>
  <c r="E667"/>
  <c r="F667" s="1"/>
  <c r="O666"/>
  <c r="I666"/>
  <c r="J666" s="1"/>
  <c r="G666"/>
  <c r="E666"/>
  <c r="F666" s="1"/>
  <c r="O665"/>
  <c r="I665"/>
  <c r="J665" s="1"/>
  <c r="G665"/>
  <c r="E665"/>
  <c r="F665" s="1"/>
  <c r="O664"/>
  <c r="I664"/>
  <c r="J664" s="1"/>
  <c r="G664"/>
  <c r="E664"/>
  <c r="F664" s="1"/>
  <c r="O663"/>
  <c r="I663"/>
  <c r="J663" s="1"/>
  <c r="G663"/>
  <c r="E663"/>
  <c r="F663" s="1"/>
  <c r="O662"/>
  <c r="I662"/>
  <c r="J662" s="1"/>
  <c r="G662"/>
  <c r="E662"/>
  <c r="F662" s="1"/>
  <c r="O661"/>
  <c r="I661"/>
  <c r="J661" s="1"/>
  <c r="G661"/>
  <c r="E661"/>
  <c r="F661" s="1"/>
  <c r="O660"/>
  <c r="I660"/>
  <c r="J660" s="1"/>
  <c r="G660"/>
  <c r="E660"/>
  <c r="F660" s="1"/>
  <c r="O659"/>
  <c r="I659"/>
  <c r="J659" s="1"/>
  <c r="G659"/>
  <c r="E659"/>
  <c r="F659" s="1"/>
  <c r="O658"/>
  <c r="I658"/>
  <c r="J658" s="1"/>
  <c r="G658"/>
  <c r="E658"/>
  <c r="F658" s="1"/>
  <c r="O657"/>
  <c r="I657"/>
  <c r="J657" s="1"/>
  <c r="G657"/>
  <c r="E657"/>
  <c r="F657" s="1"/>
  <c r="O656"/>
  <c r="I656"/>
  <c r="J656" s="1"/>
  <c r="G656"/>
  <c r="E656"/>
  <c r="F656" s="1"/>
  <c r="O655"/>
  <c r="I655"/>
  <c r="J655" s="1"/>
  <c r="G655"/>
  <c r="E655"/>
  <c r="F655" s="1"/>
  <c r="O654"/>
  <c r="I654"/>
  <c r="J654" s="1"/>
  <c r="G654"/>
  <c r="E654"/>
  <c r="F654" s="1"/>
  <c r="O653"/>
  <c r="I653"/>
  <c r="J653" s="1"/>
  <c r="G653"/>
  <c r="E653"/>
  <c r="F653" s="1"/>
  <c r="O652"/>
  <c r="I652"/>
  <c r="J652" s="1"/>
  <c r="G652"/>
  <c r="E652"/>
  <c r="F652" s="1"/>
  <c r="O651"/>
  <c r="I651"/>
  <c r="J651" s="1"/>
  <c r="G651"/>
  <c r="E651"/>
  <c r="F651" s="1"/>
  <c r="O650"/>
  <c r="I650"/>
  <c r="J650" s="1"/>
  <c r="G650"/>
  <c r="E650"/>
  <c r="F650" s="1"/>
  <c r="I649"/>
  <c r="J649" s="1"/>
  <c r="G649"/>
  <c r="E649"/>
  <c r="F649" s="1"/>
  <c r="L646"/>
  <c r="L644"/>
  <c r="L642"/>
  <c r="L640"/>
  <c r="L638"/>
  <c r="L636"/>
  <c r="L634"/>
  <c r="L632"/>
  <c r="L630"/>
  <c r="L628"/>
  <c r="L626"/>
  <c r="L624"/>
  <c r="L622"/>
  <c r="L620"/>
  <c r="L618"/>
  <c r="L616"/>
  <c r="L614"/>
  <c r="C647"/>
  <c r="E647"/>
  <c r="F647" s="1"/>
  <c r="G647"/>
  <c r="I647"/>
  <c r="J647" s="1"/>
  <c r="C645"/>
  <c r="E645"/>
  <c r="F645" s="1"/>
  <c r="G645"/>
  <c r="I645"/>
  <c r="J645" s="1"/>
  <c r="C643"/>
  <c r="E643"/>
  <c r="F643" s="1"/>
  <c r="G643"/>
  <c r="I643"/>
  <c r="J643" s="1"/>
  <c r="C641"/>
  <c r="E641"/>
  <c r="F641" s="1"/>
  <c r="G641"/>
  <c r="I641"/>
  <c r="J641" s="1"/>
  <c r="C639"/>
  <c r="E639"/>
  <c r="F639" s="1"/>
  <c r="G639"/>
  <c r="I639"/>
  <c r="J639" s="1"/>
  <c r="C637"/>
  <c r="E637"/>
  <c r="F637" s="1"/>
  <c r="G637"/>
  <c r="I637"/>
  <c r="J637" s="1"/>
  <c r="C635"/>
  <c r="E635"/>
  <c r="F635" s="1"/>
  <c r="G635"/>
  <c r="I635"/>
  <c r="J635" s="1"/>
  <c r="C633"/>
  <c r="E633"/>
  <c r="F633" s="1"/>
  <c r="G633"/>
  <c r="I633"/>
  <c r="J633" s="1"/>
  <c r="C631"/>
  <c r="E631"/>
  <c r="F631" s="1"/>
  <c r="G631"/>
  <c r="I631"/>
  <c r="J631" s="1"/>
  <c r="C629"/>
  <c r="E629"/>
  <c r="F629" s="1"/>
  <c r="G629"/>
  <c r="I629"/>
  <c r="J629" s="1"/>
  <c r="C627"/>
  <c r="E627"/>
  <c r="F627" s="1"/>
  <c r="G627"/>
  <c r="I627"/>
  <c r="J627" s="1"/>
  <c r="C625"/>
  <c r="E625"/>
  <c r="F625" s="1"/>
  <c r="G625"/>
  <c r="I625"/>
  <c r="J625" s="1"/>
  <c r="C623"/>
  <c r="E623"/>
  <c r="F623" s="1"/>
  <c r="G623"/>
  <c r="I623"/>
  <c r="J623" s="1"/>
  <c r="C621"/>
  <c r="E621"/>
  <c r="F621" s="1"/>
  <c r="G621"/>
  <c r="I621"/>
  <c r="J621" s="1"/>
  <c r="C619"/>
  <c r="E619"/>
  <c r="F619" s="1"/>
  <c r="G619"/>
  <c r="I619"/>
  <c r="J619" s="1"/>
  <c r="C617"/>
  <c r="E617"/>
  <c r="F617" s="1"/>
  <c r="G617"/>
  <c r="I617"/>
  <c r="J617" s="1"/>
  <c r="C615"/>
  <c r="E615"/>
  <c r="F615" s="1"/>
  <c r="G615"/>
  <c r="I615"/>
  <c r="J615" s="1"/>
  <c r="L647"/>
  <c r="L645"/>
  <c r="L643"/>
  <c r="L641"/>
  <c r="L639"/>
  <c r="L637"/>
  <c r="L635"/>
  <c r="L633"/>
  <c r="L631"/>
  <c r="L629"/>
  <c r="L627"/>
  <c r="L625"/>
  <c r="L623"/>
  <c r="L621"/>
  <c r="L619"/>
  <c r="L617"/>
  <c r="L615"/>
  <c r="L613"/>
  <c r="I613"/>
  <c r="G613"/>
  <c r="E613"/>
  <c r="O612"/>
  <c r="I612"/>
  <c r="G612"/>
  <c r="E612"/>
  <c r="O611"/>
  <c r="I611"/>
  <c r="J611" s="1"/>
  <c r="G611"/>
  <c r="E611"/>
  <c r="F611" s="1"/>
  <c r="O610"/>
  <c r="I610"/>
  <c r="J610" s="1"/>
  <c r="G610"/>
  <c r="E610"/>
  <c r="F610" s="1"/>
  <c r="O609"/>
  <c r="I609"/>
  <c r="J609" s="1"/>
  <c r="G609"/>
  <c r="E609"/>
  <c r="F609" s="1"/>
  <c r="O608"/>
  <c r="I608"/>
  <c r="J608" s="1"/>
  <c r="G608"/>
  <c r="E608"/>
  <c r="F608" s="1"/>
  <c r="O607"/>
  <c r="I607"/>
  <c r="J607" s="1"/>
  <c r="G607"/>
  <c r="E607"/>
  <c r="F607" s="1"/>
  <c r="O606"/>
  <c r="I606"/>
  <c r="J606" s="1"/>
  <c r="G606"/>
  <c r="E606"/>
  <c r="F606" s="1"/>
  <c r="O605"/>
  <c r="I605"/>
  <c r="J605" s="1"/>
  <c r="G605"/>
  <c r="E605"/>
  <c r="F605" s="1"/>
  <c r="O604"/>
  <c r="I604"/>
  <c r="J604" s="1"/>
  <c r="G604"/>
  <c r="E604"/>
  <c r="F604" s="1"/>
  <c r="O603"/>
  <c r="I603"/>
  <c r="J603" s="1"/>
  <c r="G603"/>
  <c r="E603"/>
  <c r="F603" s="1"/>
  <c r="O602"/>
  <c r="I602"/>
  <c r="J602" s="1"/>
  <c r="G602"/>
  <c r="E602"/>
  <c r="F602" s="1"/>
  <c r="O601"/>
  <c r="I601"/>
  <c r="J601" s="1"/>
  <c r="G601"/>
  <c r="E601"/>
  <c r="F601" s="1"/>
  <c r="O600"/>
  <c r="I600"/>
  <c r="J600" s="1"/>
  <c r="G600"/>
  <c r="E600"/>
  <c r="F600" s="1"/>
  <c r="O599"/>
  <c r="I599"/>
  <c r="J599" s="1"/>
  <c r="G599"/>
  <c r="E599"/>
  <c r="F599" s="1"/>
  <c r="O598"/>
  <c r="I598"/>
  <c r="J598" s="1"/>
  <c r="G598"/>
  <c r="E598"/>
  <c r="F598" s="1"/>
  <c r="O597"/>
  <c r="I597"/>
  <c r="J597" s="1"/>
  <c r="G597"/>
  <c r="E597"/>
  <c r="F597" s="1"/>
  <c r="L596"/>
  <c r="L594"/>
  <c r="L592"/>
  <c r="L590"/>
  <c r="L588"/>
  <c r="L586"/>
  <c r="L584"/>
  <c r="L582"/>
  <c r="L580"/>
  <c r="L578"/>
  <c r="L576"/>
  <c r="L574"/>
  <c r="L572"/>
  <c r="L570"/>
  <c r="L568"/>
  <c r="I596"/>
  <c r="J596" s="1"/>
  <c r="G596"/>
  <c r="E596"/>
  <c r="F596" s="1"/>
  <c r="O595"/>
  <c r="I595"/>
  <c r="G595"/>
  <c r="E595"/>
  <c r="I594"/>
  <c r="J594" s="1"/>
  <c r="G594"/>
  <c r="E594"/>
  <c r="F594" s="1"/>
  <c r="O593"/>
  <c r="I593"/>
  <c r="G593"/>
  <c r="E593"/>
  <c r="I592"/>
  <c r="G592"/>
  <c r="E592"/>
  <c r="O591"/>
  <c r="I591"/>
  <c r="J591" s="1"/>
  <c r="G591"/>
  <c r="E591"/>
  <c r="F591" s="1"/>
  <c r="I590"/>
  <c r="J590" s="1"/>
  <c r="G590"/>
  <c r="E590"/>
  <c r="F590" s="1"/>
  <c r="O589"/>
  <c r="I589"/>
  <c r="J589" s="1"/>
  <c r="G589"/>
  <c r="E589"/>
  <c r="F589" s="1"/>
  <c r="I588"/>
  <c r="J588" s="1"/>
  <c r="G588"/>
  <c r="E588"/>
  <c r="F588" s="1"/>
  <c r="O587"/>
  <c r="I587"/>
  <c r="J587" s="1"/>
  <c r="G587"/>
  <c r="E587"/>
  <c r="F587" s="1"/>
  <c r="I586"/>
  <c r="J586" s="1"/>
  <c r="G586"/>
  <c r="E586"/>
  <c r="F586" s="1"/>
  <c r="O585"/>
  <c r="I585"/>
  <c r="J585" s="1"/>
  <c r="G585"/>
  <c r="E585"/>
  <c r="F585" s="1"/>
  <c r="I584"/>
  <c r="J584" s="1"/>
  <c r="G584"/>
  <c r="E584"/>
  <c r="F584" s="1"/>
  <c r="O583"/>
  <c r="I583"/>
  <c r="J583" s="1"/>
  <c r="G583"/>
  <c r="E583"/>
  <c r="F583" s="1"/>
  <c r="I582"/>
  <c r="J582" s="1"/>
  <c r="G582"/>
  <c r="E582"/>
  <c r="F582" s="1"/>
  <c r="O581"/>
  <c r="I581"/>
  <c r="G581"/>
  <c r="E581"/>
  <c r="I580"/>
  <c r="G580"/>
  <c r="E580"/>
  <c r="O579"/>
  <c r="I579"/>
  <c r="G579"/>
  <c r="E579"/>
  <c r="I578"/>
  <c r="G578"/>
  <c r="E578"/>
  <c r="O577"/>
  <c r="I577"/>
  <c r="G577"/>
  <c r="E577"/>
  <c r="I576"/>
  <c r="G576"/>
  <c r="E576"/>
  <c r="O575"/>
  <c r="I575"/>
  <c r="G575"/>
  <c r="E575"/>
  <c r="I574"/>
  <c r="G574"/>
  <c r="E574"/>
  <c r="O573"/>
  <c r="I573"/>
  <c r="G573"/>
  <c r="E573"/>
  <c r="I572"/>
  <c r="G572"/>
  <c r="E572"/>
  <c r="O571"/>
  <c r="I571"/>
  <c r="G571"/>
  <c r="E571"/>
  <c r="I570"/>
  <c r="G570"/>
  <c r="E570"/>
  <c r="O569"/>
  <c r="I569"/>
  <c r="G569"/>
  <c r="E569"/>
  <c r="I568"/>
  <c r="G568"/>
  <c r="E568"/>
  <c r="O567"/>
  <c r="I567"/>
  <c r="G567"/>
  <c r="E567"/>
  <c r="O566"/>
  <c r="I566"/>
  <c r="G566"/>
  <c r="E566"/>
  <c r="O565"/>
  <c r="I565"/>
  <c r="G565"/>
  <c r="E565"/>
  <c r="O564"/>
  <c r="I564"/>
  <c r="G564"/>
  <c r="E564"/>
  <c r="O563"/>
  <c r="I563"/>
  <c r="G563"/>
  <c r="E563"/>
  <c r="O562"/>
  <c r="I562"/>
  <c r="J562" s="1"/>
  <c r="G562"/>
  <c r="E562"/>
  <c r="F562" s="1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201"/>
  <c r="B202"/>
  <c r="B203"/>
  <c r="B204"/>
  <c r="B205"/>
  <c r="B206"/>
  <c r="B207"/>
  <c r="B208"/>
  <c r="B209"/>
  <c r="B210"/>
  <c r="B211"/>
  <c r="B212"/>
  <c r="B213"/>
  <c r="B214"/>
  <c r="B215"/>
  <c r="B216"/>
  <c r="B217"/>
  <c r="B218"/>
  <c r="B219"/>
  <c r="B220"/>
  <c r="B221"/>
  <c r="B222"/>
  <c r="B223"/>
  <c r="B224"/>
  <c r="B225"/>
  <c r="B226"/>
  <c r="B227"/>
  <c r="B228"/>
  <c r="B229"/>
  <c r="B230"/>
  <c r="B231"/>
  <c r="B232"/>
  <c r="B233"/>
  <c r="B234"/>
  <c r="B235"/>
  <c r="B236"/>
  <c r="B237"/>
  <c r="B238"/>
  <c r="B239"/>
  <c r="B240"/>
  <c r="B241"/>
  <c r="B242"/>
  <c r="B243"/>
  <c r="B244"/>
  <c r="B245"/>
  <c r="B246"/>
  <c r="B247"/>
  <c r="B248"/>
  <c r="B249"/>
  <c r="B250"/>
  <c r="B251"/>
  <c r="B252"/>
  <c r="B253"/>
  <c r="B254"/>
  <c r="B255"/>
  <c r="B256"/>
  <c r="B257"/>
  <c r="B258"/>
  <c r="B259"/>
  <c r="B260"/>
  <c r="B261"/>
  <c r="B262"/>
  <c r="B263"/>
  <c r="B264"/>
  <c r="B265"/>
  <c r="B266"/>
  <c r="B267"/>
  <c r="B268"/>
  <c r="B269"/>
  <c r="B270"/>
  <c r="B271"/>
  <c r="B272"/>
  <c r="B273"/>
  <c r="B274"/>
  <c r="B275"/>
  <c r="B276"/>
  <c r="B277"/>
  <c r="B278"/>
  <c r="B279"/>
  <c r="B280"/>
  <c r="B281"/>
  <c r="B282"/>
  <c r="B283"/>
  <c r="B284"/>
  <c r="B285"/>
  <c r="B286"/>
  <c r="B287"/>
  <c r="B288"/>
  <c r="B289"/>
  <c r="B290"/>
  <c r="B291"/>
  <c r="B292"/>
  <c r="B293"/>
  <c r="B294"/>
  <c r="B295"/>
  <c r="B296"/>
  <c r="B297"/>
  <c r="B298"/>
  <c r="B299"/>
  <c r="B300"/>
  <c r="B301"/>
  <c r="B302"/>
  <c r="B303"/>
  <c r="B304"/>
  <c r="B305"/>
  <c r="B306"/>
  <c r="B307"/>
  <c r="B308"/>
  <c r="B309"/>
  <c r="B310"/>
  <c r="B311"/>
  <c r="B312"/>
  <c r="B313"/>
  <c r="B314"/>
  <c r="B315"/>
  <c r="B316"/>
  <c r="B317"/>
  <c r="B318"/>
  <c r="B319"/>
  <c r="B320"/>
  <c r="B321"/>
  <c r="B322"/>
  <c r="B323"/>
  <c r="B324"/>
  <c r="B325"/>
  <c r="B326"/>
  <c r="B327"/>
  <c r="B328"/>
  <c r="B329"/>
  <c r="B330"/>
  <c r="B331"/>
  <c r="B332"/>
  <c r="B333"/>
  <c r="B334"/>
  <c r="B335"/>
  <c r="B336"/>
  <c r="B337"/>
  <c r="B338"/>
  <c r="B339"/>
  <c r="B340"/>
  <c r="B341"/>
  <c r="B342"/>
  <c r="B343"/>
  <c r="B345"/>
  <c r="B346"/>
  <c r="B347"/>
  <c r="B348"/>
  <c r="B349"/>
  <c r="B350"/>
  <c r="B351"/>
  <c r="B352"/>
  <c r="B353"/>
  <c r="B354"/>
  <c r="B355"/>
  <c r="B356"/>
  <c r="B357"/>
  <c r="B358"/>
  <c r="B359"/>
  <c r="B360"/>
  <c r="B361"/>
  <c r="B362"/>
  <c r="B363"/>
  <c r="B364"/>
  <c r="B365"/>
  <c r="B366"/>
  <c r="B367"/>
  <c r="B368"/>
  <c r="B369"/>
  <c r="B370"/>
  <c r="B371"/>
  <c r="B372"/>
  <c r="B373"/>
  <c r="B374"/>
  <c r="B375"/>
  <c r="B376"/>
  <c r="B377"/>
  <c r="B378"/>
  <c r="B379"/>
  <c r="B380"/>
  <c r="B381"/>
  <c r="B382"/>
  <c r="B383"/>
  <c r="B384"/>
  <c r="B385"/>
  <c r="B386"/>
  <c r="B387"/>
  <c r="B388"/>
  <c r="B389"/>
  <c r="B390"/>
  <c r="B391"/>
  <c r="B392"/>
  <c r="B393"/>
  <c r="B394"/>
  <c r="B395"/>
  <c r="B396"/>
  <c r="B397"/>
  <c r="B398"/>
  <c r="B399"/>
  <c r="B400"/>
  <c r="B401"/>
  <c r="B402"/>
  <c r="B403"/>
  <c r="B404"/>
  <c r="B405"/>
  <c r="B406"/>
  <c r="B407"/>
  <c r="B408"/>
  <c r="B409"/>
  <c r="B410"/>
  <c r="B411"/>
  <c r="B412"/>
  <c r="B413"/>
  <c r="B414"/>
  <c r="B415"/>
  <c r="B416"/>
  <c r="B417"/>
  <c r="B418"/>
  <c r="B419"/>
  <c r="B420"/>
  <c r="B421"/>
  <c r="B422"/>
  <c r="B423"/>
  <c r="B424"/>
  <c r="B425"/>
  <c r="B426"/>
  <c r="B427"/>
  <c r="B428"/>
  <c r="B429"/>
  <c r="B430"/>
  <c r="B431"/>
  <c r="B432"/>
  <c r="B433"/>
  <c r="B434"/>
  <c r="B435"/>
  <c r="B436"/>
  <c r="B437"/>
  <c r="B438"/>
  <c r="B439"/>
  <c r="B440"/>
  <c r="B441"/>
  <c r="B442"/>
  <c r="B443"/>
  <c r="B444"/>
  <c r="B445"/>
  <c r="B446"/>
  <c r="B447"/>
  <c r="B448"/>
  <c r="B449"/>
  <c r="B450"/>
  <c r="B451"/>
  <c r="B452"/>
  <c r="B453"/>
  <c r="B454"/>
  <c r="B455"/>
  <c r="B456"/>
  <c r="B457"/>
  <c r="B458"/>
  <c r="B459"/>
  <c r="B460"/>
  <c r="B461"/>
  <c r="B462"/>
  <c r="B463"/>
  <c r="B464"/>
  <c r="B465"/>
  <c r="B466"/>
  <c r="B467"/>
  <c r="B468"/>
  <c r="B469"/>
  <c r="B470"/>
  <c r="B471"/>
  <c r="B472"/>
  <c r="B473"/>
  <c r="B474"/>
  <c r="B475"/>
  <c r="B476"/>
  <c r="B477"/>
  <c r="B478"/>
  <c r="B479"/>
  <c r="B480"/>
  <c r="B481"/>
  <c r="B482"/>
  <c r="B483"/>
  <c r="B484"/>
  <c r="B485"/>
  <c r="B486"/>
  <c r="B487"/>
  <c r="B488"/>
  <c r="B489"/>
  <c r="B490"/>
  <c r="B491"/>
  <c r="B492"/>
  <c r="B493"/>
  <c r="B494"/>
  <c r="B495"/>
  <c r="B496"/>
  <c r="B497"/>
  <c r="B498"/>
  <c r="B499"/>
  <c r="B500"/>
  <c r="B501"/>
  <c r="B502"/>
  <c r="B503"/>
  <c r="B504"/>
  <c r="B505"/>
  <c r="B506"/>
  <c r="B507"/>
  <c r="B508"/>
  <c r="B509"/>
  <c r="B510"/>
  <c r="B511"/>
  <c r="B512"/>
  <c r="B513"/>
  <c r="B514"/>
  <c r="B515"/>
  <c r="B516"/>
  <c r="B517"/>
  <c r="B518"/>
  <c r="B519"/>
  <c r="B520"/>
  <c r="B521"/>
  <c r="B522"/>
  <c r="B523"/>
  <c r="B524"/>
  <c r="B525"/>
  <c r="B526"/>
  <c r="B527"/>
  <c r="B528"/>
  <c r="B529"/>
  <c r="B530"/>
  <c r="B531"/>
  <c r="B532"/>
  <c r="B533"/>
  <c r="B534"/>
  <c r="B535"/>
  <c r="B536"/>
  <c r="B537"/>
  <c r="B538"/>
  <c r="B539"/>
  <c r="B540"/>
  <c r="B541"/>
  <c r="B542"/>
  <c r="B543"/>
  <c r="B544"/>
  <c r="B545"/>
  <c r="B546"/>
  <c r="B547"/>
  <c r="B548"/>
  <c r="B549"/>
  <c r="B550"/>
  <c r="B551"/>
  <c r="B552"/>
  <c r="B553"/>
  <c r="B554"/>
  <c r="B555"/>
  <c r="B556"/>
  <c r="B557"/>
  <c r="B558"/>
  <c r="B559"/>
  <c r="B560"/>
  <c r="B561"/>
  <c r="B2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K147"/>
  <c r="K148"/>
  <c r="K149"/>
  <c r="K150"/>
  <c r="K151"/>
  <c r="K152"/>
  <c r="K153"/>
  <c r="K154"/>
  <c r="K155"/>
  <c r="K156"/>
  <c r="K157"/>
  <c r="K158"/>
  <c r="K159"/>
  <c r="K160"/>
  <c r="K161"/>
  <c r="K162"/>
  <c r="K163"/>
  <c r="K164"/>
  <c r="K165"/>
  <c r="K166"/>
  <c r="K167"/>
  <c r="K168"/>
  <c r="K169"/>
  <c r="K170"/>
  <c r="K171"/>
  <c r="K172"/>
  <c r="K173"/>
  <c r="K174"/>
  <c r="K175"/>
  <c r="K176"/>
  <c r="K177"/>
  <c r="K178"/>
  <c r="K179"/>
  <c r="K180"/>
  <c r="K181"/>
  <c r="K182"/>
  <c r="K183"/>
  <c r="K184"/>
  <c r="K185"/>
  <c r="K186"/>
  <c r="K187"/>
  <c r="K188"/>
  <c r="K189"/>
  <c r="K190"/>
  <c r="K191"/>
  <c r="K192"/>
  <c r="K193"/>
  <c r="K194"/>
  <c r="K195"/>
  <c r="K196"/>
  <c r="K197"/>
  <c r="K198"/>
  <c r="K199"/>
  <c r="K200"/>
  <c r="K201"/>
  <c r="K202"/>
  <c r="K203"/>
  <c r="K204"/>
  <c r="K205"/>
  <c r="K206"/>
  <c r="K207"/>
  <c r="K208"/>
  <c r="K209"/>
  <c r="K210"/>
  <c r="K211"/>
  <c r="K212"/>
  <c r="K213"/>
  <c r="K214"/>
  <c r="K215"/>
  <c r="K216"/>
  <c r="K217"/>
  <c r="K218"/>
  <c r="K219"/>
  <c r="K220"/>
  <c r="K221"/>
  <c r="K222"/>
  <c r="K223"/>
  <c r="K224"/>
  <c r="K225"/>
  <c r="K226"/>
  <c r="K227"/>
  <c r="K228"/>
  <c r="K229"/>
  <c r="K230"/>
  <c r="K231"/>
  <c r="K232"/>
  <c r="K233"/>
  <c r="K234"/>
  <c r="K235"/>
  <c r="K236"/>
  <c r="K237"/>
  <c r="K238"/>
  <c r="K239"/>
  <c r="K240"/>
  <c r="K241"/>
  <c r="K242"/>
  <c r="K243"/>
  <c r="K244"/>
  <c r="K245"/>
  <c r="K246"/>
  <c r="K247"/>
  <c r="K248"/>
  <c r="K249"/>
  <c r="K250"/>
  <c r="K251"/>
  <c r="K252"/>
  <c r="K253"/>
  <c r="K254"/>
  <c r="K255"/>
  <c r="K256"/>
  <c r="K257"/>
  <c r="K258"/>
  <c r="K259"/>
  <c r="K260"/>
  <c r="K261"/>
  <c r="K262"/>
  <c r="K263"/>
  <c r="K264"/>
  <c r="K265"/>
  <c r="K266"/>
  <c r="K267"/>
  <c r="K268"/>
  <c r="K269"/>
  <c r="K270"/>
  <c r="K271"/>
  <c r="K272"/>
  <c r="K273"/>
  <c r="K274"/>
  <c r="K275"/>
  <c r="K276"/>
  <c r="K277"/>
  <c r="K278"/>
  <c r="K279"/>
  <c r="K280"/>
  <c r="K281"/>
  <c r="K282"/>
  <c r="K283"/>
  <c r="K284"/>
  <c r="K285"/>
  <c r="K286"/>
  <c r="K287"/>
  <c r="K288"/>
  <c r="K289"/>
  <c r="K290"/>
  <c r="K291"/>
  <c r="K292"/>
  <c r="K293"/>
  <c r="K294"/>
  <c r="K295"/>
  <c r="K296"/>
  <c r="K297"/>
  <c r="K298"/>
  <c r="K299"/>
  <c r="K300"/>
  <c r="K301"/>
  <c r="K302"/>
  <c r="K303"/>
  <c r="K304"/>
  <c r="K305"/>
  <c r="K306"/>
  <c r="K307"/>
  <c r="K308"/>
  <c r="K309"/>
  <c r="K310"/>
  <c r="K311"/>
  <c r="K312"/>
  <c r="K313"/>
  <c r="K314"/>
  <c r="K315"/>
  <c r="K316"/>
  <c r="K317"/>
  <c r="K318"/>
  <c r="K319"/>
  <c r="K320"/>
  <c r="K321"/>
  <c r="K322"/>
  <c r="K323"/>
  <c r="K324"/>
  <c r="K325"/>
  <c r="K326"/>
  <c r="K327"/>
  <c r="K328"/>
  <c r="K329"/>
  <c r="K330"/>
  <c r="K331"/>
  <c r="K332"/>
  <c r="K333"/>
  <c r="K334"/>
  <c r="K335"/>
  <c r="K336"/>
  <c r="K337"/>
  <c r="K338"/>
  <c r="K339"/>
  <c r="K340"/>
  <c r="K341"/>
  <c r="K342"/>
  <c r="K343"/>
  <c r="K344"/>
  <c r="K345"/>
  <c r="K346"/>
  <c r="K347"/>
  <c r="K348"/>
  <c r="K349"/>
  <c r="K350"/>
  <c r="K351"/>
  <c r="K352"/>
  <c r="K353"/>
  <c r="K354"/>
  <c r="K355"/>
  <c r="K356"/>
  <c r="K357"/>
  <c r="K358"/>
  <c r="K359"/>
  <c r="K360"/>
  <c r="K361"/>
  <c r="K362"/>
  <c r="K363"/>
  <c r="K364"/>
  <c r="K365"/>
  <c r="K366"/>
  <c r="K367"/>
  <c r="K368"/>
  <c r="K369"/>
  <c r="K370"/>
  <c r="K371"/>
  <c r="K372"/>
  <c r="K373"/>
  <c r="K374"/>
  <c r="K375"/>
  <c r="K376"/>
  <c r="K377"/>
  <c r="K378"/>
  <c r="K379"/>
  <c r="K380"/>
  <c r="K381"/>
  <c r="K382"/>
  <c r="K383"/>
  <c r="K384"/>
  <c r="K385"/>
  <c r="K386"/>
  <c r="K387"/>
  <c r="K388"/>
  <c r="K389"/>
  <c r="K390"/>
  <c r="K391"/>
  <c r="K392"/>
  <c r="K393"/>
  <c r="K394"/>
  <c r="K395"/>
  <c r="K396"/>
  <c r="K397"/>
  <c r="K398"/>
  <c r="K399"/>
  <c r="K400"/>
  <c r="K401"/>
  <c r="K402"/>
  <c r="K403"/>
  <c r="K404"/>
  <c r="K405"/>
  <c r="K406"/>
  <c r="K407"/>
  <c r="K408"/>
  <c r="K409"/>
  <c r="K410"/>
  <c r="K411"/>
  <c r="K412"/>
  <c r="K413"/>
  <c r="K414"/>
  <c r="K415"/>
  <c r="K416"/>
  <c r="K417"/>
  <c r="K418"/>
  <c r="K419"/>
  <c r="K420"/>
  <c r="K421"/>
  <c r="K422"/>
  <c r="K423"/>
  <c r="K424"/>
  <c r="K425"/>
  <c r="K426"/>
  <c r="K427"/>
  <c r="K428"/>
  <c r="K429"/>
  <c r="K430"/>
  <c r="K431"/>
  <c r="K432"/>
  <c r="K433"/>
  <c r="K434"/>
  <c r="K435"/>
  <c r="K436"/>
  <c r="K437"/>
  <c r="K438"/>
  <c r="K439"/>
  <c r="K440"/>
  <c r="K441"/>
  <c r="K442"/>
  <c r="K443"/>
  <c r="K444"/>
  <c r="K445"/>
  <c r="K446"/>
  <c r="K447"/>
  <c r="K448"/>
  <c r="K449"/>
  <c r="K450"/>
  <c r="K451"/>
  <c r="K452"/>
  <c r="K453"/>
  <c r="K454"/>
  <c r="K455"/>
  <c r="K456"/>
  <c r="K457"/>
  <c r="K458"/>
  <c r="K459"/>
  <c r="K460"/>
  <c r="K461"/>
  <c r="K462"/>
  <c r="K463"/>
  <c r="K464"/>
  <c r="K465"/>
  <c r="K466"/>
  <c r="K467"/>
  <c r="K468"/>
  <c r="K469"/>
  <c r="K470"/>
  <c r="K471"/>
  <c r="K472"/>
  <c r="K473"/>
  <c r="K474"/>
  <c r="K475"/>
  <c r="K476"/>
  <c r="K477"/>
  <c r="K478"/>
  <c r="K479"/>
  <c r="K480"/>
  <c r="K481"/>
  <c r="K482"/>
  <c r="K483"/>
  <c r="K484"/>
  <c r="K485"/>
  <c r="K486"/>
  <c r="K487"/>
  <c r="K488"/>
  <c r="K489"/>
  <c r="K490"/>
  <c r="K491"/>
  <c r="K492"/>
  <c r="K493"/>
  <c r="K494"/>
  <c r="K495"/>
  <c r="K496"/>
  <c r="K497"/>
  <c r="K498"/>
  <c r="K499"/>
  <c r="K500"/>
  <c r="K501"/>
  <c r="K502"/>
  <c r="K503"/>
  <c r="K504"/>
  <c r="K505"/>
  <c r="K506"/>
  <c r="K507"/>
  <c r="K508"/>
  <c r="K509"/>
  <c r="K510"/>
  <c r="K511"/>
  <c r="K512"/>
  <c r="K513"/>
  <c r="K514"/>
  <c r="K515"/>
  <c r="K516"/>
  <c r="K517"/>
  <c r="K518"/>
  <c r="K519"/>
  <c r="K520"/>
  <c r="K521"/>
  <c r="K522"/>
  <c r="K523"/>
  <c r="K524"/>
  <c r="K525"/>
  <c r="K526"/>
  <c r="K527"/>
  <c r="K528"/>
  <c r="K529"/>
  <c r="K530"/>
  <c r="K531"/>
  <c r="K532"/>
  <c r="K533"/>
  <c r="K534"/>
  <c r="K535"/>
  <c r="K536"/>
  <c r="K537"/>
  <c r="K538"/>
  <c r="K539"/>
  <c r="K540"/>
  <c r="K541"/>
  <c r="K542"/>
  <c r="K543"/>
  <c r="K544"/>
  <c r="K545"/>
  <c r="K546"/>
  <c r="K547"/>
  <c r="K548"/>
  <c r="K549"/>
  <c r="K550"/>
  <c r="K551"/>
  <c r="K552"/>
  <c r="K553"/>
  <c r="K554"/>
  <c r="K555"/>
  <c r="K556"/>
  <c r="K557"/>
  <c r="K558"/>
  <c r="K559"/>
  <c r="K560"/>
  <c r="K561"/>
  <c r="K2"/>
  <c r="N3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49"/>
  <c r="N150"/>
  <c r="N151"/>
  <c r="N152"/>
  <c r="N153"/>
  <c r="N154"/>
  <c r="N155"/>
  <c r="N156"/>
  <c r="N157"/>
  <c r="N158"/>
  <c r="N159"/>
  <c r="N160"/>
  <c r="N161"/>
  <c r="N162"/>
  <c r="N163"/>
  <c r="N164"/>
  <c r="N165"/>
  <c r="N166"/>
  <c r="N167"/>
  <c r="N168"/>
  <c r="N169"/>
  <c r="N170"/>
  <c r="N171"/>
  <c r="N172"/>
  <c r="N173"/>
  <c r="N174"/>
  <c r="N175"/>
  <c r="N176"/>
  <c r="N177"/>
  <c r="N178"/>
  <c r="N179"/>
  <c r="N180"/>
  <c r="N181"/>
  <c r="N182"/>
  <c r="N183"/>
  <c r="N184"/>
  <c r="N185"/>
  <c r="N186"/>
  <c r="N187"/>
  <c r="N188"/>
  <c r="N189"/>
  <c r="N190"/>
  <c r="N191"/>
  <c r="N192"/>
  <c r="N193"/>
  <c r="N194"/>
  <c r="N195"/>
  <c r="N196"/>
  <c r="N197"/>
  <c r="N198"/>
  <c r="N199"/>
  <c r="N200"/>
  <c r="N201"/>
  <c r="N202"/>
  <c r="N203"/>
  <c r="N204"/>
  <c r="N205"/>
  <c r="N206"/>
  <c r="N207"/>
  <c r="N208"/>
  <c r="N209"/>
  <c r="N210"/>
  <c r="N211"/>
  <c r="N212"/>
  <c r="N213"/>
  <c r="N214"/>
  <c r="N215"/>
  <c r="N216"/>
  <c r="N217"/>
  <c r="N218"/>
  <c r="N219"/>
  <c r="N220"/>
  <c r="N221"/>
  <c r="N222"/>
  <c r="N223"/>
  <c r="N224"/>
  <c r="N225"/>
  <c r="N226"/>
  <c r="N227"/>
  <c r="N228"/>
  <c r="N229"/>
  <c r="N230"/>
  <c r="N231"/>
  <c r="N232"/>
  <c r="N233"/>
  <c r="N234"/>
  <c r="N235"/>
  <c r="N236"/>
  <c r="N237"/>
  <c r="N238"/>
  <c r="N239"/>
  <c r="N240"/>
  <c r="N241"/>
  <c r="N242"/>
  <c r="N243"/>
  <c r="N244"/>
  <c r="N245"/>
  <c r="N246"/>
  <c r="N247"/>
  <c r="N248"/>
  <c r="N249"/>
  <c r="N250"/>
  <c r="N251"/>
  <c r="N252"/>
  <c r="N253"/>
  <c r="N254"/>
  <c r="N255"/>
  <c r="N256"/>
  <c r="N257"/>
  <c r="N258"/>
  <c r="N259"/>
  <c r="N260"/>
  <c r="N261"/>
  <c r="N262"/>
  <c r="N263"/>
  <c r="N264"/>
  <c r="N265"/>
  <c r="N266"/>
  <c r="N267"/>
  <c r="N268"/>
  <c r="N269"/>
  <c r="N270"/>
  <c r="N271"/>
  <c r="N272"/>
  <c r="N273"/>
  <c r="N274"/>
  <c r="N275"/>
  <c r="N276"/>
  <c r="N277"/>
  <c r="N278"/>
  <c r="N279"/>
  <c r="N280"/>
  <c r="N281"/>
  <c r="N282"/>
  <c r="N283"/>
  <c r="N284"/>
  <c r="N285"/>
  <c r="N286"/>
  <c r="N287"/>
  <c r="N288"/>
  <c r="N289"/>
  <c r="N290"/>
  <c r="N291"/>
  <c r="N292"/>
  <c r="N293"/>
  <c r="N294"/>
  <c r="N295"/>
  <c r="N296"/>
  <c r="N297"/>
  <c r="N298"/>
  <c r="N299"/>
  <c r="N300"/>
  <c r="N301"/>
  <c r="N302"/>
  <c r="N303"/>
  <c r="N304"/>
  <c r="N305"/>
  <c r="N306"/>
  <c r="N307"/>
  <c r="N308"/>
  <c r="N309"/>
  <c r="N310"/>
  <c r="N311"/>
  <c r="N312"/>
  <c r="N313"/>
  <c r="N314"/>
  <c r="N315"/>
  <c r="N316"/>
  <c r="N317"/>
  <c r="N318"/>
  <c r="N319"/>
  <c r="N320"/>
  <c r="N321"/>
  <c r="N322"/>
  <c r="N323"/>
  <c r="N324"/>
  <c r="N325"/>
  <c r="N326"/>
  <c r="N327"/>
  <c r="N328"/>
  <c r="N329"/>
  <c r="N330"/>
  <c r="N331"/>
  <c r="N332"/>
  <c r="N333"/>
  <c r="N334"/>
  <c r="N335"/>
  <c r="N336"/>
  <c r="N337"/>
  <c r="N338"/>
  <c r="N339"/>
  <c r="N340"/>
  <c r="N341"/>
  <c r="N342"/>
  <c r="N343"/>
  <c r="N344"/>
  <c r="N345"/>
  <c r="N346"/>
  <c r="N347"/>
  <c r="N348"/>
  <c r="N349"/>
  <c r="N350"/>
  <c r="N351"/>
  <c r="N352"/>
  <c r="N353"/>
  <c r="N354"/>
  <c r="N355"/>
  <c r="N356"/>
  <c r="N357"/>
  <c r="N358"/>
  <c r="N359"/>
  <c r="N360"/>
  <c r="N361"/>
  <c r="N362"/>
  <c r="N363"/>
  <c r="N364"/>
  <c r="N365"/>
  <c r="N366"/>
  <c r="N367"/>
  <c r="N368"/>
  <c r="N369"/>
  <c r="N370"/>
  <c r="N371"/>
  <c r="N372"/>
  <c r="N373"/>
  <c r="N374"/>
  <c r="N375"/>
  <c r="N376"/>
  <c r="N377"/>
  <c r="N378"/>
  <c r="N379"/>
  <c r="N380"/>
  <c r="N381"/>
  <c r="N382"/>
  <c r="N383"/>
  <c r="N384"/>
  <c r="N385"/>
  <c r="N386"/>
  <c r="N387"/>
  <c r="N388"/>
  <c r="N389"/>
  <c r="N390"/>
  <c r="N391"/>
  <c r="N392"/>
  <c r="N393"/>
  <c r="N394"/>
  <c r="N395"/>
  <c r="N396"/>
  <c r="N397"/>
  <c r="N398"/>
  <c r="N399"/>
  <c r="N400"/>
  <c r="N401"/>
  <c r="N402"/>
  <c r="N403"/>
  <c r="N404"/>
  <c r="N405"/>
  <c r="N406"/>
  <c r="N407"/>
  <c r="N408"/>
  <c r="N409"/>
  <c r="N410"/>
  <c r="N411"/>
  <c r="N412"/>
  <c r="N413"/>
  <c r="N414"/>
  <c r="N415"/>
  <c r="N416"/>
  <c r="N417"/>
  <c r="N418"/>
  <c r="N419"/>
  <c r="N420"/>
  <c r="N421"/>
  <c r="N422"/>
  <c r="N423"/>
  <c r="N424"/>
  <c r="N425"/>
  <c r="N426"/>
  <c r="N427"/>
  <c r="N428"/>
  <c r="N429"/>
  <c r="N430"/>
  <c r="N431"/>
  <c r="N432"/>
  <c r="N433"/>
  <c r="N434"/>
  <c r="N435"/>
  <c r="N436"/>
  <c r="N437"/>
  <c r="N438"/>
  <c r="N439"/>
  <c r="N440"/>
  <c r="N441"/>
  <c r="N442"/>
  <c r="N443"/>
  <c r="N444"/>
  <c r="N445"/>
  <c r="N446"/>
  <c r="N447"/>
  <c r="N448"/>
  <c r="N449"/>
  <c r="N450"/>
  <c r="N451"/>
  <c r="N452"/>
  <c r="N453"/>
  <c r="N454"/>
  <c r="N455"/>
  <c r="N456"/>
  <c r="N457"/>
  <c r="N458"/>
  <c r="N459"/>
  <c r="N460"/>
  <c r="N461"/>
  <c r="N462"/>
  <c r="N463"/>
  <c r="N464"/>
  <c r="N465"/>
  <c r="N466"/>
  <c r="N467"/>
  <c r="N468"/>
  <c r="N469"/>
  <c r="N470"/>
  <c r="N471"/>
  <c r="N472"/>
  <c r="N473"/>
  <c r="N474"/>
  <c r="N475"/>
  <c r="N476"/>
  <c r="N477"/>
  <c r="N478"/>
  <c r="N479"/>
  <c r="N480"/>
  <c r="N481"/>
  <c r="N482"/>
  <c r="N483"/>
  <c r="N484"/>
  <c r="N485"/>
  <c r="N486"/>
  <c r="N487"/>
  <c r="N488"/>
  <c r="N489"/>
  <c r="N490"/>
  <c r="N491"/>
  <c r="N492"/>
  <c r="N493"/>
  <c r="N494"/>
  <c r="N495"/>
  <c r="N496"/>
  <c r="N497"/>
  <c r="N498"/>
  <c r="N499"/>
  <c r="N500"/>
  <c r="N501"/>
  <c r="N502"/>
  <c r="N503"/>
  <c r="N504"/>
  <c r="N505"/>
  <c r="N506"/>
  <c r="N507"/>
  <c r="N508"/>
  <c r="N509"/>
  <c r="N510"/>
  <c r="N511"/>
  <c r="N512"/>
  <c r="N513"/>
  <c r="N514"/>
  <c r="N515"/>
  <c r="N516"/>
  <c r="N517"/>
  <c r="N518"/>
  <c r="N519"/>
  <c r="N520"/>
  <c r="N521"/>
  <c r="N522"/>
  <c r="N523"/>
  <c r="N524"/>
  <c r="N525"/>
  <c r="N526"/>
  <c r="N527"/>
  <c r="N528"/>
  <c r="N529"/>
  <c r="N530"/>
  <c r="N531"/>
  <c r="N532"/>
  <c r="N533"/>
  <c r="N534"/>
  <c r="N535"/>
  <c r="N536"/>
  <c r="N537"/>
  <c r="N538"/>
  <c r="N539"/>
  <c r="N540"/>
  <c r="N541"/>
  <c r="N542"/>
  <c r="N543"/>
  <c r="N544"/>
  <c r="N545"/>
  <c r="N546"/>
  <c r="N547"/>
  <c r="N548"/>
  <c r="N549"/>
  <c r="N550"/>
  <c r="N551"/>
  <c r="N552"/>
  <c r="N553"/>
  <c r="N554"/>
  <c r="N555"/>
  <c r="N556"/>
  <c r="N557"/>
  <c r="N558"/>
  <c r="N559"/>
  <c r="N560"/>
  <c r="N561"/>
  <c r="N2"/>
  <c r="B3" i="1"/>
  <c r="E561" i="2" l="1"/>
  <c r="F561" s="1"/>
  <c r="C561"/>
  <c r="I561"/>
  <c r="J561" s="1"/>
  <c r="G561"/>
  <c r="E559"/>
  <c r="F559" s="1"/>
  <c r="C559"/>
  <c r="I559"/>
  <c r="J559" s="1"/>
  <c r="G559"/>
  <c r="E557"/>
  <c r="F557" s="1"/>
  <c r="C557"/>
  <c r="I557"/>
  <c r="J557" s="1"/>
  <c r="G557"/>
  <c r="E555"/>
  <c r="F555" s="1"/>
  <c r="C555"/>
  <c r="I555"/>
  <c r="J555" s="1"/>
  <c r="G555"/>
  <c r="E553"/>
  <c r="F553" s="1"/>
  <c r="C553"/>
  <c r="I553"/>
  <c r="J553" s="1"/>
  <c r="G553"/>
  <c r="E551"/>
  <c r="F551" s="1"/>
  <c r="C551"/>
  <c r="I551"/>
  <c r="J551" s="1"/>
  <c r="G551"/>
  <c r="E549"/>
  <c r="F549" s="1"/>
  <c r="C549"/>
  <c r="I549"/>
  <c r="J549" s="1"/>
  <c r="G549"/>
  <c r="E547"/>
  <c r="F547" s="1"/>
  <c r="C547"/>
  <c r="I547"/>
  <c r="J547" s="1"/>
  <c r="G547"/>
  <c r="E545"/>
  <c r="F545" s="1"/>
  <c r="C545"/>
  <c r="I545"/>
  <c r="J545" s="1"/>
  <c r="G545"/>
  <c r="E543"/>
  <c r="F543" s="1"/>
  <c r="C543"/>
  <c r="I543"/>
  <c r="J543" s="1"/>
  <c r="G543"/>
  <c r="E541"/>
  <c r="F541" s="1"/>
  <c r="C541"/>
  <c r="I541"/>
  <c r="J541" s="1"/>
  <c r="G541"/>
  <c r="E539"/>
  <c r="F539" s="1"/>
  <c r="C539"/>
  <c r="I539"/>
  <c r="J539" s="1"/>
  <c r="G539"/>
  <c r="E537"/>
  <c r="F537" s="1"/>
  <c r="C537"/>
  <c r="I537"/>
  <c r="J537" s="1"/>
  <c r="G537"/>
  <c r="E535"/>
  <c r="F535" s="1"/>
  <c r="C535"/>
  <c r="I535"/>
  <c r="J535" s="1"/>
  <c r="G535"/>
  <c r="E533"/>
  <c r="F533" s="1"/>
  <c r="C533"/>
  <c r="I533"/>
  <c r="J533" s="1"/>
  <c r="G533"/>
  <c r="E531"/>
  <c r="F531" s="1"/>
  <c r="C531"/>
  <c r="I531"/>
  <c r="J531" s="1"/>
  <c r="G531"/>
  <c r="E529"/>
  <c r="F529" s="1"/>
  <c r="C529"/>
  <c r="I529"/>
  <c r="J529" s="1"/>
  <c r="G529"/>
  <c r="E527"/>
  <c r="F527" s="1"/>
  <c r="C527"/>
  <c r="I527"/>
  <c r="J527" s="1"/>
  <c r="G527"/>
  <c r="E525"/>
  <c r="F525" s="1"/>
  <c r="C525"/>
  <c r="I525"/>
  <c r="J525" s="1"/>
  <c r="G525"/>
  <c r="E523"/>
  <c r="F523" s="1"/>
  <c r="C523"/>
  <c r="I523"/>
  <c r="J523" s="1"/>
  <c r="G523"/>
  <c r="E521"/>
  <c r="F521" s="1"/>
  <c r="C521"/>
  <c r="I521"/>
  <c r="J521" s="1"/>
  <c r="G521"/>
  <c r="E519"/>
  <c r="F519" s="1"/>
  <c r="C519"/>
  <c r="I519"/>
  <c r="J519" s="1"/>
  <c r="G519"/>
  <c r="E517"/>
  <c r="F517" s="1"/>
  <c r="C517"/>
  <c r="I517"/>
  <c r="J517" s="1"/>
  <c r="G517"/>
  <c r="E515"/>
  <c r="F515" s="1"/>
  <c r="C515"/>
  <c r="I515"/>
  <c r="J515" s="1"/>
  <c r="G515"/>
  <c r="E2"/>
  <c r="C2"/>
  <c r="I2"/>
  <c r="G2"/>
  <c r="E560"/>
  <c r="F560" s="1"/>
  <c r="C560"/>
  <c r="I560"/>
  <c r="J560" s="1"/>
  <c r="G560"/>
  <c r="E558"/>
  <c r="F558" s="1"/>
  <c r="C558"/>
  <c r="I558"/>
  <c r="J558" s="1"/>
  <c r="G558"/>
  <c r="E556"/>
  <c r="F556" s="1"/>
  <c r="C556"/>
  <c r="I556"/>
  <c r="J556" s="1"/>
  <c r="G556"/>
  <c r="E554"/>
  <c r="F554" s="1"/>
  <c r="C554"/>
  <c r="I554"/>
  <c r="J554" s="1"/>
  <c r="G554"/>
  <c r="E552"/>
  <c r="F552" s="1"/>
  <c r="C552"/>
  <c r="I552"/>
  <c r="J552" s="1"/>
  <c r="G552"/>
  <c r="E550"/>
  <c r="F550" s="1"/>
  <c r="C550"/>
  <c r="I550"/>
  <c r="J550" s="1"/>
  <c r="G550"/>
  <c r="E548"/>
  <c r="F548" s="1"/>
  <c r="C548"/>
  <c r="I548"/>
  <c r="J548" s="1"/>
  <c r="G548"/>
  <c r="E546"/>
  <c r="F546" s="1"/>
  <c r="C546"/>
  <c r="I546"/>
  <c r="J546" s="1"/>
  <c r="G546"/>
  <c r="E544"/>
  <c r="F544" s="1"/>
  <c r="C544"/>
  <c r="I544"/>
  <c r="J544" s="1"/>
  <c r="G544"/>
  <c r="E542"/>
  <c r="F542" s="1"/>
  <c r="C542"/>
  <c r="I542"/>
  <c r="J542" s="1"/>
  <c r="G542"/>
  <c r="E540"/>
  <c r="F540" s="1"/>
  <c r="C540"/>
  <c r="I540"/>
  <c r="J540" s="1"/>
  <c r="G540"/>
  <c r="E538"/>
  <c r="F538" s="1"/>
  <c r="C538"/>
  <c r="I538"/>
  <c r="J538" s="1"/>
  <c r="G538"/>
  <c r="E536"/>
  <c r="F536" s="1"/>
  <c r="C536"/>
  <c r="I536"/>
  <c r="J536" s="1"/>
  <c r="G536"/>
  <c r="E534"/>
  <c r="F534" s="1"/>
  <c r="C534"/>
  <c r="I534"/>
  <c r="J534" s="1"/>
  <c r="G534"/>
  <c r="E532"/>
  <c r="F532" s="1"/>
  <c r="C532"/>
  <c r="I532"/>
  <c r="J532" s="1"/>
  <c r="G532"/>
  <c r="E530"/>
  <c r="F530" s="1"/>
  <c r="C530"/>
  <c r="I530"/>
  <c r="J530" s="1"/>
  <c r="G530"/>
  <c r="E528"/>
  <c r="F528" s="1"/>
  <c r="C528"/>
  <c r="I528"/>
  <c r="J528" s="1"/>
  <c r="G528"/>
  <c r="E526"/>
  <c r="F526" s="1"/>
  <c r="C526"/>
  <c r="I526"/>
  <c r="J526" s="1"/>
  <c r="G526"/>
  <c r="E524"/>
  <c r="F524" s="1"/>
  <c r="C524"/>
  <c r="I524"/>
  <c r="J524" s="1"/>
  <c r="G524"/>
  <c r="E522"/>
  <c r="F522" s="1"/>
  <c r="C522"/>
  <c r="I522"/>
  <c r="J522" s="1"/>
  <c r="G522"/>
  <c r="E520"/>
  <c r="F520" s="1"/>
  <c r="C520"/>
  <c r="I520"/>
  <c r="J520" s="1"/>
  <c r="G520"/>
  <c r="E518"/>
  <c r="F518" s="1"/>
  <c r="C518"/>
  <c r="I518"/>
  <c r="J518" s="1"/>
  <c r="G518"/>
  <c r="E516"/>
  <c r="F516" s="1"/>
  <c r="C516"/>
  <c r="I516"/>
  <c r="J516" s="1"/>
  <c r="G516"/>
  <c r="E513"/>
  <c r="F513" s="1"/>
  <c r="C513"/>
  <c r="I513"/>
  <c r="J513" s="1"/>
  <c r="G513"/>
  <c r="E511"/>
  <c r="F511" s="1"/>
  <c r="C511"/>
  <c r="I511"/>
  <c r="J511" s="1"/>
  <c r="G511"/>
  <c r="E509"/>
  <c r="F509" s="1"/>
  <c r="C509"/>
  <c r="I509"/>
  <c r="J509" s="1"/>
  <c r="G509"/>
  <c r="E507"/>
  <c r="F507" s="1"/>
  <c r="C507"/>
  <c r="I507"/>
  <c r="J507" s="1"/>
  <c r="G507"/>
  <c r="E505"/>
  <c r="F505" s="1"/>
  <c r="C505"/>
  <c r="I505"/>
  <c r="J505" s="1"/>
  <c r="G505"/>
  <c r="E503"/>
  <c r="F503" s="1"/>
  <c r="C503"/>
  <c r="I503"/>
  <c r="J503" s="1"/>
  <c r="G503"/>
  <c r="E501"/>
  <c r="F501" s="1"/>
  <c r="C501"/>
  <c r="I501"/>
  <c r="J501" s="1"/>
  <c r="G501"/>
  <c r="E499"/>
  <c r="F499" s="1"/>
  <c r="C499"/>
  <c r="I499"/>
  <c r="J499" s="1"/>
  <c r="G499"/>
  <c r="E497"/>
  <c r="F497" s="1"/>
  <c r="C497"/>
  <c r="I497"/>
  <c r="J497" s="1"/>
  <c r="G497"/>
  <c r="E495"/>
  <c r="F495" s="1"/>
  <c r="C495"/>
  <c r="I495"/>
  <c r="J495" s="1"/>
  <c r="G495"/>
  <c r="E493"/>
  <c r="F493" s="1"/>
  <c r="C493"/>
  <c r="I493"/>
  <c r="J493" s="1"/>
  <c r="G493"/>
  <c r="E491"/>
  <c r="F491" s="1"/>
  <c r="C491"/>
  <c r="I491"/>
  <c r="J491" s="1"/>
  <c r="G491"/>
  <c r="E489"/>
  <c r="F489" s="1"/>
  <c r="C489"/>
  <c r="I489"/>
  <c r="J489" s="1"/>
  <c r="G489"/>
  <c r="E487"/>
  <c r="F487" s="1"/>
  <c r="C487"/>
  <c r="I487"/>
  <c r="J487" s="1"/>
  <c r="G487"/>
  <c r="E485"/>
  <c r="F485" s="1"/>
  <c r="C485"/>
  <c r="I485"/>
  <c r="J485" s="1"/>
  <c r="G485"/>
  <c r="E483"/>
  <c r="F483" s="1"/>
  <c r="C483"/>
  <c r="I483"/>
  <c r="J483" s="1"/>
  <c r="G483"/>
  <c r="E481"/>
  <c r="F481" s="1"/>
  <c r="C481"/>
  <c r="I481"/>
  <c r="J481" s="1"/>
  <c r="G481"/>
  <c r="E479"/>
  <c r="F479" s="1"/>
  <c r="C479"/>
  <c r="I479"/>
  <c r="J479" s="1"/>
  <c r="G479"/>
  <c r="E477"/>
  <c r="F477" s="1"/>
  <c r="C477"/>
  <c r="I477"/>
  <c r="J477" s="1"/>
  <c r="G477"/>
  <c r="E475"/>
  <c r="F475" s="1"/>
  <c r="C475"/>
  <c r="I475"/>
  <c r="J475" s="1"/>
  <c r="G475"/>
  <c r="E473"/>
  <c r="F473" s="1"/>
  <c r="C473"/>
  <c r="I473"/>
  <c r="J473" s="1"/>
  <c r="G473"/>
  <c r="E471"/>
  <c r="F471" s="1"/>
  <c r="C471"/>
  <c r="I471"/>
  <c r="J471" s="1"/>
  <c r="G471"/>
  <c r="E469"/>
  <c r="F469" s="1"/>
  <c r="C469"/>
  <c r="I469"/>
  <c r="J469" s="1"/>
  <c r="G469"/>
  <c r="E467"/>
  <c r="F467" s="1"/>
  <c r="C467"/>
  <c r="I467"/>
  <c r="J467" s="1"/>
  <c r="G467"/>
  <c r="E465"/>
  <c r="F465" s="1"/>
  <c r="C465"/>
  <c r="I465"/>
  <c r="J465" s="1"/>
  <c r="G465"/>
  <c r="E463"/>
  <c r="F463" s="1"/>
  <c r="C463"/>
  <c r="I463"/>
  <c r="J463" s="1"/>
  <c r="G463"/>
  <c r="E461"/>
  <c r="F461" s="1"/>
  <c r="C461"/>
  <c r="I461"/>
  <c r="J461" s="1"/>
  <c r="G461"/>
  <c r="E459"/>
  <c r="F459" s="1"/>
  <c r="C459"/>
  <c r="I459"/>
  <c r="J459" s="1"/>
  <c r="G459"/>
  <c r="E457"/>
  <c r="F457" s="1"/>
  <c r="C457"/>
  <c r="I457"/>
  <c r="J457" s="1"/>
  <c r="G457"/>
  <c r="E455"/>
  <c r="F455" s="1"/>
  <c r="C455"/>
  <c r="I455"/>
  <c r="J455" s="1"/>
  <c r="G455"/>
  <c r="E453"/>
  <c r="F453" s="1"/>
  <c r="C453"/>
  <c r="I453"/>
  <c r="J453" s="1"/>
  <c r="G453"/>
  <c r="E451"/>
  <c r="F451" s="1"/>
  <c r="C451"/>
  <c r="I451"/>
  <c r="J451" s="1"/>
  <c r="G451"/>
  <c r="E449"/>
  <c r="F449" s="1"/>
  <c r="C449"/>
  <c r="I449"/>
  <c r="J449" s="1"/>
  <c r="G449"/>
  <c r="E447"/>
  <c r="C447"/>
  <c r="I447"/>
  <c r="G447"/>
  <c r="E445"/>
  <c r="F445" s="1"/>
  <c r="C445"/>
  <c r="I445"/>
  <c r="J445" s="1"/>
  <c r="G445"/>
  <c r="E443"/>
  <c r="F443" s="1"/>
  <c r="C443"/>
  <c r="I443"/>
  <c r="J443" s="1"/>
  <c r="G443"/>
  <c r="E441"/>
  <c r="F441" s="1"/>
  <c r="C441"/>
  <c r="I441"/>
  <c r="J441" s="1"/>
  <c r="G441"/>
  <c r="E439"/>
  <c r="F439" s="1"/>
  <c r="C439"/>
  <c r="I439"/>
  <c r="J439" s="1"/>
  <c r="G439"/>
  <c r="E437"/>
  <c r="F437" s="1"/>
  <c r="C437"/>
  <c r="I437"/>
  <c r="J437" s="1"/>
  <c r="G437"/>
  <c r="E435"/>
  <c r="F435" s="1"/>
  <c r="C435"/>
  <c r="I435"/>
  <c r="J435" s="1"/>
  <c r="G435"/>
  <c r="E433"/>
  <c r="F433" s="1"/>
  <c r="C433"/>
  <c r="I433"/>
  <c r="J433" s="1"/>
  <c r="G433"/>
  <c r="E431"/>
  <c r="F431" s="1"/>
  <c r="C431"/>
  <c r="I431"/>
  <c r="J431" s="1"/>
  <c r="G431"/>
  <c r="E429"/>
  <c r="F429" s="1"/>
  <c r="C429"/>
  <c r="I429"/>
  <c r="J429" s="1"/>
  <c r="G429"/>
  <c r="E427"/>
  <c r="F427" s="1"/>
  <c r="C427"/>
  <c r="I427"/>
  <c r="J427" s="1"/>
  <c r="G427"/>
  <c r="E425"/>
  <c r="F425" s="1"/>
  <c r="C425"/>
  <c r="I425"/>
  <c r="J425" s="1"/>
  <c r="G425"/>
  <c r="E423"/>
  <c r="F423" s="1"/>
  <c r="C423"/>
  <c r="I423"/>
  <c r="J423" s="1"/>
  <c r="G423"/>
  <c r="E421"/>
  <c r="F421" s="1"/>
  <c r="C421"/>
  <c r="I421"/>
  <c r="J421" s="1"/>
  <c r="G421"/>
  <c r="E419"/>
  <c r="F419" s="1"/>
  <c r="C419"/>
  <c r="I419"/>
  <c r="J419" s="1"/>
  <c r="G419"/>
  <c r="E417"/>
  <c r="F417" s="1"/>
  <c r="C417"/>
  <c r="I417"/>
  <c r="J417" s="1"/>
  <c r="G417"/>
  <c r="E415"/>
  <c r="F415" s="1"/>
  <c r="C415"/>
  <c r="I415"/>
  <c r="J415" s="1"/>
  <c r="G415"/>
  <c r="E413"/>
  <c r="F413" s="1"/>
  <c r="C413"/>
  <c r="I413"/>
  <c r="J413" s="1"/>
  <c r="G413"/>
  <c r="E411"/>
  <c r="F411" s="1"/>
  <c r="C411"/>
  <c r="I411"/>
  <c r="J411" s="1"/>
  <c r="G411"/>
  <c r="E409"/>
  <c r="F409" s="1"/>
  <c r="C409"/>
  <c r="I409"/>
  <c r="J409" s="1"/>
  <c r="G409"/>
  <c r="E407"/>
  <c r="F407" s="1"/>
  <c r="C407"/>
  <c r="I407"/>
  <c r="J407" s="1"/>
  <c r="G407"/>
  <c r="E405"/>
  <c r="F405" s="1"/>
  <c r="C405"/>
  <c r="I405"/>
  <c r="J405" s="1"/>
  <c r="G405"/>
  <c r="E403"/>
  <c r="F403" s="1"/>
  <c r="C403"/>
  <c r="I403"/>
  <c r="J403" s="1"/>
  <c r="G403"/>
  <c r="E401"/>
  <c r="F401" s="1"/>
  <c r="C401"/>
  <c r="I401"/>
  <c r="J401" s="1"/>
  <c r="G401"/>
  <c r="E399"/>
  <c r="F399" s="1"/>
  <c r="C399"/>
  <c r="I399"/>
  <c r="J399" s="1"/>
  <c r="G399"/>
  <c r="E397"/>
  <c r="F397" s="1"/>
  <c r="C397"/>
  <c r="I397"/>
  <c r="J397" s="1"/>
  <c r="G397"/>
  <c r="E395"/>
  <c r="F395" s="1"/>
  <c r="C395"/>
  <c r="I395"/>
  <c r="J395" s="1"/>
  <c r="G395"/>
  <c r="E393"/>
  <c r="F393" s="1"/>
  <c r="C393"/>
  <c r="I393"/>
  <c r="J393" s="1"/>
  <c r="G393"/>
  <c r="E391"/>
  <c r="F391" s="1"/>
  <c r="C391"/>
  <c r="I391"/>
  <c r="J391" s="1"/>
  <c r="G391"/>
  <c r="E389"/>
  <c r="F389" s="1"/>
  <c r="C389"/>
  <c r="I389"/>
  <c r="J389" s="1"/>
  <c r="G389"/>
  <c r="E387"/>
  <c r="F387" s="1"/>
  <c r="C387"/>
  <c r="I387"/>
  <c r="J387" s="1"/>
  <c r="G387"/>
  <c r="E385"/>
  <c r="F385" s="1"/>
  <c r="C385"/>
  <c r="I385"/>
  <c r="J385" s="1"/>
  <c r="G385"/>
  <c r="E383"/>
  <c r="F383" s="1"/>
  <c r="C383"/>
  <c r="I383"/>
  <c r="J383" s="1"/>
  <c r="G383"/>
  <c r="E381"/>
  <c r="F381" s="1"/>
  <c r="C381"/>
  <c r="I381"/>
  <c r="J381" s="1"/>
  <c r="G381"/>
  <c r="E379"/>
  <c r="F379" s="1"/>
  <c r="C379"/>
  <c r="I379"/>
  <c r="J379" s="1"/>
  <c r="G379"/>
  <c r="E377"/>
  <c r="F377" s="1"/>
  <c r="C377"/>
  <c r="I377"/>
  <c r="J377" s="1"/>
  <c r="G377"/>
  <c r="E375"/>
  <c r="F375" s="1"/>
  <c r="C375"/>
  <c r="I375"/>
  <c r="J375" s="1"/>
  <c r="G375"/>
  <c r="E373"/>
  <c r="F373" s="1"/>
  <c r="C373"/>
  <c r="I373"/>
  <c r="J373" s="1"/>
  <c r="G373"/>
  <c r="E371"/>
  <c r="F371" s="1"/>
  <c r="C371"/>
  <c r="I371"/>
  <c r="J371" s="1"/>
  <c r="G371"/>
  <c r="E369"/>
  <c r="F369" s="1"/>
  <c r="C369"/>
  <c r="I369"/>
  <c r="J369" s="1"/>
  <c r="G369"/>
  <c r="E367"/>
  <c r="F367" s="1"/>
  <c r="C367"/>
  <c r="I367"/>
  <c r="J367" s="1"/>
  <c r="G367"/>
  <c r="E365"/>
  <c r="F365" s="1"/>
  <c r="C365"/>
  <c r="I365"/>
  <c r="J365" s="1"/>
  <c r="G365"/>
  <c r="E363"/>
  <c r="F363" s="1"/>
  <c r="C363"/>
  <c r="I363"/>
  <c r="J363" s="1"/>
  <c r="G363"/>
  <c r="E361"/>
  <c r="F361" s="1"/>
  <c r="C361"/>
  <c r="I361"/>
  <c r="J361" s="1"/>
  <c r="G361"/>
  <c r="E359"/>
  <c r="F359" s="1"/>
  <c r="C359"/>
  <c r="I359"/>
  <c r="J359" s="1"/>
  <c r="G359"/>
  <c r="E357"/>
  <c r="F357" s="1"/>
  <c r="C357"/>
  <c r="I357"/>
  <c r="J357" s="1"/>
  <c r="G357"/>
  <c r="E355"/>
  <c r="F355" s="1"/>
  <c r="C355"/>
  <c r="I355"/>
  <c r="J355" s="1"/>
  <c r="G355"/>
  <c r="E353"/>
  <c r="F353" s="1"/>
  <c r="C353"/>
  <c r="I353"/>
  <c r="J353" s="1"/>
  <c r="G353"/>
  <c r="E351"/>
  <c r="F351" s="1"/>
  <c r="C351"/>
  <c r="I351"/>
  <c r="J351" s="1"/>
  <c r="G351"/>
  <c r="E349"/>
  <c r="F349" s="1"/>
  <c r="C349"/>
  <c r="I349"/>
  <c r="J349" s="1"/>
  <c r="G349"/>
  <c r="E347"/>
  <c r="F347" s="1"/>
  <c r="C347"/>
  <c r="I347"/>
  <c r="J347" s="1"/>
  <c r="G347"/>
  <c r="E345"/>
  <c r="C345"/>
  <c r="D345" s="1"/>
  <c r="I345"/>
  <c r="G345"/>
  <c r="E343"/>
  <c r="F343" s="1"/>
  <c r="C343"/>
  <c r="I343"/>
  <c r="J343" s="1"/>
  <c r="G343"/>
  <c r="E341"/>
  <c r="F341" s="1"/>
  <c r="C341"/>
  <c r="I341"/>
  <c r="J341" s="1"/>
  <c r="G341"/>
  <c r="E339"/>
  <c r="F339" s="1"/>
  <c r="C339"/>
  <c r="I339"/>
  <c r="J339" s="1"/>
  <c r="G339"/>
  <c r="E337"/>
  <c r="F337" s="1"/>
  <c r="C337"/>
  <c r="I337"/>
  <c r="J337" s="1"/>
  <c r="G337"/>
  <c r="E335"/>
  <c r="F335" s="1"/>
  <c r="C335"/>
  <c r="I335"/>
  <c r="J335" s="1"/>
  <c r="G335"/>
  <c r="E333"/>
  <c r="F333" s="1"/>
  <c r="C333"/>
  <c r="I333"/>
  <c r="J333" s="1"/>
  <c r="G333"/>
  <c r="E331"/>
  <c r="F331" s="1"/>
  <c r="C331"/>
  <c r="I331"/>
  <c r="J331" s="1"/>
  <c r="G331"/>
  <c r="E329"/>
  <c r="F329" s="1"/>
  <c r="C329"/>
  <c r="I329"/>
  <c r="J329" s="1"/>
  <c r="G329"/>
  <c r="E327"/>
  <c r="F327" s="1"/>
  <c r="C327"/>
  <c r="I327"/>
  <c r="J327" s="1"/>
  <c r="G327"/>
  <c r="E325"/>
  <c r="F325" s="1"/>
  <c r="C325"/>
  <c r="I325"/>
  <c r="J325" s="1"/>
  <c r="G325"/>
  <c r="E323"/>
  <c r="F323" s="1"/>
  <c r="C323"/>
  <c r="I323"/>
  <c r="J323" s="1"/>
  <c r="G323"/>
  <c r="E321"/>
  <c r="F321" s="1"/>
  <c r="C321"/>
  <c r="I321"/>
  <c r="J321" s="1"/>
  <c r="G321"/>
  <c r="E319"/>
  <c r="F319" s="1"/>
  <c r="C319"/>
  <c r="I319"/>
  <c r="J319" s="1"/>
  <c r="G319"/>
  <c r="E317"/>
  <c r="F317" s="1"/>
  <c r="C317"/>
  <c r="I317"/>
  <c r="J317" s="1"/>
  <c r="G317"/>
  <c r="E315"/>
  <c r="F315" s="1"/>
  <c r="C315"/>
  <c r="I315"/>
  <c r="J315" s="1"/>
  <c r="G315"/>
  <c r="E313"/>
  <c r="F313" s="1"/>
  <c r="C313"/>
  <c r="I313"/>
  <c r="J313" s="1"/>
  <c r="G313"/>
  <c r="E311"/>
  <c r="F311" s="1"/>
  <c r="C311"/>
  <c r="I311"/>
  <c r="J311" s="1"/>
  <c r="G311"/>
  <c r="E309"/>
  <c r="F309" s="1"/>
  <c r="C309"/>
  <c r="I309"/>
  <c r="J309" s="1"/>
  <c r="G309"/>
  <c r="E307"/>
  <c r="F307" s="1"/>
  <c r="C307"/>
  <c r="I307"/>
  <c r="J307" s="1"/>
  <c r="G307"/>
  <c r="E305"/>
  <c r="F305" s="1"/>
  <c r="C305"/>
  <c r="I305"/>
  <c r="J305" s="1"/>
  <c r="G305"/>
  <c r="E303"/>
  <c r="F303" s="1"/>
  <c r="C303"/>
  <c r="I303"/>
  <c r="J303" s="1"/>
  <c r="G303"/>
  <c r="E301"/>
  <c r="F301" s="1"/>
  <c r="C301"/>
  <c r="I301"/>
  <c r="J301" s="1"/>
  <c r="G301"/>
  <c r="E299"/>
  <c r="F299" s="1"/>
  <c r="C299"/>
  <c r="I299"/>
  <c r="J299" s="1"/>
  <c r="G299"/>
  <c r="E297"/>
  <c r="F297" s="1"/>
  <c r="C297"/>
  <c r="I297"/>
  <c r="J297" s="1"/>
  <c r="G297"/>
  <c r="E295"/>
  <c r="F295" s="1"/>
  <c r="C295"/>
  <c r="I295"/>
  <c r="J295" s="1"/>
  <c r="G295"/>
  <c r="E293"/>
  <c r="F293" s="1"/>
  <c r="C293"/>
  <c r="I293"/>
  <c r="J293" s="1"/>
  <c r="G293"/>
  <c r="E291"/>
  <c r="F291" s="1"/>
  <c r="C291"/>
  <c r="I291"/>
  <c r="J291" s="1"/>
  <c r="G291"/>
  <c r="E289"/>
  <c r="F289" s="1"/>
  <c r="C289"/>
  <c r="I289"/>
  <c r="J289" s="1"/>
  <c r="G289"/>
  <c r="E287"/>
  <c r="F287" s="1"/>
  <c r="C287"/>
  <c r="I287"/>
  <c r="J287" s="1"/>
  <c r="G287"/>
  <c r="E285"/>
  <c r="F285" s="1"/>
  <c r="C285"/>
  <c r="I285"/>
  <c r="J285" s="1"/>
  <c r="G285"/>
  <c r="E283"/>
  <c r="F283" s="1"/>
  <c r="C283"/>
  <c r="I283"/>
  <c r="J283" s="1"/>
  <c r="G283"/>
  <c r="E281"/>
  <c r="F281" s="1"/>
  <c r="C281"/>
  <c r="I281"/>
  <c r="J281" s="1"/>
  <c r="G281"/>
  <c r="J279"/>
  <c r="E279"/>
  <c r="F279" s="1"/>
  <c r="C279"/>
  <c r="I279"/>
  <c r="G279"/>
  <c r="E277"/>
  <c r="F277" s="1"/>
  <c r="C277"/>
  <c r="I277"/>
  <c r="J277" s="1"/>
  <c r="G277"/>
  <c r="E275"/>
  <c r="F275" s="1"/>
  <c r="C275"/>
  <c r="I275"/>
  <c r="J275" s="1"/>
  <c r="G275"/>
  <c r="E273"/>
  <c r="F273" s="1"/>
  <c r="C273"/>
  <c r="I273"/>
  <c r="J273" s="1"/>
  <c r="G273"/>
  <c r="E271"/>
  <c r="F271" s="1"/>
  <c r="C271"/>
  <c r="I271"/>
  <c r="J271" s="1"/>
  <c r="G271"/>
  <c r="E269"/>
  <c r="F269" s="1"/>
  <c r="C269"/>
  <c r="I269"/>
  <c r="J269" s="1"/>
  <c r="G269"/>
  <c r="E267"/>
  <c r="F267" s="1"/>
  <c r="C267"/>
  <c r="I267"/>
  <c r="J267" s="1"/>
  <c r="G267"/>
  <c r="E265"/>
  <c r="F265" s="1"/>
  <c r="C265"/>
  <c r="I265"/>
  <c r="J265" s="1"/>
  <c r="G265"/>
  <c r="E263"/>
  <c r="F263" s="1"/>
  <c r="C263"/>
  <c r="I263"/>
  <c r="J263" s="1"/>
  <c r="G263"/>
  <c r="E261"/>
  <c r="F261" s="1"/>
  <c r="C261"/>
  <c r="I261"/>
  <c r="J261" s="1"/>
  <c r="G261"/>
  <c r="E259"/>
  <c r="F259" s="1"/>
  <c r="C259"/>
  <c r="I259"/>
  <c r="J259" s="1"/>
  <c r="G259"/>
  <c r="E257"/>
  <c r="F257" s="1"/>
  <c r="C257"/>
  <c r="I257"/>
  <c r="J257" s="1"/>
  <c r="G257"/>
  <c r="E255"/>
  <c r="F255" s="1"/>
  <c r="C255"/>
  <c r="I255"/>
  <c r="J255" s="1"/>
  <c r="G255"/>
  <c r="E253"/>
  <c r="F253" s="1"/>
  <c r="C253"/>
  <c r="I253"/>
  <c r="J253" s="1"/>
  <c r="G253"/>
  <c r="E251"/>
  <c r="F251" s="1"/>
  <c r="C251"/>
  <c r="I251"/>
  <c r="J251" s="1"/>
  <c r="G251"/>
  <c r="E249"/>
  <c r="F249" s="1"/>
  <c r="C249"/>
  <c r="I249"/>
  <c r="J249" s="1"/>
  <c r="G249"/>
  <c r="E247"/>
  <c r="F247" s="1"/>
  <c r="C247"/>
  <c r="I247"/>
  <c r="J247" s="1"/>
  <c r="G247"/>
  <c r="E245"/>
  <c r="F245" s="1"/>
  <c r="C245"/>
  <c r="I245"/>
  <c r="J245" s="1"/>
  <c r="G245"/>
  <c r="E243"/>
  <c r="F243" s="1"/>
  <c r="C243"/>
  <c r="I243"/>
  <c r="J243" s="1"/>
  <c r="G243"/>
  <c r="E241"/>
  <c r="F241" s="1"/>
  <c r="C241"/>
  <c r="I241"/>
  <c r="J241" s="1"/>
  <c r="G241"/>
  <c r="E239"/>
  <c r="F239" s="1"/>
  <c r="C239"/>
  <c r="I239"/>
  <c r="J239" s="1"/>
  <c r="G239"/>
  <c r="E237"/>
  <c r="F237" s="1"/>
  <c r="C237"/>
  <c r="I237"/>
  <c r="J237" s="1"/>
  <c r="G237"/>
  <c r="E235"/>
  <c r="F235" s="1"/>
  <c r="C235"/>
  <c r="I235"/>
  <c r="J235" s="1"/>
  <c r="G235"/>
  <c r="E233"/>
  <c r="F233" s="1"/>
  <c r="C233"/>
  <c r="I233"/>
  <c r="J233" s="1"/>
  <c r="G233"/>
  <c r="E231"/>
  <c r="F231" s="1"/>
  <c r="C231"/>
  <c r="I231"/>
  <c r="J231" s="1"/>
  <c r="G231"/>
  <c r="E229"/>
  <c r="F229" s="1"/>
  <c r="C229"/>
  <c r="I229"/>
  <c r="J229" s="1"/>
  <c r="G229"/>
  <c r="E227"/>
  <c r="F227" s="1"/>
  <c r="C227"/>
  <c r="I227"/>
  <c r="J227" s="1"/>
  <c r="G227"/>
  <c r="E225"/>
  <c r="F225" s="1"/>
  <c r="C225"/>
  <c r="I225"/>
  <c r="J225" s="1"/>
  <c r="G225"/>
  <c r="E223"/>
  <c r="F223" s="1"/>
  <c r="C223"/>
  <c r="I223"/>
  <c r="J223" s="1"/>
  <c r="G223"/>
  <c r="E221"/>
  <c r="F221" s="1"/>
  <c r="C221"/>
  <c r="I221"/>
  <c r="J221" s="1"/>
  <c r="G221"/>
  <c r="E219"/>
  <c r="F219" s="1"/>
  <c r="C219"/>
  <c r="I219"/>
  <c r="J219" s="1"/>
  <c r="G219"/>
  <c r="E217"/>
  <c r="F217" s="1"/>
  <c r="C217"/>
  <c r="I217"/>
  <c r="J217" s="1"/>
  <c r="G217"/>
  <c r="E215"/>
  <c r="F215" s="1"/>
  <c r="C215"/>
  <c r="I215"/>
  <c r="J215" s="1"/>
  <c r="G215"/>
  <c r="E213"/>
  <c r="F213" s="1"/>
  <c r="C213"/>
  <c r="I213"/>
  <c r="J213" s="1"/>
  <c r="G213"/>
  <c r="E211"/>
  <c r="F211" s="1"/>
  <c r="C211"/>
  <c r="I211"/>
  <c r="J211" s="1"/>
  <c r="G211"/>
  <c r="E209"/>
  <c r="F209" s="1"/>
  <c r="C209"/>
  <c r="I209"/>
  <c r="J209" s="1"/>
  <c r="G209"/>
  <c r="E207"/>
  <c r="F207" s="1"/>
  <c r="C207"/>
  <c r="I207"/>
  <c r="J207" s="1"/>
  <c r="G207"/>
  <c r="E205"/>
  <c r="F205" s="1"/>
  <c r="C205"/>
  <c r="I205"/>
  <c r="J205" s="1"/>
  <c r="G205"/>
  <c r="E203"/>
  <c r="F203" s="1"/>
  <c r="C203"/>
  <c r="I203"/>
  <c r="J203" s="1"/>
  <c r="G203"/>
  <c r="E201"/>
  <c r="F201" s="1"/>
  <c r="C201"/>
  <c r="I201"/>
  <c r="J201" s="1"/>
  <c r="G201"/>
  <c r="E199"/>
  <c r="F199" s="1"/>
  <c r="C199"/>
  <c r="I199"/>
  <c r="J199" s="1"/>
  <c r="G199"/>
  <c r="E197"/>
  <c r="F197" s="1"/>
  <c r="C197"/>
  <c r="I197"/>
  <c r="J197" s="1"/>
  <c r="G197"/>
  <c r="E195"/>
  <c r="F195" s="1"/>
  <c r="C195"/>
  <c r="I195"/>
  <c r="J195" s="1"/>
  <c r="G195"/>
  <c r="E193"/>
  <c r="F193" s="1"/>
  <c r="C193"/>
  <c r="I193"/>
  <c r="J193" s="1"/>
  <c r="G193"/>
  <c r="E191"/>
  <c r="F191" s="1"/>
  <c r="C191"/>
  <c r="I191"/>
  <c r="J191" s="1"/>
  <c r="G191"/>
  <c r="E189"/>
  <c r="F189" s="1"/>
  <c r="C189"/>
  <c r="I189"/>
  <c r="J189" s="1"/>
  <c r="G189"/>
  <c r="E187"/>
  <c r="F187" s="1"/>
  <c r="C187"/>
  <c r="I187"/>
  <c r="J187" s="1"/>
  <c r="G187"/>
  <c r="E185"/>
  <c r="F185" s="1"/>
  <c r="C185"/>
  <c r="I185"/>
  <c r="J185" s="1"/>
  <c r="G185"/>
  <c r="E183"/>
  <c r="F183" s="1"/>
  <c r="C183"/>
  <c r="I183"/>
  <c r="J183" s="1"/>
  <c r="G183"/>
  <c r="E181"/>
  <c r="F181" s="1"/>
  <c r="C181"/>
  <c r="I181"/>
  <c r="J181" s="1"/>
  <c r="G181"/>
  <c r="E179"/>
  <c r="F179" s="1"/>
  <c r="C179"/>
  <c r="I179"/>
  <c r="J179" s="1"/>
  <c r="G179"/>
  <c r="E177"/>
  <c r="F177" s="1"/>
  <c r="C177"/>
  <c r="I177"/>
  <c r="J177" s="1"/>
  <c r="G177"/>
  <c r="E175"/>
  <c r="F175" s="1"/>
  <c r="C175"/>
  <c r="I175"/>
  <c r="J175" s="1"/>
  <c r="G175"/>
  <c r="E173"/>
  <c r="F173" s="1"/>
  <c r="C173"/>
  <c r="I173"/>
  <c r="J173" s="1"/>
  <c r="G173"/>
  <c r="E171"/>
  <c r="F171" s="1"/>
  <c r="C171"/>
  <c r="I171"/>
  <c r="J171" s="1"/>
  <c r="G171"/>
  <c r="E169"/>
  <c r="F169" s="1"/>
  <c r="C169"/>
  <c r="I169"/>
  <c r="J169" s="1"/>
  <c r="G169"/>
  <c r="E167"/>
  <c r="F167" s="1"/>
  <c r="C167"/>
  <c r="I167"/>
  <c r="J167" s="1"/>
  <c r="G167"/>
  <c r="E165"/>
  <c r="F165" s="1"/>
  <c r="C165"/>
  <c r="I165"/>
  <c r="J165" s="1"/>
  <c r="G165"/>
  <c r="E163"/>
  <c r="F163" s="1"/>
  <c r="C163"/>
  <c r="I163"/>
  <c r="J163" s="1"/>
  <c r="G163"/>
  <c r="E161"/>
  <c r="F161" s="1"/>
  <c r="C161"/>
  <c r="I161"/>
  <c r="J161" s="1"/>
  <c r="G161"/>
  <c r="E159"/>
  <c r="F159" s="1"/>
  <c r="C159"/>
  <c r="I159"/>
  <c r="J159" s="1"/>
  <c r="G159"/>
  <c r="E157"/>
  <c r="F157" s="1"/>
  <c r="C157"/>
  <c r="I157"/>
  <c r="J157" s="1"/>
  <c r="G157"/>
  <c r="E155"/>
  <c r="F155" s="1"/>
  <c r="C155"/>
  <c r="I155"/>
  <c r="J155" s="1"/>
  <c r="G155"/>
  <c r="E153"/>
  <c r="F153" s="1"/>
  <c r="C153"/>
  <c r="I153"/>
  <c r="J153" s="1"/>
  <c r="G153"/>
  <c r="E151"/>
  <c r="F151" s="1"/>
  <c r="C151"/>
  <c r="I151"/>
  <c r="J151" s="1"/>
  <c r="G151"/>
  <c r="E149"/>
  <c r="F149" s="1"/>
  <c r="C149"/>
  <c r="I149"/>
  <c r="J149" s="1"/>
  <c r="G149"/>
  <c r="E147"/>
  <c r="F147" s="1"/>
  <c r="C147"/>
  <c r="I147"/>
  <c r="J147" s="1"/>
  <c r="G147"/>
  <c r="E145"/>
  <c r="F145" s="1"/>
  <c r="C145"/>
  <c r="I145"/>
  <c r="J145" s="1"/>
  <c r="G145"/>
  <c r="E143"/>
  <c r="F143" s="1"/>
  <c r="C143"/>
  <c r="I143"/>
  <c r="J143" s="1"/>
  <c r="G143"/>
  <c r="E141"/>
  <c r="F141" s="1"/>
  <c r="C141"/>
  <c r="I141"/>
  <c r="J141" s="1"/>
  <c r="G141"/>
  <c r="E139"/>
  <c r="F139" s="1"/>
  <c r="C139"/>
  <c r="I139"/>
  <c r="J139" s="1"/>
  <c r="G139"/>
  <c r="E137"/>
  <c r="F137" s="1"/>
  <c r="C137"/>
  <c r="I137"/>
  <c r="J137" s="1"/>
  <c r="G137"/>
  <c r="E135"/>
  <c r="F135" s="1"/>
  <c r="C135"/>
  <c r="I135"/>
  <c r="J135" s="1"/>
  <c r="G135"/>
  <c r="E133"/>
  <c r="F133" s="1"/>
  <c r="C133"/>
  <c r="I133"/>
  <c r="J133" s="1"/>
  <c r="G133"/>
  <c r="E131"/>
  <c r="F131" s="1"/>
  <c r="C131"/>
  <c r="I131"/>
  <c r="J131" s="1"/>
  <c r="G131"/>
  <c r="E129"/>
  <c r="F129" s="1"/>
  <c r="C129"/>
  <c r="I129"/>
  <c r="J129" s="1"/>
  <c r="G129"/>
  <c r="E127"/>
  <c r="F127" s="1"/>
  <c r="C127"/>
  <c r="I127"/>
  <c r="J127" s="1"/>
  <c r="G127"/>
  <c r="E125"/>
  <c r="F125" s="1"/>
  <c r="C125"/>
  <c r="I125"/>
  <c r="J125" s="1"/>
  <c r="G125"/>
  <c r="E123"/>
  <c r="F123" s="1"/>
  <c r="C123"/>
  <c r="I123"/>
  <c r="J123" s="1"/>
  <c r="G123"/>
  <c r="E121"/>
  <c r="F121" s="1"/>
  <c r="C121"/>
  <c r="I121"/>
  <c r="J121" s="1"/>
  <c r="G121"/>
  <c r="E119"/>
  <c r="F119" s="1"/>
  <c r="C119"/>
  <c r="I119"/>
  <c r="J119" s="1"/>
  <c r="G119"/>
  <c r="E117"/>
  <c r="F117" s="1"/>
  <c r="C117"/>
  <c r="I117"/>
  <c r="J117" s="1"/>
  <c r="G117"/>
  <c r="E115"/>
  <c r="F115" s="1"/>
  <c r="C115"/>
  <c r="I115"/>
  <c r="J115" s="1"/>
  <c r="G115"/>
  <c r="E113"/>
  <c r="F113" s="1"/>
  <c r="C113"/>
  <c r="I113"/>
  <c r="J113" s="1"/>
  <c r="G113"/>
  <c r="E111"/>
  <c r="F111" s="1"/>
  <c r="C111"/>
  <c r="I111"/>
  <c r="J111" s="1"/>
  <c r="G111"/>
  <c r="E109"/>
  <c r="F109" s="1"/>
  <c r="C109"/>
  <c r="I109"/>
  <c r="J109" s="1"/>
  <c r="G109"/>
  <c r="E107"/>
  <c r="F107" s="1"/>
  <c r="C107"/>
  <c r="I107"/>
  <c r="J107" s="1"/>
  <c r="G107"/>
  <c r="E105"/>
  <c r="F105" s="1"/>
  <c r="C105"/>
  <c r="I105"/>
  <c r="J105" s="1"/>
  <c r="G105"/>
  <c r="E103"/>
  <c r="F103" s="1"/>
  <c r="C103"/>
  <c r="I103"/>
  <c r="J103" s="1"/>
  <c r="G103"/>
  <c r="E101"/>
  <c r="F101" s="1"/>
  <c r="C101"/>
  <c r="I101"/>
  <c r="J101" s="1"/>
  <c r="G101"/>
  <c r="E99"/>
  <c r="F99" s="1"/>
  <c r="C99"/>
  <c r="I99"/>
  <c r="J99" s="1"/>
  <c r="G99"/>
  <c r="E97"/>
  <c r="F97" s="1"/>
  <c r="C97"/>
  <c r="I97"/>
  <c r="J97" s="1"/>
  <c r="G97"/>
  <c r="E95"/>
  <c r="F95" s="1"/>
  <c r="C95"/>
  <c r="I95"/>
  <c r="J95" s="1"/>
  <c r="G95"/>
  <c r="E93"/>
  <c r="F93" s="1"/>
  <c r="C93"/>
  <c r="I93"/>
  <c r="J93" s="1"/>
  <c r="G93"/>
  <c r="E91"/>
  <c r="F91" s="1"/>
  <c r="C91"/>
  <c r="I91"/>
  <c r="J91" s="1"/>
  <c r="G91"/>
  <c r="E89"/>
  <c r="F89" s="1"/>
  <c r="C89"/>
  <c r="I89"/>
  <c r="J89" s="1"/>
  <c r="G89"/>
  <c r="E87"/>
  <c r="F87" s="1"/>
  <c r="C87"/>
  <c r="I87"/>
  <c r="J87" s="1"/>
  <c r="G87"/>
  <c r="E85"/>
  <c r="F85" s="1"/>
  <c r="C85"/>
  <c r="I85"/>
  <c r="J85" s="1"/>
  <c r="G85"/>
  <c r="E83"/>
  <c r="F83" s="1"/>
  <c r="C83"/>
  <c r="I83"/>
  <c r="J83" s="1"/>
  <c r="G83"/>
  <c r="E81"/>
  <c r="F81" s="1"/>
  <c r="C81"/>
  <c r="I81"/>
  <c r="J81" s="1"/>
  <c r="G81"/>
  <c r="E79"/>
  <c r="F79" s="1"/>
  <c r="C79"/>
  <c r="I79"/>
  <c r="J79" s="1"/>
  <c r="G79"/>
  <c r="E77"/>
  <c r="F77" s="1"/>
  <c r="C77"/>
  <c r="I77"/>
  <c r="J77" s="1"/>
  <c r="G77"/>
  <c r="E75"/>
  <c r="F75" s="1"/>
  <c r="C75"/>
  <c r="I75"/>
  <c r="J75" s="1"/>
  <c r="G75"/>
  <c r="E73"/>
  <c r="F73" s="1"/>
  <c r="C73"/>
  <c r="I73"/>
  <c r="J73" s="1"/>
  <c r="G73"/>
  <c r="E71"/>
  <c r="F71" s="1"/>
  <c r="C71"/>
  <c r="I71"/>
  <c r="J71" s="1"/>
  <c r="G71"/>
  <c r="E69"/>
  <c r="F69" s="1"/>
  <c r="C69"/>
  <c r="I69"/>
  <c r="J69" s="1"/>
  <c r="G69"/>
  <c r="E67"/>
  <c r="F67" s="1"/>
  <c r="C67"/>
  <c r="I67"/>
  <c r="J67" s="1"/>
  <c r="G67"/>
  <c r="E65"/>
  <c r="F65" s="1"/>
  <c r="C65"/>
  <c r="I65"/>
  <c r="J65" s="1"/>
  <c r="G65"/>
  <c r="E63"/>
  <c r="F63" s="1"/>
  <c r="C63"/>
  <c r="I63"/>
  <c r="J63" s="1"/>
  <c r="G63"/>
  <c r="E61"/>
  <c r="F61" s="1"/>
  <c r="C61"/>
  <c r="I61"/>
  <c r="J61" s="1"/>
  <c r="G61"/>
  <c r="E59"/>
  <c r="F59" s="1"/>
  <c r="C59"/>
  <c r="I59"/>
  <c r="J59" s="1"/>
  <c r="G59"/>
  <c r="E57"/>
  <c r="F57" s="1"/>
  <c r="C57"/>
  <c r="I57"/>
  <c r="J57" s="1"/>
  <c r="G57"/>
  <c r="E55"/>
  <c r="F55" s="1"/>
  <c r="C55"/>
  <c r="I55"/>
  <c r="J55" s="1"/>
  <c r="G55"/>
  <c r="E53"/>
  <c r="F53" s="1"/>
  <c r="C53"/>
  <c r="I53"/>
  <c r="J53" s="1"/>
  <c r="G53"/>
  <c r="E51"/>
  <c r="F51" s="1"/>
  <c r="C51"/>
  <c r="I51"/>
  <c r="J51" s="1"/>
  <c r="G51"/>
  <c r="E49"/>
  <c r="F49" s="1"/>
  <c r="C49"/>
  <c r="I49"/>
  <c r="J49" s="1"/>
  <c r="G49"/>
  <c r="E47"/>
  <c r="F47" s="1"/>
  <c r="C47"/>
  <c r="I47"/>
  <c r="J47" s="1"/>
  <c r="G47"/>
  <c r="E45"/>
  <c r="F45" s="1"/>
  <c r="C45"/>
  <c r="I45"/>
  <c r="J45" s="1"/>
  <c r="G45"/>
  <c r="E43"/>
  <c r="F43" s="1"/>
  <c r="C43"/>
  <c r="I43"/>
  <c r="J43" s="1"/>
  <c r="G43"/>
  <c r="E41"/>
  <c r="F41" s="1"/>
  <c r="C41"/>
  <c r="I41"/>
  <c r="J41" s="1"/>
  <c r="G41"/>
  <c r="E39"/>
  <c r="F39" s="1"/>
  <c r="C39"/>
  <c r="I39"/>
  <c r="J39" s="1"/>
  <c r="G39"/>
  <c r="E37"/>
  <c r="F37" s="1"/>
  <c r="C37"/>
  <c r="I37"/>
  <c r="J37" s="1"/>
  <c r="G37"/>
  <c r="E35"/>
  <c r="F35" s="1"/>
  <c r="C35"/>
  <c r="I35"/>
  <c r="J35" s="1"/>
  <c r="G35"/>
  <c r="E33"/>
  <c r="F33" s="1"/>
  <c r="C33"/>
  <c r="I33"/>
  <c r="J33" s="1"/>
  <c r="G33"/>
  <c r="E31"/>
  <c r="F31" s="1"/>
  <c r="C31"/>
  <c r="I31"/>
  <c r="J31" s="1"/>
  <c r="G31"/>
  <c r="E29"/>
  <c r="F29" s="1"/>
  <c r="C29"/>
  <c r="I29"/>
  <c r="J29" s="1"/>
  <c r="G29"/>
  <c r="E27"/>
  <c r="F27" s="1"/>
  <c r="C27"/>
  <c r="I27"/>
  <c r="J27" s="1"/>
  <c r="G27"/>
  <c r="E25"/>
  <c r="F25" s="1"/>
  <c r="C25"/>
  <c r="I25"/>
  <c r="J25" s="1"/>
  <c r="G25"/>
  <c r="E23"/>
  <c r="F23" s="1"/>
  <c r="C23"/>
  <c r="I23"/>
  <c r="J23" s="1"/>
  <c r="G23"/>
  <c r="E21"/>
  <c r="F21" s="1"/>
  <c r="C21"/>
  <c r="I21"/>
  <c r="J21" s="1"/>
  <c r="G21"/>
  <c r="E19"/>
  <c r="F19" s="1"/>
  <c r="C19"/>
  <c r="I19"/>
  <c r="J19" s="1"/>
  <c r="G19"/>
  <c r="E17"/>
  <c r="F17" s="1"/>
  <c r="C17"/>
  <c r="I17"/>
  <c r="J17" s="1"/>
  <c r="G17"/>
  <c r="E15"/>
  <c r="F15" s="1"/>
  <c r="C15"/>
  <c r="I15"/>
  <c r="J15" s="1"/>
  <c r="G15"/>
  <c r="E13"/>
  <c r="F13" s="1"/>
  <c r="C13"/>
  <c r="I13"/>
  <c r="J13" s="1"/>
  <c r="G13"/>
  <c r="E11"/>
  <c r="F11" s="1"/>
  <c r="C11"/>
  <c r="I11"/>
  <c r="J11" s="1"/>
  <c r="G11"/>
  <c r="E9"/>
  <c r="F9" s="1"/>
  <c r="C9"/>
  <c r="I9"/>
  <c r="J9" s="1"/>
  <c r="G9"/>
  <c r="E7"/>
  <c r="F7" s="1"/>
  <c r="C7"/>
  <c r="I7"/>
  <c r="J7" s="1"/>
  <c r="G7"/>
  <c r="E5"/>
  <c r="F5" s="1"/>
  <c r="C5"/>
  <c r="I5"/>
  <c r="J5" s="1"/>
  <c r="G5"/>
  <c r="E3"/>
  <c r="F3" s="1"/>
  <c r="C3"/>
  <c r="I3"/>
  <c r="J3" s="1"/>
  <c r="G3"/>
  <c r="E514"/>
  <c r="F514" s="1"/>
  <c r="C514"/>
  <c r="I514"/>
  <c r="J514" s="1"/>
  <c r="G514"/>
  <c r="E512"/>
  <c r="F512" s="1"/>
  <c r="C512"/>
  <c r="I512"/>
  <c r="J512" s="1"/>
  <c r="G512"/>
  <c r="E510"/>
  <c r="F510" s="1"/>
  <c r="C510"/>
  <c r="I510"/>
  <c r="J510" s="1"/>
  <c r="G510"/>
  <c r="E508"/>
  <c r="F508" s="1"/>
  <c r="C508"/>
  <c r="I508"/>
  <c r="J508" s="1"/>
  <c r="G508"/>
  <c r="E506"/>
  <c r="F506" s="1"/>
  <c r="C506"/>
  <c r="I506"/>
  <c r="J506" s="1"/>
  <c r="G506"/>
  <c r="E504"/>
  <c r="F504" s="1"/>
  <c r="C504"/>
  <c r="I504"/>
  <c r="J504" s="1"/>
  <c r="G504"/>
  <c r="E502"/>
  <c r="F502" s="1"/>
  <c r="C502"/>
  <c r="I502"/>
  <c r="J502" s="1"/>
  <c r="G502"/>
  <c r="E500"/>
  <c r="F500" s="1"/>
  <c r="C500"/>
  <c r="I500"/>
  <c r="J500" s="1"/>
  <c r="G500"/>
  <c r="E498"/>
  <c r="F498" s="1"/>
  <c r="C498"/>
  <c r="I498"/>
  <c r="J498" s="1"/>
  <c r="G498"/>
  <c r="E496"/>
  <c r="F496" s="1"/>
  <c r="C496"/>
  <c r="I496"/>
  <c r="J496" s="1"/>
  <c r="G496"/>
  <c r="E494"/>
  <c r="F494" s="1"/>
  <c r="C494"/>
  <c r="I494"/>
  <c r="J494" s="1"/>
  <c r="G494"/>
  <c r="E492"/>
  <c r="F492" s="1"/>
  <c r="C492"/>
  <c r="I492"/>
  <c r="J492" s="1"/>
  <c r="G492"/>
  <c r="E490"/>
  <c r="F490" s="1"/>
  <c r="C490"/>
  <c r="I490"/>
  <c r="J490" s="1"/>
  <c r="G490"/>
  <c r="E488"/>
  <c r="F488" s="1"/>
  <c r="C488"/>
  <c r="I488"/>
  <c r="J488" s="1"/>
  <c r="G488"/>
  <c r="E486"/>
  <c r="F486" s="1"/>
  <c r="C486"/>
  <c r="I486"/>
  <c r="J486" s="1"/>
  <c r="G486"/>
  <c r="E484"/>
  <c r="F484" s="1"/>
  <c r="C484"/>
  <c r="I484"/>
  <c r="J484" s="1"/>
  <c r="G484"/>
  <c r="E482"/>
  <c r="F482" s="1"/>
  <c r="C482"/>
  <c r="I482"/>
  <c r="J482" s="1"/>
  <c r="G482"/>
  <c r="E480"/>
  <c r="F480" s="1"/>
  <c r="C480"/>
  <c r="I480"/>
  <c r="J480" s="1"/>
  <c r="G480"/>
  <c r="E478"/>
  <c r="F478" s="1"/>
  <c r="C478"/>
  <c r="I478"/>
  <c r="J478" s="1"/>
  <c r="G478"/>
  <c r="E476"/>
  <c r="F476" s="1"/>
  <c r="C476"/>
  <c r="I476"/>
  <c r="J476" s="1"/>
  <c r="G476"/>
  <c r="E474"/>
  <c r="F474" s="1"/>
  <c r="C474"/>
  <c r="I474"/>
  <c r="J474" s="1"/>
  <c r="G474"/>
  <c r="E472"/>
  <c r="F472" s="1"/>
  <c r="C472"/>
  <c r="I472"/>
  <c r="J472" s="1"/>
  <c r="G472"/>
  <c r="E470"/>
  <c r="F470" s="1"/>
  <c r="C470"/>
  <c r="I470"/>
  <c r="J470" s="1"/>
  <c r="G470"/>
  <c r="E468"/>
  <c r="F468" s="1"/>
  <c r="C468"/>
  <c r="I468"/>
  <c r="J468" s="1"/>
  <c r="G468"/>
  <c r="E466"/>
  <c r="F466" s="1"/>
  <c r="C466"/>
  <c r="I466"/>
  <c r="J466" s="1"/>
  <c r="G466"/>
  <c r="E464"/>
  <c r="F464" s="1"/>
  <c r="C464"/>
  <c r="I464"/>
  <c r="J464" s="1"/>
  <c r="G464"/>
  <c r="E462"/>
  <c r="F462" s="1"/>
  <c r="C462"/>
  <c r="I462"/>
  <c r="J462" s="1"/>
  <c r="G462"/>
  <c r="E460"/>
  <c r="F460" s="1"/>
  <c r="C460"/>
  <c r="I460"/>
  <c r="J460" s="1"/>
  <c r="G460"/>
  <c r="E458"/>
  <c r="F458" s="1"/>
  <c r="C458"/>
  <c r="I458"/>
  <c r="J458" s="1"/>
  <c r="G458"/>
  <c r="E456"/>
  <c r="F456" s="1"/>
  <c r="C456"/>
  <c r="I456"/>
  <c r="J456" s="1"/>
  <c r="G456"/>
  <c r="E454"/>
  <c r="F454" s="1"/>
  <c r="C454"/>
  <c r="I454"/>
  <c r="J454" s="1"/>
  <c r="G454"/>
  <c r="E452"/>
  <c r="F452" s="1"/>
  <c r="C452"/>
  <c r="I452"/>
  <c r="J452" s="1"/>
  <c r="G452"/>
  <c r="E450"/>
  <c r="C450"/>
  <c r="I450"/>
  <c r="G450"/>
  <c r="E448"/>
  <c r="C448"/>
  <c r="I448"/>
  <c r="G448"/>
  <c r="E446"/>
  <c r="F446" s="1"/>
  <c r="C446"/>
  <c r="I446"/>
  <c r="J446" s="1"/>
  <c r="G446"/>
  <c r="E444"/>
  <c r="F444" s="1"/>
  <c r="C444"/>
  <c r="I444"/>
  <c r="J444" s="1"/>
  <c r="G444"/>
  <c r="E442"/>
  <c r="F442" s="1"/>
  <c r="C442"/>
  <c r="I442"/>
  <c r="J442" s="1"/>
  <c r="G442"/>
  <c r="E440"/>
  <c r="F440" s="1"/>
  <c r="C440"/>
  <c r="I440"/>
  <c r="J440" s="1"/>
  <c r="G440"/>
  <c r="E438"/>
  <c r="F438" s="1"/>
  <c r="C438"/>
  <c r="I438"/>
  <c r="J438" s="1"/>
  <c r="G438"/>
  <c r="E436"/>
  <c r="F436" s="1"/>
  <c r="C436"/>
  <c r="I436"/>
  <c r="J436" s="1"/>
  <c r="G436"/>
  <c r="E434"/>
  <c r="F434" s="1"/>
  <c r="C434"/>
  <c r="I434"/>
  <c r="J434" s="1"/>
  <c r="G434"/>
  <c r="E432"/>
  <c r="F432" s="1"/>
  <c r="C432"/>
  <c r="I432"/>
  <c r="J432" s="1"/>
  <c r="G432"/>
  <c r="E430"/>
  <c r="F430" s="1"/>
  <c r="C430"/>
  <c r="I430"/>
  <c r="J430" s="1"/>
  <c r="G430"/>
  <c r="E428"/>
  <c r="F428" s="1"/>
  <c r="C428"/>
  <c r="I428"/>
  <c r="J428" s="1"/>
  <c r="G428"/>
  <c r="E426"/>
  <c r="F426" s="1"/>
  <c r="C426"/>
  <c r="I426"/>
  <c r="J426" s="1"/>
  <c r="G426"/>
  <c r="E424"/>
  <c r="F424" s="1"/>
  <c r="C424"/>
  <c r="I424"/>
  <c r="J424" s="1"/>
  <c r="G424"/>
  <c r="E422"/>
  <c r="F422" s="1"/>
  <c r="C422"/>
  <c r="I422"/>
  <c r="J422" s="1"/>
  <c r="G422"/>
  <c r="E420"/>
  <c r="F420" s="1"/>
  <c r="C420"/>
  <c r="I420"/>
  <c r="J420" s="1"/>
  <c r="G420"/>
  <c r="E418"/>
  <c r="F418" s="1"/>
  <c r="C418"/>
  <c r="I418"/>
  <c r="J418" s="1"/>
  <c r="G418"/>
  <c r="E416"/>
  <c r="F416" s="1"/>
  <c r="C416"/>
  <c r="I416"/>
  <c r="J416" s="1"/>
  <c r="G416"/>
  <c r="E414"/>
  <c r="F414" s="1"/>
  <c r="C414"/>
  <c r="I414"/>
  <c r="J414" s="1"/>
  <c r="G414"/>
  <c r="E412"/>
  <c r="F412" s="1"/>
  <c r="C412"/>
  <c r="I412"/>
  <c r="J412" s="1"/>
  <c r="G412"/>
  <c r="E410"/>
  <c r="F410" s="1"/>
  <c r="C410"/>
  <c r="I410"/>
  <c r="J410" s="1"/>
  <c r="G410"/>
  <c r="E408"/>
  <c r="F408" s="1"/>
  <c r="C408"/>
  <c r="I408"/>
  <c r="J408" s="1"/>
  <c r="G408"/>
  <c r="E406"/>
  <c r="F406" s="1"/>
  <c r="C406"/>
  <c r="I406"/>
  <c r="J406" s="1"/>
  <c r="G406"/>
  <c r="E404"/>
  <c r="F404" s="1"/>
  <c r="C404"/>
  <c r="I404"/>
  <c r="J404" s="1"/>
  <c r="G404"/>
  <c r="E402"/>
  <c r="F402" s="1"/>
  <c r="C402"/>
  <c r="I402"/>
  <c r="J402" s="1"/>
  <c r="G402"/>
  <c r="E400"/>
  <c r="F400" s="1"/>
  <c r="C400"/>
  <c r="I400"/>
  <c r="J400" s="1"/>
  <c r="G400"/>
  <c r="E398"/>
  <c r="F398" s="1"/>
  <c r="C398"/>
  <c r="I398"/>
  <c r="J398" s="1"/>
  <c r="G398"/>
  <c r="E396"/>
  <c r="F396" s="1"/>
  <c r="C396"/>
  <c r="I396"/>
  <c r="J396" s="1"/>
  <c r="G396"/>
  <c r="E394"/>
  <c r="F394" s="1"/>
  <c r="C394"/>
  <c r="I394"/>
  <c r="J394" s="1"/>
  <c r="G394"/>
  <c r="E392"/>
  <c r="F392" s="1"/>
  <c r="C392"/>
  <c r="I392"/>
  <c r="J392" s="1"/>
  <c r="G392"/>
  <c r="E390"/>
  <c r="F390" s="1"/>
  <c r="C390"/>
  <c r="I390"/>
  <c r="J390" s="1"/>
  <c r="G390"/>
  <c r="E388"/>
  <c r="F388" s="1"/>
  <c r="C388"/>
  <c r="I388"/>
  <c r="J388" s="1"/>
  <c r="G388"/>
  <c r="E386"/>
  <c r="F386" s="1"/>
  <c r="C386"/>
  <c r="I386"/>
  <c r="J386" s="1"/>
  <c r="G386"/>
  <c r="E384"/>
  <c r="F384" s="1"/>
  <c r="C384"/>
  <c r="I384"/>
  <c r="J384" s="1"/>
  <c r="G384"/>
  <c r="E382"/>
  <c r="F382" s="1"/>
  <c r="C382"/>
  <c r="I382"/>
  <c r="J382" s="1"/>
  <c r="G382"/>
  <c r="E380"/>
  <c r="F380" s="1"/>
  <c r="C380"/>
  <c r="I380"/>
  <c r="J380" s="1"/>
  <c r="G380"/>
  <c r="E378"/>
  <c r="F378" s="1"/>
  <c r="C378"/>
  <c r="I378"/>
  <c r="J378" s="1"/>
  <c r="G378"/>
  <c r="E376"/>
  <c r="F376" s="1"/>
  <c r="C376"/>
  <c r="I376"/>
  <c r="J376" s="1"/>
  <c r="G376"/>
  <c r="E374"/>
  <c r="F374" s="1"/>
  <c r="C374"/>
  <c r="I374"/>
  <c r="J374" s="1"/>
  <c r="G374"/>
  <c r="E372"/>
  <c r="F372" s="1"/>
  <c r="C372"/>
  <c r="I372"/>
  <c r="J372" s="1"/>
  <c r="G372"/>
  <c r="E370"/>
  <c r="F370" s="1"/>
  <c r="C370"/>
  <c r="I370"/>
  <c r="J370" s="1"/>
  <c r="G370"/>
  <c r="E368"/>
  <c r="F368" s="1"/>
  <c r="C368"/>
  <c r="I368"/>
  <c r="J368" s="1"/>
  <c r="G368"/>
  <c r="E366"/>
  <c r="F366" s="1"/>
  <c r="C366"/>
  <c r="I366"/>
  <c r="J366" s="1"/>
  <c r="G366"/>
  <c r="E364"/>
  <c r="F364" s="1"/>
  <c r="C364"/>
  <c r="I364"/>
  <c r="J364" s="1"/>
  <c r="G364"/>
  <c r="E362"/>
  <c r="F362" s="1"/>
  <c r="C362"/>
  <c r="I362"/>
  <c r="J362" s="1"/>
  <c r="G362"/>
  <c r="E360"/>
  <c r="F360" s="1"/>
  <c r="C360"/>
  <c r="I360"/>
  <c r="J360" s="1"/>
  <c r="G360"/>
  <c r="E358"/>
  <c r="F358" s="1"/>
  <c r="C358"/>
  <c r="I358"/>
  <c r="J358" s="1"/>
  <c r="G358"/>
  <c r="E356"/>
  <c r="F356" s="1"/>
  <c r="C356"/>
  <c r="I356"/>
  <c r="J356" s="1"/>
  <c r="G356"/>
  <c r="E354"/>
  <c r="F354" s="1"/>
  <c r="C354"/>
  <c r="I354"/>
  <c r="J354" s="1"/>
  <c r="G354"/>
  <c r="E352"/>
  <c r="F352" s="1"/>
  <c r="C352"/>
  <c r="I352"/>
  <c r="J352" s="1"/>
  <c r="G352"/>
  <c r="E350"/>
  <c r="F350" s="1"/>
  <c r="C350"/>
  <c r="I350"/>
  <c r="J350" s="1"/>
  <c r="G350"/>
  <c r="E348"/>
  <c r="F348" s="1"/>
  <c r="C348"/>
  <c r="I348"/>
  <c r="J348" s="1"/>
  <c r="G348"/>
  <c r="E346"/>
  <c r="C346"/>
  <c r="I346"/>
  <c r="G346"/>
  <c r="E344"/>
  <c r="C344"/>
  <c r="I344"/>
  <c r="G344"/>
  <c r="E342"/>
  <c r="F342" s="1"/>
  <c r="C342"/>
  <c r="I342"/>
  <c r="J342" s="1"/>
  <c r="G342"/>
  <c r="E340"/>
  <c r="F340" s="1"/>
  <c r="C340"/>
  <c r="I340"/>
  <c r="J340" s="1"/>
  <c r="G340"/>
  <c r="E338"/>
  <c r="F338" s="1"/>
  <c r="C338"/>
  <c r="I338"/>
  <c r="J338" s="1"/>
  <c r="G338"/>
  <c r="E336"/>
  <c r="F336" s="1"/>
  <c r="C336"/>
  <c r="I336"/>
  <c r="J336" s="1"/>
  <c r="G336"/>
  <c r="E334"/>
  <c r="F334" s="1"/>
  <c r="C334"/>
  <c r="I334"/>
  <c r="J334" s="1"/>
  <c r="G334"/>
  <c r="E332"/>
  <c r="F332" s="1"/>
  <c r="C332"/>
  <c r="I332"/>
  <c r="J332" s="1"/>
  <c r="G332"/>
  <c r="E330"/>
  <c r="F330" s="1"/>
  <c r="C330"/>
  <c r="I330"/>
  <c r="J330" s="1"/>
  <c r="G330"/>
  <c r="E328"/>
  <c r="F328" s="1"/>
  <c r="C328"/>
  <c r="I328"/>
  <c r="J328" s="1"/>
  <c r="G328"/>
  <c r="E326"/>
  <c r="F326" s="1"/>
  <c r="C326"/>
  <c r="I326"/>
  <c r="J326" s="1"/>
  <c r="G326"/>
  <c r="E324"/>
  <c r="F324" s="1"/>
  <c r="C324"/>
  <c r="I324"/>
  <c r="J324" s="1"/>
  <c r="G324"/>
  <c r="E322"/>
  <c r="F322" s="1"/>
  <c r="C322"/>
  <c r="I322"/>
  <c r="J322" s="1"/>
  <c r="G322"/>
  <c r="E320"/>
  <c r="F320" s="1"/>
  <c r="C320"/>
  <c r="I320"/>
  <c r="J320" s="1"/>
  <c r="G320"/>
  <c r="E318"/>
  <c r="F318" s="1"/>
  <c r="C318"/>
  <c r="I318"/>
  <c r="J318" s="1"/>
  <c r="G318"/>
  <c r="E316"/>
  <c r="F316" s="1"/>
  <c r="C316"/>
  <c r="I316"/>
  <c r="J316" s="1"/>
  <c r="G316"/>
  <c r="E314"/>
  <c r="F314" s="1"/>
  <c r="C314"/>
  <c r="I314"/>
  <c r="J314" s="1"/>
  <c r="G314"/>
  <c r="J312"/>
  <c r="E312"/>
  <c r="F312" s="1"/>
  <c r="C312"/>
  <c r="I312"/>
  <c r="G312"/>
  <c r="E310"/>
  <c r="F310" s="1"/>
  <c r="C310"/>
  <c r="I310"/>
  <c r="J310" s="1"/>
  <c r="G310"/>
  <c r="E308"/>
  <c r="F308" s="1"/>
  <c r="C308"/>
  <c r="I308"/>
  <c r="J308" s="1"/>
  <c r="G308"/>
  <c r="E306"/>
  <c r="F306" s="1"/>
  <c r="C306"/>
  <c r="I306"/>
  <c r="J306" s="1"/>
  <c r="G306"/>
  <c r="E304"/>
  <c r="F304" s="1"/>
  <c r="C304"/>
  <c r="I304"/>
  <c r="J304" s="1"/>
  <c r="G304"/>
  <c r="E302"/>
  <c r="F302" s="1"/>
  <c r="C302"/>
  <c r="I302"/>
  <c r="J302" s="1"/>
  <c r="G302"/>
  <c r="E300"/>
  <c r="F300" s="1"/>
  <c r="C300"/>
  <c r="I300"/>
  <c r="J300" s="1"/>
  <c r="G300"/>
  <c r="E298"/>
  <c r="F298" s="1"/>
  <c r="C298"/>
  <c r="I298"/>
  <c r="J298" s="1"/>
  <c r="G298"/>
  <c r="E296"/>
  <c r="F296" s="1"/>
  <c r="C296"/>
  <c r="I296"/>
  <c r="J296" s="1"/>
  <c r="G296"/>
  <c r="E294"/>
  <c r="F294" s="1"/>
  <c r="C294"/>
  <c r="I294"/>
  <c r="J294" s="1"/>
  <c r="G294"/>
  <c r="E292"/>
  <c r="F292" s="1"/>
  <c r="C292"/>
  <c r="I292"/>
  <c r="J292" s="1"/>
  <c r="G292"/>
  <c r="E290"/>
  <c r="F290" s="1"/>
  <c r="C290"/>
  <c r="I290"/>
  <c r="J290" s="1"/>
  <c r="G290"/>
  <c r="E288"/>
  <c r="F288" s="1"/>
  <c r="C288"/>
  <c r="I288"/>
  <c r="J288" s="1"/>
  <c r="G288"/>
  <c r="E286"/>
  <c r="F286" s="1"/>
  <c r="C286"/>
  <c r="I286"/>
  <c r="J286" s="1"/>
  <c r="G286"/>
  <c r="E284"/>
  <c r="F284" s="1"/>
  <c r="C284"/>
  <c r="I284"/>
  <c r="J284" s="1"/>
  <c r="G284"/>
  <c r="E282"/>
  <c r="F282" s="1"/>
  <c r="C282"/>
  <c r="I282"/>
  <c r="J282" s="1"/>
  <c r="G282"/>
  <c r="E280"/>
  <c r="F280" s="1"/>
  <c r="C280"/>
  <c r="I280"/>
  <c r="J280" s="1"/>
  <c r="G280"/>
  <c r="E278"/>
  <c r="F278" s="1"/>
  <c r="C278"/>
  <c r="I278"/>
  <c r="J278" s="1"/>
  <c r="G278"/>
  <c r="E276"/>
  <c r="F276" s="1"/>
  <c r="C276"/>
  <c r="I276"/>
  <c r="J276" s="1"/>
  <c r="G276"/>
  <c r="E274"/>
  <c r="F274" s="1"/>
  <c r="C274"/>
  <c r="I274"/>
  <c r="J274" s="1"/>
  <c r="G274"/>
  <c r="E272"/>
  <c r="F272" s="1"/>
  <c r="C272"/>
  <c r="I272"/>
  <c r="J272" s="1"/>
  <c r="G272"/>
  <c r="E270"/>
  <c r="F270" s="1"/>
  <c r="C270"/>
  <c r="I270"/>
  <c r="J270" s="1"/>
  <c r="G270"/>
  <c r="E268"/>
  <c r="F268" s="1"/>
  <c r="C268"/>
  <c r="I268"/>
  <c r="J268" s="1"/>
  <c r="G268"/>
  <c r="E266"/>
  <c r="F266" s="1"/>
  <c r="C266"/>
  <c r="I266"/>
  <c r="J266" s="1"/>
  <c r="G266"/>
  <c r="E264"/>
  <c r="F264" s="1"/>
  <c r="C264"/>
  <c r="I264"/>
  <c r="J264" s="1"/>
  <c r="G264"/>
  <c r="E262"/>
  <c r="F262" s="1"/>
  <c r="C262"/>
  <c r="I262"/>
  <c r="J262" s="1"/>
  <c r="G262"/>
  <c r="E260"/>
  <c r="F260" s="1"/>
  <c r="C260"/>
  <c r="I260"/>
  <c r="J260" s="1"/>
  <c r="G260"/>
  <c r="E258"/>
  <c r="F258" s="1"/>
  <c r="C258"/>
  <c r="I258"/>
  <c r="J258" s="1"/>
  <c r="G258"/>
  <c r="E256"/>
  <c r="F256" s="1"/>
  <c r="C256"/>
  <c r="I256"/>
  <c r="J256" s="1"/>
  <c r="G256"/>
  <c r="E254"/>
  <c r="F254" s="1"/>
  <c r="C254"/>
  <c r="I254"/>
  <c r="J254" s="1"/>
  <c r="G254"/>
  <c r="E252"/>
  <c r="F252" s="1"/>
  <c r="C252"/>
  <c r="I252"/>
  <c r="J252" s="1"/>
  <c r="G252"/>
  <c r="E250"/>
  <c r="F250" s="1"/>
  <c r="C250"/>
  <c r="I250"/>
  <c r="J250" s="1"/>
  <c r="G250"/>
  <c r="E248"/>
  <c r="F248" s="1"/>
  <c r="C248"/>
  <c r="I248"/>
  <c r="J248" s="1"/>
  <c r="G248"/>
  <c r="E246"/>
  <c r="F246" s="1"/>
  <c r="C246"/>
  <c r="I246"/>
  <c r="J246" s="1"/>
  <c r="G246"/>
  <c r="E244"/>
  <c r="F244" s="1"/>
  <c r="C244"/>
  <c r="I244"/>
  <c r="J244" s="1"/>
  <c r="G244"/>
  <c r="E242"/>
  <c r="F242" s="1"/>
  <c r="C242"/>
  <c r="I242"/>
  <c r="J242" s="1"/>
  <c r="G242"/>
  <c r="E240"/>
  <c r="F240" s="1"/>
  <c r="C240"/>
  <c r="I240"/>
  <c r="J240" s="1"/>
  <c r="G240"/>
  <c r="E238"/>
  <c r="F238" s="1"/>
  <c r="C238"/>
  <c r="I238"/>
  <c r="J238" s="1"/>
  <c r="G238"/>
  <c r="E236"/>
  <c r="F236" s="1"/>
  <c r="C236"/>
  <c r="I236"/>
  <c r="J236" s="1"/>
  <c r="G236"/>
  <c r="E234"/>
  <c r="F234" s="1"/>
  <c r="C234"/>
  <c r="I234"/>
  <c r="J234" s="1"/>
  <c r="G234"/>
  <c r="E232"/>
  <c r="F232" s="1"/>
  <c r="C232"/>
  <c r="I232"/>
  <c r="J232" s="1"/>
  <c r="G232"/>
  <c r="E230"/>
  <c r="F230" s="1"/>
  <c r="C230"/>
  <c r="I230"/>
  <c r="J230" s="1"/>
  <c r="G230"/>
  <c r="E228"/>
  <c r="F228" s="1"/>
  <c r="C228"/>
  <c r="I228"/>
  <c r="J228" s="1"/>
  <c r="G228"/>
  <c r="E226"/>
  <c r="F226" s="1"/>
  <c r="C226"/>
  <c r="I226"/>
  <c r="J226" s="1"/>
  <c r="G226"/>
  <c r="E224"/>
  <c r="F224" s="1"/>
  <c r="C224"/>
  <c r="I224"/>
  <c r="J224" s="1"/>
  <c r="G224"/>
  <c r="E222"/>
  <c r="F222" s="1"/>
  <c r="C222"/>
  <c r="I222"/>
  <c r="J222" s="1"/>
  <c r="G222"/>
  <c r="E220"/>
  <c r="F220" s="1"/>
  <c r="C220"/>
  <c r="I220"/>
  <c r="J220" s="1"/>
  <c r="G220"/>
  <c r="E218"/>
  <c r="F218" s="1"/>
  <c r="C218"/>
  <c r="I218"/>
  <c r="J218" s="1"/>
  <c r="G218"/>
  <c r="E216"/>
  <c r="F216" s="1"/>
  <c r="C216"/>
  <c r="I216"/>
  <c r="J216" s="1"/>
  <c r="G216"/>
  <c r="E214"/>
  <c r="F214" s="1"/>
  <c r="C214"/>
  <c r="I214"/>
  <c r="J214" s="1"/>
  <c r="G214"/>
  <c r="E212"/>
  <c r="F212" s="1"/>
  <c r="C212"/>
  <c r="I212"/>
  <c r="J212" s="1"/>
  <c r="G212"/>
  <c r="E210"/>
  <c r="F210" s="1"/>
  <c r="C210"/>
  <c r="I210"/>
  <c r="J210" s="1"/>
  <c r="G210"/>
  <c r="E208"/>
  <c r="F208" s="1"/>
  <c r="C208"/>
  <c r="I208"/>
  <c r="J208" s="1"/>
  <c r="G208"/>
  <c r="E206"/>
  <c r="F206" s="1"/>
  <c r="C206"/>
  <c r="I206"/>
  <c r="J206" s="1"/>
  <c r="G206"/>
  <c r="E204"/>
  <c r="F204" s="1"/>
  <c r="C204"/>
  <c r="I204"/>
  <c r="J204" s="1"/>
  <c r="G204"/>
  <c r="E202"/>
  <c r="F202" s="1"/>
  <c r="C202"/>
  <c r="I202"/>
  <c r="J202" s="1"/>
  <c r="G202"/>
  <c r="E200"/>
  <c r="F200" s="1"/>
  <c r="C200"/>
  <c r="I200"/>
  <c r="J200" s="1"/>
  <c r="G200"/>
  <c r="E198"/>
  <c r="F198" s="1"/>
  <c r="C198"/>
  <c r="I198"/>
  <c r="J198" s="1"/>
  <c r="G198"/>
  <c r="E196"/>
  <c r="F196" s="1"/>
  <c r="C196"/>
  <c r="I196"/>
  <c r="J196" s="1"/>
  <c r="G196"/>
  <c r="E194"/>
  <c r="F194" s="1"/>
  <c r="C194"/>
  <c r="I194"/>
  <c r="J194" s="1"/>
  <c r="G194"/>
  <c r="E192"/>
  <c r="F192" s="1"/>
  <c r="C192"/>
  <c r="I192"/>
  <c r="J192" s="1"/>
  <c r="G192"/>
  <c r="E190"/>
  <c r="F190" s="1"/>
  <c r="C190"/>
  <c r="I190"/>
  <c r="J190" s="1"/>
  <c r="G190"/>
  <c r="E188"/>
  <c r="F188" s="1"/>
  <c r="C188"/>
  <c r="I188"/>
  <c r="J188" s="1"/>
  <c r="G188"/>
  <c r="E186"/>
  <c r="F186" s="1"/>
  <c r="C186"/>
  <c r="I186"/>
  <c r="J186" s="1"/>
  <c r="G186"/>
  <c r="E184"/>
  <c r="F184" s="1"/>
  <c r="C184"/>
  <c r="I184"/>
  <c r="J184" s="1"/>
  <c r="G184"/>
  <c r="E182"/>
  <c r="F182" s="1"/>
  <c r="C182"/>
  <c r="I182"/>
  <c r="J182" s="1"/>
  <c r="G182"/>
  <c r="E180"/>
  <c r="F180" s="1"/>
  <c r="C180"/>
  <c r="I180"/>
  <c r="J180" s="1"/>
  <c r="G180"/>
  <c r="E178"/>
  <c r="F178" s="1"/>
  <c r="C178"/>
  <c r="I178"/>
  <c r="J178" s="1"/>
  <c r="G178"/>
  <c r="E176"/>
  <c r="F176" s="1"/>
  <c r="C176"/>
  <c r="I176"/>
  <c r="J176" s="1"/>
  <c r="G176"/>
  <c r="E174"/>
  <c r="F174" s="1"/>
  <c r="C174"/>
  <c r="I174"/>
  <c r="J174" s="1"/>
  <c r="G174"/>
  <c r="E172"/>
  <c r="F172" s="1"/>
  <c r="C172"/>
  <c r="I172"/>
  <c r="J172" s="1"/>
  <c r="G172"/>
  <c r="E170"/>
  <c r="F170" s="1"/>
  <c r="C170"/>
  <c r="I170"/>
  <c r="J170" s="1"/>
  <c r="G170"/>
  <c r="E168"/>
  <c r="F168" s="1"/>
  <c r="C168"/>
  <c r="I168"/>
  <c r="J168" s="1"/>
  <c r="G168"/>
  <c r="E166"/>
  <c r="F166" s="1"/>
  <c r="C166"/>
  <c r="I166"/>
  <c r="J166" s="1"/>
  <c r="G166"/>
  <c r="E164"/>
  <c r="F164" s="1"/>
  <c r="C164"/>
  <c r="I164"/>
  <c r="J164" s="1"/>
  <c r="G164"/>
  <c r="E162"/>
  <c r="F162" s="1"/>
  <c r="C162"/>
  <c r="I162"/>
  <c r="J162" s="1"/>
  <c r="G162"/>
  <c r="E160"/>
  <c r="F160" s="1"/>
  <c r="C160"/>
  <c r="I160"/>
  <c r="J160" s="1"/>
  <c r="G160"/>
  <c r="E158"/>
  <c r="F158" s="1"/>
  <c r="C158"/>
  <c r="I158"/>
  <c r="J158" s="1"/>
  <c r="G158"/>
  <c r="E156"/>
  <c r="F156" s="1"/>
  <c r="C156"/>
  <c r="I156"/>
  <c r="J156" s="1"/>
  <c r="G156"/>
  <c r="E154"/>
  <c r="F154" s="1"/>
  <c r="C154"/>
  <c r="I154"/>
  <c r="J154" s="1"/>
  <c r="G154"/>
  <c r="E152"/>
  <c r="F152" s="1"/>
  <c r="C152"/>
  <c r="I152"/>
  <c r="J152" s="1"/>
  <c r="G152"/>
  <c r="E150"/>
  <c r="F150" s="1"/>
  <c r="C150"/>
  <c r="I150"/>
  <c r="J150" s="1"/>
  <c r="G150"/>
  <c r="E148"/>
  <c r="F148" s="1"/>
  <c r="C148"/>
  <c r="I148"/>
  <c r="J148" s="1"/>
  <c r="G148"/>
  <c r="E146"/>
  <c r="F146" s="1"/>
  <c r="C146"/>
  <c r="I146"/>
  <c r="J146" s="1"/>
  <c r="G146"/>
  <c r="E144"/>
  <c r="F144" s="1"/>
  <c r="C144"/>
  <c r="I144"/>
  <c r="J144" s="1"/>
  <c r="G144"/>
  <c r="E142"/>
  <c r="F142" s="1"/>
  <c r="C142"/>
  <c r="I142"/>
  <c r="J142" s="1"/>
  <c r="G142"/>
  <c r="E140"/>
  <c r="F140" s="1"/>
  <c r="C140"/>
  <c r="I140"/>
  <c r="J140" s="1"/>
  <c r="G140"/>
  <c r="E138"/>
  <c r="F138" s="1"/>
  <c r="C138"/>
  <c r="I138"/>
  <c r="J138" s="1"/>
  <c r="G138"/>
  <c r="E136"/>
  <c r="F136" s="1"/>
  <c r="C136"/>
  <c r="I136"/>
  <c r="J136" s="1"/>
  <c r="G136"/>
  <c r="E134"/>
  <c r="F134" s="1"/>
  <c r="C134"/>
  <c r="I134"/>
  <c r="J134" s="1"/>
  <c r="G134"/>
  <c r="E132"/>
  <c r="F132" s="1"/>
  <c r="C132"/>
  <c r="I132"/>
  <c r="J132" s="1"/>
  <c r="G132"/>
  <c r="E130"/>
  <c r="F130" s="1"/>
  <c r="C130"/>
  <c r="I130"/>
  <c r="J130" s="1"/>
  <c r="G130"/>
  <c r="E128"/>
  <c r="F128" s="1"/>
  <c r="C128"/>
  <c r="I128"/>
  <c r="J128" s="1"/>
  <c r="G128"/>
  <c r="E126"/>
  <c r="F126" s="1"/>
  <c r="C126"/>
  <c r="I126"/>
  <c r="J126" s="1"/>
  <c r="G126"/>
  <c r="E124"/>
  <c r="F124" s="1"/>
  <c r="C124"/>
  <c r="I124"/>
  <c r="J124" s="1"/>
  <c r="G124"/>
  <c r="E122"/>
  <c r="F122" s="1"/>
  <c r="C122"/>
  <c r="I122"/>
  <c r="J122" s="1"/>
  <c r="G122"/>
  <c r="E120"/>
  <c r="F120" s="1"/>
  <c r="C120"/>
  <c r="I120"/>
  <c r="J120" s="1"/>
  <c r="G120"/>
  <c r="E118"/>
  <c r="F118" s="1"/>
  <c r="C118"/>
  <c r="I118"/>
  <c r="J118" s="1"/>
  <c r="G118"/>
  <c r="E116"/>
  <c r="F116" s="1"/>
  <c r="C116"/>
  <c r="I116"/>
  <c r="J116" s="1"/>
  <c r="G116"/>
  <c r="E114"/>
  <c r="F114" s="1"/>
  <c r="C114"/>
  <c r="I114"/>
  <c r="J114" s="1"/>
  <c r="G114"/>
  <c r="E112"/>
  <c r="F112" s="1"/>
  <c r="C112"/>
  <c r="I112"/>
  <c r="J112" s="1"/>
  <c r="G112"/>
  <c r="E110"/>
  <c r="F110" s="1"/>
  <c r="C110"/>
  <c r="I110"/>
  <c r="J110" s="1"/>
  <c r="G110"/>
  <c r="E108"/>
  <c r="F108" s="1"/>
  <c r="C108"/>
  <c r="I108"/>
  <c r="J108" s="1"/>
  <c r="G108"/>
  <c r="E106"/>
  <c r="F106" s="1"/>
  <c r="C106"/>
  <c r="I106"/>
  <c r="J106" s="1"/>
  <c r="G106"/>
  <c r="E104"/>
  <c r="F104" s="1"/>
  <c r="C104"/>
  <c r="I104"/>
  <c r="J104" s="1"/>
  <c r="G104"/>
  <c r="E102"/>
  <c r="F102" s="1"/>
  <c r="C102"/>
  <c r="I102"/>
  <c r="J102" s="1"/>
  <c r="G102"/>
  <c r="E100"/>
  <c r="F100" s="1"/>
  <c r="C100"/>
  <c r="I100"/>
  <c r="J100" s="1"/>
  <c r="G100"/>
  <c r="E98"/>
  <c r="F98" s="1"/>
  <c r="C98"/>
  <c r="I98"/>
  <c r="J98" s="1"/>
  <c r="G98"/>
  <c r="E96"/>
  <c r="F96" s="1"/>
  <c r="C96"/>
  <c r="I96"/>
  <c r="J96" s="1"/>
  <c r="G96"/>
  <c r="E94"/>
  <c r="F94" s="1"/>
  <c r="C94"/>
  <c r="I94"/>
  <c r="J94" s="1"/>
  <c r="G94"/>
  <c r="E92"/>
  <c r="F92" s="1"/>
  <c r="C92"/>
  <c r="I92"/>
  <c r="J92" s="1"/>
  <c r="G92"/>
  <c r="E90"/>
  <c r="F90" s="1"/>
  <c r="C90"/>
  <c r="I90"/>
  <c r="J90" s="1"/>
  <c r="G90"/>
  <c r="E88"/>
  <c r="F88" s="1"/>
  <c r="C88"/>
  <c r="I88"/>
  <c r="J88" s="1"/>
  <c r="G88"/>
  <c r="E86"/>
  <c r="F86" s="1"/>
  <c r="C86"/>
  <c r="I86"/>
  <c r="J86" s="1"/>
  <c r="G86"/>
  <c r="E84"/>
  <c r="F84" s="1"/>
  <c r="C84"/>
  <c r="I84"/>
  <c r="J84" s="1"/>
  <c r="G84"/>
  <c r="E82"/>
  <c r="F82" s="1"/>
  <c r="C82"/>
  <c r="I82"/>
  <c r="J82" s="1"/>
  <c r="G82"/>
  <c r="E80"/>
  <c r="F80" s="1"/>
  <c r="C80"/>
  <c r="I80"/>
  <c r="J80" s="1"/>
  <c r="G80"/>
  <c r="E78"/>
  <c r="F78" s="1"/>
  <c r="C78"/>
  <c r="I78"/>
  <c r="J78" s="1"/>
  <c r="G78"/>
  <c r="E76"/>
  <c r="F76" s="1"/>
  <c r="C76"/>
  <c r="I76"/>
  <c r="J76" s="1"/>
  <c r="G76"/>
  <c r="E74"/>
  <c r="F74" s="1"/>
  <c r="C74"/>
  <c r="I74"/>
  <c r="J74" s="1"/>
  <c r="G74"/>
  <c r="E72"/>
  <c r="F72" s="1"/>
  <c r="C72"/>
  <c r="I72"/>
  <c r="J72" s="1"/>
  <c r="G72"/>
  <c r="E70"/>
  <c r="F70" s="1"/>
  <c r="C70"/>
  <c r="I70"/>
  <c r="J70" s="1"/>
  <c r="G70"/>
  <c r="E68"/>
  <c r="F68" s="1"/>
  <c r="C68"/>
  <c r="I68"/>
  <c r="J68" s="1"/>
  <c r="G68"/>
  <c r="E66"/>
  <c r="C66"/>
  <c r="I66"/>
  <c r="G66"/>
  <c r="E64"/>
  <c r="F64" s="1"/>
  <c r="C64"/>
  <c r="I64"/>
  <c r="J64" s="1"/>
  <c r="G64"/>
  <c r="E62"/>
  <c r="F62" s="1"/>
  <c r="C62"/>
  <c r="I62"/>
  <c r="J62" s="1"/>
  <c r="G62"/>
  <c r="E60"/>
  <c r="F60" s="1"/>
  <c r="C60"/>
  <c r="I60"/>
  <c r="J60" s="1"/>
  <c r="G60"/>
  <c r="E58"/>
  <c r="F58" s="1"/>
  <c r="C58"/>
  <c r="I58"/>
  <c r="J58" s="1"/>
  <c r="G58"/>
  <c r="E56"/>
  <c r="F56" s="1"/>
  <c r="C56"/>
  <c r="I56"/>
  <c r="J56" s="1"/>
  <c r="G56"/>
  <c r="E54"/>
  <c r="F54" s="1"/>
  <c r="C54"/>
  <c r="I54"/>
  <c r="J54" s="1"/>
  <c r="G54"/>
  <c r="E52"/>
  <c r="F52" s="1"/>
  <c r="C52"/>
  <c r="I52"/>
  <c r="J52" s="1"/>
  <c r="G52"/>
  <c r="E50"/>
  <c r="F50" s="1"/>
  <c r="C50"/>
  <c r="I50"/>
  <c r="J50" s="1"/>
  <c r="G50"/>
  <c r="E48"/>
  <c r="F48" s="1"/>
  <c r="C48"/>
  <c r="I48"/>
  <c r="J48" s="1"/>
  <c r="G48"/>
  <c r="E46"/>
  <c r="F46" s="1"/>
  <c r="C46"/>
  <c r="I46"/>
  <c r="J46" s="1"/>
  <c r="G46"/>
  <c r="E44"/>
  <c r="F44" s="1"/>
  <c r="C44"/>
  <c r="I44"/>
  <c r="J44" s="1"/>
  <c r="G44"/>
  <c r="E42"/>
  <c r="F42" s="1"/>
  <c r="C42"/>
  <c r="I42"/>
  <c r="J42" s="1"/>
  <c r="G42"/>
  <c r="E40"/>
  <c r="F40" s="1"/>
  <c r="C40"/>
  <c r="I40"/>
  <c r="J40" s="1"/>
  <c r="G40"/>
  <c r="E38"/>
  <c r="F38" s="1"/>
  <c r="C38"/>
  <c r="I38"/>
  <c r="J38" s="1"/>
  <c r="G38"/>
  <c r="E36"/>
  <c r="F36" s="1"/>
  <c r="C36"/>
  <c r="I36"/>
  <c r="J36" s="1"/>
  <c r="G36"/>
  <c r="E34"/>
  <c r="F34" s="1"/>
  <c r="C34"/>
  <c r="I34"/>
  <c r="J34" s="1"/>
  <c r="G34"/>
  <c r="E32"/>
  <c r="F32" s="1"/>
  <c r="C32"/>
  <c r="I32"/>
  <c r="J32" s="1"/>
  <c r="G32"/>
  <c r="E30"/>
  <c r="F30" s="1"/>
  <c r="C30"/>
  <c r="I30"/>
  <c r="J30" s="1"/>
  <c r="G30"/>
  <c r="E28"/>
  <c r="F28" s="1"/>
  <c r="C28"/>
  <c r="I28"/>
  <c r="J28" s="1"/>
  <c r="G28"/>
  <c r="E26"/>
  <c r="F26" s="1"/>
  <c r="C26"/>
  <c r="I26"/>
  <c r="J26" s="1"/>
  <c r="G26"/>
  <c r="E24"/>
  <c r="F24" s="1"/>
  <c r="C24"/>
  <c r="I24"/>
  <c r="J24" s="1"/>
  <c r="G24"/>
  <c r="E22"/>
  <c r="F22" s="1"/>
  <c r="C22"/>
  <c r="I22"/>
  <c r="J22" s="1"/>
  <c r="G22"/>
  <c r="E20"/>
  <c r="F20" s="1"/>
  <c r="C20"/>
  <c r="I20"/>
  <c r="J20" s="1"/>
  <c r="G20"/>
  <c r="E18"/>
  <c r="F18" s="1"/>
  <c r="C18"/>
  <c r="I18"/>
  <c r="J18" s="1"/>
  <c r="G18"/>
  <c r="E16"/>
  <c r="F16" s="1"/>
  <c r="C16"/>
  <c r="I16"/>
  <c r="J16" s="1"/>
  <c r="G16"/>
  <c r="E14"/>
  <c r="F14" s="1"/>
  <c r="C14"/>
  <c r="I14"/>
  <c r="J14" s="1"/>
  <c r="G14"/>
  <c r="E12"/>
  <c r="F12" s="1"/>
  <c r="C12"/>
  <c r="I12"/>
  <c r="J12" s="1"/>
  <c r="G12"/>
  <c r="E10"/>
  <c r="F10" s="1"/>
  <c r="C10"/>
  <c r="I10"/>
  <c r="J10" s="1"/>
  <c r="G10"/>
  <c r="E8"/>
  <c r="F8" s="1"/>
  <c r="C8"/>
  <c r="I8"/>
  <c r="J8" s="1"/>
  <c r="G8"/>
  <c r="E6"/>
  <c r="F6" s="1"/>
  <c r="C6"/>
  <c r="I6"/>
  <c r="J6" s="1"/>
  <c r="G6"/>
  <c r="E4"/>
  <c r="F4" s="1"/>
  <c r="C4"/>
  <c r="I4"/>
  <c r="J4" s="1"/>
  <c r="G4"/>
  <c r="B4" i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B92" s="1"/>
  <c r="B93" s="1"/>
  <c r="B94" s="1"/>
  <c r="B95" s="1"/>
  <c r="B96" s="1"/>
  <c r="B97" s="1"/>
  <c r="B98" s="1"/>
  <c r="B99" s="1"/>
  <c r="B100" s="1"/>
  <c r="B101" s="1"/>
  <c r="B102" s="1"/>
  <c r="B103" s="1"/>
  <c r="B104" s="1"/>
  <c r="B105" s="1"/>
  <c r="B106" s="1"/>
  <c r="B107" s="1"/>
  <c r="B108" s="1"/>
  <c r="B109" s="1"/>
  <c r="B110" s="1"/>
  <c r="B111" s="1"/>
  <c r="B112" s="1"/>
  <c r="B113" s="1"/>
  <c r="B114" s="1"/>
  <c r="B115" s="1"/>
  <c r="B116" s="1"/>
  <c r="B117" s="1"/>
  <c r="B118" s="1"/>
  <c r="B119" s="1"/>
  <c r="B120" s="1"/>
  <c r="B121" s="1"/>
  <c r="B122" s="1"/>
  <c r="B123" s="1"/>
  <c r="B124" s="1"/>
  <c r="B125" s="1"/>
  <c r="B126" s="1"/>
  <c r="B127" s="1"/>
  <c r="B128" s="1"/>
  <c r="B129" s="1"/>
  <c r="B130" s="1"/>
  <c r="B131" s="1"/>
  <c r="B132" s="1"/>
  <c r="B133" s="1"/>
  <c r="B134" s="1"/>
  <c r="B135" s="1"/>
  <c r="B136" s="1"/>
  <c r="B137" s="1"/>
  <c r="B138" s="1"/>
  <c r="B139" s="1"/>
  <c r="B140" s="1"/>
  <c r="B141" s="1"/>
  <c r="B142" s="1"/>
  <c r="B143" s="1"/>
  <c r="B144" s="1"/>
  <c r="B145" s="1"/>
  <c r="B146" s="1"/>
  <c r="B147" s="1"/>
  <c r="B148" s="1"/>
  <c r="B149" s="1"/>
  <c r="B150" s="1"/>
  <c r="B151" s="1"/>
  <c r="B152" s="1"/>
  <c r="B153" s="1"/>
  <c r="B154" s="1"/>
  <c r="B155" s="1"/>
  <c r="B156" s="1"/>
  <c r="B157" s="1"/>
  <c r="B158" s="1"/>
  <c r="B159" s="1"/>
  <c r="B160" s="1"/>
  <c r="B161" s="1"/>
  <c r="B162" s="1"/>
  <c r="B163" s="1"/>
  <c r="B164" s="1"/>
  <c r="B165" s="1"/>
  <c r="B166" s="1"/>
  <c r="B167" s="1"/>
  <c r="B168" s="1"/>
  <c r="B169" s="1"/>
  <c r="B170" s="1"/>
  <c r="B171" s="1"/>
  <c r="B172" s="1"/>
  <c r="B173" s="1"/>
  <c r="B174" s="1"/>
  <c r="B175" s="1"/>
  <c r="B176" s="1"/>
  <c r="B177" s="1"/>
  <c r="B178" s="1"/>
  <c r="B179" s="1"/>
  <c r="B180" s="1"/>
  <c r="B181" s="1"/>
  <c r="B182" s="1"/>
  <c r="B183" s="1"/>
  <c r="B184" s="1"/>
  <c r="B185" s="1"/>
  <c r="B186" s="1"/>
  <c r="B187" s="1"/>
  <c r="B188" s="1"/>
  <c r="B189" s="1"/>
  <c r="B190" s="1"/>
  <c r="B191" s="1"/>
  <c r="B192" s="1"/>
  <c r="B193" s="1"/>
  <c r="B194" s="1"/>
  <c r="B195" s="1"/>
  <c r="B196" s="1"/>
  <c r="B197" s="1"/>
  <c r="B198" s="1"/>
  <c r="B199" s="1"/>
  <c r="B200" s="1"/>
  <c r="B201" s="1"/>
  <c r="B202" s="1"/>
  <c r="B203" s="1"/>
  <c r="B204" s="1"/>
  <c r="B205" s="1"/>
  <c r="B206" s="1"/>
  <c r="B207" s="1"/>
  <c r="B208" s="1"/>
  <c r="B209" s="1"/>
  <c r="B210" s="1"/>
  <c r="B211" s="1"/>
  <c r="B212" s="1"/>
  <c r="B213" s="1"/>
  <c r="B214" s="1"/>
  <c r="B215" s="1"/>
  <c r="B216" s="1"/>
  <c r="B217" s="1"/>
  <c r="B218" s="1"/>
  <c r="B219" s="1"/>
  <c r="B220" s="1"/>
  <c r="B221" s="1"/>
  <c r="B222" s="1"/>
  <c r="B223" s="1"/>
  <c r="B224" s="1"/>
  <c r="B225" s="1"/>
  <c r="B226" s="1"/>
  <c r="B227" s="1"/>
  <c r="B228" s="1"/>
  <c r="B229" s="1"/>
  <c r="B230" s="1"/>
  <c r="B231" s="1"/>
  <c r="B232" s="1"/>
  <c r="B233" s="1"/>
  <c r="B234" s="1"/>
  <c r="B235" s="1"/>
  <c r="B236" s="1"/>
  <c r="B237" s="1"/>
  <c r="B238" s="1"/>
  <c r="B239" s="1"/>
  <c r="B240" s="1"/>
  <c r="B241" s="1"/>
  <c r="B242" s="1"/>
  <c r="B243" s="1"/>
  <c r="B244" s="1"/>
  <c r="B245" s="1"/>
  <c r="B246" s="1"/>
  <c r="B247" s="1"/>
  <c r="B248" s="1"/>
  <c r="B249" s="1"/>
  <c r="B250" s="1"/>
  <c r="B251" s="1"/>
  <c r="B252" s="1"/>
  <c r="B253" s="1"/>
  <c r="B254" s="1"/>
  <c r="B255" s="1"/>
  <c r="B256" s="1"/>
  <c r="B257" s="1"/>
  <c r="B258" s="1"/>
  <c r="B259" s="1"/>
  <c r="B260" s="1"/>
  <c r="B261" s="1"/>
  <c r="B262" s="1"/>
  <c r="B263" s="1"/>
  <c r="B264" s="1"/>
  <c r="B265" s="1"/>
  <c r="B266" s="1"/>
  <c r="B267" s="1"/>
  <c r="B268" s="1"/>
  <c r="B269" s="1"/>
  <c r="B270" s="1"/>
  <c r="B271" s="1"/>
  <c r="B272" s="1"/>
  <c r="B273" s="1"/>
  <c r="B274" s="1"/>
  <c r="B275" s="1"/>
  <c r="B276" s="1"/>
  <c r="B277" s="1"/>
  <c r="B278" s="1"/>
  <c r="B279" s="1"/>
  <c r="B280" s="1"/>
  <c r="B281" s="1"/>
  <c r="B282" s="1"/>
  <c r="B283" s="1"/>
  <c r="B284" s="1"/>
  <c r="B285" s="1"/>
  <c r="B286" s="1"/>
  <c r="B287" s="1"/>
  <c r="B288" s="1"/>
  <c r="B289" s="1"/>
  <c r="B290" s="1"/>
  <c r="B291" s="1"/>
  <c r="B292" s="1"/>
  <c r="B293" s="1"/>
  <c r="B294" s="1"/>
  <c r="B295" s="1"/>
  <c r="B296" s="1"/>
  <c r="B297" s="1"/>
  <c r="B298" s="1"/>
  <c r="B299" s="1"/>
  <c r="B300" s="1"/>
  <c r="B301" s="1"/>
  <c r="B302" s="1"/>
  <c r="B303" s="1"/>
  <c r="B304" s="1"/>
  <c r="B305" s="1"/>
  <c r="B306" s="1"/>
  <c r="B307" s="1"/>
  <c r="B308" s="1"/>
  <c r="B309" s="1"/>
  <c r="B310" s="1"/>
  <c r="B311" s="1"/>
  <c r="B312" s="1"/>
  <c r="B313" s="1"/>
  <c r="B314" s="1"/>
  <c r="B315" s="1"/>
  <c r="B316" s="1"/>
  <c r="B317" s="1"/>
  <c r="B318" s="1"/>
  <c r="B319" s="1"/>
  <c r="B320" s="1"/>
  <c r="B321" s="1"/>
  <c r="B322" s="1"/>
  <c r="B323" s="1"/>
  <c r="B324" s="1"/>
  <c r="B325" s="1"/>
  <c r="B326" s="1"/>
  <c r="B327" s="1"/>
  <c r="B328" s="1"/>
  <c r="B329" s="1"/>
  <c r="B330" s="1"/>
  <c r="B331" s="1"/>
  <c r="B332" s="1"/>
  <c r="B333" s="1"/>
  <c r="B334" s="1"/>
  <c r="B335" s="1"/>
  <c r="B336" s="1"/>
  <c r="B337" s="1"/>
  <c r="B338" s="1"/>
  <c r="B339" s="1"/>
  <c r="B340" s="1"/>
  <c r="B341" s="1"/>
  <c r="B342" s="1"/>
  <c r="B343" s="1"/>
  <c r="B344" s="1"/>
  <c r="B345" s="1"/>
  <c r="B346" s="1"/>
  <c r="B347" s="1"/>
  <c r="B348" s="1"/>
  <c r="B349" s="1"/>
  <c r="B350" s="1"/>
  <c r="B351" s="1"/>
  <c r="B352" s="1"/>
  <c r="B353" s="1"/>
  <c r="B354" s="1"/>
  <c r="B355" s="1"/>
  <c r="B356" s="1"/>
  <c r="B357" s="1"/>
  <c r="B358" s="1"/>
  <c r="B359" s="1"/>
  <c r="B360" s="1"/>
  <c r="B361" s="1"/>
  <c r="B362" s="1"/>
  <c r="B363" s="1"/>
  <c r="B364" s="1"/>
  <c r="B365" s="1"/>
  <c r="B366" s="1"/>
  <c r="B367" s="1"/>
  <c r="B368" s="1"/>
  <c r="B369" s="1"/>
  <c r="B370" s="1"/>
  <c r="B371" s="1"/>
  <c r="B372" s="1"/>
  <c r="B373" s="1"/>
  <c r="B374" s="1"/>
  <c r="B375" s="1"/>
  <c r="B376" s="1"/>
  <c r="B377" s="1"/>
  <c r="B378" s="1"/>
  <c r="B379" s="1"/>
  <c r="B380" s="1"/>
  <c r="B381" s="1"/>
  <c r="B382" s="1"/>
  <c r="B383" s="1"/>
  <c r="B384" s="1"/>
  <c r="B385" s="1"/>
  <c r="B386" s="1"/>
  <c r="B387" s="1"/>
  <c r="B388" s="1"/>
  <c r="B389" s="1"/>
  <c r="B390" s="1"/>
  <c r="B391" s="1"/>
  <c r="B392" s="1"/>
  <c r="B393" s="1"/>
  <c r="B394" s="1"/>
  <c r="B395" s="1"/>
  <c r="B396" s="1"/>
  <c r="B397" s="1"/>
  <c r="B398" s="1"/>
  <c r="B399" s="1"/>
  <c r="B400" s="1"/>
  <c r="B401" s="1"/>
  <c r="B402" s="1"/>
  <c r="B403" s="1"/>
  <c r="B404" s="1"/>
  <c r="B405" s="1"/>
  <c r="B406" s="1"/>
  <c r="B407" s="1"/>
  <c r="B408" s="1"/>
  <c r="B409" s="1"/>
  <c r="B410" s="1"/>
  <c r="B411" s="1"/>
  <c r="B412" s="1"/>
  <c r="B413" s="1"/>
  <c r="B414" s="1"/>
  <c r="B415" s="1"/>
  <c r="B416" s="1"/>
  <c r="B417" s="1"/>
  <c r="B418" s="1"/>
  <c r="B419" s="1"/>
  <c r="B420" s="1"/>
  <c r="B421" s="1"/>
  <c r="B422" s="1"/>
  <c r="B423" s="1"/>
  <c r="B424" s="1"/>
  <c r="B425" s="1"/>
  <c r="B426" s="1"/>
  <c r="B427" s="1"/>
  <c r="B428" s="1"/>
  <c r="B429" s="1"/>
  <c r="B430" s="1"/>
  <c r="B431" s="1"/>
  <c r="B432" s="1"/>
  <c r="B433" s="1"/>
  <c r="B434" s="1"/>
  <c r="B435" s="1"/>
  <c r="B436" s="1"/>
  <c r="B437" s="1"/>
  <c r="B438" s="1"/>
  <c r="B439" s="1"/>
  <c r="B440" s="1"/>
  <c r="B441" s="1"/>
  <c r="B442" s="1"/>
  <c r="B443" s="1"/>
  <c r="B444" s="1"/>
  <c r="B445" s="1"/>
  <c r="B446" s="1"/>
  <c r="B447" s="1"/>
  <c r="B448" s="1"/>
  <c r="B449" s="1"/>
  <c r="B450" s="1"/>
  <c r="B451" s="1"/>
  <c r="B452" s="1"/>
  <c r="B453" s="1"/>
  <c r="B454" s="1"/>
  <c r="B455" s="1"/>
  <c r="B456" s="1"/>
  <c r="B457" s="1"/>
  <c r="B458" s="1"/>
  <c r="B459" s="1"/>
  <c r="B460" s="1"/>
  <c r="B461" s="1"/>
  <c r="B462" s="1"/>
  <c r="B463" s="1"/>
  <c r="B464" s="1"/>
  <c r="B465" s="1"/>
  <c r="B466" s="1"/>
  <c r="B467" s="1"/>
  <c r="B468" s="1"/>
  <c r="B469" s="1"/>
  <c r="B470" s="1"/>
  <c r="B471" s="1"/>
  <c r="B472" s="1"/>
  <c r="B473" s="1"/>
  <c r="B474" s="1"/>
  <c r="B475" s="1"/>
  <c r="B476" s="1"/>
  <c r="B477" s="1"/>
  <c r="B478" s="1"/>
  <c r="B479" s="1"/>
  <c r="B480" s="1"/>
  <c r="B481" s="1"/>
  <c r="B482" s="1"/>
  <c r="B483" s="1"/>
  <c r="B484" s="1"/>
  <c r="B485" s="1"/>
  <c r="B486" s="1"/>
  <c r="B487" s="1"/>
  <c r="B488" s="1"/>
  <c r="B489" s="1"/>
  <c r="B490" s="1"/>
  <c r="B491" s="1"/>
  <c r="B492" s="1"/>
  <c r="B493" s="1"/>
  <c r="B494" s="1"/>
  <c r="B495" s="1"/>
  <c r="B496" s="1"/>
  <c r="B497" s="1"/>
  <c r="B498" s="1"/>
  <c r="B499" s="1"/>
  <c r="B500" s="1"/>
  <c r="B501" s="1"/>
  <c r="B502" s="1"/>
  <c r="B503" s="1"/>
  <c r="B504" s="1"/>
  <c r="B505" s="1"/>
  <c r="B506" s="1"/>
  <c r="B507" s="1"/>
  <c r="B508" s="1"/>
  <c r="B509" s="1"/>
  <c r="B510" s="1"/>
  <c r="B511" s="1"/>
  <c r="B512" s="1"/>
  <c r="B513" s="1"/>
  <c r="B514" s="1"/>
  <c r="B515" s="1"/>
  <c r="B516" s="1"/>
  <c r="B517" s="1"/>
  <c r="B518" s="1"/>
  <c r="B519" s="1"/>
  <c r="B520" s="1"/>
  <c r="B521" s="1"/>
  <c r="B522" s="1"/>
  <c r="B523" s="1"/>
  <c r="B524" s="1"/>
  <c r="B525" s="1"/>
  <c r="B526" s="1"/>
  <c r="B527" s="1"/>
  <c r="B528" s="1"/>
  <c r="B529" s="1"/>
  <c r="B530" s="1"/>
  <c r="B531" s="1"/>
  <c r="B532" s="1"/>
  <c r="B533" s="1"/>
  <c r="B534" s="1"/>
  <c r="B535" s="1"/>
  <c r="B536" s="1"/>
  <c r="B537" s="1"/>
  <c r="B538" s="1"/>
  <c r="B539" s="1"/>
  <c r="B540" s="1"/>
  <c r="B541" s="1"/>
  <c r="B542" s="1"/>
  <c r="B543" s="1"/>
  <c r="B544" s="1"/>
  <c r="B545" s="1"/>
  <c r="B546" s="1"/>
  <c r="B547" s="1"/>
  <c r="B548" s="1"/>
  <c r="B549" s="1"/>
  <c r="B550" s="1"/>
  <c r="B551" s="1"/>
  <c r="B552" s="1"/>
  <c r="B553" s="1"/>
  <c r="B554" s="1"/>
  <c r="B555" s="1"/>
  <c r="B556" s="1"/>
  <c r="B557" s="1"/>
  <c r="B558" s="1"/>
  <c r="B559" s="1"/>
  <c r="B560" s="1"/>
  <c r="B561" s="1"/>
  <c r="B562" s="1"/>
  <c r="B563" s="1"/>
  <c r="B564" s="1"/>
  <c r="B565" s="1"/>
  <c r="B566" s="1"/>
  <c r="B567" s="1"/>
  <c r="B568" s="1"/>
  <c r="B569" s="1"/>
  <c r="B570" s="1"/>
  <c r="B571" s="1"/>
  <c r="B572" s="1"/>
  <c r="B573" s="1"/>
  <c r="B574" s="1"/>
  <c r="B575" s="1"/>
  <c r="B576" s="1"/>
  <c r="B577" s="1"/>
  <c r="B578" s="1"/>
  <c r="B579" s="1"/>
  <c r="B580" s="1"/>
  <c r="B581" s="1"/>
  <c r="B582" s="1"/>
  <c r="B583" s="1"/>
  <c r="B584" s="1"/>
  <c r="B585" s="1"/>
  <c r="B586" s="1"/>
  <c r="B587" s="1"/>
  <c r="B588" s="1"/>
  <c r="B589" s="1"/>
  <c r="B590" s="1"/>
  <c r="B591" s="1"/>
  <c r="B592" s="1"/>
  <c r="B593" s="1"/>
  <c r="B594" s="1"/>
  <c r="B595" s="1"/>
  <c r="B596" s="1"/>
  <c r="B597" s="1"/>
  <c r="B598" s="1"/>
  <c r="B599" s="1"/>
  <c r="B600" s="1"/>
  <c r="B601" s="1"/>
  <c r="B602" s="1"/>
  <c r="B603" s="1"/>
  <c r="B604" s="1"/>
  <c r="B605" s="1"/>
  <c r="B606" s="1"/>
  <c r="B607" s="1"/>
  <c r="B608" s="1"/>
  <c r="B609" s="1"/>
  <c r="B610" s="1"/>
  <c r="B611" s="1"/>
  <c r="B612" s="1"/>
  <c r="B613" s="1"/>
  <c r="B614" s="1"/>
  <c r="B615" s="1"/>
  <c r="B616" s="1"/>
  <c r="B617" s="1"/>
  <c r="B618" s="1"/>
  <c r="B619" s="1"/>
  <c r="B620" s="1"/>
  <c r="B621" s="1"/>
  <c r="B622" s="1"/>
  <c r="B623" s="1"/>
  <c r="B624" s="1"/>
  <c r="B625" s="1"/>
  <c r="B626" s="1"/>
  <c r="B627" s="1"/>
  <c r="B628" s="1"/>
  <c r="B629" s="1"/>
  <c r="B630" s="1"/>
  <c r="B631" s="1"/>
  <c r="B632" s="1"/>
  <c r="B633" s="1"/>
  <c r="B634" s="1"/>
  <c r="B635" s="1"/>
  <c r="B636" s="1"/>
  <c r="B637" s="1"/>
  <c r="B638" s="1"/>
  <c r="B639" s="1"/>
  <c r="B640" s="1"/>
  <c r="B641" s="1"/>
  <c r="B642" s="1"/>
  <c r="B643" s="1"/>
  <c r="B644" s="1"/>
  <c r="B645" s="1"/>
  <c r="B646" s="1"/>
  <c r="B647" s="1"/>
  <c r="B648" s="1"/>
  <c r="B649" s="1"/>
  <c r="B650" s="1"/>
  <c r="B651" s="1"/>
  <c r="B652" s="1"/>
  <c r="B653" s="1"/>
  <c r="B654" s="1"/>
  <c r="B655" s="1"/>
  <c r="B656" s="1"/>
  <c r="B657" s="1"/>
  <c r="B658" s="1"/>
  <c r="B659" s="1"/>
  <c r="B660" s="1"/>
  <c r="B661" s="1"/>
  <c r="B662" s="1"/>
  <c r="B663" s="1"/>
  <c r="B664" s="1"/>
  <c r="B665" s="1"/>
  <c r="B666" s="1"/>
  <c r="B667" s="1"/>
  <c r="B668" s="1"/>
  <c r="B669" s="1"/>
  <c r="B670" s="1"/>
  <c r="B671" s="1"/>
  <c r="B672" s="1"/>
  <c r="B673" s="1"/>
  <c r="B674" s="1"/>
  <c r="B675" s="1"/>
  <c r="B676" s="1"/>
  <c r="B677" s="1"/>
  <c r="B678" s="1"/>
  <c r="B679" s="1"/>
  <c r="B680" s="1"/>
  <c r="B681" s="1"/>
  <c r="B682" s="1"/>
  <c r="B683" s="1"/>
  <c r="B684" s="1"/>
  <c r="B685" s="1"/>
  <c r="B686" s="1"/>
  <c r="B687" s="1"/>
  <c r="B688" s="1"/>
  <c r="B689" s="1"/>
  <c r="B690" s="1"/>
  <c r="B691" s="1"/>
  <c r="B692" s="1"/>
  <c r="B693" s="1"/>
  <c r="B694" s="1"/>
  <c r="B695" s="1"/>
  <c r="B696" s="1"/>
  <c r="B697" s="1"/>
  <c r="B698" s="1"/>
  <c r="B699" s="1"/>
  <c r="B700" s="1"/>
  <c r="B701" s="1"/>
  <c r="B702" s="1"/>
  <c r="B703" s="1"/>
  <c r="B704" s="1"/>
  <c r="B705" s="1"/>
  <c r="B706" s="1"/>
  <c r="B707" s="1"/>
  <c r="B708" s="1"/>
  <c r="B709" s="1"/>
  <c r="B710" s="1"/>
  <c r="B711" s="1"/>
  <c r="B712" s="1"/>
  <c r="B713" s="1"/>
  <c r="B714" s="1"/>
  <c r="B715" s="1"/>
  <c r="B716" s="1"/>
  <c r="B717" s="1"/>
  <c r="B718" s="1"/>
  <c r="B719" s="1"/>
  <c r="B720" s="1"/>
  <c r="B721" s="1"/>
  <c r="B722" s="1"/>
  <c r="B723" s="1"/>
  <c r="B724" s="1"/>
  <c r="B725" s="1"/>
  <c r="B726" s="1"/>
  <c r="B727" s="1"/>
  <c r="B728" s="1"/>
  <c r="B729" s="1"/>
  <c r="B730" s="1"/>
  <c r="B731" s="1"/>
  <c r="B732" s="1"/>
  <c r="B733" s="1"/>
  <c r="B734" s="1"/>
  <c r="B735" s="1"/>
  <c r="B736" s="1"/>
  <c r="B737" s="1"/>
  <c r="B738" s="1"/>
  <c r="B739" s="1"/>
  <c r="B740" s="1"/>
  <c r="B741" s="1"/>
  <c r="B742" s="1"/>
  <c r="B743" s="1"/>
  <c r="B744" s="1"/>
  <c r="B745" s="1"/>
  <c r="B746" s="1"/>
  <c r="B747" s="1"/>
  <c r="B748" s="1"/>
  <c r="B749" s="1"/>
  <c r="B750" s="1"/>
  <c r="B751" s="1"/>
  <c r="B752" s="1"/>
  <c r="B753" s="1"/>
  <c r="B754" s="1"/>
  <c r="B755" s="1"/>
  <c r="B756" s="1"/>
  <c r="B757" s="1"/>
  <c r="B758" s="1"/>
  <c r="B759" s="1"/>
  <c r="B760" s="1"/>
  <c r="B761" s="1"/>
  <c r="B762" s="1"/>
  <c r="B763" s="1"/>
  <c r="B764" s="1"/>
  <c r="B765" s="1"/>
  <c r="B766" s="1"/>
  <c r="B767" s="1"/>
  <c r="B768" s="1"/>
  <c r="B769" s="1"/>
  <c r="B770" s="1"/>
  <c r="B771" s="1"/>
  <c r="B772" s="1"/>
  <c r="B773" s="1"/>
  <c r="B774" s="1"/>
  <c r="B775" s="1"/>
  <c r="B776" s="1"/>
  <c r="B777" s="1"/>
  <c r="B778" s="1"/>
  <c r="B779" s="1"/>
  <c r="B780" s="1"/>
  <c r="B781" s="1"/>
  <c r="B782" s="1"/>
  <c r="B783" s="1"/>
  <c r="B784" s="1"/>
  <c r="B785" s="1"/>
  <c r="B786" s="1"/>
  <c r="B787" s="1"/>
  <c r="B788" s="1"/>
  <c r="B789" s="1"/>
  <c r="B790" s="1"/>
  <c r="B791" s="1"/>
  <c r="B792" s="1"/>
  <c r="B793" s="1"/>
  <c r="B794" s="1"/>
  <c r="B795" s="1"/>
  <c r="B796" s="1"/>
  <c r="B797" s="1"/>
  <c r="B798" s="1"/>
  <c r="B799" s="1"/>
  <c r="B800" s="1"/>
  <c r="B801" s="1"/>
  <c r="B802" s="1"/>
  <c r="B803" s="1"/>
  <c r="B804" s="1"/>
  <c r="B805" s="1"/>
  <c r="B806" s="1"/>
  <c r="B807" s="1"/>
  <c r="B808" s="1"/>
  <c r="B809" s="1"/>
  <c r="B810" s="1"/>
  <c r="B811" s="1"/>
  <c r="B812" s="1"/>
  <c r="B813" s="1"/>
  <c r="B814" s="1"/>
  <c r="B815" s="1"/>
  <c r="B816" s="1"/>
  <c r="B817" s="1"/>
  <c r="B818" s="1"/>
  <c r="B819" s="1"/>
  <c r="B820" s="1"/>
  <c r="B821" s="1"/>
  <c r="B822" s="1"/>
  <c r="B823" s="1"/>
  <c r="B824" s="1"/>
  <c r="B825" s="1"/>
  <c r="B826" s="1"/>
  <c r="B827" s="1"/>
  <c r="B828" s="1"/>
  <c r="B829" s="1"/>
  <c r="B830" s="1"/>
  <c r="B831" s="1"/>
  <c r="B832" s="1"/>
  <c r="B833" s="1"/>
  <c r="B834" s="1"/>
  <c r="B835" s="1"/>
  <c r="B836" s="1"/>
  <c r="B837" s="1"/>
  <c r="B838" s="1"/>
  <c r="B839" s="1"/>
  <c r="B840" s="1"/>
  <c r="B841" s="1"/>
  <c r="B842" s="1"/>
  <c r="B843" s="1"/>
  <c r="B844" s="1"/>
  <c r="B845" s="1"/>
  <c r="B846" s="1"/>
  <c r="B847" s="1"/>
  <c r="B848" s="1"/>
  <c r="B849" s="1"/>
  <c r="B850" s="1"/>
  <c r="B851" s="1"/>
  <c r="B852" s="1"/>
  <c r="B853" s="1"/>
  <c r="B854" s="1"/>
  <c r="B855" s="1"/>
  <c r="B856" s="1"/>
  <c r="B857" s="1"/>
  <c r="B858" s="1"/>
  <c r="B859" s="1"/>
  <c r="B860" s="1"/>
  <c r="B861" s="1"/>
  <c r="B862" s="1"/>
  <c r="B863" s="1"/>
  <c r="B864" s="1"/>
  <c r="B865" s="1"/>
  <c r="B866" s="1"/>
  <c r="B867" s="1"/>
  <c r="B868" s="1"/>
  <c r="B869" s="1"/>
  <c r="B870" s="1"/>
  <c r="B871" s="1"/>
  <c r="B872" s="1"/>
  <c r="B873" s="1"/>
  <c r="B874" s="1"/>
  <c r="B875" s="1"/>
  <c r="B876" s="1"/>
  <c r="B877" s="1"/>
  <c r="B878" s="1"/>
  <c r="B879" s="1"/>
  <c r="B880" s="1"/>
  <c r="B881" s="1"/>
  <c r="B882" s="1"/>
  <c r="B883" s="1"/>
  <c r="B884" s="1"/>
  <c r="B885" s="1"/>
  <c r="B886" s="1"/>
  <c r="B887" s="1"/>
  <c r="B888" s="1"/>
  <c r="B889" s="1"/>
  <c r="B890" s="1"/>
  <c r="B891" s="1"/>
  <c r="B892" s="1"/>
  <c r="B893" s="1"/>
  <c r="B894" s="1"/>
  <c r="B895" s="1"/>
  <c r="B896" s="1"/>
  <c r="B897" s="1"/>
  <c r="B898" s="1"/>
  <c r="B899" s="1"/>
  <c r="B900" s="1"/>
  <c r="B901" s="1"/>
  <c r="B902" s="1"/>
  <c r="B903" s="1"/>
  <c r="B904" s="1"/>
  <c r="B905" s="1"/>
  <c r="B906" s="1"/>
  <c r="B907" s="1"/>
  <c r="B908" s="1"/>
  <c r="B909" s="1"/>
  <c r="B910" s="1"/>
  <c r="B911" s="1"/>
  <c r="B912" s="1"/>
  <c r="B913" s="1"/>
  <c r="B914" s="1"/>
  <c r="B915" s="1"/>
  <c r="B916" s="1"/>
  <c r="B917" s="1"/>
  <c r="B918" s="1"/>
  <c r="B919" s="1"/>
  <c r="B920" s="1"/>
  <c r="B921" s="1"/>
  <c r="B922" s="1"/>
  <c r="B923" s="1"/>
  <c r="B924" s="1"/>
  <c r="B925" s="1"/>
  <c r="B926" s="1"/>
  <c r="B927" s="1"/>
  <c r="B928" s="1"/>
  <c r="B929" s="1"/>
  <c r="B930" s="1"/>
  <c r="B931" s="1"/>
  <c r="B932" s="1"/>
  <c r="B933" s="1"/>
  <c r="B934" s="1"/>
  <c r="B935" s="1"/>
  <c r="B936" s="1"/>
  <c r="B937" s="1"/>
  <c r="B938" s="1"/>
  <c r="B939" s="1"/>
  <c r="B940" s="1"/>
  <c r="B941" s="1"/>
  <c r="B942" s="1"/>
  <c r="B943" s="1"/>
  <c r="B944" s="1"/>
  <c r="B945" s="1"/>
  <c r="B946" s="1"/>
  <c r="B947" s="1"/>
  <c r="B948" s="1"/>
  <c r="B949" s="1"/>
  <c r="B950" s="1"/>
  <c r="B951" s="1"/>
  <c r="B952" s="1"/>
  <c r="B953" s="1"/>
  <c r="B954" s="1"/>
  <c r="B955" s="1"/>
  <c r="B956" s="1"/>
  <c r="B957" s="1"/>
  <c r="B958" s="1"/>
  <c r="B959" s="1"/>
  <c r="B960" s="1"/>
  <c r="B961" s="1"/>
  <c r="B962" s="1"/>
  <c r="B963" s="1"/>
  <c r="B964" s="1"/>
  <c r="B965" s="1"/>
  <c r="B966" s="1"/>
  <c r="B967" s="1"/>
  <c r="B968" s="1"/>
  <c r="B969" s="1"/>
  <c r="B970" s="1"/>
  <c r="B971" s="1"/>
  <c r="B972" s="1"/>
  <c r="B973" s="1"/>
  <c r="B974" s="1"/>
  <c r="B975" s="1"/>
  <c r="B976" s="1"/>
  <c r="B977" s="1"/>
  <c r="B978" s="1"/>
  <c r="B979" s="1"/>
  <c r="B980" s="1"/>
  <c r="B981" s="1"/>
  <c r="B982" s="1"/>
  <c r="B983" s="1"/>
  <c r="B984" s="1"/>
  <c r="B985" s="1"/>
  <c r="B986" s="1"/>
  <c r="B987" s="1"/>
  <c r="B988" s="1"/>
  <c r="B989" s="1"/>
  <c r="B990" s="1"/>
  <c r="B991" s="1"/>
  <c r="B992" s="1"/>
  <c r="B993" s="1"/>
  <c r="B994" s="1"/>
  <c r="B995" s="1"/>
  <c r="B996" s="1"/>
  <c r="B997" s="1"/>
  <c r="B998" s="1"/>
  <c r="B999" s="1"/>
  <c r="B1000" s="1"/>
  <c r="B1001" s="1"/>
  <c r="B1002" s="1"/>
  <c r="B1003" s="1"/>
  <c r="B1004" s="1"/>
  <c r="B1005" s="1"/>
  <c r="B1006" s="1"/>
  <c r="B1007" s="1"/>
  <c r="B1008" s="1"/>
  <c r="B1009" s="1"/>
  <c r="B1010" s="1"/>
  <c r="B1011" s="1"/>
  <c r="B1012" s="1"/>
  <c r="B1013" s="1"/>
  <c r="B1014" s="1"/>
  <c r="B1015" s="1"/>
  <c r="B1016" s="1"/>
  <c r="B1017" s="1"/>
  <c r="B1018" s="1"/>
  <c r="B1019" s="1"/>
  <c r="B1020" s="1"/>
  <c r="B1021" s="1"/>
  <c r="B1022" s="1"/>
  <c r="B1023" s="1"/>
  <c r="B1024" s="1"/>
  <c r="B1025" s="1"/>
  <c r="B1026" s="1"/>
  <c r="B1027" s="1"/>
  <c r="B1028" s="1"/>
  <c r="B1029" s="1"/>
  <c r="B1030" s="1"/>
  <c r="B1031" s="1"/>
  <c r="B1032" s="1"/>
  <c r="B1033" s="1"/>
  <c r="B1034" s="1"/>
  <c r="B1035" s="1"/>
  <c r="B1036" s="1"/>
  <c r="B1037" s="1"/>
  <c r="B1038" s="1"/>
  <c r="B1039" s="1"/>
  <c r="B1040" s="1"/>
  <c r="B1041" s="1"/>
  <c r="B1042" s="1"/>
  <c r="B1043" s="1"/>
  <c r="B1044" s="1"/>
  <c r="B1045" s="1"/>
  <c r="B1046" s="1"/>
  <c r="B1047" s="1"/>
  <c r="B1048" s="1"/>
  <c r="B1049" s="1"/>
  <c r="B1050" s="1"/>
  <c r="B1051" s="1"/>
  <c r="B1052" s="1"/>
  <c r="B1053" s="1"/>
  <c r="B1054" s="1"/>
  <c r="B1055" s="1"/>
  <c r="B1056" s="1"/>
  <c r="B1057" s="1"/>
  <c r="B1058" s="1"/>
  <c r="B1059" s="1"/>
  <c r="B1060" s="1"/>
  <c r="B1061" s="1"/>
  <c r="B1062" s="1"/>
  <c r="B1063" s="1"/>
  <c r="B1064" s="1"/>
  <c r="B1065" s="1"/>
  <c r="B1066" s="1"/>
  <c r="B1067" s="1"/>
  <c r="B1068" s="1"/>
  <c r="B1069" s="1"/>
  <c r="B1070" s="1"/>
  <c r="B1071" s="1"/>
  <c r="B1072" s="1"/>
  <c r="B1073" s="1"/>
  <c r="B1074" s="1"/>
  <c r="B1075" s="1"/>
  <c r="B1076" s="1"/>
  <c r="B1077" s="1"/>
  <c r="B1078" s="1"/>
  <c r="B1079" s="1"/>
  <c r="B1080" s="1"/>
  <c r="B1081" s="1"/>
  <c r="B1082" s="1"/>
  <c r="B1083" s="1"/>
  <c r="B1084" s="1"/>
  <c r="B1085" s="1"/>
  <c r="B1086" s="1"/>
  <c r="B1087" s="1"/>
  <c r="B1088" s="1"/>
  <c r="B1089" s="1"/>
  <c r="B1090" s="1"/>
  <c r="B1091" s="1"/>
  <c r="B1092" s="1"/>
  <c r="B1093" s="1"/>
  <c r="B1094" s="1"/>
  <c r="B1095" s="1"/>
  <c r="B1096" s="1"/>
  <c r="B1097" s="1"/>
  <c r="B1098" s="1"/>
  <c r="B1099" s="1"/>
  <c r="B1100" s="1"/>
  <c r="B1101" s="1"/>
  <c r="B1102" s="1"/>
  <c r="B1103" s="1"/>
  <c r="B1104" s="1"/>
  <c r="B1105" s="1"/>
  <c r="B1106" s="1"/>
  <c r="B1107" s="1"/>
  <c r="B1108" s="1"/>
  <c r="B1109" s="1"/>
  <c r="B1110" s="1"/>
  <c r="B1111" s="1"/>
  <c r="B1112" s="1"/>
  <c r="B1113" s="1"/>
  <c r="B1114" s="1"/>
  <c r="B1115" s="1"/>
  <c r="B1116" s="1"/>
  <c r="B1117" s="1"/>
  <c r="B1118" s="1"/>
  <c r="B1119" s="1"/>
  <c r="B1120" s="1"/>
  <c r="B1121" s="1"/>
  <c r="B1122" s="1"/>
  <c r="B1123" s="1"/>
  <c r="B1124" s="1"/>
  <c r="B1125" s="1"/>
  <c r="B1126" s="1"/>
  <c r="B1127" s="1"/>
  <c r="B1128" s="1"/>
  <c r="B1129" s="1"/>
  <c r="B1130" s="1"/>
  <c r="B1131" s="1"/>
  <c r="B1132" s="1"/>
  <c r="B1133" s="1"/>
  <c r="B1134" s="1"/>
  <c r="B1135" s="1"/>
  <c r="B1136" s="1"/>
  <c r="B1137" s="1"/>
  <c r="B1138" s="1"/>
  <c r="B1139" s="1"/>
  <c r="B1140" s="1"/>
  <c r="B1141" s="1"/>
  <c r="B1142" s="1"/>
  <c r="B1143" s="1"/>
  <c r="B1144" s="1"/>
  <c r="B1145" s="1"/>
  <c r="B1146" s="1"/>
  <c r="B1147" s="1"/>
  <c r="B1148" s="1"/>
  <c r="B1149" s="1"/>
  <c r="B1150" s="1"/>
  <c r="B1151" s="1"/>
  <c r="B1152" s="1"/>
  <c r="B1153" s="1"/>
  <c r="B1154" s="1"/>
  <c r="B1155" s="1"/>
  <c r="B1156" s="1"/>
  <c r="B1157" s="1"/>
  <c r="B1158" s="1"/>
  <c r="B1159" s="1"/>
  <c r="B1160" s="1"/>
  <c r="B1161" s="1"/>
  <c r="B1162" s="1"/>
  <c r="B1163" s="1"/>
  <c r="B1164" s="1"/>
  <c r="B1165" s="1"/>
  <c r="B1166" s="1"/>
  <c r="B1167" s="1"/>
  <c r="B1168" s="1"/>
  <c r="B1169" s="1"/>
  <c r="B1170" s="1"/>
  <c r="B1171" s="1"/>
  <c r="B1172" s="1"/>
  <c r="B1173" s="1"/>
  <c r="B1174" s="1"/>
  <c r="B1175" s="1"/>
  <c r="B1176" s="1"/>
  <c r="B1177" s="1"/>
  <c r="B1178" s="1"/>
  <c r="B1179" s="1"/>
  <c r="B1180" s="1"/>
  <c r="B1181" s="1"/>
  <c r="B1182" s="1"/>
  <c r="B1183" s="1"/>
  <c r="B1184" s="1"/>
  <c r="B1185" s="1"/>
  <c r="B1186" s="1"/>
  <c r="B1187" s="1"/>
  <c r="B1188" s="1"/>
  <c r="B1189" s="1"/>
  <c r="B1190" s="1"/>
  <c r="B1191" s="1"/>
  <c r="B1192" s="1"/>
  <c r="B1193" s="1"/>
  <c r="B1194" s="1"/>
  <c r="B1195" s="1"/>
  <c r="B1196" s="1"/>
  <c r="B1197" s="1"/>
  <c r="B1198" s="1"/>
  <c r="B1199" s="1"/>
  <c r="B1200" s="1"/>
  <c r="B1201" s="1"/>
  <c r="B1202" s="1"/>
  <c r="B1203" s="1"/>
  <c r="B1204" s="1"/>
  <c r="B1205" s="1"/>
  <c r="B1206" s="1"/>
  <c r="B1207" s="1"/>
  <c r="B1208" s="1"/>
  <c r="B1209" s="1"/>
  <c r="B1210" s="1"/>
  <c r="B1211" s="1"/>
  <c r="B1212" s="1"/>
  <c r="B1213" s="1"/>
  <c r="B1214" s="1"/>
  <c r="B1215" s="1"/>
  <c r="B1216" s="1"/>
  <c r="B1217" s="1"/>
  <c r="B1218" s="1"/>
  <c r="B1219" s="1"/>
  <c r="B1220" s="1"/>
  <c r="B1221" s="1"/>
  <c r="B1222" s="1"/>
  <c r="B1223" s="1"/>
  <c r="B1224" s="1"/>
  <c r="B1225" s="1"/>
  <c r="B1226" s="1"/>
  <c r="B1227" s="1"/>
  <c r="B1228" s="1"/>
  <c r="B1229" s="1"/>
  <c r="B1230" s="1"/>
  <c r="B1231" s="1"/>
  <c r="B1232" s="1"/>
  <c r="B1233" s="1"/>
  <c r="B1234" s="1"/>
  <c r="B1235" s="1"/>
  <c r="B1236" s="1"/>
  <c r="B1237" s="1"/>
  <c r="B1238" s="1"/>
  <c r="B1239" s="1"/>
  <c r="B1240" s="1"/>
  <c r="B1241" s="1"/>
  <c r="B1242" s="1"/>
  <c r="B1243" s="1"/>
  <c r="B1244" s="1"/>
  <c r="B1245" s="1"/>
  <c r="B1246" s="1"/>
  <c r="B1247" s="1"/>
  <c r="B1248" s="1"/>
  <c r="B1249" s="1"/>
  <c r="B1250" s="1"/>
  <c r="B1251" s="1"/>
  <c r="B1252" s="1"/>
  <c r="B1253" s="1"/>
  <c r="B1254" s="1"/>
  <c r="B1255" s="1"/>
  <c r="B1256" s="1"/>
  <c r="B1257" s="1"/>
  <c r="B1258" s="1"/>
  <c r="B1259" s="1"/>
  <c r="B1260" s="1"/>
  <c r="B1261" s="1"/>
  <c r="B1262" s="1"/>
  <c r="B1263" s="1"/>
  <c r="B1264" s="1"/>
  <c r="B1265" s="1"/>
  <c r="B1266" s="1"/>
  <c r="B1267" s="1"/>
  <c r="B1268" s="1"/>
  <c r="B1269" s="1"/>
  <c r="B1270" s="1"/>
  <c r="B1271" s="1"/>
  <c r="B1272" s="1"/>
  <c r="B1273" s="1"/>
  <c r="B1274" s="1"/>
  <c r="B1275" s="1"/>
  <c r="B1276" s="1"/>
  <c r="B1277" s="1"/>
  <c r="B1278" s="1"/>
  <c r="B1279" s="1"/>
  <c r="B1280" s="1"/>
  <c r="B1281" s="1"/>
  <c r="B1282" s="1"/>
  <c r="B1283" s="1"/>
  <c r="B1284" s="1"/>
  <c r="B1285" s="1"/>
  <c r="B1286" s="1"/>
  <c r="B1287" s="1"/>
  <c r="B1288" s="1"/>
  <c r="B1289" s="1"/>
  <c r="B1290" s="1"/>
  <c r="B1291" s="1"/>
  <c r="B1292" s="1"/>
  <c r="B1293" s="1"/>
  <c r="B1294" s="1"/>
  <c r="B1295" s="1"/>
  <c r="B1296" s="1"/>
  <c r="B1297" s="1"/>
  <c r="B1298" s="1"/>
  <c r="B1299" s="1"/>
  <c r="B1300" s="1"/>
  <c r="B1301" s="1"/>
  <c r="B1302" s="1"/>
  <c r="B1303" s="1"/>
  <c r="B1304" s="1"/>
  <c r="B1305" s="1"/>
  <c r="B1306" s="1"/>
  <c r="B1307" s="1"/>
  <c r="B1308" s="1"/>
  <c r="B1309" s="1"/>
  <c r="B1310" s="1"/>
  <c r="B1311" s="1"/>
  <c r="B1312" s="1"/>
  <c r="B1313" s="1"/>
  <c r="B1314" s="1"/>
  <c r="B1315" s="1"/>
  <c r="B1316" s="1"/>
  <c r="B1317" s="1"/>
  <c r="B1318" s="1"/>
  <c r="B1319" s="1"/>
  <c r="B1320" s="1"/>
  <c r="B1321" s="1"/>
  <c r="B1322" s="1"/>
  <c r="B1323" s="1"/>
  <c r="B1324" s="1"/>
  <c r="B1325" s="1"/>
  <c r="B1326" s="1"/>
  <c r="B1327" s="1"/>
  <c r="B1328" s="1"/>
  <c r="B1329" s="1"/>
  <c r="B1330" s="1"/>
  <c r="B1331" s="1"/>
  <c r="B1332" s="1"/>
  <c r="B1333" s="1"/>
  <c r="B1334" s="1"/>
  <c r="B1335" s="1"/>
  <c r="B1336" s="1"/>
  <c r="B1337" s="1"/>
  <c r="B1338" s="1"/>
  <c r="B1339" s="1"/>
  <c r="B1340" s="1"/>
  <c r="B1341" s="1"/>
  <c r="B1342" s="1"/>
  <c r="B1343" s="1"/>
  <c r="B1344" s="1"/>
  <c r="B1345" s="1"/>
  <c r="B1346" s="1"/>
  <c r="B1347" s="1"/>
  <c r="B1348" s="1"/>
  <c r="B1349" s="1"/>
  <c r="B1350" s="1"/>
  <c r="B1351" s="1"/>
  <c r="B1352" s="1"/>
  <c r="B1353" s="1"/>
  <c r="B1354" s="1"/>
  <c r="B1355" s="1"/>
  <c r="B1356" s="1"/>
  <c r="B1357" s="1"/>
  <c r="B1358" s="1"/>
  <c r="B1359" s="1"/>
  <c r="B1360" s="1"/>
  <c r="B1361" s="1"/>
  <c r="B1362" s="1"/>
  <c r="B1363" s="1"/>
  <c r="B1364" s="1"/>
  <c r="B1365" s="1"/>
  <c r="B1366" s="1"/>
  <c r="B1367" s="1"/>
  <c r="B1368" s="1"/>
  <c r="B1369" s="1"/>
  <c r="B1370" s="1"/>
  <c r="B1371" s="1"/>
  <c r="B1372" s="1"/>
  <c r="B1373" s="1"/>
  <c r="B1374" s="1"/>
  <c r="B1375" s="1"/>
  <c r="B1376" s="1"/>
  <c r="B1377" s="1"/>
  <c r="B1378" s="1"/>
  <c r="B1379" s="1"/>
  <c r="B1380" s="1"/>
  <c r="B1381" s="1"/>
  <c r="B1382" s="1"/>
  <c r="B1383" s="1"/>
  <c r="B1384" s="1"/>
  <c r="B1385" s="1"/>
  <c r="B1386" s="1"/>
  <c r="B1387" s="1"/>
  <c r="B1388" s="1"/>
  <c r="B1389" s="1"/>
  <c r="B1390" s="1"/>
  <c r="B1391" s="1"/>
  <c r="B1392" s="1"/>
  <c r="B1393" s="1"/>
  <c r="L2" i="2"/>
  <c r="O2"/>
  <c r="L561"/>
  <c r="O561"/>
  <c r="L559"/>
  <c r="O559"/>
  <c r="L557"/>
  <c r="O557"/>
  <c r="L555"/>
  <c r="O555"/>
  <c r="L553"/>
  <c r="O553"/>
  <c r="L551"/>
  <c r="O551"/>
  <c r="L549"/>
  <c r="O549"/>
  <c r="L547"/>
  <c r="O547"/>
  <c r="L545"/>
  <c r="O545"/>
  <c r="L543"/>
  <c r="O543"/>
  <c r="L541"/>
  <c r="O541"/>
  <c r="L539"/>
  <c r="O539"/>
  <c r="L537"/>
  <c r="O537"/>
  <c r="L535"/>
  <c r="O535"/>
  <c r="L533"/>
  <c r="O533"/>
  <c r="L531"/>
  <c r="O531"/>
  <c r="L529"/>
  <c r="O529"/>
  <c r="L527"/>
  <c r="O527"/>
  <c r="L525"/>
  <c r="O525"/>
  <c r="L523"/>
  <c r="O523"/>
  <c r="L521"/>
  <c r="O521"/>
  <c r="L519"/>
  <c r="O519"/>
  <c r="L517"/>
  <c r="O517"/>
  <c r="L515"/>
  <c r="O515"/>
  <c r="L560"/>
  <c r="O560"/>
  <c r="L558"/>
  <c r="O558"/>
  <c r="L556"/>
  <c r="O556"/>
  <c r="L554"/>
  <c r="O554"/>
  <c r="L552"/>
  <c r="O552"/>
  <c r="L550"/>
  <c r="O550"/>
  <c r="L548"/>
  <c r="O548"/>
  <c r="L546"/>
  <c r="O546"/>
  <c r="L544"/>
  <c r="O544"/>
  <c r="L542"/>
  <c r="O542"/>
  <c r="L540"/>
  <c r="O540"/>
  <c r="L538"/>
  <c r="O538"/>
  <c r="L536"/>
  <c r="O536"/>
  <c r="L534"/>
  <c r="O534"/>
  <c r="L532"/>
  <c r="O532"/>
  <c r="L530"/>
  <c r="O530"/>
  <c r="L528"/>
  <c r="O528"/>
  <c r="L526"/>
  <c r="O526"/>
  <c r="L524"/>
  <c r="O524"/>
  <c r="L522"/>
  <c r="O522"/>
  <c r="L520"/>
  <c r="O520"/>
  <c r="L518"/>
  <c r="O518"/>
  <c r="L516"/>
  <c r="O516"/>
  <c r="L514"/>
  <c r="O514"/>
  <c r="L512"/>
  <c r="O512"/>
  <c r="L510"/>
  <c r="O510"/>
  <c r="L508"/>
  <c r="O508"/>
  <c r="L506"/>
  <c r="O506"/>
  <c r="L504"/>
  <c r="O504"/>
  <c r="L502"/>
  <c r="O502"/>
  <c r="L500"/>
  <c r="O500"/>
  <c r="L498"/>
  <c r="O498"/>
  <c r="L496"/>
  <c r="O496"/>
  <c r="L494"/>
  <c r="O494"/>
  <c r="L492"/>
  <c r="O492"/>
  <c r="L490"/>
  <c r="O490"/>
  <c r="L488"/>
  <c r="O488"/>
  <c r="L486"/>
  <c r="O486"/>
  <c r="L484"/>
  <c r="O484"/>
  <c r="L482"/>
  <c r="O482"/>
  <c r="L480"/>
  <c r="O480"/>
  <c r="L478"/>
  <c r="O478"/>
  <c r="L476"/>
  <c r="O476"/>
  <c r="L474"/>
  <c r="O474"/>
  <c r="L472"/>
  <c r="O472"/>
  <c r="L470"/>
  <c r="O470"/>
  <c r="L468"/>
  <c r="O468"/>
  <c r="L466"/>
  <c r="O466"/>
  <c r="L464"/>
  <c r="O464"/>
  <c r="L462"/>
  <c r="O462"/>
  <c r="L460"/>
  <c r="O460"/>
  <c r="L458"/>
  <c r="O458"/>
  <c r="L456"/>
  <c r="O456"/>
  <c r="L454"/>
  <c r="O454"/>
  <c r="L452"/>
  <c r="O452"/>
  <c r="L450"/>
  <c r="O450"/>
  <c r="L448"/>
  <c r="O448"/>
  <c r="L446"/>
  <c r="O446"/>
  <c r="L444"/>
  <c r="O444"/>
  <c r="L442"/>
  <c r="O442"/>
  <c r="L440"/>
  <c r="O440"/>
  <c r="L438"/>
  <c r="O438"/>
  <c r="L436"/>
  <c r="O436"/>
  <c r="L434"/>
  <c r="O434"/>
  <c r="L432"/>
  <c r="O432"/>
  <c r="L430"/>
  <c r="O430"/>
  <c r="L428"/>
  <c r="O428"/>
  <c r="L426"/>
  <c r="O426"/>
  <c r="L424"/>
  <c r="O424"/>
  <c r="L422"/>
  <c r="O422"/>
  <c r="L420"/>
  <c r="O420"/>
  <c r="L418"/>
  <c r="O418"/>
  <c r="L416"/>
  <c r="O416"/>
  <c r="L414"/>
  <c r="O414"/>
  <c r="L412"/>
  <c r="O412"/>
  <c r="L410"/>
  <c r="O410"/>
  <c r="L408"/>
  <c r="O408"/>
  <c r="L406"/>
  <c r="O406"/>
  <c r="L404"/>
  <c r="O404"/>
  <c r="L402"/>
  <c r="O402"/>
  <c r="L400"/>
  <c r="O400"/>
  <c r="L398"/>
  <c r="O398"/>
  <c r="L396"/>
  <c r="O396"/>
  <c r="L394"/>
  <c r="O394"/>
  <c r="L392"/>
  <c r="O392"/>
  <c r="L390"/>
  <c r="O390"/>
  <c r="L388"/>
  <c r="O388"/>
  <c r="L386"/>
  <c r="O386"/>
  <c r="L384"/>
  <c r="O384"/>
  <c r="L382"/>
  <c r="O382"/>
  <c r="L380"/>
  <c r="O380"/>
  <c r="L378"/>
  <c r="O378"/>
  <c r="L376"/>
  <c r="O376"/>
  <c r="L374"/>
  <c r="O374"/>
  <c r="L372"/>
  <c r="O372"/>
  <c r="L370"/>
  <c r="O370"/>
  <c r="L368"/>
  <c r="O368"/>
  <c r="L366"/>
  <c r="O366"/>
  <c r="L364"/>
  <c r="O364"/>
  <c r="L362"/>
  <c r="O362"/>
  <c r="L360"/>
  <c r="O360"/>
  <c r="L358"/>
  <c r="O358"/>
  <c r="L356"/>
  <c r="O356"/>
  <c r="L354"/>
  <c r="O354"/>
  <c r="L352"/>
  <c r="O352"/>
  <c r="L350"/>
  <c r="O350"/>
  <c r="L348"/>
  <c r="O348"/>
  <c r="L346"/>
  <c r="O346"/>
  <c r="L344"/>
  <c r="O344"/>
  <c r="L342"/>
  <c r="O342"/>
  <c r="L340"/>
  <c r="O340"/>
  <c r="L338"/>
  <c r="O338"/>
  <c r="L336"/>
  <c r="O336"/>
  <c r="L334"/>
  <c r="O334"/>
  <c r="L332"/>
  <c r="O332"/>
  <c r="L330"/>
  <c r="O330"/>
  <c r="L328"/>
  <c r="O328"/>
  <c r="L326"/>
  <c r="O326"/>
  <c r="L324"/>
  <c r="O324"/>
  <c r="L322"/>
  <c r="O322"/>
  <c r="L320"/>
  <c r="O320"/>
  <c r="L318"/>
  <c r="O318"/>
  <c r="L316"/>
  <c r="O316"/>
  <c r="L314"/>
  <c r="O314"/>
  <c r="L312"/>
  <c r="O312"/>
  <c r="L310"/>
  <c r="O310"/>
  <c r="L308"/>
  <c r="O308"/>
  <c r="L306"/>
  <c r="O306"/>
  <c r="L304"/>
  <c r="O304"/>
  <c r="L302"/>
  <c r="O302"/>
  <c r="L300"/>
  <c r="O300"/>
  <c r="L298"/>
  <c r="O298"/>
  <c r="L296"/>
  <c r="O296"/>
  <c r="L294"/>
  <c r="O294"/>
  <c r="L292"/>
  <c r="O292"/>
  <c r="L290"/>
  <c r="O290"/>
  <c r="L288"/>
  <c r="O288"/>
  <c r="L286"/>
  <c r="O286"/>
  <c r="L284"/>
  <c r="O284"/>
  <c r="L282"/>
  <c r="O282"/>
  <c r="L280"/>
  <c r="O280"/>
  <c r="L278"/>
  <c r="O278"/>
  <c r="L276"/>
  <c r="O276"/>
  <c r="L274"/>
  <c r="O274"/>
  <c r="L272"/>
  <c r="O272"/>
  <c r="L270"/>
  <c r="O270"/>
  <c r="L268"/>
  <c r="O268"/>
  <c r="L266"/>
  <c r="O266"/>
  <c r="L264"/>
  <c r="O264"/>
  <c r="L262"/>
  <c r="O262"/>
  <c r="L260"/>
  <c r="O260"/>
  <c r="L258"/>
  <c r="O258"/>
  <c r="L256"/>
  <c r="O256"/>
  <c r="L254"/>
  <c r="O254"/>
  <c r="L252"/>
  <c r="O252"/>
  <c r="L250"/>
  <c r="O250"/>
  <c r="L248"/>
  <c r="O248"/>
  <c r="L246"/>
  <c r="O246"/>
  <c r="L244"/>
  <c r="O244"/>
  <c r="L242"/>
  <c r="O242"/>
  <c r="L240"/>
  <c r="O240"/>
  <c r="L238"/>
  <c r="O238"/>
  <c r="L236"/>
  <c r="O236"/>
  <c r="L234"/>
  <c r="O234"/>
  <c r="L232"/>
  <c r="O232"/>
  <c r="L230"/>
  <c r="O230"/>
  <c r="L228"/>
  <c r="O228"/>
  <c r="L226"/>
  <c r="O226"/>
  <c r="L224"/>
  <c r="O224"/>
  <c r="L222"/>
  <c r="O222"/>
  <c r="L220"/>
  <c r="O220"/>
  <c r="L218"/>
  <c r="O218"/>
  <c r="L216"/>
  <c r="O216"/>
  <c r="L214"/>
  <c r="O214"/>
  <c r="L212"/>
  <c r="O212"/>
  <c r="L210"/>
  <c r="O210"/>
  <c r="L208"/>
  <c r="O208"/>
  <c r="L206"/>
  <c r="O206"/>
  <c r="L204"/>
  <c r="O204"/>
  <c r="L202"/>
  <c r="O202"/>
  <c r="L200"/>
  <c r="O200"/>
  <c r="L198"/>
  <c r="O198"/>
  <c r="L196"/>
  <c r="O196"/>
  <c r="L194"/>
  <c r="O194"/>
  <c r="L192"/>
  <c r="O192"/>
  <c r="L190"/>
  <c r="O190"/>
  <c r="L188"/>
  <c r="O188"/>
  <c r="L186"/>
  <c r="O186"/>
  <c r="L184"/>
  <c r="O184"/>
  <c r="L182"/>
  <c r="O182"/>
  <c r="L513"/>
  <c r="O513"/>
  <c r="L511"/>
  <c r="O511"/>
  <c r="L509"/>
  <c r="O509"/>
  <c r="L507"/>
  <c r="O507"/>
  <c r="L505"/>
  <c r="O505"/>
  <c r="L503"/>
  <c r="O503"/>
  <c r="L501"/>
  <c r="O501"/>
  <c r="L499"/>
  <c r="O499"/>
  <c r="L497"/>
  <c r="O497"/>
  <c r="L495"/>
  <c r="O495"/>
  <c r="L493"/>
  <c r="O493"/>
  <c r="L491"/>
  <c r="O491"/>
  <c r="L489"/>
  <c r="O489"/>
  <c r="L487"/>
  <c r="O487"/>
  <c r="L485"/>
  <c r="O485"/>
  <c r="L483"/>
  <c r="O483"/>
  <c r="L481"/>
  <c r="O481"/>
  <c r="L479"/>
  <c r="O479"/>
  <c r="L477"/>
  <c r="O477"/>
  <c r="L475"/>
  <c r="O475"/>
  <c r="L473"/>
  <c r="O473"/>
  <c r="L471"/>
  <c r="O471"/>
  <c r="L469"/>
  <c r="O469"/>
  <c r="L467"/>
  <c r="O467"/>
  <c r="L465"/>
  <c r="O465"/>
  <c r="L463"/>
  <c r="O463"/>
  <c r="L461"/>
  <c r="O461"/>
  <c r="L459"/>
  <c r="O459"/>
  <c r="L457"/>
  <c r="O457"/>
  <c r="L455"/>
  <c r="O455"/>
  <c r="L453"/>
  <c r="O453"/>
  <c r="L451"/>
  <c r="O451"/>
  <c r="L449"/>
  <c r="O449"/>
  <c r="L447"/>
  <c r="O447"/>
  <c r="L445"/>
  <c r="O445"/>
  <c r="L443"/>
  <c r="O443"/>
  <c r="L441"/>
  <c r="O441"/>
  <c r="L439"/>
  <c r="O439"/>
  <c r="L437"/>
  <c r="O437"/>
  <c r="L435"/>
  <c r="O435"/>
  <c r="L433"/>
  <c r="O433"/>
  <c r="L431"/>
  <c r="O431"/>
  <c r="L429"/>
  <c r="O429"/>
  <c r="L427"/>
  <c r="O427"/>
  <c r="L425"/>
  <c r="O425"/>
  <c r="L423"/>
  <c r="O423"/>
  <c r="L421"/>
  <c r="O421"/>
  <c r="L419"/>
  <c r="O419"/>
  <c r="L417"/>
  <c r="O417"/>
  <c r="L415"/>
  <c r="O415"/>
  <c r="L413"/>
  <c r="O413"/>
  <c r="L411"/>
  <c r="O411"/>
  <c r="L409"/>
  <c r="O409"/>
  <c r="L407"/>
  <c r="O407"/>
  <c r="L405"/>
  <c r="O405"/>
  <c r="L403"/>
  <c r="O403"/>
  <c r="L401"/>
  <c r="O401"/>
  <c r="L399"/>
  <c r="O399"/>
  <c r="L397"/>
  <c r="O397"/>
  <c r="L395"/>
  <c r="O395"/>
  <c r="L393"/>
  <c r="O393"/>
  <c r="L391"/>
  <c r="O391"/>
  <c r="L389"/>
  <c r="O389"/>
  <c r="L387"/>
  <c r="O387"/>
  <c r="L385"/>
  <c r="O385"/>
  <c r="L383"/>
  <c r="O383"/>
  <c r="L381"/>
  <c r="O381"/>
  <c r="L379"/>
  <c r="O379"/>
  <c r="L377"/>
  <c r="O377"/>
  <c r="L375"/>
  <c r="O375"/>
  <c r="L373"/>
  <c r="O373"/>
  <c r="L371"/>
  <c r="O371"/>
  <c r="L369"/>
  <c r="O369"/>
  <c r="L367"/>
  <c r="O367"/>
  <c r="L365"/>
  <c r="O365"/>
  <c r="L363"/>
  <c r="O363"/>
  <c r="L361"/>
  <c r="O361"/>
  <c r="L359"/>
  <c r="O359"/>
  <c r="L357"/>
  <c r="O357"/>
  <c r="L355"/>
  <c r="O355"/>
  <c r="L353"/>
  <c r="O353"/>
  <c r="L351"/>
  <c r="O351"/>
  <c r="L349"/>
  <c r="O349"/>
  <c r="L347"/>
  <c r="O347"/>
  <c r="L345"/>
  <c r="O345"/>
  <c r="L343"/>
  <c r="O343"/>
  <c r="L341"/>
  <c r="O341"/>
  <c r="L339"/>
  <c r="O339"/>
  <c r="L337"/>
  <c r="O337"/>
  <c r="L335"/>
  <c r="O335"/>
  <c r="L333"/>
  <c r="O333"/>
  <c r="L331"/>
  <c r="O331"/>
  <c r="L329"/>
  <c r="O329"/>
  <c r="L327"/>
  <c r="O327"/>
  <c r="L325"/>
  <c r="O325"/>
  <c r="L323"/>
  <c r="O323"/>
  <c r="L321"/>
  <c r="O321"/>
  <c r="L319"/>
  <c r="O319"/>
  <c r="L317"/>
  <c r="O317"/>
  <c r="L315"/>
  <c r="O315"/>
  <c r="L313"/>
  <c r="O313"/>
  <c r="L311"/>
  <c r="O311"/>
  <c r="L309"/>
  <c r="O309"/>
  <c r="L307"/>
  <c r="O307"/>
  <c r="L305"/>
  <c r="O305"/>
  <c r="L303"/>
  <c r="O303"/>
  <c r="L301"/>
  <c r="O301"/>
  <c r="L299"/>
  <c r="O299"/>
  <c r="L297"/>
  <c r="O297"/>
  <c r="L295"/>
  <c r="O295"/>
  <c r="L293"/>
  <c r="O293"/>
  <c r="L291"/>
  <c r="O291"/>
  <c r="L289"/>
  <c r="O289"/>
  <c r="L287"/>
  <c r="O287"/>
  <c r="L285"/>
  <c r="O285"/>
  <c r="L283"/>
  <c r="O283"/>
  <c r="L281"/>
  <c r="O281"/>
  <c r="L279"/>
  <c r="O279"/>
  <c r="L277"/>
  <c r="O277"/>
  <c r="L275"/>
  <c r="O275"/>
  <c r="L273"/>
  <c r="O273"/>
  <c r="L271"/>
  <c r="O271"/>
  <c r="L269"/>
  <c r="O269"/>
  <c r="L267"/>
  <c r="O267"/>
  <c r="L265"/>
  <c r="O265"/>
  <c r="L263"/>
  <c r="O263"/>
  <c r="L261"/>
  <c r="O261"/>
  <c r="L259"/>
  <c r="O259"/>
  <c r="L257"/>
  <c r="O257"/>
  <c r="L255"/>
  <c r="O255"/>
  <c r="L253"/>
  <c r="O253"/>
  <c r="L251"/>
  <c r="O251"/>
  <c r="L249"/>
  <c r="O249"/>
  <c r="L247"/>
  <c r="O247"/>
  <c r="L245"/>
  <c r="O245"/>
  <c r="L243"/>
  <c r="O243"/>
  <c r="L241"/>
  <c r="O241"/>
  <c r="L239"/>
  <c r="O239"/>
  <c r="L237"/>
  <c r="O237"/>
  <c r="L235"/>
  <c r="O235"/>
  <c r="L233"/>
  <c r="O233"/>
  <c r="L231"/>
  <c r="O231"/>
  <c r="L229"/>
  <c r="O229"/>
  <c r="L227"/>
  <c r="O227"/>
  <c r="L225"/>
  <c r="O225"/>
  <c r="L223"/>
  <c r="O223"/>
  <c r="L221"/>
  <c r="O221"/>
  <c r="L219"/>
  <c r="O219"/>
  <c r="L217"/>
  <c r="O217"/>
  <c r="L215"/>
  <c r="O215"/>
  <c r="L213"/>
  <c r="O213"/>
  <c r="L211"/>
  <c r="O211"/>
  <c r="L209"/>
  <c r="O209"/>
  <c r="L207"/>
  <c r="O207"/>
  <c r="L205"/>
  <c r="O205"/>
  <c r="L203"/>
  <c r="O203"/>
  <c r="L201"/>
  <c r="O201"/>
  <c r="L199"/>
  <c r="O199"/>
  <c r="L197"/>
  <c r="O197"/>
  <c r="L195"/>
  <c r="O195"/>
  <c r="L193"/>
  <c r="O193"/>
  <c r="L191"/>
  <c r="O191"/>
  <c r="L189"/>
  <c r="O189"/>
  <c r="L187"/>
  <c r="O187"/>
  <c r="L185"/>
  <c r="O185"/>
  <c r="L183"/>
  <c r="O183"/>
  <c r="L181"/>
  <c r="O181"/>
  <c r="L179"/>
  <c r="O179"/>
  <c r="L177"/>
  <c r="O177"/>
  <c r="L175"/>
  <c r="O175"/>
  <c r="L173"/>
  <c r="O173"/>
  <c r="L171"/>
  <c r="O171"/>
  <c r="L169"/>
  <c r="O169"/>
  <c r="L167"/>
  <c r="O167"/>
  <c r="L165"/>
  <c r="O165"/>
  <c r="L163"/>
  <c r="O163"/>
  <c r="L161"/>
  <c r="O161"/>
  <c r="L159"/>
  <c r="O159"/>
  <c r="L157"/>
  <c r="O157"/>
  <c r="L155"/>
  <c r="O155"/>
  <c r="L153"/>
  <c r="O153"/>
  <c r="L151"/>
  <c r="O151"/>
  <c r="L149"/>
  <c r="O149"/>
  <c r="L147"/>
  <c r="O147"/>
  <c r="L145"/>
  <c r="O145"/>
  <c r="L143"/>
  <c r="O143"/>
  <c r="L141"/>
  <c r="O141"/>
  <c r="L139"/>
  <c r="O139"/>
  <c r="L137"/>
  <c r="O137"/>
  <c r="L135"/>
  <c r="O135"/>
  <c r="L133"/>
  <c r="O133"/>
  <c r="L131"/>
  <c r="O131"/>
  <c r="L129"/>
  <c r="O129"/>
  <c r="L127"/>
  <c r="O127"/>
  <c r="L125"/>
  <c r="O125"/>
  <c r="L123"/>
  <c r="O123"/>
  <c r="L121"/>
  <c r="O121"/>
  <c r="L119"/>
  <c r="O119"/>
  <c r="L117"/>
  <c r="O117"/>
  <c r="L115"/>
  <c r="O115"/>
  <c r="L113"/>
  <c r="O113"/>
  <c r="L111"/>
  <c r="O111"/>
  <c r="L109"/>
  <c r="O109"/>
  <c r="L107"/>
  <c r="O107"/>
  <c r="L105"/>
  <c r="O105"/>
  <c r="L103"/>
  <c r="O103"/>
  <c r="L101"/>
  <c r="O101"/>
  <c r="L99"/>
  <c r="O99"/>
  <c r="L97"/>
  <c r="O97"/>
  <c r="L95"/>
  <c r="O95"/>
  <c r="L93"/>
  <c r="O93"/>
  <c r="L91"/>
  <c r="O91"/>
  <c r="L89"/>
  <c r="O89"/>
  <c r="L87"/>
  <c r="O87"/>
  <c r="L85"/>
  <c r="O85"/>
  <c r="L83"/>
  <c r="O83"/>
  <c r="L81"/>
  <c r="O81"/>
  <c r="L79"/>
  <c r="O79"/>
  <c r="L77"/>
  <c r="O77"/>
  <c r="L75"/>
  <c r="O75"/>
  <c r="L73"/>
  <c r="O73"/>
  <c r="L71"/>
  <c r="O71"/>
  <c r="L69"/>
  <c r="O69"/>
  <c r="L67"/>
  <c r="O67"/>
  <c r="L65"/>
  <c r="O65"/>
  <c r="L63"/>
  <c r="O63"/>
  <c r="L61"/>
  <c r="O61"/>
  <c r="L59"/>
  <c r="O59"/>
  <c r="L57"/>
  <c r="O57"/>
  <c r="L55"/>
  <c r="O55"/>
  <c r="L53"/>
  <c r="O53"/>
  <c r="L51"/>
  <c r="O51"/>
  <c r="L49"/>
  <c r="O49"/>
  <c r="L47"/>
  <c r="O47"/>
  <c r="L45"/>
  <c r="O45"/>
  <c r="L43"/>
  <c r="O43"/>
  <c r="L41"/>
  <c r="O41"/>
  <c r="L39"/>
  <c r="O39"/>
  <c r="L37"/>
  <c r="O37"/>
  <c r="L35"/>
  <c r="O35"/>
  <c r="L33"/>
  <c r="O33"/>
  <c r="L31"/>
  <c r="O31"/>
  <c r="L29"/>
  <c r="O29"/>
  <c r="L27"/>
  <c r="O27"/>
  <c r="L25"/>
  <c r="O25"/>
  <c r="L23"/>
  <c r="O23"/>
  <c r="L21"/>
  <c r="O21"/>
  <c r="L19"/>
  <c r="O19"/>
  <c r="L17"/>
  <c r="O17"/>
  <c r="L15"/>
  <c r="O15"/>
  <c r="L13"/>
  <c r="O13"/>
  <c r="L11"/>
  <c r="O11"/>
  <c r="L9"/>
  <c r="O9"/>
  <c r="L7"/>
  <c r="O7"/>
  <c r="L5"/>
  <c r="O5"/>
  <c r="L3"/>
  <c r="O3"/>
  <c r="L180"/>
  <c r="O180"/>
  <c r="L178"/>
  <c r="O178"/>
  <c r="L176"/>
  <c r="O176"/>
  <c r="L174"/>
  <c r="O174"/>
  <c r="L172"/>
  <c r="O172"/>
  <c r="L170"/>
  <c r="O170"/>
  <c r="L168"/>
  <c r="O168"/>
  <c r="L166"/>
  <c r="O166"/>
  <c r="L164"/>
  <c r="O164"/>
  <c r="L162"/>
  <c r="O162"/>
  <c r="L160"/>
  <c r="O160"/>
  <c r="L158"/>
  <c r="O158"/>
  <c r="L156"/>
  <c r="O156"/>
  <c r="L154"/>
  <c r="O154"/>
  <c r="L152"/>
  <c r="O152"/>
  <c r="L150"/>
  <c r="O150"/>
  <c r="L148"/>
  <c r="O148"/>
  <c r="L146"/>
  <c r="O146"/>
  <c r="L144"/>
  <c r="O144"/>
  <c r="L142"/>
  <c r="O142"/>
  <c r="L140"/>
  <c r="O140"/>
  <c r="L138"/>
  <c r="O138"/>
  <c r="L136"/>
  <c r="O136"/>
  <c r="L134"/>
  <c r="O134"/>
  <c r="L132"/>
  <c r="O132"/>
  <c r="L130"/>
  <c r="O130"/>
  <c r="L128"/>
  <c r="O128"/>
  <c r="L126"/>
  <c r="O126"/>
  <c r="L124"/>
  <c r="O124"/>
  <c r="L122"/>
  <c r="O122"/>
  <c r="L120"/>
  <c r="O120"/>
  <c r="L118"/>
  <c r="O118"/>
  <c r="L116"/>
  <c r="O116"/>
  <c r="L114"/>
  <c r="O114"/>
  <c r="L112"/>
  <c r="O112"/>
  <c r="L110"/>
  <c r="O110"/>
  <c r="L108"/>
  <c r="O108"/>
  <c r="L106"/>
  <c r="O106"/>
  <c r="L104"/>
  <c r="O104"/>
  <c r="L102"/>
  <c r="O102"/>
  <c r="L100"/>
  <c r="O100"/>
  <c r="L98"/>
  <c r="O98"/>
  <c r="L96"/>
  <c r="O96"/>
  <c r="L94"/>
  <c r="O94"/>
  <c r="L92"/>
  <c r="O92"/>
  <c r="L90"/>
  <c r="O90"/>
  <c r="L88"/>
  <c r="O88"/>
  <c r="L86"/>
  <c r="O86"/>
  <c r="L84"/>
  <c r="O84"/>
  <c r="L82"/>
  <c r="O82"/>
  <c r="L80"/>
  <c r="O80"/>
  <c r="L78"/>
  <c r="O78"/>
  <c r="L76"/>
  <c r="O76"/>
  <c r="L74"/>
  <c r="O74"/>
  <c r="L72"/>
  <c r="O72"/>
  <c r="L70"/>
  <c r="O70"/>
  <c r="L68"/>
  <c r="O68"/>
  <c r="L66"/>
  <c r="O66"/>
  <c r="L64"/>
  <c r="O64"/>
  <c r="L62"/>
  <c r="O62"/>
  <c r="L60"/>
  <c r="O60"/>
  <c r="L58"/>
  <c r="O58"/>
  <c r="L56"/>
  <c r="O56"/>
  <c r="L54"/>
  <c r="O54"/>
  <c r="L52"/>
  <c r="O52"/>
  <c r="L50"/>
  <c r="O50"/>
  <c r="L48"/>
  <c r="O48"/>
  <c r="L46"/>
  <c r="O46"/>
  <c r="L44"/>
  <c r="O44"/>
  <c r="L42"/>
  <c r="O42"/>
  <c r="L40"/>
  <c r="O40"/>
  <c r="L38"/>
  <c r="O38"/>
  <c r="L36"/>
  <c r="O36"/>
  <c r="L34"/>
  <c r="O34"/>
  <c r="L32"/>
  <c r="O32"/>
  <c r="L30"/>
  <c r="O30"/>
  <c r="L28"/>
  <c r="O28"/>
  <c r="L26"/>
  <c r="O26"/>
  <c r="L24"/>
  <c r="O24"/>
  <c r="L22"/>
  <c r="O22"/>
  <c r="L20"/>
  <c r="O20"/>
  <c r="L18"/>
  <c r="O18"/>
  <c r="L16"/>
  <c r="O16"/>
  <c r="L14"/>
  <c r="O14"/>
  <c r="L12"/>
  <c r="O12"/>
  <c r="L10"/>
  <c r="O10"/>
  <c r="L8"/>
  <c r="O8"/>
  <c r="L6"/>
  <c r="O6"/>
  <c r="L4"/>
  <c r="O4"/>
  <c r="H561"/>
  <c r="H559"/>
  <c r="H557"/>
  <c r="H555"/>
  <c r="H553"/>
  <c r="H551"/>
  <c r="H549"/>
  <c r="H547"/>
  <c r="H545"/>
  <c r="H543"/>
  <c r="H541"/>
  <c r="H539"/>
  <c r="H537"/>
  <c r="H535"/>
  <c r="H533"/>
  <c r="H531"/>
  <c r="H529"/>
  <c r="H527"/>
  <c r="H525"/>
  <c r="H523"/>
  <c r="H521"/>
  <c r="H519"/>
  <c r="H560"/>
  <c r="H558"/>
  <c r="H556"/>
  <c r="H554"/>
  <c r="H552"/>
  <c r="H550"/>
  <c r="H548"/>
  <c r="H546"/>
  <c r="H544"/>
  <c r="H542"/>
  <c r="H540"/>
  <c r="H538"/>
  <c r="H536"/>
  <c r="H534"/>
  <c r="H532"/>
  <c r="H530"/>
  <c r="H528"/>
  <c r="H526"/>
  <c r="H524"/>
  <c r="H522"/>
  <c r="H520"/>
  <c r="H518"/>
  <c r="H516"/>
  <c r="H514"/>
  <c r="H512"/>
  <c r="H510"/>
  <c r="H508"/>
  <c r="H506"/>
  <c r="H504"/>
  <c r="H502"/>
  <c r="H500"/>
  <c r="H498"/>
  <c r="H496"/>
  <c r="H494"/>
  <c r="H492"/>
  <c r="H490"/>
  <c r="H488"/>
  <c r="H486"/>
  <c r="H484"/>
  <c r="H482"/>
  <c r="H480"/>
  <c r="H478"/>
  <c r="H476"/>
  <c r="H474"/>
  <c r="H472"/>
  <c r="H470"/>
  <c r="H468"/>
  <c r="H466"/>
  <c r="H464"/>
  <c r="H462"/>
  <c r="H460"/>
  <c r="H458"/>
  <c r="H456"/>
  <c r="H454"/>
  <c r="H452"/>
  <c r="H450"/>
  <c r="H448"/>
  <c r="H446"/>
  <c r="H444"/>
  <c r="H442"/>
  <c r="H440"/>
  <c r="H438"/>
  <c r="H436"/>
  <c r="H434"/>
  <c r="H432"/>
  <c r="H430"/>
  <c r="H428"/>
  <c r="H426"/>
  <c r="H424"/>
  <c r="H422"/>
  <c r="H420"/>
  <c r="H418"/>
  <c r="H416"/>
  <c r="H414"/>
  <c r="H412"/>
  <c r="H410"/>
  <c r="H408"/>
  <c r="H406"/>
  <c r="H404"/>
  <c r="H517"/>
  <c r="H515"/>
  <c r="H513"/>
  <c r="H511"/>
  <c r="H509"/>
  <c r="H507"/>
  <c r="H505"/>
  <c r="H503"/>
  <c r="H501"/>
  <c r="H499"/>
  <c r="H497"/>
  <c r="H495"/>
  <c r="H493"/>
  <c r="H491"/>
  <c r="H489"/>
  <c r="H487"/>
  <c r="H485"/>
  <c r="H483"/>
  <c r="H481"/>
  <c r="H479"/>
  <c r="H477"/>
  <c r="H475"/>
  <c r="H473"/>
  <c r="H471"/>
  <c r="H469"/>
  <c r="H467"/>
  <c r="H465"/>
  <c r="H463"/>
  <c r="H461"/>
  <c r="H459"/>
  <c r="H457"/>
  <c r="H455"/>
  <c r="H453"/>
  <c r="H451"/>
  <c r="H449"/>
  <c r="H447"/>
  <c r="H445"/>
  <c r="H443"/>
  <c r="H441"/>
  <c r="H439"/>
  <c r="H437"/>
  <c r="H435"/>
  <c r="H433"/>
  <c r="H431"/>
  <c r="H429"/>
  <c r="H427"/>
  <c r="H425"/>
  <c r="H423"/>
  <c r="H421"/>
  <c r="H419"/>
  <c r="H417"/>
  <c r="H415"/>
  <c r="H413"/>
  <c r="H411"/>
  <c r="H409"/>
  <c r="H407"/>
  <c r="H405"/>
  <c r="H403"/>
  <c r="H401"/>
  <c r="H399"/>
  <c r="H397"/>
  <c r="H395"/>
  <c r="H393"/>
  <c r="H391"/>
  <c r="H389"/>
  <c r="H387"/>
  <c r="H385"/>
  <c r="H383"/>
  <c r="H381"/>
  <c r="H379"/>
  <c r="H377"/>
  <c r="H375"/>
  <c r="H373"/>
  <c r="H371"/>
  <c r="H369"/>
  <c r="H367"/>
  <c r="H365"/>
  <c r="H363"/>
  <c r="H361"/>
  <c r="H359"/>
  <c r="H357"/>
  <c r="H355"/>
  <c r="H353"/>
  <c r="H351"/>
  <c r="H349"/>
  <c r="H347"/>
  <c r="H345"/>
  <c r="H343"/>
  <c r="H341"/>
  <c r="H339"/>
  <c r="H337"/>
  <c r="H335"/>
  <c r="H333"/>
  <c r="H331"/>
  <c r="H329"/>
  <c r="H327"/>
  <c r="H325"/>
  <c r="H323"/>
  <c r="H321"/>
  <c r="H319"/>
  <c r="H317"/>
  <c r="H315"/>
  <c r="H313"/>
  <c r="H311"/>
  <c r="H309"/>
  <c r="H307"/>
  <c r="H305"/>
  <c r="H303"/>
  <c r="H301"/>
  <c r="H299"/>
  <c r="H297"/>
  <c r="H295"/>
  <c r="H293"/>
  <c r="H291"/>
  <c r="H289"/>
  <c r="H287"/>
  <c r="H285"/>
  <c r="H283"/>
  <c r="H281"/>
  <c r="H279"/>
  <c r="H277"/>
  <c r="H275"/>
  <c r="H273"/>
  <c r="H271"/>
  <c r="H269"/>
  <c r="H267"/>
  <c r="H265"/>
  <c r="H263"/>
  <c r="H261"/>
  <c r="H259"/>
  <c r="H257"/>
  <c r="H255"/>
  <c r="H253"/>
  <c r="H251"/>
  <c r="H249"/>
  <c r="H247"/>
  <c r="H245"/>
  <c r="H243"/>
  <c r="H241"/>
  <c r="H239"/>
  <c r="H237"/>
  <c r="H235"/>
  <c r="H233"/>
  <c r="H231"/>
  <c r="H229"/>
  <c r="H227"/>
  <c r="H225"/>
  <c r="H223"/>
  <c r="H221"/>
  <c r="H219"/>
  <c r="H217"/>
  <c r="H215"/>
  <c r="H213"/>
  <c r="H211"/>
  <c r="H209"/>
  <c r="H207"/>
  <c r="H205"/>
  <c r="H203"/>
  <c r="H201"/>
  <c r="H199"/>
  <c r="H197"/>
  <c r="H195"/>
  <c r="H193"/>
  <c r="H191"/>
  <c r="H189"/>
  <c r="H187"/>
  <c r="H185"/>
  <c r="H183"/>
  <c r="H181"/>
  <c r="H179"/>
  <c r="H177"/>
  <c r="H175"/>
  <c r="H173"/>
  <c r="H171"/>
  <c r="H169"/>
  <c r="H167"/>
  <c r="H165"/>
  <c r="H163"/>
  <c r="H161"/>
  <c r="H159"/>
  <c r="H157"/>
  <c r="H155"/>
  <c r="H153"/>
  <c r="H151"/>
  <c r="H149"/>
  <c r="H147"/>
  <c r="H145"/>
  <c r="H143"/>
  <c r="H141"/>
  <c r="H139"/>
  <c r="H137"/>
  <c r="H135"/>
  <c r="H133"/>
  <c r="H131"/>
  <c r="H129"/>
  <c r="H127"/>
  <c r="H125"/>
  <c r="H123"/>
  <c r="H121"/>
  <c r="H119"/>
  <c r="H117"/>
  <c r="H115"/>
  <c r="H113"/>
  <c r="H111"/>
  <c r="H109"/>
  <c r="H107"/>
  <c r="H105"/>
  <c r="H103"/>
  <c r="H101"/>
  <c r="H99"/>
  <c r="H97"/>
  <c r="H95"/>
  <c r="H93"/>
  <c r="H91"/>
  <c r="H89"/>
  <c r="H87"/>
  <c r="H85"/>
  <c r="H83"/>
  <c r="H81"/>
  <c r="H79"/>
  <c r="H77"/>
  <c r="H75"/>
  <c r="H73"/>
  <c r="H71"/>
  <c r="H69"/>
  <c r="H67"/>
  <c r="H61"/>
  <c r="H59"/>
  <c r="H57"/>
  <c r="H55"/>
  <c r="H53"/>
  <c r="H51"/>
  <c r="H49"/>
  <c r="H47"/>
  <c r="H45"/>
  <c r="H43"/>
  <c r="H41"/>
  <c r="H39"/>
  <c r="H37"/>
  <c r="H35"/>
  <c r="H33"/>
  <c r="H31"/>
  <c r="H29"/>
  <c r="H27"/>
  <c r="H25"/>
  <c r="H23"/>
  <c r="H21"/>
  <c r="H19"/>
  <c r="H17"/>
  <c r="H15"/>
  <c r="H13"/>
  <c r="H11"/>
  <c r="H9"/>
  <c r="H7"/>
  <c r="H5"/>
  <c r="H3"/>
  <c r="H402"/>
  <c r="H400"/>
  <c r="H398"/>
  <c r="H396"/>
  <c r="H394"/>
  <c r="H392"/>
  <c r="H390"/>
  <c r="H388"/>
  <c r="H386"/>
  <c r="H384"/>
  <c r="H382"/>
  <c r="H380"/>
  <c r="H378"/>
  <c r="H376"/>
  <c r="H374"/>
  <c r="H372"/>
  <c r="H370"/>
  <c r="H368"/>
  <c r="H366"/>
  <c r="H364"/>
  <c r="H362"/>
  <c r="H360"/>
  <c r="H358"/>
  <c r="H356"/>
  <c r="H354"/>
  <c r="H352"/>
  <c r="H350"/>
  <c r="H348"/>
  <c r="H346"/>
  <c r="H344"/>
  <c r="H342"/>
  <c r="H340"/>
  <c r="H338"/>
  <c r="H336"/>
  <c r="H334"/>
  <c r="H332"/>
  <c r="H330"/>
  <c r="H328"/>
  <c r="H326"/>
  <c r="H324"/>
  <c r="H322"/>
  <c r="H320"/>
  <c r="H318"/>
  <c r="H316"/>
  <c r="H314"/>
  <c r="H312"/>
  <c r="H310"/>
  <c r="H308"/>
  <c r="H306"/>
  <c r="H304"/>
  <c r="H302"/>
  <c r="H300"/>
  <c r="H298"/>
  <c r="H296"/>
  <c r="H294"/>
  <c r="H292"/>
  <c r="H290"/>
  <c r="H288"/>
  <c r="H286"/>
  <c r="H284"/>
  <c r="H282"/>
  <c r="H280"/>
  <c r="H278"/>
  <c r="H276"/>
  <c r="H274"/>
  <c r="H272"/>
  <c r="H270"/>
  <c r="H268"/>
  <c r="H266"/>
  <c r="H264"/>
  <c r="H262"/>
  <c r="H260"/>
  <c r="H258"/>
  <c r="H256"/>
  <c r="H254"/>
  <c r="H252"/>
  <c r="H250"/>
  <c r="H248"/>
  <c r="H246"/>
  <c r="H244"/>
  <c r="H242"/>
  <c r="H240"/>
  <c r="H238"/>
  <c r="H236"/>
  <c r="H234"/>
  <c r="H232"/>
  <c r="H230"/>
  <c r="H228"/>
  <c r="H226"/>
  <c r="H224"/>
  <c r="H222"/>
  <c r="H220"/>
  <c r="H218"/>
  <c r="H216"/>
  <c r="H214"/>
  <c r="H212"/>
  <c r="H210"/>
  <c r="H208"/>
  <c r="H206"/>
  <c r="H204"/>
  <c r="H202"/>
  <c r="H200"/>
  <c r="H198"/>
  <c r="H196"/>
  <c r="H194"/>
  <c r="H192"/>
  <c r="H190"/>
  <c r="H188"/>
  <c r="H186"/>
  <c r="H184"/>
  <c r="H182"/>
  <c r="H180"/>
  <c r="H178"/>
  <c r="H176"/>
  <c r="H174"/>
  <c r="H172"/>
  <c r="H170"/>
  <c r="H168"/>
  <c r="H166"/>
  <c r="H164"/>
  <c r="H162"/>
  <c r="H160"/>
  <c r="H158"/>
  <c r="H156"/>
  <c r="H154"/>
  <c r="H152"/>
  <c r="H150"/>
  <c r="H148"/>
  <c r="H146"/>
  <c r="H144"/>
  <c r="H142"/>
  <c r="H140"/>
  <c r="H138"/>
  <c r="H136"/>
  <c r="H134"/>
  <c r="H132"/>
  <c r="H130"/>
  <c r="H128"/>
  <c r="H126"/>
  <c r="H124"/>
  <c r="H122"/>
  <c r="H120"/>
  <c r="H118"/>
  <c r="H116"/>
  <c r="H114"/>
  <c r="H112"/>
  <c r="H110"/>
  <c r="H108"/>
  <c r="H106"/>
  <c r="H104"/>
  <c r="H102"/>
  <c r="H100"/>
  <c r="H98"/>
  <c r="H96"/>
  <c r="H94"/>
  <c r="H92"/>
  <c r="H90"/>
  <c r="H88"/>
  <c r="H86"/>
  <c r="H84"/>
  <c r="H82"/>
  <c r="H80"/>
  <c r="H78"/>
  <c r="H76"/>
  <c r="H74"/>
  <c r="H72"/>
  <c r="H70"/>
  <c r="H68"/>
  <c r="H62"/>
  <c r="H60"/>
  <c r="H58"/>
  <c r="H56"/>
  <c r="H54"/>
  <c r="H52"/>
  <c r="H50"/>
  <c r="H48"/>
  <c r="H46"/>
  <c r="H44"/>
  <c r="H42"/>
  <c r="H40"/>
  <c r="H38"/>
  <c r="H36"/>
  <c r="H34"/>
  <c r="H32"/>
  <c r="H30"/>
  <c r="H28"/>
  <c r="H26"/>
  <c r="H24"/>
  <c r="H22"/>
  <c r="H20"/>
  <c r="H18"/>
  <c r="H16"/>
  <c r="H14"/>
  <c r="H12"/>
  <c r="H10"/>
  <c r="H8"/>
  <c r="H6"/>
  <c r="H4"/>
  <c r="H570" l="1"/>
  <c r="H763"/>
  <c r="D763"/>
  <c r="D578"/>
  <c r="H578"/>
  <c r="H575"/>
  <c r="H571"/>
  <c r="H567"/>
  <c r="H577"/>
  <c r="H573"/>
  <c r="H569"/>
  <c r="D572"/>
  <c r="D568"/>
  <c r="D577"/>
  <c r="D575"/>
  <c r="D571"/>
  <c r="D567"/>
  <c r="D573"/>
  <c r="D569"/>
  <c r="D566"/>
  <c r="D576"/>
  <c r="D574"/>
  <c r="D570"/>
  <c r="H66"/>
  <c r="D66"/>
  <c r="H576"/>
  <c r="H572"/>
  <c r="H568"/>
  <c r="H566"/>
  <c r="H574"/>
  <c r="H859"/>
  <c r="H861"/>
  <c r="H863"/>
  <c r="H865"/>
  <c r="H867"/>
  <c r="H869"/>
  <c r="H871"/>
  <c r="H873"/>
  <c r="H875"/>
  <c r="H877"/>
  <c r="H879"/>
  <c r="H881"/>
  <c r="H883"/>
  <c r="H885"/>
  <c r="H887"/>
  <c r="H889"/>
  <c r="H891"/>
  <c r="H893"/>
  <c r="H895"/>
  <c r="H897"/>
  <c r="H899"/>
  <c r="H901"/>
  <c r="H858"/>
  <c r="H860"/>
  <c r="H862"/>
  <c r="H864"/>
  <c r="H866"/>
  <c r="H868"/>
  <c r="H870"/>
  <c r="H872"/>
  <c r="H874"/>
  <c r="H876"/>
  <c r="H878"/>
  <c r="H880"/>
  <c r="H882"/>
  <c r="H884"/>
  <c r="H886"/>
  <c r="H888"/>
  <c r="H890"/>
  <c r="H892"/>
  <c r="H894"/>
  <c r="H896"/>
  <c r="H898"/>
  <c r="H900"/>
  <c r="H902"/>
  <c r="D899"/>
  <c r="D895"/>
  <c r="D891"/>
  <c r="D886"/>
  <c r="D900"/>
  <c r="D896"/>
  <c r="D892"/>
  <c r="D888"/>
  <c r="D885"/>
  <c r="D883"/>
  <c r="D881"/>
  <c r="D879"/>
  <c r="D877"/>
  <c r="D875"/>
  <c r="D873"/>
  <c r="D871"/>
  <c r="D869"/>
  <c r="D867"/>
  <c r="D865"/>
  <c r="D863"/>
  <c r="D861"/>
  <c r="D859"/>
  <c r="D901"/>
  <c r="D897"/>
  <c r="D893"/>
  <c r="D889"/>
  <c r="D902"/>
  <c r="D898"/>
  <c r="D894"/>
  <c r="D890"/>
  <c r="D887"/>
  <c r="D884"/>
  <c r="D882"/>
  <c r="D880"/>
  <c r="D878"/>
  <c r="D876"/>
  <c r="D874"/>
  <c r="D872"/>
  <c r="D870"/>
  <c r="D868"/>
  <c r="D866"/>
  <c r="D864"/>
  <c r="D862"/>
  <c r="D860"/>
  <c r="D858"/>
  <c r="J853"/>
  <c r="J855"/>
  <c r="J810"/>
  <c r="J813"/>
  <c r="J814"/>
  <c r="J815"/>
  <c r="J856"/>
  <c r="J817"/>
  <c r="J819"/>
  <c r="J831"/>
  <c r="J835"/>
  <c r="J837"/>
  <c r="J841"/>
  <c r="J843"/>
  <c r="J845"/>
  <c r="J847"/>
  <c r="J849"/>
  <c r="J851"/>
  <c r="J816"/>
  <c r="J818"/>
  <c r="J820"/>
  <c r="J822"/>
  <c r="J828"/>
  <c r="J832"/>
  <c r="J838"/>
  <c r="J840"/>
  <c r="J842"/>
  <c r="J844"/>
  <c r="J846"/>
  <c r="J848"/>
  <c r="J852"/>
  <c r="F853"/>
  <c r="F855"/>
  <c r="F810"/>
  <c r="F813"/>
  <c r="F814"/>
  <c r="F815"/>
  <c r="F856"/>
  <c r="F817"/>
  <c r="F819"/>
  <c r="F831"/>
  <c r="F835"/>
  <c r="F837"/>
  <c r="F841"/>
  <c r="F843"/>
  <c r="F845"/>
  <c r="F847"/>
  <c r="F849"/>
  <c r="F851"/>
  <c r="F816"/>
  <c r="F818"/>
  <c r="F820"/>
  <c r="F822"/>
  <c r="F828"/>
  <c r="F832"/>
  <c r="F838"/>
  <c r="F840"/>
  <c r="F842"/>
  <c r="F844"/>
  <c r="F846"/>
  <c r="F848"/>
  <c r="F852"/>
  <c r="H613"/>
  <c r="H803"/>
  <c r="H805"/>
  <c r="H807"/>
  <c r="H809"/>
  <c r="H812"/>
  <c r="H821"/>
  <c r="H823"/>
  <c r="H825"/>
  <c r="H827"/>
  <c r="H829"/>
  <c r="H833"/>
  <c r="H839"/>
  <c r="H824"/>
  <c r="H826"/>
  <c r="H830"/>
  <c r="H834"/>
  <c r="H836"/>
  <c r="H850"/>
  <c r="H857"/>
  <c r="H802"/>
  <c r="H804"/>
  <c r="H806"/>
  <c r="H808"/>
  <c r="H811"/>
  <c r="H854"/>
  <c r="D854"/>
  <c r="D812"/>
  <c r="D809"/>
  <c r="D807"/>
  <c r="D805"/>
  <c r="D803"/>
  <c r="D857"/>
  <c r="D811"/>
  <c r="D808"/>
  <c r="D806"/>
  <c r="D804"/>
  <c r="D802"/>
  <c r="D821"/>
  <c r="D823"/>
  <c r="D825"/>
  <c r="D827"/>
  <c r="D829"/>
  <c r="D833"/>
  <c r="D839"/>
  <c r="D824"/>
  <c r="D826"/>
  <c r="D830"/>
  <c r="D834"/>
  <c r="D836"/>
  <c r="D850"/>
  <c r="J563"/>
  <c r="J771"/>
  <c r="J775"/>
  <c r="J776"/>
  <c r="J770"/>
  <c r="J716"/>
  <c r="J718"/>
  <c r="J720"/>
  <c r="J722"/>
  <c r="J724"/>
  <c r="J726"/>
  <c r="J763"/>
  <c r="J717"/>
  <c r="J719"/>
  <c r="J721"/>
  <c r="J723"/>
  <c r="J725"/>
  <c r="J757"/>
  <c r="J758"/>
  <c r="J777"/>
  <c r="J782"/>
  <c r="F2"/>
  <c r="F716"/>
  <c r="F718"/>
  <c r="F720"/>
  <c r="F722"/>
  <c r="F724"/>
  <c r="F726"/>
  <c r="F763"/>
  <c r="F717"/>
  <c r="F719"/>
  <c r="F721"/>
  <c r="F723"/>
  <c r="F725"/>
  <c r="F757"/>
  <c r="F758"/>
  <c r="F777"/>
  <c r="F782"/>
  <c r="F771"/>
  <c r="F775"/>
  <c r="F776"/>
  <c r="F770"/>
  <c r="J344"/>
  <c r="J448"/>
  <c r="F448"/>
  <c r="J612"/>
  <c r="F593"/>
  <c r="H563"/>
  <c r="H743"/>
  <c r="H744"/>
  <c r="H693"/>
  <c r="H695"/>
  <c r="H697"/>
  <c r="H699"/>
  <c r="H701"/>
  <c r="H703"/>
  <c r="H705"/>
  <c r="H747"/>
  <c r="H749"/>
  <c r="H751"/>
  <c r="H753"/>
  <c r="H755"/>
  <c r="H759"/>
  <c r="H761"/>
  <c r="H765"/>
  <c r="H769"/>
  <c r="H774"/>
  <c r="H781"/>
  <c r="H784"/>
  <c r="H786"/>
  <c r="H788"/>
  <c r="H790"/>
  <c r="H792"/>
  <c r="H794"/>
  <c r="H796"/>
  <c r="H798"/>
  <c r="H800"/>
  <c r="H785"/>
  <c r="H787"/>
  <c r="H789"/>
  <c r="H791"/>
  <c r="H793"/>
  <c r="H795"/>
  <c r="H797"/>
  <c r="H799"/>
  <c r="H801"/>
  <c r="H764"/>
  <c r="H768"/>
  <c r="H779"/>
  <c r="H783"/>
  <c r="H692"/>
  <c r="H694"/>
  <c r="H696"/>
  <c r="H698"/>
  <c r="H700"/>
  <c r="H702"/>
  <c r="H704"/>
  <c r="H706"/>
  <c r="H746"/>
  <c r="H748"/>
  <c r="H750"/>
  <c r="H752"/>
  <c r="H754"/>
  <c r="H756"/>
  <c r="H760"/>
  <c r="H762"/>
  <c r="H766"/>
  <c r="H773"/>
  <c r="H778"/>
  <c r="H708"/>
  <c r="H710"/>
  <c r="H712"/>
  <c r="H714"/>
  <c r="H728"/>
  <c r="H730"/>
  <c r="H732"/>
  <c r="H734"/>
  <c r="H736"/>
  <c r="H738"/>
  <c r="H740"/>
  <c r="H742"/>
  <c r="H745"/>
  <c r="H767"/>
  <c r="H772"/>
  <c r="H780"/>
  <c r="H707"/>
  <c r="H709"/>
  <c r="H711"/>
  <c r="H713"/>
  <c r="H715"/>
  <c r="H727"/>
  <c r="H729"/>
  <c r="H731"/>
  <c r="H733"/>
  <c r="H735"/>
  <c r="H737"/>
  <c r="H739"/>
  <c r="H741"/>
  <c r="D614"/>
  <c r="D745"/>
  <c r="D744"/>
  <c r="D781"/>
  <c r="D779"/>
  <c r="D774"/>
  <c r="D772"/>
  <c r="D768"/>
  <c r="D766"/>
  <c r="D764"/>
  <c r="D761"/>
  <c r="D759"/>
  <c r="D755"/>
  <c r="D753"/>
  <c r="D751"/>
  <c r="D749"/>
  <c r="D747"/>
  <c r="D705"/>
  <c r="D703"/>
  <c r="D701"/>
  <c r="D699"/>
  <c r="D697"/>
  <c r="D695"/>
  <c r="D693"/>
  <c r="D780"/>
  <c r="D778"/>
  <c r="D773"/>
  <c r="D769"/>
  <c r="D767"/>
  <c r="D765"/>
  <c r="D762"/>
  <c r="D760"/>
  <c r="D756"/>
  <c r="D754"/>
  <c r="D752"/>
  <c r="D750"/>
  <c r="D748"/>
  <c r="D746"/>
  <c r="D743"/>
  <c r="D704"/>
  <c r="D702"/>
  <c r="D700"/>
  <c r="D698"/>
  <c r="D696"/>
  <c r="D694"/>
  <c r="D692"/>
  <c r="D706"/>
  <c r="D708"/>
  <c r="D710"/>
  <c r="D712"/>
  <c r="D714"/>
  <c r="D728"/>
  <c r="D730"/>
  <c r="D732"/>
  <c r="D734"/>
  <c r="D736"/>
  <c r="D738"/>
  <c r="D740"/>
  <c r="D742"/>
  <c r="D707"/>
  <c r="D709"/>
  <c r="D711"/>
  <c r="D713"/>
  <c r="D715"/>
  <c r="D727"/>
  <c r="D729"/>
  <c r="D731"/>
  <c r="D733"/>
  <c r="D735"/>
  <c r="D737"/>
  <c r="D739"/>
  <c r="D741"/>
  <c r="D783"/>
  <c r="D784"/>
  <c r="D786"/>
  <c r="D788"/>
  <c r="D790"/>
  <c r="D792"/>
  <c r="D794"/>
  <c r="D796"/>
  <c r="D798"/>
  <c r="D800"/>
  <c r="D785"/>
  <c r="D787"/>
  <c r="D789"/>
  <c r="D791"/>
  <c r="D793"/>
  <c r="D795"/>
  <c r="D797"/>
  <c r="D799"/>
  <c r="D801"/>
  <c r="F344"/>
  <c r="D346"/>
  <c r="D613"/>
  <c r="F612"/>
  <c r="J593"/>
  <c r="H678"/>
  <c r="H676"/>
  <c r="H674"/>
  <c r="H672"/>
  <c r="H670"/>
  <c r="H668"/>
  <c r="H666"/>
  <c r="H664"/>
  <c r="H662"/>
  <c r="H660"/>
  <c r="H658"/>
  <c r="H656"/>
  <c r="H654"/>
  <c r="H652"/>
  <c r="H650"/>
  <c r="H647"/>
  <c r="H645"/>
  <c r="H643"/>
  <c r="H641"/>
  <c r="H639"/>
  <c r="H637"/>
  <c r="H635"/>
  <c r="H633"/>
  <c r="H631"/>
  <c r="H629"/>
  <c r="H627"/>
  <c r="H625"/>
  <c r="H623"/>
  <c r="H621"/>
  <c r="H619"/>
  <c r="H617"/>
  <c r="H615"/>
  <c r="F613"/>
  <c r="F595"/>
  <c r="F580"/>
  <c r="F579"/>
  <c r="H690"/>
  <c r="H688"/>
  <c r="H686"/>
  <c r="H684"/>
  <c r="H682"/>
  <c r="H680"/>
  <c r="H691"/>
  <c r="H689"/>
  <c r="H687"/>
  <c r="H685"/>
  <c r="H683"/>
  <c r="H681"/>
  <c r="H679"/>
  <c r="D646"/>
  <c r="D644"/>
  <c r="D642"/>
  <c r="D640"/>
  <c r="D638"/>
  <c r="D636"/>
  <c r="D634"/>
  <c r="D632"/>
  <c r="D630"/>
  <c r="D628"/>
  <c r="D626"/>
  <c r="D624"/>
  <c r="D622"/>
  <c r="D620"/>
  <c r="D618"/>
  <c r="D616"/>
  <c r="H649"/>
  <c r="H611"/>
  <c r="H609"/>
  <c r="H607"/>
  <c r="H605"/>
  <c r="H603"/>
  <c r="H601"/>
  <c r="H599"/>
  <c r="H597"/>
  <c r="J581"/>
  <c r="H565"/>
  <c r="H579"/>
  <c r="H648"/>
  <c r="D564"/>
  <c r="D678"/>
  <c r="D676"/>
  <c r="D674"/>
  <c r="D672"/>
  <c r="D670"/>
  <c r="D668"/>
  <c r="D666"/>
  <c r="D664"/>
  <c r="D662"/>
  <c r="D660"/>
  <c r="D658"/>
  <c r="D656"/>
  <c r="D654"/>
  <c r="D652"/>
  <c r="D650"/>
  <c r="D649"/>
  <c r="D648"/>
  <c r="D612"/>
  <c r="D610"/>
  <c r="D608"/>
  <c r="D606"/>
  <c r="D604"/>
  <c r="D602"/>
  <c r="D600"/>
  <c r="D598"/>
  <c r="D592"/>
  <c r="D677"/>
  <c r="D675"/>
  <c r="D673"/>
  <c r="D671"/>
  <c r="D669"/>
  <c r="D667"/>
  <c r="D665"/>
  <c r="D663"/>
  <c r="D661"/>
  <c r="D659"/>
  <c r="D657"/>
  <c r="D655"/>
  <c r="D653"/>
  <c r="D651"/>
  <c r="D611"/>
  <c r="D609"/>
  <c r="D607"/>
  <c r="D605"/>
  <c r="D603"/>
  <c r="D601"/>
  <c r="D599"/>
  <c r="D597"/>
  <c r="J450"/>
  <c r="F450"/>
  <c r="D447"/>
  <c r="D563"/>
  <c r="H677"/>
  <c r="H675"/>
  <c r="H673"/>
  <c r="H671"/>
  <c r="H669"/>
  <c r="H667"/>
  <c r="H665"/>
  <c r="H663"/>
  <c r="H661"/>
  <c r="H659"/>
  <c r="H657"/>
  <c r="H655"/>
  <c r="H653"/>
  <c r="H651"/>
  <c r="D647"/>
  <c r="D645"/>
  <c r="D643"/>
  <c r="D641"/>
  <c r="D639"/>
  <c r="D637"/>
  <c r="D635"/>
  <c r="D633"/>
  <c r="D631"/>
  <c r="D629"/>
  <c r="D627"/>
  <c r="D625"/>
  <c r="D623"/>
  <c r="D621"/>
  <c r="D619"/>
  <c r="D617"/>
  <c r="D615"/>
  <c r="J613"/>
  <c r="J595"/>
  <c r="J580"/>
  <c r="J579"/>
  <c r="D690"/>
  <c r="D688"/>
  <c r="D686"/>
  <c r="D684"/>
  <c r="D682"/>
  <c r="D680"/>
  <c r="D691"/>
  <c r="D689"/>
  <c r="D687"/>
  <c r="D685"/>
  <c r="D683"/>
  <c r="D681"/>
  <c r="D679"/>
  <c r="D565"/>
  <c r="H646"/>
  <c r="H644"/>
  <c r="H642"/>
  <c r="H640"/>
  <c r="H638"/>
  <c r="H636"/>
  <c r="H634"/>
  <c r="H632"/>
  <c r="H630"/>
  <c r="H628"/>
  <c r="H626"/>
  <c r="H624"/>
  <c r="H622"/>
  <c r="H620"/>
  <c r="H618"/>
  <c r="H616"/>
  <c r="H614"/>
  <c r="H612"/>
  <c r="H610"/>
  <c r="H608"/>
  <c r="H606"/>
  <c r="H604"/>
  <c r="H602"/>
  <c r="H600"/>
  <c r="H598"/>
  <c r="H592"/>
  <c r="F581"/>
  <c r="H564"/>
  <c r="J66"/>
  <c r="J346"/>
  <c r="H593"/>
  <c r="F592"/>
  <c r="H589"/>
  <c r="H585"/>
  <c r="H581"/>
  <c r="F576"/>
  <c r="F575"/>
  <c r="F572"/>
  <c r="F571"/>
  <c r="F568"/>
  <c r="F567"/>
  <c r="F566"/>
  <c r="F565"/>
  <c r="F564"/>
  <c r="F563"/>
  <c r="H595"/>
  <c r="H588"/>
  <c r="H584"/>
  <c r="H580"/>
  <c r="J578"/>
  <c r="J577"/>
  <c r="J574"/>
  <c r="J573"/>
  <c r="J570"/>
  <c r="J569"/>
  <c r="H562"/>
  <c r="D595"/>
  <c r="D593"/>
  <c r="D590"/>
  <c r="D588"/>
  <c r="D586"/>
  <c r="D584"/>
  <c r="D582"/>
  <c r="D580"/>
  <c r="D562"/>
  <c r="D596"/>
  <c r="D594"/>
  <c r="D591"/>
  <c r="D589"/>
  <c r="D587"/>
  <c r="D585"/>
  <c r="D583"/>
  <c r="D581"/>
  <c r="D579"/>
  <c r="H2"/>
  <c r="D4"/>
  <c r="J345"/>
  <c r="J447"/>
  <c r="J2"/>
  <c r="H594"/>
  <c r="J592"/>
  <c r="H590"/>
  <c r="H586"/>
  <c r="H582"/>
  <c r="J576"/>
  <c r="J575"/>
  <c r="J572"/>
  <c r="J571"/>
  <c r="J568"/>
  <c r="J567"/>
  <c r="J566"/>
  <c r="J565"/>
  <c r="J564"/>
  <c r="H596"/>
  <c r="H591"/>
  <c r="H587"/>
  <c r="H583"/>
  <c r="F578"/>
  <c r="F577"/>
  <c r="F574"/>
  <c r="F573"/>
  <c r="F570"/>
  <c r="F569"/>
  <c r="D6"/>
  <c r="D10"/>
  <c r="D14"/>
  <c r="D18"/>
  <c r="D22"/>
  <c r="D26"/>
  <c r="D30"/>
  <c r="D34"/>
  <c r="D38"/>
  <c r="D42"/>
  <c r="D46"/>
  <c r="D50"/>
  <c r="D54"/>
  <c r="D58"/>
  <c r="D62"/>
  <c r="D70"/>
  <c r="D74"/>
  <c r="D78"/>
  <c r="D82"/>
  <c r="D86"/>
  <c r="D90"/>
  <c r="D94"/>
  <c r="D98"/>
  <c r="D102"/>
  <c r="D106"/>
  <c r="D110"/>
  <c r="D114"/>
  <c r="D118"/>
  <c r="D122"/>
  <c r="D126"/>
  <c r="D130"/>
  <c r="D134"/>
  <c r="D138"/>
  <c r="D142"/>
  <c r="D146"/>
  <c r="D150"/>
  <c r="D154"/>
  <c r="D158"/>
  <c r="D162"/>
  <c r="D166"/>
  <c r="D170"/>
  <c r="D174"/>
  <c r="D178"/>
  <c r="D182"/>
  <c r="D186"/>
  <c r="D190"/>
  <c r="D194"/>
  <c r="D198"/>
  <c r="D202"/>
  <c r="D206"/>
  <c r="D210"/>
  <c r="D214"/>
  <c r="D218"/>
  <c r="D222"/>
  <c r="D226"/>
  <c r="D230"/>
  <c r="D234"/>
  <c r="D238"/>
  <c r="D242"/>
  <c r="D246"/>
  <c r="D250"/>
  <c r="D254"/>
  <c r="D258"/>
  <c r="D262"/>
  <c r="D266"/>
  <c r="D270"/>
  <c r="D274"/>
  <c r="D278"/>
  <c r="D282"/>
  <c r="D286"/>
  <c r="D290"/>
  <c r="D294"/>
  <c r="D298"/>
  <c r="D302"/>
  <c r="D306"/>
  <c r="D310"/>
  <c r="D314"/>
  <c r="D318"/>
  <c r="D322"/>
  <c r="D326"/>
  <c r="D330"/>
  <c r="D334"/>
  <c r="D338"/>
  <c r="D342"/>
  <c r="D350"/>
  <c r="D354"/>
  <c r="D358"/>
  <c r="D362"/>
  <c r="D366"/>
  <c r="D370"/>
  <c r="D374"/>
  <c r="D378"/>
  <c r="D382"/>
  <c r="D386"/>
  <c r="D390"/>
  <c r="D394"/>
  <c r="D398"/>
  <c r="D402"/>
  <c r="D406"/>
  <c r="D410"/>
  <c r="D414"/>
  <c r="D418"/>
  <c r="D422"/>
  <c r="D426"/>
  <c r="D430"/>
  <c r="D434"/>
  <c r="D438"/>
  <c r="D442"/>
  <c r="D446"/>
  <c r="D450"/>
  <c r="D454"/>
  <c r="D458"/>
  <c r="D462"/>
  <c r="D466"/>
  <c r="D470"/>
  <c r="D474"/>
  <c r="D478"/>
  <c r="D482"/>
  <c r="D486"/>
  <c r="D490"/>
  <c r="D494"/>
  <c r="D498"/>
  <c r="D502"/>
  <c r="D506"/>
  <c r="D510"/>
  <c r="D514"/>
  <c r="D5"/>
  <c r="D9"/>
  <c r="D13"/>
  <c r="D17"/>
  <c r="D21"/>
  <c r="D25"/>
  <c r="D29"/>
  <c r="D33"/>
  <c r="D37"/>
  <c r="D41"/>
  <c r="D45"/>
  <c r="D49"/>
  <c r="D53"/>
  <c r="D57"/>
  <c r="D61"/>
  <c r="H65"/>
  <c r="D65"/>
  <c r="D69"/>
  <c r="D73"/>
  <c r="D77"/>
  <c r="D81"/>
  <c r="D85"/>
  <c r="D89"/>
  <c r="D93"/>
  <c r="D97"/>
  <c r="D101"/>
  <c r="D105"/>
  <c r="D109"/>
  <c r="D113"/>
  <c r="D117"/>
  <c r="D121"/>
  <c r="D125"/>
  <c r="D129"/>
  <c r="D133"/>
  <c r="D137"/>
  <c r="D141"/>
  <c r="D145"/>
  <c r="D149"/>
  <c r="D153"/>
  <c r="D157"/>
  <c r="D161"/>
  <c r="D165"/>
  <c r="D169"/>
  <c r="D173"/>
  <c r="D177"/>
  <c r="D181"/>
  <c r="D185"/>
  <c r="D189"/>
  <c r="D193"/>
  <c r="D197"/>
  <c r="D201"/>
  <c r="D205"/>
  <c r="D209"/>
  <c r="D213"/>
  <c r="D217"/>
  <c r="D221"/>
  <c r="D225"/>
  <c r="D229"/>
  <c r="D233"/>
  <c r="D237"/>
  <c r="D241"/>
  <c r="D245"/>
  <c r="D249"/>
  <c r="D253"/>
  <c r="D257"/>
  <c r="D261"/>
  <c r="D265"/>
  <c r="D269"/>
  <c r="D273"/>
  <c r="D277"/>
  <c r="D281"/>
  <c r="D285"/>
  <c r="D289"/>
  <c r="D293"/>
  <c r="D297"/>
  <c r="D301"/>
  <c r="D305"/>
  <c r="D309"/>
  <c r="D313"/>
  <c r="D317"/>
  <c r="D321"/>
  <c r="D325"/>
  <c r="D329"/>
  <c r="D333"/>
  <c r="D337"/>
  <c r="D341"/>
  <c r="D349"/>
  <c r="D353"/>
  <c r="D357"/>
  <c r="D361"/>
  <c r="D365"/>
  <c r="D369"/>
  <c r="D373"/>
  <c r="D377"/>
  <c r="D381"/>
  <c r="D385"/>
  <c r="D389"/>
  <c r="D393"/>
  <c r="D397"/>
  <c r="D401"/>
  <c r="D405"/>
  <c r="D409"/>
  <c r="D413"/>
  <c r="D417"/>
  <c r="D421"/>
  <c r="D425"/>
  <c r="D429"/>
  <c r="D433"/>
  <c r="D437"/>
  <c r="D441"/>
  <c r="D445"/>
  <c r="F447"/>
  <c r="D449"/>
  <c r="D453"/>
  <c r="D457"/>
  <c r="D461"/>
  <c r="D465"/>
  <c r="D469"/>
  <c r="D473"/>
  <c r="D477"/>
  <c r="D481"/>
  <c r="D485"/>
  <c r="D489"/>
  <c r="D493"/>
  <c r="D497"/>
  <c r="D501"/>
  <c r="D505"/>
  <c r="D509"/>
  <c r="D513"/>
  <c r="D518"/>
  <c r="D522"/>
  <c r="D526"/>
  <c r="D530"/>
  <c r="D534"/>
  <c r="D538"/>
  <c r="D542"/>
  <c r="D546"/>
  <c r="D550"/>
  <c r="D554"/>
  <c r="D558"/>
  <c r="D2"/>
  <c r="D517"/>
  <c r="D521"/>
  <c r="D525"/>
  <c r="D529"/>
  <c r="D533"/>
  <c r="D537"/>
  <c r="D541"/>
  <c r="D545"/>
  <c r="D549"/>
  <c r="D553"/>
  <c r="D557"/>
  <c r="D561"/>
  <c r="D8"/>
  <c r="D12"/>
  <c r="D16"/>
  <c r="D20"/>
  <c r="D24"/>
  <c r="D28"/>
  <c r="D32"/>
  <c r="D36"/>
  <c r="D40"/>
  <c r="D44"/>
  <c r="D48"/>
  <c r="D52"/>
  <c r="D56"/>
  <c r="D60"/>
  <c r="H64"/>
  <c r="D64"/>
  <c r="F66"/>
  <c r="D68"/>
  <c r="D72"/>
  <c r="D76"/>
  <c r="D80"/>
  <c r="D84"/>
  <c r="D88"/>
  <c r="D92"/>
  <c r="D96"/>
  <c r="D100"/>
  <c r="D104"/>
  <c r="D108"/>
  <c r="D112"/>
  <c r="D116"/>
  <c r="D120"/>
  <c r="D124"/>
  <c r="D128"/>
  <c r="D132"/>
  <c r="D136"/>
  <c r="D140"/>
  <c r="D144"/>
  <c r="D148"/>
  <c r="D152"/>
  <c r="D156"/>
  <c r="D160"/>
  <c r="D164"/>
  <c r="D168"/>
  <c r="D172"/>
  <c r="D176"/>
  <c r="D180"/>
  <c r="D184"/>
  <c r="D188"/>
  <c r="D192"/>
  <c r="D196"/>
  <c r="D200"/>
  <c r="D204"/>
  <c r="D208"/>
  <c r="D212"/>
  <c r="D216"/>
  <c r="D220"/>
  <c r="D224"/>
  <c r="D228"/>
  <c r="D232"/>
  <c r="D236"/>
  <c r="D240"/>
  <c r="D244"/>
  <c r="D248"/>
  <c r="D252"/>
  <c r="D256"/>
  <c r="D260"/>
  <c r="D264"/>
  <c r="D268"/>
  <c r="D272"/>
  <c r="D276"/>
  <c r="D280"/>
  <c r="D284"/>
  <c r="D288"/>
  <c r="D292"/>
  <c r="D296"/>
  <c r="D300"/>
  <c r="D304"/>
  <c r="D308"/>
  <c r="D312"/>
  <c r="D316"/>
  <c r="D320"/>
  <c r="D324"/>
  <c r="D328"/>
  <c r="D332"/>
  <c r="D336"/>
  <c r="D340"/>
  <c r="D344"/>
  <c r="F346"/>
  <c r="D348"/>
  <c r="D352"/>
  <c r="D356"/>
  <c r="D360"/>
  <c r="D364"/>
  <c r="D368"/>
  <c r="D372"/>
  <c r="D376"/>
  <c r="D380"/>
  <c r="D384"/>
  <c r="D388"/>
  <c r="D392"/>
  <c r="D396"/>
  <c r="D400"/>
  <c r="D404"/>
  <c r="D408"/>
  <c r="D412"/>
  <c r="D416"/>
  <c r="D420"/>
  <c r="D424"/>
  <c r="D428"/>
  <c r="D432"/>
  <c r="D436"/>
  <c r="D440"/>
  <c r="D444"/>
  <c r="D448"/>
  <c r="D452"/>
  <c r="D456"/>
  <c r="D460"/>
  <c r="D464"/>
  <c r="D468"/>
  <c r="D472"/>
  <c r="D476"/>
  <c r="D480"/>
  <c r="D484"/>
  <c r="D488"/>
  <c r="D492"/>
  <c r="D496"/>
  <c r="D500"/>
  <c r="D504"/>
  <c r="D508"/>
  <c r="D512"/>
  <c r="D3"/>
  <c r="D7"/>
  <c r="D11"/>
  <c r="D15"/>
  <c r="D19"/>
  <c r="D23"/>
  <c r="D27"/>
  <c r="D31"/>
  <c r="D35"/>
  <c r="D39"/>
  <c r="D43"/>
  <c r="D47"/>
  <c r="D51"/>
  <c r="D55"/>
  <c r="D59"/>
  <c r="H63"/>
  <c r="D63"/>
  <c r="D67"/>
  <c r="D71"/>
  <c r="D75"/>
  <c r="D79"/>
  <c r="D83"/>
  <c r="D87"/>
  <c r="D91"/>
  <c r="D95"/>
  <c r="D99"/>
  <c r="D103"/>
  <c r="D107"/>
  <c r="D111"/>
  <c r="D115"/>
  <c r="D119"/>
  <c r="D123"/>
  <c r="D127"/>
  <c r="D131"/>
  <c r="D135"/>
  <c r="D139"/>
  <c r="D143"/>
  <c r="D147"/>
  <c r="D151"/>
  <c r="D155"/>
  <c r="D159"/>
  <c r="D163"/>
  <c r="D167"/>
  <c r="D171"/>
  <c r="D175"/>
  <c r="D179"/>
  <c r="D183"/>
  <c r="D187"/>
  <c r="D191"/>
  <c r="D195"/>
  <c r="D199"/>
  <c r="D203"/>
  <c r="D207"/>
  <c r="D211"/>
  <c r="D215"/>
  <c r="D219"/>
  <c r="D223"/>
  <c r="D227"/>
  <c r="D231"/>
  <c r="D235"/>
  <c r="D239"/>
  <c r="D243"/>
  <c r="D247"/>
  <c r="D251"/>
  <c r="D255"/>
  <c r="D259"/>
  <c r="D263"/>
  <c r="D267"/>
  <c r="D271"/>
  <c r="D275"/>
  <c r="D279"/>
  <c r="D283"/>
  <c r="D287"/>
  <c r="D291"/>
  <c r="D295"/>
  <c r="D299"/>
  <c r="D303"/>
  <c r="D307"/>
  <c r="D311"/>
  <c r="D315"/>
  <c r="D319"/>
  <c r="D323"/>
  <c r="D327"/>
  <c r="D331"/>
  <c r="D335"/>
  <c r="D339"/>
  <c r="D343"/>
  <c r="F345"/>
  <c r="D347"/>
  <c r="D351"/>
  <c r="D355"/>
  <c r="D359"/>
  <c r="D363"/>
  <c r="D367"/>
  <c r="D371"/>
  <c r="D375"/>
  <c r="D379"/>
  <c r="D383"/>
  <c r="D387"/>
  <c r="D391"/>
  <c r="D395"/>
  <c r="D399"/>
  <c r="D403"/>
  <c r="D407"/>
  <c r="D411"/>
  <c r="D415"/>
  <c r="D419"/>
  <c r="D423"/>
  <c r="D427"/>
  <c r="D431"/>
  <c r="D435"/>
  <c r="D439"/>
  <c r="D443"/>
  <c r="D451"/>
  <c r="D455"/>
  <c r="D459"/>
  <c r="D463"/>
  <c r="D467"/>
  <c r="D471"/>
  <c r="D475"/>
  <c r="D479"/>
  <c r="D483"/>
  <c r="D487"/>
  <c r="D491"/>
  <c r="D495"/>
  <c r="D499"/>
  <c r="D503"/>
  <c r="D507"/>
  <c r="D511"/>
  <c r="D516"/>
  <c r="D520"/>
  <c r="D524"/>
  <c r="D528"/>
  <c r="D532"/>
  <c r="D536"/>
  <c r="D540"/>
  <c r="D544"/>
  <c r="D548"/>
  <c r="D552"/>
  <c r="D556"/>
  <c r="D560"/>
  <c r="D515"/>
  <c r="D519"/>
  <c r="D523"/>
  <c r="D527"/>
  <c r="D531"/>
  <c r="D535"/>
  <c r="D539"/>
  <c r="D543"/>
  <c r="D547"/>
  <c r="D551"/>
  <c r="D555"/>
  <c r="D559"/>
</calcChain>
</file>

<file path=xl/sharedStrings.xml><?xml version="1.0" encoding="utf-8"?>
<sst xmlns="http://schemas.openxmlformats.org/spreadsheetml/2006/main" count="9344" uniqueCount="1812">
  <si>
    <t>품번색상</t>
  </si>
  <si>
    <t>사이즈</t>
  </si>
  <si>
    <t>OSM</t>
  </si>
  <si>
    <t>OML</t>
  </si>
  <si>
    <t>FRE</t>
  </si>
  <si>
    <t>LXL</t>
  </si>
  <si>
    <t>OXS</t>
  </si>
  <si>
    <t>OSS</t>
  </si>
  <si>
    <t>OMM</t>
  </si>
  <si>
    <t>OLL</t>
  </si>
  <si>
    <t>OXL</t>
  </si>
  <si>
    <t>러닝/신규</t>
    <phoneticPr fontId="1" type="noConversion"/>
  </si>
  <si>
    <t>리오더</t>
  </si>
  <si>
    <t>분류</t>
  </si>
  <si>
    <t>M</t>
  </si>
  <si>
    <t>B</t>
  </si>
  <si>
    <t>순서</t>
    <phoneticPr fontId="1" type="noConversion"/>
  </si>
  <si>
    <t>데이터</t>
  </si>
  <si>
    <t xml:space="preserve"> 색상수</t>
  </si>
  <si>
    <t>NIX</t>
  </si>
  <si>
    <t>ELS</t>
  </si>
  <si>
    <t>HCU</t>
  </si>
  <si>
    <t>BRO</t>
  </si>
  <si>
    <t>PLA</t>
  </si>
  <si>
    <t>SMB</t>
  </si>
  <si>
    <t>WTR</t>
  </si>
  <si>
    <t>NOV</t>
  </si>
  <si>
    <t>VBL</t>
  </si>
  <si>
    <t>BMD</t>
  </si>
  <si>
    <t>JIL</t>
  </si>
  <si>
    <t>JOI</t>
  </si>
  <si>
    <t>GOO</t>
  </si>
  <si>
    <t>GRA</t>
  </si>
  <si>
    <t>BIL</t>
  </si>
  <si>
    <t>NEWERA</t>
  </si>
  <si>
    <t>TRU</t>
  </si>
  <si>
    <t>TS</t>
  </si>
  <si>
    <t>TWINS</t>
  </si>
  <si>
    <t>TWI</t>
  </si>
  <si>
    <t>총합계</t>
  </si>
  <si>
    <t xml:space="preserve"> 입고수량</t>
  </si>
  <si>
    <t xml:space="preserve"> 미입고수량</t>
  </si>
  <si>
    <t>0</t>
  </si>
  <si>
    <t>품목</t>
    <phoneticPr fontId="1" type="noConversion"/>
  </si>
  <si>
    <t>BZ</t>
  </si>
  <si>
    <t>COP CARDINALS</t>
  </si>
  <si>
    <t>SPORTS</t>
  </si>
  <si>
    <t>CA</t>
  </si>
  <si>
    <t>BASIC CAP (핀치히터)</t>
  </si>
  <si>
    <t>BA</t>
  </si>
  <si>
    <t>BASIC CAP</t>
  </si>
  <si>
    <t>A</t>
  </si>
  <si>
    <t>001</t>
  </si>
  <si>
    <t>B0</t>
  </si>
  <si>
    <t>BK</t>
  </si>
  <si>
    <t>Black</t>
  </si>
  <si>
    <t>OSFA(ADJUST CAP)</t>
  </si>
  <si>
    <t>사입</t>
  </si>
  <si>
    <t>남자</t>
  </si>
  <si>
    <t>CN</t>
  </si>
  <si>
    <t>중국</t>
  </si>
  <si>
    <t>BH</t>
  </si>
  <si>
    <t>COP INDIANS</t>
  </si>
  <si>
    <t>CS</t>
  </si>
  <si>
    <t>VISOR CAP</t>
  </si>
  <si>
    <t>002</t>
  </si>
  <si>
    <t>B1</t>
  </si>
  <si>
    <t>Black Camo</t>
  </si>
  <si>
    <t>N</t>
  </si>
  <si>
    <t>XS</t>
  </si>
  <si>
    <t>C</t>
  </si>
  <si>
    <t>위탁</t>
  </si>
  <si>
    <t>W</t>
  </si>
  <si>
    <t>여자</t>
  </si>
  <si>
    <t>JP</t>
  </si>
  <si>
    <t>일본</t>
  </si>
  <si>
    <t>BR</t>
  </si>
  <si>
    <t>COP METS</t>
  </si>
  <si>
    <t>CC</t>
  </si>
  <si>
    <t>FLEX CAP (3930)</t>
  </si>
  <si>
    <t>FL</t>
  </si>
  <si>
    <t>FLEX CAP</t>
  </si>
  <si>
    <t>003</t>
  </si>
  <si>
    <t>B2</t>
  </si>
  <si>
    <t>Black Leopard</t>
  </si>
  <si>
    <t>S</t>
  </si>
  <si>
    <t>제조</t>
  </si>
  <si>
    <t>U</t>
  </si>
  <si>
    <t>UNISEX</t>
  </si>
  <si>
    <t>KR</t>
  </si>
  <si>
    <t>한국</t>
  </si>
  <si>
    <t>BC</t>
  </si>
  <si>
    <t>COP ORIOLES</t>
  </si>
  <si>
    <t>CD</t>
  </si>
  <si>
    <t>NORMAL FITTED CAP (커브)</t>
  </si>
  <si>
    <t>D</t>
  </si>
  <si>
    <t>004</t>
  </si>
  <si>
    <t>B3</t>
  </si>
  <si>
    <t>Black/White</t>
  </si>
  <si>
    <t>K</t>
  </si>
  <si>
    <t>KIDS</t>
  </si>
  <si>
    <t>US</t>
  </si>
  <si>
    <t>미국</t>
  </si>
  <si>
    <t>BJ</t>
  </si>
  <si>
    <t>COP TIGERS</t>
  </si>
  <si>
    <t>CE</t>
  </si>
  <si>
    <t>FLAT BILL FITTED CAP(5950)</t>
  </si>
  <si>
    <t>FI</t>
  </si>
  <si>
    <t>FITTED CAP</t>
  </si>
  <si>
    <t>E</t>
  </si>
  <si>
    <t>005</t>
  </si>
  <si>
    <t>B4</t>
  </si>
  <si>
    <t>Black/Flann</t>
  </si>
  <si>
    <t>L</t>
  </si>
  <si>
    <t>KC</t>
  </si>
  <si>
    <t>KDO</t>
  </si>
  <si>
    <t>DOOSAN BEARS</t>
  </si>
  <si>
    <t>CU</t>
  </si>
  <si>
    <t>FLAT BILL FLEX CAP(일자)</t>
  </si>
  <si>
    <t>F</t>
  </si>
  <si>
    <t>006</t>
  </si>
  <si>
    <t>B5</t>
  </si>
  <si>
    <t>Dark Flann</t>
  </si>
  <si>
    <t>XL</t>
  </si>
  <si>
    <t>AUTHENTIC</t>
  </si>
  <si>
    <t>ZCD</t>
  </si>
  <si>
    <t>EUR BARCELONA</t>
  </si>
  <si>
    <t>DA</t>
  </si>
  <si>
    <t>FLAT BILL FITTED BASIC (BLANK 5950)</t>
  </si>
  <si>
    <t>G</t>
  </si>
  <si>
    <t>3</t>
  </si>
  <si>
    <t>007</t>
  </si>
  <si>
    <t>B6</t>
  </si>
  <si>
    <t>Loden</t>
  </si>
  <si>
    <t>O</t>
  </si>
  <si>
    <t>S~M</t>
  </si>
  <si>
    <t>ZCA</t>
  </si>
  <si>
    <t>EUR MUCHESTER</t>
  </si>
  <si>
    <t>CB</t>
  </si>
  <si>
    <t>WASHED CAP (워싱캡)</t>
  </si>
  <si>
    <t>WC</t>
  </si>
  <si>
    <t>WASHED CAP</t>
  </si>
  <si>
    <t>H</t>
  </si>
  <si>
    <t>008</t>
  </si>
  <si>
    <t>B7</t>
  </si>
  <si>
    <t>Pine X</t>
  </si>
  <si>
    <t>P</t>
  </si>
  <si>
    <t>M~L</t>
  </si>
  <si>
    <t>KH</t>
  </si>
  <si>
    <t>KHA</t>
  </si>
  <si>
    <t>HANWHA EAGLES</t>
  </si>
  <si>
    <t>CF</t>
  </si>
  <si>
    <t>TRUCKER CAP</t>
  </si>
  <si>
    <t>TR</t>
  </si>
  <si>
    <t>I</t>
  </si>
  <si>
    <t>009</t>
  </si>
  <si>
    <t>B8</t>
  </si>
  <si>
    <t xml:space="preserve">Block </t>
  </si>
  <si>
    <t>Q</t>
  </si>
  <si>
    <t>L~XL</t>
  </si>
  <si>
    <t>KA</t>
  </si>
  <si>
    <t>KKI</t>
  </si>
  <si>
    <t>KIA TIGERS</t>
  </si>
  <si>
    <t>CV</t>
  </si>
  <si>
    <t>MESH CAP(커브)</t>
  </si>
  <si>
    <t>J</t>
  </si>
  <si>
    <t>010</t>
  </si>
  <si>
    <t>B9</t>
  </si>
  <si>
    <t>BU</t>
  </si>
  <si>
    <t>Burgundy</t>
  </si>
  <si>
    <t>KG</t>
  </si>
  <si>
    <t>KLG</t>
  </si>
  <si>
    <t>LG TWINS</t>
  </si>
  <si>
    <t>CW</t>
  </si>
  <si>
    <t>FLAT BILL MESH CAP(일자)</t>
  </si>
  <si>
    <t>PLAID BLACK</t>
  </si>
  <si>
    <t>7(56CM)</t>
  </si>
  <si>
    <t>KD</t>
  </si>
  <si>
    <t>KLO</t>
  </si>
  <si>
    <t>LOTTE GIANTS</t>
  </si>
  <si>
    <t>DB</t>
  </si>
  <si>
    <t>FLAT BILL TRUCKER CAP</t>
  </si>
  <si>
    <t>BB</t>
  </si>
  <si>
    <t>Black/Red</t>
  </si>
  <si>
    <t>71/8(57CM)</t>
  </si>
  <si>
    <t>AO</t>
  </si>
  <si>
    <t>NAN</t>
  </si>
  <si>
    <t>MLB ANGELS</t>
  </si>
  <si>
    <t>CZ</t>
  </si>
  <si>
    <t>UMPIRE</t>
  </si>
  <si>
    <t>UM</t>
  </si>
  <si>
    <t>C1</t>
  </si>
  <si>
    <t>BG</t>
  </si>
  <si>
    <t>Beige</t>
  </si>
  <si>
    <t>71/4(58CM)</t>
  </si>
  <si>
    <t>AU</t>
  </si>
  <si>
    <t>NAS</t>
  </si>
  <si>
    <t>MLB A'S</t>
  </si>
  <si>
    <t>CG</t>
  </si>
  <si>
    <t>PERFORMANCE CAP(기능성)</t>
  </si>
  <si>
    <t>PE</t>
  </si>
  <si>
    <t>PERFORMANCE CAP</t>
  </si>
  <si>
    <t>C2</t>
  </si>
  <si>
    <t>Putty</t>
  </si>
  <si>
    <t>73/8(59CM)</t>
  </si>
  <si>
    <t>AM</t>
  </si>
  <si>
    <t>NAT</t>
  </si>
  <si>
    <t>MLB ASTROS</t>
  </si>
  <si>
    <t>CI</t>
  </si>
  <si>
    <t>MILITARY CAP</t>
  </si>
  <si>
    <t>MI</t>
  </si>
  <si>
    <t>C3</t>
  </si>
  <si>
    <t>Sand</t>
  </si>
  <si>
    <t>71/2(60CM)</t>
  </si>
  <si>
    <t>A4</t>
  </si>
  <si>
    <t>NBL</t>
  </si>
  <si>
    <t>MLB BLUEJAYS</t>
  </si>
  <si>
    <t>CK</t>
  </si>
  <si>
    <t>FEDORA</t>
  </si>
  <si>
    <t>FE</t>
  </si>
  <si>
    <t>C4</t>
  </si>
  <si>
    <t>Khaki</t>
  </si>
  <si>
    <t>75/8(61CM)</t>
  </si>
  <si>
    <t>AC</t>
  </si>
  <si>
    <t>NBR</t>
  </si>
  <si>
    <t>MLB BRAVES</t>
  </si>
  <si>
    <t>CL</t>
  </si>
  <si>
    <t>HUNTING CAP</t>
  </si>
  <si>
    <t>HU</t>
  </si>
  <si>
    <t>C5</t>
  </si>
  <si>
    <t>Café</t>
  </si>
  <si>
    <t>73/4(62CM)</t>
  </si>
  <si>
    <t>AQ</t>
  </si>
  <si>
    <t>NBE</t>
  </si>
  <si>
    <t>MLB BREWERS</t>
  </si>
  <si>
    <t>CT</t>
  </si>
  <si>
    <t>CASQUETTE</t>
  </si>
  <si>
    <t>C6</t>
  </si>
  <si>
    <t>BW</t>
  </si>
  <si>
    <t>Brown</t>
  </si>
  <si>
    <t>77/8(63CM)</t>
  </si>
  <si>
    <t>A1</t>
  </si>
  <si>
    <t>NCA</t>
  </si>
  <si>
    <t>MLB CARDINALS</t>
  </si>
  <si>
    <t>CM</t>
  </si>
  <si>
    <t>BERET</t>
  </si>
  <si>
    <t>C7</t>
  </si>
  <si>
    <t>Dk.Brown</t>
  </si>
  <si>
    <t>8(64CM)</t>
  </si>
  <si>
    <t>AF</t>
  </si>
  <si>
    <t>NCU</t>
  </si>
  <si>
    <t>MLB CUBS</t>
  </si>
  <si>
    <t>CJ</t>
  </si>
  <si>
    <t>FASHION HAT</t>
  </si>
  <si>
    <t>FA</t>
  </si>
  <si>
    <t>C8</t>
  </si>
  <si>
    <t>Light.Brown</t>
  </si>
  <si>
    <t>AB</t>
  </si>
  <si>
    <t>NDB</t>
  </si>
  <si>
    <t>MLB D'BACKS</t>
  </si>
  <si>
    <t>CX</t>
  </si>
  <si>
    <t>PAPER 소재로 된 것.</t>
  </si>
  <si>
    <t>C9</t>
  </si>
  <si>
    <t>Metalic Bronze</t>
  </si>
  <si>
    <t>6(48CM)</t>
  </si>
  <si>
    <t>A2</t>
  </si>
  <si>
    <t>NDE</t>
  </si>
  <si>
    <t>MLB DEVILSRAYS</t>
  </si>
  <si>
    <t>CY</t>
  </si>
  <si>
    <t>Trim이 길고 펄럭임</t>
  </si>
  <si>
    <t xml:space="preserve">Brown Leopard </t>
  </si>
  <si>
    <t>61/8(49CM)</t>
  </si>
  <si>
    <t>AP</t>
  </si>
  <si>
    <t>NDO</t>
  </si>
  <si>
    <t>MLB DODGERS</t>
  </si>
  <si>
    <t>CH</t>
  </si>
  <si>
    <t>BUCKET</t>
  </si>
  <si>
    <t>Dk.Khaki</t>
  </si>
  <si>
    <t>61/4(50CM)</t>
  </si>
  <si>
    <t>AY</t>
  </si>
  <si>
    <t>NGI</t>
  </si>
  <si>
    <t>MLB GIANTS</t>
  </si>
  <si>
    <t>NORMAL BEANIE</t>
  </si>
  <si>
    <t>BE</t>
  </si>
  <si>
    <t>BEANIE</t>
  </si>
  <si>
    <t>Chocolate</t>
  </si>
  <si>
    <t>63/8(51CM)</t>
  </si>
  <si>
    <t>AI</t>
  </si>
  <si>
    <t>NIN</t>
  </si>
  <si>
    <t>MLB INDIANS</t>
  </si>
  <si>
    <t>CO</t>
  </si>
  <si>
    <t>REVERSABLE BEANIE</t>
  </si>
  <si>
    <t>Walnut</t>
  </si>
  <si>
    <t>61/2(52CM)</t>
  </si>
  <si>
    <t>AZ</t>
  </si>
  <si>
    <t>NMR</t>
  </si>
  <si>
    <t>MLB MARINERS</t>
  </si>
  <si>
    <t>CR</t>
  </si>
  <si>
    <t>CUFF KNIT BEANIE</t>
  </si>
  <si>
    <t>CAMEL</t>
  </si>
  <si>
    <t>65/8(53CM)</t>
  </si>
  <si>
    <t>AL</t>
  </si>
  <si>
    <t>NMA</t>
  </si>
  <si>
    <t>MLB MARLINS</t>
  </si>
  <si>
    <t>CP</t>
  </si>
  <si>
    <t>VISOR BEANIE (챙비니)</t>
  </si>
  <si>
    <t>VB</t>
  </si>
  <si>
    <t>VISOR BEANIE</t>
  </si>
  <si>
    <t>PLAID BROWN</t>
  </si>
  <si>
    <t>63/4(54CM)</t>
  </si>
  <si>
    <t>AS</t>
  </si>
  <si>
    <t>NME</t>
  </si>
  <si>
    <t>MLB METS</t>
  </si>
  <si>
    <t>CQ</t>
  </si>
  <si>
    <t>EARFLAP BEANIE</t>
  </si>
  <si>
    <t>EB</t>
  </si>
  <si>
    <t>E0</t>
  </si>
  <si>
    <t>GY</t>
  </si>
  <si>
    <t>Grey</t>
  </si>
  <si>
    <t>67/8(55CM)</t>
  </si>
  <si>
    <t>A5</t>
  </si>
  <si>
    <t>NNA</t>
  </si>
  <si>
    <t>MLB NATIONALS</t>
  </si>
  <si>
    <t>EARCAP</t>
  </si>
  <si>
    <t>ER</t>
  </si>
  <si>
    <t>E1</t>
  </si>
  <si>
    <t>Light Grey</t>
  </si>
  <si>
    <t>AD</t>
  </si>
  <si>
    <t>NOR</t>
  </si>
  <si>
    <t>MLB ORIOLES</t>
  </si>
  <si>
    <t>TROOPER</t>
  </si>
  <si>
    <t>TP</t>
  </si>
  <si>
    <t>E2</t>
  </si>
  <si>
    <t>Dk.Grey</t>
  </si>
  <si>
    <t>AX</t>
  </si>
  <si>
    <t>NPA</t>
  </si>
  <si>
    <t>MLB PADRES</t>
  </si>
  <si>
    <t>EA</t>
  </si>
  <si>
    <t>KNIT MUFFLER</t>
  </si>
  <si>
    <t>MU</t>
  </si>
  <si>
    <t>MUFFLER</t>
  </si>
  <si>
    <t>E3</t>
  </si>
  <si>
    <t>C.Coal Grey</t>
  </si>
  <si>
    <t>AV</t>
  </si>
  <si>
    <t>NPH</t>
  </si>
  <si>
    <t>MLB PHILLIES</t>
  </si>
  <si>
    <t>HOOD MUFFLER</t>
  </si>
  <si>
    <t>E4</t>
  </si>
  <si>
    <t>Gunmetal</t>
  </si>
  <si>
    <t>AW</t>
  </si>
  <si>
    <t>NPI</t>
  </si>
  <si>
    <t>MLB PIRATES</t>
  </si>
  <si>
    <t>EC</t>
  </si>
  <si>
    <t>SCARF</t>
  </si>
  <si>
    <t>E5</t>
  </si>
  <si>
    <t>PLAID GREY</t>
  </si>
  <si>
    <t>A3</t>
  </si>
  <si>
    <t>NRA</t>
  </si>
  <si>
    <t>MLB RANGERS</t>
  </si>
  <si>
    <t>WARMER</t>
  </si>
  <si>
    <t>WA</t>
  </si>
  <si>
    <t>E6</t>
  </si>
  <si>
    <t>Light Beige</t>
  </si>
  <si>
    <t>AH</t>
  </si>
  <si>
    <t>NRD</t>
  </si>
  <si>
    <t>MLB REDS</t>
  </si>
  <si>
    <t>ED</t>
  </si>
  <si>
    <t>MITTEN(장갑)</t>
  </si>
  <si>
    <t>MITTEN</t>
  </si>
  <si>
    <t>G0</t>
  </si>
  <si>
    <t>MT</t>
  </si>
  <si>
    <t>Mint</t>
  </si>
  <si>
    <t>AE</t>
  </si>
  <si>
    <t>NRE</t>
  </si>
  <si>
    <t>MLB REDSOX</t>
  </si>
  <si>
    <t>CAP CARRIER(모자 휴대가방)</t>
  </si>
  <si>
    <t>CAP CARRIER</t>
  </si>
  <si>
    <t>G1</t>
  </si>
  <si>
    <t>GR</t>
  </si>
  <si>
    <t>Green</t>
  </si>
  <si>
    <t>AJ</t>
  </si>
  <si>
    <t>NRO</t>
  </si>
  <si>
    <t>MLB ROCKIES</t>
  </si>
  <si>
    <t>FB</t>
  </si>
  <si>
    <t>CAP SPRAY(모자 세정액)</t>
  </si>
  <si>
    <t>CAP SPRAY</t>
  </si>
  <si>
    <t>G2</t>
  </si>
  <si>
    <t>Olive</t>
  </si>
  <si>
    <t>AN</t>
  </si>
  <si>
    <t>NRY</t>
  </si>
  <si>
    <t>MLB ROYALS</t>
  </si>
  <si>
    <t>FC</t>
  </si>
  <si>
    <t>DP cap (빅모자)</t>
  </si>
  <si>
    <t>DC</t>
  </si>
  <si>
    <t xml:space="preserve">DP cap </t>
  </si>
  <si>
    <t>G3</t>
  </si>
  <si>
    <t>New Olive</t>
  </si>
  <si>
    <t>AK</t>
  </si>
  <si>
    <t>NTI</t>
  </si>
  <si>
    <t>MLB TIGERS</t>
  </si>
  <si>
    <t>액서사리</t>
  </si>
  <si>
    <t>ACC</t>
  </si>
  <si>
    <t>G4</t>
  </si>
  <si>
    <t>Light Olive</t>
  </si>
  <si>
    <t>AR</t>
  </si>
  <si>
    <t>NTW</t>
  </si>
  <si>
    <t>MLB TWINS</t>
  </si>
  <si>
    <t>반팔</t>
  </si>
  <si>
    <t>G5</t>
  </si>
  <si>
    <t>P.Green</t>
  </si>
  <si>
    <t>AG</t>
  </si>
  <si>
    <t>NWS</t>
  </si>
  <si>
    <t>MLB W'SOX</t>
  </si>
  <si>
    <t>긴팔</t>
  </si>
  <si>
    <t>TL</t>
  </si>
  <si>
    <t>G6</t>
  </si>
  <si>
    <t>R.Green</t>
  </si>
  <si>
    <t>AT</t>
  </si>
  <si>
    <t>NYA</t>
  </si>
  <si>
    <t>MLB YANKEES</t>
  </si>
  <si>
    <t>후드티</t>
  </si>
  <si>
    <t>TH</t>
  </si>
  <si>
    <t>G7</t>
  </si>
  <si>
    <t>Deep Green</t>
  </si>
  <si>
    <t>AA</t>
  </si>
  <si>
    <t>NEW</t>
  </si>
  <si>
    <t>NEW ERA</t>
  </si>
  <si>
    <t>HP</t>
  </si>
  <si>
    <t>G8</t>
  </si>
  <si>
    <t>Green Checker</t>
  </si>
  <si>
    <t>KF</t>
  </si>
  <si>
    <t>KNE</t>
  </si>
  <si>
    <t>NEXEN HEROES</t>
  </si>
  <si>
    <t>야구점퍼</t>
  </si>
  <si>
    <t>G9</t>
  </si>
  <si>
    <t>Dk. Green</t>
  </si>
  <si>
    <t>KE</t>
  </si>
  <si>
    <t>KSA</t>
  </si>
  <si>
    <t>SAMSUNG LIONS</t>
  </si>
  <si>
    <t>FF</t>
  </si>
  <si>
    <t>쪼리</t>
  </si>
  <si>
    <t>GA</t>
  </si>
  <si>
    <t>Olive Camo</t>
  </si>
  <si>
    <t>KB</t>
  </si>
  <si>
    <t>KSK</t>
  </si>
  <si>
    <t>SK WYVERNS</t>
  </si>
  <si>
    <t>BP</t>
  </si>
  <si>
    <t>백팩</t>
  </si>
  <si>
    <t>GB</t>
  </si>
  <si>
    <t>Army</t>
  </si>
  <si>
    <t>GC</t>
  </si>
  <si>
    <t>Spruce</t>
  </si>
  <si>
    <t>N0</t>
  </si>
  <si>
    <t>NY</t>
  </si>
  <si>
    <t>Navy</t>
  </si>
  <si>
    <t>VOL</t>
  </si>
  <si>
    <t>VOLCOM</t>
  </si>
  <si>
    <t>N1</t>
  </si>
  <si>
    <t>Dk.Navy</t>
  </si>
  <si>
    <t>BILLABONG</t>
  </si>
  <si>
    <t>N2</t>
  </si>
  <si>
    <t>PP</t>
  </si>
  <si>
    <t>Purple</t>
  </si>
  <si>
    <t>QSV</t>
  </si>
  <si>
    <t>QUIKSILVER</t>
  </si>
  <si>
    <t>N3</t>
  </si>
  <si>
    <t>Dk.Purple</t>
  </si>
  <si>
    <t>FD</t>
  </si>
  <si>
    <t>ROX</t>
  </si>
  <si>
    <t>ROXY</t>
  </si>
  <si>
    <t>N4</t>
  </si>
  <si>
    <t>VIOLET</t>
  </si>
  <si>
    <t>GRACEHAT</t>
  </si>
  <si>
    <t>N5</t>
  </si>
  <si>
    <t>Magenta Checker</t>
  </si>
  <si>
    <t>N6</t>
  </si>
  <si>
    <t>Navy Checker</t>
  </si>
  <si>
    <t>F-HAT</t>
  </si>
  <si>
    <t>N7</t>
  </si>
  <si>
    <t>Light Purple</t>
  </si>
  <si>
    <t>BUT</t>
  </si>
  <si>
    <t>BURTON</t>
  </si>
  <si>
    <t>N8</t>
  </si>
  <si>
    <t>Navy Stripe</t>
  </si>
  <si>
    <t>FG</t>
  </si>
  <si>
    <t>ZZZ</t>
  </si>
  <si>
    <t>FOX RACING</t>
  </si>
  <si>
    <t>N9</t>
  </si>
  <si>
    <t>Marine</t>
  </si>
  <si>
    <t>FH</t>
  </si>
  <si>
    <t>HURLEY</t>
  </si>
  <si>
    <t>NA</t>
  </si>
  <si>
    <t>Mage</t>
  </si>
  <si>
    <t>STU</t>
  </si>
  <si>
    <t>STUSSY</t>
  </si>
  <si>
    <t>NB</t>
  </si>
  <si>
    <t>MULTI</t>
  </si>
  <si>
    <t>FJ</t>
  </si>
  <si>
    <t>NIXON</t>
  </si>
  <si>
    <t>R0</t>
  </si>
  <si>
    <t>RE</t>
  </si>
  <si>
    <t>Red</t>
  </si>
  <si>
    <t>FK</t>
  </si>
  <si>
    <t>D.C</t>
  </si>
  <si>
    <t>R1</t>
  </si>
  <si>
    <t>Maroon</t>
  </si>
  <si>
    <t>ANA</t>
  </si>
  <si>
    <t>ANALOG</t>
  </si>
  <si>
    <t>R2</t>
  </si>
  <si>
    <t>Wine</t>
  </si>
  <si>
    <t>FM</t>
  </si>
  <si>
    <t>ADA</t>
  </si>
  <si>
    <t>ADIDAS</t>
  </si>
  <si>
    <t>R3</t>
  </si>
  <si>
    <t>PK</t>
  </si>
  <si>
    <t>Pink</t>
  </si>
  <si>
    <t>FN</t>
  </si>
  <si>
    <t>NKE</t>
  </si>
  <si>
    <t>NIKE</t>
  </si>
  <si>
    <t>R4</t>
  </si>
  <si>
    <t>Light Pink</t>
  </si>
  <si>
    <t>FO</t>
  </si>
  <si>
    <t>PUM</t>
  </si>
  <si>
    <t>PUMA</t>
  </si>
  <si>
    <t>R5</t>
  </si>
  <si>
    <t>Hot Pink</t>
  </si>
  <si>
    <t>FP</t>
  </si>
  <si>
    <t>7 UNION</t>
  </si>
  <si>
    <t>R6</t>
  </si>
  <si>
    <t>Metalic Pink</t>
  </si>
  <si>
    <t>FQ</t>
  </si>
  <si>
    <t>SUPRA</t>
  </si>
  <si>
    <t>R7</t>
  </si>
  <si>
    <t>Pink Leopard</t>
  </si>
  <si>
    <t>FR</t>
  </si>
  <si>
    <t>KR3W</t>
  </si>
  <si>
    <t>R8</t>
  </si>
  <si>
    <t>Pearl Pink</t>
  </si>
  <si>
    <t>FS</t>
  </si>
  <si>
    <t>C1RCA</t>
  </si>
  <si>
    <t>R9</t>
  </si>
  <si>
    <t>Fuchsia Pink</t>
  </si>
  <si>
    <t>FY</t>
  </si>
  <si>
    <t>RIP CURL</t>
  </si>
  <si>
    <t>RA</t>
  </si>
  <si>
    <t>Lava</t>
  </si>
  <si>
    <t>FZ</t>
  </si>
  <si>
    <t>ES</t>
  </si>
  <si>
    <t>RB</t>
  </si>
  <si>
    <t>PLAID RED</t>
  </si>
  <si>
    <t>F0</t>
  </si>
  <si>
    <t>DRA</t>
  </si>
  <si>
    <t>DRAGON</t>
  </si>
  <si>
    <t>U0</t>
  </si>
  <si>
    <t>BL</t>
  </si>
  <si>
    <t>Blue</t>
  </si>
  <si>
    <t>F1</t>
  </si>
  <si>
    <t>HUF</t>
  </si>
  <si>
    <t>U1</t>
  </si>
  <si>
    <t>Light.Blue</t>
  </si>
  <si>
    <t>F2</t>
  </si>
  <si>
    <t>HUN</t>
  </si>
  <si>
    <t>HUNDREDS</t>
  </si>
  <si>
    <t>U2</t>
  </si>
  <si>
    <t>Deep.Blue</t>
  </si>
  <si>
    <t>F3</t>
  </si>
  <si>
    <t>TROPICAL SOUND</t>
  </si>
  <si>
    <t>U3</t>
  </si>
  <si>
    <t>Sky Blue</t>
  </si>
  <si>
    <t>F4</t>
  </si>
  <si>
    <t>U4</t>
  </si>
  <si>
    <t>Indigo</t>
  </si>
  <si>
    <t>U5</t>
  </si>
  <si>
    <t>Royal</t>
  </si>
  <si>
    <t>U6</t>
  </si>
  <si>
    <t>Dk Blue</t>
  </si>
  <si>
    <t>F5</t>
  </si>
  <si>
    <t>CRO</t>
  </si>
  <si>
    <t>CROOKS &amp; CASTLE</t>
  </si>
  <si>
    <t>U7</t>
  </si>
  <si>
    <t>Royal Blue</t>
  </si>
  <si>
    <t>F6</t>
  </si>
  <si>
    <t>ELECTRIC</t>
  </si>
  <si>
    <t>U8</t>
  </si>
  <si>
    <t>Teal</t>
  </si>
  <si>
    <t>F7</t>
  </si>
  <si>
    <t>GRAVIS</t>
  </si>
  <si>
    <t>U9</t>
  </si>
  <si>
    <t>CYPRESS</t>
  </si>
  <si>
    <t>F8</t>
  </si>
  <si>
    <t>OFFICIAL</t>
  </si>
  <si>
    <t>W0</t>
  </si>
  <si>
    <t>WH</t>
  </si>
  <si>
    <t>White</t>
  </si>
  <si>
    <t>SHIFT</t>
  </si>
  <si>
    <t>W1</t>
  </si>
  <si>
    <t>SL</t>
  </si>
  <si>
    <t xml:space="preserve">Silver </t>
  </si>
  <si>
    <t>W2</t>
  </si>
  <si>
    <t>Metalic Silver</t>
  </si>
  <si>
    <t>F-CAP</t>
  </si>
  <si>
    <t>W3</t>
  </si>
  <si>
    <t>IV</t>
  </si>
  <si>
    <t>Ivory</t>
  </si>
  <si>
    <t>DAK</t>
  </si>
  <si>
    <t>DAKINE</t>
  </si>
  <si>
    <t>W4</t>
  </si>
  <si>
    <t>White/Grey</t>
  </si>
  <si>
    <t>GD</t>
  </si>
  <si>
    <t>OAKLEY</t>
  </si>
  <si>
    <t>W5</t>
  </si>
  <si>
    <t>White/DK.Grey</t>
  </si>
  <si>
    <t>GE</t>
  </si>
  <si>
    <t>EDH</t>
  </si>
  <si>
    <t>ED HARDY</t>
  </si>
  <si>
    <t>Y0</t>
  </si>
  <si>
    <t>YE</t>
  </si>
  <si>
    <t>Yellow</t>
  </si>
  <si>
    <t>GF</t>
  </si>
  <si>
    <t>ITALY</t>
  </si>
  <si>
    <t>Y1</t>
  </si>
  <si>
    <t>Ab.Yellow</t>
  </si>
  <si>
    <t>GG</t>
  </si>
  <si>
    <t>UNDER AMOUR</t>
  </si>
  <si>
    <t>Y2</t>
  </si>
  <si>
    <t>Gold</t>
  </si>
  <si>
    <t>GH</t>
  </si>
  <si>
    <t>NEW BALANCE</t>
  </si>
  <si>
    <t>Y3</t>
  </si>
  <si>
    <t>Old Gold</t>
  </si>
  <si>
    <t>GI</t>
  </si>
  <si>
    <t>O'NEILL</t>
  </si>
  <si>
    <t>Y4</t>
  </si>
  <si>
    <t>Pumpkin</t>
  </si>
  <si>
    <t>GJ</t>
  </si>
  <si>
    <t>KAN</t>
  </si>
  <si>
    <t>KANGOL</t>
  </si>
  <si>
    <t>Y5</t>
  </si>
  <si>
    <t>OR</t>
  </si>
  <si>
    <t>Orange</t>
  </si>
  <si>
    <t>GK</t>
  </si>
  <si>
    <t>A.KURTZ</t>
  </si>
  <si>
    <t>Y6</t>
  </si>
  <si>
    <t>BT Orange</t>
  </si>
  <si>
    <t>GL</t>
  </si>
  <si>
    <t>THE NORTH FACE</t>
  </si>
  <si>
    <t>Y7</t>
  </si>
  <si>
    <t>Mustard</t>
  </si>
  <si>
    <t>GM</t>
  </si>
  <si>
    <t>OBEY</t>
  </si>
  <si>
    <t>WES</t>
  </si>
  <si>
    <t>WESC</t>
  </si>
  <si>
    <t>GS</t>
  </si>
  <si>
    <t>BRONER</t>
  </si>
  <si>
    <t>GZ</t>
  </si>
  <si>
    <t>Y8</t>
  </si>
  <si>
    <t>V-Gold</t>
  </si>
  <si>
    <t>RVC</t>
  </si>
  <si>
    <t>RVCA</t>
  </si>
  <si>
    <t>Z0</t>
  </si>
  <si>
    <t>Blue denim</t>
  </si>
  <si>
    <t>Z1</t>
  </si>
  <si>
    <t>Black denim</t>
  </si>
  <si>
    <t>Z2</t>
  </si>
  <si>
    <t>Crayon 1</t>
  </si>
  <si>
    <t>Z3</t>
  </si>
  <si>
    <t>Crayon 2</t>
  </si>
  <si>
    <t>Z4</t>
  </si>
  <si>
    <t>Control Check</t>
  </si>
  <si>
    <t>Z5</t>
  </si>
  <si>
    <t>Tobacco</t>
  </si>
  <si>
    <t>Z6</t>
  </si>
  <si>
    <t>Nature</t>
  </si>
  <si>
    <t>Z7</t>
  </si>
  <si>
    <t>Oyster</t>
  </si>
  <si>
    <t>FT</t>
  </si>
  <si>
    <t>PLAYBOY</t>
  </si>
  <si>
    <t>ZZ</t>
  </si>
  <si>
    <t>FU</t>
  </si>
  <si>
    <t>UPO</t>
  </si>
  <si>
    <t>US POLO</t>
  </si>
  <si>
    <t>LI</t>
  </si>
  <si>
    <t>LIME</t>
  </si>
  <si>
    <t>FV</t>
  </si>
  <si>
    <t>ECK</t>
  </si>
  <si>
    <t>ECKO</t>
  </si>
  <si>
    <t>KP</t>
  </si>
  <si>
    <t>Black point</t>
  </si>
  <si>
    <t>FW</t>
  </si>
  <si>
    <t>EUR</t>
  </si>
  <si>
    <t>EURO</t>
  </si>
  <si>
    <t>WP</t>
  </si>
  <si>
    <t>Brown point</t>
  </si>
  <si>
    <t>FX</t>
  </si>
  <si>
    <t>LID</t>
  </si>
  <si>
    <t>LIDS</t>
  </si>
  <si>
    <t>HA</t>
  </si>
  <si>
    <t>RXG</t>
  </si>
  <si>
    <t>HB</t>
  </si>
  <si>
    <t>NOX</t>
  </si>
  <si>
    <t>NOXX</t>
  </si>
  <si>
    <t>HC</t>
  </si>
  <si>
    <t>MIX</t>
  </si>
  <si>
    <t>HD</t>
  </si>
  <si>
    <t>KOR</t>
  </si>
  <si>
    <t>KOREA/CITY CAP</t>
  </si>
  <si>
    <t>HE</t>
  </si>
  <si>
    <t>HF</t>
  </si>
  <si>
    <t>LIH</t>
  </si>
  <si>
    <t>LIFE IS HAPPY</t>
  </si>
  <si>
    <t>HG</t>
  </si>
  <si>
    <t>ELSTINKO</t>
  </si>
  <si>
    <t>HH</t>
  </si>
  <si>
    <t>COC</t>
  </si>
  <si>
    <t>COCACOLA</t>
  </si>
  <si>
    <t>WITAILOR</t>
  </si>
  <si>
    <t>GN</t>
  </si>
  <si>
    <t>ZGN</t>
  </si>
  <si>
    <t>LIFE IS GOOD</t>
  </si>
  <si>
    <t>GO</t>
  </si>
  <si>
    <t>ZGO</t>
  </si>
  <si>
    <t>RAY&amp;REI</t>
  </si>
  <si>
    <t>GP</t>
  </si>
  <si>
    <t>ZGP</t>
  </si>
  <si>
    <t>ZIMZUM</t>
  </si>
  <si>
    <t>GQ</t>
  </si>
  <si>
    <t>ZGQ</t>
  </si>
  <si>
    <t>SPOTING21</t>
  </si>
  <si>
    <t>GT</t>
  </si>
  <si>
    <t>ZGT</t>
  </si>
  <si>
    <t>PEPSI</t>
  </si>
  <si>
    <t>GU</t>
  </si>
  <si>
    <t>ZGU</t>
  </si>
  <si>
    <t>SEVEN UP</t>
  </si>
  <si>
    <t>GV</t>
  </si>
  <si>
    <t>ZGV</t>
  </si>
  <si>
    <t>MTDEW</t>
  </si>
  <si>
    <t>GW</t>
  </si>
  <si>
    <t>ZGW</t>
  </si>
  <si>
    <t>CORONIZE</t>
  </si>
  <si>
    <t>GX</t>
  </si>
  <si>
    <t>ZGX</t>
  </si>
  <si>
    <t>NO-I</t>
  </si>
  <si>
    <t>ZGY</t>
  </si>
  <si>
    <t>MR.G</t>
  </si>
  <si>
    <t>ZG1</t>
  </si>
  <si>
    <t>ROLLIPS</t>
  </si>
  <si>
    <t>ZG2</t>
  </si>
  <si>
    <t>TANTU</t>
  </si>
  <si>
    <t>ZG3</t>
  </si>
  <si>
    <t>Warner Bros.</t>
  </si>
  <si>
    <t>ZG4</t>
  </si>
  <si>
    <t>WMW</t>
  </si>
  <si>
    <t>ZA</t>
  </si>
  <si>
    <t>NBP</t>
  </si>
  <si>
    <t>NIXON BP</t>
  </si>
  <si>
    <t>ZB</t>
  </si>
  <si>
    <t>DBP</t>
  </si>
  <si>
    <t>DAKINE BP</t>
  </si>
  <si>
    <t>품목2</t>
    <phoneticPr fontId="1" type="noConversion"/>
  </si>
  <si>
    <t>년도시즌</t>
    <phoneticPr fontId="1" type="noConversion"/>
  </si>
  <si>
    <t>품번색상(최초)</t>
    <phoneticPr fontId="1" type="noConversion"/>
  </si>
  <si>
    <t>최초/리오더</t>
  </si>
  <si>
    <t>최초/리오더</t>
    <phoneticPr fontId="1" type="noConversion"/>
  </si>
  <si>
    <t>색상수(최초)</t>
    <phoneticPr fontId="1" type="noConversion"/>
  </si>
  <si>
    <t>품번색상(리오더)</t>
    <phoneticPr fontId="1" type="noConversion"/>
  </si>
  <si>
    <t>색상수(리오더)</t>
    <phoneticPr fontId="1" type="noConversion"/>
  </si>
  <si>
    <t>최초</t>
  </si>
  <si>
    <t xml:space="preserve"> 색상수(리오더)</t>
  </si>
  <si>
    <t>브랜드</t>
    <phoneticPr fontId="1" type="noConversion"/>
  </si>
  <si>
    <t>원가</t>
    <phoneticPr fontId="1" type="noConversion"/>
  </si>
  <si>
    <t>TAG가</t>
    <phoneticPr fontId="1" type="noConversion"/>
  </si>
  <si>
    <t>입고수량</t>
    <phoneticPr fontId="1" type="noConversion"/>
  </si>
  <si>
    <t>미입고수량</t>
    <phoneticPr fontId="1" type="noConversion"/>
  </si>
  <si>
    <t>기획수량</t>
    <phoneticPr fontId="1" type="noConversion"/>
  </si>
  <si>
    <t/>
  </si>
  <si>
    <t xml:space="preserve"> 기획수량</t>
  </si>
  <si>
    <t xml:space="preserve"> 원가</t>
  </si>
  <si>
    <t xml:space="preserve"> TAG가</t>
  </si>
  <si>
    <t xml:space="preserve"> 배수</t>
  </si>
  <si>
    <t>기획수량</t>
    <phoneticPr fontId="1" type="noConversion"/>
  </si>
  <si>
    <t>원가(-V)</t>
    <phoneticPr fontId="1" type="noConversion"/>
  </si>
  <si>
    <t>배수</t>
    <phoneticPr fontId="1" type="noConversion"/>
  </si>
  <si>
    <t>브랜드품목</t>
  </si>
  <si>
    <t>브랜드품목</t>
    <phoneticPr fontId="1" type="noConversion"/>
  </si>
  <si>
    <t>품번(최초)</t>
    <phoneticPr fontId="1" type="noConversion"/>
  </si>
  <si>
    <t>품번수(최초)</t>
    <phoneticPr fontId="1" type="noConversion"/>
  </si>
  <si>
    <t>품번수(리오더)</t>
    <phoneticPr fontId="1" type="noConversion"/>
  </si>
  <si>
    <t>품번</t>
    <phoneticPr fontId="1" type="noConversion"/>
  </si>
  <si>
    <t>ELS-가방</t>
  </si>
  <si>
    <t>ELS-의류</t>
  </si>
  <si>
    <t>M 요약</t>
  </si>
  <si>
    <t xml:space="preserve"> 품번수(리오더)</t>
  </si>
  <si>
    <t xml:space="preserve"> 원가(-V)</t>
  </si>
  <si>
    <t>품번(리오더)</t>
    <phoneticPr fontId="1" type="noConversion"/>
  </si>
  <si>
    <t xml:space="preserve"> 품번수</t>
  </si>
  <si>
    <t>B 요약</t>
  </si>
  <si>
    <t>ELSSBE3801BK</t>
  </si>
  <si>
    <t>ELSSBE3801BL</t>
  </si>
  <si>
    <t>ELSSBE3802YE</t>
  </si>
  <si>
    <t>ELSSBE3803PK</t>
  </si>
  <si>
    <t>DAKBEE5301GY</t>
  </si>
  <si>
    <t>DAKBEE5302BK</t>
  </si>
  <si>
    <t>DAKBEE5302GY</t>
  </si>
  <si>
    <t>DAKTPE5303RE</t>
  </si>
  <si>
    <t>DAKBEE5304GY</t>
  </si>
  <si>
    <t>DAKBEE5004MT</t>
  </si>
  <si>
    <t>DAKBEE5004GR</t>
  </si>
  <si>
    <t>DAKEBE5305BK</t>
  </si>
  <si>
    <t>DAKEBE5305BG</t>
  </si>
  <si>
    <t>DAKBEE5306BW</t>
  </si>
  <si>
    <t>DAKBEE5306OR</t>
  </si>
  <si>
    <t>DAKBEE5307BU</t>
  </si>
  <si>
    <t>DAKBEE5307OR</t>
  </si>
  <si>
    <t>DAKTPE5308BK</t>
  </si>
  <si>
    <t>DAKTPE5308NA</t>
  </si>
  <si>
    <t>DAKEBE5801BL</t>
  </si>
  <si>
    <t>DAKEBE5801OR</t>
  </si>
  <si>
    <t>ELSEDE5102BK</t>
  </si>
  <si>
    <t>ELSEDE5103GY</t>
  </si>
  <si>
    <t>ELSERE5104BK</t>
  </si>
  <si>
    <t>ELSERE5105GY</t>
  </si>
  <si>
    <t>ELSTPE5108BU</t>
  </si>
  <si>
    <t>ELSTPE5608BU</t>
  </si>
  <si>
    <t>JILBAE5022BG</t>
  </si>
  <si>
    <t>JILBAE5022PP</t>
  </si>
  <si>
    <t>JILEBE5036BK</t>
  </si>
  <si>
    <t>JILEBE5036GY</t>
  </si>
  <si>
    <t>JILEBE5036RE</t>
  </si>
  <si>
    <t>JILFAE5001GY</t>
  </si>
  <si>
    <t>JILTPE5021BK</t>
  </si>
  <si>
    <t>JILTPE5021RE</t>
  </si>
  <si>
    <t>JILBEE5042BK</t>
  </si>
  <si>
    <t>JILBEE5042KH</t>
  </si>
  <si>
    <t>JILBEE5071PK</t>
  </si>
  <si>
    <t>JILBEE5071RE</t>
  </si>
  <si>
    <t>JILEBE5041CL</t>
  </si>
  <si>
    <t>JILBEE5007GY</t>
  </si>
  <si>
    <t>JILBEE5007RE</t>
  </si>
  <si>
    <t>JILBEE5008NY</t>
  </si>
  <si>
    <t>JILVBE5150GY</t>
  </si>
  <si>
    <t>JILEDE5147BK</t>
  </si>
  <si>
    <t>JILEDE5147CL</t>
  </si>
  <si>
    <t>JILFAE5104BK</t>
  </si>
  <si>
    <t>JILFAE5604BK</t>
  </si>
  <si>
    <t>JOIEBE5106BW</t>
  </si>
  <si>
    <t>JOIEBE5111GY</t>
  </si>
  <si>
    <t>JOIEBE5604YE</t>
  </si>
  <si>
    <t>JOIEBE5606BW</t>
  </si>
  <si>
    <t>BROERE5105RE</t>
  </si>
  <si>
    <t>BROERE5106OR</t>
  </si>
  <si>
    <t>BROERE5107PK</t>
  </si>
  <si>
    <t>BROMIE5111KH</t>
  </si>
  <si>
    <t>BROERE5117KH</t>
  </si>
  <si>
    <t>WTRTPE5109BL</t>
  </si>
  <si>
    <t>TRUBAE3301RE</t>
  </si>
  <si>
    <t>TRUBAE3302RE</t>
  </si>
  <si>
    <t>TRUBAE3302BK</t>
  </si>
  <si>
    <t>TRUBAE3303BL</t>
  </si>
  <si>
    <t>TRUBAE3303RE</t>
  </si>
  <si>
    <t>TRUBAE3303PK</t>
  </si>
  <si>
    <t>TRUBAE3304CL</t>
  </si>
  <si>
    <t>TRUBAE3304NY</t>
  </si>
  <si>
    <t>TRUBAE3304RE</t>
  </si>
  <si>
    <t>TRUFIE3305NY</t>
  </si>
  <si>
    <t>TRUFIE3305RE</t>
  </si>
  <si>
    <t>TRUFIE3305YE</t>
  </si>
  <si>
    <t>TRUFIE3305BK</t>
  </si>
  <si>
    <t>TRUFIE3306NY</t>
  </si>
  <si>
    <t>TRUFIE3306RE</t>
  </si>
  <si>
    <t>TRUFIE3306OR</t>
  </si>
  <si>
    <t>JILMIE3301BK</t>
  </si>
  <si>
    <t>JILMIE5303GY</t>
  </si>
  <si>
    <t>JILMIE5303GR</t>
  </si>
  <si>
    <t>JILERE5304NY</t>
  </si>
  <si>
    <t>JILERE5305BK</t>
  </si>
  <si>
    <t>JILERE5306MT</t>
  </si>
  <si>
    <t>JILERE5806MT</t>
  </si>
  <si>
    <t>JILERE5306YE</t>
  </si>
  <si>
    <t>JILERE5806YE</t>
  </si>
  <si>
    <t>JILHUE5307KH</t>
  </si>
  <si>
    <t>JILBAE5308KH</t>
  </si>
  <si>
    <t>JILBAE5808KH</t>
  </si>
  <si>
    <t>JILBAE5309BW</t>
  </si>
  <si>
    <t>JILFAE5310BU</t>
  </si>
  <si>
    <t>VBLBAE5302BK</t>
  </si>
  <si>
    <t>VBLBAE5802BK</t>
  </si>
  <si>
    <t>VBLBAE5303RE</t>
  </si>
  <si>
    <t>VBLBAE5304BL</t>
  </si>
  <si>
    <t>NOVMIE5301BK</t>
  </si>
  <si>
    <t>NOVMIE3302GY</t>
  </si>
  <si>
    <t>NOVBAE5303OR</t>
  </si>
  <si>
    <t>NOVBAE5304BL</t>
  </si>
  <si>
    <t>NOVBAE3305KH</t>
  </si>
  <si>
    <t>NOVTPE5306NY</t>
  </si>
  <si>
    <t>NOVTPE5306GY</t>
  </si>
  <si>
    <t>NOVTPE5307PP</t>
  </si>
  <si>
    <t>NOVTPE5807PP</t>
  </si>
  <si>
    <t>NOVTPE5308NY</t>
  </si>
  <si>
    <t>NOVTPE5308BK</t>
  </si>
  <si>
    <t>NOVTPE5309OR</t>
  </si>
  <si>
    <t>NOVTPE5809OR</t>
  </si>
  <si>
    <t>NOVTPE5309RE</t>
  </si>
  <si>
    <t>NOVTPE5309PK</t>
  </si>
  <si>
    <t>NOVTPE5809PK</t>
  </si>
  <si>
    <t>NOVTPE5309GR</t>
  </si>
  <si>
    <t>HCUMIE3301BK</t>
  </si>
  <si>
    <t>HCUMIE3301KH</t>
  </si>
  <si>
    <t>HCUMIE3302BK</t>
  </si>
  <si>
    <t>HCUMIE3302GY</t>
  </si>
  <si>
    <t>HCUMIE3303BK</t>
  </si>
  <si>
    <t>HCUMIE3303KH</t>
  </si>
  <si>
    <t>JILMIE3311BK</t>
  </si>
  <si>
    <t>JILMIE3311NY</t>
  </si>
  <si>
    <t>JILMIE3312BK</t>
  </si>
  <si>
    <t>JILMIE3312KH</t>
  </si>
  <si>
    <t>JILMIE3314BK</t>
  </si>
  <si>
    <t>JILMIE3314KH</t>
  </si>
  <si>
    <t>JILMIE3313BK</t>
  </si>
  <si>
    <t>JILMIE3313KH</t>
  </si>
  <si>
    <t>VBLBAE3216BK</t>
  </si>
  <si>
    <t>VBLBAE3003BK</t>
  </si>
  <si>
    <t>WTRBAE3003RE</t>
  </si>
  <si>
    <t>WTRBAE3201GR</t>
  </si>
  <si>
    <t>WTRBAE3701GR</t>
  </si>
  <si>
    <t>SMBFIE3202RE</t>
  </si>
  <si>
    <t>SMBFLE3201BL</t>
  </si>
  <si>
    <t>SMBFLE3701BL</t>
  </si>
  <si>
    <t>SMBFLE3206GY</t>
  </si>
  <si>
    <t>SMBFLE3740KH</t>
  </si>
  <si>
    <t>SMBFLE3744GR</t>
  </si>
  <si>
    <t>JILFEE3815OR</t>
  </si>
  <si>
    <t>JILFEE3816RE</t>
  </si>
  <si>
    <t>ELSJPE5301BU</t>
  </si>
  <si>
    <t>ELSJPE5801BU</t>
  </si>
  <si>
    <t>ELSJPE5302BK</t>
  </si>
  <si>
    <t>ELSHPE5303OR</t>
  </si>
  <si>
    <t>ELSHPE5304BK</t>
  </si>
  <si>
    <t>ELSHPE5804BK</t>
  </si>
  <si>
    <t>ELSTLE5305KH</t>
  </si>
  <si>
    <t>ELSTHE5306LI</t>
  </si>
  <si>
    <t>ELSTHE5806LI</t>
  </si>
  <si>
    <t>ELSTHE5306MT</t>
  </si>
  <si>
    <t>ELSTHE5806MT</t>
  </si>
  <si>
    <t>GRAMIE5301NY</t>
  </si>
  <si>
    <t>GRAMIE5301RE</t>
  </si>
  <si>
    <t>GRATPE5302RE</t>
  </si>
  <si>
    <t>GRATPE5302GY</t>
  </si>
  <si>
    <t>GRAERE5303KH</t>
  </si>
  <si>
    <t>GRAERE5303BG</t>
  </si>
  <si>
    <t>GRABAE3304NY</t>
  </si>
  <si>
    <t>GRABAE3304NA</t>
  </si>
  <si>
    <t>GRABAE3304BW</t>
  </si>
  <si>
    <t>GRAFAE5305BG</t>
  </si>
  <si>
    <t>GRAFAE5305BK</t>
  </si>
  <si>
    <t>GRAMIE3306NY</t>
  </si>
  <si>
    <t>GRAMIE3306GY</t>
  </si>
  <si>
    <t>GRAMIE3306BK</t>
  </si>
  <si>
    <t>GRAFAE5307BK</t>
  </si>
  <si>
    <t>GRAFAE5307RE</t>
  </si>
  <si>
    <t>GRAFAE3308BG</t>
  </si>
  <si>
    <t>GRAFAE3308KH</t>
  </si>
  <si>
    <t>GRAFEE3309BK</t>
  </si>
  <si>
    <t>GRAFEE3309BU</t>
  </si>
  <si>
    <t>GRAFEE3310GY</t>
  </si>
  <si>
    <t>GRAEBE5311GR</t>
  </si>
  <si>
    <t>GRAEBE5311NY</t>
  </si>
  <si>
    <t>GRABEE3312BG</t>
  </si>
  <si>
    <t>GRABEE3312ZZ</t>
  </si>
  <si>
    <t>GRABEE3313PK</t>
  </si>
  <si>
    <t>GRABEE3313GY</t>
  </si>
  <si>
    <t>GRABEE3313BW</t>
  </si>
  <si>
    <t>ELSFIE3620BK</t>
  </si>
  <si>
    <t>ELSFIE3642BL</t>
  </si>
  <si>
    <t>ELSBAE3007PK</t>
  </si>
  <si>
    <t>WTRMIE5301GY</t>
  </si>
  <si>
    <t>WTRMIE5302GY</t>
  </si>
  <si>
    <t>WTRMIE3303GY</t>
  </si>
  <si>
    <t>WTRMIE3304RE</t>
  </si>
  <si>
    <t>WTRTPE5305GY</t>
  </si>
  <si>
    <t>WTRERE5306OR</t>
  </si>
  <si>
    <t>WTRERE5806OR</t>
  </si>
  <si>
    <t>WTRBAE3307BL</t>
  </si>
  <si>
    <t>WTRERE5308GR</t>
  </si>
  <si>
    <t>WTRERE5309BL</t>
  </si>
  <si>
    <t>WTRMIE3310NY</t>
  </si>
  <si>
    <t>WTRERE5311KH</t>
  </si>
  <si>
    <t>NOVBAE3310MT</t>
  </si>
  <si>
    <t>NOVBAE3311BL</t>
  </si>
  <si>
    <t>NOVBAE3312NY</t>
  </si>
  <si>
    <t>NOVBAE3313GY</t>
  </si>
  <si>
    <t>NOVBAE3314GY</t>
  </si>
  <si>
    <t>NOVBAE3314NY</t>
  </si>
  <si>
    <t>NOVBAE3315NY</t>
  </si>
  <si>
    <t>NOVBAE3316OR</t>
  </si>
  <si>
    <t>NOVBAE3317RE</t>
  </si>
  <si>
    <t>VBLBAE3103RE</t>
  </si>
  <si>
    <t>VBLBAE3103GR</t>
  </si>
  <si>
    <t>VBLBAE3201GY</t>
  </si>
  <si>
    <t>PLAUME3204YE</t>
  </si>
  <si>
    <t>ELSACE3301NY</t>
  </si>
  <si>
    <t>ELSACE3302BL</t>
  </si>
  <si>
    <t>ELSACE3303OR</t>
  </si>
  <si>
    <t>ELSACE3304BL</t>
  </si>
  <si>
    <t>NIXBEE5301GY</t>
  </si>
  <si>
    <t>NIXBEE5301NY</t>
  </si>
  <si>
    <t>NIXFIE3302BK</t>
  </si>
  <si>
    <t>NIXFIE3303BW</t>
  </si>
  <si>
    <t>NIXFIE3303RE</t>
  </si>
  <si>
    <t>NIXFIE3304GY</t>
  </si>
  <si>
    <t>NIXFIE3305NY</t>
  </si>
  <si>
    <t>NIXFIE3305IV</t>
  </si>
  <si>
    <t>ELSTPE5301NY</t>
  </si>
  <si>
    <t>ELSTPE5801NY</t>
  </si>
  <si>
    <t>ELSBEE5302GR</t>
  </si>
  <si>
    <t>ELSBEE5802GR</t>
  </si>
  <si>
    <t>ELSBEE5303BL</t>
  </si>
  <si>
    <t>ELSBEE5803BL</t>
  </si>
  <si>
    <t>ELSBEE5304BK</t>
  </si>
  <si>
    <t>ELSBEE5304GR</t>
  </si>
  <si>
    <t>ELSBEE5304PK</t>
  </si>
  <si>
    <t>JOIERE5801PK</t>
  </si>
  <si>
    <t>JOIERE5802OR</t>
  </si>
  <si>
    <t>VBLBAE3216GR</t>
  </si>
  <si>
    <t>VBLBAE3216LI</t>
  </si>
  <si>
    <t>VBLBAE3216BL</t>
  </si>
  <si>
    <t>VBLBAE3216RE</t>
  </si>
  <si>
    <t>BMDMIE3301BK</t>
  </si>
  <si>
    <t>BMDMIE3301KH</t>
  </si>
  <si>
    <t>BMDMIE3301GY</t>
  </si>
  <si>
    <t>BMDERE5302BK</t>
  </si>
  <si>
    <t>BMDERE5302GY</t>
  </si>
  <si>
    <t>BMDERE5302RE</t>
  </si>
  <si>
    <t>BMDERE5303BU</t>
  </si>
  <si>
    <t>BMDERE5303GY</t>
  </si>
  <si>
    <t>ELSFIE3211PK</t>
  </si>
  <si>
    <t>ELSFIE3711PK</t>
  </si>
  <si>
    <t>ELSFIE3712BL</t>
  </si>
  <si>
    <t>ELSFIE3713PK</t>
  </si>
  <si>
    <t>ELSBAE3008BK</t>
  </si>
  <si>
    <t>JILMIE3152BK</t>
  </si>
  <si>
    <t>ELSFIE5305OR</t>
  </si>
  <si>
    <t>ELSFIE5305GR</t>
  </si>
  <si>
    <t>ELSBAE5306GR</t>
  </si>
  <si>
    <t>ELSBAE5306PK</t>
  </si>
  <si>
    <t>ELSERE5309PK</t>
  </si>
  <si>
    <t>ELSBAE3311LI</t>
  </si>
  <si>
    <t>ELSBAE3811LI</t>
  </si>
  <si>
    <t>ELSBAE3311PK</t>
  </si>
  <si>
    <t>ELSBAE3811PK</t>
  </si>
  <si>
    <t>ELSBAE3312NY</t>
  </si>
  <si>
    <t>ELSBAE3812NY</t>
  </si>
  <si>
    <t>ELSBAE3307OR</t>
  </si>
  <si>
    <t>ELSERE5308OR</t>
  </si>
  <si>
    <t>ELSERE5310YE</t>
  </si>
  <si>
    <t>ELSERE5810YE</t>
  </si>
  <si>
    <t>ELSERE5310PK</t>
  </si>
  <si>
    <t>ELSERE5810PK</t>
  </si>
  <si>
    <t>ELSERE5313NY</t>
  </si>
  <si>
    <t>ELSERE5316BL</t>
  </si>
  <si>
    <t>ELSERE5816BL</t>
  </si>
  <si>
    <t>ELSFAE3818BL</t>
  </si>
  <si>
    <t>BMDMIE3301BL</t>
  </si>
  <si>
    <t>ELSBAE3008BW</t>
  </si>
  <si>
    <t>ELSFIE3620RE</t>
  </si>
  <si>
    <t>ELSFIE3620YE</t>
  </si>
  <si>
    <t>ELSFIE3640GR</t>
  </si>
  <si>
    <t>SMBFIE3205BK</t>
  </si>
  <si>
    <t>SMBFIE3702RE</t>
  </si>
  <si>
    <t>SMBFIE3705BK</t>
  </si>
  <si>
    <t>SMBFLE3742NY</t>
  </si>
  <si>
    <t>SMBFLE3757PK</t>
  </si>
  <si>
    <t>NOVERE5318RE</t>
  </si>
  <si>
    <t>NOVBAE5319NY</t>
  </si>
  <si>
    <t>NOVBAE5819NY</t>
  </si>
  <si>
    <t>NOVMIE5320KH</t>
  </si>
  <si>
    <t>NOVMIE5820KH</t>
  </si>
  <si>
    <t>NOVBAE3321NY</t>
  </si>
  <si>
    <t>VBLBAE3306NY</t>
  </si>
  <si>
    <t>VBLBAE3309GR</t>
  </si>
  <si>
    <t>VBLBAE3310RE</t>
  </si>
  <si>
    <t>VBLBAE3311NY</t>
  </si>
  <si>
    <t>VBLBAE3811NY</t>
  </si>
  <si>
    <t>VBLBAE3312BK</t>
  </si>
  <si>
    <t>VBLBAE3812BK</t>
  </si>
  <si>
    <t>VBLBAE3313BL</t>
  </si>
  <si>
    <t>VBLBAE3813BL</t>
  </si>
  <si>
    <t>VBLBAE3305GY</t>
  </si>
  <si>
    <t>VBLBAE3307OR</t>
  </si>
  <si>
    <t>VBLBAE3308OR</t>
  </si>
  <si>
    <t>VBLERE5314BK</t>
  </si>
  <si>
    <t>VBLERE5814BK</t>
  </si>
  <si>
    <t>VBLERE5315GY</t>
  </si>
  <si>
    <t>JILMIE5317BL</t>
  </si>
  <si>
    <t>JILMIE5317GY</t>
  </si>
  <si>
    <t>JILMIE5317KH</t>
  </si>
  <si>
    <t>JILMIE5318KH</t>
  </si>
  <si>
    <t>JILMIE5319GY</t>
  </si>
  <si>
    <t>JILMIE3320BK</t>
  </si>
  <si>
    <t>JILMIE5321OR</t>
  </si>
  <si>
    <t>JILMIE3322OR</t>
  </si>
  <si>
    <t>JILMIE3323BL</t>
  </si>
  <si>
    <t>JILMIE3324YE</t>
  </si>
  <si>
    <t>JILMIE3325RE</t>
  </si>
  <si>
    <t>JILMIE3326BK</t>
  </si>
  <si>
    <t>JILMIE3327BW</t>
  </si>
  <si>
    <t>JILMIE3339YE</t>
  </si>
  <si>
    <t>JILERE5328KH</t>
  </si>
  <si>
    <t>JILERE5329NY</t>
  </si>
  <si>
    <t>JILERE5330NY</t>
  </si>
  <si>
    <t>JILERE5331BK</t>
  </si>
  <si>
    <t>JILERE5332NY</t>
  </si>
  <si>
    <t>JILERE5332OR</t>
  </si>
  <si>
    <t>JILTPE5333GR</t>
  </si>
  <si>
    <t>JILTPE5833GR</t>
  </si>
  <si>
    <t>JILTPE5333RE</t>
  </si>
  <si>
    <t>JILTPE5833RE</t>
  </si>
  <si>
    <t>JILTPE5334BK</t>
  </si>
  <si>
    <t>JILTPE5834BK</t>
  </si>
  <si>
    <t>JILTPE5335KH</t>
  </si>
  <si>
    <t>JILTPE5336GY</t>
  </si>
  <si>
    <t>JILTPE5337BK</t>
  </si>
  <si>
    <t>JILTPE5338BL</t>
  </si>
  <si>
    <t>NOVBAE5803OR</t>
  </si>
  <si>
    <t>NOVBAE5804BL</t>
  </si>
  <si>
    <t>ELSFIE3001BK</t>
  </si>
  <si>
    <t>ELSFIE3661BK</t>
  </si>
  <si>
    <t>ELSUME3014PK</t>
  </si>
  <si>
    <t>NOVMIE3102GR</t>
  </si>
  <si>
    <t>PLAUME3003BW</t>
  </si>
  <si>
    <t>PLAUME3004BL</t>
  </si>
  <si>
    <t>ELSBPE3601BK</t>
  </si>
  <si>
    <t>ELSBPE3601BL</t>
  </si>
  <si>
    <t>ELSBPE3603PK</t>
  </si>
  <si>
    <t>ELSBPE3611BK</t>
  </si>
  <si>
    <t>ELSBPE3611BL</t>
  </si>
  <si>
    <t>ELSBPE3613GR</t>
  </si>
  <si>
    <t>BMDBAE3202BK</t>
  </si>
  <si>
    <t>BMDBAE3202PK</t>
  </si>
  <si>
    <t>HCUMIE3304BK</t>
  </si>
  <si>
    <t>HCUMIE3305NY</t>
  </si>
  <si>
    <t>HCUMIE3306KH</t>
  </si>
  <si>
    <t>HCUMIE3306BK</t>
  </si>
  <si>
    <t>HCUMIE3307GY</t>
  </si>
  <si>
    <t>HCUERE5308KH</t>
  </si>
  <si>
    <t>HCUERE5308BK</t>
  </si>
  <si>
    <t>PLAUME3301BL</t>
  </si>
  <si>
    <t>PLAUME3302PK</t>
  </si>
  <si>
    <t>VBLBAE5113RE</t>
  </si>
  <si>
    <t>VBLBAE5106BK</t>
  </si>
  <si>
    <t>ELSTPE5148NY</t>
  </si>
  <si>
    <t>ELSTPE5648NY</t>
  </si>
  <si>
    <t>ELSTPE5648PK</t>
  </si>
  <si>
    <t>ELSFIE5647BK</t>
  </si>
  <si>
    <t>PLATLE5301BK</t>
  </si>
  <si>
    <t>PLATLE5801BK</t>
  </si>
  <si>
    <t>PLATLE5302BK</t>
  </si>
  <si>
    <t>PLATLE5802BK</t>
  </si>
  <si>
    <t>PLAJPE5305BK</t>
  </si>
  <si>
    <t>PLAJPE5306BK</t>
  </si>
  <si>
    <t>PLAJPE5806BK</t>
  </si>
  <si>
    <t>PLATLE5303BK</t>
  </si>
  <si>
    <t>PLATLE5304RE</t>
  </si>
  <si>
    <t>PLATLE5804RE</t>
  </si>
  <si>
    <t>PLAJPE5307BL</t>
  </si>
  <si>
    <t>PLAJPE5807BL</t>
  </si>
  <si>
    <t>ELSTLE5307RE</t>
  </si>
  <si>
    <t>ELSTLE5807RE</t>
  </si>
  <si>
    <t>ELSTLE5308BK</t>
  </si>
  <si>
    <t>ELSTLE5808BK</t>
  </si>
  <si>
    <t>ELSTLE5309YE</t>
  </si>
  <si>
    <t>ELSTLE5809YE</t>
  </si>
  <si>
    <t>ELSTHE5312PK</t>
  </si>
  <si>
    <t>ELSTHE5314BK</t>
  </si>
  <si>
    <t>ELSTHE5814BK</t>
  </si>
  <si>
    <t>ELSTHE5318NY</t>
  </si>
  <si>
    <t>ELSTHE5818NY</t>
  </si>
  <si>
    <t>ELSTLE5310BL</t>
  </si>
  <si>
    <t>ELSTLE5810BL</t>
  </si>
  <si>
    <t>ELSTLE5310RE</t>
  </si>
  <si>
    <t>ELSTLE5810RE</t>
  </si>
  <si>
    <t>ELSTLE5311BK</t>
  </si>
  <si>
    <t>ELSTHE5316RE</t>
  </si>
  <si>
    <t>ELSTHE5317YE</t>
  </si>
  <si>
    <t>ELSHPE5321BW</t>
  </si>
  <si>
    <t>ELSHPE5821BW</t>
  </si>
  <si>
    <t>ELSHPE5322RE</t>
  </si>
  <si>
    <t>ELSHPE5822RE</t>
  </si>
  <si>
    <t>ELSTHE5313NY</t>
  </si>
  <si>
    <t>ELSTHE5813NY</t>
  </si>
  <si>
    <t>ELSTHE5319BU</t>
  </si>
  <si>
    <t>ELSHPE5320BK</t>
  </si>
  <si>
    <t>ELSTHE5315BW</t>
  </si>
  <si>
    <t>ELSTHE5815BW</t>
  </si>
  <si>
    <t>ELSHPE5323BK</t>
  </si>
  <si>
    <t>ELSHPE5823BK</t>
  </si>
  <si>
    <t>ELSHPE5324GY</t>
  </si>
  <si>
    <t>ELSHPE5325BK</t>
  </si>
  <si>
    <t>ELSJPE5326GR</t>
  </si>
  <si>
    <t>ELSJPE5826GR</t>
  </si>
  <si>
    <t>ELSEDE5319BW</t>
  </si>
  <si>
    <t>ELSEDE5320BU</t>
  </si>
  <si>
    <t>ELSTPE5321MT</t>
  </si>
  <si>
    <t>ELSTPE5821MT</t>
  </si>
  <si>
    <t>ELSVBE5322OR</t>
  </si>
  <si>
    <t>ELSVBE5822OR</t>
  </si>
  <si>
    <t>ELSBEE5323BW</t>
  </si>
  <si>
    <t>ELSTPE5824NY</t>
  </si>
  <si>
    <t>JOIEBE5803BL</t>
  </si>
  <si>
    <t>JOIEBE5804RE</t>
  </si>
  <si>
    <t>JOIEBE5305GY</t>
  </si>
  <si>
    <t>JOIEBE5805GY</t>
  </si>
  <si>
    <t>JOIVBE5806NY</t>
  </si>
  <si>
    <t>JOIVBE5806PK</t>
  </si>
  <si>
    <t>JOIEBE5807BL</t>
  </si>
  <si>
    <t>JOIEBE5310KH</t>
  </si>
  <si>
    <t>JOIEBE5808IV</t>
  </si>
  <si>
    <t>JOIEBE5809BL</t>
  </si>
  <si>
    <t>JOIEDE5311BL</t>
  </si>
  <si>
    <t>JOIEBE5812YE</t>
  </si>
  <si>
    <t>JOIEDE5102IV</t>
  </si>
  <si>
    <t>JOIEDE5110IV</t>
  </si>
  <si>
    <t>PLABPE3301BW</t>
  </si>
  <si>
    <t>PLABPE3302BK</t>
  </si>
  <si>
    <t>PLABPE3303OR</t>
  </si>
  <si>
    <t>PLABPE3304BK</t>
  </si>
  <si>
    <t>ELSBPE3301BW</t>
  </si>
  <si>
    <t>ELSBPE3801BW</t>
  </si>
  <si>
    <t>ELSBPE3811BW</t>
  </si>
  <si>
    <t>NOVFAE3105BG</t>
  </si>
  <si>
    <t>NOVFAE3605BG</t>
  </si>
  <si>
    <t>NOVMIE3101BG</t>
  </si>
  <si>
    <t>NOVMIE3102BK</t>
  </si>
  <si>
    <t>NOVMIE3102RE</t>
  </si>
  <si>
    <t>NOVMIE3602RE</t>
  </si>
  <si>
    <t>HCUMIE3001GY</t>
  </si>
  <si>
    <t>HCUMIE3010BK</t>
  </si>
  <si>
    <t>BMDBAE3202OR</t>
  </si>
  <si>
    <t>PLAUME3203BK</t>
  </si>
  <si>
    <t>PLAUME3208GR</t>
  </si>
  <si>
    <t>HCUMIE3008BK</t>
  </si>
  <si>
    <t>HCUMIE3008KH</t>
  </si>
  <si>
    <t>HCUMIE3109GY</t>
  </si>
  <si>
    <t>HCUMIE3110GY</t>
  </si>
  <si>
    <t>VBLBAE3101GY</t>
  </si>
  <si>
    <t>VBLBAE3107NY</t>
  </si>
  <si>
    <t>ELSERE5022NY</t>
  </si>
  <si>
    <t>ELSERE5144RE</t>
  </si>
  <si>
    <t>ELSERE5644RE</t>
  </si>
  <si>
    <t>ELSERE5145BK</t>
  </si>
  <si>
    <t>ELSFIE3325LI</t>
  </si>
  <si>
    <t>ELSFIE3825LI</t>
  </si>
  <si>
    <t>ELSFIE3326KH</t>
  </si>
  <si>
    <t>ELSFIE3826KH</t>
  </si>
  <si>
    <t>ELSFIE3326RE</t>
  </si>
  <si>
    <t>ELSFIE3826RE</t>
  </si>
  <si>
    <t>ELSMIE3327BK</t>
  </si>
  <si>
    <t>ELSBEE5149BK</t>
  </si>
  <si>
    <t>ELSEBE5328GY</t>
  </si>
  <si>
    <t>ELSEBE5828GY</t>
  </si>
  <si>
    <t>ELSEBE5328MT</t>
  </si>
  <si>
    <t>ELSEBE5828MT</t>
  </si>
  <si>
    <t>ELSEBE5329NY</t>
  </si>
  <si>
    <t>ELSEBE5829NY</t>
  </si>
  <si>
    <t>ELSEBE5329MT</t>
  </si>
  <si>
    <t>ELSEBE5829MT</t>
  </si>
  <si>
    <t>ELSEBE5329BL</t>
  </si>
  <si>
    <t>ELSEBE5829BL</t>
  </si>
  <si>
    <t>ELSEBE5330BL</t>
  </si>
  <si>
    <t>ELSEBE5830BL</t>
  </si>
  <si>
    <t>ELSBEE5804BK</t>
  </si>
  <si>
    <t>ELSBEE5804GR</t>
  </si>
  <si>
    <t>ELSBEE5804PK</t>
  </si>
  <si>
    <t>JILBEE5341ZZ</t>
  </si>
  <si>
    <t>JILBEE5342NY</t>
  </si>
  <si>
    <t>JILBEE5842NY</t>
  </si>
  <si>
    <t>JILBEE5342GR</t>
  </si>
  <si>
    <t>JILBEE5842GR</t>
  </si>
  <si>
    <t>JILEBE5343RE</t>
  </si>
  <si>
    <t>JILEBE5843RE</t>
  </si>
  <si>
    <t>JILBEE5344RE</t>
  </si>
  <si>
    <t>JILBEE5844RE</t>
  </si>
  <si>
    <t>JILBEE5344MT</t>
  </si>
  <si>
    <t>JILBEE5844MT</t>
  </si>
  <si>
    <t>JILBEE5345BK</t>
  </si>
  <si>
    <t>JILBEE5345NY</t>
  </si>
  <si>
    <t>JILBEE5345GY</t>
  </si>
  <si>
    <t>JILBEE5345PK</t>
  </si>
  <si>
    <t>JILEBE5346BU</t>
  </si>
  <si>
    <t>JILEBE5346BK</t>
  </si>
  <si>
    <t>JILEBE5346YE</t>
  </si>
  <si>
    <t>JILVBE5347BW</t>
  </si>
  <si>
    <t>JILVBE5347BK</t>
  </si>
  <si>
    <t>JILBEE5348GR</t>
  </si>
  <si>
    <t>JILBEE5348GY</t>
  </si>
  <si>
    <t>JILBEE5348BL</t>
  </si>
  <si>
    <t>JILBEE5348BK</t>
  </si>
  <si>
    <t>JILBEE5348RE</t>
  </si>
  <si>
    <t>JILBEE5348CL</t>
  </si>
  <si>
    <t>JILBEE5349BK</t>
  </si>
  <si>
    <t>JILBEE5849BK</t>
  </si>
  <si>
    <t>JILEBE5350BW</t>
  </si>
  <si>
    <t>JILEBE5850BW</t>
  </si>
  <si>
    <t>JILEBE5350NY</t>
  </si>
  <si>
    <t>JILEBE5850NY</t>
  </si>
  <si>
    <t>JILBEE5352BK</t>
  </si>
  <si>
    <t>JILBEE5352GY</t>
  </si>
  <si>
    <t>JILBEE5353OR</t>
  </si>
  <si>
    <t>JILBEE5353GR</t>
  </si>
  <si>
    <t>JILEBE5354NY</t>
  </si>
  <si>
    <t>JILBEE5355RE</t>
  </si>
  <si>
    <t>JILBEE5855RE</t>
  </si>
  <si>
    <t>JILBEE5355KH</t>
  </si>
  <si>
    <t>JILBEE5855KH</t>
  </si>
  <si>
    <t>JILBEE5356BK</t>
  </si>
  <si>
    <t>JILBEE5856BK</t>
  </si>
  <si>
    <t>JILBEE5356NY</t>
  </si>
  <si>
    <t>JILBEE5856NY</t>
  </si>
  <si>
    <t>JILBEE5356MT</t>
  </si>
  <si>
    <t>JILBEE5856MT</t>
  </si>
  <si>
    <t>JILVBE5357YE</t>
  </si>
  <si>
    <t>JILVBE5357RE</t>
  </si>
  <si>
    <t>JILEBE5358BK</t>
  </si>
  <si>
    <t>JILBEE5359RE</t>
  </si>
  <si>
    <t>JILBEE5359BW</t>
  </si>
  <si>
    <t>JILEBE5360GY</t>
  </si>
  <si>
    <t>URBFIE5301BK</t>
  </si>
  <si>
    <t>URBFIE3302NY</t>
  </si>
  <si>
    <t>URBFIE3303NY</t>
  </si>
  <si>
    <t>URBFIE3304RE</t>
  </si>
  <si>
    <t>URBFIE3304BK</t>
  </si>
  <si>
    <t>URBFIE3305RE</t>
  </si>
  <si>
    <t>URBFIE3306BK</t>
  </si>
  <si>
    <t>URBFIE3307RE</t>
  </si>
  <si>
    <t>URBFIE3307BL</t>
  </si>
  <si>
    <t>URBFIE3307BK</t>
  </si>
  <si>
    <t>URBFIE5308GY</t>
  </si>
  <si>
    <t>URBFIE3309GY</t>
  </si>
  <si>
    <t>URBFIE3310BL</t>
  </si>
  <si>
    <t>URBFIE3311OR</t>
  </si>
  <si>
    <t>URBFIE3312PP</t>
  </si>
  <si>
    <t>URBFIE3313BW</t>
  </si>
  <si>
    <t>URBFIE3314BK</t>
  </si>
  <si>
    <t>URBFIE3315BK</t>
  </si>
  <si>
    <t>URBFIE3316BK</t>
  </si>
  <si>
    <t>URBFIE3317BK</t>
  </si>
  <si>
    <t>URBFIE3318BK</t>
  </si>
  <si>
    <t>URBFIE3319YE</t>
  </si>
  <si>
    <t>URBFIE3320YE</t>
  </si>
  <si>
    <t>URBFIE3321BK</t>
  </si>
  <si>
    <t>URBFIE3322NY</t>
  </si>
  <si>
    <t>ELS-ACC</t>
  </si>
  <si>
    <t>JIL-ACC</t>
  </si>
  <si>
    <t>PLA-의류</t>
  </si>
  <si>
    <t>JOI-ACC</t>
  </si>
  <si>
    <t>PLA-가방</t>
  </si>
  <si>
    <t>러닝/신규</t>
  </si>
  <si>
    <t>러닝</t>
  </si>
  <si>
    <t>신규</t>
  </si>
  <si>
    <t>러닝/신규</t>
    <phoneticPr fontId="1" type="noConversion"/>
  </si>
  <si>
    <t>최초/리오더</t>
    <phoneticPr fontId="1" type="noConversion"/>
  </si>
  <si>
    <t xml:space="preserve"> LOT</t>
    <phoneticPr fontId="1" type="noConversion"/>
  </si>
  <si>
    <t xml:space="preserve"> LOT</t>
  </si>
  <si>
    <t>2013 FW 기획진행현황 (HATS ON) 2</t>
    <phoneticPr fontId="4" type="noConversion"/>
  </si>
  <si>
    <t>ELSERE5645BK</t>
  </si>
  <si>
    <t>JILMIE3215NY</t>
  </si>
  <si>
    <t>JILMIE3218BW</t>
  </si>
  <si>
    <t>JILMIE3219IV</t>
  </si>
  <si>
    <t>ELSTPE5831NY</t>
  </si>
  <si>
    <t>ELSTPE5831OR</t>
  </si>
  <si>
    <t>ELSERE5332GY</t>
  </si>
  <si>
    <t>ELSERE5832GY</t>
  </si>
  <si>
    <t>ELSERE5333NY</t>
  </si>
  <si>
    <t>ELSERE5833NY</t>
  </si>
  <si>
    <t>ELSERE5334YE</t>
  </si>
  <si>
    <t>ELSERE5834YE</t>
  </si>
  <si>
    <t>ELSFIE3335BL</t>
  </si>
  <si>
    <t>ELSFIE3835BL</t>
  </si>
  <si>
    <t>ELSBAE3649PK</t>
  </si>
  <si>
    <t>JILMIE3152PK</t>
  </si>
  <si>
    <t>WTRBAE3603RE</t>
  </si>
  <si>
    <t>VBLERE5301OR</t>
  </si>
  <si>
    <t>VBLERE5801OR</t>
  </si>
  <si>
    <t>JOIVBE5306NY</t>
  </si>
  <si>
    <t>JOIVBE5306PK</t>
  </si>
  <si>
    <t>ELSJSE5827BW</t>
  </si>
  <si>
    <t>ELSPTE5330BK</t>
  </si>
  <si>
    <t>ELSPTE5830BK</t>
  </si>
  <si>
    <t>ELSPTE5331BW</t>
  </si>
  <si>
    <t>ELSPTE5831BW</t>
  </si>
  <si>
    <t>VBLBAE5316GY</t>
  </si>
  <si>
    <t>ELSBAE3008NY</t>
  </si>
  <si>
    <t>ELSFIE3013RE</t>
  </si>
  <si>
    <t>ELSFIE3013BK</t>
  </si>
  <si>
    <t>ELSFIE3013YE</t>
  </si>
  <si>
    <t>ELSFIE3031GR</t>
  </si>
  <si>
    <t>ELSFIE3210GY</t>
  </si>
  <si>
    <t>ELSFIE3710GY</t>
  </si>
  <si>
    <t>ELSFIE3714GR</t>
  </si>
  <si>
    <t>ELSFIE3226BL</t>
  </si>
  <si>
    <t>ELSFIE3721OR</t>
  </si>
  <si>
    <t>ELSFIE3721MT</t>
  </si>
  <si>
    <t>ELSFIE3221OR</t>
  </si>
  <si>
    <t>ELSFIE3726BL</t>
  </si>
  <si>
    <t>SMBBAE3223GY</t>
  </si>
  <si>
    <t>SMBBAE3226PK</t>
  </si>
  <si>
    <t>SMBBAE3235BK</t>
  </si>
  <si>
    <t>SMBFIE3203BL</t>
  </si>
  <si>
    <t>SMBFIE3703BL</t>
  </si>
  <si>
    <t>SMBFIE3213BK</t>
  </si>
  <si>
    <t>SMBFIE3218NY</t>
  </si>
  <si>
    <t>SMBFLE3744RE</t>
  </si>
  <si>
    <t>BMDBAE3202RE</t>
  </si>
  <si>
    <t>BMDMIE3201BL</t>
  </si>
  <si>
    <t>BMDMIE3201BK</t>
  </si>
  <si>
    <t>NAABAE3301NY</t>
  </si>
  <si>
    <t>NAABAE3302BU</t>
  </si>
  <si>
    <t>NAABAE3303PK</t>
  </si>
  <si>
    <t>NAABAE3304GY</t>
  </si>
  <si>
    <t>NAABAE3305GR</t>
  </si>
  <si>
    <t>NAABAE3306NY</t>
  </si>
  <si>
    <t>NAABAE3307NY</t>
  </si>
  <si>
    <t>NAABAE3308GR</t>
  </si>
  <si>
    <t>NAAFLE3309NY</t>
  </si>
  <si>
    <t>NAAFLE3310PP</t>
  </si>
  <si>
    <t>NAAFIE3311PP</t>
  </si>
  <si>
    <t>NAAFIE3312KH</t>
  </si>
  <si>
    <t>NAAFIE3313BU</t>
  </si>
  <si>
    <t>NAAFIE3314BG</t>
  </si>
  <si>
    <t>NAAFIE3315BK</t>
  </si>
  <si>
    <t>NAAFIE3316NY</t>
  </si>
  <si>
    <t>NAAFIE3317GR</t>
  </si>
  <si>
    <t>NAAFIE3318GY</t>
  </si>
  <si>
    <t>GOOFAE3301BK</t>
  </si>
  <si>
    <t>GOOFAE3301BU</t>
  </si>
  <si>
    <t>GOOFEE3302BK</t>
  </si>
  <si>
    <t>GOOFEE3303BK</t>
  </si>
  <si>
    <t>GOOFAE3304BK</t>
  </si>
  <si>
    <t>GOOFAE3304CL</t>
  </si>
  <si>
    <t>GOOMIE3305BK</t>
  </si>
  <si>
    <t>GOOMIE3305GY</t>
  </si>
  <si>
    <t>GOOMIE3305KH</t>
  </si>
  <si>
    <t>GOOMIE3306BK</t>
  </si>
  <si>
    <t>GOOFEE5307BK</t>
  </si>
  <si>
    <t>GOOMIE5308GY</t>
  </si>
  <si>
    <t>GOOMIE5309BK</t>
  </si>
  <si>
    <t>GOOMIE5309BW</t>
  </si>
  <si>
    <t>GOOMIE3043BK</t>
  </si>
  <si>
    <t>GOOMIE3043NY</t>
  </si>
  <si>
    <t>GOOMIE3043KH</t>
  </si>
  <si>
    <t>GOOMIE3043GY</t>
  </si>
  <si>
    <t>JILBEE5361YE</t>
  </si>
  <si>
    <t>JILBEE5361PK</t>
  </si>
  <si>
    <t>JILBEE5361BW</t>
  </si>
  <si>
    <t>JILWAE5362MT</t>
  </si>
  <si>
    <t>JILWAE5363BK</t>
  </si>
  <si>
    <t>JILCME5364PK</t>
  </si>
  <si>
    <t>JILCME5364BK</t>
  </si>
  <si>
    <t>JILEBE5365IV</t>
  </si>
  <si>
    <t>JOIEDE5313MT</t>
  </si>
  <si>
    <t>JOIMUE5814KH</t>
  </si>
  <si>
    <t>FFTFIE3213BK</t>
  </si>
  <si>
    <t>FFTFIE3313WH</t>
  </si>
  <si>
    <t>FFTFIE3208WH</t>
  </si>
  <si>
    <t>FFTFIE3208BK</t>
  </si>
  <si>
    <t>FFTFIE3208KH</t>
  </si>
  <si>
    <t>FFTFIE3209WH</t>
  </si>
  <si>
    <t>FFTFIE3209BK</t>
  </si>
  <si>
    <t>FFTFIE3211RE</t>
  </si>
  <si>
    <t>FFTFIE3311BL</t>
  </si>
  <si>
    <t>FFTFIE3301BK</t>
  </si>
  <si>
    <t>FFTFIE3235NY</t>
  </si>
  <si>
    <t>FFTFIE3234RE</t>
  </si>
  <si>
    <t>FFTFIE3243BK</t>
  </si>
  <si>
    <t>FFTFIE3302BK</t>
  </si>
  <si>
    <t>ELSBEE5336BK</t>
  </si>
  <si>
    <t>ELSBEE5337BL</t>
  </si>
  <si>
    <t>NAA</t>
  </si>
  <si>
    <t>FFT</t>
  </si>
  <si>
    <t>요약</t>
  </si>
  <si>
    <t>ELSJSE5327BW</t>
  </si>
  <si>
    <t>PLAUME3303BK</t>
  </si>
  <si>
    <t>PLAUME3304OR</t>
  </si>
  <si>
    <t>PLAUME3305BW</t>
  </si>
  <si>
    <t>PLAUME3306WH</t>
  </si>
  <si>
    <t>PLAUME3306BK</t>
  </si>
  <si>
    <t>ELSJPE4328PK</t>
  </si>
  <si>
    <t>ELSPTE4329PK</t>
  </si>
  <si>
    <t>ELSJPE4328BL</t>
  </si>
  <si>
    <t>ELSPTE4329BL</t>
  </si>
  <si>
    <t>ELSJPE4328RE</t>
  </si>
  <si>
    <t>ELSPTE4329RE</t>
  </si>
  <si>
    <t>ELSJPE4328BK</t>
  </si>
  <si>
    <t>ELSPTE4329BK</t>
  </si>
  <si>
    <t>ELSJPE4832RE</t>
  </si>
  <si>
    <t>ELSPTE4833RE</t>
  </si>
  <si>
    <t>ELSJPE4832BK</t>
  </si>
  <si>
    <t>ELSPTE4833BK</t>
  </si>
  <si>
    <t>ELSJPE4832BW</t>
  </si>
  <si>
    <t>ELSPTE4833BW</t>
  </si>
  <si>
    <t>SMBFIE3134RE</t>
  </si>
  <si>
    <t>SMBFIE3634RE</t>
  </si>
  <si>
    <t>SMBFIE3135BK</t>
  </si>
  <si>
    <t>SMBFIE3635BK</t>
  </si>
  <si>
    <t>SMBFIE3206BK</t>
  </si>
  <si>
    <t>SMBFIE3215BK</t>
  </si>
  <si>
    <t>SMBBEE5301NY</t>
  </si>
  <si>
    <t>SMBBEE5301RE</t>
  </si>
  <si>
    <t>FFTFIE3330GR</t>
  </si>
  <si>
    <t>FFTFIE3331PP</t>
  </si>
  <si>
    <t>FFTFIE3332WH</t>
  </si>
  <si>
    <t>FFTFIE3333BL</t>
  </si>
  <si>
    <t>FFTFIE3334PP</t>
  </si>
  <si>
    <t>FFTFIE3335BL</t>
  </si>
  <si>
    <t>FFTFIE3336KH</t>
  </si>
  <si>
    <t>FFTFIE3337BL</t>
  </si>
  <si>
    <t>FFTFIE3338PP</t>
  </si>
  <si>
    <t>FFTFIE3340KH</t>
  </si>
  <si>
    <t>FFTFIE3339BK</t>
  </si>
  <si>
    <t>JILMUE5366NY</t>
  </si>
  <si>
    <t>JILMUE5367RE</t>
  </si>
  <si>
    <t>JILMUE5367YE</t>
  </si>
  <si>
    <t>JILBEE5368BK</t>
  </si>
  <si>
    <t>JILBEE5368NY</t>
  </si>
  <si>
    <t>JILEBE5369KH</t>
  </si>
  <si>
    <t>JILEBE5369GY</t>
  </si>
  <si>
    <t>JILEBE5369NY</t>
  </si>
  <si>
    <t>SMBFIE5352GY</t>
  </si>
  <si>
    <t>SMBFIE3353RE</t>
  </si>
  <si>
    <t>SMBFIE3354BK</t>
  </si>
  <si>
    <t>SMBFIE3854BK</t>
  </si>
  <si>
    <t>SMBFIE5306CL</t>
  </si>
  <si>
    <t>SMBFIE5307PK</t>
  </si>
  <si>
    <t>SMBERE5308BW</t>
  </si>
  <si>
    <t>SMBFIE5355OR</t>
  </si>
  <si>
    <t>SMBFIE5855OR</t>
  </si>
  <si>
    <t>JILMIE3216NY</t>
  </si>
  <si>
    <t>ELSFIE3214GR</t>
  </si>
  <si>
    <t>ELSFIE3221MT</t>
  </si>
  <si>
    <t>JILMIE3011BK</t>
  </si>
  <si>
    <t>JOIMUE5316MT</t>
  </si>
  <si>
    <t>JOIMUE5816MT</t>
  </si>
  <si>
    <t>JOIEBE5317MT</t>
  </si>
  <si>
    <t>JOIEBE5817MT</t>
  </si>
  <si>
    <t>JOIMUE5818BL</t>
  </si>
  <si>
    <t>FFTFIE3210BK</t>
  </si>
  <si>
    <t>FFTFIE3239RE</t>
  </si>
  <si>
    <t>FFTFIE3225AR</t>
  </si>
  <si>
    <t>FFTFIE3228BK</t>
  </si>
  <si>
    <t>FFTFIE3232RE</t>
  </si>
  <si>
    <t>FFTFIE3230BL</t>
  </si>
  <si>
    <t>FFTFIE3229WH</t>
  </si>
  <si>
    <t>FFTFIE3245BK</t>
  </si>
  <si>
    <t>FFTFIE3250RE</t>
  </si>
  <si>
    <t>FFTFIE3240BK</t>
  </si>
  <si>
    <t>FFTFIE3251WH</t>
  </si>
  <si>
    <t>FFTFIE3303RE</t>
  </si>
  <si>
    <t>FFTFIE3241GY</t>
  </si>
  <si>
    <t>FFTFIE3231YE</t>
  </si>
  <si>
    <t>FFTFIE3205RE</t>
  </si>
  <si>
    <t>FFTFIE3304RE</t>
  </si>
  <si>
    <t>FFTFIE3305BL</t>
  </si>
  <si>
    <t>FFTFIE3306BK</t>
  </si>
  <si>
    <t>FFTFIE3307RE</t>
  </si>
  <si>
    <t>FFTFIE3308WH</t>
  </si>
  <si>
    <t>FFTFIE3309BK</t>
  </si>
  <si>
    <t>FFTFIE3310WH</t>
  </si>
  <si>
    <t>FFTFIE3312BK</t>
  </si>
  <si>
    <t>FFTFIE3314NY</t>
  </si>
  <si>
    <t>FFTFIE3315BK</t>
  </si>
  <si>
    <t>SMBBAE3359BK</t>
  </si>
  <si>
    <t>SMBBAE3222GY</t>
  </si>
  <si>
    <t>SMBFLE3203NY</t>
  </si>
  <si>
    <t>SMBFLE3205NY</t>
  </si>
  <si>
    <t>SMBFLE3208BK</t>
  </si>
  <si>
    <t>SMBFLE3241BK</t>
  </si>
  <si>
    <t>ELSFIE3220GY</t>
  </si>
  <si>
    <t>ELSUME3014YE</t>
  </si>
  <si>
    <t>HCUMIE3002KH</t>
  </si>
  <si>
    <t>JILMIE3152KH</t>
  </si>
  <si>
    <t>JILMIE3152NY</t>
  </si>
  <si>
    <t>ELSBPE3101BK</t>
  </si>
  <si>
    <t>ELSBPE3104BK</t>
  </si>
  <si>
    <t>ELSBPE3604BK</t>
  </si>
  <si>
    <t>ELSBPE3602YE</t>
  </si>
  <si>
    <t>ELSBPE3103GR</t>
  </si>
  <si>
    <t>ELSBPE3603GR</t>
  </si>
  <si>
    <t>ELSBPE3611PK</t>
  </si>
  <si>
    <t>ELSBPE3704PK</t>
  </si>
  <si>
    <t>FFTFIE3319BL</t>
  </si>
  <si>
    <t>FFTFIE3316BK</t>
  </si>
  <si>
    <t>FFTFIE3317BK</t>
  </si>
  <si>
    <t>FFTFIE3238BK</t>
  </si>
  <si>
    <t>FFTFIE3244BK</t>
  </si>
  <si>
    <t>FFTFIE3318BL</t>
  </si>
  <si>
    <t>FFTFIE3320GY</t>
  </si>
  <si>
    <t>최초</t>
    <phoneticPr fontId="1" type="noConversion"/>
  </si>
  <si>
    <t>SMBBAE3229NY</t>
  </si>
  <si>
    <t>SMBBAE3230PK</t>
  </si>
  <si>
    <t>SMBFIE3708NY</t>
  </si>
  <si>
    <t>SMBFIE3709PK</t>
  </si>
  <si>
    <t>SMBFIE5360YE</t>
  </si>
  <si>
    <t>SMBFIE5860YE</t>
  </si>
  <si>
    <t>SMBFIE3361NY</t>
  </si>
  <si>
    <t>SMBFIE3861NY</t>
  </si>
  <si>
    <t>SMBFIE3362NY</t>
  </si>
  <si>
    <t>ELSBEE5338MT</t>
  </si>
  <si>
    <t>ELSBEE5838MT</t>
  </si>
  <si>
    <t>ELSBEE5339BL</t>
  </si>
  <si>
    <t>ELSBEE5839BL</t>
  </si>
  <si>
    <t>ELSEBE5340PK</t>
  </si>
  <si>
    <t>ELSEBE5840PK</t>
  </si>
  <si>
    <t>SMBBEE5363RE</t>
  </si>
  <si>
    <t>SMBBEE5863RE</t>
  </si>
  <si>
    <t>SMBFLE3314BU</t>
  </si>
  <si>
    <t>SMBFLE3814BU</t>
  </si>
  <si>
    <t>SMBFLE3315RE</t>
  </si>
  <si>
    <t>SMBFLE3815RE</t>
  </si>
  <si>
    <t>SMBFLE3316BU</t>
  </si>
  <si>
    <t>SMBFLE3816BU</t>
  </si>
  <si>
    <t>SMBFLE3317BL</t>
  </si>
  <si>
    <t>SMBFLE3318BK</t>
  </si>
  <si>
    <t>SMBFLE3319NY</t>
  </si>
  <si>
    <t>SMBFLE3819NY</t>
  </si>
  <si>
    <t>SMBFLE3320GY</t>
  </si>
  <si>
    <t>SMBFLE3321NY</t>
  </si>
  <si>
    <t>SMBFLE3372BK</t>
  </si>
  <si>
    <t>SMBFLE3872BK</t>
  </si>
  <si>
    <t>SMBFLE3323BK</t>
  </si>
  <si>
    <t>SMBBAE3374RE</t>
  </si>
  <si>
    <t>SMBBAE3375GR</t>
  </si>
  <si>
    <t>SMBBAE3376GY</t>
  </si>
  <si>
    <t>SMBBAE3377GY</t>
  </si>
  <si>
    <t>SMBFLE3378BK</t>
  </si>
  <si>
    <t>SMBFLE3878BK</t>
  </si>
  <si>
    <t>SMBFLE3329NY</t>
  </si>
  <si>
    <t>SMBFLE3330GY</t>
  </si>
  <si>
    <t>SMBFLE3331GY</t>
  </si>
  <si>
    <t>ELSBAE3341BK</t>
  </si>
  <si>
    <t>ELSBAE3841BK</t>
  </si>
  <si>
    <t>ELSBAE3341RE</t>
  </si>
  <si>
    <t>ELSBAE3841RE</t>
  </si>
  <si>
    <t>BRAND (3자리)</t>
    <phoneticPr fontId="4" type="noConversion"/>
  </si>
  <si>
    <t>ITEM (2자리)</t>
    <phoneticPr fontId="4" type="noConversion"/>
  </si>
  <si>
    <t>YEAR (2자리)</t>
    <phoneticPr fontId="4" type="noConversion"/>
  </si>
  <si>
    <t>SEASON (1자리)</t>
    <phoneticPr fontId="4" type="noConversion"/>
  </si>
  <si>
    <t>STNO (3자리)</t>
    <phoneticPr fontId="4" type="noConversion"/>
  </si>
  <si>
    <t>COLOR (2자리)</t>
    <phoneticPr fontId="4" type="noConversion"/>
  </si>
  <si>
    <t>SIZE (3자리)</t>
    <phoneticPr fontId="4" type="noConversion"/>
  </si>
  <si>
    <t>분류</t>
    <phoneticPr fontId="4" type="noConversion"/>
  </si>
  <si>
    <t>성별</t>
    <phoneticPr fontId="4" type="noConversion"/>
  </si>
  <si>
    <t>원산지</t>
    <phoneticPr fontId="4" type="noConversion"/>
  </si>
  <si>
    <t>구코드</t>
    <phoneticPr fontId="4" type="noConversion"/>
  </si>
  <si>
    <t>코드</t>
    <phoneticPr fontId="4" type="noConversion"/>
  </si>
  <si>
    <t>코드명</t>
    <phoneticPr fontId="4" type="noConversion"/>
  </si>
  <si>
    <t>그룹</t>
    <phoneticPr fontId="4" type="noConversion"/>
  </si>
  <si>
    <t>구분</t>
    <phoneticPr fontId="4" type="noConversion"/>
  </si>
  <si>
    <t>B/M/C</t>
    <phoneticPr fontId="4" type="noConversion"/>
  </si>
  <si>
    <t>구코드명</t>
    <phoneticPr fontId="4" type="noConversion"/>
  </si>
  <si>
    <t>TYPE</t>
    <phoneticPr fontId="4" type="noConversion"/>
  </si>
  <si>
    <t>의류외</t>
    <phoneticPr fontId="4" type="noConversion"/>
  </si>
  <si>
    <t>모자</t>
    <phoneticPr fontId="4" type="noConversion"/>
  </si>
  <si>
    <t>0</t>
    <phoneticPr fontId="4" type="noConversion"/>
  </si>
  <si>
    <t>SS</t>
    <phoneticPr fontId="4" type="noConversion"/>
  </si>
  <si>
    <t>IN</t>
    <phoneticPr fontId="4" type="noConversion"/>
  </si>
  <si>
    <t>인도네시아</t>
    <phoneticPr fontId="4" type="noConversion"/>
  </si>
  <si>
    <t>KBO</t>
    <phoneticPr fontId="4" type="noConversion"/>
  </si>
  <si>
    <t>3</t>
    <phoneticPr fontId="4" type="noConversion"/>
  </si>
  <si>
    <t>FW</t>
    <phoneticPr fontId="4" type="noConversion"/>
  </si>
  <si>
    <t>BG</t>
    <phoneticPr fontId="4" type="noConversion"/>
  </si>
  <si>
    <t>방글라데시</t>
    <phoneticPr fontId="4" type="noConversion"/>
  </si>
  <si>
    <t>DE</t>
    <phoneticPr fontId="4" type="noConversion"/>
  </si>
  <si>
    <t>독일</t>
    <phoneticPr fontId="4" type="noConversion"/>
  </si>
  <si>
    <t>의류외</t>
    <phoneticPr fontId="4" type="noConversion"/>
  </si>
  <si>
    <t>모자</t>
    <phoneticPr fontId="4" type="noConversion"/>
  </si>
  <si>
    <t>FW</t>
    <phoneticPr fontId="4" type="noConversion"/>
  </si>
  <si>
    <t>AT</t>
    <phoneticPr fontId="4" type="noConversion"/>
  </si>
  <si>
    <t>오스트리아</t>
    <phoneticPr fontId="4" type="noConversion"/>
  </si>
  <si>
    <t>KBO</t>
    <phoneticPr fontId="4" type="noConversion"/>
  </si>
  <si>
    <t>BE</t>
    <phoneticPr fontId="4" type="noConversion"/>
  </si>
  <si>
    <t>벨기에</t>
    <phoneticPr fontId="4" type="noConversion"/>
  </si>
  <si>
    <t>KBO</t>
    <phoneticPr fontId="4" type="noConversion"/>
  </si>
  <si>
    <t>의류외</t>
    <phoneticPr fontId="4" type="noConversion"/>
  </si>
  <si>
    <t>모자</t>
    <phoneticPr fontId="4" type="noConversion"/>
  </si>
  <si>
    <t>FW</t>
    <phoneticPr fontId="4" type="noConversion"/>
  </si>
  <si>
    <t>CH</t>
    <phoneticPr fontId="4" type="noConversion"/>
  </si>
  <si>
    <t>스위스</t>
    <phoneticPr fontId="4" type="noConversion"/>
  </si>
  <si>
    <t>2</t>
    <phoneticPr fontId="4" type="noConversion"/>
  </si>
  <si>
    <t>ES</t>
    <phoneticPr fontId="4" type="noConversion"/>
  </si>
  <si>
    <t>스페인</t>
    <phoneticPr fontId="4" type="noConversion"/>
  </si>
  <si>
    <t>FR</t>
    <phoneticPr fontId="4" type="noConversion"/>
  </si>
  <si>
    <t>프랑스</t>
    <phoneticPr fontId="4" type="noConversion"/>
  </si>
  <si>
    <t>MLB</t>
    <phoneticPr fontId="4" type="noConversion"/>
  </si>
  <si>
    <t>GR</t>
    <phoneticPr fontId="4" type="noConversion"/>
  </si>
  <si>
    <t>영국</t>
    <phoneticPr fontId="4" type="noConversion"/>
  </si>
  <si>
    <t>MLB</t>
    <phoneticPr fontId="4" type="noConversion"/>
  </si>
  <si>
    <t>2</t>
    <phoneticPr fontId="4" type="noConversion"/>
  </si>
  <si>
    <t>IT</t>
    <phoneticPr fontId="4" type="noConversion"/>
  </si>
  <si>
    <t>이탈리아</t>
    <phoneticPr fontId="4" type="noConversion"/>
  </si>
  <si>
    <t>PI</t>
    <phoneticPr fontId="4" type="noConversion"/>
  </si>
  <si>
    <t>필리핀</t>
    <phoneticPr fontId="4" type="noConversion"/>
  </si>
  <si>
    <t>PT</t>
    <phoneticPr fontId="4" type="noConversion"/>
  </si>
  <si>
    <t>포르투갈</t>
    <phoneticPr fontId="4" type="noConversion"/>
  </si>
  <si>
    <t>TW</t>
    <phoneticPr fontId="4" type="noConversion"/>
  </si>
  <si>
    <t>대만</t>
    <phoneticPr fontId="4" type="noConversion"/>
  </si>
  <si>
    <t>3</t>
    <phoneticPr fontId="4" type="noConversion"/>
  </si>
  <si>
    <t>4</t>
    <phoneticPr fontId="4" type="noConversion"/>
  </si>
  <si>
    <t>ACC</t>
    <phoneticPr fontId="4" type="noConversion"/>
  </si>
  <si>
    <t>SHOT SLEEVES</t>
    <phoneticPr fontId="4" type="noConversion"/>
  </si>
  <si>
    <t>의류</t>
    <phoneticPr fontId="4" type="noConversion"/>
  </si>
  <si>
    <t>LONG SLEEVES</t>
    <phoneticPr fontId="4" type="noConversion"/>
  </si>
  <si>
    <t>HOODED T-SHIRTS</t>
    <phoneticPr fontId="4" type="noConversion"/>
  </si>
  <si>
    <t>SPORTS</t>
    <phoneticPr fontId="4" type="noConversion"/>
  </si>
  <si>
    <t>B</t>
    <phoneticPr fontId="4" type="noConversion"/>
  </si>
  <si>
    <t>HOODED JUMPER</t>
    <phoneticPr fontId="4" type="noConversion"/>
  </si>
  <si>
    <t>의류</t>
    <phoneticPr fontId="4" type="noConversion"/>
  </si>
  <si>
    <t>JUMPER</t>
    <phoneticPr fontId="4" type="noConversion"/>
  </si>
  <si>
    <t>의류</t>
    <phoneticPr fontId="4" type="noConversion"/>
  </si>
  <si>
    <t>신발</t>
    <phoneticPr fontId="4" type="noConversion"/>
  </si>
  <si>
    <t>BACK PACK</t>
    <phoneticPr fontId="4" type="noConversion"/>
  </si>
  <si>
    <t>가방</t>
    <phoneticPr fontId="4" type="noConversion"/>
  </si>
  <si>
    <t>BBC</t>
    <phoneticPr fontId="4" type="noConversion"/>
  </si>
  <si>
    <t>NBA BOSTON CELTICS</t>
    <phoneticPr fontId="4" type="noConversion"/>
  </si>
  <si>
    <t>NBA</t>
    <phoneticPr fontId="4" type="noConversion"/>
  </si>
  <si>
    <t>JS</t>
    <phoneticPr fontId="4" type="noConversion"/>
  </si>
  <si>
    <t>JUMPSUIT</t>
    <phoneticPr fontId="4" type="noConversion"/>
  </si>
  <si>
    <t>BCB</t>
    <phoneticPr fontId="4" type="noConversion"/>
  </si>
  <si>
    <t>NBA CHICAGO BULLS</t>
    <phoneticPr fontId="4" type="noConversion"/>
  </si>
  <si>
    <t>SB</t>
    <phoneticPr fontId="4" type="noConversion"/>
  </si>
  <si>
    <t>SHOULDER BAG</t>
    <phoneticPr fontId="4" type="noConversion"/>
  </si>
  <si>
    <t>PT</t>
    <phoneticPr fontId="4" type="noConversion"/>
  </si>
  <si>
    <t>PANTS</t>
    <phoneticPr fontId="4" type="noConversion"/>
  </si>
  <si>
    <t>STREET</t>
    <phoneticPr fontId="4" type="noConversion"/>
  </si>
  <si>
    <t>F-HAT</t>
    <phoneticPr fontId="4" type="noConversion"/>
  </si>
  <si>
    <t>GRL</t>
    <phoneticPr fontId="4" type="noConversion"/>
  </si>
  <si>
    <t>GRACEHAT(LUI MARCHE)</t>
    <phoneticPr fontId="4" type="noConversion"/>
  </si>
  <si>
    <t>GRH</t>
    <phoneticPr fontId="4" type="noConversion"/>
  </si>
  <si>
    <t>GRACEHAT(DISTRIBUTION)</t>
    <phoneticPr fontId="4" type="noConversion"/>
  </si>
  <si>
    <t>GOORIN BROTHERS</t>
    <phoneticPr fontId="4" type="noConversion"/>
  </si>
  <si>
    <t>GOL</t>
    <phoneticPr fontId="4" type="noConversion"/>
  </si>
  <si>
    <t>GOORIN BROTHERS(LUI MARCHE)</t>
    <phoneticPr fontId="4" type="noConversion"/>
  </si>
  <si>
    <t>GOD</t>
    <phoneticPr fontId="4" type="noConversion"/>
  </si>
  <si>
    <t>GOORIN BROTHERS(DISTRIBUTION)</t>
    <phoneticPr fontId="4" type="noConversion"/>
  </si>
  <si>
    <t>TRUE RELIGION</t>
  </si>
  <si>
    <t>F-CAP</t>
    <phoneticPr fontId="4" type="noConversion"/>
  </si>
  <si>
    <t>TRL</t>
    <phoneticPr fontId="4" type="noConversion"/>
  </si>
  <si>
    <t>TRUE RELIGION(LUI MARCHE)</t>
    <phoneticPr fontId="4" type="noConversion"/>
  </si>
  <si>
    <t>SPORTS</t>
    <phoneticPr fontId="4" type="noConversion"/>
  </si>
  <si>
    <t>AKU</t>
    <phoneticPr fontId="4" type="noConversion"/>
  </si>
  <si>
    <t>AKURTZ</t>
    <phoneticPr fontId="4" type="noConversion"/>
  </si>
  <si>
    <t>B</t>
    <phoneticPr fontId="4" type="noConversion"/>
  </si>
  <si>
    <t>NHL</t>
    <phoneticPr fontId="4" type="noConversion"/>
  </si>
  <si>
    <t>JRC</t>
    <phoneticPr fontId="4" type="noConversion"/>
  </si>
  <si>
    <t>JOYRICH</t>
    <phoneticPr fontId="4" type="noConversion"/>
  </si>
  <si>
    <t>STREET</t>
    <phoneticPr fontId="4" type="noConversion"/>
  </si>
  <si>
    <t>BRH</t>
    <phoneticPr fontId="4" type="noConversion"/>
  </si>
  <si>
    <t>BEARHEAD</t>
    <phoneticPr fontId="4" type="noConversion"/>
  </si>
  <si>
    <t>ZEL</t>
    <phoneticPr fontId="4" type="noConversion"/>
  </si>
  <si>
    <t>HATS ON</t>
    <phoneticPr fontId="4" type="noConversion"/>
  </si>
  <si>
    <t>F-HAT</t>
    <phoneticPr fontId="4" type="noConversion"/>
  </si>
  <si>
    <t>KRH</t>
    <phoneticPr fontId="4" type="noConversion"/>
  </si>
  <si>
    <t>KURIHARA</t>
    <phoneticPr fontId="4" type="noConversion"/>
  </si>
  <si>
    <t>BRL</t>
    <phoneticPr fontId="4" type="noConversion"/>
  </si>
  <si>
    <t>BRONER HATS</t>
    <phoneticPr fontId="4" type="noConversion"/>
  </si>
  <si>
    <t>CDL</t>
    <phoneticPr fontId="4" type="noConversion"/>
  </si>
  <si>
    <t>CODELLO</t>
    <phoneticPr fontId="4" type="noConversion"/>
  </si>
  <si>
    <t>ACC</t>
    <phoneticPr fontId="4" type="noConversion"/>
  </si>
  <si>
    <t>OBY</t>
    <phoneticPr fontId="4" type="noConversion"/>
  </si>
  <si>
    <t>OVERSEA BUYING (LUI MARCHE)</t>
    <phoneticPr fontId="4" type="noConversion"/>
  </si>
  <si>
    <t>SBG</t>
    <phoneticPr fontId="4" type="noConversion"/>
  </si>
  <si>
    <t>SEEBERGER</t>
    <phoneticPr fontId="4" type="noConversion"/>
  </si>
  <si>
    <t>ZZ</t>
    <phoneticPr fontId="4" type="noConversion"/>
  </si>
  <si>
    <t>EGN</t>
    <phoneticPr fontId="4" type="noConversion"/>
  </si>
  <si>
    <t>EUGENIA KIM</t>
    <phoneticPr fontId="4" type="noConversion"/>
  </si>
  <si>
    <t>GRV</t>
    <phoneticPr fontId="4" type="noConversion"/>
  </si>
  <si>
    <t>GREVI</t>
    <phoneticPr fontId="4" type="noConversion"/>
  </si>
  <si>
    <t>M</t>
    <phoneticPr fontId="4" type="noConversion"/>
  </si>
  <si>
    <t>JILL BY JILL STUART</t>
    <phoneticPr fontId="4" type="noConversion"/>
  </si>
  <si>
    <t>F-CAP</t>
    <phoneticPr fontId="4" type="noConversion"/>
  </si>
  <si>
    <t>B1A</t>
    <phoneticPr fontId="4" type="noConversion"/>
  </si>
  <si>
    <t>B1A4</t>
    <phoneticPr fontId="4" type="noConversion"/>
  </si>
  <si>
    <t>BMD</t>
    <phoneticPr fontId="4" type="noConversion"/>
  </si>
  <si>
    <t>BLACK MOOD</t>
    <phoneticPr fontId="4" type="noConversion"/>
  </si>
  <si>
    <t>HCU</t>
    <phoneticPr fontId="4" type="noConversion"/>
  </si>
  <si>
    <t>H.COUSTIC</t>
    <phoneticPr fontId="4" type="noConversion"/>
  </si>
  <si>
    <t>NOV</t>
    <phoneticPr fontId="4" type="noConversion"/>
  </si>
  <si>
    <t>NOVENT</t>
    <phoneticPr fontId="4" type="noConversion"/>
  </si>
  <si>
    <t>SUPER MASSIVE BOUND</t>
    <phoneticPr fontId="4" type="noConversion"/>
  </si>
  <si>
    <t>VBL</t>
    <phoneticPr fontId="4" type="noConversion"/>
  </si>
  <si>
    <t>VITAL BLUE</t>
    <phoneticPr fontId="4" type="noConversion"/>
  </si>
  <si>
    <t>BRO</t>
    <phoneticPr fontId="4" type="noConversion"/>
  </si>
  <si>
    <t>BROWN SQURE</t>
    <phoneticPr fontId="4" type="noConversion"/>
  </si>
  <si>
    <t>JOI</t>
    <phoneticPr fontId="4" type="noConversion"/>
  </si>
  <si>
    <t>JOIE BETE</t>
    <phoneticPr fontId="4" type="noConversion"/>
  </si>
  <si>
    <t>NAA</t>
    <phoneticPr fontId="4" type="noConversion"/>
  </si>
  <si>
    <t>NCAA</t>
    <phoneticPr fontId="4" type="noConversion"/>
  </si>
  <si>
    <t>UCL</t>
    <phoneticPr fontId="4" type="noConversion"/>
  </si>
  <si>
    <t>AND</t>
    <phoneticPr fontId="4" type="noConversion"/>
  </si>
  <si>
    <t>ADEEN</t>
    <phoneticPr fontId="4" type="noConversion"/>
  </si>
  <si>
    <t>URB</t>
    <phoneticPr fontId="4" type="noConversion"/>
  </si>
  <si>
    <t>URBAN SWAGGER</t>
    <phoneticPr fontId="4" type="noConversion"/>
  </si>
  <si>
    <t>JST</t>
    <phoneticPr fontId="4" type="noConversion"/>
  </si>
  <si>
    <t>JILLSTUART</t>
    <phoneticPr fontId="4" type="noConversion"/>
  </si>
  <si>
    <t>JLL</t>
    <phoneticPr fontId="4" type="noConversion"/>
  </si>
  <si>
    <t>JILL BY JILLSTUART</t>
    <phoneticPr fontId="4" type="noConversion"/>
  </si>
  <si>
    <t>BEL</t>
    <phoneticPr fontId="4" type="noConversion"/>
  </si>
  <si>
    <t>BELLOPOLLY</t>
    <phoneticPr fontId="4" type="noConversion"/>
  </si>
  <si>
    <t>C</t>
    <phoneticPr fontId="4" type="noConversion"/>
  </si>
  <si>
    <t>FFT</t>
    <phoneticPr fontId="4" type="noConversion"/>
  </si>
  <si>
    <t>FLAT FITTY</t>
    <phoneticPr fontId="4" type="noConversion"/>
  </si>
  <si>
    <t>URB</t>
  </si>
  <si>
    <t>최초</t>
    <phoneticPr fontId="1" type="noConversion"/>
  </si>
</sst>
</file>

<file path=xl/styles.xml><?xml version="1.0" encoding="utf-8"?>
<styleSheet xmlns="http://schemas.openxmlformats.org/spreadsheetml/2006/main">
  <numFmts count="10">
    <numFmt numFmtId="42" formatCode="_-&quot;₩&quot;* #,##0_-;\-&quot;₩&quot;* #,##0_-;_-&quot;₩&quot;* &quot;-&quot;_-;_-@_-"/>
    <numFmt numFmtId="41" formatCode="_-* #,##0_-;\-* #,##0_-;_-* &quot;-&quot;_-;_-@_-"/>
    <numFmt numFmtId="176" formatCode="_(* #,##0_);_(* \(#,##0\);_(* &quot;-&quot;_);_(@_)"/>
    <numFmt numFmtId="177" formatCode="&quot;₩&quot;#,##0"/>
    <numFmt numFmtId="178" formatCode="m&quot;/&quot;d;@"/>
    <numFmt numFmtId="179" formatCode="_ * #,##0_ ;_ * \-#,##0_ ;_ * &quot;-&quot;_ ;_ @_ "/>
    <numFmt numFmtId="180" formatCode="_ * #,##0.00_ ;_ * \-#,##0.00_ ;_ * &quot;-&quot;??_ ;_ @_ "/>
    <numFmt numFmtId="181" formatCode="_(&quot;$&quot;* #,##0.00_);_(&quot;$&quot;* \(#,##0.00\);_(&quot;$&quot;* &quot;-&quot;??_);_(@_)"/>
    <numFmt numFmtId="182" formatCode="#,##0,,"/>
    <numFmt numFmtId="183" formatCode="mm\/dd"/>
  </numFmts>
  <fonts count="6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돋움체"/>
      <family val="3"/>
      <charset val="129"/>
    </font>
    <font>
      <b/>
      <sz val="11"/>
      <name val="돋움체"/>
      <family val="3"/>
      <charset val="129"/>
    </font>
    <font>
      <sz val="11"/>
      <color rgb="FFFF0000"/>
      <name val="돋움체"/>
      <family val="3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6"/>
      <name val="HY헤드라인M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4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indexed="65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thin">
        <color indexed="65"/>
      </top>
      <bottom/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</borders>
  <cellStyleXfs count="2815">
    <xf numFmtId="0" fontId="0" fillId="0" borderId="0">
      <alignment vertical="center"/>
    </xf>
    <xf numFmtId="0" fontId="7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15" borderId="0" applyNumberFormat="0" applyBorder="0" applyAlignment="0" applyProtection="0"/>
    <xf numFmtId="0" fontId="12" fillId="20" borderId="0" applyNumberFormat="0" applyBorder="0" applyAlignment="0" applyProtection="0"/>
    <xf numFmtId="0" fontId="12" fillId="23" borderId="0" applyNumberFormat="0" applyBorder="0" applyAlignment="0" applyProtection="0"/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9" borderId="0" applyNumberFormat="0" applyBorder="0" applyAlignment="0" applyProtection="0"/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8" borderId="23" applyNumberFormat="0" applyAlignment="0" applyProtection="0">
      <alignment vertical="center"/>
    </xf>
    <xf numFmtId="0" fontId="22" fillId="18" borderId="23" applyNumberFormat="0" applyAlignment="0" applyProtection="0">
      <alignment vertical="center"/>
    </xf>
    <xf numFmtId="0" fontId="22" fillId="18" borderId="23" applyNumberFormat="0" applyAlignment="0" applyProtection="0">
      <alignment vertical="center"/>
    </xf>
    <xf numFmtId="0" fontId="22" fillId="18" borderId="23" applyNumberFormat="0" applyAlignment="0" applyProtection="0">
      <alignment vertical="center"/>
    </xf>
    <xf numFmtId="0" fontId="22" fillId="18" borderId="23" applyNumberFormat="0" applyAlignment="0" applyProtection="0">
      <alignment vertical="center"/>
    </xf>
    <xf numFmtId="0" fontId="22" fillId="18" borderId="23" applyNumberFormat="0" applyAlignment="0" applyProtection="0">
      <alignment vertical="center"/>
    </xf>
    <xf numFmtId="0" fontId="22" fillId="18" borderId="23" applyNumberFormat="0" applyAlignment="0" applyProtection="0">
      <alignment vertical="center"/>
    </xf>
    <xf numFmtId="0" fontId="22" fillId="18" borderId="23" applyNumberFormat="0" applyAlignment="0" applyProtection="0">
      <alignment vertical="center"/>
    </xf>
    <xf numFmtId="0" fontId="22" fillId="18" borderId="23" applyNumberFormat="0" applyAlignment="0" applyProtection="0">
      <alignment vertical="center"/>
    </xf>
    <xf numFmtId="0" fontId="22" fillId="18" borderId="23" applyNumberFormat="0" applyAlignment="0" applyProtection="0">
      <alignment vertical="center"/>
    </xf>
    <xf numFmtId="0" fontId="22" fillId="18" borderId="23" applyNumberFormat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8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30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1" fillId="0" borderId="0">
      <alignment vertical="center"/>
    </xf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8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8" fillId="0" borderId="0"/>
    <xf numFmtId="0" fontId="29" fillId="0" borderId="0"/>
    <xf numFmtId="0" fontId="29" fillId="0" borderId="0"/>
    <xf numFmtId="0" fontId="27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9" fillId="0" borderId="0"/>
    <xf numFmtId="0" fontId="11" fillId="0" borderId="0">
      <alignment vertical="center"/>
    </xf>
    <xf numFmtId="0" fontId="27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8" fillId="0" borderId="0"/>
    <xf numFmtId="0" fontId="30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0" fillId="0" borderId="0">
      <alignment vertical="center"/>
    </xf>
    <xf numFmtId="0" fontId="28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176" fontId="31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0" fontId="32" fillId="17" borderId="23" applyNumberFormat="0" applyAlignment="0" applyProtection="0">
      <alignment vertical="center"/>
    </xf>
    <xf numFmtId="0" fontId="32" fillId="17" borderId="23" applyNumberFormat="0" applyAlignment="0" applyProtection="0">
      <alignment vertical="center"/>
    </xf>
    <xf numFmtId="0" fontId="32" fillId="17" borderId="23" applyNumberFormat="0" applyAlignment="0" applyProtection="0">
      <alignment vertical="center"/>
    </xf>
    <xf numFmtId="0" fontId="32" fillId="17" borderId="23" applyNumberFormat="0" applyAlignment="0" applyProtection="0">
      <alignment vertical="center"/>
    </xf>
    <xf numFmtId="0" fontId="32" fillId="17" borderId="23" applyNumberFormat="0" applyAlignment="0" applyProtection="0">
      <alignment vertical="center"/>
    </xf>
    <xf numFmtId="0" fontId="32" fillId="17" borderId="23" applyNumberFormat="0" applyAlignment="0" applyProtection="0">
      <alignment vertical="center"/>
    </xf>
    <xf numFmtId="0" fontId="32" fillId="17" borderId="23" applyNumberFormat="0" applyAlignment="0" applyProtection="0">
      <alignment vertical="center"/>
    </xf>
    <xf numFmtId="0" fontId="32" fillId="17" borderId="23" applyNumberFormat="0" applyAlignment="0" applyProtection="0">
      <alignment vertical="center"/>
    </xf>
    <xf numFmtId="0" fontId="32" fillId="17" borderId="23" applyNumberFormat="0" applyAlignment="0" applyProtection="0">
      <alignment vertical="center"/>
    </xf>
    <xf numFmtId="0" fontId="32" fillId="17" borderId="23" applyNumberFormat="0" applyAlignment="0" applyProtection="0">
      <alignment vertical="center"/>
    </xf>
    <xf numFmtId="0" fontId="32" fillId="17" borderId="23" applyNumberFormat="0" applyAlignment="0" applyProtection="0">
      <alignment vertical="center"/>
    </xf>
    <xf numFmtId="0" fontId="30" fillId="19" borderId="24" applyNumberFormat="0" applyFont="0" applyAlignment="0" applyProtection="0">
      <alignment vertical="center"/>
    </xf>
    <xf numFmtId="0" fontId="30" fillId="19" borderId="24" applyNumberFormat="0" applyFont="0" applyAlignment="0" applyProtection="0">
      <alignment vertical="center"/>
    </xf>
    <xf numFmtId="0" fontId="30" fillId="19" borderId="24" applyNumberFormat="0" applyFont="0" applyAlignment="0" applyProtection="0">
      <alignment vertical="center"/>
    </xf>
    <xf numFmtId="0" fontId="30" fillId="19" borderId="24" applyNumberFormat="0" applyFont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179" fontId="30" fillId="0" borderId="0" applyFont="0" applyFill="0" applyBorder="0" applyAlignment="0" applyProtection="0">
      <alignment vertical="center"/>
    </xf>
    <xf numFmtId="179" fontId="30" fillId="0" borderId="0" applyFont="0" applyFill="0" applyBorder="0" applyAlignment="0" applyProtection="0">
      <alignment vertical="center"/>
    </xf>
    <xf numFmtId="179" fontId="30" fillId="0" borderId="0" applyFont="0" applyFill="0" applyBorder="0" applyAlignment="0" applyProtection="0">
      <alignment vertical="center"/>
    </xf>
    <xf numFmtId="179" fontId="30" fillId="0" borderId="0" applyFont="0" applyFill="0" applyBorder="0" applyAlignment="0" applyProtection="0">
      <alignment vertical="center"/>
    </xf>
    <xf numFmtId="179" fontId="30" fillId="0" borderId="0" applyFont="0" applyFill="0" applyBorder="0" applyAlignment="0" applyProtection="0">
      <alignment vertical="center"/>
    </xf>
    <xf numFmtId="0" fontId="35" fillId="18" borderId="26" applyNumberFormat="0" applyAlignment="0" applyProtection="0">
      <alignment vertical="center"/>
    </xf>
    <xf numFmtId="0" fontId="35" fillId="18" borderId="26" applyNumberFormat="0" applyAlignment="0" applyProtection="0">
      <alignment vertical="center"/>
    </xf>
    <xf numFmtId="0" fontId="35" fillId="18" borderId="26" applyNumberFormat="0" applyAlignment="0" applyProtection="0">
      <alignment vertical="center"/>
    </xf>
    <xf numFmtId="0" fontId="35" fillId="18" borderId="26" applyNumberFormat="0" applyAlignment="0" applyProtection="0">
      <alignment vertical="center"/>
    </xf>
    <xf numFmtId="0" fontId="35" fillId="18" borderId="26" applyNumberFormat="0" applyAlignment="0" applyProtection="0">
      <alignment vertical="center"/>
    </xf>
    <xf numFmtId="0" fontId="35" fillId="18" borderId="26" applyNumberFormat="0" applyAlignment="0" applyProtection="0">
      <alignment vertical="center"/>
    </xf>
    <xf numFmtId="0" fontId="35" fillId="18" borderId="26" applyNumberFormat="0" applyAlignment="0" applyProtection="0">
      <alignment vertical="center"/>
    </xf>
    <xf numFmtId="0" fontId="35" fillId="18" borderId="26" applyNumberFormat="0" applyAlignment="0" applyProtection="0">
      <alignment vertical="center"/>
    </xf>
    <xf numFmtId="0" fontId="35" fillId="18" borderId="26" applyNumberFormat="0" applyAlignment="0" applyProtection="0">
      <alignment vertical="center"/>
    </xf>
    <xf numFmtId="0" fontId="35" fillId="18" borderId="26" applyNumberFormat="0" applyAlignment="0" applyProtection="0">
      <alignment vertical="center"/>
    </xf>
    <xf numFmtId="0" fontId="35" fillId="18" borderId="26" applyNumberFormat="0" applyAlignment="0" applyProtection="0">
      <alignment vertical="center"/>
    </xf>
    <xf numFmtId="179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/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/>
    <xf numFmtId="42" fontId="26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/>
    <xf numFmtId="42" fontId="26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/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181" fontId="29" fillId="0" borderId="0" applyFont="0" applyFill="0" applyBorder="0" applyAlignment="0" applyProtection="0"/>
    <xf numFmtId="0" fontId="37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6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7" fillId="0" borderId="0"/>
    <xf numFmtId="0" fontId="37" fillId="0" borderId="0"/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6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0" borderId="0"/>
    <xf numFmtId="0" fontId="11" fillId="0" borderId="0">
      <alignment vertical="center"/>
    </xf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37" fillId="0" borderId="0"/>
    <xf numFmtId="0" fontId="13" fillId="0" borderId="0" applyAlignment="0">
      <alignment vertical="top" wrapText="1"/>
      <protection locked="0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26" fillId="0" borderId="0">
      <alignment vertical="center"/>
    </xf>
    <xf numFmtId="0" fontId="29" fillId="0" borderId="0"/>
    <xf numFmtId="0" fontId="29" fillId="0" borderId="0"/>
    <xf numFmtId="0" fontId="26" fillId="0" borderId="0">
      <alignment vertical="center"/>
    </xf>
    <xf numFmtId="0" fontId="1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0" borderId="0"/>
    <xf numFmtId="0" fontId="26" fillId="0" borderId="0">
      <alignment vertical="center"/>
    </xf>
    <xf numFmtId="0" fontId="31" fillId="0" borderId="0"/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8" fillId="0" borderId="0"/>
    <xf numFmtId="0" fontId="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1" fillId="0" borderId="0"/>
    <xf numFmtId="0" fontId="26" fillId="0" borderId="0">
      <alignment vertical="center"/>
    </xf>
    <xf numFmtId="0" fontId="31" fillId="0" borderId="0"/>
    <xf numFmtId="0" fontId="26" fillId="0" borderId="0">
      <alignment vertical="center"/>
    </xf>
    <xf numFmtId="0" fontId="31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26" fillId="0" borderId="0">
      <alignment vertical="center"/>
    </xf>
    <xf numFmtId="0" fontId="26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7" fillId="0" borderId="0"/>
    <xf numFmtId="0" fontId="37" fillId="0" borderId="0"/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/>
    <xf numFmtId="0" fontId="29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/>
    <xf numFmtId="0" fontId="26" fillId="0" borderId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5" fillId="30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33" borderId="0" applyNumberFormat="0" applyBorder="0" applyAlignment="0" applyProtection="0"/>
    <xf numFmtId="0" fontId="40" fillId="13" borderId="0" applyNumberFormat="0" applyBorder="0" applyAlignment="0" applyProtection="0"/>
    <xf numFmtId="0" fontId="41" fillId="24" borderId="23" applyNumberFormat="0" applyAlignment="0" applyProtection="0"/>
    <xf numFmtId="0" fontId="42" fillId="34" borderId="27" applyNumberFormat="0" applyAlignment="0" applyProtection="0"/>
    <xf numFmtId="0" fontId="43" fillId="0" borderId="0" applyNumberFormat="0" applyFill="0" applyBorder="0" applyAlignment="0" applyProtection="0"/>
    <xf numFmtId="0" fontId="44" fillId="14" borderId="0" applyNumberFormat="0" applyBorder="0" applyAlignment="0" applyProtection="0"/>
    <xf numFmtId="0" fontId="45" fillId="0" borderId="28" applyNumberFormat="0" applyFill="0" applyAlignment="0" applyProtection="0"/>
    <xf numFmtId="0" fontId="46" fillId="0" borderId="21" applyNumberFormat="0" applyFill="0" applyAlignment="0" applyProtection="0"/>
    <xf numFmtId="0" fontId="47" fillId="0" borderId="29" applyNumberFormat="0" applyFill="0" applyAlignment="0" applyProtection="0"/>
    <xf numFmtId="0" fontId="47" fillId="0" borderId="0" applyNumberFormat="0" applyFill="0" applyBorder="0" applyAlignment="0" applyProtection="0"/>
    <xf numFmtId="0" fontId="48" fillId="17" borderId="23" applyNumberFormat="0" applyAlignment="0" applyProtection="0"/>
    <xf numFmtId="0" fontId="49" fillId="0" borderId="30"/>
    <xf numFmtId="0" fontId="50" fillId="0" borderId="31" applyNumberFormat="0" applyFill="0" applyAlignment="0" applyProtection="0"/>
    <xf numFmtId="0" fontId="51" fillId="25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2" fillId="19" borderId="24" applyNumberFormat="0" applyFont="0" applyAlignment="0" applyProtection="0"/>
    <xf numFmtId="0" fontId="52" fillId="24" borderId="26" applyNumberFormat="0" applyAlignment="0" applyProtection="0"/>
    <xf numFmtId="9" fontId="29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32" applyNumberFormat="0" applyFill="0" applyAlignment="0" applyProtection="0"/>
    <xf numFmtId="0" fontId="55" fillId="0" borderId="0" applyNumberFormat="0" applyFill="0" applyBorder="0" applyAlignment="0" applyProtection="0"/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34" borderId="27" applyNumberFormat="0" applyAlignment="0" applyProtection="0">
      <alignment vertical="center"/>
    </xf>
    <xf numFmtId="0" fontId="57" fillId="34" borderId="27" applyNumberFormat="0" applyAlignment="0" applyProtection="0">
      <alignment vertical="center"/>
    </xf>
    <xf numFmtId="0" fontId="57" fillId="34" borderId="27" applyNumberFormat="0" applyAlignment="0" applyProtection="0">
      <alignment vertical="center"/>
    </xf>
    <xf numFmtId="0" fontId="57" fillId="34" borderId="27" applyNumberFormat="0" applyAlignment="0" applyProtection="0">
      <alignment vertical="center"/>
    </xf>
    <xf numFmtId="0" fontId="57" fillId="34" borderId="27" applyNumberFormat="0" applyAlignment="0" applyProtection="0">
      <alignment vertical="center"/>
    </xf>
    <xf numFmtId="0" fontId="57" fillId="34" borderId="27" applyNumberFormat="0" applyAlignment="0" applyProtection="0">
      <alignment vertical="center"/>
    </xf>
    <xf numFmtId="0" fontId="57" fillId="34" borderId="27" applyNumberFormat="0" applyAlignment="0" applyProtection="0">
      <alignment vertical="center"/>
    </xf>
    <xf numFmtId="0" fontId="57" fillId="34" borderId="27" applyNumberFormat="0" applyAlignment="0" applyProtection="0">
      <alignment vertical="center"/>
    </xf>
    <xf numFmtId="0" fontId="57" fillId="34" borderId="27" applyNumberFormat="0" applyAlignment="0" applyProtection="0">
      <alignment vertical="center"/>
    </xf>
    <xf numFmtId="0" fontId="57" fillId="34" borderId="27" applyNumberFormat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9" fillId="19" borderId="24" applyNumberFormat="0" applyFont="0" applyAlignment="0" applyProtection="0">
      <alignment vertical="center"/>
    </xf>
    <xf numFmtId="0" fontId="59" fillId="19" borderId="24" applyNumberFormat="0" applyFont="0" applyAlignment="0" applyProtection="0">
      <alignment vertical="center"/>
    </xf>
    <xf numFmtId="0" fontId="59" fillId="19" borderId="24" applyNumberFormat="0" applyFont="0" applyAlignment="0" applyProtection="0">
      <alignment vertical="center"/>
    </xf>
    <xf numFmtId="0" fontId="59" fillId="19" borderId="24" applyNumberFormat="0" applyFont="0" applyAlignment="0" applyProtection="0">
      <alignment vertical="center"/>
    </xf>
    <xf numFmtId="0" fontId="59" fillId="19" borderId="24" applyNumberFormat="0" applyFont="0" applyAlignment="0" applyProtection="0">
      <alignment vertical="center"/>
    </xf>
    <xf numFmtId="0" fontId="59" fillId="19" borderId="24" applyNumberFormat="0" applyFont="0" applyAlignment="0" applyProtection="0">
      <alignment vertical="center"/>
    </xf>
    <xf numFmtId="0" fontId="59" fillId="19" borderId="24" applyNumberFormat="0" applyFont="0" applyAlignment="0" applyProtection="0">
      <alignment vertical="center"/>
    </xf>
    <xf numFmtId="0" fontId="59" fillId="19" borderId="24" applyNumberFormat="0" applyFont="0" applyAlignment="0" applyProtection="0">
      <alignment vertical="center"/>
    </xf>
    <xf numFmtId="0" fontId="59" fillId="19" borderId="24" applyNumberFormat="0" applyFont="0" applyAlignment="0" applyProtection="0">
      <alignment vertical="center"/>
    </xf>
    <xf numFmtId="0" fontId="59" fillId="19" borderId="24" applyNumberFormat="0" applyFont="0" applyAlignment="0" applyProtection="0">
      <alignment vertical="center"/>
    </xf>
    <xf numFmtId="0" fontId="60" fillId="0" borderId="31" applyNumberFormat="0" applyFill="0" applyAlignment="0" applyProtection="0">
      <alignment vertical="center"/>
    </xf>
    <xf numFmtId="0" fontId="60" fillId="0" borderId="31" applyNumberFormat="0" applyFill="0" applyAlignment="0" applyProtection="0">
      <alignment vertical="center"/>
    </xf>
    <xf numFmtId="0" fontId="60" fillId="0" borderId="31" applyNumberFormat="0" applyFill="0" applyAlignment="0" applyProtection="0">
      <alignment vertical="center"/>
    </xf>
    <xf numFmtId="0" fontId="60" fillId="0" borderId="31" applyNumberFormat="0" applyFill="0" applyAlignment="0" applyProtection="0">
      <alignment vertical="center"/>
    </xf>
    <xf numFmtId="0" fontId="60" fillId="0" borderId="31" applyNumberFormat="0" applyFill="0" applyAlignment="0" applyProtection="0">
      <alignment vertical="center"/>
    </xf>
    <xf numFmtId="0" fontId="60" fillId="0" borderId="31" applyNumberFormat="0" applyFill="0" applyAlignment="0" applyProtection="0">
      <alignment vertical="center"/>
    </xf>
    <xf numFmtId="0" fontId="60" fillId="0" borderId="31" applyNumberFormat="0" applyFill="0" applyAlignment="0" applyProtection="0">
      <alignment vertical="center"/>
    </xf>
    <xf numFmtId="0" fontId="60" fillId="0" borderId="31" applyNumberFormat="0" applyFill="0" applyAlignment="0" applyProtection="0">
      <alignment vertical="center"/>
    </xf>
    <xf numFmtId="0" fontId="60" fillId="0" borderId="31" applyNumberFormat="0" applyFill="0" applyAlignment="0" applyProtection="0">
      <alignment vertical="center"/>
    </xf>
    <xf numFmtId="0" fontId="60" fillId="0" borderId="31" applyNumberFormat="0" applyFill="0" applyAlignment="0" applyProtection="0">
      <alignment vertical="center"/>
    </xf>
  </cellStyleXfs>
  <cellXfs count="16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Fill="1">
      <alignment vertical="center"/>
    </xf>
    <xf numFmtId="0" fontId="6" fillId="0" borderId="0" xfId="0" applyFont="1" applyAlignment="1">
      <alignment horizontal="center" vertical="center"/>
    </xf>
    <xf numFmtId="0" fontId="5" fillId="0" borderId="11" xfId="0" applyFont="1" applyBorder="1">
      <alignment vertical="center"/>
    </xf>
    <xf numFmtId="0" fontId="5" fillId="3" borderId="7" xfId="0" applyFont="1" applyFill="1" applyBorder="1">
      <alignment vertical="center"/>
    </xf>
    <xf numFmtId="0" fontId="5" fillId="0" borderId="2" xfId="0" pivotButton="1" applyFont="1" applyBorder="1">
      <alignment vertical="center"/>
    </xf>
    <xf numFmtId="0" fontId="5" fillId="0" borderId="2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3" xfId="0" applyFont="1" applyBorder="1">
      <alignment vertical="center"/>
    </xf>
    <xf numFmtId="0" fontId="5" fillId="3" borderId="8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Border="1">
      <alignment vertical="center"/>
    </xf>
    <xf numFmtId="0" fontId="5" fillId="0" borderId="6" xfId="0" applyNumberFormat="1" applyFont="1" applyBorder="1">
      <alignment vertical="center"/>
    </xf>
    <xf numFmtId="0" fontId="5" fillId="3" borderId="10" xfId="0" applyNumberFormat="1" applyFont="1" applyFill="1" applyBorder="1">
      <alignment vertical="center"/>
    </xf>
    <xf numFmtId="0" fontId="5" fillId="0" borderId="5" xfId="0" applyNumberFormat="1" applyFont="1" applyBorder="1">
      <alignment vertical="center"/>
    </xf>
    <xf numFmtId="0" fontId="5" fillId="3" borderId="9" xfId="0" applyNumberFormat="1" applyFont="1" applyFill="1" applyBorder="1">
      <alignment vertical="center"/>
    </xf>
    <xf numFmtId="0" fontId="2" fillId="5" borderId="0" xfId="0" applyFont="1" applyFill="1" applyAlignment="1">
      <alignment horizontal="center" vertical="center"/>
    </xf>
    <xf numFmtId="0" fontId="5" fillId="0" borderId="2" xfId="0" applyNumberFormat="1" applyFont="1" applyBorder="1">
      <alignment vertical="center"/>
    </xf>
    <xf numFmtId="0" fontId="5" fillId="3" borderId="7" xfId="0" applyNumberFormat="1" applyFont="1" applyFill="1" applyBorder="1">
      <alignment vertical="center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>
      <alignment vertical="center"/>
    </xf>
    <xf numFmtId="3" fontId="2" fillId="6" borderId="0" xfId="0" applyNumberFormat="1" applyFont="1" applyFill="1" applyAlignment="1">
      <alignment horizontal="center" vertical="center"/>
    </xf>
    <xf numFmtId="3" fontId="2" fillId="0" borderId="0" xfId="0" applyNumberFormat="1" applyFont="1">
      <alignment vertical="center"/>
    </xf>
    <xf numFmtId="3" fontId="2" fillId="5" borderId="0" xfId="0" applyNumberFormat="1" applyFont="1" applyFill="1" applyAlignment="1">
      <alignment horizontal="center" vertical="center"/>
    </xf>
    <xf numFmtId="0" fontId="2" fillId="40" borderId="0" xfId="0" applyFont="1" applyFill="1" applyAlignment="1">
      <alignment horizontal="center" vertical="center"/>
    </xf>
    <xf numFmtId="0" fontId="6" fillId="41" borderId="0" xfId="0" applyFont="1" applyFill="1">
      <alignment vertical="center"/>
    </xf>
    <xf numFmtId="0" fontId="61" fillId="0" borderId="0" xfId="0" applyFont="1">
      <alignment vertical="center"/>
    </xf>
    <xf numFmtId="0" fontId="0" fillId="0" borderId="0" xfId="0" applyAlignment="1">
      <alignment vertical="center" wrapText="1"/>
    </xf>
    <xf numFmtId="0" fontId="6" fillId="0" borderId="12" xfId="0" applyFont="1" applyBorder="1">
      <alignment vertical="center"/>
    </xf>
    <xf numFmtId="0" fontId="0" fillId="0" borderId="12" xfId="0" applyBorder="1">
      <alignment vertical="center"/>
    </xf>
    <xf numFmtId="3" fontId="5" fillId="0" borderId="11" xfId="0" applyNumberFormat="1" applyFont="1" applyBorder="1">
      <alignment vertical="center"/>
    </xf>
    <xf numFmtId="182" fontId="5" fillId="0" borderId="11" xfId="0" applyNumberFormat="1" applyFont="1" applyBorder="1">
      <alignment vertical="center"/>
    </xf>
    <xf numFmtId="3" fontId="5" fillId="39" borderId="11" xfId="0" applyNumberFormat="1" applyFont="1" applyFill="1" applyBorder="1">
      <alignment vertical="center"/>
    </xf>
    <xf numFmtId="182" fontId="5" fillId="39" borderId="11" xfId="0" applyNumberFormat="1" applyFont="1" applyFill="1" applyBorder="1">
      <alignment vertical="center"/>
    </xf>
    <xf numFmtId="3" fontId="5" fillId="3" borderId="1" xfId="0" applyNumberFormat="1" applyFont="1" applyFill="1" applyBorder="1">
      <alignment vertical="center"/>
    </xf>
    <xf numFmtId="182" fontId="5" fillId="3" borderId="1" xfId="0" applyNumberFormat="1" applyFont="1" applyFill="1" applyBorder="1">
      <alignment vertical="center"/>
    </xf>
    <xf numFmtId="0" fontId="5" fillId="0" borderId="34" xfId="0" applyFont="1" applyBorder="1">
      <alignment vertical="center"/>
    </xf>
    <xf numFmtId="183" fontId="2" fillId="0" borderId="0" xfId="0" applyNumberFormat="1" applyFont="1" applyAlignment="1">
      <alignment horizontal="center" vertical="center"/>
    </xf>
    <xf numFmtId="3" fontId="5" fillId="37" borderId="12" xfId="0" applyNumberFormat="1" applyFont="1" applyFill="1" applyBorder="1">
      <alignment vertical="center"/>
    </xf>
    <xf numFmtId="182" fontId="5" fillId="37" borderId="12" xfId="0" applyNumberFormat="1" applyFont="1" applyFill="1" applyBorder="1">
      <alignment vertical="center"/>
    </xf>
    <xf numFmtId="0" fontId="5" fillId="38" borderId="35" xfId="0" applyFont="1" applyFill="1" applyBorder="1" applyAlignment="1">
      <alignment horizontal="center" vertical="center" wrapText="1"/>
    </xf>
    <xf numFmtId="0" fontId="5" fillId="0" borderId="36" xfId="0" pivotButton="1" applyFont="1" applyBorder="1">
      <alignment vertical="center"/>
    </xf>
    <xf numFmtId="0" fontId="5" fillId="0" borderId="37" xfId="0" applyFont="1" applyBorder="1">
      <alignment vertical="center"/>
    </xf>
    <xf numFmtId="0" fontId="5" fillId="0" borderId="36" xfId="0" applyFont="1" applyBorder="1">
      <alignment vertical="center"/>
    </xf>
    <xf numFmtId="0" fontId="5" fillId="0" borderId="39" xfId="0" applyFont="1" applyBorder="1">
      <alignment vertical="center"/>
    </xf>
    <xf numFmtId="0" fontId="0" fillId="0" borderId="0" xfId="0" applyBorder="1">
      <alignment vertical="center"/>
    </xf>
    <xf numFmtId="0" fontId="6" fillId="0" borderId="0" xfId="0" applyFont="1" applyBorder="1" applyAlignment="1">
      <alignment horizontal="center" vertical="center"/>
    </xf>
    <xf numFmtId="0" fontId="5" fillId="39" borderId="33" xfId="0" applyFont="1" applyFill="1" applyBorder="1">
      <alignment vertical="center"/>
    </xf>
    <xf numFmtId="0" fontId="5" fillId="39" borderId="3" xfId="0" applyFont="1" applyFill="1" applyBorder="1">
      <alignment vertical="center"/>
    </xf>
    <xf numFmtId="0" fontId="5" fillId="39" borderId="34" xfId="0" applyFont="1" applyFill="1" applyBorder="1">
      <alignment vertical="center"/>
    </xf>
    <xf numFmtId="0" fontId="5" fillId="3" borderId="40" xfId="0" applyFont="1" applyFill="1" applyBorder="1">
      <alignment vertical="center"/>
    </xf>
    <xf numFmtId="0" fontId="5" fillId="3" borderId="41" xfId="0" applyFont="1" applyFill="1" applyBorder="1">
      <alignment vertical="center"/>
    </xf>
    <xf numFmtId="0" fontId="62" fillId="0" borderId="0" xfId="0" applyFont="1">
      <alignment vertical="center"/>
    </xf>
    <xf numFmtId="0" fontId="64" fillId="0" borderId="12" xfId="0" applyFont="1" applyBorder="1">
      <alignment vertical="center"/>
    </xf>
    <xf numFmtId="3" fontId="65" fillId="0" borderId="11" xfId="0" applyNumberFormat="1" applyFont="1" applyBorder="1">
      <alignment vertical="center"/>
    </xf>
    <xf numFmtId="3" fontId="65" fillId="37" borderId="12" xfId="0" applyNumberFormat="1" applyFont="1" applyFill="1" applyBorder="1">
      <alignment vertical="center"/>
    </xf>
    <xf numFmtId="3" fontId="65" fillId="39" borderId="11" xfId="0" applyNumberFormat="1" applyFont="1" applyFill="1" applyBorder="1">
      <alignment vertical="center"/>
    </xf>
    <xf numFmtId="3" fontId="65" fillId="3" borderId="1" xfId="0" applyNumberFormat="1" applyFont="1" applyFill="1" applyBorder="1">
      <alignment vertical="center"/>
    </xf>
    <xf numFmtId="0" fontId="65" fillId="0" borderId="0" xfId="0" applyFont="1">
      <alignment vertical="center"/>
    </xf>
    <xf numFmtId="0" fontId="6" fillId="0" borderId="0" xfId="0" applyFont="1" applyBorder="1">
      <alignment vertical="center"/>
    </xf>
    <xf numFmtId="0" fontId="6" fillId="0" borderId="0" xfId="0" applyFont="1" applyFill="1" applyBorder="1">
      <alignment vertical="center"/>
    </xf>
    <xf numFmtId="0" fontId="5" fillId="0" borderId="38" xfId="0" applyFont="1" applyBorder="1">
      <alignment vertical="center"/>
    </xf>
    <xf numFmtId="0" fontId="5" fillId="0" borderId="33" xfId="0" pivotButton="1" applyFont="1" applyBorder="1">
      <alignment vertical="center"/>
    </xf>
    <xf numFmtId="0" fontId="5" fillId="0" borderId="11" xfId="0" applyNumberFormat="1" applyFont="1" applyBorder="1">
      <alignment vertical="center"/>
    </xf>
    <xf numFmtId="0" fontId="5" fillId="0" borderId="12" xfId="0" applyNumberFormat="1" applyFont="1" applyBorder="1">
      <alignment vertical="center"/>
    </xf>
    <xf numFmtId="0" fontId="5" fillId="3" borderId="1" xfId="0" applyNumberFormat="1" applyFont="1" applyFill="1" applyBorder="1">
      <alignment vertical="center"/>
    </xf>
    <xf numFmtId="0" fontId="5" fillId="39" borderId="11" xfId="0" applyNumberFormat="1" applyFont="1" applyFill="1" applyBorder="1">
      <alignment vertical="center"/>
    </xf>
    <xf numFmtId="4" fontId="5" fillId="0" borderId="11" xfId="0" applyNumberFormat="1" applyFont="1" applyBorder="1">
      <alignment vertical="center"/>
    </xf>
    <xf numFmtId="4" fontId="5" fillId="39" borderId="11" xfId="0" applyNumberFormat="1" applyFont="1" applyFill="1" applyBorder="1">
      <alignment vertical="center"/>
    </xf>
    <xf numFmtId="4" fontId="5" fillId="3" borderId="1" xfId="0" applyNumberFormat="1" applyFont="1" applyFill="1" applyBorder="1">
      <alignment vertical="center"/>
    </xf>
    <xf numFmtId="0" fontId="63" fillId="38" borderId="35" xfId="0" applyFont="1" applyFill="1" applyBorder="1" applyAlignment="1">
      <alignment horizontal="center" vertical="center" wrapText="1"/>
    </xf>
    <xf numFmtId="0" fontId="6" fillId="0" borderId="12" xfId="0" applyFont="1" applyFill="1" applyBorder="1">
      <alignment vertical="center"/>
    </xf>
    <xf numFmtId="0" fontId="6" fillId="0" borderId="12" xfId="0" applyFont="1" applyBorder="1" applyAlignment="1">
      <alignment horizontal="center" vertical="center"/>
    </xf>
    <xf numFmtId="0" fontId="5" fillId="0" borderId="11" xfId="0" pivotButton="1" applyFont="1" applyBorder="1">
      <alignment vertical="center"/>
    </xf>
    <xf numFmtId="0" fontId="5" fillId="0" borderId="11" xfId="0" applyFont="1" applyFill="1" applyBorder="1">
      <alignment vertical="center"/>
    </xf>
    <xf numFmtId="0" fontId="5" fillId="0" borderId="42" xfId="0" applyFont="1" applyBorder="1">
      <alignment vertical="center"/>
    </xf>
    <xf numFmtId="0" fontId="5" fillId="0" borderId="42" xfId="0" applyFont="1" applyFill="1" applyBorder="1">
      <alignment vertical="center"/>
    </xf>
    <xf numFmtId="0" fontId="5" fillId="37" borderId="12" xfId="0" applyFont="1" applyFill="1" applyBorder="1">
      <alignment vertical="center"/>
    </xf>
    <xf numFmtId="4" fontId="5" fillId="37" borderId="12" xfId="0" applyNumberFormat="1" applyFont="1" applyFill="1" applyBorder="1">
      <alignment vertical="center"/>
    </xf>
    <xf numFmtId="0" fontId="5" fillId="39" borderId="1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2" fillId="42" borderId="0" xfId="0" applyFont="1" applyFill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8" fillId="2" borderId="0" xfId="0" applyNumberFormat="1" applyFont="1" applyFill="1" applyAlignment="1">
      <alignment horizontal="center" vertical="center"/>
    </xf>
    <xf numFmtId="0" fontId="3" fillId="2" borderId="0" xfId="0" applyNumberFormat="1" applyFont="1" applyFill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49" fontId="8" fillId="7" borderId="0" xfId="0" applyNumberFormat="1" applyFont="1" applyFill="1" applyAlignment="1">
      <alignment horizontal="center" vertical="center"/>
    </xf>
    <xf numFmtId="49" fontId="9" fillId="7" borderId="14" xfId="0" applyNumberFormat="1" applyFont="1" applyFill="1" applyBorder="1" applyAlignment="1">
      <alignment horizontal="center" vertical="center"/>
    </xf>
    <xf numFmtId="49" fontId="8" fillId="7" borderId="0" xfId="0" applyNumberFormat="1" applyFont="1" applyFill="1" applyAlignment="1">
      <alignment horizontal="left" vertical="center"/>
    </xf>
    <xf numFmtId="0" fontId="8" fillId="7" borderId="0" xfId="0" applyNumberFormat="1" applyFont="1" applyFill="1" applyAlignment="1">
      <alignment horizontal="center" vertical="center"/>
    </xf>
    <xf numFmtId="0" fontId="3" fillId="7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49" fontId="8" fillId="0" borderId="14" xfId="0" applyNumberFormat="1" applyFont="1" applyBorder="1" applyAlignment="1">
      <alignment horizontal="center" vertical="center"/>
    </xf>
    <xf numFmtId="49" fontId="8" fillId="0" borderId="14" xfId="0" quotePrefix="1" applyNumberFormat="1" applyFont="1" applyBorder="1" applyAlignment="1">
      <alignment horizontal="center" vertical="center"/>
    </xf>
    <xf numFmtId="49" fontId="8" fillId="0" borderId="14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/>
    </xf>
    <xf numFmtId="49" fontId="8" fillId="0" borderId="15" xfId="0" applyNumberFormat="1" applyFont="1" applyFill="1" applyBorder="1" applyAlignment="1">
      <alignment horizontal="center" vertical="center"/>
    </xf>
    <xf numFmtId="49" fontId="8" fillId="4" borderId="0" xfId="0" applyNumberFormat="1" applyFont="1" applyFill="1" applyAlignment="1">
      <alignment horizontal="center" vertical="center"/>
    </xf>
    <xf numFmtId="49" fontId="9" fillId="4" borderId="14" xfId="0" applyNumberFormat="1" applyFont="1" applyFill="1" applyBorder="1" applyAlignment="1">
      <alignment horizontal="center" vertical="center"/>
    </xf>
    <xf numFmtId="49" fontId="8" fillId="4" borderId="0" xfId="0" applyNumberFormat="1" applyFont="1" applyFill="1" applyAlignment="1">
      <alignment horizontal="left" vertical="center"/>
    </xf>
    <xf numFmtId="0" fontId="8" fillId="4" borderId="0" xfId="0" applyNumberFormat="1" applyFont="1" applyFill="1" applyAlignment="1">
      <alignment horizontal="center" vertical="center"/>
    </xf>
    <xf numFmtId="0" fontId="3" fillId="4" borderId="0" xfId="0" applyNumberFormat="1" applyFont="1" applyFill="1" applyAlignment="1">
      <alignment horizontal="center" vertical="center"/>
    </xf>
    <xf numFmtId="49" fontId="10" fillId="0" borderId="14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center" vertical="center"/>
    </xf>
    <xf numFmtId="49" fontId="10" fillId="0" borderId="0" xfId="0" applyNumberFormat="1" applyFont="1" applyFill="1" applyAlignment="1">
      <alignment horizontal="center" vertical="center"/>
    </xf>
    <xf numFmtId="49" fontId="3" fillId="7" borderId="0" xfId="0" applyNumberFormat="1" applyFont="1" applyFill="1" applyAlignment="1">
      <alignment horizontal="center" vertical="center"/>
    </xf>
    <xf numFmtId="49" fontId="8" fillId="8" borderId="0" xfId="0" applyNumberFormat="1" applyFont="1" applyFill="1" applyAlignment="1">
      <alignment horizontal="center" vertical="center"/>
    </xf>
    <xf numFmtId="49" fontId="9" fillId="8" borderId="14" xfId="0" applyNumberFormat="1" applyFont="1" applyFill="1" applyBorder="1" applyAlignment="1">
      <alignment horizontal="center" vertical="center"/>
    </xf>
    <xf numFmtId="49" fontId="8" fillId="8" borderId="0" xfId="0" applyNumberFormat="1" applyFont="1" applyFill="1" applyAlignment="1">
      <alignment horizontal="left" vertical="center"/>
    </xf>
    <xf numFmtId="0" fontId="8" fillId="8" borderId="0" xfId="0" applyNumberFormat="1" applyFont="1" applyFill="1" applyAlignment="1">
      <alignment horizontal="center" vertical="center"/>
    </xf>
    <xf numFmtId="0" fontId="3" fillId="8" borderId="0" xfId="0" applyNumberFormat="1" applyFont="1" applyFill="1" applyAlignment="1">
      <alignment horizontal="center" vertical="center"/>
    </xf>
    <xf numFmtId="49" fontId="8" fillId="9" borderId="0" xfId="0" applyNumberFormat="1" applyFont="1" applyFill="1" applyAlignment="1">
      <alignment horizontal="center" vertical="center"/>
    </xf>
    <xf numFmtId="49" fontId="9" fillId="9" borderId="14" xfId="0" applyNumberFormat="1" applyFont="1" applyFill="1" applyBorder="1" applyAlignment="1">
      <alignment horizontal="center" vertical="center"/>
    </xf>
    <xf numFmtId="49" fontId="8" fillId="9" borderId="0" xfId="0" applyNumberFormat="1" applyFont="1" applyFill="1" applyAlignment="1">
      <alignment horizontal="left" vertical="center"/>
    </xf>
    <xf numFmtId="0" fontId="8" fillId="9" borderId="0" xfId="0" applyNumberFormat="1" applyFont="1" applyFill="1" applyAlignment="1">
      <alignment horizontal="center" vertical="center"/>
    </xf>
    <xf numFmtId="0" fontId="3" fillId="9" borderId="0" xfId="0" applyNumberFormat="1" applyFont="1" applyFill="1" applyAlignment="1">
      <alignment horizontal="center" vertical="center"/>
    </xf>
    <xf numFmtId="49" fontId="8" fillId="10" borderId="0" xfId="0" applyNumberFormat="1" applyFont="1" applyFill="1" applyAlignment="1">
      <alignment horizontal="center" vertical="center"/>
    </xf>
    <xf numFmtId="49" fontId="9" fillId="10" borderId="14" xfId="0" applyNumberFormat="1" applyFont="1" applyFill="1" applyBorder="1" applyAlignment="1">
      <alignment horizontal="center" vertical="center"/>
    </xf>
    <xf numFmtId="49" fontId="8" fillId="10" borderId="0" xfId="0" applyNumberFormat="1" applyFont="1" applyFill="1" applyAlignment="1">
      <alignment horizontal="left" vertical="center"/>
    </xf>
    <xf numFmtId="0" fontId="8" fillId="10" borderId="0" xfId="0" applyNumberFormat="1" applyFont="1" applyFill="1" applyAlignment="1">
      <alignment horizontal="center" vertical="center"/>
    </xf>
    <xf numFmtId="0" fontId="3" fillId="10" borderId="0" xfId="0" applyNumberFormat="1" applyFont="1" applyFill="1" applyAlignment="1">
      <alignment horizontal="center" vertical="center"/>
    </xf>
    <xf numFmtId="49" fontId="8" fillId="9" borderId="0" xfId="0" applyNumberFormat="1" applyFont="1" applyFill="1" applyBorder="1" applyAlignment="1">
      <alignment horizontal="center" vertical="center"/>
    </xf>
    <xf numFmtId="49" fontId="8" fillId="9" borderId="0" xfId="0" applyNumberFormat="1" applyFont="1" applyFill="1" applyBorder="1" applyAlignment="1">
      <alignment horizontal="left" vertical="center"/>
    </xf>
    <xf numFmtId="49" fontId="8" fillId="43" borderId="0" xfId="0" applyNumberFormat="1" applyFont="1" applyFill="1" applyAlignment="1">
      <alignment horizontal="center" vertical="center"/>
    </xf>
    <xf numFmtId="49" fontId="9" fillId="43" borderId="14" xfId="0" applyNumberFormat="1" applyFont="1" applyFill="1" applyBorder="1" applyAlignment="1">
      <alignment horizontal="center" vertical="center"/>
    </xf>
    <xf numFmtId="49" fontId="8" fillId="43" borderId="0" xfId="0" applyNumberFormat="1" applyFont="1" applyFill="1" applyAlignment="1">
      <alignment horizontal="left" vertical="center"/>
    </xf>
    <xf numFmtId="0" fontId="8" fillId="43" borderId="0" xfId="0" applyNumberFormat="1" applyFont="1" applyFill="1" applyAlignment="1">
      <alignment horizontal="center" vertical="center"/>
    </xf>
    <xf numFmtId="0" fontId="3" fillId="43" borderId="0" xfId="0" applyNumberFormat="1" applyFont="1" applyFill="1" applyAlignment="1">
      <alignment horizontal="center" vertical="center"/>
    </xf>
    <xf numFmtId="49" fontId="8" fillId="11" borderId="0" xfId="0" applyNumberFormat="1" applyFont="1" applyFill="1" applyAlignment="1">
      <alignment horizontal="center" vertical="center"/>
    </xf>
    <xf numFmtId="49" fontId="8" fillId="11" borderId="14" xfId="0" applyNumberFormat="1" applyFont="1" applyFill="1" applyBorder="1" applyAlignment="1">
      <alignment horizontal="center" vertical="center"/>
    </xf>
    <xf numFmtId="49" fontId="8" fillId="11" borderId="0" xfId="0" applyNumberFormat="1" applyFont="1" applyFill="1" applyAlignment="1">
      <alignment horizontal="left" vertical="center"/>
    </xf>
    <xf numFmtId="49" fontId="8" fillId="7" borderId="16" xfId="0" applyNumberFormat="1" applyFont="1" applyFill="1" applyBorder="1" applyAlignment="1">
      <alignment horizontal="center" vertical="center"/>
    </xf>
    <xf numFmtId="49" fontId="9" fillId="7" borderId="17" xfId="0" applyNumberFormat="1" applyFont="1" applyFill="1" applyBorder="1" applyAlignment="1">
      <alignment horizontal="center" vertical="center"/>
    </xf>
    <xf numFmtId="49" fontId="8" fillId="7" borderId="16" xfId="0" applyNumberFormat="1" applyFont="1" applyFill="1" applyBorder="1" applyAlignment="1">
      <alignment horizontal="left" vertical="center"/>
    </xf>
    <xf numFmtId="0" fontId="8" fillId="7" borderId="16" xfId="0" applyNumberFormat="1" applyFont="1" applyFill="1" applyBorder="1" applyAlignment="1">
      <alignment horizontal="center" vertical="center"/>
    </xf>
    <xf numFmtId="0" fontId="3" fillId="7" borderId="16" xfId="0" applyNumberFormat="1" applyFont="1" applyFill="1" applyBorder="1" applyAlignment="1">
      <alignment horizontal="center" vertical="center"/>
    </xf>
    <xf numFmtId="49" fontId="8" fillId="11" borderId="15" xfId="0" applyNumberFormat="1" applyFont="1" applyFill="1" applyBorder="1" applyAlignment="1">
      <alignment horizontal="center" vertical="center"/>
    </xf>
    <xf numFmtId="49" fontId="8" fillId="7" borderId="0" xfId="0" applyNumberFormat="1" applyFont="1" applyFill="1" applyBorder="1" applyAlignment="1">
      <alignment horizontal="center" vertical="center"/>
    </xf>
    <xf numFmtId="49" fontId="8" fillId="7" borderId="0" xfId="0" applyNumberFormat="1" applyFont="1" applyFill="1" applyBorder="1" applyAlignment="1">
      <alignment horizontal="left" vertical="center"/>
    </xf>
    <xf numFmtId="0" fontId="8" fillId="7" borderId="0" xfId="0" applyNumberFormat="1" applyFont="1" applyFill="1" applyBorder="1" applyAlignment="1">
      <alignment horizontal="center" vertical="center"/>
    </xf>
    <xf numFmtId="0" fontId="3" fillId="7" borderId="0" xfId="0" applyNumberFormat="1" applyFont="1" applyFill="1" applyBorder="1" applyAlignment="1">
      <alignment horizontal="center" vertical="center"/>
    </xf>
    <xf numFmtId="0" fontId="8" fillId="9" borderId="0" xfId="0" applyNumberFormat="1" applyFont="1" applyFill="1" applyBorder="1" applyAlignment="1">
      <alignment horizontal="center" vertical="center"/>
    </xf>
    <xf numFmtId="0" fontId="3" fillId="9" borderId="0" xfId="0" applyNumberFormat="1" applyFont="1" applyFill="1" applyBorder="1" applyAlignment="1">
      <alignment horizontal="center" vertical="center"/>
    </xf>
    <xf numFmtId="49" fontId="8" fillId="9" borderId="18" xfId="0" applyNumberFormat="1" applyFont="1" applyFill="1" applyBorder="1" applyAlignment="1">
      <alignment horizontal="center" vertical="center"/>
    </xf>
    <xf numFmtId="49" fontId="9" fillId="9" borderId="19" xfId="0" applyNumberFormat="1" applyFont="1" applyFill="1" applyBorder="1" applyAlignment="1">
      <alignment horizontal="center" vertical="center"/>
    </xf>
    <xf numFmtId="49" fontId="8" fillId="9" borderId="18" xfId="0" applyNumberFormat="1" applyFont="1" applyFill="1" applyBorder="1" applyAlignment="1">
      <alignment horizontal="left" vertical="center"/>
    </xf>
    <xf numFmtId="0" fontId="8" fillId="9" borderId="18" xfId="0" applyNumberFormat="1" applyFont="1" applyFill="1" applyBorder="1" applyAlignment="1">
      <alignment horizontal="center" vertical="center"/>
    </xf>
    <xf numFmtId="0" fontId="3" fillId="9" borderId="18" xfId="0" applyNumberFormat="1" applyFont="1" applyFill="1" applyBorder="1" applyAlignment="1">
      <alignment horizontal="center" vertical="center"/>
    </xf>
    <xf numFmtId="49" fontId="9" fillId="8" borderId="15" xfId="0" applyNumberFormat="1" applyFont="1" applyFill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2815">
    <cellStyle name="20% - 强调文字颜色 1 2" xfId="2"/>
    <cellStyle name="20% - 强调文字颜色 1 2 2" xfId="3"/>
    <cellStyle name="20% - 强调文字颜色 1 2 3" xfId="4"/>
    <cellStyle name="20% - 强调文字颜色 1 2 4" xfId="5"/>
    <cellStyle name="20% - 强调文字颜色 1 2 5" xfId="6"/>
    <cellStyle name="20% - 强调文字颜色 1 2 6" xfId="7"/>
    <cellStyle name="20% - 强调文字颜色 1 2 7" xfId="8"/>
    <cellStyle name="20% - 强调文字颜色 1 3" xfId="9"/>
    <cellStyle name="20% - 强调文字颜色 1 3 2" xfId="10"/>
    <cellStyle name="20% - 强调文字颜色 1 3 3" xfId="11"/>
    <cellStyle name="20% - 强调文字颜色 1 3 4" xfId="12"/>
    <cellStyle name="20% - 强调文字颜色 1 3 5" xfId="13"/>
    <cellStyle name="20% - 强调文字颜色 1 3 6" xfId="14"/>
    <cellStyle name="20% - 强调文字颜色 1 3 7" xfId="15"/>
    <cellStyle name="20% - 强调文字颜色 1 4" xfId="16"/>
    <cellStyle name="20% - 强调文字颜色 1 4 2" xfId="17"/>
    <cellStyle name="20% - 强调文字颜色 1 4 3" xfId="18"/>
    <cellStyle name="20% - 强调文字颜色 1 4 4" xfId="19"/>
    <cellStyle name="20% - 强调文字颜色 1 4 5" xfId="20"/>
    <cellStyle name="20% - 强调文字颜色 1 4 6" xfId="21"/>
    <cellStyle name="20% - 强调文字颜色 1 4 7" xfId="22"/>
    <cellStyle name="20% - 强调文字颜色 1 5" xfId="23"/>
    <cellStyle name="20% - 强调文字颜色 1 5 2" xfId="24"/>
    <cellStyle name="20% - 强调文字颜色 1 5 3" xfId="25"/>
    <cellStyle name="20% - 强调文字颜色 1 5 4" xfId="26"/>
    <cellStyle name="20% - 强调文字颜色 1 5 5" xfId="27"/>
    <cellStyle name="20% - 强调文字颜色 1 5 6" xfId="28"/>
    <cellStyle name="20% - 强调文字颜色 1 5 7" xfId="29"/>
    <cellStyle name="20% - 强调文字颜色 2 2" xfId="30"/>
    <cellStyle name="20% - 强调文字颜色 2 2 2" xfId="31"/>
    <cellStyle name="20% - 强调文字颜色 2 2 3" xfId="32"/>
    <cellStyle name="20% - 强调文字颜色 2 2 4" xfId="33"/>
    <cellStyle name="20% - 强调文字颜色 2 2 5" xfId="34"/>
    <cellStyle name="20% - 强调文字颜色 2 2 6" xfId="35"/>
    <cellStyle name="20% - 强调文字颜色 2 2 7" xfId="36"/>
    <cellStyle name="20% - 强调文字颜色 2 3" xfId="37"/>
    <cellStyle name="20% - 强调文字颜色 2 3 2" xfId="38"/>
    <cellStyle name="20% - 强调文字颜色 2 3 3" xfId="39"/>
    <cellStyle name="20% - 强调文字颜色 2 3 4" xfId="40"/>
    <cellStyle name="20% - 强调文字颜色 2 3 5" xfId="41"/>
    <cellStyle name="20% - 强调文字颜色 2 3 6" xfId="42"/>
    <cellStyle name="20% - 强调文字颜色 2 3 7" xfId="43"/>
    <cellStyle name="20% - 强调文字颜色 2 4" xfId="44"/>
    <cellStyle name="20% - 强调文字颜色 2 4 2" xfId="45"/>
    <cellStyle name="20% - 强调文字颜色 2 4 3" xfId="46"/>
    <cellStyle name="20% - 强调文字颜色 2 4 4" xfId="47"/>
    <cellStyle name="20% - 强调文字颜色 2 4 5" xfId="48"/>
    <cellStyle name="20% - 强调文字颜色 2 4 6" xfId="49"/>
    <cellStyle name="20% - 强调文字颜色 2 4 7" xfId="50"/>
    <cellStyle name="20% - 强调文字颜色 2 5" xfId="51"/>
    <cellStyle name="20% - 强调文字颜色 2 5 2" xfId="52"/>
    <cellStyle name="20% - 强调文字颜色 2 5 3" xfId="53"/>
    <cellStyle name="20% - 强调文字颜色 2 5 4" xfId="54"/>
    <cellStyle name="20% - 强调文字颜色 2 5 5" xfId="55"/>
    <cellStyle name="20% - 强调文字颜色 2 5 6" xfId="56"/>
    <cellStyle name="20% - 强调文字颜色 2 5 7" xfId="57"/>
    <cellStyle name="20% - 强调文字颜色 3 2" xfId="58"/>
    <cellStyle name="20% - 强调文字颜色 3 2 2" xfId="59"/>
    <cellStyle name="20% - 强调文字颜色 3 2 3" xfId="60"/>
    <cellStyle name="20% - 强调文字颜色 3 2 4" xfId="61"/>
    <cellStyle name="20% - 强调文字颜色 3 2 5" xfId="62"/>
    <cellStyle name="20% - 强调文字颜色 3 2 6" xfId="63"/>
    <cellStyle name="20% - 强调文字颜色 3 2 7" xfId="64"/>
    <cellStyle name="20% - 强调文字颜色 3 3" xfId="65"/>
    <cellStyle name="20% - 强调文字颜色 3 3 2" xfId="66"/>
    <cellStyle name="20% - 强调文字颜色 3 3 3" xfId="67"/>
    <cellStyle name="20% - 强调文字颜色 3 3 4" xfId="68"/>
    <cellStyle name="20% - 强调文字颜色 3 3 5" xfId="69"/>
    <cellStyle name="20% - 强调文字颜色 3 3 6" xfId="70"/>
    <cellStyle name="20% - 强调文字颜色 3 3 7" xfId="71"/>
    <cellStyle name="20% - 强调文字颜色 3 4" xfId="72"/>
    <cellStyle name="20% - 强调文字颜色 3 4 2" xfId="73"/>
    <cellStyle name="20% - 强调文字颜色 3 4 3" xfId="74"/>
    <cellStyle name="20% - 强调文字颜色 3 4 4" xfId="75"/>
    <cellStyle name="20% - 强调文字颜色 3 4 5" xfId="76"/>
    <cellStyle name="20% - 强调文字颜色 3 4 6" xfId="77"/>
    <cellStyle name="20% - 强调文字颜色 3 4 7" xfId="78"/>
    <cellStyle name="20% - 强调文字颜色 3 5" xfId="79"/>
    <cellStyle name="20% - 强调文字颜色 3 5 2" xfId="80"/>
    <cellStyle name="20% - 强调文字颜色 3 5 3" xfId="81"/>
    <cellStyle name="20% - 强调文字颜色 3 5 4" xfId="82"/>
    <cellStyle name="20% - 强调文字颜色 3 5 5" xfId="83"/>
    <cellStyle name="20% - 强调文字颜色 3 5 6" xfId="84"/>
    <cellStyle name="20% - 强调文字颜色 3 5 7" xfId="85"/>
    <cellStyle name="20% - 强调文字颜色 4 2" xfId="86"/>
    <cellStyle name="20% - 强调文字颜色 4 2 2" xfId="87"/>
    <cellStyle name="20% - 强调文字颜色 4 2 3" xfId="88"/>
    <cellStyle name="20% - 强调文字颜色 4 2 4" xfId="89"/>
    <cellStyle name="20% - 强调文字颜色 4 2 5" xfId="90"/>
    <cellStyle name="20% - 强调文字颜色 4 2 6" xfId="91"/>
    <cellStyle name="20% - 强调文字颜色 4 2 7" xfId="92"/>
    <cellStyle name="20% - 强调文字颜色 4 3" xfId="93"/>
    <cellStyle name="20% - 强调文字颜色 4 3 2" xfId="94"/>
    <cellStyle name="20% - 强调文字颜色 4 3 3" xfId="95"/>
    <cellStyle name="20% - 强调文字颜色 4 3 4" xfId="96"/>
    <cellStyle name="20% - 强调文字颜色 4 3 5" xfId="97"/>
    <cellStyle name="20% - 强调文字颜色 4 3 6" xfId="98"/>
    <cellStyle name="20% - 强调文字颜色 4 3 7" xfId="99"/>
    <cellStyle name="20% - 强调文字颜色 4 4" xfId="100"/>
    <cellStyle name="20% - 强调文字颜色 4 4 2" xfId="101"/>
    <cellStyle name="20% - 强调文字颜色 4 4 3" xfId="102"/>
    <cellStyle name="20% - 强调文字颜色 4 4 4" xfId="103"/>
    <cellStyle name="20% - 强调文字颜色 4 4 5" xfId="104"/>
    <cellStyle name="20% - 强调文字颜色 4 4 6" xfId="105"/>
    <cellStyle name="20% - 强调文字颜色 4 4 7" xfId="106"/>
    <cellStyle name="20% - 强调文字颜色 4 5" xfId="107"/>
    <cellStyle name="20% - 强调文字颜色 4 5 2" xfId="108"/>
    <cellStyle name="20% - 强调文字颜色 4 5 3" xfId="109"/>
    <cellStyle name="20% - 强调文字颜色 4 5 4" xfId="110"/>
    <cellStyle name="20% - 强调文字颜色 4 5 5" xfId="111"/>
    <cellStyle name="20% - 强调文字颜色 4 5 6" xfId="112"/>
    <cellStyle name="20% - 强调文字颜色 4 5 7" xfId="113"/>
    <cellStyle name="20% - 强调文字颜色 5 2" xfId="114"/>
    <cellStyle name="20% - 强调文字颜色 5 2 2" xfId="115"/>
    <cellStyle name="20% - 强调文字颜色 5 2 3" xfId="116"/>
    <cellStyle name="20% - 强调文字颜色 5 2 4" xfId="117"/>
    <cellStyle name="20% - 强调文字颜色 5 2 5" xfId="118"/>
    <cellStyle name="20% - 强调文字颜色 5 2 6" xfId="119"/>
    <cellStyle name="20% - 强调文字颜色 5 2 7" xfId="120"/>
    <cellStyle name="20% - 强调文字颜色 5 3" xfId="121"/>
    <cellStyle name="20% - 强调文字颜色 5 3 2" xfId="122"/>
    <cellStyle name="20% - 强调文字颜色 5 3 3" xfId="123"/>
    <cellStyle name="20% - 强调文字颜色 5 3 4" xfId="124"/>
    <cellStyle name="20% - 强调文字颜色 5 3 5" xfId="125"/>
    <cellStyle name="20% - 强调文字颜色 5 3 6" xfId="126"/>
    <cellStyle name="20% - 强调文字颜色 5 3 7" xfId="127"/>
    <cellStyle name="20% - 强调文字颜色 5 4" xfId="128"/>
    <cellStyle name="20% - 强调文字颜色 5 4 2" xfId="129"/>
    <cellStyle name="20% - 强调文字颜色 5 4 3" xfId="130"/>
    <cellStyle name="20% - 强调文字颜色 5 4 4" xfId="131"/>
    <cellStyle name="20% - 强调文字颜色 5 4 5" xfId="132"/>
    <cellStyle name="20% - 强调文字颜色 5 4 6" xfId="133"/>
    <cellStyle name="20% - 强调文字颜色 5 4 7" xfId="134"/>
    <cellStyle name="20% - 强调文字颜色 5 5" xfId="135"/>
    <cellStyle name="20% - 强调文字颜色 5 5 2" xfId="136"/>
    <cellStyle name="20% - 强调文字颜色 5 5 3" xfId="137"/>
    <cellStyle name="20% - 强调文字颜色 5 5 4" xfId="138"/>
    <cellStyle name="20% - 强调文字颜色 5 5 5" xfId="139"/>
    <cellStyle name="20% - 强调文字颜色 5 5 6" xfId="140"/>
    <cellStyle name="20% - 强调文字颜色 5 5 7" xfId="141"/>
    <cellStyle name="20% - 强调文字颜色 6 2" xfId="142"/>
    <cellStyle name="20% - 强调文字颜色 6 2 2" xfId="143"/>
    <cellStyle name="20% - 强调文字颜色 6 2 3" xfId="144"/>
    <cellStyle name="20% - 强调文字颜色 6 2 4" xfId="145"/>
    <cellStyle name="20% - 强调文字颜色 6 2 5" xfId="146"/>
    <cellStyle name="20% - 强调文字颜色 6 2 6" xfId="147"/>
    <cellStyle name="20% - 强调文字颜色 6 2 7" xfId="148"/>
    <cellStyle name="20% - 强调文字颜色 6 3" xfId="149"/>
    <cellStyle name="20% - 强调文字颜色 6 3 2" xfId="150"/>
    <cellStyle name="20% - 强调文字颜色 6 3 3" xfId="151"/>
    <cellStyle name="20% - 强调文字颜色 6 3 4" xfId="152"/>
    <cellStyle name="20% - 强调文字颜色 6 3 5" xfId="153"/>
    <cellStyle name="20% - 强调文字颜色 6 3 6" xfId="154"/>
    <cellStyle name="20% - 强调文字颜色 6 3 7" xfId="155"/>
    <cellStyle name="20% - 强调文字颜色 6 4" xfId="156"/>
    <cellStyle name="20% - 强调文字颜色 6 4 2" xfId="157"/>
    <cellStyle name="20% - 强调文字颜色 6 4 3" xfId="158"/>
    <cellStyle name="20% - 强调文字颜色 6 4 4" xfId="159"/>
    <cellStyle name="20% - 强调文字颜色 6 4 5" xfId="160"/>
    <cellStyle name="20% - 强调文字颜色 6 4 6" xfId="161"/>
    <cellStyle name="20% - 强调文字颜色 6 4 7" xfId="162"/>
    <cellStyle name="20% - 强调文字颜色 6 5" xfId="163"/>
    <cellStyle name="20% - 强调文字颜色 6 5 2" xfId="164"/>
    <cellStyle name="20% - 强调文字颜色 6 5 3" xfId="165"/>
    <cellStyle name="20% - 强调文字颜色 6 5 4" xfId="166"/>
    <cellStyle name="20% - 强调文字颜色 6 5 5" xfId="167"/>
    <cellStyle name="20% - 强调文字颜色 6 5 6" xfId="168"/>
    <cellStyle name="20% - 强调文字颜色 6 5 7" xfId="169"/>
    <cellStyle name="20% - Accent1" xfId="170"/>
    <cellStyle name="20% - Accent2" xfId="171"/>
    <cellStyle name="20% - Accent3" xfId="172"/>
    <cellStyle name="20% - Accent4" xfId="173"/>
    <cellStyle name="20% - Accent5" xfId="174"/>
    <cellStyle name="20% - Accent6" xfId="175"/>
    <cellStyle name="20% - アクセント 1" xfId="176"/>
    <cellStyle name="20% - アクセント 1 2" xfId="177"/>
    <cellStyle name="20% - アクセント 1 3" xfId="178"/>
    <cellStyle name="20% - アクセント 1 3 2" xfId="179"/>
    <cellStyle name="20% - アクセント 1 4" xfId="180"/>
    <cellStyle name="20% - アクセント 1 4 2" xfId="181"/>
    <cellStyle name="20% - アクセント 1 4 3" xfId="182"/>
    <cellStyle name="20% - アクセント 1 5" xfId="183"/>
    <cellStyle name="20% - アクセント 2" xfId="184"/>
    <cellStyle name="20% - アクセント 2 2" xfId="185"/>
    <cellStyle name="20% - アクセント 2 3" xfId="186"/>
    <cellStyle name="20% - アクセント 2 3 2" xfId="187"/>
    <cellStyle name="20% - アクセント 2 4" xfId="188"/>
    <cellStyle name="20% - アクセント 2 4 2" xfId="189"/>
    <cellStyle name="20% - アクセント 2 4 3" xfId="190"/>
    <cellStyle name="20% - アクセント 2 5" xfId="191"/>
    <cellStyle name="20% - アクセント 3" xfId="192"/>
    <cellStyle name="20% - アクセント 3 2" xfId="193"/>
    <cellStyle name="20% - アクセント 3 3" xfId="194"/>
    <cellStyle name="20% - アクセント 3 3 2" xfId="195"/>
    <cellStyle name="20% - アクセント 3 4" xfId="196"/>
    <cellStyle name="20% - アクセント 3 4 2" xfId="197"/>
    <cellStyle name="20% - アクセント 3 4 3" xfId="198"/>
    <cellStyle name="20% - アクセント 3 5" xfId="199"/>
    <cellStyle name="20% - アクセント 4" xfId="200"/>
    <cellStyle name="20% - アクセント 4 2" xfId="201"/>
    <cellStyle name="20% - アクセント 4 3" xfId="202"/>
    <cellStyle name="20% - アクセント 4 3 2" xfId="203"/>
    <cellStyle name="20% - アクセント 4 4" xfId="204"/>
    <cellStyle name="20% - アクセント 4 4 2" xfId="205"/>
    <cellStyle name="20% - アクセント 4 4 3" xfId="206"/>
    <cellStyle name="20% - アクセント 4 5" xfId="207"/>
    <cellStyle name="20% - アクセント 5" xfId="208"/>
    <cellStyle name="20% - アクセント 5 2" xfId="209"/>
    <cellStyle name="20% - アクセント 5 3" xfId="210"/>
    <cellStyle name="20% - アクセント 5 3 2" xfId="211"/>
    <cellStyle name="20% - アクセント 5 4" xfId="212"/>
    <cellStyle name="20% - アクセント 5 4 2" xfId="213"/>
    <cellStyle name="20% - アクセント 5 4 3" xfId="214"/>
    <cellStyle name="20% - アクセント 5 5" xfId="215"/>
    <cellStyle name="20% - アクセント 6" xfId="216"/>
    <cellStyle name="20% - アクセント 6 2" xfId="217"/>
    <cellStyle name="20% - アクセント 6 3" xfId="218"/>
    <cellStyle name="20% - アクセント 6 3 2" xfId="219"/>
    <cellStyle name="20% - アクセント 6 4" xfId="220"/>
    <cellStyle name="20% - アクセント 6 4 2" xfId="221"/>
    <cellStyle name="20% - アクセント 6 4 3" xfId="222"/>
    <cellStyle name="20% - アクセント 6 5" xfId="223"/>
    <cellStyle name="40% - 强调文字颜色 1 2" xfId="224"/>
    <cellStyle name="40% - 强调文字颜色 1 2 2" xfId="225"/>
    <cellStyle name="40% - 强调文字颜色 1 2 3" xfId="226"/>
    <cellStyle name="40% - 强调文字颜色 1 2 4" xfId="227"/>
    <cellStyle name="40% - 强调文字颜色 1 2 5" xfId="228"/>
    <cellStyle name="40% - 强调文字颜色 1 2 6" xfId="229"/>
    <cellStyle name="40% - 强调文字颜色 1 2 7" xfId="230"/>
    <cellStyle name="40% - 强调文字颜色 1 3" xfId="231"/>
    <cellStyle name="40% - 强调文字颜色 1 3 2" xfId="232"/>
    <cellStyle name="40% - 强调文字颜色 1 3 3" xfId="233"/>
    <cellStyle name="40% - 强调文字颜色 1 3 4" xfId="234"/>
    <cellStyle name="40% - 强调文字颜色 1 3 5" xfId="235"/>
    <cellStyle name="40% - 强调文字颜色 1 3 6" xfId="236"/>
    <cellStyle name="40% - 强调文字颜色 1 3 7" xfId="237"/>
    <cellStyle name="40% - 强调文字颜色 1 4" xfId="238"/>
    <cellStyle name="40% - 强调文字颜色 1 4 2" xfId="239"/>
    <cellStyle name="40% - 强调文字颜色 1 4 3" xfId="240"/>
    <cellStyle name="40% - 强调文字颜色 1 4 4" xfId="241"/>
    <cellStyle name="40% - 强调文字颜色 1 4 5" xfId="242"/>
    <cellStyle name="40% - 强调文字颜色 1 4 6" xfId="243"/>
    <cellStyle name="40% - 强调文字颜色 1 4 7" xfId="244"/>
    <cellStyle name="40% - 强调文字颜色 1 5" xfId="245"/>
    <cellStyle name="40% - 强调文字颜色 1 5 2" xfId="246"/>
    <cellStyle name="40% - 强调文字颜色 1 5 3" xfId="247"/>
    <cellStyle name="40% - 强调文字颜色 1 5 4" xfId="248"/>
    <cellStyle name="40% - 强调文字颜色 1 5 5" xfId="249"/>
    <cellStyle name="40% - 强调文字颜色 1 5 6" xfId="250"/>
    <cellStyle name="40% - 强调文字颜色 1 5 7" xfId="251"/>
    <cellStyle name="40% - 强调文字颜色 2 2" xfId="252"/>
    <cellStyle name="40% - 强调文字颜色 2 2 2" xfId="253"/>
    <cellStyle name="40% - 强调文字颜色 2 2 3" xfId="254"/>
    <cellStyle name="40% - 强调文字颜色 2 2 4" xfId="255"/>
    <cellStyle name="40% - 强调文字颜色 2 2 5" xfId="256"/>
    <cellStyle name="40% - 强调文字颜色 2 2 6" xfId="257"/>
    <cellStyle name="40% - 强调文字颜色 2 2 7" xfId="258"/>
    <cellStyle name="40% - 强调文字颜色 2 3" xfId="259"/>
    <cellStyle name="40% - 强调文字颜色 2 3 2" xfId="260"/>
    <cellStyle name="40% - 强调文字颜色 2 3 3" xfId="261"/>
    <cellStyle name="40% - 强调文字颜色 2 3 4" xfId="262"/>
    <cellStyle name="40% - 强调文字颜色 2 3 5" xfId="263"/>
    <cellStyle name="40% - 强调文字颜色 2 3 6" xfId="264"/>
    <cellStyle name="40% - 强调文字颜色 2 3 7" xfId="265"/>
    <cellStyle name="40% - 强调文字颜色 2 4" xfId="266"/>
    <cellStyle name="40% - 强调文字颜色 2 4 2" xfId="267"/>
    <cellStyle name="40% - 强调文字颜色 2 4 3" xfId="268"/>
    <cellStyle name="40% - 强调文字颜色 2 4 4" xfId="269"/>
    <cellStyle name="40% - 强调文字颜色 2 4 5" xfId="270"/>
    <cellStyle name="40% - 强调文字颜色 2 4 6" xfId="271"/>
    <cellStyle name="40% - 强调文字颜色 2 4 7" xfId="272"/>
    <cellStyle name="40% - 强调文字颜色 2 5" xfId="273"/>
    <cellStyle name="40% - 强调文字颜色 2 5 2" xfId="274"/>
    <cellStyle name="40% - 强调文字颜色 2 5 3" xfId="275"/>
    <cellStyle name="40% - 强调文字颜色 2 5 4" xfId="276"/>
    <cellStyle name="40% - 强调文字颜色 2 5 5" xfId="277"/>
    <cellStyle name="40% - 强调文字颜色 2 5 6" xfId="278"/>
    <cellStyle name="40% - 强调文字颜色 2 5 7" xfId="279"/>
    <cellStyle name="40% - 强调文字颜色 3 2" xfId="280"/>
    <cellStyle name="40% - 强调文字颜色 3 2 2" xfId="281"/>
    <cellStyle name="40% - 强调文字颜色 3 2 3" xfId="282"/>
    <cellStyle name="40% - 强调文字颜色 3 2 4" xfId="283"/>
    <cellStyle name="40% - 强调文字颜色 3 2 5" xfId="284"/>
    <cellStyle name="40% - 强调文字颜色 3 2 6" xfId="285"/>
    <cellStyle name="40% - 强调文字颜色 3 2 7" xfId="286"/>
    <cellStyle name="40% - 强调文字颜色 3 3" xfId="287"/>
    <cellStyle name="40% - 强调文字颜色 3 3 2" xfId="288"/>
    <cellStyle name="40% - 强调文字颜色 3 3 3" xfId="289"/>
    <cellStyle name="40% - 强调文字颜色 3 3 4" xfId="290"/>
    <cellStyle name="40% - 强调文字颜色 3 3 5" xfId="291"/>
    <cellStyle name="40% - 强调文字颜色 3 3 6" xfId="292"/>
    <cellStyle name="40% - 强调文字颜色 3 3 7" xfId="293"/>
    <cellStyle name="40% - 强调文字颜色 3 4" xfId="294"/>
    <cellStyle name="40% - 强调文字颜色 3 4 2" xfId="295"/>
    <cellStyle name="40% - 强调文字颜色 3 4 3" xfId="296"/>
    <cellStyle name="40% - 强调文字颜色 3 4 4" xfId="297"/>
    <cellStyle name="40% - 强调文字颜色 3 4 5" xfId="298"/>
    <cellStyle name="40% - 强调文字颜色 3 4 6" xfId="299"/>
    <cellStyle name="40% - 强调文字颜色 3 4 7" xfId="300"/>
    <cellStyle name="40% - 强调文字颜色 3 5" xfId="301"/>
    <cellStyle name="40% - 强调文字颜色 3 5 2" xfId="302"/>
    <cellStyle name="40% - 强调文字颜色 3 5 3" xfId="303"/>
    <cellStyle name="40% - 强调文字颜色 3 5 4" xfId="304"/>
    <cellStyle name="40% - 强调文字颜色 3 5 5" xfId="305"/>
    <cellStyle name="40% - 强调文字颜色 3 5 6" xfId="306"/>
    <cellStyle name="40% - 强调文字颜色 3 5 7" xfId="307"/>
    <cellStyle name="40% - 强调文字颜色 4 2" xfId="308"/>
    <cellStyle name="40% - 强调文字颜色 4 2 2" xfId="309"/>
    <cellStyle name="40% - 强调文字颜色 4 2 3" xfId="310"/>
    <cellStyle name="40% - 强调文字颜色 4 2 4" xfId="311"/>
    <cellStyle name="40% - 强调文字颜色 4 2 5" xfId="312"/>
    <cellStyle name="40% - 强调文字颜色 4 2 6" xfId="313"/>
    <cellStyle name="40% - 强调文字颜色 4 2 7" xfId="314"/>
    <cellStyle name="40% - 强调文字颜色 4 3" xfId="315"/>
    <cellStyle name="40% - 强调文字颜色 4 3 2" xfId="316"/>
    <cellStyle name="40% - 强调文字颜色 4 3 3" xfId="317"/>
    <cellStyle name="40% - 强调文字颜色 4 3 4" xfId="318"/>
    <cellStyle name="40% - 强调文字颜色 4 3 5" xfId="319"/>
    <cellStyle name="40% - 强调文字颜色 4 3 6" xfId="320"/>
    <cellStyle name="40% - 强调文字颜色 4 3 7" xfId="321"/>
    <cellStyle name="40% - 强调文字颜色 4 4" xfId="322"/>
    <cellStyle name="40% - 强调文字颜色 4 4 2" xfId="323"/>
    <cellStyle name="40% - 强调文字颜色 4 4 3" xfId="324"/>
    <cellStyle name="40% - 强调文字颜色 4 4 4" xfId="325"/>
    <cellStyle name="40% - 强调文字颜色 4 4 5" xfId="326"/>
    <cellStyle name="40% - 强调文字颜色 4 4 6" xfId="327"/>
    <cellStyle name="40% - 强调文字颜色 4 4 7" xfId="328"/>
    <cellStyle name="40% - 强调文字颜色 4 5" xfId="329"/>
    <cellStyle name="40% - 强调文字颜色 4 5 2" xfId="330"/>
    <cellStyle name="40% - 强调文字颜色 4 5 3" xfId="331"/>
    <cellStyle name="40% - 强调文字颜色 4 5 4" xfId="332"/>
    <cellStyle name="40% - 强调文字颜色 4 5 5" xfId="333"/>
    <cellStyle name="40% - 强调文字颜色 4 5 6" xfId="334"/>
    <cellStyle name="40% - 强调文字颜色 4 5 7" xfId="335"/>
    <cellStyle name="40% - 强调文字颜色 5 2" xfId="336"/>
    <cellStyle name="40% - 强调文字颜色 5 2 2" xfId="337"/>
    <cellStyle name="40% - 强调文字颜色 5 2 3" xfId="338"/>
    <cellStyle name="40% - 强调文字颜色 5 2 4" xfId="339"/>
    <cellStyle name="40% - 强调文字颜色 5 2 5" xfId="340"/>
    <cellStyle name="40% - 强调文字颜色 5 2 6" xfId="341"/>
    <cellStyle name="40% - 强调文字颜色 5 2 7" xfId="342"/>
    <cellStyle name="40% - 强调文字颜色 5 3" xfId="343"/>
    <cellStyle name="40% - 强调文字颜色 5 3 2" xfId="344"/>
    <cellStyle name="40% - 强调文字颜色 5 3 3" xfId="345"/>
    <cellStyle name="40% - 强调文字颜色 5 3 4" xfId="346"/>
    <cellStyle name="40% - 强调文字颜色 5 3 5" xfId="347"/>
    <cellStyle name="40% - 强调文字颜色 5 3 6" xfId="348"/>
    <cellStyle name="40% - 强调文字颜色 5 3 7" xfId="349"/>
    <cellStyle name="40% - 强调文字颜色 5 4" xfId="350"/>
    <cellStyle name="40% - 强调文字颜色 5 4 2" xfId="351"/>
    <cellStyle name="40% - 强调文字颜色 5 4 3" xfId="352"/>
    <cellStyle name="40% - 强调文字颜色 5 4 4" xfId="353"/>
    <cellStyle name="40% - 强调文字颜色 5 4 5" xfId="354"/>
    <cellStyle name="40% - 强调文字颜色 5 4 6" xfId="355"/>
    <cellStyle name="40% - 强调文字颜色 5 4 7" xfId="356"/>
    <cellStyle name="40% - 强调文字颜色 5 5" xfId="357"/>
    <cellStyle name="40% - 强调文字颜色 5 5 2" xfId="358"/>
    <cellStyle name="40% - 强调文字颜色 5 5 3" xfId="359"/>
    <cellStyle name="40% - 强调文字颜色 5 5 4" xfId="360"/>
    <cellStyle name="40% - 强调文字颜色 5 5 5" xfId="361"/>
    <cellStyle name="40% - 强调文字颜色 5 5 6" xfId="362"/>
    <cellStyle name="40% - 强调文字颜色 5 5 7" xfId="363"/>
    <cellStyle name="40% - 强调文字颜色 6 2" xfId="364"/>
    <cellStyle name="40% - 强调文字颜色 6 2 2" xfId="365"/>
    <cellStyle name="40% - 强调文字颜色 6 2 3" xfId="366"/>
    <cellStyle name="40% - 强调文字颜色 6 2 4" xfId="367"/>
    <cellStyle name="40% - 强调文字颜色 6 2 5" xfId="368"/>
    <cellStyle name="40% - 强调文字颜色 6 2 6" xfId="369"/>
    <cellStyle name="40% - 强调文字颜色 6 2 7" xfId="370"/>
    <cellStyle name="40% - 强调文字颜色 6 3" xfId="371"/>
    <cellStyle name="40% - 强调文字颜色 6 3 2" xfId="372"/>
    <cellStyle name="40% - 强调文字颜色 6 3 3" xfId="373"/>
    <cellStyle name="40% - 强调文字颜色 6 3 4" xfId="374"/>
    <cellStyle name="40% - 强调文字颜色 6 3 5" xfId="375"/>
    <cellStyle name="40% - 强调文字颜色 6 3 6" xfId="376"/>
    <cellStyle name="40% - 强调文字颜色 6 3 7" xfId="377"/>
    <cellStyle name="40% - 强调文字颜色 6 4" xfId="378"/>
    <cellStyle name="40% - 强调文字颜色 6 4 2" xfId="379"/>
    <cellStyle name="40% - 强调文字颜色 6 4 3" xfId="380"/>
    <cellStyle name="40% - 强调文字颜色 6 4 4" xfId="381"/>
    <cellStyle name="40% - 强调文字颜色 6 4 5" xfId="382"/>
    <cellStyle name="40% - 强调文字颜色 6 4 6" xfId="383"/>
    <cellStyle name="40% - 强调文字颜色 6 4 7" xfId="384"/>
    <cellStyle name="40% - 强调文字颜色 6 5" xfId="385"/>
    <cellStyle name="40% - 强调文字颜色 6 5 2" xfId="386"/>
    <cellStyle name="40% - 强调文字颜色 6 5 3" xfId="387"/>
    <cellStyle name="40% - 强调文字颜色 6 5 4" xfId="388"/>
    <cellStyle name="40% - 强调文字颜色 6 5 5" xfId="389"/>
    <cellStyle name="40% - 强调文字颜色 6 5 6" xfId="390"/>
    <cellStyle name="40% - 强调文字颜色 6 5 7" xfId="391"/>
    <cellStyle name="40% - Accent1" xfId="392"/>
    <cellStyle name="40% - Accent2" xfId="393"/>
    <cellStyle name="40% - Accent3" xfId="394"/>
    <cellStyle name="40% - Accent4" xfId="395"/>
    <cellStyle name="40% - Accent5" xfId="396"/>
    <cellStyle name="40% - Accent6" xfId="397"/>
    <cellStyle name="40% - アクセント 1" xfId="398"/>
    <cellStyle name="40% - アクセント 1 2" xfId="399"/>
    <cellStyle name="40% - アクセント 1 3" xfId="400"/>
    <cellStyle name="40% - アクセント 1 3 2" xfId="401"/>
    <cellStyle name="40% - アクセント 1 4" xfId="402"/>
    <cellStyle name="40% - アクセント 1 4 2" xfId="403"/>
    <cellStyle name="40% - アクセント 1 4 3" xfId="404"/>
    <cellStyle name="40% - アクセント 1 5" xfId="405"/>
    <cellStyle name="40% - アクセント 2" xfId="406"/>
    <cellStyle name="40% - アクセント 2 2" xfId="407"/>
    <cellStyle name="40% - アクセント 2 3" xfId="408"/>
    <cellStyle name="40% - アクセント 2 3 2" xfId="409"/>
    <cellStyle name="40% - アクセント 2 4" xfId="410"/>
    <cellStyle name="40% - アクセント 2 4 2" xfId="411"/>
    <cellStyle name="40% - アクセント 2 4 3" xfId="412"/>
    <cellStyle name="40% - アクセント 2 5" xfId="413"/>
    <cellStyle name="40% - アクセント 3" xfId="414"/>
    <cellStyle name="40% - アクセント 3 2" xfId="415"/>
    <cellStyle name="40% - アクセント 3 3" xfId="416"/>
    <cellStyle name="40% - アクセント 3 3 2" xfId="417"/>
    <cellStyle name="40% - アクセント 3 4" xfId="418"/>
    <cellStyle name="40% - アクセント 3 4 2" xfId="419"/>
    <cellStyle name="40% - アクセント 3 4 3" xfId="420"/>
    <cellStyle name="40% - アクセント 3 5" xfId="421"/>
    <cellStyle name="40% - アクセント 4" xfId="422"/>
    <cellStyle name="40% - アクセント 4 2" xfId="423"/>
    <cellStyle name="40% - アクセント 4 3" xfId="424"/>
    <cellStyle name="40% - アクセント 4 3 2" xfId="425"/>
    <cellStyle name="40% - アクセント 4 4" xfId="426"/>
    <cellStyle name="40% - アクセント 4 4 2" xfId="427"/>
    <cellStyle name="40% - アクセント 4 4 3" xfId="428"/>
    <cellStyle name="40% - アクセント 4 5" xfId="429"/>
    <cellStyle name="40% - アクセント 5" xfId="430"/>
    <cellStyle name="40% - アクセント 5 2" xfId="431"/>
    <cellStyle name="40% - アクセント 5 3" xfId="432"/>
    <cellStyle name="40% - アクセント 5 3 2" xfId="433"/>
    <cellStyle name="40% - アクセント 5 4" xfId="434"/>
    <cellStyle name="40% - アクセント 5 4 2" xfId="435"/>
    <cellStyle name="40% - アクセント 5 4 3" xfId="436"/>
    <cellStyle name="40% - アクセント 5 5" xfId="437"/>
    <cellStyle name="40% - アクセント 6" xfId="438"/>
    <cellStyle name="40% - アクセント 6 2" xfId="439"/>
    <cellStyle name="40% - アクセント 6 3" xfId="440"/>
    <cellStyle name="40% - アクセント 6 3 2" xfId="441"/>
    <cellStyle name="40% - アクセント 6 4" xfId="442"/>
    <cellStyle name="40% - アクセント 6 4 2" xfId="443"/>
    <cellStyle name="40% - アクセント 6 4 3" xfId="444"/>
    <cellStyle name="40% - アクセント 6 5" xfId="445"/>
    <cellStyle name="60% - 强调文字颜色 1 2" xfId="446"/>
    <cellStyle name="60% - 强调文字颜色 1 2 2" xfId="447"/>
    <cellStyle name="60% - 强调文字颜色 1 2 3" xfId="448"/>
    <cellStyle name="60% - 强调文字颜色 1 2 4" xfId="449"/>
    <cellStyle name="60% - 强调文字颜色 1 2 5" xfId="450"/>
    <cellStyle name="60% - 强调文字颜色 1 2 6" xfId="451"/>
    <cellStyle name="60% - 强调文字颜色 1 2 7" xfId="452"/>
    <cellStyle name="60% - 强调文字颜色 1 3" xfId="453"/>
    <cellStyle name="60% - 强调文字颜色 1 3 2" xfId="454"/>
    <cellStyle name="60% - 强调文字颜色 1 3 3" xfId="455"/>
    <cellStyle name="60% - 强调文字颜色 1 3 4" xfId="456"/>
    <cellStyle name="60% - 强调文字颜色 1 3 5" xfId="457"/>
    <cellStyle name="60% - 强调文字颜色 1 3 6" xfId="458"/>
    <cellStyle name="60% - 强调文字颜色 1 3 7" xfId="459"/>
    <cellStyle name="60% - 强调文字颜色 1 4" xfId="460"/>
    <cellStyle name="60% - 强调文字颜色 1 4 2" xfId="461"/>
    <cellStyle name="60% - 强调文字颜色 1 4 3" xfId="462"/>
    <cellStyle name="60% - 强调文字颜色 1 4 4" xfId="463"/>
    <cellStyle name="60% - 强调文字颜色 1 4 5" xfId="464"/>
    <cellStyle name="60% - 强调文字颜色 1 4 6" xfId="465"/>
    <cellStyle name="60% - 强调文字颜色 1 4 7" xfId="466"/>
    <cellStyle name="60% - 强调文字颜色 1 5" xfId="467"/>
    <cellStyle name="60% - 强调文字颜色 1 5 2" xfId="468"/>
    <cellStyle name="60% - 强调文字颜色 1 5 3" xfId="469"/>
    <cellStyle name="60% - 强调文字颜色 1 5 4" xfId="470"/>
    <cellStyle name="60% - 强调文字颜色 1 5 5" xfId="471"/>
    <cellStyle name="60% - 强调文字颜色 1 5 6" xfId="472"/>
    <cellStyle name="60% - 强调文字颜色 1 5 7" xfId="473"/>
    <cellStyle name="60% - 强调文字颜色 2 2" xfId="474"/>
    <cellStyle name="60% - 强调文字颜色 2 2 2" xfId="475"/>
    <cellStyle name="60% - 强调文字颜色 2 2 3" xfId="476"/>
    <cellStyle name="60% - 强调文字颜色 2 2 4" xfId="477"/>
    <cellStyle name="60% - 强调文字颜色 2 2 5" xfId="478"/>
    <cellStyle name="60% - 强调文字颜色 2 2 6" xfId="479"/>
    <cellStyle name="60% - 强调文字颜色 2 2 7" xfId="480"/>
    <cellStyle name="60% - 强调文字颜色 2 3" xfId="481"/>
    <cellStyle name="60% - 强调文字颜色 2 3 2" xfId="482"/>
    <cellStyle name="60% - 强调文字颜色 2 3 3" xfId="483"/>
    <cellStyle name="60% - 强调文字颜色 2 3 4" xfId="484"/>
    <cellStyle name="60% - 强调文字颜色 2 3 5" xfId="485"/>
    <cellStyle name="60% - 强调文字颜色 2 3 6" xfId="486"/>
    <cellStyle name="60% - 强调文字颜色 2 3 7" xfId="487"/>
    <cellStyle name="60% - 强调文字颜色 2 4" xfId="488"/>
    <cellStyle name="60% - 强调文字颜色 2 4 2" xfId="489"/>
    <cellStyle name="60% - 强调文字颜色 2 4 3" xfId="490"/>
    <cellStyle name="60% - 强调文字颜色 2 4 4" xfId="491"/>
    <cellStyle name="60% - 强调文字颜色 2 4 5" xfId="492"/>
    <cellStyle name="60% - 强调文字颜色 2 4 6" xfId="493"/>
    <cellStyle name="60% - 强调文字颜色 2 4 7" xfId="494"/>
    <cellStyle name="60% - 强调文字颜色 2 5" xfId="495"/>
    <cellStyle name="60% - 强调文字颜色 2 5 2" xfId="496"/>
    <cellStyle name="60% - 强调文字颜色 2 5 3" xfId="497"/>
    <cellStyle name="60% - 强调文字颜色 2 5 4" xfId="498"/>
    <cellStyle name="60% - 强调文字颜色 2 5 5" xfId="499"/>
    <cellStyle name="60% - 强调文字颜色 2 5 6" xfId="500"/>
    <cellStyle name="60% - 强调文字颜色 2 5 7" xfId="501"/>
    <cellStyle name="60% - 强调文字颜色 3 2" xfId="502"/>
    <cellStyle name="60% - 强调文字颜色 3 2 2" xfId="503"/>
    <cellStyle name="60% - 强调文字颜色 3 2 3" xfId="504"/>
    <cellStyle name="60% - 强调文字颜色 3 2 4" xfId="505"/>
    <cellStyle name="60% - 强调文字颜色 3 2 5" xfId="506"/>
    <cellStyle name="60% - 强调文字颜色 3 2 6" xfId="507"/>
    <cellStyle name="60% - 强调文字颜色 3 2 7" xfId="508"/>
    <cellStyle name="60% - 强调文字颜色 3 3" xfId="509"/>
    <cellStyle name="60% - 强调文字颜色 3 3 2" xfId="510"/>
    <cellStyle name="60% - 强调文字颜色 3 3 3" xfId="511"/>
    <cellStyle name="60% - 强调文字颜色 3 3 4" xfId="512"/>
    <cellStyle name="60% - 强调文字颜色 3 3 5" xfId="513"/>
    <cellStyle name="60% - 强调文字颜色 3 3 6" xfId="514"/>
    <cellStyle name="60% - 强调文字颜色 3 3 7" xfId="515"/>
    <cellStyle name="60% - 强调文字颜色 3 4" xfId="516"/>
    <cellStyle name="60% - 强调文字颜色 3 4 2" xfId="517"/>
    <cellStyle name="60% - 强调文字颜色 3 4 3" xfId="518"/>
    <cellStyle name="60% - 强调文字颜色 3 4 4" xfId="519"/>
    <cellStyle name="60% - 强调文字颜色 3 4 5" xfId="520"/>
    <cellStyle name="60% - 强调文字颜色 3 4 6" xfId="521"/>
    <cellStyle name="60% - 强调文字颜色 3 4 7" xfId="522"/>
    <cellStyle name="60% - 强调文字颜色 3 5" xfId="523"/>
    <cellStyle name="60% - 强调文字颜色 3 5 2" xfId="524"/>
    <cellStyle name="60% - 强调文字颜色 3 5 3" xfId="525"/>
    <cellStyle name="60% - 强调文字颜色 3 5 4" xfId="526"/>
    <cellStyle name="60% - 强调文字颜色 3 5 5" xfId="527"/>
    <cellStyle name="60% - 强调文字颜色 3 5 6" xfId="528"/>
    <cellStyle name="60% - 强调文字颜色 3 5 7" xfId="529"/>
    <cellStyle name="60% - 强调文字颜色 4 2" xfId="530"/>
    <cellStyle name="60% - 强调文字颜色 4 2 2" xfId="531"/>
    <cellStyle name="60% - 强调文字颜色 4 2 3" xfId="532"/>
    <cellStyle name="60% - 强调文字颜色 4 2 4" xfId="533"/>
    <cellStyle name="60% - 强调文字颜色 4 2 5" xfId="534"/>
    <cellStyle name="60% - 强调文字颜色 4 2 6" xfId="535"/>
    <cellStyle name="60% - 强调文字颜色 4 2 7" xfId="536"/>
    <cellStyle name="60% - 强调文字颜色 4 3" xfId="537"/>
    <cellStyle name="60% - 强调文字颜色 4 3 2" xfId="538"/>
    <cellStyle name="60% - 强调文字颜色 4 3 3" xfId="539"/>
    <cellStyle name="60% - 强调文字颜色 4 3 4" xfId="540"/>
    <cellStyle name="60% - 强调文字颜色 4 3 5" xfId="541"/>
    <cellStyle name="60% - 强调文字颜色 4 3 6" xfId="542"/>
    <cellStyle name="60% - 强调文字颜色 4 3 7" xfId="543"/>
    <cellStyle name="60% - 强调文字颜色 4 4" xfId="544"/>
    <cellStyle name="60% - 强调文字颜色 4 4 2" xfId="545"/>
    <cellStyle name="60% - 强调文字颜色 4 4 3" xfId="546"/>
    <cellStyle name="60% - 强调文字颜色 4 4 4" xfId="547"/>
    <cellStyle name="60% - 强调文字颜色 4 4 5" xfId="548"/>
    <cellStyle name="60% - 强调文字颜色 4 4 6" xfId="549"/>
    <cellStyle name="60% - 强调文字颜色 4 4 7" xfId="550"/>
    <cellStyle name="60% - 强调文字颜色 4 5" xfId="551"/>
    <cellStyle name="60% - 强调文字颜色 4 5 2" xfId="552"/>
    <cellStyle name="60% - 强调文字颜色 4 5 3" xfId="553"/>
    <cellStyle name="60% - 强调文字颜色 4 5 4" xfId="554"/>
    <cellStyle name="60% - 强调文字颜色 4 5 5" xfId="555"/>
    <cellStyle name="60% - 强调文字颜色 4 5 6" xfId="556"/>
    <cellStyle name="60% - 强调文字颜色 4 5 7" xfId="557"/>
    <cellStyle name="60% - 强调文字颜色 5 2" xfId="558"/>
    <cellStyle name="60% - 强调文字颜色 5 2 2" xfId="559"/>
    <cellStyle name="60% - 强调文字颜色 5 2 3" xfId="560"/>
    <cellStyle name="60% - 强调文字颜色 5 2 4" xfId="561"/>
    <cellStyle name="60% - 强调文字颜色 5 2 5" xfId="562"/>
    <cellStyle name="60% - 强调文字颜色 5 2 6" xfId="563"/>
    <cellStyle name="60% - 强调文字颜色 5 2 7" xfId="564"/>
    <cellStyle name="60% - 强调文字颜色 5 3" xfId="565"/>
    <cellStyle name="60% - 强调文字颜色 5 3 2" xfId="566"/>
    <cellStyle name="60% - 强调文字颜色 5 3 3" xfId="567"/>
    <cellStyle name="60% - 强调文字颜色 5 3 4" xfId="568"/>
    <cellStyle name="60% - 强调文字颜色 5 3 5" xfId="569"/>
    <cellStyle name="60% - 强调文字颜色 5 3 6" xfId="570"/>
    <cellStyle name="60% - 强调文字颜色 5 3 7" xfId="571"/>
    <cellStyle name="60% - 强调文字颜色 5 4" xfId="572"/>
    <cellStyle name="60% - 强调文字颜色 5 4 2" xfId="573"/>
    <cellStyle name="60% - 强调文字颜色 5 4 3" xfId="574"/>
    <cellStyle name="60% - 强调文字颜色 5 4 4" xfId="575"/>
    <cellStyle name="60% - 强调文字颜色 5 4 5" xfId="576"/>
    <cellStyle name="60% - 强调文字颜色 5 4 6" xfId="577"/>
    <cellStyle name="60% - 强调文字颜色 5 4 7" xfId="578"/>
    <cellStyle name="60% - 强调文字颜色 5 5" xfId="579"/>
    <cellStyle name="60% - 强调文字颜色 5 5 2" xfId="580"/>
    <cellStyle name="60% - 强调文字颜色 5 5 3" xfId="581"/>
    <cellStyle name="60% - 强调文字颜色 5 5 4" xfId="582"/>
    <cellStyle name="60% - 强调文字颜色 5 5 5" xfId="583"/>
    <cellStyle name="60% - 强调文字颜色 5 5 6" xfId="584"/>
    <cellStyle name="60% - 强调文字颜色 5 5 7" xfId="585"/>
    <cellStyle name="60% - 强调文字颜色 6 2" xfId="586"/>
    <cellStyle name="60% - 强调文字颜色 6 2 2" xfId="587"/>
    <cellStyle name="60% - 强调文字颜色 6 2 3" xfId="588"/>
    <cellStyle name="60% - 强调文字颜色 6 2 4" xfId="589"/>
    <cellStyle name="60% - 强调文字颜色 6 2 5" xfId="590"/>
    <cellStyle name="60% - 强调文字颜色 6 2 6" xfId="591"/>
    <cellStyle name="60% - 强调文字颜色 6 2 7" xfId="592"/>
    <cellStyle name="60% - 强调文字颜色 6 3" xfId="593"/>
    <cellStyle name="60% - 强调文字颜色 6 3 2" xfId="594"/>
    <cellStyle name="60% - 强调文字颜色 6 3 3" xfId="595"/>
    <cellStyle name="60% - 强调文字颜色 6 3 4" xfId="596"/>
    <cellStyle name="60% - 强调文字颜色 6 3 5" xfId="597"/>
    <cellStyle name="60% - 强调文字颜色 6 3 6" xfId="598"/>
    <cellStyle name="60% - 强调文字颜色 6 3 7" xfId="599"/>
    <cellStyle name="60% - 强调文字颜色 6 4" xfId="600"/>
    <cellStyle name="60% - 强调文字颜色 6 4 2" xfId="601"/>
    <cellStyle name="60% - 强调文字颜色 6 4 3" xfId="602"/>
    <cellStyle name="60% - 强调文字颜色 6 4 4" xfId="603"/>
    <cellStyle name="60% - 强调文字颜色 6 4 5" xfId="604"/>
    <cellStyle name="60% - 强调文字颜色 6 4 6" xfId="605"/>
    <cellStyle name="60% - 强调文字颜色 6 4 7" xfId="606"/>
    <cellStyle name="60% - 强调文字颜色 6 5" xfId="607"/>
    <cellStyle name="60% - 强调文字颜色 6 5 2" xfId="608"/>
    <cellStyle name="60% - 强调文字颜色 6 5 3" xfId="609"/>
    <cellStyle name="60% - 强调文字颜色 6 5 4" xfId="610"/>
    <cellStyle name="60% - 强调文字颜色 6 5 5" xfId="611"/>
    <cellStyle name="60% - 强调文字颜色 6 5 6" xfId="612"/>
    <cellStyle name="60% - 强调文字颜色 6 5 7" xfId="613"/>
    <cellStyle name="60% - Accent1" xfId="614"/>
    <cellStyle name="60% - Accent2" xfId="615"/>
    <cellStyle name="60% - Accent3" xfId="616"/>
    <cellStyle name="60% - Accent4" xfId="617"/>
    <cellStyle name="60% - Accent5" xfId="618"/>
    <cellStyle name="60% - Accent6" xfId="619"/>
    <cellStyle name="60% - アクセント 1" xfId="620"/>
    <cellStyle name="60% - アクセント 1 2" xfId="621"/>
    <cellStyle name="60% - アクセント 1 3" xfId="622"/>
    <cellStyle name="60% - アクセント 1 3 2" xfId="623"/>
    <cellStyle name="60% - アクセント 1 4" xfId="624"/>
    <cellStyle name="60% - アクセント 1 4 2" xfId="625"/>
    <cellStyle name="60% - アクセント 1 4 3" xfId="626"/>
    <cellStyle name="60% - アクセント 1 5" xfId="627"/>
    <cellStyle name="60% - アクセント 2" xfId="628"/>
    <cellStyle name="60% - アクセント 2 2" xfId="629"/>
    <cellStyle name="60% - アクセント 2 3" xfId="630"/>
    <cellStyle name="60% - アクセント 2 3 2" xfId="631"/>
    <cellStyle name="60% - アクセント 2 4" xfId="632"/>
    <cellStyle name="60% - アクセント 2 4 2" xfId="633"/>
    <cellStyle name="60% - アクセント 2 4 3" xfId="634"/>
    <cellStyle name="60% - アクセント 2 5" xfId="635"/>
    <cellStyle name="60% - アクセント 3" xfId="636"/>
    <cellStyle name="60% - アクセント 3 2" xfId="637"/>
    <cellStyle name="60% - アクセント 3 3" xfId="638"/>
    <cellStyle name="60% - アクセント 3 3 2" xfId="639"/>
    <cellStyle name="60% - アクセント 3 4" xfId="640"/>
    <cellStyle name="60% - アクセント 3 4 2" xfId="641"/>
    <cellStyle name="60% - アクセント 3 4 3" xfId="642"/>
    <cellStyle name="60% - アクセント 3 5" xfId="643"/>
    <cellStyle name="60% - アクセント 4" xfId="644"/>
    <cellStyle name="60% - アクセント 4 2" xfId="645"/>
    <cellStyle name="60% - アクセント 4 3" xfId="646"/>
    <cellStyle name="60% - アクセント 4 3 2" xfId="647"/>
    <cellStyle name="60% - アクセント 4 4" xfId="648"/>
    <cellStyle name="60% - アクセント 4 4 2" xfId="649"/>
    <cellStyle name="60% - アクセント 4 4 3" xfId="650"/>
    <cellStyle name="60% - アクセント 4 5" xfId="651"/>
    <cellStyle name="60% - アクセント 5" xfId="652"/>
    <cellStyle name="60% - アクセント 5 2" xfId="653"/>
    <cellStyle name="60% - アクセント 5 3" xfId="654"/>
    <cellStyle name="60% - アクセント 5 3 2" xfId="655"/>
    <cellStyle name="60% - アクセント 5 4" xfId="656"/>
    <cellStyle name="60% - アクセント 5 4 2" xfId="657"/>
    <cellStyle name="60% - アクセント 5 4 3" xfId="658"/>
    <cellStyle name="60% - アクセント 5 5" xfId="659"/>
    <cellStyle name="60% - アクセント 6" xfId="660"/>
    <cellStyle name="60% - アクセント 6 2" xfId="661"/>
    <cellStyle name="60% - アクセント 6 3" xfId="662"/>
    <cellStyle name="60% - アクセント 6 3 2" xfId="663"/>
    <cellStyle name="60% - アクセント 6 4" xfId="664"/>
    <cellStyle name="60% - アクセント 6 4 2" xfId="665"/>
    <cellStyle name="60% - アクセント 6 4 3" xfId="666"/>
    <cellStyle name="60% - アクセント 6 5" xfId="667"/>
    <cellStyle name="强调文字颜色 1 2" xfId="668"/>
    <cellStyle name="强调文字颜色 1 2 2" xfId="669"/>
    <cellStyle name="强调文字颜色 1 2 3" xfId="670"/>
    <cellStyle name="强调文字颜色 1 2 4" xfId="671"/>
    <cellStyle name="强调文字颜色 1 2 5" xfId="672"/>
    <cellStyle name="强调文字颜色 1 2 6" xfId="673"/>
    <cellStyle name="强调文字颜色 1 2 7" xfId="674"/>
    <cellStyle name="强调文字颜色 1 3" xfId="675"/>
    <cellStyle name="强调文字颜色 1 3 2" xfId="676"/>
    <cellStyle name="强调文字颜色 1 3 3" xfId="677"/>
    <cellStyle name="强调文字颜色 1 3 4" xfId="678"/>
    <cellStyle name="强调文字颜色 1 3 5" xfId="679"/>
    <cellStyle name="强调文字颜色 1 3 6" xfId="680"/>
    <cellStyle name="强调文字颜色 1 3 7" xfId="681"/>
    <cellStyle name="强调文字颜色 1 4" xfId="682"/>
    <cellStyle name="强调文字颜色 1 4 2" xfId="683"/>
    <cellStyle name="强调文字颜色 1 4 3" xfId="684"/>
    <cellStyle name="强调文字颜色 1 4 4" xfId="685"/>
    <cellStyle name="强调文字颜色 1 4 5" xfId="686"/>
    <cellStyle name="强调文字颜色 1 4 6" xfId="687"/>
    <cellStyle name="强调文字颜色 1 4 7" xfId="688"/>
    <cellStyle name="强调文字颜色 1 5" xfId="689"/>
    <cellStyle name="强调文字颜色 1 5 2" xfId="690"/>
    <cellStyle name="强调文字颜色 1 5 3" xfId="691"/>
    <cellStyle name="强调文字颜色 1 5 4" xfId="692"/>
    <cellStyle name="强调文字颜色 1 5 5" xfId="693"/>
    <cellStyle name="强调文字颜色 1 5 6" xfId="694"/>
    <cellStyle name="强调文字颜色 1 5 7" xfId="695"/>
    <cellStyle name="强调文字颜色 2 2" xfId="696"/>
    <cellStyle name="强调文字颜色 2 2 2" xfId="697"/>
    <cellStyle name="强调文字颜色 2 2 3" xfId="698"/>
    <cellStyle name="强调文字颜色 2 2 4" xfId="699"/>
    <cellStyle name="强调文字颜色 2 2 5" xfId="700"/>
    <cellStyle name="强调文字颜色 2 2 6" xfId="701"/>
    <cellStyle name="强调文字颜色 2 2 7" xfId="702"/>
    <cellStyle name="强调文字颜色 2 3" xfId="703"/>
    <cellStyle name="强调文字颜色 2 3 2" xfId="704"/>
    <cellStyle name="强调文字颜色 2 3 3" xfId="705"/>
    <cellStyle name="强调文字颜色 2 3 4" xfId="706"/>
    <cellStyle name="强调文字颜色 2 3 5" xfId="707"/>
    <cellStyle name="强调文字颜色 2 3 6" xfId="708"/>
    <cellStyle name="强调文字颜色 2 3 7" xfId="709"/>
    <cellStyle name="强调文字颜色 2 4" xfId="710"/>
    <cellStyle name="强调文字颜色 2 4 2" xfId="711"/>
    <cellStyle name="强调文字颜色 2 4 3" xfId="712"/>
    <cellStyle name="强调文字颜色 2 4 4" xfId="713"/>
    <cellStyle name="强调文字颜色 2 4 5" xfId="714"/>
    <cellStyle name="强调文字颜色 2 4 6" xfId="715"/>
    <cellStyle name="强调文字颜色 2 4 7" xfId="716"/>
    <cellStyle name="强调文字颜色 2 5" xfId="717"/>
    <cellStyle name="强调文字颜色 2 5 2" xfId="718"/>
    <cellStyle name="强调文字颜色 2 5 3" xfId="719"/>
    <cellStyle name="强调文字颜色 2 5 4" xfId="720"/>
    <cellStyle name="强调文字颜色 2 5 5" xfId="721"/>
    <cellStyle name="强调文字颜色 2 5 6" xfId="722"/>
    <cellStyle name="强调文字颜色 2 5 7" xfId="723"/>
    <cellStyle name="强调文字颜色 3 2" xfId="724"/>
    <cellStyle name="强调文字颜色 3 2 2" xfId="725"/>
    <cellStyle name="强调文字颜色 3 2 3" xfId="726"/>
    <cellStyle name="强调文字颜色 3 2 4" xfId="727"/>
    <cellStyle name="强调文字颜色 3 2 5" xfId="728"/>
    <cellStyle name="强调文字颜色 3 2 6" xfId="729"/>
    <cellStyle name="强调文字颜色 3 2 7" xfId="730"/>
    <cellStyle name="强调文字颜色 3 3" xfId="731"/>
    <cellStyle name="强调文字颜色 3 3 2" xfId="732"/>
    <cellStyle name="强调文字颜色 3 3 3" xfId="733"/>
    <cellStyle name="强调文字颜色 3 3 4" xfId="734"/>
    <cellStyle name="强调文字颜色 3 3 5" xfId="735"/>
    <cellStyle name="强调文字颜色 3 3 6" xfId="736"/>
    <cellStyle name="强调文字颜色 3 3 7" xfId="737"/>
    <cellStyle name="强调文字颜色 3 4" xfId="738"/>
    <cellStyle name="强调文字颜色 3 4 2" xfId="739"/>
    <cellStyle name="强调文字颜色 3 4 3" xfId="740"/>
    <cellStyle name="强调文字颜色 3 4 4" xfId="741"/>
    <cellStyle name="强调文字颜色 3 4 5" xfId="742"/>
    <cellStyle name="强调文字颜色 3 4 6" xfId="743"/>
    <cellStyle name="强调文字颜色 3 4 7" xfId="744"/>
    <cellStyle name="强调文字颜色 3 5" xfId="745"/>
    <cellStyle name="强调文字颜色 3 5 2" xfId="746"/>
    <cellStyle name="强调文字颜色 3 5 3" xfId="747"/>
    <cellStyle name="强调文字颜色 3 5 4" xfId="748"/>
    <cellStyle name="强调文字颜色 3 5 5" xfId="749"/>
    <cellStyle name="强调文字颜色 3 5 6" xfId="750"/>
    <cellStyle name="强调文字颜色 3 5 7" xfId="751"/>
    <cellStyle name="强调文字颜色 4 2" xfId="752"/>
    <cellStyle name="强调文字颜色 4 2 2" xfId="753"/>
    <cellStyle name="强调文字颜色 4 2 3" xfId="754"/>
    <cellStyle name="强调文字颜色 4 2 4" xfId="755"/>
    <cellStyle name="强调文字颜色 4 2 5" xfId="756"/>
    <cellStyle name="强调文字颜色 4 2 6" xfId="757"/>
    <cellStyle name="强调文字颜色 4 2 7" xfId="758"/>
    <cellStyle name="强调文字颜色 4 3" xfId="759"/>
    <cellStyle name="强调文字颜色 4 3 2" xfId="760"/>
    <cellStyle name="强调文字颜色 4 3 3" xfId="761"/>
    <cellStyle name="强调文字颜色 4 3 4" xfId="762"/>
    <cellStyle name="强调文字颜色 4 3 5" xfId="763"/>
    <cellStyle name="强调文字颜色 4 3 6" xfId="764"/>
    <cellStyle name="强调文字颜色 4 3 7" xfId="765"/>
    <cellStyle name="强调文字颜色 4 4" xfId="766"/>
    <cellStyle name="强调文字颜色 4 4 2" xfId="767"/>
    <cellStyle name="强调文字颜色 4 4 3" xfId="768"/>
    <cellStyle name="强调文字颜色 4 4 4" xfId="769"/>
    <cellStyle name="强调文字颜色 4 4 5" xfId="770"/>
    <cellStyle name="强调文字颜色 4 4 6" xfId="771"/>
    <cellStyle name="强调文字颜色 4 4 7" xfId="772"/>
    <cellStyle name="强调文字颜色 4 5" xfId="773"/>
    <cellStyle name="强调文字颜色 4 5 2" xfId="774"/>
    <cellStyle name="强调文字颜色 4 5 3" xfId="775"/>
    <cellStyle name="强调文字颜色 4 5 4" xfId="776"/>
    <cellStyle name="强调文字颜色 4 5 5" xfId="777"/>
    <cellStyle name="强调文字颜色 4 5 6" xfId="778"/>
    <cellStyle name="强调文字颜色 4 5 7" xfId="779"/>
    <cellStyle name="强调文字颜色 5 2" xfId="780"/>
    <cellStyle name="强调文字颜色 5 2 2" xfId="781"/>
    <cellStyle name="强调文字颜色 5 2 3" xfId="782"/>
    <cellStyle name="强调文字颜色 5 2 4" xfId="783"/>
    <cellStyle name="强调文字颜色 5 2 5" xfId="784"/>
    <cellStyle name="强调文字颜色 5 2 6" xfId="785"/>
    <cellStyle name="强调文字颜色 5 2 7" xfId="786"/>
    <cellStyle name="强调文字颜色 5 3" xfId="787"/>
    <cellStyle name="强调文字颜色 5 3 2" xfId="788"/>
    <cellStyle name="强调文字颜色 5 3 3" xfId="789"/>
    <cellStyle name="强调文字颜色 5 3 4" xfId="790"/>
    <cellStyle name="强调文字颜色 5 3 5" xfId="791"/>
    <cellStyle name="强调文字颜色 5 3 6" xfId="792"/>
    <cellStyle name="强调文字颜色 5 3 7" xfId="793"/>
    <cellStyle name="强调文字颜色 5 4" xfId="794"/>
    <cellStyle name="强调文字颜色 5 4 2" xfId="795"/>
    <cellStyle name="强调文字颜色 5 4 3" xfId="796"/>
    <cellStyle name="强调文字颜色 5 4 4" xfId="797"/>
    <cellStyle name="强调文字颜色 5 4 5" xfId="798"/>
    <cellStyle name="强调文字颜色 5 4 6" xfId="799"/>
    <cellStyle name="强调文字颜色 5 4 7" xfId="800"/>
    <cellStyle name="强调文字颜色 5 5" xfId="801"/>
    <cellStyle name="强调文字颜色 5 5 2" xfId="802"/>
    <cellStyle name="强调文字颜色 5 5 3" xfId="803"/>
    <cellStyle name="强调文字颜色 5 5 4" xfId="804"/>
    <cellStyle name="强调文字颜色 5 5 5" xfId="805"/>
    <cellStyle name="强调文字颜色 5 5 6" xfId="806"/>
    <cellStyle name="强调文字颜色 5 5 7" xfId="807"/>
    <cellStyle name="强调文字颜色 6 2" xfId="808"/>
    <cellStyle name="强调文字颜色 6 2 2" xfId="809"/>
    <cellStyle name="强调文字颜色 6 2 3" xfId="810"/>
    <cellStyle name="强调文字颜色 6 2 4" xfId="811"/>
    <cellStyle name="强调文字颜色 6 2 5" xfId="812"/>
    <cellStyle name="强调文字颜色 6 2 6" xfId="813"/>
    <cellStyle name="强调文字颜色 6 2 7" xfId="814"/>
    <cellStyle name="强调文字颜色 6 3" xfId="815"/>
    <cellStyle name="强调文字颜色 6 3 2" xfId="816"/>
    <cellStyle name="强调文字颜色 6 3 3" xfId="817"/>
    <cellStyle name="强调文字颜色 6 3 4" xfId="818"/>
    <cellStyle name="强调文字颜色 6 3 5" xfId="819"/>
    <cellStyle name="强调文字颜色 6 3 6" xfId="820"/>
    <cellStyle name="强调文字颜色 6 3 7" xfId="821"/>
    <cellStyle name="强调文字颜色 6 4" xfId="822"/>
    <cellStyle name="强调文字颜色 6 4 2" xfId="823"/>
    <cellStyle name="强调文字颜色 6 4 3" xfId="824"/>
    <cellStyle name="强调文字颜色 6 4 4" xfId="825"/>
    <cellStyle name="强调文字颜色 6 4 5" xfId="826"/>
    <cellStyle name="强调文字颜色 6 4 6" xfId="827"/>
    <cellStyle name="强调文字颜色 6 4 7" xfId="828"/>
    <cellStyle name="强调文字颜色 6 5" xfId="829"/>
    <cellStyle name="强调文字颜色 6 5 2" xfId="830"/>
    <cellStyle name="强调文字颜色 6 5 3" xfId="831"/>
    <cellStyle name="强调文字颜色 6 5 4" xfId="832"/>
    <cellStyle name="强调文字颜色 6 5 5" xfId="833"/>
    <cellStyle name="强调文字颜色 6 5 6" xfId="834"/>
    <cellStyle name="强调文字颜色 6 5 7" xfId="835"/>
    <cellStyle name="見出し 1" xfId="836"/>
    <cellStyle name="見出し 1 2" xfId="837"/>
    <cellStyle name="見出し 1 3" xfId="838"/>
    <cellStyle name="見出し 1 3 2" xfId="839"/>
    <cellStyle name="見出し 1 4" xfId="840"/>
    <cellStyle name="見出し 1 4 2" xfId="841"/>
    <cellStyle name="見出し 1 4 3" xfId="842"/>
    <cellStyle name="見出し 1 5" xfId="843"/>
    <cellStyle name="見出し 2" xfId="844"/>
    <cellStyle name="見出し 2 2" xfId="845"/>
    <cellStyle name="見出し 2 3" xfId="846"/>
    <cellStyle name="見出し 2 3 2" xfId="847"/>
    <cellStyle name="見出し 2 4" xfId="848"/>
    <cellStyle name="見出し 2 4 2" xfId="849"/>
    <cellStyle name="見出し 2 4 3" xfId="850"/>
    <cellStyle name="見出し 2 5" xfId="851"/>
    <cellStyle name="見出し 3" xfId="852"/>
    <cellStyle name="見出し 3 2" xfId="853"/>
    <cellStyle name="見出し 3 3" xfId="854"/>
    <cellStyle name="見出し 3 3 2" xfId="855"/>
    <cellStyle name="見出し 3 4" xfId="856"/>
    <cellStyle name="見出し 3 4 2" xfId="857"/>
    <cellStyle name="見出し 3 4 3" xfId="858"/>
    <cellStyle name="見出し 3 5" xfId="859"/>
    <cellStyle name="見出し 4" xfId="860"/>
    <cellStyle name="見出し 4 2" xfId="861"/>
    <cellStyle name="見出し 4 3" xfId="862"/>
    <cellStyle name="見出し 4 3 2" xfId="863"/>
    <cellStyle name="見出し 4 4" xfId="864"/>
    <cellStyle name="見出し 4 4 2" xfId="865"/>
    <cellStyle name="見出し 4 4 3" xfId="866"/>
    <cellStyle name="見出し 4 5" xfId="867"/>
    <cellStyle name="警告文" xfId="868"/>
    <cellStyle name="警告文 2" xfId="869"/>
    <cellStyle name="警告文 3" xfId="870"/>
    <cellStyle name="警告文 3 2" xfId="871"/>
    <cellStyle name="警告文 4" xfId="872"/>
    <cellStyle name="警告文 4 2" xfId="873"/>
    <cellStyle name="警告文 4 3" xfId="874"/>
    <cellStyle name="警告文 5" xfId="875"/>
    <cellStyle name="警告文本 2" xfId="876"/>
    <cellStyle name="警告文本 2 2" xfId="877"/>
    <cellStyle name="警告文本 2 3" xfId="878"/>
    <cellStyle name="警告文本 2 4" xfId="879"/>
    <cellStyle name="警告文本 2 5" xfId="880"/>
    <cellStyle name="警告文本 2 6" xfId="881"/>
    <cellStyle name="警告文本 2 7" xfId="882"/>
    <cellStyle name="警告文本 3" xfId="883"/>
    <cellStyle name="警告文本 3 2" xfId="884"/>
    <cellStyle name="警告文本 3 3" xfId="885"/>
    <cellStyle name="警告文本 3 4" xfId="886"/>
    <cellStyle name="警告文本 3 5" xfId="887"/>
    <cellStyle name="警告文本 3 6" xfId="888"/>
    <cellStyle name="警告文本 3 7" xfId="889"/>
    <cellStyle name="警告文本 4" xfId="890"/>
    <cellStyle name="警告文本 4 2" xfId="891"/>
    <cellStyle name="警告文本 4 3" xfId="892"/>
    <cellStyle name="警告文本 4 4" xfId="893"/>
    <cellStyle name="警告文本 4 5" xfId="894"/>
    <cellStyle name="警告文本 4 6" xfId="895"/>
    <cellStyle name="警告文本 4 7" xfId="896"/>
    <cellStyle name="警告文本 5" xfId="897"/>
    <cellStyle name="警告文本 5 2" xfId="898"/>
    <cellStyle name="警告文本 5 3" xfId="899"/>
    <cellStyle name="警告文本 5 4" xfId="900"/>
    <cellStyle name="警告文本 5 5" xfId="901"/>
    <cellStyle name="警告文本 5 6" xfId="902"/>
    <cellStyle name="警告文本 5 7" xfId="903"/>
    <cellStyle name="計算" xfId="904"/>
    <cellStyle name="計算 2" xfId="905"/>
    <cellStyle name="計算 3" xfId="906"/>
    <cellStyle name="計算 3 2" xfId="907"/>
    <cellStyle name="計算 3_11FW 판매분석 120506 (JIL MI)" xfId="908"/>
    <cellStyle name="計算 4" xfId="909"/>
    <cellStyle name="計算 4 2" xfId="910"/>
    <cellStyle name="計算 4 3" xfId="911"/>
    <cellStyle name="計算 4_11FW 판매분석 120506 (JIL MI)" xfId="912"/>
    <cellStyle name="計算 5" xfId="913"/>
    <cellStyle name="計算_11FW 판매분석 120506 (JIL MI)" xfId="914"/>
    <cellStyle name="适中 2" xfId="915"/>
    <cellStyle name="适中 2 2" xfId="916"/>
    <cellStyle name="适中 2 3" xfId="917"/>
    <cellStyle name="适中 2 4" xfId="918"/>
    <cellStyle name="适中 2 5" xfId="919"/>
    <cellStyle name="适中 2 6" xfId="920"/>
    <cellStyle name="适中 2 7" xfId="921"/>
    <cellStyle name="适中 3" xfId="922"/>
    <cellStyle name="适中 3 2" xfId="923"/>
    <cellStyle name="适中 3 3" xfId="924"/>
    <cellStyle name="适中 3 4" xfId="925"/>
    <cellStyle name="适中 3 5" xfId="926"/>
    <cellStyle name="适中 3 6" xfId="927"/>
    <cellStyle name="适中 3 7" xfId="928"/>
    <cellStyle name="适中 4" xfId="929"/>
    <cellStyle name="适中 4 2" xfId="930"/>
    <cellStyle name="适中 4 3" xfId="931"/>
    <cellStyle name="适中 4 4" xfId="932"/>
    <cellStyle name="适中 4 5" xfId="933"/>
    <cellStyle name="适中 4 6" xfId="934"/>
    <cellStyle name="适中 4 7" xfId="935"/>
    <cellStyle name="适中 5" xfId="936"/>
    <cellStyle name="适中 5 2" xfId="937"/>
    <cellStyle name="适中 5 3" xfId="938"/>
    <cellStyle name="适中 5 4" xfId="939"/>
    <cellStyle name="适中 5 5" xfId="940"/>
    <cellStyle name="适中 5 6" xfId="941"/>
    <cellStyle name="适中 5 7" xfId="942"/>
    <cellStyle name="良い" xfId="943"/>
    <cellStyle name="良い 2" xfId="944"/>
    <cellStyle name="良い 3" xfId="945"/>
    <cellStyle name="良い 3 2" xfId="946"/>
    <cellStyle name="良い 4" xfId="947"/>
    <cellStyle name="良い 4 2" xfId="948"/>
    <cellStyle name="良い 4 3" xfId="949"/>
    <cellStyle name="良い 5" xfId="950"/>
    <cellStyle name="백분율 2" xfId="951"/>
    <cellStyle name="백분율 2 2" xfId="952"/>
    <cellStyle name="백분율 2 2 2" xfId="953"/>
    <cellStyle name="백분율 2 2 2 2" xfId="954"/>
    <cellStyle name="백분율 2 2 2 2 2" xfId="955"/>
    <cellStyle name="백분율 2 2 2 2 2 2" xfId="956"/>
    <cellStyle name="백분율 2 2 2 3" xfId="957"/>
    <cellStyle name="백분율 2 2 2 4" xfId="958"/>
    <cellStyle name="백분율 2 2 2 5" xfId="959"/>
    <cellStyle name="백분율 2 2 2 6" xfId="960"/>
    <cellStyle name="백분율 2 2 3" xfId="961"/>
    <cellStyle name="백분율 2 2 4" xfId="962"/>
    <cellStyle name="백분율 2 2 5" xfId="963"/>
    <cellStyle name="백분율 2 2 5 2" xfId="964"/>
    <cellStyle name="백분율 2 2 6" xfId="965"/>
    <cellStyle name="백분율 2 2 7" xfId="966"/>
    <cellStyle name="백분율 2 2 8" xfId="967"/>
    <cellStyle name="백분율 2 3" xfId="968"/>
    <cellStyle name="백분율 2 4" xfId="969"/>
    <cellStyle name="백분율 2 4 2" xfId="970"/>
    <cellStyle name="백분율 2 5" xfId="971"/>
    <cellStyle name="백분율 2 6" xfId="972"/>
    <cellStyle name="백분율 2 6 2" xfId="973"/>
    <cellStyle name="백분율 2 7" xfId="974"/>
    <cellStyle name="백분율 2 8" xfId="975"/>
    <cellStyle name="백분율 2 9" xfId="976"/>
    <cellStyle name="백분율 3" xfId="977"/>
    <cellStyle name="백분율 3 2" xfId="978"/>
    <cellStyle name="백분율 4" xfId="979"/>
    <cellStyle name="백분율 5" xfId="980"/>
    <cellStyle name="常规 10" xfId="981"/>
    <cellStyle name="常规 10 2" xfId="982"/>
    <cellStyle name="常规 10 3" xfId="983"/>
    <cellStyle name="常规 10 4" xfId="984"/>
    <cellStyle name="常规 11" xfId="985"/>
    <cellStyle name="常规 12" xfId="986"/>
    <cellStyle name="常规 12 2" xfId="987"/>
    <cellStyle name="常规 12 3" xfId="988"/>
    <cellStyle name="常规 12 4" xfId="989"/>
    <cellStyle name="常规 13" xfId="990"/>
    <cellStyle name="常规 14" xfId="991"/>
    <cellStyle name="常规 14 2" xfId="992"/>
    <cellStyle name="常规 14 3" xfId="993"/>
    <cellStyle name="常规 15" xfId="994"/>
    <cellStyle name="常规 15 2" xfId="995"/>
    <cellStyle name="常规 15 3" xfId="996"/>
    <cellStyle name="常规 16" xfId="997"/>
    <cellStyle name="常规 16 2" xfId="998"/>
    <cellStyle name="常规 16 3" xfId="999"/>
    <cellStyle name="常规 17" xfId="1000"/>
    <cellStyle name="常规 18" xfId="1001"/>
    <cellStyle name="常规 19" xfId="1002"/>
    <cellStyle name="常规 19 2" xfId="1003"/>
    <cellStyle name="常规 19 3" xfId="1004"/>
    <cellStyle name="常规 2 10" xfId="1005"/>
    <cellStyle name="常规 2 10 10" xfId="1006"/>
    <cellStyle name="常规 2 10 10 2" xfId="1007"/>
    <cellStyle name="常规 2 10 11" xfId="1008"/>
    <cellStyle name="常规 2 10 11 2" xfId="1009"/>
    <cellStyle name="常规 2 10 12" xfId="1010"/>
    <cellStyle name="常规 2 10 12 2" xfId="1011"/>
    <cellStyle name="常规 2 10 13" xfId="1012"/>
    <cellStyle name="常规 2 10 13 2" xfId="1013"/>
    <cellStyle name="常规 2 10 14" xfId="1014"/>
    <cellStyle name="常规 2 10 14 2" xfId="1015"/>
    <cellStyle name="常规 2 10 15" xfId="1016"/>
    <cellStyle name="常规 2 10 15 2" xfId="1017"/>
    <cellStyle name="常规 2 10 16" xfId="1018"/>
    <cellStyle name="常规 2 10 2" xfId="1019"/>
    <cellStyle name="常规 2 10 2 10" xfId="1020"/>
    <cellStyle name="常规 2 10 2 10 2" xfId="1021"/>
    <cellStyle name="常规 2 10 2 11" xfId="1022"/>
    <cellStyle name="常规 2 10 2 11 2" xfId="1023"/>
    <cellStyle name="常规 2 10 2 12" xfId="1024"/>
    <cellStyle name="常规 2 10 2 12 2" xfId="1025"/>
    <cellStyle name="常规 2 10 2 13" xfId="1026"/>
    <cellStyle name="常规 2 10 2 13 2" xfId="1027"/>
    <cellStyle name="常规 2 10 2 14" xfId="1028"/>
    <cellStyle name="常规 2 10 2 14 2" xfId="1029"/>
    <cellStyle name="常规 2 10 2 15" xfId="1030"/>
    <cellStyle name="常规 2 10 2 2" xfId="1031"/>
    <cellStyle name="常规 2 10 2 2 2" xfId="1032"/>
    <cellStyle name="常规 2 10 2 3" xfId="1033"/>
    <cellStyle name="常规 2 10 2 3 2" xfId="1034"/>
    <cellStyle name="常规 2 10 2 4" xfId="1035"/>
    <cellStyle name="常规 2 10 2 4 2" xfId="1036"/>
    <cellStyle name="常规 2 10 2 5" xfId="1037"/>
    <cellStyle name="常规 2 10 2 5 2" xfId="1038"/>
    <cellStyle name="常规 2 10 2 6" xfId="1039"/>
    <cellStyle name="常规 2 10 2 6 2" xfId="1040"/>
    <cellStyle name="常规 2 10 2 7" xfId="1041"/>
    <cellStyle name="常规 2 10 2 7 2" xfId="1042"/>
    <cellStyle name="常规 2 10 2 8" xfId="1043"/>
    <cellStyle name="常规 2 10 2 8 2" xfId="1044"/>
    <cellStyle name="常规 2 10 2 9" xfId="1045"/>
    <cellStyle name="常规 2 10 2 9 2" xfId="1046"/>
    <cellStyle name="常规 2 10 3" xfId="1047"/>
    <cellStyle name="常规 2 10 3 2" xfId="1048"/>
    <cellStyle name="常规 2 10 4" xfId="1049"/>
    <cellStyle name="常规 2 10 4 2" xfId="1050"/>
    <cellStyle name="常规 2 10 5" xfId="1051"/>
    <cellStyle name="常规 2 10 5 2" xfId="1052"/>
    <cellStyle name="常规 2 10 6" xfId="1053"/>
    <cellStyle name="常规 2 10 6 2" xfId="1054"/>
    <cellStyle name="常规 2 10 7" xfId="1055"/>
    <cellStyle name="常规 2 10 7 2" xfId="1056"/>
    <cellStyle name="常规 2 10 8" xfId="1057"/>
    <cellStyle name="常规 2 10 8 2" xfId="1058"/>
    <cellStyle name="常规 2 10 9" xfId="1059"/>
    <cellStyle name="常规 2 10 9 2" xfId="1060"/>
    <cellStyle name="常规 2 11" xfId="1061"/>
    <cellStyle name="常规 2 11 10" xfId="1062"/>
    <cellStyle name="常规 2 11 10 2" xfId="1063"/>
    <cellStyle name="常规 2 11 11" xfId="1064"/>
    <cellStyle name="常规 2 11 11 2" xfId="1065"/>
    <cellStyle name="常规 2 11 12" xfId="1066"/>
    <cellStyle name="常规 2 11 12 2" xfId="1067"/>
    <cellStyle name="常规 2 11 13" xfId="1068"/>
    <cellStyle name="常规 2 11 13 2" xfId="1069"/>
    <cellStyle name="常规 2 11 14" xfId="1070"/>
    <cellStyle name="常规 2 11 14 2" xfId="1071"/>
    <cellStyle name="常规 2 11 15" xfId="1072"/>
    <cellStyle name="常规 2 11 15 2" xfId="1073"/>
    <cellStyle name="常规 2 11 16" xfId="1074"/>
    <cellStyle name="常规 2 11 2" xfId="1075"/>
    <cellStyle name="常规 2 11 2 10" xfId="1076"/>
    <cellStyle name="常规 2 11 2 10 2" xfId="1077"/>
    <cellStyle name="常规 2 11 2 11" xfId="1078"/>
    <cellStyle name="常规 2 11 2 11 2" xfId="1079"/>
    <cellStyle name="常规 2 11 2 12" xfId="1080"/>
    <cellStyle name="常规 2 11 2 12 2" xfId="1081"/>
    <cellStyle name="常规 2 11 2 13" xfId="1082"/>
    <cellStyle name="常规 2 11 2 13 2" xfId="1083"/>
    <cellStyle name="常规 2 11 2 14" xfId="1084"/>
    <cellStyle name="常规 2 11 2 14 2" xfId="1085"/>
    <cellStyle name="常规 2 11 2 15" xfId="1086"/>
    <cellStyle name="常规 2 11 2 2" xfId="1087"/>
    <cellStyle name="常规 2 11 2 2 2" xfId="1088"/>
    <cellStyle name="常规 2 11 2 3" xfId="1089"/>
    <cellStyle name="常规 2 11 2 3 2" xfId="1090"/>
    <cellStyle name="常规 2 11 2 4" xfId="1091"/>
    <cellStyle name="常规 2 11 2 4 2" xfId="1092"/>
    <cellStyle name="常规 2 11 2 5" xfId="1093"/>
    <cellStyle name="常规 2 11 2 5 2" xfId="1094"/>
    <cellStyle name="常规 2 11 2 6" xfId="1095"/>
    <cellStyle name="常规 2 11 2 6 2" xfId="1096"/>
    <cellStyle name="常规 2 11 2 7" xfId="1097"/>
    <cellStyle name="常规 2 11 2 7 2" xfId="1098"/>
    <cellStyle name="常规 2 11 2 8" xfId="1099"/>
    <cellStyle name="常规 2 11 2 8 2" xfId="1100"/>
    <cellStyle name="常规 2 11 2 9" xfId="1101"/>
    <cellStyle name="常规 2 11 2 9 2" xfId="1102"/>
    <cellStyle name="常规 2 11 3" xfId="1103"/>
    <cellStyle name="常规 2 11 3 2" xfId="1104"/>
    <cellStyle name="常规 2 11 4" xfId="1105"/>
    <cellStyle name="常规 2 11 4 2" xfId="1106"/>
    <cellStyle name="常规 2 11 5" xfId="1107"/>
    <cellStyle name="常规 2 11 5 2" xfId="1108"/>
    <cellStyle name="常规 2 11 6" xfId="1109"/>
    <cellStyle name="常规 2 11 6 2" xfId="1110"/>
    <cellStyle name="常规 2 11 7" xfId="1111"/>
    <cellStyle name="常规 2 11 7 2" xfId="1112"/>
    <cellStyle name="常规 2 11 8" xfId="1113"/>
    <cellStyle name="常规 2 11 8 2" xfId="1114"/>
    <cellStyle name="常规 2 11 9" xfId="1115"/>
    <cellStyle name="常规 2 11 9 2" xfId="1116"/>
    <cellStyle name="常规 2 12" xfId="1117"/>
    <cellStyle name="常规 2 12 10" xfId="1118"/>
    <cellStyle name="常规 2 12 10 2" xfId="1119"/>
    <cellStyle name="常规 2 12 11" xfId="1120"/>
    <cellStyle name="常规 2 12 11 2" xfId="1121"/>
    <cellStyle name="常规 2 12 12" xfId="1122"/>
    <cellStyle name="常规 2 12 12 2" xfId="1123"/>
    <cellStyle name="常规 2 12 13" xfId="1124"/>
    <cellStyle name="常规 2 12 13 2" xfId="1125"/>
    <cellStyle name="常规 2 12 14" xfId="1126"/>
    <cellStyle name="常规 2 12 14 2" xfId="1127"/>
    <cellStyle name="常规 2 12 15" xfId="1128"/>
    <cellStyle name="常规 2 12 15 2" xfId="1129"/>
    <cellStyle name="常规 2 12 16" xfId="1130"/>
    <cellStyle name="常规 2 12 2" xfId="1131"/>
    <cellStyle name="常规 2 12 2 10" xfId="1132"/>
    <cellStyle name="常规 2 12 2 10 2" xfId="1133"/>
    <cellStyle name="常规 2 12 2 11" xfId="1134"/>
    <cellStyle name="常规 2 12 2 11 2" xfId="1135"/>
    <cellStyle name="常规 2 12 2 12" xfId="1136"/>
    <cellStyle name="常规 2 12 2 12 2" xfId="1137"/>
    <cellStyle name="常规 2 12 2 13" xfId="1138"/>
    <cellStyle name="常规 2 12 2 13 2" xfId="1139"/>
    <cellStyle name="常规 2 12 2 14" xfId="1140"/>
    <cellStyle name="常规 2 12 2 14 2" xfId="1141"/>
    <cellStyle name="常规 2 12 2 15" xfId="1142"/>
    <cellStyle name="常规 2 12 2 2" xfId="1143"/>
    <cellStyle name="常规 2 12 2 2 2" xfId="1144"/>
    <cellStyle name="常规 2 12 2 3" xfId="1145"/>
    <cellStyle name="常规 2 12 2 3 2" xfId="1146"/>
    <cellStyle name="常规 2 12 2 4" xfId="1147"/>
    <cellStyle name="常规 2 12 2 4 2" xfId="1148"/>
    <cellStyle name="常规 2 12 2 5" xfId="1149"/>
    <cellStyle name="常规 2 12 2 5 2" xfId="1150"/>
    <cellStyle name="常规 2 12 2 6" xfId="1151"/>
    <cellStyle name="常规 2 12 2 6 2" xfId="1152"/>
    <cellStyle name="常规 2 12 2 7" xfId="1153"/>
    <cellStyle name="常规 2 12 2 7 2" xfId="1154"/>
    <cellStyle name="常规 2 12 2 8" xfId="1155"/>
    <cellStyle name="常规 2 12 2 8 2" xfId="1156"/>
    <cellStyle name="常规 2 12 2 9" xfId="1157"/>
    <cellStyle name="常规 2 12 2 9 2" xfId="1158"/>
    <cellStyle name="常规 2 12 3" xfId="1159"/>
    <cellStyle name="常规 2 12 3 2" xfId="1160"/>
    <cellStyle name="常规 2 12 4" xfId="1161"/>
    <cellStyle name="常规 2 12 4 2" xfId="1162"/>
    <cellStyle name="常规 2 12 5" xfId="1163"/>
    <cellStyle name="常规 2 12 5 2" xfId="1164"/>
    <cellStyle name="常规 2 12 6" xfId="1165"/>
    <cellStyle name="常规 2 12 6 2" xfId="1166"/>
    <cellStyle name="常规 2 12 7" xfId="1167"/>
    <cellStyle name="常规 2 12 7 2" xfId="1168"/>
    <cellStyle name="常规 2 12 8" xfId="1169"/>
    <cellStyle name="常规 2 12 8 2" xfId="1170"/>
    <cellStyle name="常规 2 12 9" xfId="1171"/>
    <cellStyle name="常规 2 12 9 2" xfId="1172"/>
    <cellStyle name="常规 2 13" xfId="1173"/>
    <cellStyle name="常规 2 14" xfId="1174"/>
    <cellStyle name="常规 2 15" xfId="1175"/>
    <cellStyle name="常规 2 16" xfId="1176"/>
    <cellStyle name="常规 2 17" xfId="1177"/>
    <cellStyle name="常规 2 18" xfId="1178"/>
    <cellStyle name="常规 2 19" xfId="1179"/>
    <cellStyle name="常规 2 2" xfId="1180"/>
    <cellStyle name="常规 2 2 10" xfId="1181"/>
    <cellStyle name="常规 2 2 10 2" xfId="1182"/>
    <cellStyle name="常规 2 2 11" xfId="1183"/>
    <cellStyle name="常规 2 2 11 2" xfId="1184"/>
    <cellStyle name="常规 2 2 12" xfId="1185"/>
    <cellStyle name="常规 2 2 12 2" xfId="1186"/>
    <cellStyle name="常规 2 2 13" xfId="1187"/>
    <cellStyle name="常规 2 2 13 2" xfId="1188"/>
    <cellStyle name="常规 2 2 14" xfId="1189"/>
    <cellStyle name="常规 2 2 14 2" xfId="1190"/>
    <cellStyle name="常规 2 2 15" xfId="1191"/>
    <cellStyle name="常规 2 2 15 2" xfId="1192"/>
    <cellStyle name="常规 2 2 16" xfId="1193"/>
    <cellStyle name="常规 2 2 17" xfId="1194"/>
    <cellStyle name="常规 2 2 18" xfId="1195"/>
    <cellStyle name="常规 2 2 19" xfId="1196"/>
    <cellStyle name="常规 2 2 2" xfId="1197"/>
    <cellStyle name="常规 2 2 2 10" xfId="1198"/>
    <cellStyle name="常规 2 2 2 10 2" xfId="1199"/>
    <cellStyle name="常规 2 2 2 11" xfId="1200"/>
    <cellStyle name="常规 2 2 2 11 2" xfId="1201"/>
    <cellStyle name="常规 2 2 2 12" xfId="1202"/>
    <cellStyle name="常规 2 2 2 12 2" xfId="1203"/>
    <cellStyle name="常规 2 2 2 13" xfId="1204"/>
    <cellStyle name="常规 2 2 2 13 2" xfId="1205"/>
    <cellStyle name="常规 2 2 2 14" xfId="1206"/>
    <cellStyle name="常规 2 2 2 14 2" xfId="1207"/>
    <cellStyle name="常规 2 2 2 15" xfId="1208"/>
    <cellStyle name="常规 2 2 2 2" xfId="1209"/>
    <cellStyle name="常规 2 2 2 2 2" xfId="1210"/>
    <cellStyle name="常规 2 2 2 3" xfId="1211"/>
    <cellStyle name="常规 2 2 2 3 2" xfId="1212"/>
    <cellStyle name="常规 2 2 2 4" xfId="1213"/>
    <cellStyle name="常规 2 2 2 4 2" xfId="1214"/>
    <cellStyle name="常规 2 2 2 5" xfId="1215"/>
    <cellStyle name="常规 2 2 2 5 2" xfId="1216"/>
    <cellStyle name="常规 2 2 2 6" xfId="1217"/>
    <cellStyle name="常规 2 2 2 6 2" xfId="1218"/>
    <cellStyle name="常规 2 2 2 7" xfId="1219"/>
    <cellStyle name="常规 2 2 2 7 2" xfId="1220"/>
    <cellStyle name="常规 2 2 2 8" xfId="1221"/>
    <cellStyle name="常规 2 2 2 8 2" xfId="1222"/>
    <cellStyle name="常规 2 2 2 9" xfId="1223"/>
    <cellStyle name="常规 2 2 2 9 2" xfId="1224"/>
    <cellStyle name="常规 2 2 20" xfId="1225"/>
    <cellStyle name="常规 2 2 21" xfId="1226"/>
    <cellStyle name="常规 2 2 22" xfId="1227"/>
    <cellStyle name="常规 2 2 23" xfId="1228"/>
    <cellStyle name="常规 2 2 3" xfId="1229"/>
    <cellStyle name="常规 2 2 3 2" xfId="1230"/>
    <cellStyle name="常规 2 2 4" xfId="1231"/>
    <cellStyle name="常规 2 2 4 2" xfId="1232"/>
    <cellStyle name="常规 2 2 5" xfId="1233"/>
    <cellStyle name="常规 2 2 5 2" xfId="1234"/>
    <cellStyle name="常规 2 2 6" xfId="1235"/>
    <cellStyle name="常规 2 2 6 2" xfId="1236"/>
    <cellStyle name="常规 2 2 7" xfId="1237"/>
    <cellStyle name="常规 2 2 7 2" xfId="1238"/>
    <cellStyle name="常规 2 2 8" xfId="1239"/>
    <cellStyle name="常规 2 2 8 2" xfId="1240"/>
    <cellStyle name="常规 2 2 9" xfId="1241"/>
    <cellStyle name="常规 2 2 9 2" xfId="1242"/>
    <cellStyle name="常规 2 20" xfId="1243"/>
    <cellStyle name="常规 2 3" xfId="1244"/>
    <cellStyle name="常规 2 3 10" xfId="1245"/>
    <cellStyle name="常规 2 3 10 2" xfId="1246"/>
    <cellStyle name="常规 2 3 11" xfId="1247"/>
    <cellStyle name="常规 2 3 11 2" xfId="1248"/>
    <cellStyle name="常规 2 3 12" xfId="1249"/>
    <cellStyle name="常规 2 3 12 2" xfId="1250"/>
    <cellStyle name="常规 2 3 13" xfId="1251"/>
    <cellStyle name="常规 2 3 13 2" xfId="1252"/>
    <cellStyle name="常规 2 3 14" xfId="1253"/>
    <cellStyle name="常规 2 3 14 2" xfId="1254"/>
    <cellStyle name="常规 2 3 15" xfId="1255"/>
    <cellStyle name="常规 2 3 15 2" xfId="1256"/>
    <cellStyle name="常规 2 3 16" xfId="1257"/>
    <cellStyle name="常规 2 3 2" xfId="1258"/>
    <cellStyle name="常规 2 3 2 10" xfId="1259"/>
    <cellStyle name="常规 2 3 2 10 2" xfId="1260"/>
    <cellStyle name="常规 2 3 2 11" xfId="1261"/>
    <cellStyle name="常规 2 3 2 11 2" xfId="1262"/>
    <cellStyle name="常规 2 3 2 12" xfId="1263"/>
    <cellStyle name="常规 2 3 2 12 2" xfId="1264"/>
    <cellStyle name="常规 2 3 2 13" xfId="1265"/>
    <cellStyle name="常规 2 3 2 13 2" xfId="1266"/>
    <cellStyle name="常规 2 3 2 14" xfId="1267"/>
    <cellStyle name="常规 2 3 2 14 2" xfId="1268"/>
    <cellStyle name="常规 2 3 2 15" xfId="1269"/>
    <cellStyle name="常规 2 3 2 2" xfId="1270"/>
    <cellStyle name="常规 2 3 2 2 2" xfId="1271"/>
    <cellStyle name="常规 2 3 2 3" xfId="1272"/>
    <cellStyle name="常规 2 3 2 3 2" xfId="1273"/>
    <cellStyle name="常规 2 3 2 4" xfId="1274"/>
    <cellStyle name="常规 2 3 2 4 2" xfId="1275"/>
    <cellStyle name="常规 2 3 2 5" xfId="1276"/>
    <cellStyle name="常规 2 3 2 5 2" xfId="1277"/>
    <cellStyle name="常规 2 3 2 6" xfId="1278"/>
    <cellStyle name="常规 2 3 2 6 2" xfId="1279"/>
    <cellStyle name="常规 2 3 2 7" xfId="1280"/>
    <cellStyle name="常规 2 3 2 7 2" xfId="1281"/>
    <cellStyle name="常规 2 3 2 8" xfId="1282"/>
    <cellStyle name="常规 2 3 2 8 2" xfId="1283"/>
    <cellStyle name="常规 2 3 2 9" xfId="1284"/>
    <cellStyle name="常规 2 3 2 9 2" xfId="1285"/>
    <cellStyle name="常规 2 3 3" xfId="1286"/>
    <cellStyle name="常规 2 3 3 2" xfId="1287"/>
    <cellStyle name="常规 2 3 4" xfId="1288"/>
    <cellStyle name="常规 2 3 4 2" xfId="1289"/>
    <cellStyle name="常规 2 3 5" xfId="1290"/>
    <cellStyle name="常规 2 3 5 2" xfId="1291"/>
    <cellStyle name="常规 2 3 6" xfId="1292"/>
    <cellStyle name="常规 2 3 6 2" xfId="1293"/>
    <cellStyle name="常规 2 3 7" xfId="1294"/>
    <cellStyle name="常规 2 3 7 2" xfId="1295"/>
    <cellStyle name="常规 2 3 8" xfId="1296"/>
    <cellStyle name="常规 2 3 8 2" xfId="1297"/>
    <cellStyle name="常规 2 3 9" xfId="1298"/>
    <cellStyle name="常规 2 3 9 2" xfId="1299"/>
    <cellStyle name="常规 2 4" xfId="1300"/>
    <cellStyle name="常规 2 4 10" xfId="1301"/>
    <cellStyle name="常规 2 4 10 2" xfId="1302"/>
    <cellStyle name="常规 2 4 11" xfId="1303"/>
    <cellStyle name="常规 2 4 11 2" xfId="1304"/>
    <cellStyle name="常规 2 4 12" xfId="1305"/>
    <cellStyle name="常规 2 4 12 2" xfId="1306"/>
    <cellStyle name="常规 2 4 13" xfId="1307"/>
    <cellStyle name="常规 2 4 13 2" xfId="1308"/>
    <cellStyle name="常规 2 4 14" xfId="1309"/>
    <cellStyle name="常规 2 4 14 2" xfId="1310"/>
    <cellStyle name="常规 2 4 15" xfId="1311"/>
    <cellStyle name="常规 2 4 15 2" xfId="1312"/>
    <cellStyle name="常规 2 4 16" xfId="1313"/>
    <cellStyle name="常规 2 4 2" xfId="1314"/>
    <cellStyle name="常规 2 4 2 10" xfId="1315"/>
    <cellStyle name="常规 2 4 2 10 2" xfId="1316"/>
    <cellStyle name="常规 2 4 2 11" xfId="1317"/>
    <cellStyle name="常规 2 4 2 11 2" xfId="1318"/>
    <cellStyle name="常规 2 4 2 12" xfId="1319"/>
    <cellStyle name="常规 2 4 2 12 2" xfId="1320"/>
    <cellStyle name="常规 2 4 2 13" xfId="1321"/>
    <cellStyle name="常规 2 4 2 13 2" xfId="1322"/>
    <cellStyle name="常规 2 4 2 14" xfId="1323"/>
    <cellStyle name="常规 2 4 2 14 2" xfId="1324"/>
    <cellStyle name="常规 2 4 2 15" xfId="1325"/>
    <cellStyle name="常规 2 4 2 2" xfId="1326"/>
    <cellStyle name="常规 2 4 2 2 2" xfId="1327"/>
    <cellStyle name="常规 2 4 2 3" xfId="1328"/>
    <cellStyle name="常规 2 4 2 3 2" xfId="1329"/>
    <cellStyle name="常规 2 4 2 4" xfId="1330"/>
    <cellStyle name="常规 2 4 2 4 2" xfId="1331"/>
    <cellStyle name="常规 2 4 2 5" xfId="1332"/>
    <cellStyle name="常规 2 4 2 5 2" xfId="1333"/>
    <cellStyle name="常规 2 4 2 6" xfId="1334"/>
    <cellStyle name="常规 2 4 2 6 2" xfId="1335"/>
    <cellStyle name="常规 2 4 2 7" xfId="1336"/>
    <cellStyle name="常规 2 4 2 7 2" xfId="1337"/>
    <cellStyle name="常规 2 4 2 8" xfId="1338"/>
    <cellStyle name="常规 2 4 2 8 2" xfId="1339"/>
    <cellStyle name="常规 2 4 2 9" xfId="1340"/>
    <cellStyle name="常规 2 4 2 9 2" xfId="1341"/>
    <cellStyle name="常规 2 4 3" xfId="1342"/>
    <cellStyle name="常规 2 4 3 2" xfId="1343"/>
    <cellStyle name="常规 2 4 4" xfId="1344"/>
    <cellStyle name="常规 2 4 4 2" xfId="1345"/>
    <cellStyle name="常规 2 4 5" xfId="1346"/>
    <cellStyle name="常规 2 4 5 2" xfId="1347"/>
    <cellStyle name="常规 2 4 6" xfId="1348"/>
    <cellStyle name="常规 2 4 6 2" xfId="1349"/>
    <cellStyle name="常规 2 4 7" xfId="1350"/>
    <cellStyle name="常规 2 4 7 2" xfId="1351"/>
    <cellStyle name="常规 2 4 8" xfId="1352"/>
    <cellStyle name="常规 2 4 8 2" xfId="1353"/>
    <cellStyle name="常规 2 4 9" xfId="1354"/>
    <cellStyle name="常规 2 4 9 2" xfId="1355"/>
    <cellStyle name="常规 2 5" xfId="1356"/>
    <cellStyle name="常规 2 5 10" xfId="1357"/>
    <cellStyle name="常规 2 5 10 2" xfId="1358"/>
    <cellStyle name="常规 2 5 11" xfId="1359"/>
    <cellStyle name="常规 2 5 11 2" xfId="1360"/>
    <cellStyle name="常规 2 5 12" xfId="1361"/>
    <cellStyle name="常规 2 5 12 2" xfId="1362"/>
    <cellStyle name="常规 2 5 13" xfId="1363"/>
    <cellStyle name="常规 2 5 13 2" xfId="1364"/>
    <cellStyle name="常规 2 5 14" xfId="1365"/>
    <cellStyle name="常规 2 5 14 2" xfId="1366"/>
    <cellStyle name="常规 2 5 15" xfId="1367"/>
    <cellStyle name="常规 2 5 15 2" xfId="1368"/>
    <cellStyle name="常规 2 5 16" xfId="1369"/>
    <cellStyle name="常规 2 5 2" xfId="1370"/>
    <cellStyle name="常规 2 5 2 10" xfId="1371"/>
    <cellStyle name="常规 2 5 2 10 2" xfId="1372"/>
    <cellStyle name="常规 2 5 2 11" xfId="1373"/>
    <cellStyle name="常规 2 5 2 11 2" xfId="1374"/>
    <cellStyle name="常规 2 5 2 12" xfId="1375"/>
    <cellStyle name="常规 2 5 2 12 2" xfId="1376"/>
    <cellStyle name="常规 2 5 2 13" xfId="1377"/>
    <cellStyle name="常规 2 5 2 13 2" xfId="1378"/>
    <cellStyle name="常规 2 5 2 14" xfId="1379"/>
    <cellStyle name="常规 2 5 2 14 2" xfId="1380"/>
    <cellStyle name="常规 2 5 2 15" xfId="1381"/>
    <cellStyle name="常规 2 5 2 2" xfId="1382"/>
    <cellStyle name="常规 2 5 2 2 2" xfId="1383"/>
    <cellStyle name="常规 2 5 2 3" xfId="1384"/>
    <cellStyle name="常规 2 5 2 3 2" xfId="1385"/>
    <cellStyle name="常规 2 5 2 4" xfId="1386"/>
    <cellStyle name="常规 2 5 2 4 2" xfId="1387"/>
    <cellStyle name="常规 2 5 2 5" xfId="1388"/>
    <cellStyle name="常规 2 5 2 5 2" xfId="1389"/>
    <cellStyle name="常规 2 5 2 6" xfId="1390"/>
    <cellStyle name="常规 2 5 2 6 2" xfId="1391"/>
    <cellStyle name="常规 2 5 2 7" xfId="1392"/>
    <cellStyle name="常规 2 5 2 7 2" xfId="1393"/>
    <cellStyle name="常规 2 5 2 8" xfId="1394"/>
    <cellStyle name="常规 2 5 2 8 2" xfId="1395"/>
    <cellStyle name="常规 2 5 2 9" xfId="1396"/>
    <cellStyle name="常规 2 5 2 9 2" xfId="1397"/>
    <cellStyle name="常规 2 5 3" xfId="1398"/>
    <cellStyle name="常规 2 5 3 2" xfId="1399"/>
    <cellStyle name="常规 2 5 4" xfId="1400"/>
    <cellStyle name="常规 2 5 4 2" xfId="1401"/>
    <cellStyle name="常规 2 5 5" xfId="1402"/>
    <cellStyle name="常规 2 5 5 2" xfId="1403"/>
    <cellStyle name="常规 2 5 6" xfId="1404"/>
    <cellStyle name="常规 2 5 6 2" xfId="1405"/>
    <cellStyle name="常规 2 5 7" xfId="1406"/>
    <cellStyle name="常规 2 5 7 2" xfId="1407"/>
    <cellStyle name="常规 2 5 8" xfId="1408"/>
    <cellStyle name="常规 2 5 8 2" xfId="1409"/>
    <cellStyle name="常规 2 5 9" xfId="1410"/>
    <cellStyle name="常规 2 5 9 2" xfId="1411"/>
    <cellStyle name="常规 2 6" xfId="1412"/>
    <cellStyle name="常规 2 6 10" xfId="1413"/>
    <cellStyle name="常规 2 6 10 2" xfId="1414"/>
    <cellStyle name="常规 2 6 11" xfId="1415"/>
    <cellStyle name="常规 2 6 11 2" xfId="1416"/>
    <cellStyle name="常规 2 6 12" xfId="1417"/>
    <cellStyle name="常规 2 6 12 2" xfId="1418"/>
    <cellStyle name="常规 2 6 13" xfId="1419"/>
    <cellStyle name="常规 2 6 13 2" xfId="1420"/>
    <cellStyle name="常规 2 6 14" xfId="1421"/>
    <cellStyle name="常规 2 6 14 2" xfId="1422"/>
    <cellStyle name="常规 2 6 15" xfId="1423"/>
    <cellStyle name="常规 2 6 15 2" xfId="1424"/>
    <cellStyle name="常规 2 6 16" xfId="1425"/>
    <cellStyle name="常规 2 6 2" xfId="1426"/>
    <cellStyle name="常规 2 6 2 10" xfId="1427"/>
    <cellStyle name="常规 2 6 2 10 2" xfId="1428"/>
    <cellStyle name="常规 2 6 2 11" xfId="1429"/>
    <cellStyle name="常规 2 6 2 11 2" xfId="1430"/>
    <cellStyle name="常规 2 6 2 12" xfId="1431"/>
    <cellStyle name="常规 2 6 2 12 2" xfId="1432"/>
    <cellStyle name="常规 2 6 2 13" xfId="1433"/>
    <cellStyle name="常规 2 6 2 13 2" xfId="1434"/>
    <cellStyle name="常规 2 6 2 14" xfId="1435"/>
    <cellStyle name="常规 2 6 2 14 2" xfId="1436"/>
    <cellStyle name="常规 2 6 2 15" xfId="1437"/>
    <cellStyle name="常规 2 6 2 2" xfId="1438"/>
    <cellStyle name="常规 2 6 2 2 2" xfId="1439"/>
    <cellStyle name="常规 2 6 2 3" xfId="1440"/>
    <cellStyle name="常规 2 6 2 3 2" xfId="1441"/>
    <cellStyle name="常规 2 6 2 4" xfId="1442"/>
    <cellStyle name="常规 2 6 2 4 2" xfId="1443"/>
    <cellStyle name="常规 2 6 2 5" xfId="1444"/>
    <cellStyle name="常规 2 6 2 5 2" xfId="1445"/>
    <cellStyle name="常规 2 6 2 6" xfId="1446"/>
    <cellStyle name="常规 2 6 2 6 2" xfId="1447"/>
    <cellStyle name="常规 2 6 2 7" xfId="1448"/>
    <cellStyle name="常规 2 6 2 7 2" xfId="1449"/>
    <cellStyle name="常规 2 6 2 8" xfId="1450"/>
    <cellStyle name="常规 2 6 2 8 2" xfId="1451"/>
    <cellStyle name="常规 2 6 2 9" xfId="1452"/>
    <cellStyle name="常规 2 6 2 9 2" xfId="1453"/>
    <cellStyle name="常规 2 6 3" xfId="1454"/>
    <cellStyle name="常规 2 6 3 2" xfId="1455"/>
    <cellStyle name="常规 2 6 4" xfId="1456"/>
    <cellStyle name="常规 2 6 4 2" xfId="1457"/>
    <cellStyle name="常规 2 6 5" xfId="1458"/>
    <cellStyle name="常规 2 6 5 2" xfId="1459"/>
    <cellStyle name="常规 2 6 6" xfId="1460"/>
    <cellStyle name="常规 2 6 6 2" xfId="1461"/>
    <cellStyle name="常规 2 6 7" xfId="1462"/>
    <cellStyle name="常规 2 6 7 2" xfId="1463"/>
    <cellStyle name="常规 2 6 8" xfId="1464"/>
    <cellStyle name="常规 2 6 8 2" xfId="1465"/>
    <cellStyle name="常规 2 6 9" xfId="1466"/>
    <cellStyle name="常规 2 6 9 2" xfId="1467"/>
    <cellStyle name="常规 2 7" xfId="1468"/>
    <cellStyle name="常规 2 7 10" xfId="1469"/>
    <cellStyle name="常规 2 7 10 2" xfId="1470"/>
    <cellStyle name="常规 2 7 11" xfId="1471"/>
    <cellStyle name="常规 2 7 11 2" xfId="1472"/>
    <cellStyle name="常规 2 7 12" xfId="1473"/>
    <cellStyle name="常规 2 7 12 2" xfId="1474"/>
    <cellStyle name="常规 2 7 13" xfId="1475"/>
    <cellStyle name="常规 2 7 13 2" xfId="1476"/>
    <cellStyle name="常规 2 7 14" xfId="1477"/>
    <cellStyle name="常规 2 7 14 2" xfId="1478"/>
    <cellStyle name="常规 2 7 15" xfId="1479"/>
    <cellStyle name="常规 2 7 15 2" xfId="1480"/>
    <cellStyle name="常规 2 7 16" xfId="1481"/>
    <cellStyle name="常规 2 7 2" xfId="1482"/>
    <cellStyle name="常规 2 7 2 10" xfId="1483"/>
    <cellStyle name="常规 2 7 2 10 2" xfId="1484"/>
    <cellStyle name="常规 2 7 2 11" xfId="1485"/>
    <cellStyle name="常规 2 7 2 11 2" xfId="1486"/>
    <cellStyle name="常规 2 7 2 12" xfId="1487"/>
    <cellStyle name="常规 2 7 2 12 2" xfId="1488"/>
    <cellStyle name="常规 2 7 2 13" xfId="1489"/>
    <cellStyle name="常规 2 7 2 13 2" xfId="1490"/>
    <cellStyle name="常规 2 7 2 14" xfId="1491"/>
    <cellStyle name="常规 2 7 2 14 2" xfId="1492"/>
    <cellStyle name="常规 2 7 2 15" xfId="1493"/>
    <cellStyle name="常规 2 7 2 2" xfId="1494"/>
    <cellStyle name="常规 2 7 2 2 2" xfId="1495"/>
    <cellStyle name="常规 2 7 2 3" xfId="1496"/>
    <cellStyle name="常规 2 7 2 3 2" xfId="1497"/>
    <cellStyle name="常规 2 7 2 4" xfId="1498"/>
    <cellStyle name="常规 2 7 2 4 2" xfId="1499"/>
    <cellStyle name="常规 2 7 2 5" xfId="1500"/>
    <cellStyle name="常规 2 7 2 5 2" xfId="1501"/>
    <cellStyle name="常规 2 7 2 6" xfId="1502"/>
    <cellStyle name="常规 2 7 2 6 2" xfId="1503"/>
    <cellStyle name="常规 2 7 2 7" xfId="1504"/>
    <cellStyle name="常规 2 7 2 7 2" xfId="1505"/>
    <cellStyle name="常规 2 7 2 8" xfId="1506"/>
    <cellStyle name="常规 2 7 2 8 2" xfId="1507"/>
    <cellStyle name="常规 2 7 2 9" xfId="1508"/>
    <cellStyle name="常规 2 7 2 9 2" xfId="1509"/>
    <cellStyle name="常规 2 7 3" xfId="1510"/>
    <cellStyle name="常规 2 7 3 2" xfId="1511"/>
    <cellStyle name="常规 2 7 4" xfId="1512"/>
    <cellStyle name="常规 2 7 4 2" xfId="1513"/>
    <cellStyle name="常规 2 7 5" xfId="1514"/>
    <cellStyle name="常规 2 7 5 2" xfId="1515"/>
    <cellStyle name="常规 2 7 6" xfId="1516"/>
    <cellStyle name="常规 2 7 6 2" xfId="1517"/>
    <cellStyle name="常规 2 7 7" xfId="1518"/>
    <cellStyle name="常规 2 7 7 2" xfId="1519"/>
    <cellStyle name="常规 2 7 8" xfId="1520"/>
    <cellStyle name="常规 2 7 8 2" xfId="1521"/>
    <cellStyle name="常规 2 7 9" xfId="1522"/>
    <cellStyle name="常规 2 7 9 2" xfId="1523"/>
    <cellStyle name="常规 2 8" xfId="1524"/>
    <cellStyle name="常规 2 8 10" xfId="1525"/>
    <cellStyle name="常规 2 8 10 2" xfId="1526"/>
    <cellStyle name="常规 2 8 11" xfId="1527"/>
    <cellStyle name="常规 2 8 11 2" xfId="1528"/>
    <cellStyle name="常规 2 8 12" xfId="1529"/>
    <cellStyle name="常规 2 8 12 2" xfId="1530"/>
    <cellStyle name="常规 2 8 13" xfId="1531"/>
    <cellStyle name="常规 2 8 13 2" xfId="1532"/>
    <cellStyle name="常规 2 8 14" xfId="1533"/>
    <cellStyle name="常规 2 8 14 2" xfId="1534"/>
    <cellStyle name="常规 2 8 15" xfId="1535"/>
    <cellStyle name="常规 2 8 15 2" xfId="1536"/>
    <cellStyle name="常规 2 8 16" xfId="1537"/>
    <cellStyle name="常规 2 8 2" xfId="1538"/>
    <cellStyle name="常规 2 8 2 10" xfId="1539"/>
    <cellStyle name="常规 2 8 2 10 2" xfId="1540"/>
    <cellStyle name="常规 2 8 2 11" xfId="1541"/>
    <cellStyle name="常规 2 8 2 11 2" xfId="1542"/>
    <cellStyle name="常规 2 8 2 12" xfId="1543"/>
    <cellStyle name="常规 2 8 2 12 2" xfId="1544"/>
    <cellStyle name="常规 2 8 2 13" xfId="1545"/>
    <cellStyle name="常规 2 8 2 13 2" xfId="1546"/>
    <cellStyle name="常规 2 8 2 14" xfId="1547"/>
    <cellStyle name="常规 2 8 2 14 2" xfId="1548"/>
    <cellStyle name="常规 2 8 2 15" xfId="1549"/>
    <cellStyle name="常规 2 8 2 2" xfId="1550"/>
    <cellStyle name="常规 2 8 2 2 2" xfId="1551"/>
    <cellStyle name="常规 2 8 2 3" xfId="1552"/>
    <cellStyle name="常规 2 8 2 3 2" xfId="1553"/>
    <cellStyle name="常规 2 8 2 4" xfId="1554"/>
    <cellStyle name="常规 2 8 2 4 2" xfId="1555"/>
    <cellStyle name="常规 2 8 2 5" xfId="1556"/>
    <cellStyle name="常规 2 8 2 5 2" xfId="1557"/>
    <cellStyle name="常规 2 8 2 6" xfId="1558"/>
    <cellStyle name="常规 2 8 2 6 2" xfId="1559"/>
    <cellStyle name="常规 2 8 2 7" xfId="1560"/>
    <cellStyle name="常规 2 8 2 7 2" xfId="1561"/>
    <cellStyle name="常规 2 8 2 8" xfId="1562"/>
    <cellStyle name="常规 2 8 2 8 2" xfId="1563"/>
    <cellStyle name="常规 2 8 2 9" xfId="1564"/>
    <cellStyle name="常规 2 8 2 9 2" xfId="1565"/>
    <cellStyle name="常规 2 8 3" xfId="1566"/>
    <cellStyle name="常规 2 8 3 2" xfId="1567"/>
    <cellStyle name="常规 2 8 4" xfId="1568"/>
    <cellStyle name="常规 2 8 4 2" xfId="1569"/>
    <cellStyle name="常规 2 8 5" xfId="1570"/>
    <cellStyle name="常规 2 8 5 2" xfId="1571"/>
    <cellStyle name="常规 2 8 6" xfId="1572"/>
    <cellStyle name="常规 2 8 6 2" xfId="1573"/>
    <cellStyle name="常规 2 8 7" xfId="1574"/>
    <cellStyle name="常规 2 8 7 2" xfId="1575"/>
    <cellStyle name="常规 2 8 8" xfId="1576"/>
    <cellStyle name="常规 2 8 8 2" xfId="1577"/>
    <cellStyle name="常规 2 8 9" xfId="1578"/>
    <cellStyle name="常规 2 8 9 2" xfId="1579"/>
    <cellStyle name="常规 2 9" xfId="1580"/>
    <cellStyle name="常规 2 9 10" xfId="1581"/>
    <cellStyle name="常规 2 9 10 2" xfId="1582"/>
    <cellStyle name="常规 2 9 11" xfId="1583"/>
    <cellStyle name="常规 2 9 11 2" xfId="1584"/>
    <cellStyle name="常规 2 9 12" xfId="1585"/>
    <cellStyle name="常规 2 9 12 2" xfId="1586"/>
    <cellStyle name="常规 2 9 13" xfId="1587"/>
    <cellStyle name="常规 2 9 13 2" xfId="1588"/>
    <cellStyle name="常规 2 9 14" xfId="1589"/>
    <cellStyle name="常规 2 9 14 2" xfId="1590"/>
    <cellStyle name="常规 2 9 15" xfId="1591"/>
    <cellStyle name="常规 2 9 15 2" xfId="1592"/>
    <cellStyle name="常规 2 9 16" xfId="1593"/>
    <cellStyle name="常规 2 9 2" xfId="1594"/>
    <cellStyle name="常规 2 9 2 10" xfId="1595"/>
    <cellStyle name="常规 2 9 2 10 2" xfId="1596"/>
    <cellStyle name="常规 2 9 2 11" xfId="1597"/>
    <cellStyle name="常规 2 9 2 11 2" xfId="1598"/>
    <cellStyle name="常规 2 9 2 12" xfId="1599"/>
    <cellStyle name="常规 2 9 2 12 2" xfId="1600"/>
    <cellStyle name="常规 2 9 2 13" xfId="1601"/>
    <cellStyle name="常规 2 9 2 13 2" xfId="1602"/>
    <cellStyle name="常规 2 9 2 14" xfId="1603"/>
    <cellStyle name="常规 2 9 2 14 2" xfId="1604"/>
    <cellStyle name="常规 2 9 2 15" xfId="1605"/>
    <cellStyle name="常规 2 9 2 2" xfId="1606"/>
    <cellStyle name="常规 2 9 2 2 2" xfId="1607"/>
    <cellStyle name="常规 2 9 2 3" xfId="1608"/>
    <cellStyle name="常规 2 9 2 3 2" xfId="1609"/>
    <cellStyle name="常规 2 9 2 4" xfId="1610"/>
    <cellStyle name="常规 2 9 2 4 2" xfId="1611"/>
    <cellStyle name="常规 2 9 2 5" xfId="1612"/>
    <cellStyle name="常规 2 9 2 5 2" xfId="1613"/>
    <cellStyle name="常规 2 9 2 6" xfId="1614"/>
    <cellStyle name="常规 2 9 2 6 2" xfId="1615"/>
    <cellStyle name="常规 2 9 2 7" xfId="1616"/>
    <cellStyle name="常规 2 9 2 7 2" xfId="1617"/>
    <cellStyle name="常规 2 9 2 8" xfId="1618"/>
    <cellStyle name="常规 2 9 2 8 2" xfId="1619"/>
    <cellStyle name="常规 2 9 2 9" xfId="1620"/>
    <cellStyle name="常规 2 9 2 9 2" xfId="1621"/>
    <cellStyle name="常规 2 9 3" xfId="1622"/>
    <cellStyle name="常规 2 9 3 2" xfId="1623"/>
    <cellStyle name="常规 2 9 4" xfId="1624"/>
    <cellStyle name="常规 2 9 4 2" xfId="1625"/>
    <cellStyle name="常规 2 9 5" xfId="1626"/>
    <cellStyle name="常规 2 9 5 2" xfId="1627"/>
    <cellStyle name="常规 2 9 6" xfId="1628"/>
    <cellStyle name="常规 2 9 6 2" xfId="1629"/>
    <cellStyle name="常规 2 9 7" xfId="1630"/>
    <cellStyle name="常规 2 9 7 2" xfId="1631"/>
    <cellStyle name="常规 2 9 8" xfId="1632"/>
    <cellStyle name="常规 2 9 8 2" xfId="1633"/>
    <cellStyle name="常规 2 9 9" xfId="1634"/>
    <cellStyle name="常规 2 9 9 2" xfId="1635"/>
    <cellStyle name="常规 20" xfId="1636"/>
    <cellStyle name="常规 21" xfId="1637"/>
    <cellStyle name="常规 21 2" xfId="1638"/>
    <cellStyle name="常规 21 3" xfId="1639"/>
    <cellStyle name="常规 22" xfId="1640"/>
    <cellStyle name="常规 22 2" xfId="1641"/>
    <cellStyle name="常规 22 3" xfId="1642"/>
    <cellStyle name="常规 23" xfId="1643"/>
    <cellStyle name="常规 24" xfId="1644"/>
    <cellStyle name="常规 25" xfId="1645"/>
    <cellStyle name="常规 26" xfId="1646"/>
    <cellStyle name="常规 27" xfId="1647"/>
    <cellStyle name="常规 28" xfId="1648"/>
    <cellStyle name="常规 29" xfId="1649"/>
    <cellStyle name="常规 3" xfId="1650"/>
    <cellStyle name="常规 3 10" xfId="1651"/>
    <cellStyle name="常规 3 11" xfId="1652"/>
    <cellStyle name="常规 3 12" xfId="1653"/>
    <cellStyle name="常规 3 13" xfId="1654"/>
    <cellStyle name="常规 3 14" xfId="1655"/>
    <cellStyle name="常规 3 15" xfId="1656"/>
    <cellStyle name="常规 3 2" xfId="1657"/>
    <cellStyle name="常规 3 2 2" xfId="1658"/>
    <cellStyle name="常规 3 2 3" xfId="1659"/>
    <cellStyle name="常规 3 3" xfId="1660"/>
    <cellStyle name="常规 3 3 2" xfId="1661"/>
    <cellStyle name="常规 3 3 3" xfId="1662"/>
    <cellStyle name="常规 3 4" xfId="1663"/>
    <cellStyle name="常规 3 4 2" xfId="1664"/>
    <cellStyle name="常规 3 4 3" xfId="1665"/>
    <cellStyle name="常规 3 5" xfId="1666"/>
    <cellStyle name="常规 3 5 2" xfId="1667"/>
    <cellStyle name="常规 3 5 3" xfId="1668"/>
    <cellStyle name="常规 3 6" xfId="1669"/>
    <cellStyle name="常规 3 6 2" xfId="1670"/>
    <cellStyle name="常规 3 6 3" xfId="1671"/>
    <cellStyle name="常规 3 7" xfId="1672"/>
    <cellStyle name="常规 3 7 2" xfId="1673"/>
    <cellStyle name="常规 3 7 3" xfId="1674"/>
    <cellStyle name="常规 3 8" xfId="1675"/>
    <cellStyle name="常规 3 9" xfId="1676"/>
    <cellStyle name="常规 30" xfId="1677"/>
    <cellStyle name="常规 31" xfId="1678"/>
    <cellStyle name="常规 32" xfId="1679"/>
    <cellStyle name="常规 33" xfId="1680"/>
    <cellStyle name="常规 34" xfId="1681"/>
    <cellStyle name="常规 35" xfId="1682"/>
    <cellStyle name="常规 36" xfId="1683"/>
    <cellStyle name="常规 37" xfId="1684"/>
    <cellStyle name="常规 38" xfId="1685"/>
    <cellStyle name="常规 39" xfId="1686"/>
    <cellStyle name="常规 4" xfId="1687"/>
    <cellStyle name="常规 4 10" xfId="1688"/>
    <cellStyle name="常规 4 11" xfId="1689"/>
    <cellStyle name="常规 4 12" xfId="1690"/>
    <cellStyle name="常规 4 13" xfId="1691"/>
    <cellStyle name="常规 4 2" xfId="1692"/>
    <cellStyle name="常规 4 2 2" xfId="1693"/>
    <cellStyle name="常规 4 2 3" xfId="1694"/>
    <cellStyle name="常规 4 3" xfId="1695"/>
    <cellStyle name="常规 4 3 2" xfId="1696"/>
    <cellStyle name="常规 4 3 3" xfId="1697"/>
    <cellStyle name="常规 4 4" xfId="1698"/>
    <cellStyle name="常规 4 4 2" xfId="1699"/>
    <cellStyle name="常规 4 4 3" xfId="1700"/>
    <cellStyle name="常规 4 5" xfId="1701"/>
    <cellStyle name="常规 4 5 2" xfId="1702"/>
    <cellStyle name="常规 4 5 3" xfId="1703"/>
    <cellStyle name="常规 4 6" xfId="1704"/>
    <cellStyle name="常规 4 6 2" xfId="1705"/>
    <cellStyle name="常规 4 6 3" xfId="1706"/>
    <cellStyle name="常规 4 7" xfId="1707"/>
    <cellStyle name="常规 4 7 2" xfId="1708"/>
    <cellStyle name="常规 4 7 3" xfId="1709"/>
    <cellStyle name="常规 4 8" xfId="1710"/>
    <cellStyle name="常规 4 9" xfId="1711"/>
    <cellStyle name="常规 40" xfId="1712"/>
    <cellStyle name="常规 41" xfId="1713"/>
    <cellStyle name="常规 42" xfId="1714"/>
    <cellStyle name="常规 43" xfId="1715"/>
    <cellStyle name="常规 45" xfId="1716"/>
    <cellStyle name="常规 46" xfId="1717"/>
    <cellStyle name="常规 47" xfId="1718"/>
    <cellStyle name="常规 48" xfId="1719"/>
    <cellStyle name="常规 49" xfId="1720"/>
    <cellStyle name="常规 5" xfId="1721"/>
    <cellStyle name="常规 5 10" xfId="1722"/>
    <cellStyle name="常规 5 11" xfId="1723"/>
    <cellStyle name="常规 5 12" xfId="1724"/>
    <cellStyle name="常规 5 13" xfId="1725"/>
    <cellStyle name="常规 5 14" xfId="1726"/>
    <cellStyle name="常规 5 15" xfId="1727"/>
    <cellStyle name="常规 5 2" xfId="1728"/>
    <cellStyle name="常规 5 3" xfId="1729"/>
    <cellStyle name="常规 5 4" xfId="1730"/>
    <cellStyle name="常规 5 5" xfId="1731"/>
    <cellStyle name="常规 5 6" xfId="1732"/>
    <cellStyle name="常规 5 7" xfId="1733"/>
    <cellStyle name="常规 5 8" xfId="1734"/>
    <cellStyle name="常规 5 9" xfId="1735"/>
    <cellStyle name="常规 50" xfId="1736"/>
    <cellStyle name="常规 51" xfId="1737"/>
    <cellStyle name="常规 52" xfId="1738"/>
    <cellStyle name="常规 6" xfId="1739"/>
    <cellStyle name="常规 6 10" xfId="1740"/>
    <cellStyle name="常规 6 11" xfId="1741"/>
    <cellStyle name="常规 6 12" xfId="1742"/>
    <cellStyle name="常规 6 13" xfId="1743"/>
    <cellStyle name="常规 6 13 10" xfId="1744"/>
    <cellStyle name="常规 6 13 10 2" xfId="1745"/>
    <cellStyle name="常规 6 13 11" xfId="1746"/>
    <cellStyle name="常规 6 13 11 2" xfId="1747"/>
    <cellStyle name="常规 6 13 12" xfId="1748"/>
    <cellStyle name="常规 6 13 12 2" xfId="1749"/>
    <cellStyle name="常规 6 13 13" xfId="1750"/>
    <cellStyle name="常规 6 13 13 2" xfId="1751"/>
    <cellStyle name="常规 6 13 14" xfId="1752"/>
    <cellStyle name="常规 6 13 14 2" xfId="1753"/>
    <cellStyle name="常规 6 13 15" xfId="1754"/>
    <cellStyle name="常规 6 13 2" xfId="1755"/>
    <cellStyle name="常规 6 13 2 2" xfId="1756"/>
    <cellStyle name="常规 6 13 3" xfId="1757"/>
    <cellStyle name="常规 6 13 3 2" xfId="1758"/>
    <cellStyle name="常规 6 13 4" xfId="1759"/>
    <cellStyle name="常规 6 13 4 2" xfId="1760"/>
    <cellStyle name="常规 6 13 5" xfId="1761"/>
    <cellStyle name="常规 6 13 5 2" xfId="1762"/>
    <cellStyle name="常规 6 13 6" xfId="1763"/>
    <cellStyle name="常规 6 13 6 2" xfId="1764"/>
    <cellStyle name="常规 6 13 7" xfId="1765"/>
    <cellStyle name="常规 6 13 7 2" xfId="1766"/>
    <cellStyle name="常规 6 13 8" xfId="1767"/>
    <cellStyle name="常规 6 13 8 2" xfId="1768"/>
    <cellStyle name="常规 6 13 9" xfId="1769"/>
    <cellStyle name="常规 6 13 9 2" xfId="1770"/>
    <cellStyle name="常规 6 14" xfId="1771"/>
    <cellStyle name="常规 6 14 10" xfId="1772"/>
    <cellStyle name="常规 6 14 10 2" xfId="1773"/>
    <cellStyle name="常规 6 14 11" xfId="1774"/>
    <cellStyle name="常规 6 14 11 2" xfId="1775"/>
    <cellStyle name="常规 6 14 12" xfId="1776"/>
    <cellStyle name="常规 6 14 12 2" xfId="1777"/>
    <cellStyle name="常规 6 14 13" xfId="1778"/>
    <cellStyle name="常规 6 14 13 2" xfId="1779"/>
    <cellStyle name="常规 6 14 14" xfId="1780"/>
    <cellStyle name="常规 6 14 14 2" xfId="1781"/>
    <cellStyle name="常规 6 14 15" xfId="1782"/>
    <cellStyle name="常规 6 14 2" xfId="1783"/>
    <cellStyle name="常规 6 14 2 2" xfId="1784"/>
    <cellStyle name="常规 6 14 3" xfId="1785"/>
    <cellStyle name="常规 6 14 3 2" xfId="1786"/>
    <cellStyle name="常规 6 14 4" xfId="1787"/>
    <cellStyle name="常规 6 14 4 2" xfId="1788"/>
    <cellStyle name="常规 6 14 5" xfId="1789"/>
    <cellStyle name="常规 6 14 5 2" xfId="1790"/>
    <cellStyle name="常规 6 14 6" xfId="1791"/>
    <cellStyle name="常规 6 14 6 2" xfId="1792"/>
    <cellStyle name="常规 6 14 7" xfId="1793"/>
    <cellStyle name="常规 6 14 7 2" xfId="1794"/>
    <cellStyle name="常规 6 14 8" xfId="1795"/>
    <cellStyle name="常规 6 14 8 2" xfId="1796"/>
    <cellStyle name="常规 6 14 9" xfId="1797"/>
    <cellStyle name="常规 6 14 9 2" xfId="1798"/>
    <cellStyle name="常规 6 15" xfId="1799"/>
    <cellStyle name="常规 6 15 10" xfId="1800"/>
    <cellStyle name="常规 6 15 10 2" xfId="1801"/>
    <cellStyle name="常规 6 15 11" xfId="1802"/>
    <cellStyle name="常规 6 15 11 2" xfId="1803"/>
    <cellStyle name="常规 6 15 12" xfId="1804"/>
    <cellStyle name="常规 6 15 12 2" xfId="1805"/>
    <cellStyle name="常规 6 15 13" xfId="1806"/>
    <cellStyle name="常规 6 15 13 2" xfId="1807"/>
    <cellStyle name="常规 6 15 14" xfId="1808"/>
    <cellStyle name="常规 6 15 14 2" xfId="1809"/>
    <cellStyle name="常规 6 15 15" xfId="1810"/>
    <cellStyle name="常规 6 15 2" xfId="1811"/>
    <cellStyle name="常规 6 15 2 2" xfId="1812"/>
    <cellStyle name="常规 6 15 3" xfId="1813"/>
    <cellStyle name="常规 6 15 3 2" xfId="1814"/>
    <cellStyle name="常规 6 15 4" xfId="1815"/>
    <cellStyle name="常规 6 15 4 2" xfId="1816"/>
    <cellStyle name="常规 6 15 5" xfId="1817"/>
    <cellStyle name="常规 6 15 5 2" xfId="1818"/>
    <cellStyle name="常规 6 15 6" xfId="1819"/>
    <cellStyle name="常规 6 15 6 2" xfId="1820"/>
    <cellStyle name="常规 6 15 7" xfId="1821"/>
    <cellStyle name="常规 6 15 7 2" xfId="1822"/>
    <cellStyle name="常规 6 15 8" xfId="1823"/>
    <cellStyle name="常规 6 15 8 2" xfId="1824"/>
    <cellStyle name="常规 6 15 9" xfId="1825"/>
    <cellStyle name="常规 6 15 9 2" xfId="1826"/>
    <cellStyle name="常规 6 16" xfId="1827"/>
    <cellStyle name="常规 6 16 10" xfId="1828"/>
    <cellStyle name="常规 6 16 10 2" xfId="1829"/>
    <cellStyle name="常规 6 16 11" xfId="1830"/>
    <cellStyle name="常规 6 16 11 2" xfId="1831"/>
    <cellStyle name="常规 6 16 12" xfId="1832"/>
    <cellStyle name="常规 6 16 12 2" xfId="1833"/>
    <cellStyle name="常规 6 16 13" xfId="1834"/>
    <cellStyle name="常规 6 16 13 2" xfId="1835"/>
    <cellStyle name="常规 6 16 14" xfId="1836"/>
    <cellStyle name="常规 6 16 14 2" xfId="1837"/>
    <cellStyle name="常规 6 16 15" xfId="1838"/>
    <cellStyle name="常规 6 16 2" xfId="1839"/>
    <cellStyle name="常规 6 16 2 2" xfId="1840"/>
    <cellStyle name="常规 6 16 3" xfId="1841"/>
    <cellStyle name="常规 6 16 3 2" xfId="1842"/>
    <cellStyle name="常规 6 16 4" xfId="1843"/>
    <cellStyle name="常规 6 16 4 2" xfId="1844"/>
    <cellStyle name="常规 6 16 5" xfId="1845"/>
    <cellStyle name="常规 6 16 5 2" xfId="1846"/>
    <cellStyle name="常规 6 16 6" xfId="1847"/>
    <cellStyle name="常规 6 16 6 2" xfId="1848"/>
    <cellStyle name="常规 6 16 7" xfId="1849"/>
    <cellStyle name="常规 6 16 7 2" xfId="1850"/>
    <cellStyle name="常规 6 16 8" xfId="1851"/>
    <cellStyle name="常规 6 16 8 2" xfId="1852"/>
    <cellStyle name="常规 6 16 9" xfId="1853"/>
    <cellStyle name="常规 6 16 9 2" xfId="1854"/>
    <cellStyle name="常规 6 17" xfId="1855"/>
    <cellStyle name="常规 6 17 10" xfId="1856"/>
    <cellStyle name="常规 6 17 10 2" xfId="1857"/>
    <cellStyle name="常规 6 17 11" xfId="1858"/>
    <cellStyle name="常规 6 17 11 2" xfId="1859"/>
    <cellStyle name="常规 6 17 12" xfId="1860"/>
    <cellStyle name="常规 6 17 12 2" xfId="1861"/>
    <cellStyle name="常规 6 17 13" xfId="1862"/>
    <cellStyle name="常规 6 17 13 2" xfId="1863"/>
    <cellStyle name="常规 6 17 14" xfId="1864"/>
    <cellStyle name="常规 6 17 14 2" xfId="1865"/>
    <cellStyle name="常规 6 17 15" xfId="1866"/>
    <cellStyle name="常规 6 17 2" xfId="1867"/>
    <cellStyle name="常规 6 17 2 2" xfId="1868"/>
    <cellStyle name="常规 6 17 3" xfId="1869"/>
    <cellStyle name="常规 6 17 3 2" xfId="1870"/>
    <cellStyle name="常规 6 17 4" xfId="1871"/>
    <cellStyle name="常规 6 17 4 2" xfId="1872"/>
    <cellStyle name="常规 6 17 5" xfId="1873"/>
    <cellStyle name="常规 6 17 5 2" xfId="1874"/>
    <cellStyle name="常规 6 17 6" xfId="1875"/>
    <cellStyle name="常规 6 17 6 2" xfId="1876"/>
    <cellStyle name="常规 6 17 7" xfId="1877"/>
    <cellStyle name="常规 6 17 7 2" xfId="1878"/>
    <cellStyle name="常规 6 17 8" xfId="1879"/>
    <cellStyle name="常规 6 17 8 2" xfId="1880"/>
    <cellStyle name="常规 6 17 9" xfId="1881"/>
    <cellStyle name="常规 6 17 9 2" xfId="1882"/>
    <cellStyle name="常规 6 18" xfId="1883"/>
    <cellStyle name="常规 6 19" xfId="1884"/>
    <cellStyle name="常规 6 2" xfId="1885"/>
    <cellStyle name="常规 6 2 10" xfId="1886"/>
    <cellStyle name="常规 6 2 10 2" xfId="1887"/>
    <cellStyle name="常规 6 2 11" xfId="1888"/>
    <cellStyle name="常规 6 2 11 2" xfId="1889"/>
    <cellStyle name="常规 6 2 12" xfId="1890"/>
    <cellStyle name="常规 6 2 12 2" xfId="1891"/>
    <cellStyle name="常规 6 2 13" xfId="1892"/>
    <cellStyle name="常规 6 2 13 2" xfId="1893"/>
    <cellStyle name="常规 6 2 14" xfId="1894"/>
    <cellStyle name="常规 6 2 14 2" xfId="1895"/>
    <cellStyle name="常规 6 2 15" xfId="1896"/>
    <cellStyle name="常规 6 2 15 2" xfId="1897"/>
    <cellStyle name="常规 6 2 16" xfId="1898"/>
    <cellStyle name="常规 6 2 16 2" xfId="1899"/>
    <cellStyle name="常规 6 2 17" xfId="1900"/>
    <cellStyle name="常规 6 2 17 2" xfId="1901"/>
    <cellStyle name="常规 6 2 18" xfId="1902"/>
    <cellStyle name="常规 6 2 18 2" xfId="1903"/>
    <cellStyle name="常规 6 2 19" xfId="1904"/>
    <cellStyle name="常规 6 2 19 2" xfId="1905"/>
    <cellStyle name="常规 6 2 2" xfId="1906"/>
    <cellStyle name="常规 6 2 20" xfId="1907"/>
    <cellStyle name="常规 6 2 3" xfId="1908"/>
    <cellStyle name="常规 6 2 4" xfId="1909"/>
    <cellStyle name="常规 6 2 5" xfId="1910"/>
    <cellStyle name="常规 6 2 6" xfId="1911"/>
    <cellStyle name="常规 6 2 7" xfId="1912"/>
    <cellStyle name="常规 6 2 7 2" xfId="1913"/>
    <cellStyle name="常规 6 2 8" xfId="1914"/>
    <cellStyle name="常规 6 2 8 2" xfId="1915"/>
    <cellStyle name="常规 6 2 9" xfId="1916"/>
    <cellStyle name="常规 6 2 9 2" xfId="1917"/>
    <cellStyle name="常规 6 3" xfId="1918"/>
    <cellStyle name="常规 6 4" xfId="1919"/>
    <cellStyle name="常规 6 5" xfId="1920"/>
    <cellStyle name="常规 6 6" xfId="1921"/>
    <cellStyle name="常规 6 7" xfId="1922"/>
    <cellStyle name="常规 6 8" xfId="1923"/>
    <cellStyle name="常规 6 9" xfId="1924"/>
    <cellStyle name="常规 64" xfId="1925"/>
    <cellStyle name="常规 7" xfId="1926"/>
    <cellStyle name="常规 7 2" xfId="1927"/>
    <cellStyle name="常规 7 2 10" xfId="1928"/>
    <cellStyle name="常规 7 2 10 2" xfId="1929"/>
    <cellStyle name="常规 7 2 11" xfId="1930"/>
    <cellStyle name="常规 7 2 11 2" xfId="1931"/>
    <cellStyle name="常规 7 2 12" xfId="1932"/>
    <cellStyle name="常规 7 2 12 2" xfId="1933"/>
    <cellStyle name="常规 7 2 13" xfId="1934"/>
    <cellStyle name="常规 7 2 13 2" xfId="1935"/>
    <cellStyle name="常规 7 2 14" xfId="1936"/>
    <cellStyle name="常规 7 2 14 2" xfId="1937"/>
    <cellStyle name="常规 7 2 15" xfId="1938"/>
    <cellStyle name="常规 7 2 2" xfId="1939"/>
    <cellStyle name="常规 7 2 2 2" xfId="1940"/>
    <cellStyle name="常规 7 2 3" xfId="1941"/>
    <cellStyle name="常规 7 2 3 2" xfId="1942"/>
    <cellStyle name="常规 7 2 4" xfId="1943"/>
    <cellStyle name="常规 7 2 4 2" xfId="1944"/>
    <cellStyle name="常规 7 2 5" xfId="1945"/>
    <cellStyle name="常规 7 2 5 2" xfId="1946"/>
    <cellStyle name="常规 7 2 6" xfId="1947"/>
    <cellStyle name="常规 7 2 6 2" xfId="1948"/>
    <cellStyle name="常规 7 2 7" xfId="1949"/>
    <cellStyle name="常规 7 2 7 2" xfId="1950"/>
    <cellStyle name="常规 7 2 8" xfId="1951"/>
    <cellStyle name="常规 7 2 8 2" xfId="1952"/>
    <cellStyle name="常规 7 2 9" xfId="1953"/>
    <cellStyle name="常规 7 2 9 2" xfId="1954"/>
    <cellStyle name="常规 7 3" xfId="1955"/>
    <cellStyle name="常规 7 3 10" xfId="1956"/>
    <cellStyle name="常规 7 3 10 2" xfId="1957"/>
    <cellStyle name="常规 7 3 11" xfId="1958"/>
    <cellStyle name="常规 7 3 11 2" xfId="1959"/>
    <cellStyle name="常规 7 3 12" xfId="1960"/>
    <cellStyle name="常规 7 3 12 2" xfId="1961"/>
    <cellStyle name="常规 7 3 13" xfId="1962"/>
    <cellStyle name="常规 7 3 13 2" xfId="1963"/>
    <cellStyle name="常规 7 3 14" xfId="1964"/>
    <cellStyle name="常规 7 3 14 2" xfId="1965"/>
    <cellStyle name="常规 7 3 15" xfId="1966"/>
    <cellStyle name="常规 7 3 2" xfId="1967"/>
    <cellStyle name="常规 7 3 2 2" xfId="1968"/>
    <cellStyle name="常规 7 3 3" xfId="1969"/>
    <cellStyle name="常规 7 3 3 2" xfId="1970"/>
    <cellStyle name="常规 7 3 4" xfId="1971"/>
    <cellStyle name="常规 7 3 4 2" xfId="1972"/>
    <cellStyle name="常规 7 3 5" xfId="1973"/>
    <cellStyle name="常规 7 3 5 2" xfId="1974"/>
    <cellStyle name="常规 7 3 6" xfId="1975"/>
    <cellStyle name="常规 7 3 6 2" xfId="1976"/>
    <cellStyle name="常规 7 3 7" xfId="1977"/>
    <cellStyle name="常规 7 3 7 2" xfId="1978"/>
    <cellStyle name="常规 7 3 8" xfId="1979"/>
    <cellStyle name="常规 7 3 8 2" xfId="1980"/>
    <cellStyle name="常规 7 3 9" xfId="1981"/>
    <cellStyle name="常规 7 3 9 2" xfId="1982"/>
    <cellStyle name="常规 7 4" xfId="1983"/>
    <cellStyle name="常规 7 4 10" xfId="1984"/>
    <cellStyle name="常规 7 4 10 2" xfId="1985"/>
    <cellStyle name="常规 7 4 11" xfId="1986"/>
    <cellStyle name="常规 7 4 11 2" xfId="1987"/>
    <cellStyle name="常规 7 4 12" xfId="1988"/>
    <cellStyle name="常规 7 4 12 2" xfId="1989"/>
    <cellStyle name="常规 7 4 13" xfId="1990"/>
    <cellStyle name="常规 7 4 13 2" xfId="1991"/>
    <cellStyle name="常规 7 4 14" xfId="1992"/>
    <cellStyle name="常规 7 4 14 2" xfId="1993"/>
    <cellStyle name="常规 7 4 15" xfId="1994"/>
    <cellStyle name="常规 7 4 2" xfId="1995"/>
    <cellStyle name="常规 7 4 2 2" xfId="1996"/>
    <cellStyle name="常规 7 4 3" xfId="1997"/>
    <cellStyle name="常规 7 4 3 2" xfId="1998"/>
    <cellStyle name="常规 7 4 4" xfId="1999"/>
    <cellStyle name="常规 7 4 4 2" xfId="2000"/>
    <cellStyle name="常规 7 4 5" xfId="2001"/>
    <cellStyle name="常规 7 4 5 2" xfId="2002"/>
    <cellStyle name="常规 7 4 6" xfId="2003"/>
    <cellStyle name="常规 7 4 6 2" xfId="2004"/>
    <cellStyle name="常规 7 4 7" xfId="2005"/>
    <cellStyle name="常规 7 4 7 2" xfId="2006"/>
    <cellStyle name="常规 7 4 8" xfId="2007"/>
    <cellStyle name="常规 7 4 8 2" xfId="2008"/>
    <cellStyle name="常规 7 4 9" xfId="2009"/>
    <cellStyle name="常规 7 4 9 2" xfId="2010"/>
    <cellStyle name="常规 7 5" xfId="2011"/>
    <cellStyle name="常规 7 5 10" xfId="2012"/>
    <cellStyle name="常规 7 5 10 2" xfId="2013"/>
    <cellStyle name="常规 7 5 11" xfId="2014"/>
    <cellStyle name="常规 7 5 11 2" xfId="2015"/>
    <cellStyle name="常规 7 5 12" xfId="2016"/>
    <cellStyle name="常规 7 5 12 2" xfId="2017"/>
    <cellStyle name="常规 7 5 13" xfId="2018"/>
    <cellStyle name="常规 7 5 13 2" xfId="2019"/>
    <cellStyle name="常规 7 5 14" xfId="2020"/>
    <cellStyle name="常规 7 5 14 2" xfId="2021"/>
    <cellStyle name="常规 7 5 15" xfId="2022"/>
    <cellStyle name="常规 7 5 2" xfId="2023"/>
    <cellStyle name="常规 7 5 2 2" xfId="2024"/>
    <cellStyle name="常规 7 5 3" xfId="2025"/>
    <cellStyle name="常规 7 5 3 2" xfId="2026"/>
    <cellStyle name="常规 7 5 4" xfId="2027"/>
    <cellStyle name="常规 7 5 4 2" xfId="2028"/>
    <cellStyle name="常规 7 5 5" xfId="2029"/>
    <cellStyle name="常规 7 5 5 2" xfId="2030"/>
    <cellStyle name="常规 7 5 6" xfId="2031"/>
    <cellStyle name="常规 7 5 6 2" xfId="2032"/>
    <cellStyle name="常规 7 5 7" xfId="2033"/>
    <cellStyle name="常规 7 5 7 2" xfId="2034"/>
    <cellStyle name="常规 7 5 8" xfId="2035"/>
    <cellStyle name="常规 7 5 8 2" xfId="2036"/>
    <cellStyle name="常规 7 5 9" xfId="2037"/>
    <cellStyle name="常规 7 5 9 2" xfId="2038"/>
    <cellStyle name="常规 7 6" xfId="2039"/>
    <cellStyle name="常规 7 6 10" xfId="2040"/>
    <cellStyle name="常规 7 6 10 2" xfId="2041"/>
    <cellStyle name="常规 7 6 11" xfId="2042"/>
    <cellStyle name="常规 7 6 11 2" xfId="2043"/>
    <cellStyle name="常规 7 6 12" xfId="2044"/>
    <cellStyle name="常规 7 6 12 2" xfId="2045"/>
    <cellStyle name="常规 7 6 13" xfId="2046"/>
    <cellStyle name="常规 7 6 13 2" xfId="2047"/>
    <cellStyle name="常规 7 6 14" xfId="2048"/>
    <cellStyle name="常规 7 6 14 2" xfId="2049"/>
    <cellStyle name="常规 7 6 15" xfId="2050"/>
    <cellStyle name="常规 7 6 2" xfId="2051"/>
    <cellStyle name="常规 7 6 2 2" xfId="2052"/>
    <cellStyle name="常规 7 6 3" xfId="2053"/>
    <cellStyle name="常规 7 6 3 2" xfId="2054"/>
    <cellStyle name="常规 7 6 4" xfId="2055"/>
    <cellStyle name="常规 7 6 4 2" xfId="2056"/>
    <cellStyle name="常规 7 6 5" xfId="2057"/>
    <cellStyle name="常规 7 6 5 2" xfId="2058"/>
    <cellStyle name="常规 7 6 6" xfId="2059"/>
    <cellStyle name="常规 7 6 6 2" xfId="2060"/>
    <cellStyle name="常规 7 6 7" xfId="2061"/>
    <cellStyle name="常规 7 6 7 2" xfId="2062"/>
    <cellStyle name="常规 7 6 8" xfId="2063"/>
    <cellStyle name="常规 7 6 8 2" xfId="2064"/>
    <cellStyle name="常规 7 6 9" xfId="2065"/>
    <cellStyle name="常规 7 6 9 2" xfId="2066"/>
    <cellStyle name="常规 7 7" xfId="2067"/>
    <cellStyle name="常规 7 8" xfId="2068"/>
    <cellStyle name="常规 8" xfId="2069"/>
    <cellStyle name="常规 9" xfId="2070"/>
    <cellStyle name="常规 9 2" xfId="2071"/>
    <cellStyle name="쉼표 [0] 2" xfId="2072"/>
    <cellStyle name="쉼표 [0] 2 10" xfId="2073"/>
    <cellStyle name="쉼표 [0] 2 11" xfId="2074"/>
    <cellStyle name="쉼표 [0] 2 12" xfId="2075"/>
    <cellStyle name="쉼표 [0] 2 13" xfId="2076"/>
    <cellStyle name="쉼표 [0] 2 14" xfId="2077"/>
    <cellStyle name="쉼표 [0] 2 15" xfId="2078"/>
    <cellStyle name="쉼표 [0] 2 2" xfId="2079"/>
    <cellStyle name="쉼표 [0] 2 2 10" xfId="2080"/>
    <cellStyle name="쉼표 [0] 2 2 11" xfId="2081"/>
    <cellStyle name="쉼표 [0] 2 2 2" xfId="2082"/>
    <cellStyle name="쉼표 [0] 2 2 2 2" xfId="2083"/>
    <cellStyle name="쉼표 [0] 2 2 2 2 2" xfId="2084"/>
    <cellStyle name="쉼표 [0] 2 2 2 2 2 2" xfId="2085"/>
    <cellStyle name="쉼표 [0] 2 2 2 2 2 2 2" xfId="2086"/>
    <cellStyle name="쉼표 [0] 2 2 2 2 2 2 2 2" xfId="2087"/>
    <cellStyle name="쉼표 [0] 2 2 2 2 2 3" xfId="2088"/>
    <cellStyle name="쉼표 [0] 2 2 2 2 2 4" xfId="2089"/>
    <cellStyle name="쉼표 [0] 2 2 2 2 2 5" xfId="2090"/>
    <cellStyle name="쉼표 [0] 2 2 2 2 2 6" xfId="2091"/>
    <cellStyle name="쉼표 [0] 2 2 2 2 3" xfId="2092"/>
    <cellStyle name="쉼표 [0] 2 2 2 2 4" xfId="2093"/>
    <cellStyle name="쉼표 [0] 2 2 2 2 5" xfId="2094"/>
    <cellStyle name="쉼표 [0] 2 2 2 2 5 2" xfId="2095"/>
    <cellStyle name="쉼표 [0] 2 2 2 2 6" xfId="2096"/>
    <cellStyle name="쉼표 [0] 2 2 2 2 7" xfId="2097"/>
    <cellStyle name="쉼표 [0] 2 2 2 2 8" xfId="2098"/>
    <cellStyle name="쉼표 [0] 2 2 2 3" xfId="2099"/>
    <cellStyle name="쉼표 [0] 2 2 2 3 2" xfId="2100"/>
    <cellStyle name="쉼표 [0] 2 2 2 3 2 2" xfId="2101"/>
    <cellStyle name="쉼표 [0] 2 2 2 3 2 2 2" xfId="2102"/>
    <cellStyle name="쉼표 [0] 2 2 2 3 3" xfId="2103"/>
    <cellStyle name="쉼표 [0] 2 2 2 3 4" xfId="2104"/>
    <cellStyle name="쉼표 [0] 2 2 2 3 5" xfId="2105"/>
    <cellStyle name="쉼표 [0] 2 2 2 3 6" xfId="2106"/>
    <cellStyle name="쉼표 [0] 2 2 2 4" xfId="2107"/>
    <cellStyle name="쉼표 [0] 2 2 2 5" xfId="2108"/>
    <cellStyle name="쉼표 [0] 2 2 2 5 2" xfId="2109"/>
    <cellStyle name="쉼표 [0] 2 2 2 6" xfId="2110"/>
    <cellStyle name="쉼표 [0] 2 2 2 7" xfId="2111"/>
    <cellStyle name="쉼표 [0] 2 2 2 8" xfId="2112"/>
    <cellStyle name="쉼표 [0] 2 2 2 9" xfId="2113"/>
    <cellStyle name="쉼표 [0] 2 2 3" xfId="2114"/>
    <cellStyle name="쉼표 [0] 2 2 4" xfId="2115"/>
    <cellStyle name="쉼표 [0] 2 2 5" xfId="2116"/>
    <cellStyle name="쉼표 [0] 2 2 5 2" xfId="2117"/>
    <cellStyle name="쉼표 [0] 2 2 6" xfId="2118"/>
    <cellStyle name="쉼표 [0] 2 2 7" xfId="2119"/>
    <cellStyle name="쉼표 [0] 2 2 7 2" xfId="2120"/>
    <cellStyle name="쉼표 [0] 2 2 8" xfId="2121"/>
    <cellStyle name="쉼표 [0] 2 2 9" xfId="2122"/>
    <cellStyle name="쉼표 [0] 2 3" xfId="2123"/>
    <cellStyle name="쉼표 [0] 2 3 2" xfId="2124"/>
    <cellStyle name="쉼표 [0] 2 3 2 2" xfId="2125"/>
    <cellStyle name="쉼표 [0] 2 3 2 2 2" xfId="2126"/>
    <cellStyle name="쉼표 [0] 2 3 2 2 2 2" xfId="2127"/>
    <cellStyle name="쉼표 [0] 2 3 2 3" xfId="2128"/>
    <cellStyle name="쉼표 [0] 2 3 2 4" xfId="2129"/>
    <cellStyle name="쉼표 [0] 2 3 2 5" xfId="2130"/>
    <cellStyle name="쉼표 [0] 2 3 2 6" xfId="2131"/>
    <cellStyle name="쉼표 [0] 2 3 3" xfId="2132"/>
    <cellStyle name="쉼표 [0] 2 3 4" xfId="2133"/>
    <cellStyle name="쉼표 [0] 2 3 5" xfId="2134"/>
    <cellStyle name="쉼표 [0] 2 3 5 2" xfId="2135"/>
    <cellStyle name="쉼표 [0] 2 3 6" xfId="2136"/>
    <cellStyle name="쉼표 [0] 2 3 7" xfId="2137"/>
    <cellStyle name="쉼표 [0] 2 3 8" xfId="2138"/>
    <cellStyle name="쉼표 [0] 2 4" xfId="2139"/>
    <cellStyle name="쉼표 [0] 2 4 2" xfId="2140"/>
    <cellStyle name="쉼표 [0] 2 4 3" xfId="2141"/>
    <cellStyle name="쉼표 [0] 2 5" xfId="2142"/>
    <cellStyle name="쉼표 [0] 2 6" xfId="2143"/>
    <cellStyle name="쉼표 [0] 2 7" xfId="2144"/>
    <cellStyle name="쉼표 [0] 2 7 2" xfId="2145"/>
    <cellStyle name="쉼표 [0] 2 8" xfId="2146"/>
    <cellStyle name="쉼표 [0] 2 9" xfId="2147"/>
    <cellStyle name="쉼표 [0] 2 9 2" xfId="2148"/>
    <cellStyle name="쉼표 [0] 3" xfId="2149"/>
    <cellStyle name="쉼표 [0] 3 2" xfId="2150"/>
    <cellStyle name="쉼표 [0] 3 3" xfId="2151"/>
    <cellStyle name="쉼표 [0] 3 4" xfId="2152"/>
    <cellStyle name="쉼표 [0] 3 5" xfId="2153"/>
    <cellStyle name="쉼표 [0] 4" xfId="2154"/>
    <cellStyle name="쉼표 [0] 4 2" xfId="2155"/>
    <cellStyle name="쉼표 [0] 5" xfId="2156"/>
    <cellStyle name="쉼표 [0] 6" xfId="2157"/>
    <cellStyle name="쉼표 [0] 6 2" xfId="2158"/>
    <cellStyle name="쉼표 [0] 8" xfId="2159"/>
    <cellStyle name="入力" xfId="2160"/>
    <cellStyle name="入力 2" xfId="2161"/>
    <cellStyle name="入力 3" xfId="2162"/>
    <cellStyle name="入力 3 2" xfId="2163"/>
    <cellStyle name="入力 3_11FW 판매분석 120506 (JIL MI)" xfId="2164"/>
    <cellStyle name="入力 4" xfId="2165"/>
    <cellStyle name="入力 4 2" xfId="2166"/>
    <cellStyle name="入力 4 3" xfId="2167"/>
    <cellStyle name="入力 4_11FW 판매분석 120506 (JIL MI)" xfId="2168"/>
    <cellStyle name="入力 5" xfId="2169"/>
    <cellStyle name="入力_11FW 판매분석 120506 (JIL MI)" xfId="2170"/>
    <cellStyle name="注释 2" xfId="2171"/>
    <cellStyle name="注释 3" xfId="2172"/>
    <cellStyle name="注释 4" xfId="2173"/>
    <cellStyle name="注释 5" xfId="2174"/>
    <cellStyle name="集計" xfId="2175"/>
    <cellStyle name="集計 2" xfId="2176"/>
    <cellStyle name="集計 3" xfId="2177"/>
    <cellStyle name="集計 3 2" xfId="2178"/>
    <cellStyle name="集計 4" xfId="2179"/>
    <cellStyle name="集計 4 2" xfId="2180"/>
    <cellStyle name="集計 4 3" xfId="2181"/>
    <cellStyle name="集計 5" xfId="2182"/>
    <cellStyle name="差 2" xfId="2183"/>
    <cellStyle name="差 2 2" xfId="2184"/>
    <cellStyle name="差 2 3" xfId="2185"/>
    <cellStyle name="差 2 4" xfId="2186"/>
    <cellStyle name="差 2 5" xfId="2187"/>
    <cellStyle name="差 2 6" xfId="2188"/>
    <cellStyle name="差 2 7" xfId="2189"/>
    <cellStyle name="差 3" xfId="2190"/>
    <cellStyle name="差 3 2" xfId="2191"/>
    <cellStyle name="差 3 3" xfId="2192"/>
    <cellStyle name="差 3 4" xfId="2193"/>
    <cellStyle name="差 3 5" xfId="2194"/>
    <cellStyle name="差 3 6" xfId="2195"/>
    <cellStyle name="差 3 7" xfId="2196"/>
    <cellStyle name="差 4" xfId="2197"/>
    <cellStyle name="差 4 2" xfId="2198"/>
    <cellStyle name="差 4 3" xfId="2199"/>
    <cellStyle name="差 4 4" xfId="2200"/>
    <cellStyle name="差 4 5" xfId="2201"/>
    <cellStyle name="差 4 6" xfId="2202"/>
    <cellStyle name="差 4 7" xfId="2203"/>
    <cellStyle name="差 5" xfId="2204"/>
    <cellStyle name="差 5 2" xfId="2205"/>
    <cellStyle name="差 5 3" xfId="2206"/>
    <cellStyle name="差 5 4" xfId="2207"/>
    <cellStyle name="差 5 5" xfId="2208"/>
    <cellStyle name="差 5 6" xfId="2209"/>
    <cellStyle name="差 5 7" xfId="2210"/>
    <cellStyle name="千位分隔[0] 13" xfId="2211"/>
    <cellStyle name="千位分隔[0] 4 2" xfId="2212"/>
    <cellStyle name="千位分隔[0] 6 2" xfId="2213"/>
    <cellStyle name="千位分隔[0] 7 2" xfId="2214"/>
    <cellStyle name="千位分隔[0] 9" xfId="2215"/>
    <cellStyle name="出力" xfId="2216"/>
    <cellStyle name="出力 2" xfId="2217"/>
    <cellStyle name="出力 3" xfId="2218"/>
    <cellStyle name="出力 3 2" xfId="2219"/>
    <cellStyle name="出力 3_11FW 판매분석 120506 (JIL MI)" xfId="2220"/>
    <cellStyle name="出力 4" xfId="2221"/>
    <cellStyle name="出力 4 2" xfId="2222"/>
    <cellStyle name="出力 4 3" xfId="2223"/>
    <cellStyle name="出力 4_11FW 판매분석 120506 (JIL MI)" xfId="2224"/>
    <cellStyle name="出力 5" xfId="2225"/>
    <cellStyle name="出力_11FW 판매분석 120506 (JIL MI)" xfId="2226"/>
    <cellStyle name="콤마 [0]_0509btn" xfId="2227"/>
    <cellStyle name="콤마_0509btn" xfId="2228"/>
    <cellStyle name="통화 [0] 2" xfId="2229"/>
    <cellStyle name="통화 [0] 2 2" xfId="2230"/>
    <cellStyle name="통화 [0] 2 2 2" xfId="2231"/>
    <cellStyle name="통화 [0] 2 3" xfId="2232"/>
    <cellStyle name="통화 [0] 2 4" xfId="2233"/>
    <cellStyle name="통화 [0] 3" xfId="2234"/>
    <cellStyle name="통화 [0] 3 2" xfId="2235"/>
    <cellStyle name="통화 [0] 3 3" xfId="2236"/>
    <cellStyle name="통화 [0] 3 4" xfId="2237"/>
    <cellStyle name="통화 [0] 4" xfId="2238"/>
    <cellStyle name="통화 [0] 4 2" xfId="2239"/>
    <cellStyle name="통화 [0] 4 2 2" xfId="2240"/>
    <cellStyle name="통화 [0] 4 2 2 2" xfId="2241"/>
    <cellStyle name="통화 [0] 4 2 2 2 2" xfId="2242"/>
    <cellStyle name="통화 [0] 4 2 2 2 2 2" xfId="2243"/>
    <cellStyle name="통화 [0] 4 2 2 3" xfId="2244"/>
    <cellStyle name="통화 [0] 4 2 2 4" xfId="2245"/>
    <cellStyle name="통화 [0] 4 2 2 5" xfId="2246"/>
    <cellStyle name="통화 [0] 4 2 2 6" xfId="2247"/>
    <cellStyle name="통화 [0] 4 2 3" xfId="2248"/>
    <cellStyle name="통화 [0] 4 2 4" xfId="2249"/>
    <cellStyle name="통화 [0] 4 2 5" xfId="2250"/>
    <cellStyle name="통화 [0] 4 2 5 2" xfId="2251"/>
    <cellStyle name="통화 [0] 4 2 6" xfId="2252"/>
    <cellStyle name="통화 [0] 4 2 7" xfId="2253"/>
    <cellStyle name="통화 [0] 4 2 8" xfId="2254"/>
    <cellStyle name="통화 [0] 4 3" xfId="2255"/>
    <cellStyle name="통화 [0] 4 4" xfId="2256"/>
    <cellStyle name="통화 [0] 4 4 2" xfId="2257"/>
    <cellStyle name="통화 [0] 4 5" xfId="2258"/>
    <cellStyle name="통화 [0] 4 6" xfId="2259"/>
    <cellStyle name="통화 [0] 4 6 2" xfId="2260"/>
    <cellStyle name="통화 [0] 4 7" xfId="2261"/>
    <cellStyle name="통화 [0] 4 8" xfId="2262"/>
    <cellStyle name="통화 [0] 4 9" xfId="2263"/>
    <cellStyle name="통화 [0] 5" xfId="2264"/>
    <cellStyle name="통화 [0] 6" xfId="2265"/>
    <cellStyle name="통화 [0] 6 2" xfId="2266"/>
    <cellStyle name="통화 [0] 7" xfId="2267"/>
    <cellStyle name="통화 [0] 7 2" xfId="2268"/>
    <cellStyle name="통화 [0] 8" xfId="2269"/>
    <cellStyle name="통화 [0] 9" xfId="2270"/>
    <cellStyle name="통화 2" xfId="2271"/>
    <cellStyle name="통화 2 2" xfId="2272"/>
    <cellStyle name="통화 3" xfId="2273"/>
    <cellStyle name="표준" xfId="0" builtinId="0"/>
    <cellStyle name="표준 10" xfId="2274"/>
    <cellStyle name="표준 10 2" xfId="2275"/>
    <cellStyle name="표준 100" xfId="2276"/>
    <cellStyle name="표준 101" xfId="2277"/>
    <cellStyle name="표준 102" xfId="2278"/>
    <cellStyle name="표준 103" xfId="2279"/>
    <cellStyle name="표준 104" xfId="2280"/>
    <cellStyle name="표준 105" xfId="2281"/>
    <cellStyle name="표준 106" xfId="2282"/>
    <cellStyle name="표준 107" xfId="2283"/>
    <cellStyle name="표준 108" xfId="2284"/>
    <cellStyle name="표준 109" xfId="2285"/>
    <cellStyle name="표준 11" xfId="2286"/>
    <cellStyle name="표준 11 10" xfId="2287"/>
    <cellStyle name="표준 11 2" xfId="2288"/>
    <cellStyle name="표준 11 2 10" xfId="2289"/>
    <cellStyle name="표준 11 2 2" xfId="2290"/>
    <cellStyle name="표준 11 2 2 2" xfId="2291"/>
    <cellStyle name="표준 11 2 2 2 2" xfId="2292"/>
    <cellStyle name="표준 11 2 2 2 2 2" xfId="2293"/>
    <cellStyle name="표준 11 2 2 2 2 2 2" xfId="2294"/>
    <cellStyle name="표준 11 2 2 2 3" xfId="2295"/>
    <cellStyle name="표준 11 2 2 2 4" xfId="2296"/>
    <cellStyle name="표준 11 2 2 2 5" xfId="2297"/>
    <cellStyle name="표준 11 2 2 2 6" xfId="2298"/>
    <cellStyle name="표준 11 2 2 3" xfId="2299"/>
    <cellStyle name="표준 11 2 2 4" xfId="2300"/>
    <cellStyle name="표준 11 2 2 5" xfId="2301"/>
    <cellStyle name="표준 11 2 2 5 2" xfId="2302"/>
    <cellStyle name="표준 11 2 2 6" xfId="2303"/>
    <cellStyle name="표준 11 2 2 7" xfId="2304"/>
    <cellStyle name="표준 11 2 2 8" xfId="2305"/>
    <cellStyle name="표준 11 2 3" xfId="2306"/>
    <cellStyle name="표준 11 2 3 2" xfId="2307"/>
    <cellStyle name="표준 11 2 3 2 2" xfId="2308"/>
    <cellStyle name="표준 11 2 3 2 2 2" xfId="2309"/>
    <cellStyle name="표준 11 2 3 3" xfId="2310"/>
    <cellStyle name="표준 11 2 3 4" xfId="2311"/>
    <cellStyle name="표준 11 2 3 5" xfId="2312"/>
    <cellStyle name="표준 11 2 3 6" xfId="2313"/>
    <cellStyle name="표준 11 2 4" xfId="2314"/>
    <cellStyle name="표준 11 2 5" xfId="2315"/>
    <cellStyle name="표준 11 2 5 2" xfId="2316"/>
    <cellStyle name="표준 11 2 6" xfId="2317"/>
    <cellStyle name="표준 11 2 7" xfId="2318"/>
    <cellStyle name="표준 11 2 8" xfId="2319"/>
    <cellStyle name="표준 11 2 9" xfId="2320"/>
    <cellStyle name="표준 11 3" xfId="2321"/>
    <cellStyle name="표준 11 3 2" xfId="2322"/>
    <cellStyle name="표준 11 4" xfId="2323"/>
    <cellStyle name="표준 11 4 2" xfId="2324"/>
    <cellStyle name="표준 11 4 3" xfId="2325"/>
    <cellStyle name="표준 11 5" xfId="2326"/>
    <cellStyle name="표준 11 5 2" xfId="2327"/>
    <cellStyle name="표준 11 5 3" xfId="2328"/>
    <cellStyle name="표준 11 6" xfId="2329"/>
    <cellStyle name="표준 11 6 2" xfId="2330"/>
    <cellStyle name="표준 11 7" xfId="2331"/>
    <cellStyle name="표준 11 8" xfId="2332"/>
    <cellStyle name="표준 11 9" xfId="2333"/>
    <cellStyle name="표준 110" xfId="2334"/>
    <cellStyle name="표준 111" xfId="2335"/>
    <cellStyle name="표준 112" xfId="2336"/>
    <cellStyle name="표준 113" xfId="2337"/>
    <cellStyle name="표준 114" xfId="2338"/>
    <cellStyle name="표준 115" xfId="2339"/>
    <cellStyle name="표준 116" xfId="2340"/>
    <cellStyle name="표준 117" xfId="2341"/>
    <cellStyle name="표준 118" xfId="2342"/>
    <cellStyle name="표준 119" xfId="2343"/>
    <cellStyle name="표준 12" xfId="2344"/>
    <cellStyle name="표준 12 2" xfId="2345"/>
    <cellStyle name="표준 120" xfId="2346"/>
    <cellStyle name="표준 121" xfId="2347"/>
    <cellStyle name="표준 122" xfId="2348"/>
    <cellStyle name="표준 123" xfId="2349"/>
    <cellStyle name="표준 124" xfId="2350"/>
    <cellStyle name="표준 125" xfId="2351"/>
    <cellStyle name="표준 126" xfId="2352"/>
    <cellStyle name="표준 127" xfId="2353"/>
    <cellStyle name="표준 13" xfId="2354"/>
    <cellStyle name="표준 13 2" xfId="2355"/>
    <cellStyle name="표준 14" xfId="2356"/>
    <cellStyle name="표준 14 2" xfId="2357"/>
    <cellStyle name="표준 15" xfId="2358"/>
    <cellStyle name="표준 15 2" xfId="2359"/>
    <cellStyle name="표준 16" xfId="2360"/>
    <cellStyle name="표준 16 2" xfId="2361"/>
    <cellStyle name="표준 17" xfId="2362"/>
    <cellStyle name="표준 17 2" xfId="2363"/>
    <cellStyle name="표준 18" xfId="2364"/>
    <cellStyle name="표준 18 2" xfId="2365"/>
    <cellStyle name="표준 19" xfId="2366"/>
    <cellStyle name="표준 19 2" xfId="2367"/>
    <cellStyle name="표준 2" xfId="1"/>
    <cellStyle name="標準 2" xfId="2368"/>
    <cellStyle name="표준 2 10" xfId="2369"/>
    <cellStyle name="표준 2 100" xfId="2370"/>
    <cellStyle name="표준 2 101" xfId="2371"/>
    <cellStyle name="표준 2 102" xfId="2372"/>
    <cellStyle name="표준 2 103" xfId="2373"/>
    <cellStyle name="표준 2 104" xfId="2374"/>
    <cellStyle name="표준 2 105" xfId="2375"/>
    <cellStyle name="표준 2 106" xfId="2376"/>
    <cellStyle name="표준 2 107" xfId="2377"/>
    <cellStyle name="표준 2 108" xfId="2378"/>
    <cellStyle name="표준 2 109" xfId="2379"/>
    <cellStyle name="표준 2 11" xfId="2380"/>
    <cellStyle name="표준 2 110" xfId="2381"/>
    <cellStyle name="표준 2 111" xfId="2382"/>
    <cellStyle name="표준 2 112" xfId="2383"/>
    <cellStyle name="표준 2 113" xfId="2384"/>
    <cellStyle name="표준 2 114" xfId="2385"/>
    <cellStyle name="표준 2 115" xfId="2386"/>
    <cellStyle name="표준 2 116" xfId="2387"/>
    <cellStyle name="표준 2 117" xfId="2388"/>
    <cellStyle name="표준 2 118" xfId="2389"/>
    <cellStyle name="표준 2 119" xfId="2390"/>
    <cellStyle name="표준 2 12" xfId="2391"/>
    <cellStyle name="표준 2 120" xfId="2392"/>
    <cellStyle name="표준 2 121" xfId="2393"/>
    <cellStyle name="표준 2 122" xfId="2394"/>
    <cellStyle name="표준 2 123" xfId="2395"/>
    <cellStyle name="표준 2 124" xfId="2396"/>
    <cellStyle name="표준 2 125" xfId="2397"/>
    <cellStyle name="표준 2 126" xfId="2398"/>
    <cellStyle name="표준 2 127" xfId="2399"/>
    <cellStyle name="표준 2 128" xfId="2400"/>
    <cellStyle name="표준 2 129" xfId="2401"/>
    <cellStyle name="표준 2 13" xfId="2402"/>
    <cellStyle name="표준 2 130" xfId="2403"/>
    <cellStyle name="표준 2 14" xfId="2404"/>
    <cellStyle name="표준 2 15" xfId="2405"/>
    <cellStyle name="표준 2 16" xfId="2406"/>
    <cellStyle name="표준 2 17" xfId="2407"/>
    <cellStyle name="표준 2 18" xfId="2408"/>
    <cellStyle name="표준 2 19" xfId="2409"/>
    <cellStyle name="표준 2 2" xfId="2410"/>
    <cellStyle name="표준 2 2 2" xfId="2411"/>
    <cellStyle name="표준 2 2 2 2" xfId="2412"/>
    <cellStyle name="표준 2 2 3" xfId="2413"/>
    <cellStyle name="표준 2 2 4" xfId="2414"/>
    <cellStyle name="표준 2 2 4 2" xfId="2415"/>
    <cellStyle name="표준 2 2 5" xfId="2416"/>
    <cellStyle name="표준 2 2 6" xfId="2417"/>
    <cellStyle name="표준 2 2 7" xfId="2418"/>
    <cellStyle name="표준 2 2 8" xfId="2419"/>
    <cellStyle name="표준 2 20" xfId="2420"/>
    <cellStyle name="표준 2 21" xfId="2421"/>
    <cellStyle name="표준 2 22" xfId="2422"/>
    <cellStyle name="표준 2 23" xfId="2423"/>
    <cellStyle name="표준 2 24" xfId="2424"/>
    <cellStyle name="표준 2 25" xfId="2425"/>
    <cellStyle name="표준 2 26" xfId="2426"/>
    <cellStyle name="표준 2 27" xfId="2427"/>
    <cellStyle name="표준 2 28" xfId="2428"/>
    <cellStyle name="표준 2 29" xfId="2429"/>
    <cellStyle name="표준 2 3" xfId="2430"/>
    <cellStyle name="표준 2 30" xfId="2431"/>
    <cellStyle name="표준 2 31" xfId="2432"/>
    <cellStyle name="표준 2 32" xfId="2433"/>
    <cellStyle name="표준 2 33" xfId="2434"/>
    <cellStyle name="표준 2 34" xfId="2435"/>
    <cellStyle name="표준 2 35" xfId="2436"/>
    <cellStyle name="표준 2 36" xfId="2437"/>
    <cellStyle name="표준 2 37" xfId="2438"/>
    <cellStyle name="표준 2 38" xfId="2439"/>
    <cellStyle name="표준 2 39" xfId="2440"/>
    <cellStyle name="표준 2 4" xfId="2441"/>
    <cellStyle name="표준 2 4 2" xfId="2442"/>
    <cellStyle name="표준 2 40" xfId="2443"/>
    <cellStyle name="표준 2 41" xfId="2444"/>
    <cellStyle name="표준 2 42" xfId="2445"/>
    <cellStyle name="표준 2 43" xfId="2446"/>
    <cellStyle name="표준 2 44" xfId="2447"/>
    <cellStyle name="표준 2 45" xfId="2448"/>
    <cellStyle name="표준 2 46" xfId="2449"/>
    <cellStyle name="표준 2 47" xfId="2450"/>
    <cellStyle name="표준 2 48" xfId="2451"/>
    <cellStyle name="표준 2 49" xfId="2452"/>
    <cellStyle name="표준 2 49 2" xfId="2453"/>
    <cellStyle name="표준 2 5" xfId="2454"/>
    <cellStyle name="표준 2 50" xfId="2455"/>
    <cellStyle name="표준 2 51" xfId="2456"/>
    <cellStyle name="표준 2 52" xfId="2457"/>
    <cellStyle name="표준 2 53" xfId="2458"/>
    <cellStyle name="표준 2 54" xfId="2459"/>
    <cellStyle name="표준 2 55" xfId="2460"/>
    <cellStyle name="표준 2 56" xfId="2461"/>
    <cellStyle name="표준 2 57" xfId="2462"/>
    <cellStyle name="표준 2 58" xfId="2463"/>
    <cellStyle name="표준 2 59" xfId="2464"/>
    <cellStyle name="표준 2 6" xfId="2465"/>
    <cellStyle name="표준 2 60" xfId="2466"/>
    <cellStyle name="표준 2 61" xfId="2467"/>
    <cellStyle name="표준 2 62" xfId="2468"/>
    <cellStyle name="표준 2 63" xfId="2469"/>
    <cellStyle name="표준 2 64" xfId="2470"/>
    <cellStyle name="표준 2 65" xfId="2471"/>
    <cellStyle name="표준 2 66" xfId="2472"/>
    <cellStyle name="표준 2 67" xfId="2473"/>
    <cellStyle name="표준 2 68" xfId="2474"/>
    <cellStyle name="표준 2 69" xfId="2475"/>
    <cellStyle name="표준 2 7" xfId="2476"/>
    <cellStyle name="표준 2 70" xfId="2477"/>
    <cellStyle name="표준 2 71" xfId="2478"/>
    <cellStyle name="표준 2 72" xfId="2479"/>
    <cellStyle name="표준 2 73" xfId="2480"/>
    <cellStyle name="표준 2 74" xfId="2481"/>
    <cellStyle name="표준 2 75" xfId="2482"/>
    <cellStyle name="표준 2 75 2" xfId="2483"/>
    <cellStyle name="표준 2 75 2 2" xfId="2484"/>
    <cellStyle name="표준 2 75 2 2 2" xfId="2485"/>
    <cellStyle name="표준 2 75 2 2 2 2" xfId="2486"/>
    <cellStyle name="표준 2 75 2 2 2 2 2" xfId="2487"/>
    <cellStyle name="표준 2 75 2 2 3" xfId="2488"/>
    <cellStyle name="표준 2 75 2 2 4" xfId="2489"/>
    <cellStyle name="표준 2 75 2 2 5" xfId="2490"/>
    <cellStyle name="표준 2 75 2 2 6" xfId="2491"/>
    <cellStyle name="표준 2 75 2 3" xfId="2492"/>
    <cellStyle name="표준 2 75 2 4" xfId="2493"/>
    <cellStyle name="표준 2 75 2 5" xfId="2494"/>
    <cellStyle name="표준 2 75 2 5 2" xfId="2495"/>
    <cellStyle name="표준 2 75 2 6" xfId="2496"/>
    <cellStyle name="표준 2 75 2 7" xfId="2497"/>
    <cellStyle name="표준 2 75 2 8" xfId="2498"/>
    <cellStyle name="표준 2 75 3" xfId="2499"/>
    <cellStyle name="표준 2 75 4" xfId="2500"/>
    <cellStyle name="표준 2 75 4 2" xfId="2501"/>
    <cellStyle name="표준 2 75 5" xfId="2502"/>
    <cellStyle name="표준 2 75 6" xfId="2503"/>
    <cellStyle name="표준 2 75 6 2" xfId="2504"/>
    <cellStyle name="표준 2 75 7" xfId="2505"/>
    <cellStyle name="표준 2 75 8" xfId="2506"/>
    <cellStyle name="표준 2 75 9" xfId="2507"/>
    <cellStyle name="표준 2 76" xfId="2508"/>
    <cellStyle name="표준 2 77" xfId="2509"/>
    <cellStyle name="표준 2 78" xfId="2510"/>
    <cellStyle name="표준 2 79" xfId="2511"/>
    <cellStyle name="표준 2 8" xfId="2512"/>
    <cellStyle name="표준 2 80" xfId="2513"/>
    <cellStyle name="표준 2 81" xfId="2514"/>
    <cellStyle name="표준 2 82" xfId="2515"/>
    <cellStyle name="표준 2 83" xfId="2516"/>
    <cellStyle name="표준 2 84" xfId="2517"/>
    <cellStyle name="표준 2 85" xfId="2518"/>
    <cellStyle name="표준 2 86" xfId="2519"/>
    <cellStyle name="표준 2 87" xfId="2520"/>
    <cellStyle name="표준 2 88" xfId="2521"/>
    <cellStyle name="표준 2 89" xfId="2522"/>
    <cellStyle name="표준 2 9" xfId="2523"/>
    <cellStyle name="표준 2 90" xfId="2524"/>
    <cellStyle name="표준 2 91" xfId="2525"/>
    <cellStyle name="표준 2 92" xfId="2526"/>
    <cellStyle name="표준 2 93" xfId="2527"/>
    <cellStyle name="표준 2 94" xfId="2528"/>
    <cellStyle name="표준 2 95" xfId="2529"/>
    <cellStyle name="표준 2 96" xfId="2530"/>
    <cellStyle name="표준 2 97" xfId="2531"/>
    <cellStyle name="표준 2 98" xfId="2532"/>
    <cellStyle name="표준 2 99" xfId="2533"/>
    <cellStyle name="표준 20" xfId="2534"/>
    <cellStyle name="표준 20 10" xfId="2535"/>
    <cellStyle name="표준 20 2" xfId="2536"/>
    <cellStyle name="표준 20 2 10" xfId="2537"/>
    <cellStyle name="표준 20 2 2" xfId="2538"/>
    <cellStyle name="표준 20 2 2 2" xfId="2539"/>
    <cellStyle name="표준 20 2 2 2 2" xfId="2540"/>
    <cellStyle name="표준 20 3" xfId="2541"/>
    <cellStyle name="표준 20 4" xfId="2542"/>
    <cellStyle name="표준 20 5" xfId="2543"/>
    <cellStyle name="표준 20 5 2" xfId="2544"/>
    <cellStyle name="표준 20 5 3" xfId="2545"/>
    <cellStyle name="표준 20 6" xfId="2546"/>
    <cellStyle name="표준 21" xfId="2547"/>
    <cellStyle name="표준 22" xfId="2548"/>
    <cellStyle name="표준 23" xfId="2549"/>
    <cellStyle name="표준 24" xfId="2550"/>
    <cellStyle name="표준 25" xfId="2551"/>
    <cellStyle name="표준 26" xfId="2552"/>
    <cellStyle name="표준 27" xfId="2553"/>
    <cellStyle name="표준 28" xfId="2554"/>
    <cellStyle name="표준 29" xfId="2555"/>
    <cellStyle name="표준 3" xfId="2556"/>
    <cellStyle name="표준 3 10" xfId="2557"/>
    <cellStyle name="표준 3 11" xfId="2558"/>
    <cellStyle name="표준 3 12" xfId="2559"/>
    <cellStyle name="표준 3 13" xfId="2560"/>
    <cellStyle name="표준 3 14" xfId="2561"/>
    <cellStyle name="표준 3 15" xfId="2562"/>
    <cellStyle name="표준 3 16" xfId="2563"/>
    <cellStyle name="표준 3 17" xfId="2564"/>
    <cellStyle name="표준 3 18" xfId="2565"/>
    <cellStyle name="표준 3 19" xfId="2566"/>
    <cellStyle name="표준 3 2" xfId="2567"/>
    <cellStyle name="표준 3 20" xfId="2568"/>
    <cellStyle name="표준 3 21" xfId="2569"/>
    <cellStyle name="표준 3 22" xfId="2570"/>
    <cellStyle name="표준 3 23" xfId="2571"/>
    <cellStyle name="표준 3 24" xfId="2572"/>
    <cellStyle name="표준 3 25" xfId="2573"/>
    <cellStyle name="표준 3 26" xfId="2574"/>
    <cellStyle name="표준 3 27" xfId="2575"/>
    <cellStyle name="표준 3 28" xfId="2576"/>
    <cellStyle name="표준 3 29" xfId="2577"/>
    <cellStyle name="표준 3 3" xfId="2578"/>
    <cellStyle name="표준 3 30" xfId="2579"/>
    <cellStyle name="표준 3 31" xfId="2580"/>
    <cellStyle name="표준 3 32" xfId="2581"/>
    <cellStyle name="표준 3 33" xfId="2582"/>
    <cellStyle name="표준 3 34" xfId="2583"/>
    <cellStyle name="표준 3 35" xfId="2584"/>
    <cellStyle name="표준 3 36" xfId="2585"/>
    <cellStyle name="표준 3 37" xfId="2586"/>
    <cellStyle name="표준 3 38" xfId="2587"/>
    <cellStyle name="표준 3 39" xfId="2588"/>
    <cellStyle name="표준 3 4" xfId="2589"/>
    <cellStyle name="표준 3 40" xfId="2590"/>
    <cellStyle name="표준 3 41" xfId="2591"/>
    <cellStyle name="표준 3 42" xfId="2592"/>
    <cellStyle name="표준 3 43" xfId="2593"/>
    <cellStyle name="표준 3 44" xfId="2594"/>
    <cellStyle name="표준 3 45" xfId="2595"/>
    <cellStyle name="표준 3 46" xfId="2596"/>
    <cellStyle name="표준 3 47" xfId="2597"/>
    <cellStyle name="표준 3 48" xfId="2598"/>
    <cellStyle name="표준 3 49" xfId="2599"/>
    <cellStyle name="표준 3 5" xfId="2600"/>
    <cellStyle name="표준 3 50" xfId="2601"/>
    <cellStyle name="표준 3 51" xfId="2602"/>
    <cellStyle name="표준 3 52" xfId="2603"/>
    <cellStyle name="표준 3 53" xfId="2604"/>
    <cellStyle name="표준 3 54" xfId="2605"/>
    <cellStyle name="표준 3 55" xfId="2606"/>
    <cellStyle name="표준 3 55 2" xfId="2607"/>
    <cellStyle name="표준 3 55 3" xfId="2608"/>
    <cellStyle name="표준 3 56" xfId="2609"/>
    <cellStyle name="표준 3 6" xfId="2610"/>
    <cellStyle name="표준 3 7" xfId="2611"/>
    <cellStyle name="표준 3 8" xfId="2612"/>
    <cellStyle name="표준 3 9" xfId="2613"/>
    <cellStyle name="표준 30" xfId="2614"/>
    <cellStyle name="표준 31" xfId="2615"/>
    <cellStyle name="표준 32" xfId="2616"/>
    <cellStyle name="표준 33" xfId="2617"/>
    <cellStyle name="표준 34" xfId="2618"/>
    <cellStyle name="표준 35" xfId="2619"/>
    <cellStyle name="표준 36" xfId="2620"/>
    <cellStyle name="표준 37" xfId="2621"/>
    <cellStyle name="표준 38" xfId="2622"/>
    <cellStyle name="표준 39" xfId="2623"/>
    <cellStyle name="표준 4" xfId="2624"/>
    <cellStyle name="표준 40" xfId="2625"/>
    <cellStyle name="표준 41" xfId="2626"/>
    <cellStyle name="표준 42" xfId="2627"/>
    <cellStyle name="표준 43" xfId="2628"/>
    <cellStyle name="표준 44" xfId="2629"/>
    <cellStyle name="표준 45" xfId="2630"/>
    <cellStyle name="표준 46" xfId="2631"/>
    <cellStyle name="표준 47" xfId="2632"/>
    <cellStyle name="표준 48" xfId="2633"/>
    <cellStyle name="표준 49" xfId="2634"/>
    <cellStyle name="표준 5" xfId="2635"/>
    <cellStyle name="표준 5 2" xfId="2636"/>
    <cellStyle name="표준 50" xfId="2637"/>
    <cellStyle name="표준 51" xfId="2638"/>
    <cellStyle name="표준 52" xfId="2639"/>
    <cellStyle name="표준 53" xfId="2640"/>
    <cellStyle name="표준 54" xfId="2641"/>
    <cellStyle name="표준 55" xfId="2642"/>
    <cellStyle name="표준 56" xfId="2643"/>
    <cellStyle name="표준 57" xfId="2644"/>
    <cellStyle name="표준 58" xfId="2645"/>
    <cellStyle name="표준 59" xfId="2646"/>
    <cellStyle name="표준 6" xfId="2647"/>
    <cellStyle name="표준 60" xfId="2648"/>
    <cellStyle name="표준 61" xfId="2649"/>
    <cellStyle name="표준 62" xfId="2650"/>
    <cellStyle name="표준 63" xfId="2651"/>
    <cellStyle name="표준 64" xfId="2652"/>
    <cellStyle name="표준 65" xfId="2653"/>
    <cellStyle name="표준 66" xfId="2654"/>
    <cellStyle name="표준 67" xfId="2655"/>
    <cellStyle name="표준 68" xfId="2656"/>
    <cellStyle name="표준 69" xfId="2657"/>
    <cellStyle name="표준 69 2" xfId="2658"/>
    <cellStyle name="표준 69 3" xfId="2659"/>
    <cellStyle name="표준 69 4" xfId="2660"/>
    <cellStyle name="표준 69 5" xfId="2661"/>
    <cellStyle name="표준 69 5 2" xfId="2662"/>
    <cellStyle name="표준 69 5 3" xfId="2663"/>
    <cellStyle name="표준 69 6" xfId="2664"/>
    <cellStyle name="표준 7" xfId="2665"/>
    <cellStyle name="표준 7 2" xfId="2666"/>
    <cellStyle name="표준 7 2 2" xfId="2667"/>
    <cellStyle name="표준 7 2 3" xfId="2668"/>
    <cellStyle name="표준 7 2 4" xfId="2669"/>
    <cellStyle name="표준 7 2 4 2" xfId="2670"/>
    <cellStyle name="표준 7 2 5" xfId="2671"/>
    <cellStyle name="표준 70" xfId="2672"/>
    <cellStyle name="표준 70 2" xfId="2673"/>
    <cellStyle name="표준 70 3" xfId="2674"/>
    <cellStyle name="표준 70 4" xfId="2675"/>
    <cellStyle name="표준 70 5" xfId="2676"/>
    <cellStyle name="표준 70 5 2" xfId="2677"/>
    <cellStyle name="표준 70 5 3" xfId="2678"/>
    <cellStyle name="표준 70 6" xfId="2679"/>
    <cellStyle name="표준 71" xfId="2680"/>
    <cellStyle name="표준 72" xfId="2681"/>
    <cellStyle name="표준 73" xfId="2682"/>
    <cellStyle name="표준 79" xfId="2683"/>
    <cellStyle name="표준 8" xfId="2684"/>
    <cellStyle name="표준 8 2" xfId="2685"/>
    <cellStyle name="표준 9" xfId="2686"/>
    <cellStyle name="悪い" xfId="2687"/>
    <cellStyle name="悪い 2" xfId="2688"/>
    <cellStyle name="悪い 3" xfId="2689"/>
    <cellStyle name="悪い 3 2" xfId="2690"/>
    <cellStyle name="悪い 4" xfId="2691"/>
    <cellStyle name="悪い 4 2" xfId="2692"/>
    <cellStyle name="悪い 5" xfId="2693"/>
    <cellStyle name="説明文" xfId="2694"/>
    <cellStyle name="説明文 2" xfId="2695"/>
    <cellStyle name="説明文 3" xfId="2696"/>
    <cellStyle name="説明文 3 2" xfId="2697"/>
    <cellStyle name="説明文 4" xfId="2698"/>
    <cellStyle name="説明文 4 2" xfId="2699"/>
    <cellStyle name="説明文 5" xfId="2700"/>
    <cellStyle name="Accent1" xfId="2701"/>
    <cellStyle name="Accent2" xfId="2702"/>
    <cellStyle name="Accent3" xfId="2703"/>
    <cellStyle name="Accent4" xfId="2704"/>
    <cellStyle name="Accent5" xfId="2705"/>
    <cellStyle name="Accent6" xfId="2706"/>
    <cellStyle name="Bad" xfId="2707"/>
    <cellStyle name="Calculation" xfId="2708"/>
    <cellStyle name="Check Cell" xfId="2709"/>
    <cellStyle name="Explanatory Text" xfId="2710"/>
    <cellStyle name="Good" xfId="2711"/>
    <cellStyle name="Heading 1" xfId="2712"/>
    <cellStyle name="Heading 2" xfId="2713"/>
    <cellStyle name="Heading 3" xfId="2714"/>
    <cellStyle name="Heading 4" xfId="2715"/>
    <cellStyle name="Input" xfId="2716"/>
    <cellStyle name="LineUB - Style6" xfId="2717"/>
    <cellStyle name="Linked Cell" xfId="2718"/>
    <cellStyle name="Neutral" xfId="2719"/>
    <cellStyle name="Normal 2" xfId="2720"/>
    <cellStyle name="Normal 5_Combined Price List- FALL 109 updated 12.9" xfId="2721"/>
    <cellStyle name="Normal_Lic_Life" xfId="2722"/>
    <cellStyle name="Note" xfId="2723"/>
    <cellStyle name="Output" xfId="2724"/>
    <cellStyle name="Percent 2" xfId="2725"/>
    <cellStyle name="Title" xfId="2726"/>
    <cellStyle name="Total" xfId="2727"/>
    <cellStyle name="Warning Text" xfId="2728"/>
    <cellStyle name="アクセント 1" xfId="2729"/>
    <cellStyle name="アクセント 1 2" xfId="2730"/>
    <cellStyle name="アクセント 1 3" xfId="2731"/>
    <cellStyle name="アクセント 1 3 2" xfId="2732"/>
    <cellStyle name="アクセント 1 4" xfId="2733"/>
    <cellStyle name="アクセント 1 4 2" xfId="2734"/>
    <cellStyle name="アクセント 1 5" xfId="2735"/>
    <cellStyle name="アクセント 2" xfId="2736"/>
    <cellStyle name="アクセント 2 2" xfId="2737"/>
    <cellStyle name="アクセント 2 3" xfId="2738"/>
    <cellStyle name="アクセント 2 3 2" xfId="2739"/>
    <cellStyle name="アクセント 2 4" xfId="2740"/>
    <cellStyle name="アクセント 2 4 2" xfId="2741"/>
    <cellStyle name="アクセント 2 5" xfId="2742"/>
    <cellStyle name="アクセント 3" xfId="2743"/>
    <cellStyle name="アクセント 3 2" xfId="2744"/>
    <cellStyle name="アクセント 3 3" xfId="2745"/>
    <cellStyle name="アクセント 3 3 2" xfId="2746"/>
    <cellStyle name="アクセント 3 4" xfId="2747"/>
    <cellStyle name="アクセント 3 4 2" xfId="2748"/>
    <cellStyle name="アクセント 3 5" xfId="2749"/>
    <cellStyle name="アクセント 4" xfId="2750"/>
    <cellStyle name="アクセント 4 2" xfId="2751"/>
    <cellStyle name="アクセント 4 3" xfId="2752"/>
    <cellStyle name="アクセント 4 3 2" xfId="2753"/>
    <cellStyle name="アクセント 4 4" xfId="2754"/>
    <cellStyle name="アクセント 4 4 2" xfId="2755"/>
    <cellStyle name="アクセント 4 5" xfId="2756"/>
    <cellStyle name="アクセント 5" xfId="2757"/>
    <cellStyle name="アクセント 5 2" xfId="2758"/>
    <cellStyle name="アクセント 5 3" xfId="2759"/>
    <cellStyle name="アクセント 5 3 2" xfId="2760"/>
    <cellStyle name="アクセント 5 4" xfId="2761"/>
    <cellStyle name="アクセント 5 4 2" xfId="2762"/>
    <cellStyle name="アクセント 5 5" xfId="2763"/>
    <cellStyle name="アクセント 6" xfId="2764"/>
    <cellStyle name="アクセント 6 2" xfId="2765"/>
    <cellStyle name="アクセント 6 3" xfId="2766"/>
    <cellStyle name="アクセント 6 3 2" xfId="2767"/>
    <cellStyle name="アクセント 6 4" xfId="2768"/>
    <cellStyle name="アクセント 6 4 2" xfId="2769"/>
    <cellStyle name="アクセント 6 5" xfId="2770"/>
    <cellStyle name="タイトル" xfId="2771"/>
    <cellStyle name="タイトル 2" xfId="2772"/>
    <cellStyle name="タイトル 3" xfId="2773"/>
    <cellStyle name="タイトル 3 2" xfId="2774"/>
    <cellStyle name="タイトル 4" xfId="2775"/>
    <cellStyle name="タイトル 4 2" xfId="2776"/>
    <cellStyle name="タイトル 5" xfId="2777"/>
    <cellStyle name="チェック セル" xfId="2778"/>
    <cellStyle name="チェック セル 2" xfId="2779"/>
    <cellStyle name="チェック セル 3" xfId="2780"/>
    <cellStyle name="チェック セル 3 2" xfId="2781"/>
    <cellStyle name="チェック セル 3_11FW 판매분석 120506 (JIL MI)" xfId="2782"/>
    <cellStyle name="チェック セル 4" xfId="2783"/>
    <cellStyle name="チェック セル 4 2" xfId="2784"/>
    <cellStyle name="チェック セル 4_11FW 판매분석 120506 (JIL MI)" xfId="2785"/>
    <cellStyle name="チェック セル 5" xfId="2786"/>
    <cellStyle name="チェック セル_11FW 판매분석 120506 (JIL MI)" xfId="2787"/>
    <cellStyle name="どちらでもない" xfId="2788"/>
    <cellStyle name="どちらでもない 2" xfId="2789"/>
    <cellStyle name="どちらでもない 3" xfId="2790"/>
    <cellStyle name="どちらでもない 3 2" xfId="2791"/>
    <cellStyle name="どちらでもない 4" xfId="2792"/>
    <cellStyle name="どちらでもない 4 2" xfId="2793"/>
    <cellStyle name="どちらでもない 5" xfId="2794"/>
    <cellStyle name="メモ" xfId="2795"/>
    <cellStyle name="メモ 2" xfId="2796"/>
    <cellStyle name="メモ 3" xfId="2797"/>
    <cellStyle name="メモ 3 2" xfId="2798"/>
    <cellStyle name="メモ 3_11FW 판매분석 120506 (JIL MI)" xfId="2799"/>
    <cellStyle name="メモ 4" xfId="2800"/>
    <cellStyle name="メモ 4 2" xfId="2801"/>
    <cellStyle name="メモ 4_11FW 판매분석 120506 (JIL MI)" xfId="2802"/>
    <cellStyle name="メモ 5" xfId="2803"/>
    <cellStyle name="メモ_11FW 판매분석 120506 (JIL MI)" xfId="2804"/>
    <cellStyle name="リンク セル" xfId="2805"/>
    <cellStyle name="リンク セル 2" xfId="2806"/>
    <cellStyle name="リンク セル 3" xfId="2807"/>
    <cellStyle name="リンク セル 3 2" xfId="2808"/>
    <cellStyle name="リンク セル 3_11FW 판매분석 120506 (JIL MI)" xfId="2809"/>
    <cellStyle name="リンク セル 4" xfId="2810"/>
    <cellStyle name="リンク セル 4 2" xfId="2811"/>
    <cellStyle name="リンク セル 4_11FW 판매분석 120506 (JIL MI)" xfId="2812"/>
    <cellStyle name="リンク セル 5" xfId="2813"/>
    <cellStyle name="リンク セル_11FW 판매분석 120506 (JIL MI)" xfId="2814"/>
  </cellStyles>
  <dxfs count="136"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thin">
          <color indexed="8"/>
        </left>
        <right style="thin">
          <color indexed="8"/>
        </right>
        <vertical style="thin">
          <color indexed="8"/>
        </vertical>
      </border>
    </dxf>
    <dxf>
      <fill>
        <patternFill patternType="solid">
          <bgColor rgb="FFFFFF00"/>
        </patternFill>
      </fill>
    </dxf>
    <dxf>
      <font>
        <sz val="10"/>
      </font>
    </dxf>
    <dxf>
      <font>
        <name val="맑은 고딕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border>
        <left style="thin">
          <color indexed="8"/>
        </left>
        <right style="thin">
          <color indexed="8"/>
        </right>
        <vertical style="thin">
          <color indexed="8"/>
        </vertical>
      </border>
    </dxf>
    <dxf>
      <font>
        <color rgb="FFFF0000"/>
      </font>
    </dxf>
    <dxf>
      <fill>
        <patternFill>
          <bgColor theme="9" tint="0.59999389629810485"/>
        </patternFill>
      </fill>
    </dxf>
    <dxf>
      <fill>
        <patternFill patternType="solid">
          <bgColor theme="8" tint="0.79998168889431442"/>
        </patternFill>
      </fill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medium">
          <color indexed="8"/>
        </left>
        <right style="medium">
          <color indexed="8"/>
        </right>
      </border>
    </dxf>
    <dxf>
      <border>
        <left style="thin">
          <color indexed="8"/>
        </left>
        <right style="thin">
          <color indexed="8"/>
        </right>
        <vertical style="thin">
          <color indexed="8"/>
        </vertical>
      </border>
    </dxf>
    <dxf>
      <border>
        <left style="thin">
          <color indexed="8"/>
        </left>
        <right style="thin">
          <color indexed="8"/>
        </right>
        <vertical style="thin">
          <color indexed="8"/>
        </vertical>
      </border>
    </dxf>
    <dxf>
      <numFmt numFmtId="3" formatCode="#,##0"/>
    </dxf>
    <dxf>
      <numFmt numFmtId="3" formatCode="#,##0"/>
    </dxf>
    <dxf>
      <numFmt numFmtId="4" formatCode="#,##0.00"/>
    </dxf>
    <dxf>
      <numFmt numFmtId="182" formatCode="#,##0,,"/>
    </dxf>
    <dxf>
      <numFmt numFmtId="182" formatCode="#,##0,,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0"/>
      </font>
    </dxf>
    <dxf>
      <font>
        <name val="맑은 고딕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  <dxf>
      <font>
        <sz val="10"/>
      </font>
    </dxf>
    <dxf>
      <font>
        <name val="맑은 고딕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XK" refreshedDate="41470.379529513892" createdVersion="3" refreshedVersion="3" minRefreshableVersion="3" recordCount="902">
  <cacheSource type="worksheet">
    <worksheetSource ref="A1:X1048576" sheet="DB2"/>
  </cacheSource>
  <cacheFields count="26">
    <cacheField name="러닝/신규" numFmtId="0">
      <sharedItems containsBlank="1" count="3">
        <s v="신규"/>
        <s v="러닝"/>
        <m/>
      </sharedItems>
    </cacheField>
    <cacheField name="최초/리오더" numFmtId="0">
      <sharedItems containsBlank="1" count="3">
        <s v="최초"/>
        <s v="리오더"/>
        <m/>
      </sharedItems>
    </cacheField>
    <cacheField name="품번(최초)" numFmtId="0">
      <sharedItems containsBlank="1"/>
    </cacheField>
    <cacheField name="품번수(최초)" numFmtId="0">
      <sharedItems containsString="0" containsBlank="1" containsNumber="1" minValue="0" maxValue="1"/>
    </cacheField>
    <cacheField name="품번(리오더)" numFmtId="0">
      <sharedItems containsBlank="1"/>
    </cacheField>
    <cacheField name="품번수(리오더)" numFmtId="0">
      <sharedItems containsString="0" containsBlank="1" containsNumber="1" minValue="0" maxValue="1"/>
    </cacheField>
    <cacheField name="품번색상(최초)" numFmtId="0">
      <sharedItems containsBlank="1"/>
    </cacheField>
    <cacheField name="색상수(최초)" numFmtId="0">
      <sharedItems containsString="0" containsBlank="1" containsNumber="1" minValue="0" maxValue="1"/>
    </cacheField>
    <cacheField name="품번색상(리오더)" numFmtId="0">
      <sharedItems containsBlank="1"/>
    </cacheField>
    <cacheField name="색상수(리오더)" numFmtId="0">
      <sharedItems containsString="0" containsBlank="1" containsNumber="1" minValue="0" maxValue="1"/>
    </cacheField>
    <cacheField name="년도시즌" numFmtId="0">
      <sharedItems containsBlank="1"/>
    </cacheField>
    <cacheField name="품목2" numFmtId="0">
      <sharedItems containsBlank="1"/>
    </cacheField>
    <cacheField name="브랜드" numFmtId="0">
      <sharedItems containsBlank="1"/>
    </cacheField>
    <cacheField name="품목" numFmtId="0">
      <sharedItems containsBlank="1"/>
    </cacheField>
    <cacheField name="브랜드품목" numFmtId="0">
      <sharedItems containsBlank="1" count="40">
        <s v="ELS-가방"/>
        <s v="DAK"/>
        <s v="ELS-ACC"/>
        <s v="ELS"/>
        <s v="JIL"/>
        <s v="JIL-ACC"/>
        <s v="JOI"/>
        <s v="BRO"/>
        <s v="WTR"/>
        <s v="TRU"/>
        <s v="VBL"/>
        <s v="NOV"/>
        <s v="HCU"/>
        <s v="SMB"/>
        <s v="ELS-의류"/>
        <s v="GRA"/>
        <s v="PLA"/>
        <s v="NIX"/>
        <s v="BMD"/>
        <s v="PLA-의류"/>
        <s v="JOI-ACC"/>
        <s v="PLA-가방"/>
        <s v="URB"/>
        <s v="NAA"/>
        <s v="GOO"/>
        <s v="FFT"/>
        <m/>
        <s v="" u="1"/>
        <s v="MLB" u="1"/>
        <s v="BIL" u="1"/>
        <s v="NAS" u="1"/>
        <s v="NYA" u="1"/>
        <s v="NIN" u="1"/>
        <s v="B1A" u="1"/>
        <s v="NDO" u="1"/>
        <s v="NHL" u="1"/>
        <s v="NRE" u="1"/>
        <s v="NBR" u="1"/>
        <s v="NPH" u="1"/>
        <s v="TWI" u="1"/>
      </sharedItems>
    </cacheField>
    <cacheField name="품번" numFmtId="0">
      <sharedItems containsBlank="1"/>
    </cacheField>
    <cacheField name="품번색상" numFmtId="0">
      <sharedItems containsBlank="1" count="830">
        <s v="ELSSBE3801BK"/>
        <s v="ELSSBE3801BL"/>
        <s v="ELSSBE3802YE"/>
        <s v="ELSSBE3803PK"/>
        <s v="DAKBEE5301GY"/>
        <s v="DAKBEE5302BK"/>
        <s v="DAKBEE5302GY"/>
        <s v="DAKTPE5303RE"/>
        <s v="DAKBEE5304GY"/>
        <s v="DAKBEE5004MT"/>
        <s v="DAKBEE5004GR"/>
        <s v="DAKEBE5305BK"/>
        <s v="DAKEBE5305BG"/>
        <s v="DAKBEE5306BW"/>
        <s v="DAKBEE5306OR"/>
        <s v="DAKBEE5307BU"/>
        <s v="DAKBEE5307OR"/>
        <s v="DAKTPE5308BK"/>
        <s v="DAKTPE5308NA"/>
        <s v="DAKEBE5801BL"/>
        <s v="DAKEBE5801OR"/>
        <s v="ELSEDE5102BK"/>
        <s v="ELSEDE5103GY"/>
        <s v="ELSERE5104BK"/>
        <s v="ELSERE5105GY"/>
        <s v="ELSTPE5108BU"/>
        <s v="ELSTPE5608BU"/>
        <s v="JILBAE5022BG"/>
        <s v="JILBAE5022PP"/>
        <s v="JILEBE5036BK"/>
        <s v="JILEBE5036GY"/>
        <s v="JILEBE5036RE"/>
        <s v="JILFAE5001GY"/>
        <s v="JILTPE5021BK"/>
        <s v="JILTPE5021RE"/>
        <s v="JILBEE5042BK"/>
        <s v="JILBEE5042KH"/>
        <s v="JILBEE5071PK"/>
        <s v="JILBEE5071RE"/>
        <s v="JILEBE5041CL"/>
        <s v="JILBEE5007GY"/>
        <s v="JILBEE5007RE"/>
        <s v="JILBEE5008NY"/>
        <s v="JILVBE5150GY"/>
        <s v="JILEDE5147BK"/>
        <s v="JILEDE5147CL"/>
        <s v="JILFAE5104BK"/>
        <s v="JILFAE5604BK"/>
        <s v="JOIEBE5106BW"/>
        <s v="JOIEBE5111GY"/>
        <s v="JOIEBE5604YE"/>
        <s v="JOIEBE5606BW"/>
        <s v="BROERE5105RE"/>
        <s v="BROERE5106OR"/>
        <s v="BROERE5107PK"/>
        <s v="BROMIE5111KH"/>
        <s v="BROERE5117KH"/>
        <s v="WTRTPE5109BL"/>
        <s v="TRUBAE3301RE"/>
        <s v="TRUBAE3302RE"/>
        <s v="TRUBAE3302BK"/>
        <s v="TRUBAE3303BL"/>
        <s v="TRUBAE3303RE"/>
        <s v="TRUBAE3303PK"/>
        <s v="TRUBAE3304CL"/>
        <s v="TRUBAE3304NY"/>
        <s v="TRUBAE3304RE"/>
        <s v="TRUFIE3305NY"/>
        <s v="TRUFIE3305RE"/>
        <s v="TRUFIE3305YE"/>
        <s v="TRUFIE3305BK"/>
        <s v="TRUFIE3306NY"/>
        <s v="TRUFIE3306RE"/>
        <s v="TRUFIE3306OR"/>
        <s v="JILMIE3301BK"/>
        <s v="JILMIE5303GY"/>
        <s v="JILMIE5303GR"/>
        <s v="JILERE5304NY"/>
        <s v="JILERE5305BK"/>
        <s v="JILERE5306MT"/>
        <s v="JILERE5806MT"/>
        <s v="JILERE5306YE"/>
        <s v="JILERE5806YE"/>
        <s v="JILHUE5307KH"/>
        <s v="JILBAE5308KH"/>
        <s v="JILBAE5808KH"/>
        <s v="JILBAE5309BW"/>
        <s v="JILFAE5310BU"/>
        <s v="VBLERE5301OR"/>
        <s v="VBLERE5801OR"/>
        <s v="VBLBAE5302BK"/>
        <s v="VBLBAE5802BK"/>
        <s v="VBLBAE5303RE"/>
        <s v="VBLBAE5304BL"/>
        <s v="NOVMIE5301BK"/>
        <s v="NOVMIE3302GY"/>
        <s v="NOVBAE5303OR"/>
        <s v="NOVBAE5304BL"/>
        <s v="NOVBAE3305KH"/>
        <s v="NOVTPE5306NY"/>
        <s v="NOVTPE5306GY"/>
        <s v="NOVTPE5307PP"/>
        <s v="NOVTPE5807PP"/>
        <s v="NOVTPE5308NY"/>
        <s v="NOVTPE5308BK"/>
        <s v="NOVTPE5309OR"/>
        <s v="NOVTPE5809OR"/>
        <s v="NOVTPE5309RE"/>
        <s v="NOVTPE5309PK"/>
        <s v="NOVTPE5809PK"/>
        <s v="NOVTPE5309GR"/>
        <s v="HCUMIE3301BK"/>
        <s v="HCUMIE3301KH"/>
        <s v="HCUMIE3302BK"/>
        <s v="HCUMIE3302GY"/>
        <s v="HCUMIE3303BK"/>
        <s v="HCUMIE3303KH"/>
        <s v="JILMIE3311BK"/>
        <s v="JILMIE3311NY"/>
        <s v="JILMIE3312BK"/>
        <s v="JILMIE3312KH"/>
        <s v="JILMIE3314BK"/>
        <s v="JILMIE3314KH"/>
        <s v="JILMIE3313BK"/>
        <s v="JILMIE3313KH"/>
        <s v="VBLBAE3216BK"/>
        <s v="VBLBAE3003BK"/>
        <s v="WTRBAE3003RE"/>
        <s v="WTRBAE3201GR"/>
        <s v="WTRBAE3701GR"/>
        <s v="SMBFIE3202RE"/>
        <s v="SMBFLE3201BL"/>
        <s v="SMBFLE3701BL"/>
        <s v="SMBFLE3206GY"/>
        <s v="SMBFLE3740KH"/>
        <s v="SMBFLE3744GR"/>
        <s v="JILFEE3815OR"/>
        <s v="JILFEE3816RE"/>
        <s v="ELSJPE5301BU"/>
        <s v="ELSJPE5801BU"/>
        <s v="ELSJPE5302BK"/>
        <s v="ELSHPE5303OR"/>
        <s v="ELSHPE5304BK"/>
        <s v="ELSHPE5804BK"/>
        <s v="ELSTLE5305KH"/>
        <s v="ELSTHE5306LI"/>
        <s v="ELSTHE5806LI"/>
        <s v="ELSTHE5306MT"/>
        <s v="ELSTHE5806MT"/>
        <s v="GRAMIE5301NY"/>
        <s v="GRAMIE5301RE"/>
        <s v="GRATPE5302RE"/>
        <s v="GRATPE5302GY"/>
        <s v="GRAERE5303KH"/>
        <s v="GRAERE5303BG"/>
        <s v="GRABAE3304NY"/>
        <s v="GRABAE3304NA"/>
        <s v="GRABAE3304BW"/>
        <s v="GRAFAE5305BG"/>
        <s v="GRAFAE5305BK"/>
        <s v="GRAMIE3306NY"/>
        <s v="GRAMIE3306GY"/>
        <s v="GRAMIE3306BK"/>
        <s v="GRAFAE5307BK"/>
        <s v="GRAFAE5307RE"/>
        <s v="GRAFAE3308BG"/>
        <s v="GRAFAE3308KH"/>
        <s v="GRAFEE3309BK"/>
        <s v="GRAFEE3309BU"/>
        <s v="GRAFEE3310GY"/>
        <s v="GRAEBE5311GR"/>
        <s v="GRAEBE5311NY"/>
        <s v="GRABEE3312BG"/>
        <s v="GRABEE3312ZZ"/>
        <s v="GRABEE3313PK"/>
        <s v="GRABEE3313GY"/>
        <s v="GRABEE3313BW"/>
        <s v="ELSFIE3620BK"/>
        <s v="ELSFIE3642BL"/>
        <s v="ELSBAE3007PK"/>
        <s v="WTRMIE5301GY"/>
        <s v="WTRMIE5302GY"/>
        <s v="WTRMIE3303GY"/>
        <s v="WTRMIE3304RE"/>
        <s v="WTRTPE5305GY"/>
        <s v="WTRERE5306OR"/>
        <s v="WTRERE5806OR"/>
        <s v="WTRBAE3307BL"/>
        <s v="WTRERE5308GR"/>
        <s v="WTRERE5309BL"/>
        <s v="WTRMIE3310NY"/>
        <s v="WTRERE5311KH"/>
        <s v="NOVBAE3310MT"/>
        <s v="NOVBAE3311BL"/>
        <s v="NOVBAE3312NY"/>
        <s v="NOVBAE3313GY"/>
        <s v="NOVBAE3314GY"/>
        <s v="NOVBAE3314NY"/>
        <s v="NOVBAE3315NY"/>
        <s v="NOVBAE3316OR"/>
        <s v="NOVBAE3317RE"/>
        <s v="VBLBAE3103RE"/>
        <s v="VBLBAE3103GR"/>
        <s v="VBLBAE3201GY"/>
        <s v="PLAUME3204YE"/>
        <s v="ELSACE3301NY"/>
        <s v="ELSACE3302BL"/>
        <s v="ELSACE3303OR"/>
        <s v="ELSACE3304BL"/>
        <s v="NIXBEE5301GY"/>
        <s v="NIXBEE5301NY"/>
        <s v="NIXFIE3302BK"/>
        <s v="NIXFIE3303BW"/>
        <s v="NIXFIE3303RE"/>
        <s v="NIXFIE3304GY"/>
        <s v="NIXFIE3305NY"/>
        <s v="NIXFIE3305IV"/>
        <s v="ELSTPE5301NY"/>
        <s v="ELSTPE5801NY"/>
        <s v="ELSBEE5302GR"/>
        <s v="ELSBEE5802GR"/>
        <s v="ELSBEE5303BL"/>
        <s v="ELSBEE5803BL"/>
        <s v="ELSBEE5304BK"/>
        <s v="ELSBEE5304GR"/>
        <s v="ELSBEE5304PK"/>
        <s v="JOIERE5801PK"/>
        <s v="JOIERE5802OR"/>
        <s v="VBLBAE3216GR"/>
        <s v="VBLBAE3216LI"/>
        <s v="VBLBAE3216BL"/>
        <s v="VBLBAE3216RE"/>
        <s v="BMDMIE3301BK"/>
        <s v="BMDMIE3301KH"/>
        <s v="BMDMIE3301GY"/>
        <s v="BMDERE5302BK"/>
        <s v="BMDERE5302GY"/>
        <s v="BMDERE5302RE"/>
        <s v="BMDERE5303BU"/>
        <s v="BMDERE5303GY"/>
        <s v="ELSFIE3211PK"/>
        <s v="ELSFIE3711PK"/>
        <s v="ELSFIE3712BL"/>
        <s v="ELSFIE3713PK"/>
        <s v="ELSBAE3008BK"/>
        <s v="JILMIE3152BK"/>
        <s v="ELSFIE5305OR"/>
        <s v="ELSFIE5305GR"/>
        <s v="ELSBAE5306GR"/>
        <s v="ELSBAE5306PK"/>
        <s v="ELSERE5309PK"/>
        <s v="ELSBAE3311LI"/>
        <s v="ELSBAE3811LI"/>
        <s v="ELSBAE3311PK"/>
        <s v="ELSBAE3811PK"/>
        <s v="ELSBAE3312NY"/>
        <s v="ELSBAE3812NY"/>
        <s v="ELSBAE3307OR"/>
        <s v="ELSERE5308OR"/>
        <s v="ELSERE5310YE"/>
        <s v="ELSERE5810YE"/>
        <s v="ELSERE5310PK"/>
        <s v="ELSERE5810PK"/>
        <s v="ELSERE5313NY"/>
        <s v="ELSERE5316BL"/>
        <s v="ELSERE5816BL"/>
        <s v="ELSFAE3818BL"/>
        <s v="BMDMIE3301BL"/>
        <s v="ELSBAE3008BW"/>
        <s v="ELSFIE3620RE"/>
        <s v="ELSFIE3620YE"/>
        <s v="ELSFIE3640GR"/>
        <s v="SMBFIE3205BK"/>
        <s v="SMBFIE3702RE"/>
        <s v="SMBFIE3705BK"/>
        <s v="SMBFLE3742NY"/>
        <s v="SMBFLE3757PK"/>
        <s v="NOVERE5318RE"/>
        <s v="NOVBAE5319NY"/>
        <s v="NOVBAE5819NY"/>
        <s v="NOVMIE5320KH"/>
        <s v="NOVMIE5820KH"/>
        <s v="NOVBAE3321NY"/>
        <s v="VBLBAE3306NY"/>
        <s v="VBLBAE3309GR"/>
        <s v="VBLBAE3310RE"/>
        <s v="VBLBAE3311NY"/>
        <s v="VBLBAE3811NY"/>
        <s v="VBLBAE3312BK"/>
        <s v="VBLBAE3812BK"/>
        <s v="VBLBAE3313BL"/>
        <s v="VBLBAE3813BL"/>
        <s v="VBLBAE3305GY"/>
        <s v="VBLBAE3307OR"/>
        <s v="VBLBAE3308OR"/>
        <s v="VBLERE5314BK"/>
        <s v="VBLERE5814BK"/>
        <s v="VBLERE5315GY"/>
        <s v="JILMIE5317BL"/>
        <s v="JILMIE5317GY"/>
        <s v="JILMIE5317KH"/>
        <s v="JILMIE5318KH"/>
        <s v="JILMIE5319GY"/>
        <s v="JILMIE3320BK"/>
        <s v="JILMIE5321OR"/>
        <s v="JILMIE3322OR"/>
        <s v="JILMIE3323BL"/>
        <s v="JILMIE3324YE"/>
        <s v="JILMIE3325RE"/>
        <s v="JILMIE3326BK"/>
        <s v="JILMIE3327BW"/>
        <s v="JILMIE3339YE"/>
        <s v="JILERE5328KH"/>
        <s v="JILERE5329NY"/>
        <s v="JILERE5330NY"/>
        <s v="JILERE5331BK"/>
        <s v="JILERE5332NY"/>
        <s v="JILERE5332OR"/>
        <s v="JILTPE5333GR"/>
        <s v="JILTPE5833GR"/>
        <s v="JILTPE5333RE"/>
        <s v="JILTPE5833RE"/>
        <s v="JILTPE5334BK"/>
        <s v="JILTPE5834BK"/>
        <s v="JILTPE5335KH"/>
        <s v="JILTPE5336GY"/>
        <s v="JILTPE5337BK"/>
        <s v="JILTPE5338BL"/>
        <s v="NOVBAE5803OR"/>
        <s v="NOVBAE5804BL"/>
        <s v="ELSFIE3001BK"/>
        <s v="ELSFIE3661BK"/>
        <s v="ELSUME3014PK"/>
        <s v="NOVMIE3102GR"/>
        <s v="PLAUME3003BW"/>
        <s v="ELSBPE3601BK"/>
        <s v="ELSBPE3601BL"/>
        <s v="ELSBPE3603PK"/>
        <s v="ELSBPE3611BK"/>
        <s v="ELSBPE3611BL"/>
        <s v="ELSBPE3613GR"/>
        <s v="BMDBAE3202BK"/>
        <s v="BMDBAE3202PK"/>
        <s v="HCUMIE3304BK"/>
        <s v="HCUMIE3305NY"/>
        <s v="HCUMIE3306KH"/>
        <s v="HCUMIE3306BK"/>
        <s v="HCUMIE3307GY"/>
        <s v="HCUERE5308KH"/>
        <s v="HCUERE5308BK"/>
        <s v="PLAUME3301BL"/>
        <s v="PLAUME3302PK"/>
        <s v="VBLBAE5113RE"/>
        <s v="VBLBAE5106BK"/>
        <s v="ELSTPE5148NY"/>
        <s v="ELSTPE5648NY"/>
        <s v="ELSTPE5648PK"/>
        <s v="ELSFIE5647BK"/>
        <s v="PLATLE5301BK"/>
        <s v="PLATLE5801BK"/>
        <s v="PLATLE5302BK"/>
        <s v="PLATLE5802BK"/>
        <s v="PLAJPE5305BK"/>
        <s v="PLAJPE5306BK"/>
        <s v="PLAJPE5806BK"/>
        <s v="PLATLE5303BK"/>
        <s v="PLATLE5304RE"/>
        <s v="PLATLE5804RE"/>
        <s v="PLAJPE5307BL"/>
        <s v="PLAJPE5807BL"/>
        <s v="ELSTLE5307RE"/>
        <s v="ELSTLE5807RE"/>
        <s v="ELSTLE5308BK"/>
        <s v="ELSTLE5808BK"/>
        <s v="ELSTLE5309YE"/>
        <s v="ELSTLE5809YE"/>
        <s v="ELSTHE5312PK"/>
        <s v="ELSTHE5314BK"/>
        <s v="ELSTHE5814BK"/>
        <s v="ELSTHE5318NY"/>
        <s v="ELSTHE5818NY"/>
        <s v="ELSTHE5316RE"/>
        <s v="ELSTHE5317YE"/>
        <s v="ELSTLE5310BL"/>
        <s v="ELSTLE5810BL"/>
        <s v="ELSTLE5310RE"/>
        <s v="ELSTLE5810RE"/>
        <s v="ELSTLE5311BK"/>
        <s v="ELSHPE5321BW"/>
        <s v="ELSHPE5821BW"/>
        <s v="ELSHPE5322RE"/>
        <s v="ELSHPE5822RE"/>
        <s v="ELSTHE5313NY"/>
        <s v="ELSTHE5813NY"/>
        <s v="ELSTHE5319BU"/>
        <s v="ELSHPE5320BK"/>
        <s v="ELSTHE5315BW"/>
        <s v="ELSTHE5815BW"/>
        <s v="ELSHPE5323BK"/>
        <s v="ELSHPE5823BK"/>
        <s v="ELSHPE5324GY"/>
        <s v="ELSHPE5325BK"/>
        <s v="ELSJPE5326GR"/>
        <s v="ELSJPE5826GR"/>
        <s v="ELSEDE5319BW"/>
        <s v="ELSEDE5320BU"/>
        <s v="ELSTPE5321MT"/>
        <s v="ELSTPE5821MT"/>
        <s v="ELSVBE5322OR"/>
        <s v="ELSVBE5822OR"/>
        <s v="ELSBEE5323BW"/>
        <s v="ELSTPE5824NY"/>
        <s v="JOIEBE5803BL"/>
        <s v="JOIEBE5804RE"/>
        <s v="JOIEBE5305GY"/>
        <s v="JOIEBE5805GY"/>
        <s v="JOIVBE5806NY"/>
        <s v="JOIVBE5806PK"/>
        <s v="JOIVBE5306NY"/>
        <s v="JOIVBE5306PK"/>
        <s v="JOIEBE5807BL"/>
        <s v="JOIEBE5310KH"/>
        <s v="JOIEBE5808IV"/>
        <s v="JOIEBE5809BL"/>
        <s v="JOIEDE5311BL"/>
        <s v="JOIEBE5812YE"/>
        <s v="JOIEDE5102IV"/>
        <s v="JOIEDE5110IV"/>
        <s v="PLABPE3301BW"/>
        <s v="PLABPE3302BK"/>
        <s v="PLABPE3303OR"/>
        <s v="PLABPE3304BK"/>
        <s v="ELSBPE3301BW"/>
        <s v="ELSBPE3801BW"/>
        <s v="ELSBPE3811BW"/>
        <s v="NOVFAE3105BG"/>
        <s v="NOVFAE3605BG"/>
        <s v="NOVMIE3101BG"/>
        <s v="NOVMIE3102BK"/>
        <s v="NOVMIE3102RE"/>
        <s v="NOVMIE3602RE"/>
        <s v="HCUMIE3001GY"/>
        <s v="HCUMIE3010BK"/>
        <s v="BMDBAE3202OR"/>
        <s v="PLAUME3203BK"/>
        <s v="PLAUME3208GR"/>
        <s v="HCUMIE3008BK"/>
        <s v="HCUMIE3008KH"/>
        <s v="HCUMIE3109GY"/>
        <s v="HCUMIE3110GY"/>
        <s v="VBLBAE3101GY"/>
        <s v="VBLBAE3107NY"/>
        <s v="ELSERE5022NY"/>
        <s v="ELSERE5144RE"/>
        <s v="ELSERE5644RE"/>
        <s v="ELSERE5145BK"/>
        <s v="ELSFIE3325LI"/>
        <s v="ELSFIE3825LI"/>
        <s v="ELSFIE3326KH"/>
        <s v="ELSFIE3826KH"/>
        <s v="ELSFIE3326RE"/>
        <s v="ELSFIE3826RE"/>
        <s v="ELSMIE3327BK"/>
        <s v="ELSBEE5149BK"/>
        <s v="ELSEBE5328GY"/>
        <s v="ELSEBE5828GY"/>
        <s v="ELSEBE5328MT"/>
        <s v="ELSEBE5828MT"/>
        <s v="ELSEBE5329NY"/>
        <s v="ELSEBE5829NY"/>
        <s v="ELSEBE5329MT"/>
        <s v="ELSEBE5829MT"/>
        <s v="ELSEBE5329BL"/>
        <s v="ELSEBE5829BL"/>
        <s v="ELSEBE5330BL"/>
        <s v="ELSEBE5830BL"/>
        <s v="ELSBEE5804BK"/>
        <s v="ELSBEE5804GR"/>
        <s v="ELSBEE5804PK"/>
        <s v="JILBEE5341ZZ"/>
        <s v="JILBEE5342NY"/>
        <s v="JILBEE5842NY"/>
        <s v="JILBEE5342GR"/>
        <s v="JILBEE5842GR"/>
        <s v="JILEBE5343RE"/>
        <s v="JILEBE5843RE"/>
        <s v="JILBEE5344RE"/>
        <s v="JILBEE5844RE"/>
        <s v="JILBEE5344MT"/>
        <s v="JILBEE5844MT"/>
        <s v="JILBEE5345BK"/>
        <s v="JILBEE5345NY"/>
        <s v="JILBEE5345GY"/>
        <s v="JILBEE5345PK"/>
        <s v="JILEBE5346BU"/>
        <s v="JILEBE5346BK"/>
        <s v="JILEBE5346YE"/>
        <s v="JILVBE5347BW"/>
        <s v="JILVBE5347BK"/>
        <s v="JILBEE5348GR"/>
        <s v="JILBEE5348GY"/>
        <s v="JILBEE5348BL"/>
        <s v="JILBEE5348BK"/>
        <s v="JILBEE5348RE"/>
        <s v="JILBEE5348CL"/>
        <s v="JILBEE5349BK"/>
        <s v="JILBEE5849BK"/>
        <s v="JILEBE5350BW"/>
        <s v="JILEBE5850BW"/>
        <s v="JILEBE5350NY"/>
        <s v="JILEBE5850NY"/>
        <s v="JILBEE5352BK"/>
        <s v="JILBEE5352GY"/>
        <s v="JILBEE5353OR"/>
        <s v="JILBEE5353GR"/>
        <s v="JILEBE5354NY"/>
        <s v="JILBEE5355RE"/>
        <s v="JILBEE5855RE"/>
        <s v="JILBEE5355KH"/>
        <s v="JILBEE5855KH"/>
        <s v="JILBEE5356BK"/>
        <s v="JILBEE5856BK"/>
        <s v="JILBEE5356NY"/>
        <s v="JILBEE5856NY"/>
        <s v="JILBEE5356MT"/>
        <s v="JILBEE5856MT"/>
        <s v="JILVBE5357YE"/>
        <s v="JILVBE5357RE"/>
        <s v="JILEBE5358BK"/>
        <s v="JILBEE5359RE"/>
        <s v="JILBEE5359BW"/>
        <s v="JILEBE5360GY"/>
        <s v="URBFIE5301BK"/>
        <s v="URBFIE3303NY"/>
        <s v="URBFIE3304RE"/>
        <s v="URBFIE3305RE"/>
        <s v="URBFIE3306BK"/>
        <s v="URBFIE3307RE"/>
        <s v="URBFIE3307BL"/>
        <s v="URBFIE5308GY"/>
        <s v="URBFIE3309GY"/>
        <s v="URBFIE3311OR"/>
        <s v="URBFIE3302NY"/>
        <s v="URBFIE3304BK"/>
        <s v="URBFIE3307BK"/>
        <s v="URBFIE3310BL"/>
        <s v="URBFIE3312PP"/>
        <s v="URBFIE3313BW"/>
        <s v="URBFIE3314BK"/>
        <s v="URBFIE3315BK"/>
        <s v="URBFIE3322NY"/>
        <s v="URBFIE3316BK"/>
        <s v="URBFIE3317BK"/>
        <s v="URBFIE3318BK"/>
        <s v="URBFIE3319YE"/>
        <s v="URBFIE3320YE"/>
        <s v="URBFIE3321BK"/>
        <s v="ELSERE5645BK"/>
        <s v="JILMIE3215NY"/>
        <s v="JILMIE3218BW"/>
        <s v="JILMIE3219IV"/>
        <s v="ELSTPE5831NY"/>
        <s v="ELSTPE5831OR"/>
        <s v="ELSERE5332GY"/>
        <s v="ELSERE5832GY"/>
        <s v="ELSERE5333NY"/>
        <s v="ELSERE5833NY"/>
        <s v="ELSERE5334YE"/>
        <s v="ELSERE5834YE"/>
        <s v="ELSFIE3335BL"/>
        <s v="ELSFIE3835BL"/>
        <s v="ELSBAE3649PK"/>
        <s v="JILMIE3152PK"/>
        <s v="WTRBAE3603RE"/>
        <s v="ELSJSE5327BW"/>
        <s v="ELSJSE5827BW"/>
        <s v="ELSPTE5330BK"/>
        <s v="ELSPTE5830BK"/>
        <s v="ELSPTE5331BW"/>
        <s v="ELSPTE5831BW"/>
        <s v="VBLBAE5316GY"/>
        <s v="ELSBAE3008NY"/>
        <s v="ELSFIE3013RE"/>
        <s v="ELSFIE3013BK"/>
        <s v="ELSFIE3013YE"/>
        <s v="ELSFIE3031GR"/>
        <s v="ELSFIE3210GY"/>
        <s v="ELSFIE3710GY"/>
        <s v="ELSFIE3714GR"/>
        <s v="ELSFIE3226BL"/>
        <s v="ELSFIE3721OR"/>
        <s v="ELSFIE3721MT"/>
        <s v="ELSFIE3221OR"/>
        <s v="ELSFIE3726BL"/>
        <s v="SMBBAE3223GY"/>
        <s v="SMBBAE3226PK"/>
        <s v="SMBBAE3235BK"/>
        <s v="SMBFIE3203BL"/>
        <s v="SMBFIE3703BL"/>
        <s v="SMBFIE3213BK"/>
        <s v="SMBFIE3218NY"/>
        <s v="SMBFLE3744RE"/>
        <s v="BMDBAE3202RE"/>
        <s v="BMDMIE3201BL"/>
        <s v="BMDMIE3201BK"/>
        <s v="NAABAE3301NY"/>
        <s v="NAABAE3302BU"/>
        <s v="NAABAE3303PK"/>
        <s v="NAABAE3304GY"/>
        <s v="NAABAE3305GR"/>
        <s v="NAABAE3306NY"/>
        <s v="NAABAE3307NY"/>
        <s v="NAABAE3308GR"/>
        <s v="NAAFLE3309NY"/>
        <s v="NAAFLE3310PP"/>
        <s v="NAAFIE3311PP"/>
        <s v="NAAFIE3312KH"/>
        <s v="NAAFIE3313BU"/>
        <s v="NAAFIE3314BG"/>
        <s v="NAAFIE3315BK"/>
        <s v="NAAFIE3316NY"/>
        <s v="NAAFIE3317GR"/>
        <s v="NAAFIE3318GY"/>
        <s v="GOOFAE3301BK"/>
        <s v="GOOFAE3301BU"/>
        <s v="GOOFEE3302BK"/>
        <s v="GOOFEE3303BK"/>
        <s v="GOOFAE3304BK"/>
        <s v="GOOFAE3304CL"/>
        <s v="GOOMIE3305BK"/>
        <s v="GOOMIE3305GY"/>
        <s v="GOOMIE3305KH"/>
        <s v="GOOMIE3306BK"/>
        <s v="GOOFEE5307BK"/>
        <s v="GOOMIE5308GY"/>
        <s v="GOOMIE5309BK"/>
        <s v="GOOMIE5309BW"/>
        <s v="GOOMIE3043BK"/>
        <s v="GOOMIE3043NY"/>
        <s v="GOOMIE3043KH"/>
        <s v="GOOMIE3043GY"/>
        <s v="JILBEE5361YE"/>
        <s v="JILBEE5361PK"/>
        <s v="JILBEE5361BW"/>
        <s v="JILWAE5362MT"/>
        <s v="JILWAE5363BK"/>
        <s v="JILCME5364PK"/>
        <s v="JILCME5364BK"/>
        <s v="JILEBE5365IV"/>
        <s v="JOIEDE5313MT"/>
        <s v="JOIMUE5814KH"/>
        <s v="FFTFIE3213BK"/>
        <s v="FFTFIE3313WH"/>
        <s v="FFTFIE3208WH"/>
        <s v="FFTFIE3208BK"/>
        <s v="FFTFIE3208KH"/>
        <s v="FFTFIE3209WH"/>
        <s v="FFTFIE3209BK"/>
        <s v="FFTFIE3211RE"/>
        <s v="FFTFIE3311BL"/>
        <s v="FFTFIE3301BK"/>
        <s v="FFTFIE3235NY"/>
        <s v="FFTFIE3234RE"/>
        <s v="FFTFIE3243BK"/>
        <s v="FFTFIE3302BK"/>
        <s v="ELSBEE5336BK"/>
        <s v="ELSBEE5337BL"/>
        <s v="PLAUME3303BK"/>
        <s v="PLAUME3304OR"/>
        <s v="PLAUME3305BW"/>
        <s v="PLAUME3306WH"/>
        <s v="PLAUME3306BK"/>
        <s v="ELSJPE4328PK"/>
        <s v="ELSPTE4329PK"/>
        <s v="ELSJPE4328BL"/>
        <s v="ELSPTE4329BL"/>
        <s v="ELSJPE4328RE"/>
        <s v="ELSPTE4329RE"/>
        <s v="ELSJPE4328BK"/>
        <s v="ELSPTE4329BK"/>
        <s v="ELSJPE4832RE"/>
        <s v="ELSPTE4833RE"/>
        <s v="ELSJPE4832BK"/>
        <s v="ELSPTE4833BK"/>
        <s v="ELSJPE4832BW"/>
        <s v="ELSPTE4833BW"/>
        <s v="SMBFIE3134RE"/>
        <s v="SMBFIE3634RE"/>
        <s v="SMBFIE3135BK"/>
        <s v="SMBFIE3635BK"/>
        <s v="SMBFIE3206BK"/>
        <s v="SMBFIE3215BK"/>
        <s v="SMBBEE5301NY"/>
        <s v="SMBBEE5301RE"/>
        <s v="FFTFIE3330GR"/>
        <s v="FFTFIE3331PP"/>
        <s v="FFTFIE3332WH"/>
        <s v="FFTFIE3333BL"/>
        <s v="FFTFIE3334PP"/>
        <s v="FFTFIE3335BL"/>
        <s v="FFTFIE3336KH"/>
        <s v="FFTFIE3337BL"/>
        <s v="FFTFIE3338PP"/>
        <s v="FFTFIE3340KH"/>
        <s v="FFTFIE3339BK"/>
        <s v="JILMUE5366NY"/>
        <s v="JILMUE5367RE"/>
        <s v="JILMUE5367YE"/>
        <s v="JILBEE5368BK"/>
        <s v="JILBEE5368NY"/>
        <s v="JILEBE5369KH"/>
        <s v="JILEBE5369GY"/>
        <s v="JILEBE5369NY"/>
        <s v="SMBFIE5352GY"/>
        <s v="SMBFIE3353RE"/>
        <s v="SMBFIE3354BK"/>
        <s v="SMBFIE3854BK"/>
        <s v="SMBFIE5306CL"/>
        <s v="SMBFIE5307PK"/>
        <s v="SMBERE5308BW"/>
        <s v="SMBFIE5355OR"/>
        <s v="SMBFIE5855OR"/>
        <s v="JILMIE3216NY"/>
        <s v="ELSFIE3214GR"/>
        <s v="ELSFIE3221MT"/>
        <s v="JILMIE3011BK"/>
        <s v="PLAUME3004BL"/>
        <s v="JOIMUE5316MT"/>
        <s v="JOIMUE5816MT"/>
        <s v="JOIEBE5317MT"/>
        <s v="JOIEBE5817MT"/>
        <s v="JOIMUE5818BL"/>
        <s v="FFTFIE3210BK"/>
        <s v="FFTFIE3239RE"/>
        <s v="FFTFIE3225AR"/>
        <s v="FFTFIE3228BK"/>
        <s v="FFTFIE3232RE"/>
        <s v="FFTFIE3230BL"/>
        <s v="FFTFIE3229WH"/>
        <s v="FFTFIE3245BK"/>
        <s v="FFTFIE3250RE"/>
        <s v="FFTFIE3240BK"/>
        <s v="FFTFIE3251WH"/>
        <s v="FFTFIE3303RE"/>
        <s v="FFTFIE3241GY"/>
        <s v="FFTFIE3231YE"/>
        <s v="FFTFIE3205RE"/>
        <s v="FFTFIE3304RE"/>
        <s v="FFTFIE3305BL"/>
        <s v="FFTFIE3306BK"/>
        <s v="FFTFIE3307RE"/>
        <s v="FFTFIE3308WH"/>
        <s v="FFTFIE3309BK"/>
        <s v="FFTFIE3310WH"/>
        <s v="FFTFIE3312BK"/>
        <s v="FFTFIE3314NY"/>
        <s v="FFTFIE3315BK"/>
        <s v="SMBBAE3359BK"/>
        <s v="SMBBAE3222GY"/>
        <s v="SMBFLE3203NY"/>
        <s v="SMBFLE3205NY"/>
        <s v="SMBFLE3208BK"/>
        <s v="SMBFLE3241BK"/>
        <s v="ELSFIE3220GY"/>
        <s v="ELSUME3014YE"/>
        <s v="HCUMIE3002KH"/>
        <s v="JILMIE3152KH"/>
        <s v="JILMIE3152NY"/>
        <s v="ELSBPE3101BK"/>
        <s v="ELSBPE3104BK"/>
        <s v="ELSBPE3604BK"/>
        <s v="ELSBPE3602YE"/>
        <s v="ELSBPE3103GR"/>
        <s v="ELSBPE3603GR"/>
        <s v="ELSBPE3611PK"/>
        <s v="ELSBPE3704PK"/>
        <s v="FFTFIE3319BL"/>
        <s v="FFTFIE3316BK"/>
        <s v="FFTFIE3317BK"/>
        <s v="FFTFIE3238BK"/>
        <s v="FFTFIE3244BK"/>
        <s v="FFTFIE3318BL"/>
        <s v="FFTFIE3320GY"/>
        <s v="SMBBAE3229NY"/>
        <s v="SMBBAE3230PK"/>
        <s v="SMBFIE3708NY"/>
        <s v="SMBFIE3709PK"/>
        <s v="SMBFIE5360YE"/>
        <s v="SMBFIE5860YE"/>
        <s v="SMBFIE3361NY"/>
        <s v="SMBFIE3861NY"/>
        <s v="SMBFIE3362NY"/>
        <s v="ELSBEE5338MT"/>
        <s v="ELSBEE5838MT"/>
        <s v="ELSBEE5339BL"/>
        <s v="ELSBEE5839BL"/>
        <s v="ELSEBE5340PK"/>
        <s v="ELSEBE5840PK"/>
        <s v="SMBBEE5363RE"/>
        <s v="SMBBEE5863RE"/>
        <s v="SMBFLE3314BU"/>
        <s v="SMBFLE3814BU"/>
        <s v="SMBFLE3315RE"/>
        <s v="SMBFLE3815RE"/>
        <s v="SMBFLE3316BU"/>
        <s v="SMBFLE3816BU"/>
        <s v="SMBFLE3317BL"/>
        <s v="SMBFLE3318BK"/>
        <s v="SMBFLE3319NY"/>
        <s v="SMBFLE3819NY"/>
        <s v="SMBFLE3320GY"/>
        <s v="SMBFLE3321NY"/>
        <s v="SMBFLE3372BK"/>
        <s v="SMBFLE3872BK"/>
        <s v="SMBFLE3323BK"/>
        <s v="SMBBAE3374RE"/>
        <s v="SMBBAE3375GR"/>
        <s v="SMBBAE3376GY"/>
        <s v="SMBBAE3377GY"/>
        <s v="SMBFLE3378BK"/>
        <s v="SMBFLE3878BK"/>
        <s v="SMBFLE3329NY"/>
        <s v="SMBFLE3330GY"/>
        <s v="SMBFLE3331GY"/>
        <s v="ELSBAE3341BK"/>
        <s v="ELSBAE3841BK"/>
        <s v="ELSBAE3341RE"/>
        <s v="ELSBAE3841RE"/>
        <m/>
        <s v="JOIEBE5308IV" u="1"/>
      </sharedItems>
    </cacheField>
    <cacheField name="분류" numFmtId="0">
      <sharedItems containsBlank="1" count="3">
        <s v="M"/>
        <s v="B"/>
        <m/>
      </sharedItems>
    </cacheField>
    <cacheField name="기획수량" numFmtId="3">
      <sharedItems containsString="0" containsBlank="1" containsNumber="1" containsInteger="1" minValue="10" maxValue="6000"/>
    </cacheField>
    <cacheField name="TAG가" numFmtId="3">
      <sharedItems containsString="0" containsBlank="1" containsNumber="1" containsInteger="1" minValue="490000" maxValue="330000000"/>
    </cacheField>
    <cacheField name="원가(-V)" numFmtId="3">
      <sharedItems containsString="0" containsBlank="1" containsNumber="1" minValue="200454.54545454544" maxValue="48000000"/>
    </cacheField>
    <cacheField name="배수" numFmtId="3">
      <sharedItems containsString="0" containsBlank="1" containsNumber="1" minValue="2.2222222222222219" maxValue="13.514134433203683"/>
    </cacheField>
    <cacheField name=" 입고수량" numFmtId="3">
      <sharedItems containsString="0" containsBlank="1" containsNumber="1" containsInteger="1" minValue="0" maxValue="4000"/>
    </cacheField>
    <cacheField name=" 미입고수량" numFmtId="3">
      <sharedItems containsString="0" containsBlank="1" containsNumber="1" containsInteger="1" minValue="0" maxValue="6000"/>
    </cacheField>
    <cacheField name="배수2" numFmtId="0" formula="IF(ISERROR(TAG가/ ('원가(-V)'*1.1))=TRUE,0,TAG가/ ('원가(-V)'*1.1))" databaseField="0"/>
    <cacheField name="LOT" numFmtId="0" formula="IF(ISERROR(기획수량/('색상수(최초)'+'색상수(리오더)'))=TRUE,0,기획수량/('색상수(최초)'+'색상수(리오더)'))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XK" refreshedDate="41470.379530208331" createdVersion="3" refreshedVersion="3" minRefreshableVersion="3" recordCount="2046">
  <cacheSource type="worksheet">
    <worksheetSource ref="A2:J1048576" sheet="DB"/>
  </cacheSource>
  <cacheFields count="11">
    <cacheField name="순서" numFmtId="0">
      <sharedItems containsString="0" containsBlank="1" containsNumber="1" containsInteger="1" minValue="1" maxValue="1391"/>
    </cacheField>
    <cacheField name="0" numFmtId="0">
      <sharedItems containsString="0" containsBlank="1" containsNumber="1" containsInteger="1" minValue="1" maxValue="1337" count="133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m/>
        <n v="1312" u="1"/>
        <n v="1247" u="1"/>
        <n v="1182" u="1"/>
        <n v="1117" u="1"/>
        <n v="1314" u="1"/>
        <n v="1249" u="1"/>
        <n v="1184" u="1"/>
        <n v="1119" u="1"/>
        <n v="1316" u="1"/>
        <n v="1251" u="1"/>
        <n v="1186" u="1"/>
        <n v="1121" u="1"/>
        <n v="1318" u="1"/>
        <n v="1253" u="1"/>
        <n v="1188" u="1"/>
        <n v="1123" u="1"/>
        <n v="1320" u="1"/>
        <n v="1255" u="1"/>
        <n v="1190" u="1"/>
        <n v="1125" u="1"/>
        <n v="1322" u="1"/>
        <n v="1257" u="1"/>
        <n v="1192" u="1"/>
        <n v="1127" u="1"/>
        <n v="1324" u="1"/>
        <n v="1259" u="1"/>
        <n v="1194" u="1"/>
        <n v="1129" u="1"/>
        <n v="1326" u="1"/>
        <n v="1261" u="1"/>
        <n v="1196" u="1"/>
        <n v="1131" u="1"/>
        <n v="1328" u="1"/>
        <n v="1263" u="1"/>
        <n v="1198" u="1"/>
        <n v="1133" u="1"/>
        <n v="1330" u="1"/>
        <n v="1265" u="1"/>
        <n v="1200" u="1"/>
        <n v="1135" u="1"/>
        <n v="1332" u="1"/>
        <n v="1267" u="1"/>
        <n v="1202" u="1"/>
        <n v="1137" u="1"/>
        <n v="1334" u="1"/>
        <n v="1269" u="1"/>
        <n v="1204" u="1"/>
        <n v="1139" u="1"/>
        <n v="1336" u="1"/>
        <n v="1271" u="1"/>
        <n v="1206" u="1"/>
        <n v="1141" u="1"/>
        <n v="1076" u="1"/>
        <n v="1273" u="1"/>
        <n v="1208" u="1"/>
        <n v="1143" u="1"/>
        <n v="1078" u="1"/>
        <n v="1275" u="1"/>
        <n v="1210" u="1"/>
        <n v="1145" u="1"/>
        <n v="1080" u="1"/>
        <n v="1277" u="1"/>
        <n v="1212" u="1"/>
        <n v="1147" u="1"/>
        <n v="1082" u="1"/>
        <n v="1279" u="1"/>
        <n v="1214" u="1"/>
        <n v="1149" u="1"/>
        <n v="1084" u="1"/>
        <n v="1281" u="1"/>
        <n v="1216" u="1"/>
        <n v="1151" u="1"/>
        <n v="1086" u="1"/>
        <n v="1283" u="1"/>
        <n v="1218" u="1"/>
        <n v="1153" u="1"/>
        <n v="1088" u="1"/>
        <n v="1285" u="1"/>
        <n v="1220" u="1"/>
        <n v="1155" u="1"/>
        <n v="1090" u="1"/>
        <n v="1287" u="1"/>
        <n v="1222" u="1"/>
        <n v="1157" u="1"/>
        <n v="1092" u="1"/>
        <n v="1289" u="1"/>
        <n v="1224" u="1"/>
        <n v="1159" u="1"/>
        <n v="1094" u="1"/>
        <n v="1291" u="1"/>
        <n v="1226" u="1"/>
        <n v="1161" u="1"/>
        <n v="1096" u="1"/>
        <n v="1293" u="1"/>
        <n v="1228" u="1"/>
        <n v="1163" u="1"/>
        <n v="1098" u="1"/>
        <n v="1295" u="1"/>
        <n v="1230" u="1"/>
        <n v="1165" u="1"/>
        <n v="1100" u="1"/>
        <n v="1297" u="1"/>
        <n v="1232" u="1"/>
        <n v="1167" u="1"/>
        <n v="1102" u="1"/>
        <n v="1299" u="1"/>
        <n v="1234" u="1"/>
        <n v="1169" u="1"/>
        <n v="1104" u="1"/>
        <n v="1301" u="1"/>
        <n v="1236" u="1"/>
        <n v="1171" u="1"/>
        <n v="1106" u="1"/>
        <n v="1303" u="1"/>
        <n v="1238" u="1"/>
        <n v="1173" u="1"/>
        <n v="1108" u="1"/>
        <n v="1305" u="1"/>
        <n v="1240" u="1"/>
        <n v="1175" u="1"/>
        <n v="1110" u="1"/>
        <n v="1307" u="1"/>
        <n v="1242" u="1"/>
        <n v="1177" u="1"/>
        <n v="1112" u="1"/>
        <n v="1309" u="1"/>
        <n v="1244" u="1"/>
        <n v="1179" u="1"/>
        <n v="1114" u="1"/>
        <n v="1311" u="1"/>
        <n v="1246" u="1"/>
        <n v="1181" u="1"/>
        <n v="1116" u="1"/>
        <n v="1313" u="1"/>
        <n v="1248" u="1"/>
        <n v="1183" u="1"/>
        <n v="1118" u="1"/>
        <n v="1315" u="1"/>
        <n v="1250" u="1"/>
        <n v="1185" u="1"/>
        <n v="1120" u="1"/>
        <n v="1317" u="1"/>
        <n v="1252" u="1"/>
        <n v="1187" u="1"/>
        <n v="1122" u="1"/>
        <n v="1319" u="1"/>
        <n v="1254" u="1"/>
        <n v="1189" u="1"/>
        <n v="1124" u="1"/>
        <n v="1321" u="1"/>
        <n v="1256" u="1"/>
        <n v="1191" u="1"/>
        <n v="1126" u="1"/>
        <n v="1323" u="1"/>
        <n v="1258" u="1"/>
        <n v="1193" u="1"/>
        <n v="1128" u="1"/>
        <n v="1325" u="1"/>
        <n v="1260" u="1"/>
        <n v="1195" u="1"/>
        <n v="1130" u="1"/>
        <n v="1327" u="1"/>
        <n v="1262" u="1"/>
        <n v="1197" u="1"/>
        <n v="1132" u="1"/>
        <n v="1329" u="1"/>
        <n v="1264" u="1"/>
        <n v="1199" u="1"/>
        <n v="1134" u="1"/>
        <n v="1331" u="1"/>
        <n v="1266" u="1"/>
        <n v="1201" u="1"/>
        <n v="1136" u="1"/>
        <n v="1333" u="1"/>
        <n v="1268" u="1"/>
        <n v="1203" u="1"/>
        <n v="1138" u="1"/>
        <n v="1335" u="1"/>
        <n v="1270" u="1"/>
        <n v="1205" u="1"/>
        <n v="1140" u="1"/>
        <n v="1337" u="1"/>
        <n v="1272" u="1"/>
        <n v="1207" u="1"/>
        <n v="1142" u="1"/>
        <n v="1077" u="1"/>
        <n v="1274" u="1"/>
        <n v="1209" u="1"/>
        <n v="1144" u="1"/>
        <n v="1079" u="1"/>
        <n v="1276" u="1"/>
        <n v="1211" u="1"/>
        <n v="1146" u="1"/>
        <n v="1081" u="1"/>
        <n v="1278" u="1"/>
        <n v="1213" u="1"/>
        <n v="1148" u="1"/>
        <n v="1083" u="1"/>
        <n v="1280" u="1"/>
        <n v="1215" u="1"/>
        <n v="1150" u="1"/>
        <n v="1085" u="1"/>
        <n v="1282" u="1"/>
        <n v="1217" u="1"/>
        <n v="1152" u="1"/>
        <n v="1087" u="1"/>
        <n v="1284" u="1"/>
        <n v="1219" u="1"/>
        <n v="1154" u="1"/>
        <n v="1089" u="1"/>
        <n v="1286" u="1"/>
        <n v="1221" u="1"/>
        <n v="1156" u="1"/>
        <n v="1091" u="1"/>
        <n v="1288" u="1"/>
        <n v="1223" u="1"/>
        <n v="1158" u="1"/>
        <n v="1093" u="1"/>
        <n v="1290" u="1"/>
        <n v="1225" u="1"/>
        <n v="1160" u="1"/>
        <n v="1095" u="1"/>
        <n v="1292" u="1"/>
        <n v="1227" u="1"/>
        <n v="1162" u="1"/>
        <n v="1097" u="1"/>
        <n v="1294" u="1"/>
        <n v="1229" u="1"/>
        <n v="1164" u="1"/>
        <n v="1099" u="1"/>
        <n v="1296" u="1"/>
        <n v="1231" u="1"/>
        <n v="1166" u="1"/>
        <n v="1101" u="1"/>
        <n v="1298" u="1"/>
        <n v="1233" u="1"/>
        <n v="1168" u="1"/>
        <n v="1103" u="1"/>
        <n v="1300" u="1"/>
        <n v="1235" u="1"/>
        <n v="1170" u="1"/>
        <n v="1105" u="1"/>
        <n v="1302" u="1"/>
        <n v="1237" u="1"/>
        <n v="1172" u="1"/>
        <n v="1107" u="1"/>
        <n v="1304" u="1"/>
        <n v="1239" u="1"/>
        <n v="1174" u="1"/>
        <n v="1109" u="1"/>
        <n v="1306" u="1"/>
        <n v="1241" u="1"/>
        <n v="1176" u="1"/>
        <n v="1111" u="1"/>
        <n v="1308" u="1"/>
        <n v="1243" u="1"/>
        <n v="1178" u="1"/>
        <n v="1113" u="1"/>
        <n v="1310" u="1"/>
        <n v="1245" u="1"/>
        <n v="1180" u="1"/>
        <n v="1115" u="1"/>
      </sharedItems>
    </cacheField>
    <cacheField name="품번색상" numFmtId="0">
      <sharedItems containsBlank="1" count="1717">
        <s v="ELSSBE3801BK"/>
        <s v="ELSSBE3801BL"/>
        <s v="ELSSBE3802YE"/>
        <s v="ELSSBE3803PK"/>
        <s v=""/>
        <s v="DAKBEE5301GY"/>
        <s v="DAKBEE5302BK"/>
        <s v="DAKBEE5302GY"/>
        <s v="DAKTPE5303RE"/>
        <s v="DAKBEE5304GY"/>
        <s v="DAKBEE5004MT"/>
        <s v="DAKBEE5004GR"/>
        <s v="DAKEBE5305BK"/>
        <s v="DAKEBE5305BG"/>
        <s v="DAKBEE5306BW"/>
        <s v="DAKBEE5306OR"/>
        <s v="DAKBEE5307BU"/>
        <s v="DAKBEE5307OR"/>
        <s v="DAKTPE5308BK"/>
        <s v="DAKTPE5308NA"/>
        <s v="DAKEBE5801BL"/>
        <s v="DAKEBE5801OR"/>
        <s v="ELSEDE5102BK"/>
        <s v="ELSEDE5103GY"/>
        <s v="ELSERE5104BK"/>
        <s v="ELSERE5105GY"/>
        <s v="ELSTPE5108BU"/>
        <s v="ELSTPE5608BU"/>
        <s v="JILBAE5022BG"/>
        <s v="JILBAE5022PP"/>
        <s v="JILEBE5036BK"/>
        <s v="JILEBE5036GY"/>
        <s v="JILEBE5036RE"/>
        <s v="JILFAE5001GY"/>
        <s v="JILTPE5021BK"/>
        <s v="JILTPE5021RE"/>
        <s v="JILBEE5042BK"/>
        <s v="JILBEE5042KH"/>
        <s v="JILBEE5071PK"/>
        <s v="JILBEE5071RE"/>
        <s v="JILEBE5041CL"/>
        <s v="JILBEE5007GY"/>
        <s v="JILBEE5007RE"/>
        <s v="JILBEE5008NY"/>
        <s v="JILVBE5150GY"/>
        <s v="JILEDE5147BK"/>
        <s v="JILEDE5147CL"/>
        <s v="JILFAE5104BK"/>
        <s v="JILFAE5604BK"/>
        <s v="JOIEBE5106BW"/>
        <s v="JOIEBE5111GY"/>
        <s v="JOIEBE5604YE"/>
        <s v="JOIEBE5606BW"/>
        <s v="BROERE5105RE"/>
        <s v="BROERE5106OR"/>
        <s v="BROERE5107PK"/>
        <s v="BROMIE5111KH"/>
        <s v="BROERE5117KH"/>
        <s v="WTRTPE5109BL"/>
        <s v="TRUBAE3301RE"/>
        <s v="TRUBAE3302RE"/>
        <s v="TRUBAE3302BK"/>
        <s v="TRUBAE3303BL"/>
        <s v="TRUBAE3303RE"/>
        <s v="TRUBAE3303PK"/>
        <s v="TRUBAE3304CL"/>
        <s v="TRUBAE3304NY"/>
        <s v="TRUBAE3304RE"/>
        <s v="TRUFIE3305NY"/>
        <s v="TRUFIE3305RE"/>
        <s v="TRUFIE3305YE"/>
        <s v="TRUFIE3305BK"/>
        <s v="TRUFIE3306NY"/>
        <s v="TRUFIE3306RE"/>
        <s v="TRUFIE3306OR"/>
        <s v="JILMIE3301BK"/>
        <s v="JILMIE5303GY"/>
        <s v="JILMIE5303GR"/>
        <s v="JILERE5304NY"/>
        <s v="JILERE5305BK"/>
        <s v="JILERE5306MT"/>
        <s v="JILERE5806MT"/>
        <s v="JILERE5306YE"/>
        <s v="JILERE5806YE"/>
        <s v="JILHUE5307KH"/>
        <s v="JILBAE5308KH"/>
        <s v="JILBAE5808KH"/>
        <s v="JILBAE5309BW"/>
        <s v="JILFAE5310BU"/>
        <s v="VBLERE5301OR"/>
        <s v="VBLERE5801OR"/>
        <s v="VBLBAE5302BK"/>
        <s v="VBLBAE5802BK"/>
        <s v="VBLBAE5303RE"/>
        <s v="VBLBAE5304BL"/>
        <s v="NOVMIE5301BK"/>
        <s v="NOVMIE3302GY"/>
        <s v="NOVBAE5303OR"/>
        <s v="NOVBAE5304BL"/>
        <s v="NOVBAE3305KH"/>
        <s v="NOVTPE5306NY"/>
        <s v="NOVTPE5306GY"/>
        <s v="NOVTPE5307PP"/>
        <s v="NOVTPE5807PP"/>
        <s v="NOVTPE5308NY"/>
        <s v="NOVTPE5308BK"/>
        <s v="NOVTPE5309OR"/>
        <s v="NOVTPE5809OR"/>
        <s v="NOVTPE5309RE"/>
        <s v="NOVTPE5309PK"/>
        <s v="NOVTPE5809PK"/>
        <s v="NOVTPE5309GR"/>
        <s v="HCUMIE3301BK"/>
        <s v="HCUMIE3301KH"/>
        <s v="HCUMIE3302BK"/>
        <s v="HCUMIE3302GY"/>
        <s v="HCUMIE3303BK"/>
        <s v="HCUMIE3303KH"/>
        <s v="JILMIE3311BK"/>
        <s v="JILMIE3311NY"/>
        <s v="JILMIE3312BK"/>
        <s v="JILMIE3312KH"/>
        <s v="JILMIE3314BK"/>
        <s v="JILMIE3314KH"/>
        <s v="JILMIE3313BK"/>
        <s v="JILMIE3313KH"/>
        <s v="VBLBAE3216BK"/>
        <s v="VBLBAE3003BK"/>
        <s v="WTRBAE3003RE"/>
        <s v="WTRBAE3201GR"/>
        <s v="WTRBAE3701GR"/>
        <s v="SMBFIE3202RE"/>
        <s v="SMBFLE3201BL"/>
        <s v="SMBFLE3701BL"/>
        <s v="SMBFLE3206GY"/>
        <s v="SMBFLE3740KH"/>
        <s v="SMBFLE3744GR"/>
        <s v="JILFEE3815OR"/>
        <s v="JILFEE3816RE"/>
        <s v="ELSJPE5301BU"/>
        <s v="ELSJPE5801BU"/>
        <s v="ELSJPE5302BK"/>
        <s v="ELSHPE5303OR"/>
        <s v="ELSHPE5304BK"/>
        <s v="ELSHPE5804BK"/>
        <s v="ELSTLE5305KH"/>
        <s v="ELSTHE5306LI"/>
        <s v="ELSTHE5806LI"/>
        <s v="ELSTHE5306MT"/>
        <s v="ELSTHE5806MT"/>
        <s v="GRAMIE5301NY"/>
        <s v="GRAMIE5301RE"/>
        <s v="GRATPE5302RE"/>
        <s v="GRATPE5302GY"/>
        <s v="GRAERE5303KH"/>
        <s v="GRAERE5303BG"/>
        <s v="GRABAE3304NY"/>
        <s v="GRABAE3304NA"/>
        <s v="GRABAE3304BW"/>
        <s v="GRAFAE5305BG"/>
        <s v="GRAFAE5305BK"/>
        <s v="GRAMIE3306NY"/>
        <s v="GRAMIE3306GY"/>
        <s v="GRAMIE3306BK"/>
        <s v="GRAFAE5307BK"/>
        <s v="GRAFAE5307RE"/>
        <s v="GRAFAE3308BG"/>
        <s v="GRAFAE3308KH"/>
        <s v="GRAFEE3309BK"/>
        <s v="GRAFEE3309BU"/>
        <s v="GRAFEE3310GY"/>
        <s v="GRAEBE5311GR"/>
        <s v="GRAEBE5311NY"/>
        <s v="GRABEE3312BG"/>
        <s v="GRABEE3312ZZ"/>
        <s v="GRABEE3313PK"/>
        <s v="GRABEE3313GY"/>
        <s v="GRABEE3313BW"/>
        <s v="ELSFIE3620BK"/>
        <s v="ELSFIE3642BL"/>
        <s v="ELSBAE3007PK"/>
        <s v="WTRMIE5301GY"/>
        <s v="WTRMIE5302GY"/>
        <s v="WTRMIE3303GY"/>
        <s v="WTRMIE3304RE"/>
        <s v="WTRTPE5305GY"/>
        <s v="WTRERE5306OR"/>
        <s v="WTRERE5806OR"/>
        <s v="WTRBAE3307BL"/>
        <s v="WTRERE5308GR"/>
        <s v="WTRERE5309BL"/>
        <s v="WTRMIE3310NY"/>
        <s v="WTRERE5311KH"/>
        <s v="NOVBAE3310MT"/>
        <s v="NOVBAE3311BL"/>
        <s v="NOVBAE3312NY"/>
        <s v="NOVBAE3313GY"/>
        <s v="NOVBAE3314GY"/>
        <s v="NOVBAE3314NY"/>
        <s v="NOVBAE3315NY"/>
        <s v="NOVBAE3316OR"/>
        <s v="NOVBAE3317RE"/>
        <s v="VBLBAE3103RE"/>
        <s v="VBLBAE3103GR"/>
        <s v="VBLBAE3201GY"/>
        <s v="PLAUME3204YE"/>
        <s v="ELSACE3301NY"/>
        <s v="ELSACE3302BL"/>
        <s v="ELSACE3303OR"/>
        <s v="ELSACE3304BL"/>
        <s v="NIXBEE5301GY"/>
        <s v="NIXBEE5301NY"/>
        <s v="NIXFIE3302BK"/>
        <s v="NIXFIE3303BW"/>
        <s v="NIXFIE3303RE"/>
        <s v="NIXFIE3304GY"/>
        <s v="NIXFIE3305NY"/>
        <s v="NIXFIE3305IV"/>
        <s v="ELSTPE5301NY"/>
        <s v="ELSTPE5801NY"/>
        <s v="ELSBEE5302GR"/>
        <s v="ELSBEE5802GR"/>
        <s v="ELSBEE5303BL"/>
        <s v="ELSBEE5803BL"/>
        <s v="ELSBEE5304BK"/>
        <s v="ELSBEE5304GR"/>
        <s v="ELSBEE5304PK"/>
        <s v="JOIERE5801PK"/>
        <s v="JOIERE5802OR"/>
        <s v="VBLBAE3216GR"/>
        <s v="VBLBAE3216LI"/>
        <s v="VBLBAE3216BL"/>
        <s v="VBLBAE3216RE"/>
        <s v="BMDMIE3301BK"/>
        <s v="BMDMIE3301KH"/>
        <s v="BMDMIE3301GY"/>
        <s v="BMDERE5302BK"/>
        <s v="BMDERE5302GY"/>
        <s v="BMDERE5302RE"/>
        <s v="BMDERE5303BU"/>
        <s v="BMDERE5303GY"/>
        <s v="ELSFIE3211PK"/>
        <s v="ELSFIE3711PK"/>
        <s v="ELSFIE3712BL"/>
        <s v="ELSFIE3713PK"/>
        <s v="ELSBAE3008BK"/>
        <s v="JILMIE3152BK"/>
        <s v="ELSFIE5305OR"/>
        <s v="ELSFIE5305GR"/>
        <s v="ELSBAE5306GR"/>
        <s v="ELSBAE5306PK"/>
        <s v="ELSERE5309PK"/>
        <s v="ELSBAE3311LI"/>
        <s v="ELSBAE3811LI"/>
        <s v="ELSBAE3311PK"/>
        <s v="ELSBAE3811PK"/>
        <s v="ELSBAE3312NY"/>
        <s v="ELSBAE3812NY"/>
        <s v="ELSBAE3307OR"/>
        <s v="ELSERE5308OR"/>
        <s v="ELSERE5310YE"/>
        <s v="ELSERE5810YE"/>
        <s v="ELSERE5310PK"/>
        <s v="ELSERE5810PK"/>
        <s v="ELSERE5313NY"/>
        <s v="ELSERE5316BL"/>
        <s v="ELSERE5816BL"/>
        <s v="ELSFAE3818BL"/>
        <s v="BMDMIE3301BL"/>
        <s v="ELSBAE3008BW"/>
        <s v="ELSFIE3620RE"/>
        <s v="ELSFIE3620YE"/>
        <s v="ELSFIE3640GR"/>
        <s v="SMBFIE3205BK"/>
        <s v="SMBFIE3702RE"/>
        <s v="SMBFIE3705BK"/>
        <s v="SMBFLE3742NY"/>
        <s v="SMBFLE3757PK"/>
        <s v="NOVERE5318RE"/>
        <s v="NOVBAE5319NY"/>
        <s v="NOVBAE5819NY"/>
        <s v="NOVMIE5320KH"/>
        <s v="NOVMIE5820KH"/>
        <s v="NOVBAE3321NY"/>
        <s v="VBLBAE3306NY"/>
        <s v="VBLBAE3309GR"/>
        <s v="VBLBAE3310RE"/>
        <s v="VBLBAE3311NY"/>
        <s v="VBLBAE3811NY"/>
        <s v="VBLBAE3312BK"/>
        <s v="VBLBAE3812BK"/>
        <s v="VBLBAE3313BL"/>
        <s v="VBLBAE3813BL"/>
        <s v="VBLBAE3305GY"/>
        <s v="VBLBAE3307OR"/>
        <s v="VBLBAE3308OR"/>
        <s v="VBLERE5314BK"/>
        <s v="VBLERE5814BK"/>
        <s v="VBLERE5315GY"/>
        <s v="JILMIE5317BL"/>
        <s v="JILMIE5317GY"/>
        <s v="JILMIE5317KH"/>
        <s v="JILMIE5318KH"/>
        <s v="JILMIE5319GY"/>
        <s v="JILMIE3320BK"/>
        <s v="JILMIE5321OR"/>
        <s v="JILMIE3322OR"/>
        <s v="JILMIE3323BL"/>
        <s v="JILMIE3324YE"/>
        <s v="JILMIE3325RE"/>
        <s v="JILMIE3326BK"/>
        <s v="JILMIE3327BW"/>
        <s v="JILMIE3339YE"/>
        <s v="JILERE5328KH"/>
        <s v="JILERE5329NY"/>
        <s v="JILERE5330NY"/>
        <s v="JILERE5331BK"/>
        <s v="JILERE5332NY"/>
        <s v="JILERE5332OR"/>
        <s v="JILTPE5333GR"/>
        <s v="JILTPE5833GR"/>
        <s v="JILTPE5333RE"/>
        <s v="JILTPE5833RE"/>
        <s v="JILTPE5334BK"/>
        <s v="JILTPE5834BK"/>
        <s v="JILTPE5335KH"/>
        <s v="JILTPE5336GY"/>
        <s v="JILTPE5337BK"/>
        <s v="JILTPE5338BL"/>
        <s v="NOVBAE5803OR"/>
        <s v="NOVBAE5804BL"/>
        <s v="ELSFIE3001BK"/>
        <s v="ELSFIE3661BK"/>
        <s v="ELSUME3014PK"/>
        <s v="NOVMIE3102GR"/>
        <s v="PLAUME3003BW"/>
        <s v="ELSBPE3601BK"/>
        <s v="ELSBPE3601BL"/>
        <s v="ELSBPE3603PK"/>
        <s v="ELSBPE3611BK"/>
        <s v="ELSBPE3611BL"/>
        <s v="ELSBPE3613GR"/>
        <s v="BMDBAE3202BK"/>
        <s v="BMDBAE3202PK"/>
        <s v="HCUMIE3304BK"/>
        <s v="HCUMIE3305NY"/>
        <s v="HCUMIE3306KH"/>
        <s v="HCUMIE3306BK"/>
        <s v="HCUMIE3307GY"/>
        <s v="HCUERE5308KH"/>
        <s v="HCUERE5308BK"/>
        <s v="PLAUME3301BL"/>
        <s v="PLAUME3302PK"/>
        <s v="VBLBAE5113RE"/>
        <s v="VBLBAE5106BK"/>
        <s v="ELSTPE5148NY"/>
        <s v="ELSTPE5648NY"/>
        <s v="ELSTPE5648PK"/>
        <s v="ELSFIE5647BK"/>
        <s v="PLATLE5301BK"/>
        <s v="PLATLE5801BK"/>
        <s v="PLATLE5302BK"/>
        <s v="PLATLE5802BK"/>
        <s v="PLAJPE5305BK"/>
        <s v="PLAJPE5306BK"/>
        <s v="PLAJPE5806BK"/>
        <s v="PLATLE5303BK"/>
        <s v="PLATLE5304RE"/>
        <s v="PLATLE5804RE"/>
        <s v="PLAJPE5307BL"/>
        <s v="PLAJPE5807BL"/>
        <s v="ELSTLE5307RE"/>
        <s v="ELSTLE5807RE"/>
        <s v="ELSTLE5308BK"/>
        <s v="ELSTLE5808BK"/>
        <s v="ELSTLE5309YE"/>
        <s v="ELSTLE5809YE"/>
        <s v="ELSTHE5312PK"/>
        <s v="ELSTHE5314BK"/>
        <s v="ELSTHE5814BK"/>
        <s v="ELSTHE5318NY"/>
        <s v="ELSTHE5818NY"/>
        <s v="ELSTHE5316RE"/>
        <s v="ELSTHE5317YE"/>
        <s v="ELSTLE5310BL"/>
        <s v="ELSTLE5810BL"/>
        <s v="ELSTLE5310RE"/>
        <s v="ELSTLE5810RE"/>
        <s v="ELSTLE5311BK"/>
        <s v="ELSHPE5321BW"/>
        <s v="ELSHPE5821BW"/>
        <s v="ELSHPE5322RE"/>
        <s v="ELSHPE5822RE"/>
        <s v="ELSTHE5313NY"/>
        <s v="ELSTHE5813NY"/>
        <s v="ELSTHE5319BU"/>
        <s v="ELSHPE5320BK"/>
        <s v="ELSTHE5315BW"/>
        <s v="ELSTHE5815BW"/>
        <s v="ELSHPE5323BK"/>
        <s v="ELSHPE5823BK"/>
        <s v="ELSHPE5324GY"/>
        <s v="ELSHPE5325BK"/>
        <s v="ELSJPE5326GR"/>
        <s v="ELSJPE5826GR"/>
        <s v="ELSEDE5319BW"/>
        <s v="ELSEDE5320BU"/>
        <s v="ELSTPE5321MT"/>
        <s v="ELSTPE5821MT"/>
        <s v="ELSVBE5322OR"/>
        <s v="ELSVBE5822OR"/>
        <s v="ELSBEE5323BW"/>
        <s v="ELSTPE5824NY"/>
        <s v="JOIEBE5803BL"/>
        <s v="JOIEBE5804RE"/>
        <s v="JOIEBE5305GY"/>
        <s v="JOIEBE5805GY"/>
        <s v="JOIVBE5806NY"/>
        <s v="JOIVBE5806PK"/>
        <s v="JOIVBE5306NY"/>
        <s v="JOIVBE5306PK"/>
        <s v="JOIEBE5807BL"/>
        <s v="JOIEBE5310KH"/>
        <s v="JOIEBE5808IV"/>
        <s v="JOIEBE5809BL"/>
        <s v="JOIEDE5311BL"/>
        <s v="JOIEBE5812YE"/>
        <s v="JOIEDE5102IV"/>
        <s v="JOIEDE5110IV"/>
        <s v="PLABPE3301BW"/>
        <s v="PLABPE3302BK"/>
        <s v="PLABPE3303OR"/>
        <s v="PLABPE3304BK"/>
        <s v="ELSBPE3301BW"/>
        <s v="ELSBPE3801BW"/>
        <s v="ELSBPE3811BW"/>
        <s v="NOVFAE3105BG"/>
        <s v="NOVFAE3605BG"/>
        <s v="NOVMIE3101BG"/>
        <s v="NOVMIE3102BK"/>
        <s v="NOVMIE3102RE"/>
        <s v="NOVMIE3602RE"/>
        <s v="HCUMIE3001GY"/>
        <s v="HCUMIE3010BK"/>
        <s v="BMDBAE3202OR"/>
        <s v="PLAUME3203BK"/>
        <s v="PLAUME3208GR"/>
        <s v="HCUMIE3008BK"/>
        <s v="HCUMIE3008KH"/>
        <s v="HCUMIE3109GY"/>
        <s v="HCUMIE3110GY"/>
        <s v="VBLBAE3101GY"/>
        <s v="VBLBAE3107NY"/>
        <s v="ELSERE5022NY"/>
        <s v="ELSERE5144RE"/>
        <s v="ELSERE5644RE"/>
        <s v="ELSERE5145BK"/>
        <s v="ELSFIE3325LI"/>
        <s v="ELSFIE3825LI"/>
        <s v="ELSFIE3326KH"/>
        <s v="ELSFIE3826KH"/>
        <s v="ELSFIE3326RE"/>
        <s v="ELSFIE3826RE"/>
        <s v="ELSMIE3327BK"/>
        <s v="ELSBEE5149BK"/>
        <s v="ELSEBE5328GY"/>
        <s v="ELSEBE5828GY"/>
        <s v="ELSEBE5328MT"/>
        <s v="ELSEBE5828MT"/>
        <s v="ELSEBE5329NY"/>
        <s v="ELSEBE5829NY"/>
        <s v="ELSEBE5329MT"/>
        <s v="ELSEBE5829MT"/>
        <s v="ELSEBE5329BL"/>
        <s v="ELSEBE5829BL"/>
        <s v="ELSEBE5330BL"/>
        <s v="ELSEBE5830BL"/>
        <s v="ELSBEE5804BK"/>
        <s v="ELSBEE5804GR"/>
        <s v="ELSBEE5804PK"/>
        <s v="JILBEE5341ZZ"/>
        <s v="JILBEE5342NY"/>
        <s v="JILBEE5842NY"/>
        <s v="JILBEE5342GR"/>
        <s v="JILBEE5842GR"/>
        <s v="JILEBE5343RE"/>
        <s v="JILEBE5843RE"/>
        <s v="JILBEE5344RE"/>
        <s v="JILBEE5844RE"/>
        <s v="JILBEE5344MT"/>
        <s v="JILBEE5844MT"/>
        <s v="JILBEE5345BK"/>
        <s v="JILBEE5345NY"/>
        <s v="JILBEE5345GY"/>
        <s v="JILBEE5345PK"/>
        <s v="JILEBE5346BU"/>
        <s v="JILEBE5346BK"/>
        <s v="JILEBE5346YE"/>
        <s v="JILVBE5347BW"/>
        <s v="JILVBE5347BK"/>
        <s v="JILBEE5348GR"/>
        <s v="JILBEE5348GY"/>
        <s v="JILBEE5348BL"/>
        <s v="JILBEE5348BK"/>
        <s v="JILBEE5348RE"/>
        <s v="JILBEE5348CL"/>
        <s v="JILBEE5349BK"/>
        <s v="JILBEE5849BK"/>
        <s v="JILEBE5350BW"/>
        <s v="JILEBE5850BW"/>
        <s v="JILEBE5350NY"/>
        <s v="JILEBE5850NY"/>
        <s v="JILBEE5352BK"/>
        <s v="JILBEE5352GY"/>
        <s v="JILBEE5353OR"/>
        <s v="JILBEE5353GR"/>
        <s v="JILEBE5354NY"/>
        <s v="JILBEE5355RE"/>
        <s v="JILBEE5855RE"/>
        <s v="JILBEE5355KH"/>
        <s v="JILBEE5855KH"/>
        <s v="JILBEE5356BK"/>
        <s v="JILBEE5856BK"/>
        <s v="JILBEE5356NY"/>
        <s v="JILBEE5856NY"/>
        <s v="JILBEE5356MT"/>
        <s v="JILBEE5856MT"/>
        <s v="JILVBE5357YE"/>
        <s v="JILVBE5357RE"/>
        <s v="JILEBE5358BK"/>
        <s v="JILBEE5359RE"/>
        <s v="JILBEE5359BW"/>
        <s v="JILEBE5360GY"/>
        <s v="URBFIE5301BK"/>
        <s v="URBFIE3303NY"/>
        <s v="URBFIE3304RE"/>
        <s v="URBFIE3305RE"/>
        <s v="URBFIE3306BK"/>
        <s v="URBFIE3307RE"/>
        <s v="URBFIE3307BL"/>
        <s v="URBFIE5308GY"/>
        <s v="URBFIE3309GY"/>
        <s v="URBFIE3311OR"/>
        <s v="URBFIE3302NY"/>
        <s v="URBFIE3304BK"/>
        <s v="URBFIE3307BK"/>
        <s v="URBFIE3310BL"/>
        <s v="URBFIE3312PP"/>
        <s v="URBFIE3313BW"/>
        <s v="URBFIE3314BK"/>
        <s v="URBFIE3315BK"/>
        <s v="URBFIE3322NY"/>
        <s v="URBFIE3316BK"/>
        <s v="URBFIE3317BK"/>
        <s v="URBFIE3318BK"/>
        <s v="URBFIE3319YE"/>
        <s v="URBFIE3320YE"/>
        <s v="URBFIE3321BK"/>
        <s v="ELSERE5645BK"/>
        <s v="JILMIE3215NY"/>
        <s v="JILMIE3218BW"/>
        <s v="JILMIE3219IV"/>
        <s v="ELSTPE5831NY"/>
        <s v="ELSTPE5831OR"/>
        <s v="ELSERE5332GY"/>
        <s v="ELSERE5832GY"/>
        <s v="ELSERE5333NY"/>
        <s v="ELSERE5833NY"/>
        <s v="ELSERE5334YE"/>
        <s v="ELSERE5834YE"/>
        <s v="ELSFIE3335BL"/>
        <s v="ELSFIE3835BL"/>
        <s v="ELSBAE3649PK"/>
        <s v="JILMIE3152PK"/>
        <s v="WTRBAE3603RE"/>
        <s v="ELSJSE5327BW"/>
        <s v="ELSJSE5827BW"/>
        <s v="ELSPTE5330BK"/>
        <s v="ELSPTE5830BK"/>
        <s v="ELSPTE5331BW"/>
        <s v="ELSPTE5831BW"/>
        <s v="VBLBAE5316GY"/>
        <s v="ELSBAE3008NY"/>
        <s v="ELSFIE3013RE"/>
        <s v="ELSFIE3013BK"/>
        <s v="ELSFIE3013YE"/>
        <s v="ELSFIE3031GR"/>
        <s v="ELSFIE3210GY"/>
        <s v="ELSFIE3710GY"/>
        <s v="ELSFIE3714GR"/>
        <s v="ELSFIE3226BL"/>
        <s v="ELSFIE3721OR"/>
        <s v="ELSFIE3721MT"/>
        <s v="ELSFIE3221OR"/>
        <s v="ELSFIE3726BL"/>
        <s v="SMBBAE3223GY"/>
        <s v="SMBBAE3226PK"/>
        <s v="SMBBAE3235BK"/>
        <s v="SMBFIE3203BL"/>
        <s v="SMBFIE3703BL"/>
        <s v="SMBFIE3213BK"/>
        <s v="SMBFIE3218NY"/>
        <s v="SMBFLE3744RE"/>
        <s v="BMDBAE3202RE"/>
        <s v="BMDMIE3201BL"/>
        <s v="BMDMIE3201BK"/>
        <s v="NAABAE3301NY"/>
        <s v="NAABAE3302BU"/>
        <s v="NAABAE3303PK"/>
        <s v="NAABAE3304GY"/>
        <s v="NAABAE3305GR"/>
        <s v="NAABAE3306NY"/>
        <s v="NAABAE3307NY"/>
        <s v="NAABAE3308GR"/>
        <s v="NAAFLE3309NY"/>
        <s v="NAAFLE3310PP"/>
        <s v="NAAFIE3311PP"/>
        <s v="NAAFIE3312KH"/>
        <s v="NAAFIE3313BU"/>
        <s v="NAAFIE3314BG"/>
        <s v="NAAFIE3315BK"/>
        <s v="NAAFIE3316NY"/>
        <s v="NAAFIE3317GR"/>
        <s v="NAAFIE3318GY"/>
        <s v="GOOFAE3301BK"/>
        <s v="GOOFAE3301BU"/>
        <s v="GOOFEE3302BK"/>
        <s v="GOOFEE3303BK"/>
        <s v="GOOFAE3304BK"/>
        <s v="GOOFAE3304CL"/>
        <s v="GOOMIE3305BK"/>
        <s v="GOOMIE3305GY"/>
        <s v="GOOMIE3305KH"/>
        <s v="GOOMIE3306BK"/>
        <s v="GOOFEE5307BK"/>
        <s v="GOOMIE5308GY"/>
        <s v="GOOMIE5309BK"/>
        <s v="GOOMIE5309BW"/>
        <s v="GOOMIE3043BK"/>
        <s v="GOOMIE3043NY"/>
        <s v="GOOMIE3043KH"/>
        <s v="GOOMIE3043GY"/>
        <s v="JILBEE5361YE"/>
        <s v="JILBEE5361PK"/>
        <s v="JILBEE5361BW"/>
        <s v="JILWAE5362MT"/>
        <s v="JILWAE5363BK"/>
        <s v="JILCME5364PK"/>
        <s v="JILCME5364BK"/>
        <s v="JILEBE5365IV"/>
        <s v="JOIEDE5313MT"/>
        <s v="JOIMUE5814KH"/>
        <s v="FFTFIE3213BK"/>
        <s v="FFTFIE3313WH"/>
        <s v="FFTFIE3208WH"/>
        <s v="FFTFIE3208BK"/>
        <s v="FFTFIE3208KH"/>
        <s v="FFTFIE3209WH"/>
        <s v="FFTFIE3209BK"/>
        <s v="FFTFIE3211RE"/>
        <s v="FFTFIE3311BL"/>
        <s v="FFTFIE3301BK"/>
        <s v="FFTFIE3235NY"/>
        <s v="FFTFIE3234RE"/>
        <s v="FFTFIE3243BK"/>
        <s v="FFTFIE3302BK"/>
        <s v="ELSBEE5336BK"/>
        <s v="ELSBEE5337BL"/>
        <s v="PLAUME3303BK"/>
        <s v="PLAUME3304OR"/>
        <s v="PLAUME3305BW"/>
        <s v="PLAUME3306WH"/>
        <s v="PLAUME3306BK"/>
        <s v="ELSJPE4328PK"/>
        <s v="ELSPTE4329PK"/>
        <s v="ELSJPE4328BL"/>
        <s v="ELSPTE4329BL"/>
        <s v="ELSJPE4328RE"/>
        <s v="ELSPTE4329RE"/>
        <s v="ELSJPE4328BK"/>
        <s v="ELSPTE4329BK"/>
        <s v="ELSJPE4832RE"/>
        <s v="ELSPTE4833RE"/>
        <s v="ELSJPE4832BK"/>
        <s v="ELSPTE4833BK"/>
        <s v="ELSJPE4832BW"/>
        <s v="ELSPTE4833BW"/>
        <s v="SMBFIE3134RE"/>
        <s v="SMBFIE3634RE"/>
        <s v="SMBFIE3135BK"/>
        <s v="SMBFIE3635BK"/>
        <s v="SMBFIE3206BK"/>
        <s v="SMBFIE3215BK"/>
        <s v="SMBBEE5301NY"/>
        <s v="SMBBEE5301RE"/>
        <s v="FFTFIE3330GR"/>
        <s v="FFTFIE3331PP"/>
        <s v="FFTFIE3332WH"/>
        <s v="FFTFIE3333BL"/>
        <s v="FFTFIE3334PP"/>
        <s v="FFTFIE3335BL"/>
        <s v="FFTFIE3336KH"/>
        <s v="FFTFIE3337BL"/>
        <s v="FFTFIE3338PP"/>
        <s v="FFTFIE3340KH"/>
        <s v="FFTFIE3339BK"/>
        <s v="JILMUE5366NY"/>
        <s v="JILMUE5367RE"/>
        <s v="JILMUE5367YE"/>
        <s v="JILBEE5368BK"/>
        <s v="JILBEE5368NY"/>
        <s v="JILEBE5369KH"/>
        <s v="JILEBE5369GY"/>
        <s v="JILEBE5369NY"/>
        <s v="SMBFIE5352GY"/>
        <s v="SMBFIE3353RE"/>
        <s v="SMBFIE3354BK"/>
        <s v="SMBFIE3854BK"/>
        <s v="SMBFIE5306CL"/>
        <s v="SMBFIE5307PK"/>
        <s v="SMBERE5308BW"/>
        <s v="SMBFIE5355OR"/>
        <s v="SMBFIE5855OR"/>
        <s v="JILMIE3216NY"/>
        <s v="ELSFIE3214GR"/>
        <s v="ELSFIE3221MT"/>
        <s v="JILMIE3011BK"/>
        <s v="PLAUME3004BL"/>
        <s v="JOIMUE5316MT"/>
        <s v="JOIMUE5816MT"/>
        <s v="JOIEBE5317MT"/>
        <s v="JOIEBE5817MT"/>
        <s v="JOIMUE5818BL"/>
        <s v="FFTFIE3210BK"/>
        <s v="FFTFIE3239RE"/>
        <s v="FFTFIE3225AR"/>
        <s v="FFTFIE3228BK"/>
        <s v="FFTFIE3232RE"/>
        <s v="FFTFIE3230BL"/>
        <s v="FFTFIE3229WH"/>
        <s v="FFTFIE3245BK"/>
        <s v="FFTFIE3250RE"/>
        <s v="FFTFIE3240BK"/>
        <s v="FFTFIE3251WH"/>
        <s v="FFTFIE3303RE"/>
        <s v="FFTFIE3241GY"/>
        <s v="FFTFIE3231YE"/>
        <s v="FFTFIE3205RE"/>
        <s v="FFTFIE3304RE"/>
        <s v="FFTFIE3305BL"/>
        <s v="FFTFIE3306BK"/>
        <s v="FFTFIE3307RE"/>
        <s v="FFTFIE3308WH"/>
        <s v="FFTFIE3309BK"/>
        <s v="FFTFIE3310WH"/>
        <s v="FFTFIE3312BK"/>
        <s v="FFTFIE3314NY"/>
        <s v="FFTFIE3315BK"/>
        <s v="SMBBAE3359BK"/>
        <s v="SMBBAE3222GY"/>
        <s v="SMBFLE3203NY"/>
        <s v="SMBFLE3205NY"/>
        <s v="SMBFLE3208BK"/>
        <s v="SMBFLE3241BK"/>
        <s v="ELSFIE3220GY"/>
        <s v="ELSUME3014YE"/>
        <s v="HCUMIE3002KH"/>
        <s v="JILMIE3152KH"/>
        <s v="JILMIE3152NY"/>
        <s v="ELSBPE3101BK"/>
        <s v="ELSBPE3104BK"/>
        <s v="ELSBPE3604BK"/>
        <s v="ELSBPE3602YE"/>
        <s v="ELSBPE3103GR"/>
        <s v="ELSBPE3603GR"/>
        <s v="ELSBPE3611PK"/>
        <s v="ELSBPE3704PK"/>
        <s v="FFTFIE3319BL"/>
        <s v="FFTFIE3316BK"/>
        <s v="FFTFIE3317BK"/>
        <s v="FFTFIE3238BK"/>
        <s v="FFTFIE3244BK"/>
        <s v="FFTFIE3318BL"/>
        <s v="FFTFIE3320GY"/>
        <s v="SMBBAE3229NY"/>
        <s v="SMBBAE3230PK"/>
        <s v="SMBFIE3708NY"/>
        <s v="SMBFIE3709PK"/>
        <s v="SMBFIE5360YE"/>
        <s v="SMBFIE5860YE"/>
        <s v="SMBFIE3361NY"/>
        <s v="SMBFIE3861NY"/>
        <s v="SMBFIE3362NY"/>
        <s v="ELSBEE5338MT"/>
        <s v="ELSBEE5838MT"/>
        <s v="ELSBEE5339BL"/>
        <s v="ELSBEE5839BL"/>
        <s v="ELSEBE5340PK"/>
        <s v="ELSEBE5840PK"/>
        <s v="SMBBEE5363RE"/>
        <s v="SMBBEE5863RE"/>
        <s v="SMBFLE3314BU"/>
        <s v="SMBFLE3814BU"/>
        <s v="SMBFLE3315RE"/>
        <s v="SMBFLE3815RE"/>
        <s v="SMBFLE3316BU"/>
        <s v="SMBFLE3816BU"/>
        <s v="SMBFLE3317BL"/>
        <s v="SMBFLE3318BK"/>
        <s v="SMBFLE3319NY"/>
        <s v="SMBFLE3819NY"/>
        <s v="SMBFLE3320GY"/>
        <s v="SMBFLE3321NY"/>
        <s v="SMBFLE3372BK"/>
        <s v="SMBFLE3872BK"/>
        <s v="SMBFLE3323BK"/>
        <s v="SMBBAE3374RE"/>
        <s v="SMBBAE3375GR"/>
        <s v="SMBBAE3376GY"/>
        <s v="SMBBAE3377GY"/>
        <s v="SMBFLE3378BK"/>
        <s v="SMBFLE3878BK"/>
        <s v="SMBFLE3329NY"/>
        <s v="SMBFLE3330GY"/>
        <s v="SMBFLE3331GY"/>
        <s v="ELSBAE3341BK"/>
        <s v="ELSBAE3841BK"/>
        <s v="ELSBAE3341RE"/>
        <s v="ELSBAE3841RE"/>
        <m/>
        <s v="ELSTRE2705GR" u="1"/>
        <s v="SMBFIE0703BL" u="1"/>
        <s v="NASFLE0045GR" u="1"/>
        <s v="ELSTLE2260PK" u="1"/>
        <s v="BILBAE0203RE" u="1"/>
        <s v="ELSTSE2259BL" u="1"/>
        <s v="GOOMIE0202GY" u="1"/>
        <s v="SMBBAE0236KH" u="1"/>
        <s v="BROBAE0201PK" u="1"/>
        <s v="NOVMIE0102RE" u="1"/>
        <s v="BROTRE2206RE" u="1"/>
        <s v="VBLBAE0003BK" u="1"/>
        <s v="ELSBPE0705BW" u="1"/>
        <s v="TWIBAE0001NY" u="1"/>
        <s v="SMBFLE0244RE" u="1"/>
        <s v="ELSFIE0227GY" u="1"/>
        <s v="GOOTRE2207BW" u="1"/>
        <s v="ELSHPE1205KH" u="1"/>
        <s v="WTRBAE0201GR" u="1"/>
        <s v="ELSTSE2238MT" u="1"/>
        <s v="BROTRE2207YE" u="1"/>
        <s v="TRUBAE0202OR" u="1"/>
        <s v="ELSTLE1707PK" u="1"/>
        <s v="NOVMIE0602BK" u="1"/>
        <s v="WTRFAE0203NY" u="1"/>
        <s v="NYAFLE0042BK" u="1"/>
        <s v="ELSTSE2751WH" u="1"/>
        <s v="PLAACE0203BG" u="1"/>
        <s v="ELSTRE2717OR" u="1"/>
        <s v="JOIFAE2702YE" u="1"/>
        <s v="FFTFIE0216GY" u="1"/>
        <s v="NOVFAE0207PP" u="1"/>
        <s v="FFTFIE0204GY" u="1"/>
        <s v="TRUBAE0211GR" u="1"/>
        <s v="ELSTLE2718PK" u="1"/>
        <s v="NOVMIE0601BK" u="1"/>
        <s v="ELSTHE1702PK" u="1"/>
        <s v="VBLBAE0217OR" u="1"/>
        <s v="JILMIE0216NY" u="1"/>
        <s v="JILFAE2233PK" u="1"/>
        <s v="JILMIE0054GY" u="1"/>
        <s v="NYAFIE0050BK" u="1"/>
        <s v="ELSBPE0103GR" u="1"/>
        <s v="FFTFIE0227GY" u="1"/>
        <s v="TRUBAE0204BK" u="1"/>
        <s v="ELSTRE2704OR" u="1"/>
        <s v="FFTFIE0203GY" u="1"/>
        <s v="ELSTHE1725PK" u="1"/>
        <s v="SMBFIE0258IV" u="1"/>
        <s v="NOVMIE0203RE" u="1"/>
        <s v="TWIBAE0206NY" u="1"/>
        <s v="ELSTHE1701PK" u="1"/>
        <s v="JILMIE0215NY" u="1"/>
        <s v="SMBFLE0253RE" u="1"/>
        <s v="ELSTHE1721BK" u="1"/>
        <s v="ELSTLE2713BK" u="1"/>
        <s v="NAAFLE0206BK" u="1"/>
        <s v="SMBFLE0757PK" u="1"/>
        <s v="ELSTSE2235MT" u="1"/>
        <s v="ELSTSE2744NY" u="1"/>
        <s v="TWIBAE0205NY" u="1"/>
        <s v="JILMIE0214NY" u="1"/>
        <s v="TWIBAE0202NA" u="1"/>
        <s v="JILMIE0052GY" u="1"/>
        <s v="SMBFIE0261RE" u="1"/>
        <s v="JILMIE0202NY" u="1"/>
        <s v="ELSTRE2724GR" u="1"/>
        <s v="BROBAE0201BL" u="1"/>
        <s v="SMBTRE2220NY" u="1"/>
        <s v="ELSTSE2258MT" u="1"/>
        <s v="SMBFLE0701BL" u="1"/>
        <s v="VBLBAE0206BK" u="1"/>
        <s v="HCUMIE0702BK" u="1"/>
        <s v="NPHFLE0044RE" u="1"/>
        <s v="ELSTLE1723BK" u="1"/>
        <s v="ELSTRE2202BU" u="1"/>
        <s v="SMBFLE0740BK" u="1"/>
        <s v="JILMIE0201NY" u="1"/>
        <s v="ELSFIE0709KH" u="1"/>
        <s v="ELSTSE2261PK" u="1"/>
        <s v="SMBBAE0229NY" u="1"/>
        <s v="VBLBAE2704KH" u="1"/>
        <s v="ELSTHE1703BL" u="1"/>
        <s v="ELSTLE2210RE" u="1"/>
        <s v="ELSFIE0210GY" u="1"/>
        <s v="ELSTSE2766NY" u="1"/>
        <s v="SMBBAE0227GY" u="1"/>
        <s v="TRUBAE0204PK" u="1"/>
        <s v="ELSTRE2215RE" u="1"/>
        <s v="VBLBAE0208PK" u="1"/>
        <s v="ELSBAE0134BL" u="1"/>
        <s v="SMBBAE0228NY" u="1"/>
        <s v="ELSTLE2710BK" u="1"/>
        <s v="ELSTRE2044YE" u="1"/>
        <s v="SMBBAE0226GY" u="1"/>
        <s v="VBLBAE0216BK" u="1"/>
        <s v="WTRMIE0210BG" u="1"/>
        <s v="NOVFAE0605BG" u="1"/>
        <s v="ELSBPE0104BK" u="1"/>
        <s v="ELSBAE0053BL" u="1"/>
        <s v="ELSFIE0013BK" u="1"/>
        <s v="BROBAE0210BL" u="1"/>
        <s v="ELSTRE2723OR" u="1"/>
        <s v="WTRFAE0204OR" u="1"/>
        <s v="ELSFIE0001BK" u="1"/>
        <s v="ELSFIE0031GR" u="1"/>
        <s v="ELSFIE0220GY" u="1"/>
        <s v="GOOTRE2208KH" u="1"/>
        <s v="ELSJSE1728YE" u="1"/>
        <s v="WTRHUE0209KH" u="1"/>
        <s v="JILFAE2742NA" u="1"/>
        <s v="ELSPTE1756BK" u="1"/>
        <s v="ELSTRE2706PK" u="1"/>
        <s v="ELSTSE2764NY" u="1"/>
        <s v="TWIBAE0213NY" u="1"/>
        <s v="FFTFIE0235NY" u="1"/>
        <s v="JILHUE0210GY" u="1"/>
        <s v="VBLBAE0218PK" u="1"/>
        <s v="ELSBAE0052BL" u="1"/>
        <s v="TRUBAE0206BL" u="1"/>
        <s v="NYABAE0037BW" u="1"/>
        <s v="FFTFIE0251WH" u="1"/>
        <s v="ELSFIE0214GR" u="1"/>
        <s v="TRUBAE0210BK" u="1"/>
        <s v="JILFAE2741NA" u="1"/>
        <s v="PLAUME0208GR" u="1"/>
        <s v="NAAFLE0204PK" u="1"/>
        <s v="ELSFIE0641BW" u="1"/>
        <s v="B1AFIE0204BK" u="1"/>
        <s v="JILMIE0208BK" u="1"/>
        <s v="FFTFIE0209BK" u="1"/>
        <s v="JILMIE0243GY" u="1"/>
        <s v="ELSFIE0227OR" u="1"/>
        <s v="NOVBAE0607PP" u="1"/>
        <s v="ELSPTE1255YE" u="1"/>
        <s v="FFTFIE0220GY" u="1"/>
        <s v="ELSTRE2716PK" u="1"/>
        <s v="ELSTSE2749BK" u="1"/>
        <s v="HCUMIE0208BG" u="1"/>
        <s v="PLAUME0005BK" u="1"/>
        <s v="SMBBAE0223GY" u="1"/>
        <s v="ELSTSE2737BK" u="1"/>
        <s v="ELSTSE2750NY" u="1"/>
        <s v="FFTFIE0225AR" u="1"/>
        <s v="JILMIE0152NY" u="1"/>
        <s v="ELSBPE0101BK" u="1"/>
        <s v="JILMIE0207BK" u="1"/>
        <s v="FFTFIE0208BK" u="1"/>
        <s v="ELSFIE0226OR" u="1"/>
        <s v="JILMIE0011BK" u="1"/>
        <s v="TRUBAE0204BL" u="1"/>
        <s v="JILHUE0036BK" u="1"/>
        <s v="VBLBAE5301OR" u="1"/>
        <s v="ELSFAE0225PK" u="1"/>
        <s v="SMBBAE0222GY" u="1"/>
        <s v="VBLBAE0212BK" u="1"/>
        <s v="ELSTSE2736BK" u="1"/>
        <s v="BMDMIE0201BK" u="1"/>
        <s v="ELSTHE1725MT" u="1"/>
        <s v="JILMIE0243NY" u="1"/>
        <s v="HCUMIE0009KH" u="1"/>
        <s v="NOVBAE0210NY" u="1"/>
        <s v="ELSTRE2707BL" u="1"/>
        <s v="FFTFIE0219BK" u="1"/>
        <s v="NOVBAE2209BK" u="1"/>
        <s v="B1AFIE0202BK" u="1"/>
        <s v="JILMIE0206BK" u="1"/>
        <s v="GOOMIE0043BK" u="1"/>
        <s v="FFTFIE0207BK" u="1"/>
        <s v="SMBFIE0634RE" u="1"/>
        <s v="ELSTSE2739PK" u="1"/>
        <s v="JILMIE0214OR" u="1"/>
        <s v="BILMIE0202BK" u="1"/>
        <s v="SMBFIE0702RE" u="1"/>
        <s v="SMBBAE0223NY" u="1"/>
        <s v="NAABAE0212YE" u="1"/>
        <s v="VBLBAE0219BL" u="1"/>
        <s v="ELSTSE2258RE" u="1"/>
        <s v="ELSTRE2746BK" u="1"/>
        <s v="VBLBAE0211BK" u="1"/>
        <s v="PLAUME0207OR" u="1"/>
        <s v="ELSBPE0203BK" u="1"/>
        <s v="ELSHPE1204NY" u="1"/>
        <s v="FFTFIE0206BK" u="1"/>
        <s v="FFTFIE0241GY" u="1"/>
        <s v="TRUBAE0202BL" u="1"/>
        <s v="NAAFLE0205BL" u="1"/>
        <s v="GOOTRE2016GY" u="1"/>
        <s v="ELSFIE0035PK" u="1"/>
        <s v="ELSTSE2262MT" u="1"/>
        <s v="SMBBAE0222NY" u="1"/>
        <s v="ELSTSE2758BK" u="1"/>
        <s v="VBLBAE0707NY" u="1"/>
        <s v="NOVMIE0702BL" u="1"/>
        <s v="VBLBAE0206BL" u="1"/>
        <s v="ELSTSE2746BK" u="1"/>
        <s v="NOVMIE0101BG" u="1"/>
        <s v="VBLBAE0210BK" u="1"/>
        <s v="BROBAE0205YE" u="1"/>
        <s v="FFTFIE0222AR" u="1"/>
        <s v="ELSTSE2754OR" u="1"/>
        <s v="SMBFLE0243BG" u="1"/>
        <s v="FFTFIE0217BK" u="1"/>
        <s v="SMBFLE0740BL" u="1"/>
        <s v="BROBAE0203RE" u="1"/>
        <s v="TRUBAE0201BL" u="1"/>
        <s v="JILFEE2740NA" u="1"/>
        <s v="SMBBAE0238GR" u="1"/>
        <s v="FFTFIE0233AR" u="1"/>
        <s v="FFTFIE0228BK" u="1"/>
        <s v="ELSTRE2704BL" u="1"/>
        <s v="SMBFLE0242BG" u="1"/>
        <s v="ELSTSE2741OR" u="1"/>
        <s v="NOVACE0202OR" u="1"/>
        <s v="JILMIE0203BK" u="1"/>
        <s v="SMBFIE0701YE" u="1"/>
        <s v="TRUMIE0212KH" u="1"/>
        <s v="NAAFLE0203BL" u="1"/>
        <s v="ELSBPE0204PK" u="1"/>
        <s v="NBRFLE0039BK" u="1"/>
        <s v="JILMIE0054BK" u="1"/>
        <s v="ELSTSE2732BK" u="1"/>
        <s v="ELSTRE2715BL" u="1"/>
        <s v="ELSTSE2231RE" u="1"/>
        <s v="WTRBAE0701NY" u="1"/>
        <s v="WTRBAE0003RE" u="1"/>
        <s v="ELSTSE2759PK" u="1"/>
        <s v="FFTFIE0215BK" u="1"/>
        <s v="BROBAE0201RE" u="1"/>
        <s v="ELSFIE0221OR" u="1"/>
        <s v="BROMIE0064NY" u="1"/>
        <s v="GOOTRE2212KH" u="1"/>
        <s v="ELSFIE0036BL" u="1"/>
        <s v="FFTFIE0238BK" u="1"/>
        <s v="ELSTSE2731BK" u="1"/>
        <s v="BROBAE0202YE" u="1"/>
        <s v="WTRBAE0211BL" u="1"/>
        <s v="ELSHPE1219OR" u="1"/>
        <s v="TRUBAE0209RE" u="1"/>
        <s v="ELSFIE0012BL" u="1"/>
        <s v="JILMIE0243GR" u="1"/>
        <s v="JILMIE0201BK" u="1"/>
        <s v="TWIBAE0210GR" u="1"/>
        <s v="FFTFIE0202BK" u="1"/>
        <s v="ELSTSE2734PK" u="1"/>
        <s v="ELSTSE2243YE" u="1"/>
        <s v="ELSTSE2265RE" u="1"/>
        <s v="SMBBAE0225OR" u="1"/>
        <s v="VBLBAE0202BL" u="1"/>
        <s v="VBLBAE0708GR" u="1"/>
        <s v="HCUMIE0201BG" u="1"/>
        <s v="JILMIE0052BK" u="1"/>
        <s v="ELSFIE0219BL" u="1"/>
        <s v="NOVBAE0003BL" u="1"/>
        <s v="JILMIE0040BK" u="1"/>
        <s v="ELSTHE1726RE" u="1"/>
        <s v="ELSTLE1706RE" u="1"/>
        <s v="ELSTLE2224BW" u="1"/>
        <s v="JILMIE0152OR" u="1"/>
        <s v="JILMIE0120BK" u="1"/>
        <s v="FFTFIE0213BK" u="1"/>
        <s v="WTRHUE0208GY" u="1"/>
        <s v="NOVMIE0701MT" u="1"/>
        <s v="ELSTSE2242YE" u="1"/>
        <s v="PLAUME0205BK" u="1"/>
        <s v="GRACTE0201BG" u="1"/>
        <s v="SMBBAE0224OR" u="1"/>
        <s v="FFTFIE0248ZZ" u="1"/>
        <s v="ELSTSE2252RE" u="1"/>
        <s v="TWIBAE0214BK" u="1"/>
        <s v="ELSBAE0051BU" u="1"/>
        <s v="GRAFAE0206NA" u="1"/>
        <s v="SMBFIE0208NY" u="1"/>
        <s v="ELSTLE2730BL" u="1"/>
        <s v="GOOTRE2012NY" u="1"/>
        <s v="FFTFIE0242GR" u="1"/>
        <s v="ELSBAE0649PK" u="1"/>
        <s v="ELSTSE2253YE" u="1"/>
        <s v="ELSFIE0213PK" u="1"/>
        <s v="PLAUME0004BL" u="1"/>
        <s v="BMDMIE0201BL" u="1"/>
        <s v="ELSTHE1726YE" u="1"/>
        <s v="HCUMIE0209KH" u="1"/>
        <s v="NOVFAE0105BK" u="1"/>
        <s v="VBLFIE2214GR" u="1"/>
        <s v="ELSTRE2723BL" u="1"/>
        <s v="ELSTLE1222BW" u="1"/>
        <s v="JILFEE0235RE" u="1"/>
        <s v="FFTFIE0223BK" u="1"/>
        <s v="GRAFAE0205NA" u="1"/>
        <s v="SMBFIE0207NY" u="1"/>
        <s v="ELSHPE1204OR" u="1"/>
        <s v="GOOTRE2011NY" u="1"/>
        <s v="GOOMIE0203BL" u="1"/>
        <s v="ELSTLE2209WH" u="1"/>
        <s v="VBLBAE0215MT" u="1"/>
        <s v="BILTRE2204GY" u="1"/>
        <s v="VBLBAE0203MT" u="1"/>
        <s v="ELSTSE2759BL" u="1"/>
        <s v="NBRFLE0046BK" u="1"/>
        <s v="WTRMIE0206NY" u="1"/>
        <s v="ELSTSE2240YE" u="1"/>
        <s v="NOVMIE0602RE" u="1"/>
        <s v="PLAUME0203BK" u="1"/>
        <s v="NOVBAE0208BL" u="1"/>
        <s v="HCUMIE0009GY" u="1"/>
        <s v="ELSPTE1229KH" u="1"/>
        <s v="FFTFIE0246BK" u="1"/>
        <s v="HCUMIE0208KH" u="1"/>
        <s v="TWIBAE0212BK" u="1"/>
        <s v="SMBFLE0744RE" u="1"/>
        <s v="ELSTRE2203BW" u="1"/>
        <s v="ELSFIE0727GY" u="1"/>
        <s v="SMBFIE0218NY" u="1"/>
        <s v="NIXTRE2201KH" u="1"/>
        <s v="PLAUME0206PK" u="1"/>
        <s v="GOOTRE2206NY" u="1"/>
        <s v="ELSHPE1705KH" u="1"/>
        <s v="FFTFIE0210BK" u="1"/>
        <s v="WTRBAE0701GR" u="1"/>
        <s v="SMBFLE0207GY" u="1"/>
        <s v="ELSTSE2738MT" u="1"/>
        <s v="ELSPTE1256BW" u="1"/>
        <s v="SMBFIE0204GY" u="1"/>
        <s v="WTRMIE0205NY" u="1"/>
        <s v="ELSFIE0211PK" u="1"/>
        <s v="BROMIE0034BK" u="1"/>
        <s v="JILHUE0210BK" u="1"/>
        <s v="ELSBAE0052YE" u="1"/>
        <s v="FFTFIE0245BK" u="1"/>
        <s v="FFTFIE0221ZZ" u="1"/>
        <s v="BILTRE2204NY" u="1"/>
        <s v="NAAFLE0207RE" u="1"/>
        <s v="NOVFAE0707PP" u="1"/>
        <s v="ELSFIE0743PP" u="1"/>
        <s v="SMBFLE0206GY" u="1"/>
        <s v="SMBBAE0227PK" u="1"/>
        <s v="BROBAE0202IV" u="1"/>
        <s v="JILMIE0243BK" u="1"/>
        <s v="ELSFIE0226BL" u="1"/>
        <s v="FFTFIE0244BK" u="1"/>
        <s v="HCUMIE0114KH" u="1"/>
        <s v="HCUMIE0206KH" u="1"/>
        <s v="NIXTRE2202WH" u="1"/>
        <s v="ELSBPE0603GR" u="1"/>
        <s v="TRUBAE0203RE" u="1"/>
        <s v="NAAFLE0206RE" u="1"/>
        <s v="SMBBAE0235BK" u="1"/>
        <s v="NOVMIE0703RE" u="1"/>
        <s v="NYAFLE0041YE" u="1"/>
        <s v="VBLBAE0103RE" u="1"/>
        <s v="SMBBAE0226PK" u="1"/>
        <s v="FFTFIE0243BK" u="1"/>
        <s v="HCUMIE0205KH" u="1"/>
        <s v="HCUMIE0101KH" u="1"/>
        <s v="TRUMIE0212GY" u="1"/>
        <s v="JILMIE0202BL" u="1"/>
        <s v="ELSTRE2208KH" u="1"/>
        <s v="JILHUE0211PK" u="1"/>
        <s v="SMBBAE0234BK" u="1"/>
        <s v="ELSTSE2735MT" u="1"/>
        <s v="ELSFIE0220PK" u="1"/>
        <s v="TWIBAE0717NY" u="1"/>
        <s v="VBLBAE0206RE" u="1"/>
        <s v="FFTFIE0226BL" u="1"/>
        <s v="HCUMIE0204KH" u="1"/>
        <s v="ELSBPE0613GR" u="1"/>
        <s v="ELSFIE0212BL" u="1"/>
        <s v="SMBFLE0205NY" u="1"/>
        <s v="PLAUME0202PK" u="1"/>
        <s v="FFTFIE0202BL" u="1"/>
        <s v="ELSTSE2758MT" u="1"/>
        <s v="SMBFIE0202NY" u="1"/>
        <s v="TRUBAE0201RE" u="1"/>
        <s v="JILMIE0152PK" u="1"/>
        <s v="SMBBAE0233BK" u="1"/>
        <s v="ELSTSE2247BW" u="1"/>
        <s v="GRAMIE0203BG" u="1"/>
        <s v="NREBAE0038BW" u="1"/>
        <s v="BROBAE0205BW" u="1"/>
        <s v="HCUMIE0203KH" u="1"/>
        <s v="TRUFEE0213BL" u="1"/>
        <s v="ELSTRE2702BU" u="1"/>
        <s v="NOVMIE0205PP" u="1"/>
        <s v="SMBFLE0204NY" u="1"/>
        <s v="FFTFIE0201BL" u="1"/>
        <s v="ELSTLE2710RE" u="1"/>
        <s v="SMBFLE0241KH" u="1"/>
        <s v="ELSFIE0710GY" u="1"/>
        <s v="JILMIE0243PK" u="1"/>
        <s v="SMBBAE0232BK" u="1"/>
        <s v="SMBFIE0211GY" u="1"/>
        <s v="GRAMIE0204BW" u="1"/>
        <s v="FFTFIE0236BL" u="1"/>
        <s v="ELSTRE2715RE" u="1"/>
        <s v="GRAMIE0202BG" u="1"/>
        <s v="HCUMIE0003GY" u="1"/>
        <s v="B1AMIE0201BK" u="1"/>
        <s v="FFTFIE0224BL" u="1"/>
        <s v="FFTFIE0240BK" u="1"/>
        <s v="TRUBAE0201YE" u="1"/>
        <s v="ELSFIE0013RE" u="1"/>
        <s v="VBLBAE0708PK" u="1"/>
        <s v="SMBFLE0203NY" u="1"/>
        <s v="SMBBAE0239BL" u="1"/>
        <s v="SMBFLE0240KH" u="1"/>
        <s v="ELSTSE2263IV" u="1"/>
        <s v="ELSBAE0007KH" u="1"/>
        <s v="VBLBAE0215RE" u="1"/>
        <s v="NHLFIE0207WH" u="1"/>
        <s v="FFTFIE0247BL" u="1"/>
        <s v="ELSBPE0604BK" u="1"/>
        <s v="NOVACE0201BL" u="1"/>
        <s v="PLABAE0209BK" u="1"/>
        <s v="HCUMIE0201KH" u="1"/>
        <s v="SMBFLE0202NY" u="1"/>
        <s v="ELSFIE0720GY" u="1"/>
        <s v="TRUBAE0210RE" u="1"/>
        <s v="WTRHUE0207OR" u="1"/>
        <s v="ELSJSE1138BK" u="1"/>
        <s v="WTRMIE0210NY" u="1"/>
        <s v="NHLFIE0206WH" u="1"/>
        <s v="SMBFLE0249NY" u="1"/>
        <s v="NOVBAE0107RE" u="1"/>
        <s v="ELSFIE0714GR" u="1"/>
        <s v="SMBBAE0225BL" u="1"/>
        <s v="FFTFIE0237MT" u="1"/>
        <s v="PLAUME0708GR" u="1"/>
        <s v="SMBFLE0248NY" u="1"/>
        <s v="WTRMIE0202GR" u="1"/>
        <s v="ELSFIE0727OR" u="1"/>
        <s v="ELSPTE1755YE" u="1"/>
        <s v="ELSTHE1225GY" u="1"/>
        <s v="ELSTLE2211WH" u="1"/>
        <s v="GOOTRE2015PK" u="1"/>
        <s v="PLAUME0201BL" u="1"/>
        <s v="NOVFAE0206BL" u="1"/>
        <s v="ELSBPE0601BK" u="1"/>
        <s v="ELSTHE1226NY" u="1"/>
        <s v="ELSFIE0726OR" u="1"/>
        <s v="TRUMIE0212GR" u="1"/>
        <s v="SMBBAE0223BL" u="1"/>
        <s v="NOVBAE0106YE" u="1"/>
        <s v="SMBFIE0201GR" u="1"/>
        <s v="VBLBAE5801OR" u="1"/>
        <s v="SMBBAE0722GY" u="1"/>
        <s v="BILBAE0203GY" u="1"/>
        <s v="B1AFIE0203YE" u="1"/>
        <s v="ELSFIE0221MT" u="1"/>
        <s v="HCUMIE0206GY" u="1"/>
        <s v="NOVBAE3106YE" u="1"/>
        <s v="PLAACE0205BK" u="1"/>
        <s v="SMBBAE0230PK" u="1"/>
        <s v="GRAMIE0207KH" u="1"/>
        <s v="ELSJSE1138PK" u="1"/>
        <s v="JOIFAE0703NY" u="1"/>
        <s v="SMBFIE0206BK" u="1"/>
        <s v="ELSBPE0603PK" u="1"/>
        <s v="SMBBAE0222BL" u="1"/>
        <s v="ELSTSE2758RE" u="1"/>
        <s v="HCUMIE0207NY" u="1"/>
        <s v="SMBFIE0209PK" u="1"/>
        <s v="PLAUME0707OR" u="1"/>
        <s v="SMBFLE0245NY" u="1"/>
        <s v="ELSBPE0611BK" u="1"/>
        <s v="ELSHPE1704NY" u="1"/>
        <s v="ELSBAE0053BW" u="1"/>
        <s v="HCUMIE0101GY" u="1"/>
        <s v="SMBFLE0208BK" u="1"/>
        <s v="FFTFIE0230BL" u="1"/>
        <s v="SMBFIE0217BK" u="1"/>
        <s v="FFTFIE0205RE" u="1"/>
        <s v="SMBFIE0205BK" u="1"/>
        <s v="ELSTLE2214GY" u="1"/>
        <s v="ELSTSE2762MT" u="1"/>
        <s v="SMBBAE0722NY" u="1"/>
        <s v="SMBFIE0211GR" u="1"/>
        <s v="VBLBAE0209BG" u="1"/>
        <s v="SMBFIE0201OR" u="1"/>
        <s v="BROTRE2206NY" u="1"/>
        <s v="JILMIE0217YE" u="1"/>
        <s v="NOVMIE0601BG" u="1"/>
        <s v="TWIBAE0216BU" u="1"/>
        <s v="ELSMIE2037MT" u="1"/>
        <s v="SMBFLE0244NY" u="1"/>
        <s v="ELSBPE0201RE" u="1"/>
        <s v="ELSTLE2215NY" u="1"/>
        <s v="ELSJSE1228PK" u="1"/>
        <s v="JILMIE0203RE" u="1"/>
        <s v="SMBBAE0224MT" u="1"/>
        <s v="SMBFIE0216BK" u="1"/>
        <s v="ELSTRE2218LI" u="1"/>
        <s v="SMBFIE0210GR" u="1"/>
        <s v="SMBFIE0219PK" u="1"/>
        <s v="FFTFIE0239RE" u="1"/>
        <s v="JILMIE0204YE" u="1"/>
        <s v="FFTFIE0252BL" u="1"/>
        <s v="SMBFLE0243NY" u="1"/>
        <s v="SMBFLE0742BG" u="1"/>
        <s v="SMBFIE0135BK" u="1"/>
        <s v="SMBFIE0215BK" u="1"/>
        <s v="ELSBPE0704PK" u="1"/>
        <s v="SMBBAE0231BL" u="1"/>
        <s v="ELSTRE2744YE" u="1"/>
        <s v="NOVMIE0204NY" u="1"/>
        <s v="ELSTSE2731RE" u="1"/>
        <s v="SMBFLE0242NY" u="1"/>
        <s v="ELSTLE1208OR" u="1"/>
        <s v="SMBFIE0214BK" u="1"/>
        <s v="ELSFIE0721OR" u="1"/>
        <s v="NAAFLE0205BG" u="1"/>
        <s v="BROBAE0203KH" u="1"/>
        <s v="ELSBPE0611PK" u="1"/>
        <s v="PLAACE0204PK" u="1"/>
        <s v="SMBBAE0230BL" u="1"/>
        <s v="JOIFAE2704GR" u="1"/>
        <s v="FFTFIE0249RE" u="1"/>
        <s v="TWIBAE0215RE" u="1"/>
        <s v="BMDFIE0206WH" u="1"/>
        <s v="TRUMIE0212BK" u="1"/>
        <s v="ELSHPE1719OR" u="1"/>
        <s v="ELSBAE0008NY" u="1"/>
        <s v="SMBFIE0213BK" u="1"/>
        <s v="FFTFIE0201RE" u="1"/>
        <s v="BROBAE0205WH" u="1"/>
        <s v="ELSTSE2743YE" u="1"/>
        <s v="JILMIE0219IV" u="1"/>
        <s v="ELSTSE2765RE" u="1"/>
        <s v="ELSPTE1257GY" u="1"/>
        <s v="VBLBAE0702BL" u="1"/>
        <s v="HCUMIE0701BG" u="1"/>
        <s v="ELSTLE2724BW" u="1"/>
        <s v="SMBFLE0245GR" u="1"/>
        <s v="ELSTSE2231KH" u="1"/>
        <s v="ELSTSE2245PP" u="1"/>
        <s v="SMBFIE0212BK" u="1"/>
        <s v="ELSTSE2742YE" u="1"/>
        <s v="ELSFIE0039BW" u="1"/>
        <s v="ELSBPE0601BL" u="1"/>
        <s v="SMBFLE0256GR" u="1"/>
        <s v="SMBFIE0708NY" u="1"/>
        <s v="SMBFLE0244GR" u="1"/>
        <s v="FFTFIE0211RE" u="1"/>
        <s v="ELSTSE2753YE" u="1"/>
        <s v="SMBFIE0721KH" u="1"/>
        <s v="ELSFIE0713PK" u="1"/>
        <s v="GRACTE0201NY" u="1"/>
        <s v="BILTRE2201PK" u="1"/>
        <s v="HCUMIE0003BK" u="1"/>
        <s v="NHLFIE0201GY" u="1"/>
        <s v="NOVFAE0605BK" u="1"/>
        <s v="ELSHPE1220BL" u="1"/>
        <s v="ELSTLE1722BW" u="1"/>
        <s v="HCUMIE0210GY" u="1"/>
        <s v="WTRBAE0603RE" u="1"/>
        <s v="FFTFIE0234RE" u="1"/>
        <s v="JILMIE0003BW" u="1"/>
        <s v="SMBFLE0255GR" u="1"/>
        <s v="SMBFIE0707NY" u="1"/>
        <s v="ELSHPE1704OR" u="1"/>
        <s v="BMDBAE0202OR" u="1"/>
        <s v="ELSTLE2709WH" u="1"/>
        <s v="TRUBAE0208KH" u="1"/>
        <s v="JILFAE2229NA" u="1"/>
        <s v="PLAUME0204YE" u="1"/>
        <s v="TRUMIE0212PK" u="1"/>
        <s v="ELSTSE2740YE" u="1"/>
        <s v="PLAUME0703BK" u="1"/>
        <s v="NOVBAE0708BL" u="1"/>
        <s v="NIXTRE2203BK" u="1"/>
        <s v="ELSPTE1729KH" u="1"/>
        <s v="ELSBPE0611BL" u="1"/>
        <s v="SMBFIE0201PK" u="1"/>
        <s v="ELSTHE1227BK" u="1"/>
        <s v="ELSTRE2703BW" u="1"/>
        <s v="SMBFLE0256OR" u="1"/>
        <s v="ELSFIE0643PK" u="1"/>
        <s v="JILFAE2228NA" u="1"/>
        <s v="ELSPTE1756BW" u="1"/>
        <s v="BROBAE0201WH" u="1"/>
        <s v="SMBFIE0704GY" u="1"/>
        <s v="TRUBAE0209PP" u="1"/>
        <s v="HCUMIE0209BK" u="1"/>
        <s v="JILMIE0245YE" u="1"/>
        <s v="ELSFIE0711PK" u="1"/>
        <s v="JOIFAE2701OR" u="1"/>
        <s v="HCUMIE0210NY" u="1"/>
        <s v="NIXTRE2202BK" u="1"/>
        <s v="ELSTSE2248GY" u="1"/>
        <s v="SMBFLE0247BK" u="1"/>
        <s v="WTRBAE0211BW" u="1"/>
        <s v="BMDBAE0204BK" u="1"/>
        <s v="NYAFIE0049GY" u="1"/>
        <s v="ELSTSE2259LI" u="1"/>
        <s v="SMBBAE0237YE" u="1"/>
        <s v="FFTFIE0232RE" u="1"/>
        <s v="NAABAE0211LI" u="1"/>
        <s v="SMBFIE0259PK" u="1"/>
        <s v="JILFAE2227NA" u="1"/>
        <s v="ELSTLE2212GR" u="1"/>
        <s v="SMBFIE0721WH" u="1"/>
        <s v="JILFAE2031NA" u="1"/>
        <s v="JILFAE2228GY" u="1"/>
        <s v="NIXTRE2201BK" u="1"/>
        <s v="JILMIE0220YE" u="1"/>
        <s v="ELSFIE0726BL" u="1"/>
        <s v="SMBFLE0246BK" u="1"/>
        <s v="BMDBAE0203BK" u="1"/>
        <s v="ELSTLE2217BK" u="1"/>
        <s v="GOOMIE0043BG" u="1"/>
        <s v="ELSTRE2205GR" u="1"/>
        <s v="NAABAE0210LI" u="1"/>
        <s v="SMBFIE0203BL" u="1"/>
        <s v="TRUBAE0208WH" u="1"/>
        <s v="NAABAE0212NY" u="1"/>
        <s v="BROTRE2207BK" u="1"/>
        <s v="ELSBPE0205BW" u="1"/>
        <s v="ELSFIE0661BK" u="1"/>
        <s v="BMDBAE0202BK" u="1"/>
        <s v="ELSTRE2708KH" u="1"/>
        <s v="BILTRE2201BL" u="1"/>
        <s v="TRUBAE0207WH" u="1"/>
        <s v="ELSUME0014PK" u="1"/>
        <s v="BILBAE0203BK" u="1"/>
        <s v="ELSTLE1207PK" u="1"/>
        <s v="ELSBAE0052PP" u="1"/>
        <s v="ELSFIE0720PK" u="1"/>
        <s v="NAAFLE0209PP" u="1"/>
        <s v="HCUMIE0114BK" u="1"/>
        <s v="HCUMIE0206BK" u="1"/>
        <s v="NOVMIE0102BK" u="1"/>
        <s v="NHLFIE0205OR" u="1"/>
        <s v="JOIFAE2705PK" u="1"/>
        <s v="FFTFIE0231YE" u="1"/>
        <s v="JILMIE0218BW" u="1"/>
        <s v="ELSFIE0033BW" u="1"/>
        <s v="HCUMIE0704KH" u="1"/>
        <s v="ELSTSE2251WH" u="1"/>
        <s v="ELSFIE0712BL" u="1"/>
        <s v="ELSTRE2217OR" u="1"/>
        <s v="SMBFIE0702NY" u="1"/>
        <s v="BROBAE0203GY" u="1"/>
        <s v="JILFAE2224NA" u="1"/>
        <s v="ELSTLE2218PK" u="1"/>
        <s v="ELSTSE2747BW" u="1"/>
        <s v="PLAUME0003BW" u="1"/>
        <s v="TRUBAE0205PP" u="1"/>
        <s v="WTRMIE0212BL" u="1"/>
        <s v="NOVMIE0101BK" u="1"/>
        <s v="ELSTHE1202PK" u="1"/>
        <s v="JOIFAE2704PK" u="1"/>
        <s v="JILMIE0205BW" u="1"/>
        <s v="GRAMIE0202GY" u="1"/>
        <s v="SMBFLE0704NY" u="1"/>
        <s v="ELSTRE2204OR" u="1"/>
        <s v="SMBFIE0260OR" u="1"/>
        <s v="TRUBAE0205WH" u="1"/>
        <s v="ELSTLE2260LI" u="1"/>
        <s v="ELSTHE1225PK" u="1"/>
        <s v="TRUBAE0204PP" u="1"/>
        <s v="PLAACE0202MT" u="1"/>
        <s v="ELSTHE1201PK" u="1"/>
        <s v="GOOHUE0213BG" u="1"/>
        <s v="SMBFLE0254BK" u="1"/>
        <s v="BROTRE2207PK" u="1"/>
        <s v="ELSTHE1221BK" u="1"/>
        <s v="ELSTLE2213BK" u="1"/>
        <s v="SMBFLE0257PK" u="1"/>
        <s v="GOOMIE0201BW" u="1"/>
        <s v="JILFEE2226NA" u="1"/>
        <s v="SMBFLE0740KH" u="1"/>
        <s v="ELSTSE2763IV" u="1"/>
        <s v="JILFAE2234NA" u="1"/>
        <s v="BMDBAE0202PK" u="1"/>
        <s v="TRUBAE0201KH" u="1"/>
        <s v="JILFAE2222NA" u="1"/>
        <s v="ELSTSE2244NY" u="1"/>
        <s v="NYAFLE0048NY" u="1"/>
        <s v="ELSTRE2046BK" u="1"/>
        <s v="FFTFIE0250RE" u="1"/>
        <s v="SMBFLE0241BK" u="1"/>
        <s v="HCUMIE0701KH" u="1"/>
        <s v="BROBAE0202NY" u="1"/>
        <s v="ELSTRE2224GR" u="1"/>
        <s v="GOOTRE2210BL" u="1"/>
        <s v="JOIEBE5308IV" u="1"/>
        <s v="SMBFLE0201BL" u="1"/>
        <s v="ELSJSE1638BK" u="1"/>
        <s v="HCUMIE0202BK" u="1"/>
        <s v="NOVBAE0607RE" u="1"/>
        <s v="SMBFLE0252BK" u="1"/>
        <s v="ELSTLE1223BK" u="1"/>
        <s v="SMBFLE0240BK" u="1"/>
        <s v="JILFEE0237GY" u="1"/>
        <s v="ELSFIE0209KH" u="1"/>
        <s v="VBLBAE2204KH" u="1"/>
        <s v="ELSTHE1203BL" u="1"/>
        <s v="JILFEE2236NA" u="1"/>
        <s v="JOIFAE2705BL" u="1"/>
        <s v="SMBFLE0255PK" u="1"/>
        <s v="ELSTSE2266NY" u="1"/>
        <s v="JILFAE2232NA" u="1"/>
        <s v="TRUBAE0202WH" u="1"/>
        <s v="NHLFIE0204BK" u="1"/>
        <s v="NAAFLE0202KH" u="1"/>
        <s v="NIXTRE2202BL" u="1"/>
        <s v="HCUMIE0201BK" u="1"/>
        <s v="JILFEE0238NY" u="1"/>
        <s v="SMBFLE0251BK" u="1"/>
        <s v="TRUBAE0206NA" u="1"/>
        <s v="ELSTHE1725GY" u="1"/>
        <s v="ELSTLE2210BK" u="1"/>
        <s v="NDOFLE0047BK" u="1"/>
        <s v="JILFEE2223NA" u="1"/>
        <s v="ELSTLE2711WH" u="1"/>
        <s v="TRUBAE0201WH" u="1"/>
        <s v="ELSBPE0602YE" u="1"/>
        <s v="PLAUME0701BL" u="1"/>
        <s v="NOVFAE0105BG" u="1"/>
        <s v="ELSTHE1726NY" u="1"/>
        <s v="SMBFLE0250BK" u="1"/>
        <s v="TRUBAE0208NY" u="1"/>
        <s v="TWIBAE0201BG" u="1"/>
        <s v="ELSTRE2223OR" u="1"/>
        <s v="ELSJSE1228YE" u="1"/>
        <s v="SMBFLE0253PK" u="1"/>
        <s v="ELSPTE1256BK" u="1"/>
        <s v="ELSTRE2206PK" u="1"/>
        <s v="ELSTSE2264NY" u="1"/>
        <s v="SMBFIE0701GR" u="1"/>
        <s v="HCUMIE0207BL" u="1"/>
        <s v="ELSFIE0721MT" u="1"/>
        <s v="NAABAE0211OR" u="1"/>
        <s v="ELSJSE1638PK" u="1"/>
        <s v="ELSTSE2233GR" u="1"/>
        <s v="BROBAE0210NY" u="1"/>
        <s v="ELSTLE2216BL" u="1"/>
        <s v="JILMIE0207KH" u="1"/>
        <s v="FFTFIE0208KH" u="1"/>
        <s v="TRUBAE0205GY" u="1"/>
        <s v="JILMIE0011KH" u="1"/>
        <s v="NAAFLE0208GY" u="1"/>
        <s v="SMBBAE0722BL" u="1"/>
        <s v="ELSBPE0612YE" u="1"/>
        <s v="SMBFIE0709PK" u="1"/>
        <s v="HCUMIE0210BK" u="1"/>
        <s v="JILMIE0152BG" u="1"/>
        <s v="GOOHUE0018GY" u="1"/>
        <s v="VBLBAE0212KH" u="1"/>
        <s v="JILMIE2244BG" u="1"/>
        <s v="NOVBAE0107PP" u="1"/>
        <s v="SMBFIE0705BK" u="1"/>
        <s v="JILMIE0206KH" u="1"/>
        <s v="GOOMIE0043KH" u="1"/>
        <s v="ELSTLE2714GY" u="1"/>
        <s v="FFTFIE0207KH" u="1"/>
        <s v="ELSTRE2216PK" u="1"/>
        <s v="VBLBAE0709BG" u="1"/>
        <s v="ELSTSE2249BK" u="1"/>
        <s v="SMBFIE0701OR" u="1"/>
        <s v="ELSTSE2237BK" u="1"/>
        <s v="ELSTSE2250NY" u="1"/>
        <s v="SMBFLE0744NY" u="1"/>
        <s v="TWIBAE0208KH" u="1"/>
        <s v="ELSTLE2715NY" u="1"/>
        <s v="TRUBAE0205NY" u="1"/>
        <s v="ELSJSE1728PK" u="1"/>
        <s v="FFTFIE0209WH" u="1"/>
        <s v="ELSTRE2718LI" u="1"/>
        <s v="JILFEE2231NA" u="1"/>
        <s v="ELSTSE2236BK" u="1"/>
        <s v="TRUBAE0202LI" u="1"/>
        <s v="ELSTHE1225MT" u="1"/>
        <s v="ELSTRE2207BL" u="1"/>
        <s v="SMBFIE0635BK" u="1"/>
        <s v="JILFEE0024BK" u="1"/>
        <s v="SMBFIE0134RE" u="1"/>
        <s v="TRUBAE0204NY" u="1"/>
        <s v="ELSTSE2239PK" u="1"/>
        <s v="ELSBPE0202KH" u="1"/>
        <s v="FFTFIE0208WH" u="1"/>
        <s v="SMBFIE0202RE" u="1"/>
        <s v="BILMIE0202PP" u="1"/>
        <s v="TRUBAE0207AR" u="1"/>
        <s v="NYAFLE0040NY" u="1"/>
        <s v="SMBFLE0742NY" u="1"/>
        <s v="TRUMIE0212RE" u="1"/>
        <s v="ELSTRE2222BK" u="1"/>
        <s v="SMBFLE0241BL" u="1"/>
        <s v="ELSFIE0620RE" u="1"/>
        <s v="TRUBAE0203NY" u="1"/>
        <s v="ELSTLE1708OR" u="1"/>
        <s v="BROBAE0208PK" u="1"/>
        <s v="ELSTSE2258BK" u="1"/>
        <s v="VBLBAE0207NY" u="1"/>
        <s v="BMDFIE0205BK" u="1"/>
        <s v="JILFAE2233GR" u="1"/>
        <s v="NOVMIE0202BL" u="1"/>
        <s v="ELSTSE2246BK" u="1"/>
        <s v="JILFAE2221GR" u="1"/>
        <s v="PLAACE0201YE" u="1"/>
        <s v="GRAMIE0204BK" u="1"/>
        <s v="ELSTSE2254OR" u="1"/>
        <s v="BILTRE2201YE" u="1"/>
        <s v="JILMIE0054KH" u="1"/>
        <s v="SMBFLE0240BL" u="1"/>
        <s v="BROBAE0204BK" u="1"/>
        <s v="ELSBAE0649KH" u="1"/>
        <s v="ELSBAE0007BL" u="1"/>
        <s v="FFTFIE0218WH" u="1"/>
        <s v="JILMIE0003GY" u="1"/>
        <s v="VBLBAE0206NY" u="1"/>
        <s v="ELSPTE1757GY" u="1"/>
        <s v="VBLFIE2213BG" u="1"/>
        <s v="NINFLE0043NY" u="1"/>
        <s v="ELSFIE0620YE" u="1"/>
        <s v="GRAMIE0203BK" u="1"/>
        <s v="ELSTRE2204BL" u="1"/>
        <s v="ELSTSE2241OR" u="1"/>
        <s v="JILMIE0053KH" u="1"/>
        <s v="ELSTSE2731KH" u="1"/>
        <s v="FFTFIE0229WH" u="1"/>
        <s v="SMBFIE0201YE" u="1"/>
        <s v="ELSTSE2745PP" u="1"/>
        <s v="TRUBAE0201NY" u="1"/>
        <s v="GOOTRE2211RE" u="1"/>
        <s v="JILMIE0213KH" u="1"/>
        <s v="FFTFIE0205WH" u="1"/>
        <s v="SMBTRE2221PP" u="1"/>
        <s v="TRUBAE0210LI" u="1"/>
        <s v="NHLFIE0203GD" u="1"/>
        <s v="ELSTSE2232BK" u="1"/>
        <s v="VBLBAE2205NY" u="1"/>
        <s v="TRUBAE0204AR" u="1"/>
        <s v="ELSTRE2215BL" u="1"/>
        <s v="GRAMIE0202BK" u="1"/>
        <s v="WTRBAE0201NY" u="1"/>
        <s v="ELSTSE2259PK" u="1"/>
        <s v="JILMIE0052KH" u="1"/>
        <s v="SMBFLE0744GR" u="1"/>
        <s v="JILMIE0001GY" u="1"/>
        <s v="TRUBAE0210GY" u="1"/>
        <s v="NAAFLE0201GY" u="1"/>
        <s v="NHLFIE0202BL" u="1"/>
        <s v="NIXTRE2203RE" u="1"/>
        <s v="ELSTSE2231BK" u="1"/>
        <s v="ELSHPE1720BL" u="1"/>
        <s v="JILMIE0208GY" u="1"/>
        <s v="NAABAE0210PK" u="1"/>
        <s v="ELSTSE2234PK" u="1"/>
        <s v="NAAFLE0202NY" u="1"/>
        <s v="PLAUME0704YE" u="1"/>
        <s v="BROBAE0204PK" u="1"/>
        <s v="VBLBAE0208GR" u="1"/>
        <s v="B1AFIE0205NY" u="1"/>
        <s v="SMBFIE0701PK" u="1"/>
        <s v="JILHUE0212KH" u="1"/>
        <s v="TRUBAE0202AR" u="1"/>
        <s v="ELSTHE1727BK" u="1"/>
        <s v="VBLBAE0201GY" u="1"/>
        <s v="ELSTHE1226RE" u="1"/>
        <s v="ELSTLE1206RE" u="1"/>
        <s v="JILMIE0001NY" u="1"/>
        <s v="TRUBAE0205OR" u="1"/>
        <s v="NOVMIE0201MT" u="1"/>
        <s v="GOOMIE0204GY" u="1"/>
        <s v="JILHUE0036GY" u="1"/>
        <s v="ELSTSE2748GY" u="1"/>
        <s v="TWIBAE0003NY" u="1"/>
        <s v="VBLBAE0103GR" u="1"/>
        <s v="ELSTSE2759LI" u="1"/>
        <s v="GOOTRE2209BW" u="1"/>
        <s v="WTRBAE0001BK" u="1"/>
        <s v="GOOHUE0205GY" u="1"/>
        <s v="ELSTLE2230BL" u="1"/>
        <s v="GOOMIE0043GY" u="1"/>
        <s v="TRUBAE0204OR" u="1"/>
        <s v="ELSTLE2712GR" u="1"/>
        <s v="BILMIE0202GY" u="1"/>
        <s v="JILHUE0209NY" u="1"/>
        <s v="ELSFIE0743YE" u="1"/>
        <s v="ELSTHE1226YE" u="1"/>
        <s v="BROMIE0034KH" u="1"/>
        <s v="ELSTRE2223BL" u="1"/>
        <s v="SMBFLE0245RE" u="1"/>
        <s v="BMDBAE0202RE" u="1"/>
        <s v="JILMIE0152KH" u="1"/>
      </sharedItems>
    </cacheField>
    <cacheField name="사이즈" numFmtId="0">
      <sharedItems containsBlank="1"/>
    </cacheField>
    <cacheField name="분류" numFmtId="0">
      <sharedItems containsBlank="1" count="3">
        <s v="M"/>
        <m/>
        <s v="B"/>
      </sharedItems>
    </cacheField>
    <cacheField name="입고수량" numFmtId="3">
      <sharedItems containsString="0" containsBlank="1" containsNumber="1" containsInteger="1" minValue="0" maxValue="14054"/>
    </cacheField>
    <cacheField name="미입고수량" numFmtId="3">
      <sharedItems containsString="0" containsBlank="1" containsNumber="1" containsInteger="1" minValue="0" maxValue="22300"/>
    </cacheField>
    <cacheField name="기획수량" numFmtId="3">
      <sharedItems containsString="0" containsBlank="1" containsNumber="1" containsInteger="1" minValue="10" maxValue="22300"/>
    </cacheField>
    <cacheField name="원가" numFmtId="3">
      <sharedItems containsString="0" containsBlank="1" containsNumber="1" minValue="200454.54545454544" maxValue="354960000"/>
    </cacheField>
    <cacheField name="TAG가" numFmtId="3">
      <sharedItems containsString="0" containsBlank="1" containsNumber="1" containsInteger="1" minValue="490000" maxValue="1531200000"/>
    </cacheField>
    <cacheField name="배수" numFmtId="0" formula="IF(ISERROR(TAG가/ (원가*1.1))=TRUE,0,TAG가/ (원가*1.1))" databaseField="0"/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RXK" refreshedDate="41470.446137962965" createdVersion="3" refreshedVersion="3" minRefreshableVersion="3" recordCount="902">
  <cacheSource type="worksheet">
    <worksheetSource ref="A1:X1048576" sheet="DB2"/>
  </cacheSource>
  <cacheFields count="26">
    <cacheField name="러닝/신규" numFmtId="0">
      <sharedItems containsBlank="1" count="3">
        <s v="신규"/>
        <s v="러닝"/>
        <m/>
      </sharedItems>
    </cacheField>
    <cacheField name="최초/리오더" numFmtId="0">
      <sharedItems containsBlank="1" count="3">
        <s v="최초"/>
        <s v="리오더"/>
        <m/>
      </sharedItems>
    </cacheField>
    <cacheField name="품번(최초)" numFmtId="0">
      <sharedItems containsBlank="1"/>
    </cacheField>
    <cacheField name="품번수(최초)" numFmtId="0">
      <sharedItems containsString="0" containsBlank="1" containsNumber="1" minValue="0" maxValue="1"/>
    </cacheField>
    <cacheField name="품번(리오더)" numFmtId="0">
      <sharedItems containsBlank="1"/>
    </cacheField>
    <cacheField name="품번수(리오더)" numFmtId="0">
      <sharedItems containsString="0" containsBlank="1" containsNumber="1" minValue="0" maxValue="1"/>
    </cacheField>
    <cacheField name="품번색상(최초)" numFmtId="0">
      <sharedItems containsBlank="1"/>
    </cacheField>
    <cacheField name="색상수(최초)" numFmtId="0">
      <sharedItems containsString="0" containsBlank="1" containsNumber="1" minValue="0" maxValue="1"/>
    </cacheField>
    <cacheField name="품번색상(리오더)" numFmtId="0">
      <sharedItems containsBlank="1"/>
    </cacheField>
    <cacheField name="색상수(리오더)" numFmtId="0">
      <sharedItems containsString="0" containsBlank="1" containsNumber="1" minValue="0" maxValue="1"/>
    </cacheField>
    <cacheField name="년도시즌" numFmtId="0">
      <sharedItems containsBlank="1"/>
    </cacheField>
    <cacheField name="품목2" numFmtId="0">
      <sharedItems containsBlank="1"/>
    </cacheField>
    <cacheField name="브랜드" numFmtId="0">
      <sharedItems containsBlank="1"/>
    </cacheField>
    <cacheField name="품목" numFmtId="0">
      <sharedItems containsBlank="1"/>
    </cacheField>
    <cacheField name="브랜드품목" numFmtId="0">
      <sharedItems containsBlank="1" count="39">
        <s v="ELS-가방"/>
        <s v="DAK"/>
        <s v="ELS-ACC"/>
        <s v="ELS"/>
        <s v="JIL"/>
        <s v="JIL-ACC"/>
        <s v="JOI"/>
        <s v="BRO"/>
        <s v="WTR"/>
        <s v="TRU"/>
        <s v="VBL"/>
        <s v="NOV"/>
        <s v="HCU"/>
        <s v="SMB"/>
        <s v="ELS-의류"/>
        <s v="GRA"/>
        <s v="PLA"/>
        <s v="NIX"/>
        <s v="BMD"/>
        <s v="PLA-의류"/>
        <s v="JOI-ACC"/>
        <s v="PLA-가방"/>
        <s v="URB"/>
        <s v="NAA"/>
        <s v="GOO"/>
        <s v="FFT"/>
        <m/>
        <s v="" u="1"/>
        <s v="BIL" u="1"/>
        <s v="NAS" u="1"/>
        <s v="NYA" u="1"/>
        <s v="NIN" u="1"/>
        <s v="B1A" u="1"/>
        <s v="NDO" u="1"/>
        <s v="NHL" u="1"/>
        <s v="NRE" u="1"/>
        <s v="NBR" u="1"/>
        <s v="NPH" u="1"/>
        <s v="TWI" u="1"/>
      </sharedItems>
    </cacheField>
    <cacheField name="품번" numFmtId="0">
      <sharedItems containsBlank="1"/>
    </cacheField>
    <cacheField name="품번색상" numFmtId="0">
      <sharedItems containsBlank="1"/>
    </cacheField>
    <cacheField name="분류" numFmtId="0">
      <sharedItems containsBlank="1" count="3">
        <s v="M"/>
        <s v="B"/>
        <m/>
      </sharedItems>
    </cacheField>
    <cacheField name="기획수량" numFmtId="3">
      <sharedItems containsString="0" containsBlank="1" containsNumber="1" containsInteger="1" minValue="10" maxValue="6000"/>
    </cacheField>
    <cacheField name="TAG가" numFmtId="3">
      <sharedItems containsString="0" containsBlank="1" containsNumber="1" containsInteger="1" minValue="490000" maxValue="330000000"/>
    </cacheField>
    <cacheField name="원가(-V)" numFmtId="3">
      <sharedItems containsString="0" containsBlank="1" containsNumber="1" minValue="200454.54545454544" maxValue="48000000"/>
    </cacheField>
    <cacheField name="배수" numFmtId="3">
      <sharedItems containsString="0" containsBlank="1" containsNumber="1" minValue="2.2222222222222219" maxValue="13.514134433203683"/>
    </cacheField>
    <cacheField name=" 입고수량" numFmtId="3">
      <sharedItems containsString="0" containsBlank="1" containsNumber="1" containsInteger="1" minValue="0" maxValue="4000"/>
    </cacheField>
    <cacheField name=" 미입고수량" numFmtId="3">
      <sharedItems containsString="0" containsBlank="1" containsNumber="1" containsInteger="1" minValue="0" maxValue="6000"/>
    </cacheField>
    <cacheField name="배수2" numFmtId="0" formula="IF(ISERROR(TAG가/ ('원가(-V)'*1.1))=TRUE,0,TAG가/ ('원가(-V)'*1.1))" databaseField="0"/>
    <cacheField name="LOT" numFmtId="0" formula="IF(ISERROR(기획수량/('색상수(최초)'+'색상수(리오더)'))=TRUE,0,기획수량/('색상수(최초)'+'색상수(리오더)'))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02">
  <r>
    <x v="0"/>
    <x v="0"/>
    <s v="ELSSBE3801"/>
    <n v="0.33333333333333331"/>
    <s v=""/>
    <n v="0"/>
    <s v="ELSSBE3801BK"/>
    <n v="0.5"/>
    <s v=""/>
    <n v="0"/>
    <s v="E3"/>
    <s v="가방"/>
    <s v="ELS"/>
    <s v="SB"/>
    <x v="0"/>
    <s v="ELSSBE3801"/>
    <x v="0"/>
    <x v="0"/>
    <n v="500"/>
    <n v="22500000"/>
    <n v="5010000"/>
    <n v="4.0827436037016875"/>
    <n v="500"/>
    <n v="0"/>
  </r>
  <r>
    <x v="0"/>
    <x v="0"/>
    <s v="ELSSBE3801"/>
    <n v="0.33333333333333331"/>
    <s v=""/>
    <n v="0"/>
    <s v="ELSSBE3801BL"/>
    <n v="1"/>
    <s v=""/>
    <n v="0"/>
    <s v="E3"/>
    <s v="가방"/>
    <s v="ELS"/>
    <s v="SB"/>
    <x v="0"/>
    <s v="ELSSBE3801"/>
    <x v="1"/>
    <x v="0"/>
    <n v="500"/>
    <n v="22500000"/>
    <n v="5010000"/>
    <n v="4.0827436037016875"/>
    <n v="500"/>
    <n v="0"/>
  </r>
  <r>
    <x v="0"/>
    <x v="0"/>
    <s v="ELSSBE3802"/>
    <n v="1"/>
    <s v=""/>
    <n v="0"/>
    <s v="ELSSBE3802YE"/>
    <n v="1"/>
    <s v=""/>
    <n v="0"/>
    <s v="E3"/>
    <s v="가방"/>
    <s v="ELS"/>
    <s v="SB"/>
    <x v="0"/>
    <s v="ELSSBE3802"/>
    <x v="2"/>
    <x v="0"/>
    <n v="500"/>
    <n v="22500000"/>
    <n v="5010000"/>
    <n v="4.0827436037016875"/>
    <n v="500"/>
    <n v="0"/>
  </r>
  <r>
    <x v="0"/>
    <x v="0"/>
    <s v="ELSSBE3803"/>
    <n v="1"/>
    <s v=""/>
    <n v="0"/>
    <s v="ELSSBE3803PK"/>
    <n v="1"/>
    <s v=""/>
    <n v="0"/>
    <s v="E3"/>
    <s v="가방"/>
    <s v="ELS"/>
    <s v="SB"/>
    <x v="0"/>
    <s v="ELSSBE3803"/>
    <x v="3"/>
    <x v="0"/>
    <n v="500"/>
    <n v="22500000"/>
    <n v="5010000"/>
    <n v="4.0827436037016875"/>
    <n v="500"/>
    <n v="0"/>
  </r>
  <r>
    <x v="0"/>
    <x v="0"/>
    <s v="DAKBEE5301"/>
    <n v="1"/>
    <s v=""/>
    <n v="0"/>
    <s v="DAKBEE5301GY"/>
    <n v="1"/>
    <s v=""/>
    <n v="0"/>
    <s v="E5"/>
    <s v="모자"/>
    <s v="DAK"/>
    <s v="BE"/>
    <x v="1"/>
    <s v="DAKBEE5301"/>
    <x v="4"/>
    <x v="1"/>
    <n v="360"/>
    <n v="12600000"/>
    <n v="3436363.6363636358"/>
    <n v="3.3333333333333339"/>
    <n v="0"/>
    <n v="360"/>
  </r>
  <r>
    <x v="0"/>
    <x v="0"/>
    <s v="DAKBEE5302"/>
    <n v="0.5"/>
    <s v=""/>
    <n v="0"/>
    <s v="DAKBEE5302BK"/>
    <n v="1"/>
    <s v=""/>
    <n v="0"/>
    <s v="E5"/>
    <s v="모자"/>
    <s v="DAK"/>
    <s v="BE"/>
    <x v="1"/>
    <s v="DAKBEE5302"/>
    <x v="5"/>
    <x v="1"/>
    <n v="480"/>
    <n v="13920000"/>
    <n v="3796363.6363636358"/>
    <n v="3.3333333333333339"/>
    <n v="0"/>
    <n v="480"/>
  </r>
  <r>
    <x v="0"/>
    <x v="0"/>
    <s v="DAKBEE5302"/>
    <n v="0.5"/>
    <s v=""/>
    <n v="0"/>
    <s v="DAKBEE5302GY"/>
    <n v="1"/>
    <s v=""/>
    <n v="0"/>
    <s v="E5"/>
    <s v="모자"/>
    <s v="DAK"/>
    <s v="BE"/>
    <x v="1"/>
    <s v="DAKBEE5302"/>
    <x v="6"/>
    <x v="1"/>
    <n v="480"/>
    <n v="13920000"/>
    <n v="3796363.6363636358"/>
    <n v="3.3333333333333339"/>
    <n v="0"/>
    <n v="480"/>
  </r>
  <r>
    <x v="0"/>
    <x v="0"/>
    <s v="DAKTPE5303"/>
    <n v="1"/>
    <s v=""/>
    <n v="0"/>
    <s v="DAKTPE5303RE"/>
    <n v="1"/>
    <s v=""/>
    <n v="0"/>
    <s v="E5"/>
    <s v="모자"/>
    <s v="DAK"/>
    <s v="TP"/>
    <x v="1"/>
    <s v="DAKTPE5303"/>
    <x v="7"/>
    <x v="1"/>
    <n v="240"/>
    <n v="14160000"/>
    <n v="3861818.1818181816"/>
    <n v="3.3333333333333335"/>
    <n v="0"/>
    <n v="240"/>
  </r>
  <r>
    <x v="0"/>
    <x v="0"/>
    <s v="DAKBEE5304"/>
    <n v="1"/>
    <s v=""/>
    <n v="0"/>
    <s v="DAKBEE5304GY"/>
    <n v="1"/>
    <s v=""/>
    <n v="0"/>
    <s v="E5"/>
    <s v="모자"/>
    <s v="DAK"/>
    <s v="BE"/>
    <x v="1"/>
    <s v="DAKBEE5304"/>
    <x v="8"/>
    <x v="1"/>
    <n v="360"/>
    <n v="9000000"/>
    <n v="2454545.4545454546"/>
    <n v="3.3333333333333326"/>
    <n v="0"/>
    <n v="360"/>
  </r>
  <r>
    <x v="1"/>
    <x v="0"/>
    <s v="DAKBEE5004"/>
    <n v="0.5"/>
    <s v=""/>
    <n v="0"/>
    <s v="DAKBEE5004MT"/>
    <n v="1"/>
    <s v=""/>
    <n v="0"/>
    <s v="E5"/>
    <s v="모자"/>
    <s v="DAK"/>
    <s v="BE"/>
    <x v="1"/>
    <s v="DAKBEE5004"/>
    <x v="9"/>
    <x v="1"/>
    <n v="360"/>
    <n v="14040000"/>
    <n v="3829090.9090909092"/>
    <n v="3.3333333333333335"/>
    <n v="0"/>
    <n v="360"/>
  </r>
  <r>
    <x v="1"/>
    <x v="0"/>
    <s v="DAKBEE5004"/>
    <n v="0.5"/>
    <s v=""/>
    <n v="0"/>
    <s v="DAKBEE5004GR"/>
    <n v="1"/>
    <s v=""/>
    <n v="0"/>
    <s v="E5"/>
    <s v="모자"/>
    <s v="DAK"/>
    <s v="BE"/>
    <x v="1"/>
    <s v="DAKBEE5004"/>
    <x v="10"/>
    <x v="1"/>
    <n v="240"/>
    <n v="9360000"/>
    <n v="2552727.2727272725"/>
    <n v="3.3333333333333335"/>
    <n v="0"/>
    <n v="240"/>
  </r>
  <r>
    <x v="0"/>
    <x v="0"/>
    <s v="DAKEBE5305"/>
    <n v="0.5"/>
    <s v=""/>
    <n v="0"/>
    <s v="DAKEBE5305BK"/>
    <n v="1"/>
    <s v=""/>
    <n v="0"/>
    <s v="E5"/>
    <s v="모자"/>
    <s v="DAK"/>
    <s v="EB"/>
    <x v="1"/>
    <s v="DAKEBE5305"/>
    <x v="11"/>
    <x v="1"/>
    <n v="360"/>
    <n v="14040000"/>
    <n v="3829090.9090909092"/>
    <n v="3.3333333333333335"/>
    <n v="0"/>
    <n v="360"/>
  </r>
  <r>
    <x v="0"/>
    <x v="0"/>
    <s v="DAKEBE5305"/>
    <n v="0.5"/>
    <s v=""/>
    <n v="0"/>
    <s v="DAKEBE5305BG"/>
    <n v="1"/>
    <s v=""/>
    <n v="0"/>
    <s v="E5"/>
    <s v="모자"/>
    <s v="DAK"/>
    <s v="EB"/>
    <x v="1"/>
    <s v="DAKEBE5305"/>
    <x v="12"/>
    <x v="1"/>
    <n v="360"/>
    <n v="14040000"/>
    <n v="3829090.9090909092"/>
    <n v="3.3333333333333335"/>
    <n v="0"/>
    <n v="360"/>
  </r>
  <r>
    <x v="0"/>
    <x v="0"/>
    <s v="DAKBEE5306"/>
    <n v="0.5"/>
    <s v=""/>
    <n v="0"/>
    <s v="DAKBEE5306BW"/>
    <n v="1"/>
    <s v=""/>
    <n v="0"/>
    <s v="E5"/>
    <s v="모자"/>
    <s v="DAK"/>
    <s v="BE"/>
    <x v="1"/>
    <s v="DAKBEE5306"/>
    <x v="13"/>
    <x v="1"/>
    <n v="480"/>
    <n v="18720000"/>
    <n v="5105454.5454545449"/>
    <n v="3.3333333333333335"/>
    <n v="0"/>
    <n v="480"/>
  </r>
  <r>
    <x v="0"/>
    <x v="0"/>
    <s v="DAKBEE5306"/>
    <n v="0.5"/>
    <s v=""/>
    <n v="0"/>
    <s v="DAKBEE5306OR"/>
    <n v="1"/>
    <s v=""/>
    <n v="0"/>
    <s v="E5"/>
    <s v="모자"/>
    <s v="DAK"/>
    <s v="BE"/>
    <x v="1"/>
    <s v="DAKBEE5306"/>
    <x v="14"/>
    <x v="1"/>
    <n v="480"/>
    <n v="18720000"/>
    <n v="5105454.5454545449"/>
    <n v="3.3333333333333335"/>
    <n v="0"/>
    <n v="480"/>
  </r>
  <r>
    <x v="0"/>
    <x v="0"/>
    <s v="DAKBEE5307"/>
    <n v="0.5"/>
    <s v=""/>
    <n v="0"/>
    <s v="DAKBEE5307BU"/>
    <n v="1"/>
    <s v=""/>
    <n v="0"/>
    <s v="E5"/>
    <s v="모자"/>
    <s v="DAK"/>
    <s v="BE"/>
    <x v="1"/>
    <s v="DAKBEE5307"/>
    <x v="15"/>
    <x v="1"/>
    <n v="480"/>
    <n v="18720000"/>
    <n v="5105454.5454545449"/>
    <n v="3.3333333333333335"/>
    <n v="0"/>
    <n v="480"/>
  </r>
  <r>
    <x v="0"/>
    <x v="0"/>
    <s v="DAKBEE5307"/>
    <n v="0.5"/>
    <s v=""/>
    <n v="0"/>
    <s v="DAKBEE5307OR"/>
    <n v="1"/>
    <s v=""/>
    <n v="0"/>
    <s v="E5"/>
    <s v="모자"/>
    <s v="DAK"/>
    <s v="BE"/>
    <x v="1"/>
    <s v="DAKBEE5307"/>
    <x v="16"/>
    <x v="1"/>
    <n v="360"/>
    <n v="14040000"/>
    <n v="3829090.9090909092"/>
    <n v="3.3333333333333335"/>
    <n v="0"/>
    <n v="360"/>
  </r>
  <r>
    <x v="0"/>
    <x v="0"/>
    <s v="DAKTPE5308"/>
    <n v="0.5"/>
    <s v=""/>
    <n v="0"/>
    <s v="DAKTPE5308BK"/>
    <n v="1"/>
    <s v=""/>
    <n v="0"/>
    <s v="E5"/>
    <s v="모자"/>
    <s v="DAK"/>
    <s v="TP"/>
    <x v="1"/>
    <s v="DAKTPE5308"/>
    <x v="17"/>
    <x v="1"/>
    <n v="240"/>
    <n v="13200000"/>
    <n v="3599999.9999999995"/>
    <n v="3.3333333333333335"/>
    <n v="0"/>
    <n v="240"/>
  </r>
  <r>
    <x v="0"/>
    <x v="0"/>
    <s v="DAKTPE5308"/>
    <n v="0.5"/>
    <s v=""/>
    <n v="0"/>
    <s v="DAKTPE5308NA"/>
    <n v="1"/>
    <s v=""/>
    <n v="0"/>
    <s v="E5"/>
    <s v="모자"/>
    <s v="DAK"/>
    <s v="TP"/>
    <x v="1"/>
    <s v="DAKTPE5308"/>
    <x v="18"/>
    <x v="1"/>
    <n v="240"/>
    <n v="13200000"/>
    <n v="3599999.9999999995"/>
    <n v="3.3333333333333335"/>
    <n v="0"/>
    <n v="240"/>
  </r>
  <r>
    <x v="0"/>
    <x v="0"/>
    <s v="DAKEBE5801"/>
    <n v="0.5"/>
    <s v=""/>
    <n v="0"/>
    <s v="DAKEBE5801BL"/>
    <n v="1"/>
    <s v=""/>
    <n v="0"/>
    <s v="E5"/>
    <s v="모자"/>
    <s v="DAK"/>
    <s v="EB"/>
    <x v="1"/>
    <s v="DAKEBE5801"/>
    <x v="19"/>
    <x v="1"/>
    <n v="120"/>
    <n v="4200000"/>
    <n v="1145454.5454545454"/>
    <n v="3.3333333333333335"/>
    <n v="0"/>
    <n v="120"/>
  </r>
  <r>
    <x v="0"/>
    <x v="0"/>
    <s v="DAKEBE5801"/>
    <n v="0.5"/>
    <s v=""/>
    <n v="0"/>
    <s v="DAKEBE5801OR"/>
    <n v="1"/>
    <s v=""/>
    <n v="0"/>
    <s v="E5"/>
    <s v="모자"/>
    <s v="DAK"/>
    <s v="EB"/>
    <x v="1"/>
    <s v="DAKEBE5801"/>
    <x v="20"/>
    <x v="1"/>
    <n v="120"/>
    <n v="4200000"/>
    <n v="1145454.5454545454"/>
    <n v="3.3333333333333335"/>
    <n v="0"/>
    <n v="120"/>
  </r>
  <r>
    <x v="1"/>
    <x v="0"/>
    <s v="ELSEDE5102"/>
    <n v="1"/>
    <s v=""/>
    <n v="0"/>
    <s v="ELSEDE5102BK"/>
    <n v="1"/>
    <s v=""/>
    <n v="0"/>
    <s v="E5"/>
    <s v="ACC"/>
    <s v="ELS"/>
    <s v="ED"/>
    <x v="2"/>
    <s v="ELSEDE5102"/>
    <x v="21"/>
    <x v="0"/>
    <n v="500"/>
    <n v="19500000"/>
    <n v="4157605.0000000005"/>
    <n v="4.2638184068165987"/>
    <n v="0"/>
    <n v="500"/>
  </r>
  <r>
    <x v="1"/>
    <x v="0"/>
    <s v="ELSEDE5103"/>
    <n v="1"/>
    <s v=""/>
    <n v="0"/>
    <s v="ELSEDE5103GY"/>
    <n v="1"/>
    <s v=""/>
    <n v="0"/>
    <s v="E5"/>
    <s v="ACC"/>
    <s v="ELS"/>
    <s v="ED"/>
    <x v="2"/>
    <s v="ELSEDE5103"/>
    <x v="22"/>
    <x v="0"/>
    <n v="500"/>
    <n v="19500000"/>
    <n v="4157605.0000000005"/>
    <n v="4.2638184068165987"/>
    <n v="0"/>
    <n v="500"/>
  </r>
  <r>
    <x v="1"/>
    <x v="0"/>
    <s v="ELSERE5104"/>
    <n v="1"/>
    <s v=""/>
    <n v="0"/>
    <s v="ELSERE5104BK"/>
    <n v="1"/>
    <s v=""/>
    <n v="0"/>
    <s v="E5"/>
    <s v="모자"/>
    <s v="ELS"/>
    <s v="ER"/>
    <x v="3"/>
    <s v="ELSERE5104"/>
    <x v="23"/>
    <x v="0"/>
    <n v="500"/>
    <n v="14500000"/>
    <n v="2592005"/>
    <n v="5.0855681921208413"/>
    <n v="0"/>
    <n v="500"/>
  </r>
  <r>
    <x v="1"/>
    <x v="0"/>
    <s v="ELSERE5105"/>
    <n v="1"/>
    <s v=""/>
    <n v="0"/>
    <s v="ELSERE5105GY"/>
    <n v="1"/>
    <s v=""/>
    <n v="0"/>
    <s v="E5"/>
    <s v="모자"/>
    <s v="ELS"/>
    <s v="ER"/>
    <x v="3"/>
    <s v="ELSERE5105"/>
    <x v="24"/>
    <x v="0"/>
    <n v="500"/>
    <n v="14500000"/>
    <n v="2592005"/>
    <n v="5.0855681921208413"/>
    <n v="0"/>
    <n v="500"/>
  </r>
  <r>
    <x v="1"/>
    <x v="0"/>
    <s v="ELSTPE5108"/>
    <n v="1"/>
    <s v=""/>
    <n v="0"/>
    <s v="ELSTPE5108BU"/>
    <n v="1"/>
    <s v=""/>
    <n v="0"/>
    <s v="E5"/>
    <s v="모자"/>
    <s v="ELS"/>
    <s v="TP"/>
    <x v="3"/>
    <s v="ELSTPE5108"/>
    <x v="25"/>
    <x v="0"/>
    <n v="1000"/>
    <n v="55000000"/>
    <n v="8795510.0000000019"/>
    <n v="5.6847186803266645"/>
    <n v="0"/>
    <n v="1000"/>
  </r>
  <r>
    <x v="1"/>
    <x v="0"/>
    <s v="ELSTPE5608"/>
    <n v="1"/>
    <s v=""/>
    <n v="0"/>
    <s v="ELSTPE5608BU"/>
    <n v="1"/>
    <s v=""/>
    <n v="0"/>
    <s v="E5"/>
    <s v="모자"/>
    <s v="ELS"/>
    <s v="TP"/>
    <x v="3"/>
    <s v="ELSTPE5608"/>
    <x v="26"/>
    <x v="0"/>
    <n v="1000"/>
    <n v="49000000"/>
    <n v="8633510.0000000019"/>
    <n v="5.1595995771655474"/>
    <n v="0"/>
    <n v="1000"/>
  </r>
  <r>
    <x v="1"/>
    <x v="0"/>
    <s v="JILBAE5022"/>
    <n v="0.5"/>
    <s v=""/>
    <n v="0"/>
    <s v="JILBAE5022BG"/>
    <n v="1"/>
    <s v=""/>
    <n v="0"/>
    <s v="E5"/>
    <s v="모자"/>
    <s v="JIL"/>
    <s v="BA"/>
    <x v="4"/>
    <s v="JILBAE5022"/>
    <x v="27"/>
    <x v="0"/>
    <n v="1000"/>
    <n v="39000000"/>
    <n v="6186444"/>
    <n v="5.7310056398385649"/>
    <n v="0"/>
    <n v="1000"/>
  </r>
  <r>
    <x v="1"/>
    <x v="0"/>
    <s v="JILBAE5022"/>
    <n v="0.5"/>
    <s v=""/>
    <n v="0"/>
    <s v="JILBAE5022PP"/>
    <n v="1"/>
    <s v=""/>
    <n v="0"/>
    <s v="E5"/>
    <s v="모자"/>
    <s v="JIL"/>
    <s v="BA"/>
    <x v="4"/>
    <s v="JILBAE5022"/>
    <x v="28"/>
    <x v="0"/>
    <n v="1000"/>
    <n v="39000000"/>
    <n v="6186444"/>
    <n v="5.7310056398385649"/>
    <n v="0"/>
    <n v="1000"/>
  </r>
  <r>
    <x v="1"/>
    <x v="0"/>
    <s v="JILEBE5036"/>
    <n v="0.33333333333333331"/>
    <s v=""/>
    <n v="0"/>
    <s v="JILEBE5036BK"/>
    <n v="1"/>
    <s v=""/>
    <n v="0"/>
    <s v="E5"/>
    <s v="모자"/>
    <s v="JIL"/>
    <s v="EB"/>
    <x v="4"/>
    <s v="JILEBE5036"/>
    <x v="29"/>
    <x v="0"/>
    <n v="1500"/>
    <n v="64500000"/>
    <n v="10197495.000000002"/>
    <n v="5.7500752524383305"/>
    <n v="0"/>
    <n v="1500"/>
  </r>
  <r>
    <x v="1"/>
    <x v="0"/>
    <s v="JILEBE5036"/>
    <n v="0.33333333333333331"/>
    <s v=""/>
    <n v="0"/>
    <s v="JILEBE5036GY"/>
    <n v="1"/>
    <s v=""/>
    <n v="0"/>
    <s v="E5"/>
    <s v="모자"/>
    <s v="JIL"/>
    <s v="EB"/>
    <x v="4"/>
    <s v="JILEBE5036"/>
    <x v="30"/>
    <x v="0"/>
    <n v="1500"/>
    <n v="64500000"/>
    <n v="10197495.000000002"/>
    <n v="5.7500752524383305"/>
    <n v="0"/>
    <n v="1500"/>
  </r>
  <r>
    <x v="1"/>
    <x v="0"/>
    <s v="JILEBE5036"/>
    <n v="0.33333333333333331"/>
    <s v=""/>
    <n v="0"/>
    <s v="JILEBE5036RE"/>
    <n v="1"/>
    <s v=""/>
    <n v="0"/>
    <s v="E5"/>
    <s v="모자"/>
    <s v="JIL"/>
    <s v="EB"/>
    <x v="4"/>
    <s v="JILEBE5036"/>
    <x v="31"/>
    <x v="0"/>
    <n v="1000"/>
    <n v="43000000"/>
    <n v="6798330.0000000009"/>
    <n v="5.7500752524383314"/>
    <n v="0"/>
    <n v="1000"/>
  </r>
  <r>
    <x v="1"/>
    <x v="0"/>
    <s v="JILFAE5001"/>
    <n v="1"/>
    <s v=""/>
    <n v="0"/>
    <s v="JILFAE5001GY"/>
    <n v="1"/>
    <s v=""/>
    <n v="0"/>
    <s v="E5"/>
    <s v="모자"/>
    <s v="JIL"/>
    <s v="FA"/>
    <x v="4"/>
    <s v="JILFAE5001"/>
    <x v="32"/>
    <x v="0"/>
    <n v="800"/>
    <n v="31200000"/>
    <n v="6160560.0000000009"/>
    <n v="4.6040678710435996"/>
    <n v="0"/>
    <n v="800"/>
  </r>
  <r>
    <x v="1"/>
    <x v="0"/>
    <s v="JILTPE5021"/>
    <n v="0.5"/>
    <s v=""/>
    <n v="0"/>
    <s v="JILTPE5021BK"/>
    <n v="1"/>
    <s v=""/>
    <n v="0"/>
    <s v="E5"/>
    <s v="모자"/>
    <s v="JIL"/>
    <s v="TP"/>
    <x v="4"/>
    <s v="JILTPE5021"/>
    <x v="33"/>
    <x v="0"/>
    <n v="1000"/>
    <n v="65000000"/>
    <n v="6752143.9999999991"/>
    <n v="8.7514290410437177"/>
    <n v="0"/>
    <n v="1000"/>
  </r>
  <r>
    <x v="1"/>
    <x v="0"/>
    <s v="JILTPE5021"/>
    <n v="0.5"/>
    <s v=""/>
    <n v="0"/>
    <s v="JILTPE5021RE"/>
    <n v="1"/>
    <s v=""/>
    <n v="0"/>
    <s v="E5"/>
    <s v="모자"/>
    <s v="JIL"/>
    <s v="TP"/>
    <x v="4"/>
    <s v="JILTPE5021"/>
    <x v="34"/>
    <x v="0"/>
    <n v="1000"/>
    <n v="65000000"/>
    <n v="6752143.9999999991"/>
    <n v="8.7514290410437177"/>
    <n v="0"/>
    <n v="1000"/>
  </r>
  <r>
    <x v="1"/>
    <x v="0"/>
    <s v="JILBEE5042"/>
    <n v="0.5"/>
    <s v=""/>
    <n v="0"/>
    <s v="JILBEE5042BK"/>
    <n v="1"/>
    <s v=""/>
    <n v="0"/>
    <s v="E5"/>
    <s v="모자"/>
    <s v="JIL"/>
    <s v="BE"/>
    <x v="4"/>
    <s v="JILBEE5042"/>
    <x v="35"/>
    <x v="0"/>
    <n v="1000"/>
    <n v="39000000"/>
    <n v="4783750"/>
    <n v="7.4114544979452219"/>
    <n v="0"/>
    <n v="1000"/>
  </r>
  <r>
    <x v="1"/>
    <x v="0"/>
    <s v="JILBEE5042"/>
    <n v="0.5"/>
    <s v=""/>
    <n v="0"/>
    <s v="JILBEE5042KH"/>
    <n v="1"/>
    <s v=""/>
    <n v="0"/>
    <s v="E5"/>
    <s v="모자"/>
    <s v="JIL"/>
    <s v="BE"/>
    <x v="4"/>
    <s v="JILBEE5042"/>
    <x v="36"/>
    <x v="0"/>
    <n v="1000"/>
    <n v="39000000"/>
    <n v="4783750"/>
    <n v="7.4114544979452219"/>
    <n v="0"/>
    <n v="1000"/>
  </r>
  <r>
    <x v="1"/>
    <x v="0"/>
    <s v="JILBEE5071"/>
    <n v="0.5"/>
    <s v=""/>
    <n v="0"/>
    <s v="JILBEE5071PK"/>
    <n v="1"/>
    <s v=""/>
    <n v="0"/>
    <s v="E5"/>
    <s v="모자"/>
    <s v="JIL"/>
    <s v="BE"/>
    <x v="4"/>
    <s v="JILBEE5071"/>
    <x v="37"/>
    <x v="0"/>
    <n v="1500"/>
    <n v="58500000"/>
    <n v="6710850.0000000009"/>
    <n v="7.9247514371231915"/>
    <n v="0"/>
    <n v="1500"/>
  </r>
  <r>
    <x v="1"/>
    <x v="0"/>
    <s v="JILBEE5071"/>
    <n v="0.5"/>
    <s v=""/>
    <n v="0"/>
    <s v="JILBEE5071RE"/>
    <n v="1"/>
    <s v=""/>
    <n v="0"/>
    <s v="E5"/>
    <s v="모자"/>
    <s v="JIL"/>
    <s v="BE"/>
    <x v="4"/>
    <s v="JILBEE5071"/>
    <x v="38"/>
    <x v="0"/>
    <n v="1500"/>
    <n v="58500000"/>
    <n v="6710850.0000000009"/>
    <n v="7.9247514371231915"/>
    <n v="0"/>
    <n v="1500"/>
  </r>
  <r>
    <x v="1"/>
    <x v="0"/>
    <s v="JILEBE5041"/>
    <n v="1"/>
    <s v=""/>
    <n v="0"/>
    <s v="JILEBE5041CL"/>
    <n v="1"/>
    <s v=""/>
    <n v="0"/>
    <s v="E5"/>
    <s v="모자"/>
    <s v="JIL"/>
    <s v="EB"/>
    <x v="4"/>
    <s v="JILEBE5041"/>
    <x v="39"/>
    <x v="0"/>
    <n v="1000"/>
    <n v="45000000"/>
    <n v="7216180.0000000009"/>
    <n v="5.6690785026275536"/>
    <n v="0"/>
    <n v="1000"/>
  </r>
  <r>
    <x v="1"/>
    <x v="0"/>
    <s v="JILBEE5007"/>
    <n v="0.5"/>
    <s v=""/>
    <n v="0"/>
    <s v="JILBEE5007GY"/>
    <n v="1"/>
    <s v=""/>
    <n v="0"/>
    <s v="E5"/>
    <s v="모자"/>
    <s v="JIL"/>
    <s v="BE"/>
    <x v="4"/>
    <s v="JILBEE5007"/>
    <x v="40"/>
    <x v="0"/>
    <n v="2000"/>
    <n v="78000000"/>
    <n v="9696240"/>
    <n v="7.3130503070356045"/>
    <n v="0"/>
    <n v="2000"/>
  </r>
  <r>
    <x v="1"/>
    <x v="0"/>
    <s v="JILBEE5007"/>
    <n v="0.5"/>
    <s v=""/>
    <n v="0"/>
    <s v="JILBEE5007RE"/>
    <n v="1"/>
    <s v=""/>
    <n v="0"/>
    <s v="E5"/>
    <s v="모자"/>
    <s v="JIL"/>
    <s v="BE"/>
    <x v="4"/>
    <s v="JILBEE5007"/>
    <x v="41"/>
    <x v="0"/>
    <n v="1500"/>
    <n v="58500000"/>
    <n v="7272180"/>
    <n v="7.3130503070356037"/>
    <n v="0"/>
    <n v="1500"/>
  </r>
  <r>
    <x v="1"/>
    <x v="0"/>
    <s v="JILBEE5008"/>
    <n v="1"/>
    <s v=""/>
    <n v="0"/>
    <s v="JILBEE5008NY"/>
    <n v="1"/>
    <s v=""/>
    <n v="0"/>
    <s v="E5"/>
    <s v="모자"/>
    <s v="JIL"/>
    <s v="BE"/>
    <x v="4"/>
    <s v="JILBEE5008"/>
    <x v="42"/>
    <x v="0"/>
    <n v="1000"/>
    <n v="39000000"/>
    <n v="3848200.0000000009"/>
    <n v="9.2132803530340013"/>
    <n v="0"/>
    <n v="1000"/>
  </r>
  <r>
    <x v="1"/>
    <x v="0"/>
    <s v="JILVBE5150"/>
    <n v="1"/>
    <s v=""/>
    <n v="0"/>
    <s v="JILVBE5150GY"/>
    <n v="1"/>
    <s v=""/>
    <n v="0"/>
    <s v="E5"/>
    <s v="모자"/>
    <s v="JIL"/>
    <s v="VB"/>
    <x v="4"/>
    <s v="JILVBE5150"/>
    <x v="43"/>
    <x v="0"/>
    <n v="1000"/>
    <n v="43000000"/>
    <n v="5200542"/>
    <n v="7.5166990461588599"/>
    <n v="0"/>
    <n v="1000"/>
  </r>
  <r>
    <x v="1"/>
    <x v="0"/>
    <s v="JILEDE5147"/>
    <n v="0.5"/>
    <s v=""/>
    <n v="0"/>
    <s v="JILEDE5147BK"/>
    <n v="1"/>
    <s v=""/>
    <n v="0"/>
    <s v="E5"/>
    <s v="ACC"/>
    <s v="JIL"/>
    <s v="ED"/>
    <x v="5"/>
    <s v="JILEDE5147"/>
    <x v="44"/>
    <x v="0"/>
    <n v="500"/>
    <n v="14500000"/>
    <n v="2470505"/>
    <n v="5.3356775970168782"/>
    <n v="0"/>
    <n v="500"/>
  </r>
  <r>
    <x v="1"/>
    <x v="0"/>
    <s v="JILEDE5147"/>
    <n v="0.5"/>
    <s v=""/>
    <n v="0"/>
    <s v="JILEDE5147CL"/>
    <n v="1"/>
    <s v=""/>
    <n v="0"/>
    <s v="E5"/>
    <s v="ACC"/>
    <s v="JIL"/>
    <s v="ED"/>
    <x v="5"/>
    <s v="JILEDE5147"/>
    <x v="45"/>
    <x v="0"/>
    <n v="500"/>
    <n v="14500000"/>
    <n v="2470505"/>
    <n v="5.3356775970168782"/>
    <n v="0"/>
    <n v="500"/>
  </r>
  <r>
    <x v="1"/>
    <x v="0"/>
    <s v="JILFAE5104"/>
    <n v="1"/>
    <s v=""/>
    <n v="0"/>
    <s v="JILFAE5104BK"/>
    <n v="1"/>
    <s v=""/>
    <n v="0"/>
    <s v="E5"/>
    <s v="모자"/>
    <s v="JIL"/>
    <s v="FA"/>
    <x v="4"/>
    <s v="JILFAE5104"/>
    <x v="46"/>
    <x v="0"/>
    <n v="500"/>
    <n v="29500000"/>
    <n v="3657535.0000000005"/>
    <n v="7.3323103724726657"/>
    <n v="0"/>
    <n v="500"/>
  </r>
  <r>
    <x v="1"/>
    <x v="0"/>
    <s v="JILFAE5604"/>
    <n v="1"/>
    <s v=""/>
    <n v="0"/>
    <s v="JILFAE5604BK"/>
    <n v="1"/>
    <s v=""/>
    <n v="0"/>
    <s v="E5"/>
    <s v="모자"/>
    <s v="JIL"/>
    <s v="FA"/>
    <x v="4"/>
    <s v="JILFAE5604"/>
    <x v="47"/>
    <x v="0"/>
    <n v="200"/>
    <n v="9800000"/>
    <n v="1451866.0000000002"/>
    <n v="6.13630383870888"/>
    <n v="0"/>
    <n v="200"/>
  </r>
  <r>
    <x v="1"/>
    <x v="0"/>
    <s v="JOIEBE5106"/>
    <n v="1"/>
    <s v=""/>
    <n v="0"/>
    <s v="JOIEBE5106BW"/>
    <n v="1"/>
    <s v=""/>
    <n v="0"/>
    <s v="E5"/>
    <s v="모자"/>
    <s v="JOI"/>
    <s v="EB"/>
    <x v="6"/>
    <s v="JOIEBE5106"/>
    <x v="48"/>
    <x v="0"/>
    <n v="500"/>
    <n v="29500000"/>
    <n v="4095235"/>
    <n v="6.5486307423583305"/>
    <n v="0"/>
    <n v="500"/>
  </r>
  <r>
    <x v="1"/>
    <x v="0"/>
    <s v="JOIEBE5111"/>
    <n v="1"/>
    <s v=""/>
    <n v="0"/>
    <s v="JOIEBE5111GY"/>
    <n v="1"/>
    <s v=""/>
    <n v="0"/>
    <s v="E5"/>
    <s v="모자"/>
    <s v="JOI"/>
    <s v="EB"/>
    <x v="6"/>
    <s v="JOIEBE5111"/>
    <x v="49"/>
    <x v="0"/>
    <n v="500"/>
    <n v="27500000"/>
    <n v="4349395"/>
    <n v="5.7479258609530754"/>
    <n v="0"/>
    <n v="500"/>
  </r>
  <r>
    <x v="1"/>
    <x v="0"/>
    <s v="JOIEBE5604"/>
    <n v="1"/>
    <s v=""/>
    <n v="0"/>
    <s v="JOIEBE5604YE"/>
    <n v="1"/>
    <s v=""/>
    <n v="0"/>
    <s v="E5"/>
    <s v="모자"/>
    <s v="JOI"/>
    <s v="EB"/>
    <x v="6"/>
    <s v="JOIEBE5604"/>
    <x v="50"/>
    <x v="0"/>
    <n v="500"/>
    <n v="26500000"/>
    <n v="3752200.0000000009"/>
    <n v="6.4204757451386074"/>
    <n v="0"/>
    <n v="500"/>
  </r>
  <r>
    <x v="1"/>
    <x v="0"/>
    <s v="JOIEBE5606"/>
    <n v="1"/>
    <s v=""/>
    <n v="0"/>
    <s v="JOIEBE5606BW"/>
    <n v="1"/>
    <s v=""/>
    <n v="0"/>
    <s v="E5"/>
    <s v="모자"/>
    <s v="JOI"/>
    <s v="EB"/>
    <x v="6"/>
    <s v="JOIEBE5606"/>
    <x v="51"/>
    <x v="0"/>
    <n v="500"/>
    <n v="26500000"/>
    <n v="3970495"/>
    <n v="6.0674825408189887"/>
    <n v="0"/>
    <n v="500"/>
  </r>
  <r>
    <x v="1"/>
    <x v="0"/>
    <s v="BROERE5105"/>
    <n v="1"/>
    <s v=""/>
    <n v="0"/>
    <s v="BROERE5105RE"/>
    <n v="1"/>
    <s v=""/>
    <n v="0"/>
    <s v="E5"/>
    <s v="모자"/>
    <s v="BRO"/>
    <s v="ER"/>
    <x v="7"/>
    <s v="BROERE5105"/>
    <x v="52"/>
    <x v="0"/>
    <n v="500"/>
    <n v="29500000"/>
    <n v="4970570"/>
    <n v="5.3953936506641726"/>
    <n v="0"/>
    <n v="500"/>
  </r>
  <r>
    <x v="1"/>
    <x v="0"/>
    <s v="BROERE5106"/>
    <n v="1"/>
    <s v=""/>
    <n v="0"/>
    <s v="BROERE5106OR"/>
    <n v="1"/>
    <s v=""/>
    <n v="0"/>
    <s v="E5"/>
    <s v="모자"/>
    <s v="BRO"/>
    <s v="ER"/>
    <x v="7"/>
    <s v="BROERE5106"/>
    <x v="53"/>
    <x v="0"/>
    <n v="500"/>
    <n v="29500000"/>
    <n v="4699330"/>
    <n v="5.7068096554576542"/>
    <n v="0"/>
    <n v="500"/>
  </r>
  <r>
    <x v="1"/>
    <x v="0"/>
    <s v="BROERE5107"/>
    <n v="1"/>
    <s v=""/>
    <n v="0"/>
    <s v="BROERE5107PK"/>
    <n v="1"/>
    <s v=""/>
    <n v="0"/>
    <s v="E5"/>
    <s v="모자"/>
    <s v="BRO"/>
    <s v="ER"/>
    <x v="7"/>
    <s v="BROERE5107"/>
    <x v="54"/>
    <x v="0"/>
    <n v="500"/>
    <n v="29500000"/>
    <n v="4919660"/>
    <n v="5.4512266738314876"/>
    <n v="0"/>
    <n v="500"/>
  </r>
  <r>
    <x v="1"/>
    <x v="0"/>
    <s v="BROMIE5111"/>
    <n v="1"/>
    <s v=""/>
    <n v="0"/>
    <s v="BROMIE5111KH"/>
    <n v="1"/>
    <s v=""/>
    <n v="0"/>
    <s v="E5"/>
    <s v="모자"/>
    <s v="BRO"/>
    <s v="MI"/>
    <x v="7"/>
    <s v="BROMIE5111"/>
    <x v="55"/>
    <x v="0"/>
    <n v="800"/>
    <n v="47200000"/>
    <n v="6529064.0000000009"/>
    <n v="6.5720126053429562"/>
    <n v="0"/>
    <n v="800"/>
  </r>
  <r>
    <x v="1"/>
    <x v="0"/>
    <s v="BROERE5117"/>
    <n v="1"/>
    <s v=""/>
    <n v="0"/>
    <s v="BROERE5117KH"/>
    <n v="1"/>
    <s v=""/>
    <n v="0"/>
    <s v="E5"/>
    <s v="모자"/>
    <s v="BRO"/>
    <s v="ER"/>
    <x v="7"/>
    <s v="BROERE5117"/>
    <x v="56"/>
    <x v="0"/>
    <n v="500"/>
    <n v="27500000"/>
    <n v="5555330"/>
    <n v="4.5001827074179204"/>
    <n v="0"/>
    <n v="500"/>
  </r>
  <r>
    <x v="1"/>
    <x v="0"/>
    <s v="WTRTPE5109"/>
    <n v="1"/>
    <s v=""/>
    <n v="0"/>
    <s v="WTRTPE5109BL"/>
    <n v="1"/>
    <s v=""/>
    <n v="0"/>
    <s v="E5"/>
    <s v="모자"/>
    <s v="WTR"/>
    <s v="TP"/>
    <x v="8"/>
    <s v="WTRTPE5109"/>
    <x v="57"/>
    <x v="0"/>
    <n v="800"/>
    <n v="63200000"/>
    <n v="12774622.4"/>
    <n v="4.4975533252979316"/>
    <n v="0"/>
    <n v="800"/>
  </r>
  <r>
    <x v="0"/>
    <x v="0"/>
    <s v="TRUBAE3301"/>
    <n v="1"/>
    <s v=""/>
    <n v="0"/>
    <s v="TRUBAE3301RE"/>
    <n v="1"/>
    <s v=""/>
    <n v="0"/>
    <s v="E3"/>
    <s v="모자"/>
    <s v="TRU"/>
    <s v="BA"/>
    <x v="9"/>
    <s v="TRUBAE3301"/>
    <x v="58"/>
    <x v="1"/>
    <n v="168"/>
    <n v="28392000"/>
    <n v="7470096.8160000015"/>
    <n v="3.455230866034479"/>
    <n v="0"/>
    <n v="168"/>
  </r>
  <r>
    <x v="0"/>
    <x v="0"/>
    <s v="TRUBAE3302"/>
    <n v="0.5"/>
    <s v=""/>
    <n v="0"/>
    <s v="TRUBAE3302RE"/>
    <n v="1"/>
    <s v=""/>
    <n v="0"/>
    <s v="E3"/>
    <s v="모자"/>
    <s v="TRU"/>
    <s v="BA"/>
    <x v="9"/>
    <s v="TRUBAE3302"/>
    <x v="59"/>
    <x v="1"/>
    <n v="168"/>
    <n v="23352000"/>
    <n v="5898372.8160000006"/>
    <n v="3.5991436233912864"/>
    <n v="0"/>
    <n v="168"/>
  </r>
  <r>
    <x v="0"/>
    <x v="0"/>
    <s v="TRUBAE3302"/>
    <n v="0.5"/>
    <s v=""/>
    <n v="0"/>
    <s v="TRUBAE3302BK"/>
    <n v="1"/>
    <s v=""/>
    <n v="0"/>
    <s v="E3"/>
    <s v="모자"/>
    <s v="TRU"/>
    <s v="BA"/>
    <x v="9"/>
    <s v="TRUBAE3302"/>
    <x v="60"/>
    <x v="1"/>
    <n v="144"/>
    <n v="20016000"/>
    <n v="5055748.1280000005"/>
    <n v="3.5991436233912864"/>
    <n v="0"/>
    <n v="144"/>
  </r>
  <r>
    <x v="0"/>
    <x v="0"/>
    <s v="TRUBAE3303"/>
    <n v="0.25"/>
    <s v=""/>
    <n v="0"/>
    <s v="TRUBAE3303BL"/>
    <n v="0.5"/>
    <s v=""/>
    <n v="0"/>
    <s v="E3"/>
    <s v="모자"/>
    <s v="TRU"/>
    <s v="BA"/>
    <x v="9"/>
    <s v="TRUBAE3303"/>
    <x v="61"/>
    <x v="1"/>
    <n v="108"/>
    <n v="18252000"/>
    <n v="4802205.0960000008"/>
    <n v="3.455230866034479"/>
    <n v="0"/>
    <n v="108"/>
  </r>
  <r>
    <x v="0"/>
    <x v="0"/>
    <s v="TRUBAE3303"/>
    <n v="0.25"/>
    <s v=""/>
    <n v="0"/>
    <s v="TRUBAE3303RE"/>
    <n v="1"/>
    <s v=""/>
    <n v="0"/>
    <s v="E3"/>
    <s v="모자"/>
    <s v="TRU"/>
    <s v="BA"/>
    <x v="9"/>
    <s v="TRUBAE3303"/>
    <x v="62"/>
    <x v="1"/>
    <n v="168"/>
    <n v="28392000"/>
    <n v="7470096.8160000015"/>
    <n v="3.455230866034479"/>
    <n v="0"/>
    <n v="168"/>
  </r>
  <r>
    <x v="0"/>
    <x v="0"/>
    <s v="TRUBAE3303"/>
    <n v="0.25"/>
    <s v=""/>
    <n v="0"/>
    <s v="TRUBAE3303PK"/>
    <n v="1"/>
    <s v=""/>
    <n v="0"/>
    <s v="E3"/>
    <s v="모자"/>
    <s v="TRU"/>
    <s v="BA"/>
    <x v="9"/>
    <s v="TRUBAE3303"/>
    <x v="63"/>
    <x v="1"/>
    <n v="108"/>
    <n v="18252000"/>
    <n v="4802205.0960000008"/>
    <n v="3.455230866034479"/>
    <n v="0"/>
    <n v="108"/>
  </r>
  <r>
    <x v="0"/>
    <x v="0"/>
    <s v="TRUBAE3303"/>
    <n v="0.25"/>
    <s v=""/>
    <n v="0"/>
    <s v="TRUBAE3303BL"/>
    <n v="0.5"/>
    <s v=""/>
    <n v="0"/>
    <s v="E3"/>
    <s v="모자"/>
    <s v="TRU"/>
    <s v="BA"/>
    <x v="9"/>
    <s v="TRUBAE3303"/>
    <x v="61"/>
    <x v="1"/>
    <n v="108"/>
    <n v="18252000"/>
    <n v="4802205.0960000008"/>
    <n v="3.455230866034479"/>
    <n v="0"/>
    <n v="108"/>
  </r>
  <r>
    <x v="0"/>
    <x v="0"/>
    <s v="TRUBAE3304"/>
    <n v="0.33333333333333331"/>
    <s v=""/>
    <n v="0"/>
    <s v="TRUBAE3304CL"/>
    <n v="1"/>
    <s v=""/>
    <n v="0"/>
    <s v="E3"/>
    <s v="모자"/>
    <s v="TRU"/>
    <s v="BA"/>
    <x v="9"/>
    <s v="TRUBAE3304"/>
    <x v="64"/>
    <x v="1"/>
    <n v="108"/>
    <n v="12420000"/>
    <n v="3286614.0959999999"/>
    <n v="3.4354228275996204"/>
    <n v="0"/>
    <n v="108"/>
  </r>
  <r>
    <x v="0"/>
    <x v="0"/>
    <s v="TRUBAE3304"/>
    <n v="0.33333333333333331"/>
    <s v=""/>
    <n v="0"/>
    <s v="TRUBAE3304NY"/>
    <n v="1"/>
    <s v=""/>
    <n v="0"/>
    <s v="E3"/>
    <s v="모자"/>
    <s v="TRU"/>
    <s v="BA"/>
    <x v="9"/>
    <s v="TRUBAE3304"/>
    <x v="65"/>
    <x v="1"/>
    <n v="144"/>
    <n v="16560000"/>
    <n v="4382152.1280000005"/>
    <n v="3.4354228275996195"/>
    <n v="0"/>
    <n v="144"/>
  </r>
  <r>
    <x v="0"/>
    <x v="0"/>
    <s v="TRUBAE3304"/>
    <n v="0.33333333333333331"/>
    <s v=""/>
    <n v="0"/>
    <s v="TRUBAE3304RE"/>
    <n v="1"/>
    <s v=""/>
    <n v="0"/>
    <s v="E3"/>
    <s v="모자"/>
    <s v="TRU"/>
    <s v="BA"/>
    <x v="9"/>
    <s v="TRUBAE3304"/>
    <x v="66"/>
    <x v="1"/>
    <n v="168"/>
    <n v="19320000"/>
    <n v="5112510.8160000006"/>
    <n v="3.4354228275996204"/>
    <n v="0"/>
    <n v="168"/>
  </r>
  <r>
    <x v="0"/>
    <x v="0"/>
    <s v="TRUFIE3305"/>
    <n v="0.25"/>
    <s v=""/>
    <n v="0"/>
    <s v="TRUFIE3305NY"/>
    <n v="1"/>
    <s v=""/>
    <n v="0"/>
    <s v="E3"/>
    <s v="모자"/>
    <s v="TRU"/>
    <s v="FI"/>
    <x v="9"/>
    <s v="TRUFIE3305"/>
    <x v="67"/>
    <x v="1"/>
    <n v="96"/>
    <n v="9504000"/>
    <n v="2472370.7520000003"/>
    <n v="3.4946215056988339"/>
    <n v="0"/>
    <n v="96"/>
  </r>
  <r>
    <x v="0"/>
    <x v="0"/>
    <s v="TRUFIE3305"/>
    <n v="0.25"/>
    <s v=""/>
    <n v="0"/>
    <s v="TRUFIE3305RE"/>
    <n v="1"/>
    <s v=""/>
    <n v="0"/>
    <s v="E3"/>
    <s v="모자"/>
    <s v="TRU"/>
    <s v="FI"/>
    <x v="9"/>
    <s v="TRUFIE3305"/>
    <x v="68"/>
    <x v="1"/>
    <n v="96"/>
    <n v="9504000"/>
    <n v="2472370.7520000003"/>
    <n v="3.4946215056988339"/>
    <n v="0"/>
    <n v="96"/>
  </r>
  <r>
    <x v="0"/>
    <x v="0"/>
    <s v="TRUFIE3305"/>
    <n v="0.25"/>
    <s v=""/>
    <n v="0"/>
    <s v="TRUFIE3305YE"/>
    <n v="1"/>
    <s v=""/>
    <n v="0"/>
    <s v="E3"/>
    <s v="모자"/>
    <s v="TRU"/>
    <s v="FI"/>
    <x v="9"/>
    <s v="TRUFIE3305"/>
    <x v="69"/>
    <x v="1"/>
    <n v="72"/>
    <n v="7128000"/>
    <n v="1854278.064"/>
    <n v="3.4946215056988343"/>
    <n v="0"/>
    <n v="72"/>
  </r>
  <r>
    <x v="0"/>
    <x v="0"/>
    <s v="TRUFIE3305"/>
    <n v="0.25"/>
    <s v=""/>
    <n v="0"/>
    <s v="TRUFIE3305BK"/>
    <n v="1"/>
    <s v=""/>
    <n v="0"/>
    <s v="E3"/>
    <s v="모자"/>
    <s v="TRU"/>
    <s v="FI"/>
    <x v="9"/>
    <s v="TRUFIE3305"/>
    <x v="70"/>
    <x v="1"/>
    <n v="96"/>
    <n v="9504000"/>
    <n v="2472370.7520000003"/>
    <n v="3.4946215056988339"/>
    <n v="0"/>
    <n v="96"/>
  </r>
  <r>
    <x v="0"/>
    <x v="0"/>
    <s v="TRUFIE3306"/>
    <n v="0.33333333333333331"/>
    <s v=""/>
    <n v="0"/>
    <s v="TRUFIE3306NY"/>
    <n v="1"/>
    <s v=""/>
    <n v="0"/>
    <s v="E3"/>
    <s v="모자"/>
    <s v="TRU"/>
    <s v="FI"/>
    <x v="9"/>
    <s v="TRUFIE3306"/>
    <x v="71"/>
    <x v="1"/>
    <n v="96"/>
    <n v="11040000"/>
    <n v="2921434.7520000003"/>
    <n v="3.4354228275996199"/>
    <n v="0"/>
    <n v="96"/>
  </r>
  <r>
    <x v="0"/>
    <x v="0"/>
    <s v="TRUFIE3306"/>
    <n v="0.33333333333333331"/>
    <s v=""/>
    <n v="0"/>
    <s v="TRUFIE3306RE"/>
    <n v="1"/>
    <s v=""/>
    <n v="0"/>
    <s v="E3"/>
    <s v="모자"/>
    <s v="TRU"/>
    <s v="FI"/>
    <x v="9"/>
    <s v="TRUFIE3306"/>
    <x v="72"/>
    <x v="1"/>
    <n v="96"/>
    <n v="11040000"/>
    <n v="2921434.7520000003"/>
    <n v="3.4354228275996199"/>
    <n v="0"/>
    <n v="96"/>
  </r>
  <r>
    <x v="0"/>
    <x v="0"/>
    <s v="TRUFIE3306"/>
    <n v="0.33333333333333331"/>
    <s v=""/>
    <n v="0"/>
    <s v="TRUFIE3306OR"/>
    <n v="1"/>
    <s v=""/>
    <n v="0"/>
    <s v="E3"/>
    <s v="모자"/>
    <s v="TRU"/>
    <s v="FI"/>
    <x v="9"/>
    <s v="TRUFIE3306"/>
    <x v="73"/>
    <x v="1"/>
    <n v="72"/>
    <n v="8280000"/>
    <n v="2191076.0640000002"/>
    <n v="3.4354228275996195"/>
    <n v="0"/>
    <n v="72"/>
  </r>
  <r>
    <x v="0"/>
    <x v="0"/>
    <s v="JILMIE3301"/>
    <n v="1"/>
    <s v=""/>
    <n v="0"/>
    <s v="JILMIE3301BK"/>
    <n v="1"/>
    <s v=""/>
    <n v="0"/>
    <s v="E3"/>
    <s v="모자"/>
    <s v="JIL"/>
    <s v="MI"/>
    <x v="4"/>
    <s v="JILMIE3301"/>
    <x v="74"/>
    <x v="0"/>
    <n v="500"/>
    <n v="24500000"/>
    <n v="3580970.0000000005"/>
    <n v="6.2197469603842723"/>
    <n v="0"/>
    <n v="500"/>
  </r>
  <r>
    <x v="0"/>
    <x v="0"/>
    <s v="JILMIE5303"/>
    <n v="0.5"/>
    <s v=""/>
    <n v="0"/>
    <s v="JILMIE5303GY"/>
    <n v="1"/>
    <s v=""/>
    <n v="0"/>
    <s v="E5"/>
    <s v="모자"/>
    <s v="JIL"/>
    <s v="MI"/>
    <x v="4"/>
    <s v="JILMIE5303"/>
    <x v="75"/>
    <x v="0"/>
    <n v="500"/>
    <n v="24500000"/>
    <n v="3205070"/>
    <n v="6.9492171068735686"/>
    <n v="0"/>
    <n v="500"/>
  </r>
  <r>
    <x v="0"/>
    <x v="0"/>
    <s v="JILMIE5303"/>
    <n v="0.5"/>
    <s v=""/>
    <n v="0"/>
    <s v="JILMIE5303GR"/>
    <n v="1"/>
    <s v=""/>
    <n v="0"/>
    <s v="E5"/>
    <s v="모자"/>
    <s v="JIL"/>
    <s v="MI"/>
    <x v="4"/>
    <s v="JILMIE5303"/>
    <x v="76"/>
    <x v="0"/>
    <n v="500"/>
    <n v="24500000"/>
    <n v="3347245.0000000009"/>
    <n v="6.6540475145163454"/>
    <n v="0"/>
    <n v="500"/>
  </r>
  <r>
    <x v="0"/>
    <x v="0"/>
    <s v="JILERE5304"/>
    <n v="1"/>
    <s v=""/>
    <n v="0"/>
    <s v="JILERE5304NY"/>
    <n v="1"/>
    <s v=""/>
    <n v="0"/>
    <s v="E5"/>
    <s v="모자"/>
    <s v="JIL"/>
    <s v="ER"/>
    <x v="4"/>
    <s v="JILERE5304"/>
    <x v="77"/>
    <x v="0"/>
    <n v="500"/>
    <n v="29500000"/>
    <n v="4475250"/>
    <n v="5.992555012162855"/>
    <n v="0"/>
    <n v="500"/>
  </r>
  <r>
    <x v="0"/>
    <x v="0"/>
    <s v="JILERE5305"/>
    <n v="1"/>
    <s v=""/>
    <n v="0"/>
    <s v="JILERE5305BK"/>
    <n v="1"/>
    <s v=""/>
    <n v="0"/>
    <s v="E5"/>
    <s v="모자"/>
    <s v="JIL"/>
    <s v="ER"/>
    <x v="4"/>
    <s v="JILERE5305"/>
    <x v="78"/>
    <x v="0"/>
    <n v="500"/>
    <n v="27500000"/>
    <n v="3348510"/>
    <n v="7.4660072689046757"/>
    <n v="0"/>
    <n v="500"/>
  </r>
  <r>
    <x v="0"/>
    <x v="0"/>
    <s v="JILERE5306"/>
    <n v="0.5"/>
    <s v=""/>
    <n v="0"/>
    <s v="JILERE5306MT"/>
    <n v="1"/>
    <s v=""/>
    <n v="0"/>
    <s v="E5"/>
    <s v="모자"/>
    <s v="JIL"/>
    <s v="ER"/>
    <x v="4"/>
    <s v="JILERE5306"/>
    <x v="79"/>
    <x v="0"/>
    <n v="700"/>
    <n v="41300000"/>
    <n v="5856582.4000000004"/>
    <n v="6.4108129931638187"/>
    <n v="0"/>
    <n v="700"/>
  </r>
  <r>
    <x v="0"/>
    <x v="0"/>
    <s v="JILERE5806"/>
    <n v="0.5"/>
    <s v=""/>
    <n v="0"/>
    <s v="JILERE5806MT"/>
    <n v="1"/>
    <s v=""/>
    <n v="0"/>
    <s v="E5"/>
    <s v="모자"/>
    <s v="JIL"/>
    <s v="ER"/>
    <x v="4"/>
    <s v="JILERE5806"/>
    <x v="80"/>
    <x v="0"/>
    <n v="500"/>
    <n v="27500000"/>
    <n v="4172226.0000000005"/>
    <n v="5.9920052269459987"/>
    <n v="0"/>
    <n v="500"/>
  </r>
  <r>
    <x v="0"/>
    <x v="0"/>
    <s v="JILERE5306"/>
    <n v="0.5"/>
    <s v=""/>
    <n v="0"/>
    <s v="JILERE5306YE"/>
    <n v="1"/>
    <s v=""/>
    <n v="0"/>
    <s v="E5"/>
    <s v="모자"/>
    <s v="JIL"/>
    <s v="ER"/>
    <x v="4"/>
    <s v="JILERE5306"/>
    <x v="81"/>
    <x v="0"/>
    <n v="700"/>
    <n v="41300000"/>
    <n v="5524974"/>
    <n v="6.795589363036739"/>
    <n v="0"/>
    <n v="700"/>
  </r>
  <r>
    <x v="0"/>
    <x v="0"/>
    <s v="JILERE5806"/>
    <n v="0.5"/>
    <s v=""/>
    <n v="0"/>
    <s v="JILERE5806YE"/>
    <n v="1"/>
    <s v=""/>
    <n v="0"/>
    <s v="E5"/>
    <s v="모자"/>
    <s v="JIL"/>
    <s v="ER"/>
    <x v="4"/>
    <s v="JILERE5806"/>
    <x v="82"/>
    <x v="0"/>
    <n v="500"/>
    <n v="27500000"/>
    <n v="4067540.0000000005"/>
    <n v="6.1462210574450395"/>
    <n v="0"/>
    <n v="500"/>
  </r>
  <r>
    <x v="0"/>
    <x v="0"/>
    <s v="JILHUE5307"/>
    <n v="1"/>
    <s v=""/>
    <n v="0"/>
    <s v="JILHUE5307KH"/>
    <n v="1"/>
    <s v=""/>
    <n v="0"/>
    <s v="E5"/>
    <s v="모자"/>
    <s v="JIL"/>
    <s v="HU"/>
    <x v="4"/>
    <s v="JILHUE5307"/>
    <x v="83"/>
    <x v="0"/>
    <n v="400"/>
    <n v="19600000"/>
    <n v="2762672"/>
    <n v="6.4496189986295214"/>
    <n v="0"/>
    <n v="400"/>
  </r>
  <r>
    <x v="0"/>
    <x v="0"/>
    <s v="JILBAE5308"/>
    <n v="1"/>
    <s v=""/>
    <n v="0"/>
    <s v="JILBAE5308KH"/>
    <n v="1"/>
    <s v=""/>
    <n v="0"/>
    <s v="E5"/>
    <s v="모자"/>
    <s v="JIL"/>
    <s v="BA"/>
    <x v="4"/>
    <s v="JILBAE5308"/>
    <x v="84"/>
    <x v="0"/>
    <n v="700"/>
    <n v="34300000"/>
    <n v="5555862"/>
    <n v="5.6124176917673942"/>
    <n v="0"/>
    <n v="700"/>
  </r>
  <r>
    <x v="0"/>
    <x v="0"/>
    <s v="JILBAE5808"/>
    <n v="1"/>
    <s v=""/>
    <n v="0"/>
    <s v="JILBAE5808KH"/>
    <n v="1"/>
    <s v=""/>
    <n v="0"/>
    <s v="E5"/>
    <s v="모자"/>
    <s v="JIL"/>
    <s v="BA"/>
    <x v="4"/>
    <s v="JILBAE5808"/>
    <x v="85"/>
    <x v="0"/>
    <n v="500"/>
    <n v="22500000"/>
    <n v="4106899.9999999995"/>
    <n v="4.980531655152415"/>
    <n v="0"/>
    <n v="500"/>
  </r>
  <r>
    <x v="0"/>
    <x v="0"/>
    <s v="JILBAE5309"/>
    <n v="1"/>
    <s v=""/>
    <n v="0"/>
    <s v="JILBAE5309BW"/>
    <n v="1"/>
    <s v=""/>
    <n v="0"/>
    <s v="E5"/>
    <s v="모자"/>
    <s v="JIL"/>
    <s v="BA"/>
    <x v="4"/>
    <s v="JILBAE5309"/>
    <x v="86"/>
    <x v="0"/>
    <n v="500"/>
    <n v="24500000"/>
    <n v="3755110.0000000005"/>
    <n v="5.9313115388703039"/>
    <n v="0"/>
    <n v="500"/>
  </r>
  <r>
    <x v="0"/>
    <x v="0"/>
    <s v="JILFAE5310"/>
    <n v="1"/>
    <s v=""/>
    <n v="0"/>
    <s v="JILFAE5310BU"/>
    <n v="1"/>
    <s v=""/>
    <n v="0"/>
    <s v="E5"/>
    <s v="모자"/>
    <s v="JIL"/>
    <s v="FA"/>
    <x v="4"/>
    <s v="JILFAE5310"/>
    <x v="87"/>
    <x v="0"/>
    <n v="400"/>
    <n v="23600000"/>
    <n v="3135896.0000000005"/>
    <n v="6.8415998025908547"/>
    <n v="0"/>
    <n v="400"/>
  </r>
  <r>
    <x v="0"/>
    <x v="0"/>
    <s v="VBLERE5301"/>
    <n v="0.5"/>
    <s v=""/>
    <n v="0"/>
    <s v="VBLERE5301OR"/>
    <n v="0.5"/>
    <s v=""/>
    <n v="0"/>
    <s v="E5"/>
    <s v="모자"/>
    <s v="VBL"/>
    <s v="ER"/>
    <x v="10"/>
    <s v="VBLERE5301"/>
    <x v="88"/>
    <x v="0"/>
    <n v="700"/>
    <n v="41300000"/>
    <n v="11214000"/>
    <n v="3.3480876177505388"/>
    <n v="0"/>
    <n v="700"/>
  </r>
  <r>
    <x v="0"/>
    <x v="0"/>
    <s v="VBLERE5801"/>
    <n v="0.5"/>
    <s v=""/>
    <n v="0"/>
    <s v="VBLERE5801OR"/>
    <n v="0.5"/>
    <s v=""/>
    <n v="0"/>
    <s v="E5"/>
    <s v="모자"/>
    <s v="VBL"/>
    <s v="ER"/>
    <x v="10"/>
    <s v="VBLERE5801"/>
    <x v="89"/>
    <x v="0"/>
    <n v="500"/>
    <n v="27500000"/>
    <n v="7760000"/>
    <n v="3.2216494845360826"/>
    <n v="0"/>
    <n v="500"/>
  </r>
  <r>
    <x v="0"/>
    <x v="0"/>
    <s v="VBLBAE5302"/>
    <n v="1"/>
    <s v=""/>
    <n v="0"/>
    <s v="VBLBAE5302BK"/>
    <n v="1"/>
    <s v=""/>
    <n v="0"/>
    <s v="E5"/>
    <s v="모자"/>
    <s v="VBL"/>
    <s v="BA"/>
    <x v="10"/>
    <s v="VBLBAE5302"/>
    <x v="90"/>
    <x v="0"/>
    <n v="700"/>
    <n v="38500000"/>
    <n v="3191622"/>
    <n v="10.966210910941207"/>
    <n v="0"/>
    <n v="700"/>
  </r>
  <r>
    <x v="0"/>
    <x v="0"/>
    <s v="VBLBAE5802"/>
    <n v="1"/>
    <s v=""/>
    <n v="0"/>
    <s v="VBLBAE5802BK"/>
    <n v="1"/>
    <s v=""/>
    <n v="0"/>
    <s v="E5"/>
    <s v="모자"/>
    <s v="VBL"/>
    <s v="BA"/>
    <x v="10"/>
    <s v="VBLBAE5802"/>
    <x v="91"/>
    <x v="0"/>
    <n v="500"/>
    <n v="24500000"/>
    <n v="2312230"/>
    <n v="9.6325742995840695"/>
    <n v="0"/>
    <n v="500"/>
  </r>
  <r>
    <x v="0"/>
    <x v="0"/>
    <s v="VBLBAE5303"/>
    <n v="1"/>
    <s v=""/>
    <n v="0"/>
    <s v="VBLBAE5303RE"/>
    <n v="1"/>
    <s v=""/>
    <n v="0"/>
    <s v="E5"/>
    <s v="모자"/>
    <s v="VBL"/>
    <s v="BA"/>
    <x v="10"/>
    <s v="VBLBAE5303"/>
    <x v="92"/>
    <x v="0"/>
    <n v="700"/>
    <n v="38500000"/>
    <n v="3277022"/>
    <n v="10.680428755131945"/>
    <n v="0"/>
    <n v="700"/>
  </r>
  <r>
    <x v="0"/>
    <x v="0"/>
    <s v="VBLBAE5304"/>
    <n v="1"/>
    <s v=""/>
    <n v="0"/>
    <s v="VBLBAE5304BL"/>
    <n v="1"/>
    <s v=""/>
    <n v="0"/>
    <s v="E5"/>
    <s v="모자"/>
    <s v="VBL"/>
    <s v="BA"/>
    <x v="10"/>
    <s v="VBLBAE5304"/>
    <x v="93"/>
    <x v="0"/>
    <n v="400"/>
    <n v="22000000"/>
    <n v="1988984"/>
    <n v="10.055385060915521"/>
    <n v="0"/>
    <n v="400"/>
  </r>
  <r>
    <x v="0"/>
    <x v="0"/>
    <s v="NOVMIE5301"/>
    <n v="1"/>
    <s v=""/>
    <n v="0"/>
    <s v="NOVMIE5301BK"/>
    <n v="1"/>
    <s v=""/>
    <n v="0"/>
    <s v="E5"/>
    <s v="모자"/>
    <s v="NOV"/>
    <s v="MI"/>
    <x v="11"/>
    <s v="NOVMIE5301"/>
    <x v="94"/>
    <x v="0"/>
    <n v="500"/>
    <n v="24500000"/>
    <n v="2351045"/>
    <n v="9.4735435828439147"/>
    <n v="0"/>
    <n v="500"/>
  </r>
  <r>
    <x v="0"/>
    <x v="0"/>
    <s v="NOVMIE3302"/>
    <n v="1"/>
    <s v=""/>
    <n v="0"/>
    <s v="NOVMIE3302GY"/>
    <n v="1"/>
    <s v=""/>
    <n v="0"/>
    <s v="E3"/>
    <s v="모자"/>
    <s v="NOV"/>
    <s v="MI"/>
    <x v="11"/>
    <s v="NOVMIE3302"/>
    <x v="95"/>
    <x v="0"/>
    <n v="500"/>
    <n v="24500000"/>
    <n v="2295545"/>
    <n v="9.7025879574250435"/>
    <n v="0"/>
    <n v="500"/>
  </r>
  <r>
    <x v="0"/>
    <x v="0"/>
    <s v="NOVBAE5303"/>
    <n v="1"/>
    <s v=""/>
    <n v="0"/>
    <s v="NOVBAE5303OR"/>
    <n v="1"/>
    <s v=""/>
    <n v="0"/>
    <s v="E5"/>
    <s v="모자"/>
    <s v="NOV"/>
    <s v="BA"/>
    <x v="11"/>
    <s v="NOVBAE5303"/>
    <x v="96"/>
    <x v="0"/>
    <n v="700"/>
    <n v="34300000"/>
    <n v="3292604"/>
    <n v="9.4702606756895698"/>
    <n v="0"/>
    <n v="700"/>
  </r>
  <r>
    <x v="0"/>
    <x v="0"/>
    <s v="NOVBAE5304"/>
    <n v="1"/>
    <s v=""/>
    <n v="0"/>
    <s v="NOVBAE5304BL"/>
    <n v="1"/>
    <s v=""/>
    <n v="0"/>
    <s v="E5"/>
    <s v="모자"/>
    <s v="NOV"/>
    <s v="BA"/>
    <x v="11"/>
    <s v="NOVBAE5304"/>
    <x v="97"/>
    <x v="0"/>
    <n v="700"/>
    <n v="34300000"/>
    <n v="3239404"/>
    <n v="9.625788627111092"/>
    <n v="0"/>
    <n v="700"/>
  </r>
  <r>
    <x v="0"/>
    <x v="0"/>
    <s v="NOVBAE3305"/>
    <n v="1"/>
    <s v=""/>
    <n v="0"/>
    <s v="NOVBAE3305KH"/>
    <n v="1"/>
    <s v=""/>
    <n v="0"/>
    <s v="E3"/>
    <s v="모자"/>
    <s v="NOV"/>
    <s v="BA"/>
    <x v="11"/>
    <s v="NOVBAE3305"/>
    <x v="98"/>
    <x v="0"/>
    <n v="500"/>
    <n v="22500000"/>
    <n v="2339360"/>
    <n v="8.743650166945427"/>
    <n v="0"/>
    <n v="500"/>
  </r>
  <r>
    <x v="0"/>
    <x v="0"/>
    <s v="NOVTPE5306"/>
    <n v="0.5"/>
    <s v=""/>
    <n v="0"/>
    <s v="NOVTPE5306NY"/>
    <n v="1"/>
    <s v=""/>
    <n v="0"/>
    <s v="E5"/>
    <s v="모자"/>
    <s v="NOV"/>
    <s v="TP"/>
    <x v="11"/>
    <s v="NOVTPE5306"/>
    <x v="99"/>
    <x v="0"/>
    <n v="400"/>
    <n v="27600000"/>
    <n v="4073320.0000000005"/>
    <n v="6.1598178122291118"/>
    <n v="0"/>
    <n v="400"/>
  </r>
  <r>
    <x v="0"/>
    <x v="0"/>
    <s v="NOVTPE5306"/>
    <n v="0.5"/>
    <s v=""/>
    <n v="0"/>
    <s v="NOVTPE5306GY"/>
    <n v="1"/>
    <s v=""/>
    <n v="0"/>
    <s v="E5"/>
    <s v="모자"/>
    <s v="NOV"/>
    <s v="TP"/>
    <x v="11"/>
    <s v="NOVTPE5306"/>
    <x v="100"/>
    <x v="0"/>
    <n v="400"/>
    <n v="27600000"/>
    <n v="3822520.0000000005"/>
    <n v="6.5639706504894901"/>
    <n v="0"/>
    <n v="400"/>
  </r>
  <r>
    <x v="0"/>
    <x v="0"/>
    <s v="NOVTPE5307"/>
    <n v="1"/>
    <s v=""/>
    <n v="0"/>
    <s v="NOVTPE5307PP"/>
    <n v="1"/>
    <s v=""/>
    <n v="0"/>
    <s v="E5"/>
    <s v="모자"/>
    <s v="NOV"/>
    <s v="TP"/>
    <x v="11"/>
    <s v="NOVTPE5307"/>
    <x v="101"/>
    <x v="0"/>
    <n v="400"/>
    <n v="27600000"/>
    <n v="3542520.0000000005"/>
    <n v="7.0827854439520692"/>
    <n v="0"/>
    <n v="400"/>
  </r>
  <r>
    <x v="0"/>
    <x v="0"/>
    <s v="NOVTPE5807"/>
    <n v="1"/>
    <s v=""/>
    <n v="0"/>
    <s v="NOVTPE5807PP"/>
    <n v="1"/>
    <s v=""/>
    <n v="0"/>
    <s v="E5"/>
    <s v="모자"/>
    <s v="NOV"/>
    <s v="TP"/>
    <x v="11"/>
    <s v="NOVTPE5807"/>
    <x v="102"/>
    <x v="0"/>
    <n v="300"/>
    <n v="19500000"/>
    <n v="2658279"/>
    <n v="6.668702843935014"/>
    <n v="0"/>
    <n v="300"/>
  </r>
  <r>
    <x v="0"/>
    <x v="0"/>
    <s v="NOVTPE5308"/>
    <n v="0.5"/>
    <s v=""/>
    <n v="0"/>
    <s v="NOVTPE5308NY"/>
    <n v="1"/>
    <s v=""/>
    <n v="0"/>
    <s v="E5"/>
    <s v="모자"/>
    <s v="NOV"/>
    <s v="TP"/>
    <x v="11"/>
    <s v="NOVTPE5308"/>
    <x v="103"/>
    <x v="0"/>
    <n v="600"/>
    <n v="41400000"/>
    <n v="5415780.0000000009"/>
    <n v="6.949389309824924"/>
    <n v="0"/>
    <n v="600"/>
  </r>
  <r>
    <x v="0"/>
    <x v="0"/>
    <s v="NOVTPE5308"/>
    <n v="0.5"/>
    <s v=""/>
    <n v="0"/>
    <s v="NOVTPE5308BK"/>
    <n v="1"/>
    <s v=""/>
    <n v="0"/>
    <s v="E5"/>
    <s v="모자"/>
    <s v="NOV"/>
    <s v="TP"/>
    <x v="11"/>
    <s v="NOVTPE5308"/>
    <x v="104"/>
    <x v="0"/>
    <n v="600"/>
    <n v="41400000"/>
    <n v="5415780.0000000009"/>
    <n v="6.949389309824924"/>
    <n v="0"/>
    <n v="600"/>
  </r>
  <r>
    <x v="0"/>
    <x v="0"/>
    <s v="NOVTPE5309"/>
    <n v="0.25"/>
    <s v=""/>
    <n v="0"/>
    <s v="NOVTPE5309OR"/>
    <n v="1"/>
    <s v=""/>
    <n v="0"/>
    <s v="E5"/>
    <s v="모자"/>
    <s v="NOV"/>
    <s v="TP"/>
    <x v="11"/>
    <s v="NOVTPE5309"/>
    <x v="105"/>
    <x v="0"/>
    <n v="600"/>
    <n v="41400000"/>
    <n v="5350380.0000000009"/>
    <n v="7.0343346895666521"/>
    <n v="0"/>
    <n v="600"/>
  </r>
  <r>
    <x v="0"/>
    <x v="0"/>
    <s v="NOVTPE5809"/>
    <n v="0.5"/>
    <s v=""/>
    <n v="0"/>
    <s v="NOVTPE5809OR"/>
    <n v="1"/>
    <s v=""/>
    <n v="0"/>
    <s v="E5"/>
    <s v="모자"/>
    <s v="NOV"/>
    <s v="TP"/>
    <x v="11"/>
    <s v="NOVTPE5809"/>
    <x v="106"/>
    <x v="0"/>
    <n v="400"/>
    <n v="26000000"/>
    <n v="3229172"/>
    <n v="7.3196360046363695"/>
    <n v="0"/>
    <n v="400"/>
  </r>
  <r>
    <x v="0"/>
    <x v="0"/>
    <s v="NOVTPE5309"/>
    <n v="0.25"/>
    <s v=""/>
    <n v="0"/>
    <s v="NOVTPE5309RE"/>
    <n v="1"/>
    <s v=""/>
    <n v="0"/>
    <s v="E5"/>
    <s v="모자"/>
    <s v="NOV"/>
    <s v="TP"/>
    <x v="11"/>
    <s v="NOVTPE5309"/>
    <x v="107"/>
    <x v="0"/>
    <n v="600"/>
    <n v="41400000"/>
    <n v="5462580.0000000009"/>
    <n v="6.889851249110059"/>
    <n v="0"/>
    <n v="600"/>
  </r>
  <r>
    <x v="0"/>
    <x v="0"/>
    <s v="NOVTPE5309"/>
    <n v="0.25"/>
    <s v=""/>
    <n v="0"/>
    <s v="NOVTPE5309PK"/>
    <n v="1"/>
    <s v=""/>
    <n v="0"/>
    <s v="E5"/>
    <s v="모자"/>
    <s v="NOV"/>
    <s v="TP"/>
    <x v="11"/>
    <s v="NOVTPE5309"/>
    <x v="108"/>
    <x v="0"/>
    <n v="400"/>
    <n v="27600000"/>
    <n v="4189320.0000000005"/>
    <n v="5.9892557959069936"/>
    <n v="0"/>
    <n v="400"/>
  </r>
  <r>
    <x v="0"/>
    <x v="0"/>
    <s v="NOVTPE5809"/>
    <n v="0.5"/>
    <s v=""/>
    <n v="0"/>
    <s v="NOVTPE5809PK"/>
    <n v="1"/>
    <s v=""/>
    <n v="0"/>
    <s v="E5"/>
    <s v="모자"/>
    <s v="NOV"/>
    <s v="TP"/>
    <x v="11"/>
    <s v="NOVTPE5809"/>
    <x v="109"/>
    <x v="0"/>
    <n v="300"/>
    <n v="19500000"/>
    <n v="2655279"/>
    <n v="6.6762373096283758"/>
    <n v="0"/>
    <n v="300"/>
  </r>
  <r>
    <x v="0"/>
    <x v="0"/>
    <s v="NOVTPE5309"/>
    <n v="0.25"/>
    <s v=""/>
    <n v="0"/>
    <s v="NOVTPE5309GR"/>
    <n v="1"/>
    <s v=""/>
    <n v="0"/>
    <s v="E5"/>
    <s v="모자"/>
    <s v="NOV"/>
    <s v="TP"/>
    <x v="11"/>
    <s v="NOVTPE5309"/>
    <x v="110"/>
    <x v="0"/>
    <n v="600"/>
    <n v="41400000"/>
    <n v="5350380.0000000009"/>
    <n v="7.0343346895666521"/>
    <n v="0"/>
    <n v="600"/>
  </r>
  <r>
    <x v="0"/>
    <x v="0"/>
    <s v="HCUMIE3301"/>
    <n v="0.5"/>
    <s v=""/>
    <n v="0"/>
    <s v="HCUMIE3301BK"/>
    <n v="1"/>
    <s v=""/>
    <n v="0"/>
    <s v="E3"/>
    <s v="모자"/>
    <s v="HCU"/>
    <s v="MI"/>
    <x v="12"/>
    <s v="HCUMIE3301"/>
    <x v="111"/>
    <x v="0"/>
    <n v="3000"/>
    <n v="105000000"/>
    <n v="17000700"/>
    <n v="5.6147420667705124"/>
    <n v="2999"/>
    <n v="0"/>
  </r>
  <r>
    <x v="0"/>
    <x v="0"/>
    <s v="HCUMIE3301"/>
    <n v="0.5"/>
    <s v=""/>
    <n v="0"/>
    <s v="HCUMIE3301KH"/>
    <n v="1"/>
    <s v=""/>
    <n v="0"/>
    <s v="E3"/>
    <s v="모자"/>
    <s v="HCU"/>
    <s v="MI"/>
    <x v="12"/>
    <s v="HCUMIE3301"/>
    <x v="112"/>
    <x v="0"/>
    <n v="2000"/>
    <n v="70000000"/>
    <n v="11345360"/>
    <n v="5.6090211008168653"/>
    <n v="2000"/>
    <n v="0"/>
  </r>
  <r>
    <x v="0"/>
    <x v="0"/>
    <s v="HCUMIE3302"/>
    <n v="0.5"/>
    <s v=""/>
    <n v="0"/>
    <s v="HCUMIE3302BK"/>
    <n v="1"/>
    <s v=""/>
    <n v="0"/>
    <s v="E3"/>
    <s v="모자"/>
    <s v="HCU"/>
    <s v="MI"/>
    <x v="12"/>
    <s v="HCUMIE3302"/>
    <x v="113"/>
    <x v="0"/>
    <n v="3000"/>
    <n v="105000000"/>
    <n v="22047360"/>
    <n v="4.3295226936261502"/>
    <n v="1200"/>
    <n v="0"/>
  </r>
  <r>
    <x v="0"/>
    <x v="0"/>
    <s v="HCUMIE3302"/>
    <n v="0.5"/>
    <s v=""/>
    <n v="0"/>
    <s v="HCUMIE3302GY"/>
    <n v="1"/>
    <s v=""/>
    <n v="0"/>
    <s v="E3"/>
    <s v="모자"/>
    <s v="HCU"/>
    <s v="MI"/>
    <x v="12"/>
    <s v="HCUMIE3302"/>
    <x v="114"/>
    <x v="0"/>
    <n v="1000"/>
    <n v="35000000"/>
    <n v="7358210.0000000009"/>
    <n v="4.3241741970101168"/>
    <n v="500"/>
    <n v="0"/>
  </r>
  <r>
    <x v="0"/>
    <x v="0"/>
    <s v="HCUMIE3303"/>
    <n v="0.5"/>
    <s v=""/>
    <n v="0"/>
    <s v="HCUMIE3303BK"/>
    <n v="1"/>
    <s v=""/>
    <n v="0"/>
    <s v="E3"/>
    <s v="모자"/>
    <s v="HCU"/>
    <s v="MI"/>
    <x v="12"/>
    <s v="HCUMIE3303"/>
    <x v="115"/>
    <x v="0"/>
    <n v="3000"/>
    <n v="135000000"/>
    <n v="22513200.000000007"/>
    <n v="5.451347330778062"/>
    <n v="3000"/>
    <n v="0"/>
  </r>
  <r>
    <x v="0"/>
    <x v="0"/>
    <s v="HCUMIE3303"/>
    <n v="0.5"/>
    <s v=""/>
    <n v="0"/>
    <s v="HCUMIE3303KH"/>
    <n v="1"/>
    <s v=""/>
    <n v="0"/>
    <s v="E3"/>
    <s v="모자"/>
    <s v="HCU"/>
    <s v="MI"/>
    <x v="12"/>
    <s v="HCUMIE3303"/>
    <x v="116"/>
    <x v="0"/>
    <n v="2000"/>
    <n v="90000000"/>
    <n v="15008800.000000004"/>
    <n v="5.4513473307780629"/>
    <n v="1998"/>
    <n v="0"/>
  </r>
  <r>
    <x v="0"/>
    <x v="0"/>
    <s v="JILMIE3311"/>
    <n v="0.5"/>
    <s v=""/>
    <n v="0"/>
    <s v="JILMIE3311BK"/>
    <n v="1"/>
    <s v=""/>
    <n v="0"/>
    <s v="E3"/>
    <s v="모자"/>
    <s v="JIL"/>
    <s v="MI"/>
    <x v="4"/>
    <s v="JILMIE3311"/>
    <x v="117"/>
    <x v="0"/>
    <n v="3000"/>
    <n v="87000000"/>
    <n v="16363550.332458442"/>
    <n v="4.8333587445278177"/>
    <n v="3059"/>
    <n v="0"/>
  </r>
  <r>
    <x v="0"/>
    <x v="0"/>
    <s v="JILMIE3311"/>
    <n v="0.5"/>
    <s v=""/>
    <n v="0"/>
    <s v="JILMIE3311NY"/>
    <n v="1"/>
    <s v=""/>
    <n v="0"/>
    <s v="E3"/>
    <s v="모자"/>
    <s v="JIL"/>
    <s v="MI"/>
    <x v="4"/>
    <s v="JILMIE3311"/>
    <x v="118"/>
    <x v="0"/>
    <n v="1000"/>
    <n v="29000000"/>
    <n v="5337578.748906387"/>
    <n v="4.939250098940084"/>
    <n v="999"/>
    <n v="0"/>
  </r>
  <r>
    <x v="0"/>
    <x v="0"/>
    <s v="JILMIE3312"/>
    <n v="0.5"/>
    <s v=""/>
    <n v="0"/>
    <s v="JILMIE3312BK"/>
    <n v="1"/>
    <s v=""/>
    <n v="0"/>
    <s v="E3"/>
    <s v="모자"/>
    <s v="JIL"/>
    <s v="MI"/>
    <x v="4"/>
    <s v="JILMIE3312"/>
    <x v="119"/>
    <x v="0"/>
    <n v="3000"/>
    <n v="87000000"/>
    <n v="16035089.798775153"/>
    <n v="4.9323645881266263"/>
    <n v="2998"/>
    <n v="0"/>
  </r>
  <r>
    <x v="0"/>
    <x v="0"/>
    <s v="JILMIE3312"/>
    <n v="0.5"/>
    <s v=""/>
    <n v="0"/>
    <s v="JILMIE3312KH"/>
    <n v="1"/>
    <s v=""/>
    <n v="0"/>
    <s v="E3"/>
    <s v="모자"/>
    <s v="JIL"/>
    <s v="MI"/>
    <x v="4"/>
    <s v="JILMIE3312"/>
    <x v="120"/>
    <x v="0"/>
    <n v="2000"/>
    <n v="58000000"/>
    <n v="10697678.705161856"/>
    <n v="4.9288517799502332"/>
    <n v="1999"/>
    <n v="0"/>
  </r>
  <r>
    <x v="0"/>
    <x v="0"/>
    <s v="JILMIE3314"/>
    <n v="0.5"/>
    <s v=""/>
    <n v="0"/>
    <s v="JILMIE3314BK"/>
    <n v="1"/>
    <s v=""/>
    <n v="0"/>
    <s v="E3"/>
    <s v="모자"/>
    <s v="JIL"/>
    <s v="MI"/>
    <x v="4"/>
    <s v="JILMIE3314"/>
    <x v="121"/>
    <x v="0"/>
    <n v="3000"/>
    <n v="87000000"/>
    <n v="17600982.528433945"/>
    <n v="4.4935507982659324"/>
    <n v="2999"/>
    <n v="0"/>
  </r>
  <r>
    <x v="0"/>
    <x v="0"/>
    <s v="JILMIE3314"/>
    <n v="0.5"/>
    <s v=""/>
    <n v="0"/>
    <s v="JILMIE3314KH"/>
    <n v="1"/>
    <s v=""/>
    <n v="0"/>
    <s v="E3"/>
    <s v="모자"/>
    <s v="JIL"/>
    <s v="MI"/>
    <x v="4"/>
    <s v="JILMIE3314"/>
    <x v="122"/>
    <x v="0"/>
    <n v="2000"/>
    <n v="58000000"/>
    <n v="10986644.374453193"/>
    <n v="4.7992153864447777"/>
    <n v="2000"/>
    <n v="0"/>
  </r>
  <r>
    <x v="0"/>
    <x v="0"/>
    <s v="JILMIE3313"/>
    <n v="0.5"/>
    <s v=""/>
    <n v="0"/>
    <s v="JILMIE3313BK"/>
    <n v="1"/>
    <s v=""/>
    <n v="0"/>
    <s v="E3"/>
    <s v="모자"/>
    <s v="JIL"/>
    <s v="MI"/>
    <x v="4"/>
    <s v="JILMIE3313"/>
    <x v="123"/>
    <x v="0"/>
    <n v="3000"/>
    <n v="87000000"/>
    <n v="19573470.000000004"/>
    <n v="4.0407198667844311"/>
    <n v="3015"/>
    <n v="0"/>
  </r>
  <r>
    <x v="0"/>
    <x v="0"/>
    <s v="JILMIE3313"/>
    <n v="0.5"/>
    <s v=""/>
    <n v="0"/>
    <s v="JILMIE3313KH"/>
    <n v="1"/>
    <s v=""/>
    <n v="0"/>
    <s v="E3"/>
    <s v="모자"/>
    <s v="JIL"/>
    <s v="MI"/>
    <x v="4"/>
    <s v="JILMIE3313"/>
    <x v="124"/>
    <x v="0"/>
    <n v="2000"/>
    <n v="58000000"/>
    <n v="13040980"/>
    <n v="4.0431986497389554"/>
    <n v="2009"/>
    <n v="0"/>
  </r>
  <r>
    <x v="1"/>
    <x v="0"/>
    <s v="VBLBAE3216"/>
    <n v="0.2"/>
    <s v=""/>
    <n v="0"/>
    <s v="VBLBAE3216BK"/>
    <n v="1"/>
    <s v=""/>
    <n v="0"/>
    <s v="E3"/>
    <s v="모자"/>
    <s v="VBL"/>
    <s v="BA"/>
    <x v="10"/>
    <s v="VBLBAE3216"/>
    <x v="125"/>
    <x v="0"/>
    <n v="3000"/>
    <n v="147000000"/>
    <n v="30060000"/>
    <n v="4.4456541462529477"/>
    <n v="2967"/>
    <n v="0"/>
  </r>
  <r>
    <x v="1"/>
    <x v="0"/>
    <s v="VBLBAE3003"/>
    <n v="1"/>
    <s v=""/>
    <n v="0"/>
    <s v="VBLBAE3003BK"/>
    <n v="1"/>
    <s v=""/>
    <n v="0"/>
    <s v="E3"/>
    <s v="모자"/>
    <s v="VBL"/>
    <s v="BA"/>
    <x v="10"/>
    <s v="VBLBAE3003"/>
    <x v="126"/>
    <x v="0"/>
    <n v="700"/>
    <n v="30100000"/>
    <n v="6664000"/>
    <n v="4.1061879297173407"/>
    <n v="700"/>
    <n v="0"/>
  </r>
  <r>
    <x v="1"/>
    <x v="0"/>
    <s v="WTRBAE3003"/>
    <n v="1"/>
    <s v=""/>
    <n v="0"/>
    <s v="WTRBAE3003RE"/>
    <n v="1"/>
    <s v=""/>
    <n v="0"/>
    <s v="E3"/>
    <s v="모자"/>
    <s v="WTR"/>
    <s v="BA"/>
    <x v="8"/>
    <s v="WTRBAE3003"/>
    <x v="127"/>
    <x v="0"/>
    <n v="500"/>
    <n v="27500000"/>
    <n v="5510000"/>
    <n v="4.5372050816696907"/>
    <n v="0"/>
    <n v="500"/>
  </r>
  <r>
    <x v="1"/>
    <x v="0"/>
    <s v="WTRBAE3201"/>
    <n v="1"/>
    <s v=""/>
    <n v="0"/>
    <s v="WTRBAE3201GR"/>
    <n v="1"/>
    <s v=""/>
    <n v="0"/>
    <s v="E3"/>
    <s v="모자"/>
    <s v="WTR"/>
    <s v="BA"/>
    <x v="8"/>
    <s v="WTRBAE3201"/>
    <x v="128"/>
    <x v="0"/>
    <n v="400"/>
    <n v="22000000"/>
    <n v="5008000"/>
    <n v="3.9936102236421727"/>
    <n v="0"/>
    <n v="400"/>
  </r>
  <r>
    <x v="1"/>
    <x v="0"/>
    <s v="WTRBAE3701"/>
    <n v="1"/>
    <s v=""/>
    <n v="0"/>
    <s v="WTRBAE3701GR"/>
    <n v="1"/>
    <s v=""/>
    <n v="0"/>
    <s v="E3"/>
    <s v="모자"/>
    <s v="WTR"/>
    <s v="BA"/>
    <x v="8"/>
    <s v="WTRBAE3701"/>
    <x v="129"/>
    <x v="0"/>
    <n v="400"/>
    <n v="19600000"/>
    <n v="4808000"/>
    <n v="3.7059446377250036"/>
    <n v="0"/>
    <n v="400"/>
  </r>
  <r>
    <x v="1"/>
    <x v="0"/>
    <s v="SMBFIE3202"/>
    <n v="1"/>
    <s v=""/>
    <n v="0"/>
    <s v="SMBFIE3202RE"/>
    <n v="1"/>
    <s v=""/>
    <n v="0"/>
    <s v="E3"/>
    <s v="모자"/>
    <s v="SMB"/>
    <s v="FI"/>
    <x v="13"/>
    <s v="SMBFIE3202"/>
    <x v="130"/>
    <x v="0"/>
    <n v="500"/>
    <n v="24500000"/>
    <n v="3513000.0000000005"/>
    <n v="6.3400874673291394"/>
    <n v="500"/>
    <n v="0"/>
  </r>
  <r>
    <x v="1"/>
    <x v="0"/>
    <s v="SMBFLE3201"/>
    <n v="1"/>
    <s v=""/>
    <n v="0"/>
    <s v="SMBFLE3201BL"/>
    <n v="1"/>
    <s v=""/>
    <n v="0"/>
    <s v="E3"/>
    <s v="모자"/>
    <s v="SMB"/>
    <s v="FL"/>
    <x v="13"/>
    <s v="SMBFLE3201"/>
    <x v="131"/>
    <x v="0"/>
    <n v="500"/>
    <n v="24500000"/>
    <n v="3484125.0000000005"/>
    <n v="6.3926315137164327"/>
    <n v="500"/>
    <n v="0"/>
  </r>
  <r>
    <x v="1"/>
    <x v="0"/>
    <s v="SMBFLE3701"/>
    <n v="1"/>
    <s v=""/>
    <n v="0"/>
    <s v="SMBFLE3701BL"/>
    <n v="1"/>
    <s v=""/>
    <n v="0"/>
    <s v="E3"/>
    <s v="모자"/>
    <s v="SMB"/>
    <s v="FL"/>
    <x v="13"/>
    <s v="SMBFLE3701"/>
    <x v="132"/>
    <x v="0"/>
    <n v="1000"/>
    <n v="43000000"/>
    <n v="6852750"/>
    <n v="5.7044119646724436"/>
    <n v="999"/>
    <n v="0"/>
  </r>
  <r>
    <x v="1"/>
    <x v="0"/>
    <s v="SMBFLE3206"/>
    <n v="1"/>
    <s v=""/>
    <n v="0"/>
    <s v="SMBFLE3206GY"/>
    <n v="1"/>
    <s v=""/>
    <n v="0"/>
    <s v="E3"/>
    <s v="모자"/>
    <s v="SMB"/>
    <s v="FL"/>
    <x v="13"/>
    <s v="SMBFLE3206"/>
    <x v="133"/>
    <x v="0"/>
    <n v="500"/>
    <n v="24500000"/>
    <n v="3426375"/>
    <n v="6.5003764248592955"/>
    <n v="500"/>
    <n v="0"/>
  </r>
  <r>
    <x v="1"/>
    <x v="0"/>
    <s v="SMBFLE3740"/>
    <n v="1"/>
    <s v=""/>
    <n v="0"/>
    <s v="SMBFLE3740KH"/>
    <n v="1"/>
    <s v=""/>
    <n v="0"/>
    <s v="E3"/>
    <s v="모자"/>
    <s v="SMB"/>
    <s v="FL"/>
    <x v="13"/>
    <s v="SMBFLE3740"/>
    <x v="134"/>
    <x v="0"/>
    <n v="300"/>
    <n v="12900000"/>
    <n v="1934550.0000000002"/>
    <n v="6.0620158317297177"/>
    <n v="300"/>
    <n v="0"/>
  </r>
  <r>
    <x v="1"/>
    <x v="0"/>
    <s v="SMBFLE3744"/>
    <n v="0.5"/>
    <s v=""/>
    <n v="0"/>
    <s v="SMBFLE3744GR"/>
    <n v="1"/>
    <s v=""/>
    <n v="0"/>
    <s v="E3"/>
    <s v="모자"/>
    <s v="SMB"/>
    <s v="FL"/>
    <x v="13"/>
    <s v="SMBFLE3744"/>
    <x v="135"/>
    <x v="0"/>
    <n v="300"/>
    <n v="12900000"/>
    <n v="1969200"/>
    <n v="5.9553487341421532"/>
    <n v="300"/>
    <n v="0"/>
  </r>
  <r>
    <x v="0"/>
    <x v="0"/>
    <s v="JILFEE3815"/>
    <n v="1"/>
    <s v=""/>
    <n v="0"/>
    <s v="JILFEE3815OR"/>
    <n v="1"/>
    <s v=""/>
    <n v="0"/>
    <s v="E3"/>
    <s v="모자"/>
    <s v="JIL"/>
    <s v="FE"/>
    <x v="4"/>
    <s v="JILFEE3815"/>
    <x v="136"/>
    <x v="0"/>
    <n v="200"/>
    <n v="9000000"/>
    <n v="1330640.0000000002"/>
    <n v="6.1487841804080583"/>
    <n v="0"/>
    <n v="200"/>
  </r>
  <r>
    <x v="0"/>
    <x v="0"/>
    <s v="JILFEE3816"/>
    <n v="1"/>
    <s v=""/>
    <n v="0"/>
    <s v="JILFEE3816RE"/>
    <n v="1"/>
    <s v=""/>
    <n v="0"/>
    <s v="E3"/>
    <s v="모자"/>
    <s v="JIL"/>
    <s v="FE"/>
    <x v="4"/>
    <s v="JILFEE3816"/>
    <x v="137"/>
    <x v="0"/>
    <n v="200"/>
    <n v="9000000"/>
    <n v="1335040.0000000002"/>
    <n v="6.1285191318748344"/>
    <n v="0"/>
    <n v="200"/>
  </r>
  <r>
    <x v="0"/>
    <x v="0"/>
    <s v="ELSJPE5301"/>
    <n v="1"/>
    <s v=""/>
    <n v="0"/>
    <s v="ELSJPE5301BU"/>
    <n v="1"/>
    <s v=""/>
    <n v="0"/>
    <s v="E5"/>
    <s v="의류"/>
    <s v="ELS"/>
    <s v="JP"/>
    <x v="14"/>
    <s v="ELSJPE5301"/>
    <x v="138"/>
    <x v="0"/>
    <n v="1000"/>
    <n v="179000000"/>
    <n v="39079000"/>
    <n v="4.1640592831769681"/>
    <n v="0"/>
    <n v="1000"/>
  </r>
  <r>
    <x v="0"/>
    <x v="0"/>
    <s v="ELSJPE5801"/>
    <n v="1"/>
    <s v=""/>
    <n v="0"/>
    <s v="ELSJPE5801BU"/>
    <n v="1"/>
    <s v=""/>
    <n v="0"/>
    <s v="E5"/>
    <s v="의류"/>
    <s v="ELS"/>
    <s v="JP"/>
    <x v="14"/>
    <s v="ELSJPE5801"/>
    <x v="139"/>
    <x v="0"/>
    <n v="800"/>
    <n v="135200000"/>
    <n v="27752000"/>
    <n v="4.4288372336801274"/>
    <n v="0"/>
    <n v="800"/>
  </r>
  <r>
    <x v="0"/>
    <x v="0"/>
    <s v="ELSJPE5302"/>
    <n v="1"/>
    <s v=""/>
    <n v="0"/>
    <s v="ELSJPE5302BK"/>
    <n v="1"/>
    <s v=""/>
    <n v="0"/>
    <s v="E5"/>
    <s v="의류"/>
    <s v="ELS"/>
    <s v="JP"/>
    <x v="14"/>
    <s v="ELSJPE5302"/>
    <x v="140"/>
    <x v="0"/>
    <n v="1200"/>
    <n v="190800000"/>
    <n v="40519200"/>
    <n v="4.2807988670690795"/>
    <n v="0"/>
    <n v="1200"/>
  </r>
  <r>
    <x v="0"/>
    <x v="0"/>
    <s v="ELSHPE5303"/>
    <n v="1"/>
    <s v=""/>
    <n v="0"/>
    <s v="ELSHPE5303OR"/>
    <n v="1"/>
    <s v=""/>
    <n v="0"/>
    <s v="E5"/>
    <s v="의류"/>
    <s v="ELS"/>
    <s v="HP"/>
    <x v="14"/>
    <s v="ELSHPE5303"/>
    <x v="141"/>
    <x v="0"/>
    <n v="1000"/>
    <n v="139000000"/>
    <n v="27760000.000000004"/>
    <n v="4.5520041917736433"/>
    <n v="0"/>
    <n v="1000"/>
  </r>
  <r>
    <x v="0"/>
    <x v="0"/>
    <s v="ELSHPE5304"/>
    <n v="1"/>
    <s v=""/>
    <n v="0"/>
    <s v="ELSHPE5304BK"/>
    <n v="1"/>
    <s v=""/>
    <n v="0"/>
    <s v="E5"/>
    <s v="의류"/>
    <s v="ELS"/>
    <s v="HP"/>
    <x v="14"/>
    <s v="ELSHPE5304"/>
    <x v="142"/>
    <x v="0"/>
    <n v="1500"/>
    <n v="208500000"/>
    <n v="41640000.000000007"/>
    <n v="4.5520041917736425"/>
    <n v="0"/>
    <n v="1500"/>
  </r>
  <r>
    <x v="0"/>
    <x v="0"/>
    <s v="ELSHPE5804"/>
    <n v="1"/>
    <s v=""/>
    <n v="0"/>
    <s v="ELSHPE5804BK"/>
    <n v="1"/>
    <s v=""/>
    <n v="0"/>
    <s v="E5"/>
    <s v="의류"/>
    <s v="ELS"/>
    <s v="HP"/>
    <x v="14"/>
    <s v="ELSHPE5804"/>
    <x v="143"/>
    <x v="0"/>
    <n v="1200"/>
    <n v="154800000"/>
    <n v="30540000"/>
    <n v="4.6079657081621717"/>
    <n v="0"/>
    <n v="1200"/>
  </r>
  <r>
    <x v="0"/>
    <x v="0"/>
    <s v="ELSTLE5305"/>
    <n v="1"/>
    <s v=""/>
    <n v="0"/>
    <s v="ELSTLE5305KH"/>
    <n v="1"/>
    <s v=""/>
    <n v="0"/>
    <s v="E5"/>
    <s v="의류"/>
    <s v="ELS"/>
    <s v="TL"/>
    <x v="14"/>
    <s v="ELSTLE5305"/>
    <x v="144"/>
    <x v="0"/>
    <n v="1200"/>
    <n v="94800000"/>
    <n v="20838000"/>
    <n v="4.135800853336125"/>
    <n v="0"/>
    <n v="1200"/>
  </r>
  <r>
    <x v="0"/>
    <x v="0"/>
    <s v="ELSTHE5306"/>
    <n v="0.5"/>
    <s v=""/>
    <n v="0"/>
    <s v="ELSTHE5306LI"/>
    <n v="1"/>
    <s v=""/>
    <n v="0"/>
    <s v="E5"/>
    <s v="의류"/>
    <s v="ELS"/>
    <s v="TH"/>
    <x v="14"/>
    <s v="ELSTHE5306"/>
    <x v="145"/>
    <x v="0"/>
    <n v="1000"/>
    <n v="99000000"/>
    <n v="20830000.000000004"/>
    <n v="4.3206913106096962"/>
    <n v="0"/>
    <n v="1000"/>
  </r>
  <r>
    <x v="0"/>
    <x v="0"/>
    <s v="ELSTHE5806"/>
    <n v="0.5"/>
    <s v=""/>
    <n v="0"/>
    <s v="ELSTHE5806LI"/>
    <n v="1"/>
    <s v=""/>
    <n v="0"/>
    <s v="E5"/>
    <s v="의류"/>
    <s v="ELS"/>
    <s v="TH"/>
    <x v="14"/>
    <s v="ELSTHE5806"/>
    <x v="146"/>
    <x v="0"/>
    <n v="800"/>
    <n v="71200000"/>
    <n v="14354000.000000004"/>
    <n v="4.5093543769870914"/>
    <n v="0"/>
    <n v="800"/>
  </r>
  <r>
    <x v="0"/>
    <x v="0"/>
    <s v="ELSTHE5306"/>
    <n v="0.5"/>
    <s v=""/>
    <n v="0"/>
    <s v="ELSTHE5306MT"/>
    <n v="1"/>
    <s v=""/>
    <n v="0"/>
    <s v="E5"/>
    <s v="의류"/>
    <s v="ELS"/>
    <s v="TH"/>
    <x v="14"/>
    <s v="ELSTHE5306"/>
    <x v="147"/>
    <x v="0"/>
    <n v="1000"/>
    <n v="99000000"/>
    <n v="20830000.000000004"/>
    <n v="4.3206913106096962"/>
    <n v="0"/>
    <n v="1000"/>
  </r>
  <r>
    <x v="0"/>
    <x v="0"/>
    <s v="ELSTHE5806"/>
    <n v="0.5"/>
    <s v=""/>
    <n v="0"/>
    <s v="ELSTHE5806MT"/>
    <n v="1"/>
    <s v=""/>
    <n v="0"/>
    <s v="E5"/>
    <s v="의류"/>
    <s v="ELS"/>
    <s v="TH"/>
    <x v="14"/>
    <s v="ELSTHE5806"/>
    <x v="148"/>
    <x v="0"/>
    <n v="800"/>
    <n v="71200000"/>
    <n v="14354000.000000002"/>
    <n v="4.5093543769870914"/>
    <n v="0"/>
    <n v="800"/>
  </r>
  <r>
    <x v="0"/>
    <x v="0"/>
    <s v="GRAMIE5301"/>
    <n v="0.5"/>
    <s v=""/>
    <n v="0"/>
    <s v="GRAMIE5301NY"/>
    <n v="1"/>
    <s v=""/>
    <n v="0"/>
    <s v="E5"/>
    <s v="모자"/>
    <s v="GRA"/>
    <s v="MI"/>
    <x v="15"/>
    <s v="GRAMIE5301"/>
    <x v="149"/>
    <x v="1"/>
    <n v="200"/>
    <n v="13000000"/>
    <n v="3184272"/>
    <n v="3.7114234645098843"/>
    <n v="0"/>
    <n v="200"/>
  </r>
  <r>
    <x v="0"/>
    <x v="0"/>
    <s v="GRAMIE5301"/>
    <n v="0.5"/>
    <s v=""/>
    <n v="0"/>
    <s v="GRAMIE5301RE"/>
    <n v="1"/>
    <s v=""/>
    <n v="0"/>
    <s v="E5"/>
    <s v="모자"/>
    <s v="GRA"/>
    <s v="MI"/>
    <x v="15"/>
    <s v="GRAMIE5301"/>
    <x v="150"/>
    <x v="1"/>
    <n v="200"/>
    <n v="13000000"/>
    <n v="3184272"/>
    <n v="3.7114234645098843"/>
    <n v="0"/>
    <n v="200"/>
  </r>
  <r>
    <x v="0"/>
    <x v="0"/>
    <s v="GRATPE5302"/>
    <n v="0.5"/>
    <s v=""/>
    <n v="0"/>
    <s v="GRATPE5302RE"/>
    <n v="1"/>
    <s v=""/>
    <n v="0"/>
    <s v="E5"/>
    <s v="모자"/>
    <s v="GRA"/>
    <s v="TP"/>
    <x v="15"/>
    <s v="GRATPE5302"/>
    <x v="151"/>
    <x v="1"/>
    <n v="200"/>
    <n v="14600000"/>
    <n v="3449628.0000000005"/>
    <n v="3.847582195160542"/>
    <n v="0"/>
    <n v="200"/>
  </r>
  <r>
    <x v="0"/>
    <x v="0"/>
    <s v="GRATPE5302"/>
    <n v="0.5"/>
    <s v=""/>
    <n v="0"/>
    <s v="GRATPE5302GY"/>
    <n v="1"/>
    <s v=""/>
    <n v="0"/>
    <s v="E5"/>
    <s v="모자"/>
    <s v="GRA"/>
    <s v="TP"/>
    <x v="15"/>
    <s v="GRATPE5302"/>
    <x v="152"/>
    <x v="1"/>
    <n v="200"/>
    <n v="14600000"/>
    <n v="3449628.0000000005"/>
    <n v="3.847582195160542"/>
    <n v="0"/>
    <n v="200"/>
  </r>
  <r>
    <x v="0"/>
    <x v="0"/>
    <s v="GRAERE5303"/>
    <n v="0.5"/>
    <s v=""/>
    <n v="0"/>
    <s v="GRAERE5303KH"/>
    <n v="1"/>
    <s v=""/>
    <n v="0"/>
    <s v="E5"/>
    <s v="모자"/>
    <s v="GRA"/>
    <s v="ER"/>
    <x v="15"/>
    <s v="GRAERE5303"/>
    <x v="153"/>
    <x v="1"/>
    <n v="200"/>
    <n v="14600000"/>
    <n v="3449628.0000000005"/>
    <n v="3.847582195160542"/>
    <n v="0"/>
    <n v="200"/>
  </r>
  <r>
    <x v="0"/>
    <x v="0"/>
    <s v="GRAERE5303"/>
    <n v="0.5"/>
    <s v=""/>
    <n v="0"/>
    <s v="GRAERE5303BG"/>
    <n v="1"/>
    <s v=""/>
    <n v="0"/>
    <s v="E5"/>
    <s v="모자"/>
    <s v="GRA"/>
    <s v="ER"/>
    <x v="15"/>
    <s v="GRAERE5303"/>
    <x v="154"/>
    <x v="1"/>
    <n v="200"/>
    <n v="14600000"/>
    <n v="3449628.0000000005"/>
    <n v="3.847582195160542"/>
    <n v="0"/>
    <n v="200"/>
  </r>
  <r>
    <x v="0"/>
    <x v="0"/>
    <s v="GRABAE3304"/>
    <n v="0.33333333333333331"/>
    <s v=""/>
    <n v="0"/>
    <s v="GRABAE3304NY"/>
    <n v="1"/>
    <s v=""/>
    <n v="0"/>
    <s v="E3"/>
    <s v="모자"/>
    <s v="GRA"/>
    <s v="BA"/>
    <x v="15"/>
    <s v="GRABAE3304"/>
    <x v="155"/>
    <x v="1"/>
    <n v="200"/>
    <n v="14600000"/>
    <n v="3449628.0000000005"/>
    <n v="3.847582195160542"/>
    <n v="0"/>
    <n v="200"/>
  </r>
  <r>
    <x v="0"/>
    <x v="0"/>
    <s v="GRABAE3304"/>
    <n v="0.33333333333333331"/>
    <s v=""/>
    <n v="0"/>
    <s v="GRABAE3304NA"/>
    <n v="1"/>
    <s v=""/>
    <n v="0"/>
    <s v="E3"/>
    <s v="모자"/>
    <s v="GRA"/>
    <s v="BA"/>
    <x v="15"/>
    <s v="GRABAE3304"/>
    <x v="156"/>
    <x v="1"/>
    <n v="300"/>
    <n v="21900000"/>
    <n v="5174442.0000000009"/>
    <n v="3.847582195160542"/>
    <n v="0"/>
    <n v="300"/>
  </r>
  <r>
    <x v="0"/>
    <x v="0"/>
    <s v="GRABAE3304"/>
    <n v="0.33333333333333331"/>
    <s v=""/>
    <n v="0"/>
    <s v="GRABAE3304BW"/>
    <n v="1"/>
    <s v=""/>
    <n v="0"/>
    <s v="E3"/>
    <s v="모자"/>
    <s v="GRA"/>
    <s v="BA"/>
    <x v="15"/>
    <s v="GRABAE3304"/>
    <x v="157"/>
    <x v="1"/>
    <n v="300"/>
    <n v="21900000"/>
    <n v="5174442.0000000009"/>
    <n v="3.847582195160542"/>
    <n v="0"/>
    <n v="300"/>
  </r>
  <r>
    <x v="0"/>
    <x v="0"/>
    <s v="GRAFAE5305"/>
    <n v="0.5"/>
    <s v=""/>
    <n v="0"/>
    <s v="GRAFAE5305BG"/>
    <n v="1"/>
    <s v=""/>
    <n v="0"/>
    <s v="E5"/>
    <s v="모자"/>
    <s v="GRA"/>
    <s v="FA"/>
    <x v="15"/>
    <s v="GRAFAE5305"/>
    <x v="158"/>
    <x v="1"/>
    <n v="150"/>
    <n v="9750000"/>
    <n v="2388204"/>
    <n v="3.7114234645098838"/>
    <n v="0"/>
    <n v="150"/>
  </r>
  <r>
    <x v="0"/>
    <x v="0"/>
    <s v="GRAFAE5305"/>
    <n v="0.5"/>
    <s v=""/>
    <n v="0"/>
    <s v="GRAFAE5305BK"/>
    <n v="1"/>
    <s v=""/>
    <n v="0"/>
    <s v="E5"/>
    <s v="모자"/>
    <s v="GRA"/>
    <s v="FA"/>
    <x v="15"/>
    <s v="GRAFAE5305"/>
    <x v="159"/>
    <x v="1"/>
    <n v="150"/>
    <n v="9750000"/>
    <n v="2388204"/>
    <n v="3.7114234645098838"/>
    <n v="0"/>
    <n v="150"/>
  </r>
  <r>
    <x v="0"/>
    <x v="0"/>
    <s v="GRAMIE3306"/>
    <n v="0.33333333333333331"/>
    <s v=""/>
    <n v="0"/>
    <s v="GRAMIE3306NY"/>
    <n v="1"/>
    <s v=""/>
    <n v="0"/>
    <s v="E3"/>
    <s v="모자"/>
    <s v="GRA"/>
    <s v="MI"/>
    <x v="15"/>
    <s v="GRAMIE3306"/>
    <x v="160"/>
    <x v="1"/>
    <n v="300"/>
    <n v="21900000"/>
    <n v="5174442.0000000009"/>
    <n v="3.847582195160542"/>
    <n v="0"/>
    <n v="300"/>
  </r>
  <r>
    <x v="0"/>
    <x v="0"/>
    <s v="GRAMIE3306"/>
    <n v="0.33333333333333331"/>
    <s v=""/>
    <n v="0"/>
    <s v="GRAMIE3306GY"/>
    <n v="1"/>
    <s v=""/>
    <n v="0"/>
    <s v="E3"/>
    <s v="모자"/>
    <s v="GRA"/>
    <s v="MI"/>
    <x v="15"/>
    <s v="GRAMIE3306"/>
    <x v="161"/>
    <x v="1"/>
    <n v="300"/>
    <n v="21900000"/>
    <n v="5174442.0000000009"/>
    <n v="3.847582195160542"/>
    <n v="0"/>
    <n v="300"/>
  </r>
  <r>
    <x v="0"/>
    <x v="0"/>
    <s v="GRAMIE3306"/>
    <n v="0.33333333333333331"/>
    <s v=""/>
    <n v="0"/>
    <s v="GRAMIE3306BK"/>
    <n v="1"/>
    <s v=""/>
    <n v="0"/>
    <s v="E3"/>
    <s v="모자"/>
    <s v="GRA"/>
    <s v="MI"/>
    <x v="15"/>
    <s v="GRAMIE3306"/>
    <x v="162"/>
    <x v="1"/>
    <n v="300"/>
    <n v="21900000"/>
    <n v="5174442.0000000009"/>
    <n v="3.847582195160542"/>
    <n v="0"/>
    <n v="300"/>
  </r>
  <r>
    <x v="0"/>
    <x v="0"/>
    <s v="GRAFAE5307"/>
    <n v="0.5"/>
    <s v=""/>
    <n v="0"/>
    <s v="GRAFAE5307BK"/>
    <n v="1"/>
    <s v=""/>
    <n v="0"/>
    <s v="E5"/>
    <s v="모자"/>
    <s v="GRA"/>
    <s v="FA"/>
    <x v="15"/>
    <s v="GRAFAE5307"/>
    <x v="163"/>
    <x v="1"/>
    <n v="50"/>
    <n v="4950000"/>
    <n v="1171989.0000000002"/>
    <n v="3.8396264811359142"/>
    <n v="0"/>
    <n v="50"/>
  </r>
  <r>
    <x v="0"/>
    <x v="0"/>
    <s v="GRAFAE5307"/>
    <n v="0.5"/>
    <s v=""/>
    <n v="0"/>
    <s v="GRAFAE5307RE"/>
    <n v="1"/>
    <s v=""/>
    <n v="0"/>
    <s v="E5"/>
    <s v="모자"/>
    <s v="GRA"/>
    <s v="FA"/>
    <x v="15"/>
    <s v="GRAFAE5307"/>
    <x v="164"/>
    <x v="1"/>
    <n v="50"/>
    <n v="4950000"/>
    <n v="1171989.0000000002"/>
    <n v="3.8396264811359142"/>
    <n v="0"/>
    <n v="50"/>
  </r>
  <r>
    <x v="0"/>
    <x v="0"/>
    <s v="GRAFAE3308"/>
    <n v="0.5"/>
    <s v=""/>
    <n v="0"/>
    <s v="GRAFAE3308BG"/>
    <n v="1"/>
    <s v=""/>
    <n v="0"/>
    <s v="E3"/>
    <s v="모자"/>
    <s v="GRA"/>
    <s v="FA"/>
    <x v="15"/>
    <s v="GRAFAE3308"/>
    <x v="165"/>
    <x v="1"/>
    <n v="100"/>
    <n v="8500000"/>
    <n v="2034396"/>
    <n v="3.7983129770569382"/>
    <n v="0"/>
    <n v="100"/>
  </r>
  <r>
    <x v="0"/>
    <x v="0"/>
    <s v="GRAFAE3308"/>
    <n v="0.5"/>
    <s v=""/>
    <n v="0"/>
    <s v="GRAFAE3308KH"/>
    <n v="1"/>
    <s v=""/>
    <n v="0"/>
    <s v="E3"/>
    <s v="모자"/>
    <s v="GRA"/>
    <s v="FA"/>
    <x v="15"/>
    <s v="GRAFAE3308"/>
    <x v="166"/>
    <x v="1"/>
    <n v="100"/>
    <n v="8500000"/>
    <n v="2034396"/>
    <n v="3.7983129770569382"/>
    <n v="0"/>
    <n v="100"/>
  </r>
  <r>
    <x v="0"/>
    <x v="0"/>
    <s v="GRAFEE3309"/>
    <n v="0.5"/>
    <s v=""/>
    <n v="0"/>
    <s v="GRAFEE3309BK"/>
    <n v="1"/>
    <s v=""/>
    <n v="0"/>
    <s v="E3"/>
    <s v="모자"/>
    <s v="GRA"/>
    <s v="FE"/>
    <x v="15"/>
    <s v="GRAFEE3309"/>
    <x v="167"/>
    <x v="1"/>
    <n v="200"/>
    <n v="17000000"/>
    <n v="4068792"/>
    <n v="3.7983129770569382"/>
    <n v="0"/>
    <n v="200"/>
  </r>
  <r>
    <x v="0"/>
    <x v="0"/>
    <s v="GRAFEE3309"/>
    <n v="0.5"/>
    <s v=""/>
    <n v="0"/>
    <s v="GRAFEE3309BU"/>
    <n v="1"/>
    <s v=""/>
    <n v="0"/>
    <s v="E3"/>
    <s v="모자"/>
    <s v="GRA"/>
    <s v="FE"/>
    <x v="15"/>
    <s v="GRAFEE3309"/>
    <x v="168"/>
    <x v="1"/>
    <n v="150"/>
    <n v="12750000"/>
    <n v="3051594"/>
    <n v="3.7983129770569382"/>
    <n v="0"/>
    <n v="150"/>
  </r>
  <r>
    <x v="0"/>
    <x v="0"/>
    <s v="GRAFEE3310"/>
    <n v="1"/>
    <s v=""/>
    <n v="0"/>
    <s v="GRAFEE3310GY"/>
    <n v="1"/>
    <s v=""/>
    <n v="0"/>
    <s v="E3"/>
    <s v="모자"/>
    <s v="GRA"/>
    <s v="FE"/>
    <x v="15"/>
    <s v="GRAFEE3310"/>
    <x v="169"/>
    <x v="1"/>
    <n v="200"/>
    <n v="17000000"/>
    <n v="4068792"/>
    <n v="3.7983129770569382"/>
    <n v="0"/>
    <n v="200"/>
  </r>
  <r>
    <x v="0"/>
    <x v="0"/>
    <s v="GRAEBE5311"/>
    <n v="0.5"/>
    <s v=""/>
    <n v="0"/>
    <s v="GRAEBE5311GR"/>
    <n v="1"/>
    <s v=""/>
    <n v="0"/>
    <s v="E5"/>
    <s v="모자"/>
    <s v="GRA"/>
    <s v="EB"/>
    <x v="15"/>
    <s v="GRAEBE5311"/>
    <x v="170"/>
    <x v="1"/>
    <n v="300"/>
    <n v="21900000"/>
    <n v="5174442.0000000009"/>
    <n v="3.847582195160542"/>
    <n v="0"/>
    <n v="300"/>
  </r>
  <r>
    <x v="0"/>
    <x v="0"/>
    <s v="GRAEBE5311"/>
    <n v="0.5"/>
    <s v=""/>
    <n v="0"/>
    <s v="GRAEBE5311NY"/>
    <n v="1"/>
    <s v=""/>
    <n v="0"/>
    <s v="E5"/>
    <s v="모자"/>
    <s v="GRA"/>
    <s v="EB"/>
    <x v="15"/>
    <s v="GRAEBE5311"/>
    <x v="171"/>
    <x v="1"/>
    <n v="300"/>
    <n v="21900000"/>
    <n v="5174442.0000000009"/>
    <n v="3.847582195160542"/>
    <n v="0"/>
    <n v="300"/>
  </r>
  <r>
    <x v="0"/>
    <x v="0"/>
    <s v="GRABEE3312"/>
    <n v="0.5"/>
    <s v=""/>
    <n v="0"/>
    <s v="GRABEE3312BG"/>
    <n v="1"/>
    <s v=""/>
    <n v="0"/>
    <s v="E3"/>
    <s v="모자"/>
    <s v="GRA"/>
    <s v="BE"/>
    <x v="15"/>
    <s v="GRABEE3312"/>
    <x v="172"/>
    <x v="1"/>
    <n v="20"/>
    <n v="2980000"/>
    <n v="689925.60000000009"/>
    <n v="3.9266421032802792"/>
    <n v="0"/>
    <n v="20"/>
  </r>
  <r>
    <x v="0"/>
    <x v="0"/>
    <s v="GRABEE3312"/>
    <n v="0.5"/>
    <s v=""/>
    <n v="0"/>
    <s v="GRABEE3312ZZ"/>
    <n v="1"/>
    <s v=""/>
    <n v="0"/>
    <s v="E3"/>
    <s v="모자"/>
    <s v="GRA"/>
    <s v="BE"/>
    <x v="15"/>
    <s v="GRABEE3312"/>
    <x v="173"/>
    <x v="1"/>
    <n v="20"/>
    <n v="2980000"/>
    <n v="689925.60000000009"/>
    <n v="3.9266421032802792"/>
    <n v="0"/>
    <n v="20"/>
  </r>
  <r>
    <x v="0"/>
    <x v="0"/>
    <s v="GRABEE3313"/>
    <n v="0.33333333333333331"/>
    <s v=""/>
    <n v="0"/>
    <s v="GRABEE3313PK"/>
    <n v="1"/>
    <s v=""/>
    <n v="0"/>
    <s v="E3"/>
    <s v="모자"/>
    <s v="GRA"/>
    <s v="BE"/>
    <x v="15"/>
    <s v="GRABEE3313"/>
    <x v="174"/>
    <x v="1"/>
    <n v="20"/>
    <n v="1460000"/>
    <n v="344962.80000000005"/>
    <n v="3.847582195160542"/>
    <n v="0"/>
    <n v="20"/>
  </r>
  <r>
    <x v="0"/>
    <x v="0"/>
    <s v="GRABEE3313"/>
    <n v="0.33333333333333331"/>
    <s v=""/>
    <n v="0"/>
    <s v="GRABEE3313GY"/>
    <n v="1"/>
    <s v=""/>
    <n v="0"/>
    <s v="E3"/>
    <s v="모자"/>
    <s v="GRA"/>
    <s v="BE"/>
    <x v="15"/>
    <s v="GRABEE3313"/>
    <x v="175"/>
    <x v="1"/>
    <n v="20"/>
    <n v="1460000"/>
    <n v="344962.80000000005"/>
    <n v="3.847582195160542"/>
    <n v="0"/>
    <n v="20"/>
  </r>
  <r>
    <x v="0"/>
    <x v="0"/>
    <s v="GRABEE3313"/>
    <n v="0.33333333333333331"/>
    <s v=""/>
    <n v="0"/>
    <s v="GRABEE3313BW"/>
    <n v="1"/>
    <s v=""/>
    <n v="0"/>
    <s v="E3"/>
    <s v="모자"/>
    <s v="GRA"/>
    <s v="BE"/>
    <x v="15"/>
    <s v="GRABEE3313"/>
    <x v="176"/>
    <x v="1"/>
    <n v="20"/>
    <n v="1460000"/>
    <n v="344962.80000000005"/>
    <n v="3.847582195160542"/>
    <n v="0"/>
    <n v="20"/>
  </r>
  <r>
    <x v="1"/>
    <x v="0"/>
    <s v="ELSFIE3620"/>
    <n v="0.33333333333333331"/>
    <s v=""/>
    <n v="0"/>
    <s v="ELSFIE3620BK"/>
    <n v="1"/>
    <s v=""/>
    <n v="0"/>
    <s v="E3"/>
    <s v="모자"/>
    <s v="ELS"/>
    <s v="FI"/>
    <x v="3"/>
    <s v="ELSFIE3620"/>
    <x v="177"/>
    <x v="0"/>
    <n v="1000"/>
    <n v="43000000"/>
    <n v="4524500"/>
    <n v="8.6398296145229505"/>
    <n v="1000"/>
    <n v="0"/>
  </r>
  <r>
    <x v="1"/>
    <x v="0"/>
    <s v="ELSFIE3642"/>
    <n v="1"/>
    <s v=""/>
    <n v="0"/>
    <s v="ELSFIE3642BL"/>
    <n v="1"/>
    <s v=""/>
    <n v="0"/>
    <s v="E3"/>
    <s v="모자"/>
    <s v="ELS"/>
    <s v="FI"/>
    <x v="3"/>
    <s v="ELSFIE3642"/>
    <x v="178"/>
    <x v="0"/>
    <n v="800"/>
    <n v="34400000"/>
    <n v="5554456.0000000009"/>
    <n v="5.6302052393118727"/>
    <n v="700"/>
    <n v="0"/>
  </r>
  <r>
    <x v="1"/>
    <x v="0"/>
    <s v="ELSBAE3007"/>
    <n v="1"/>
    <s v=""/>
    <n v="0"/>
    <s v="ELSBAE3007PK"/>
    <n v="1"/>
    <s v=""/>
    <n v="0"/>
    <s v="E3"/>
    <s v="모자"/>
    <s v="ELS"/>
    <s v="BA"/>
    <x v="3"/>
    <s v="ELSBAE3007"/>
    <x v="179"/>
    <x v="0"/>
    <n v="700"/>
    <n v="34300000"/>
    <n v="5460000"/>
    <n v="5.7109557109557096"/>
    <n v="700"/>
    <n v="0"/>
  </r>
  <r>
    <x v="0"/>
    <x v="0"/>
    <s v="WTRMIE5301"/>
    <n v="1"/>
    <s v=""/>
    <n v="0"/>
    <s v="WTRMIE5301GY"/>
    <n v="1"/>
    <s v=""/>
    <n v="0"/>
    <s v="E5"/>
    <s v="모자"/>
    <s v="WTR"/>
    <s v="MI"/>
    <x v="8"/>
    <s v="WTRMIE5301"/>
    <x v="180"/>
    <x v="0"/>
    <n v="800"/>
    <n v="44000000"/>
    <n v="5638792.0000000009"/>
    <n v="7.0937179452620338"/>
    <n v="0"/>
    <n v="800"/>
  </r>
  <r>
    <x v="0"/>
    <x v="0"/>
    <s v="WTRMIE5302"/>
    <n v="1"/>
    <s v=""/>
    <n v="0"/>
    <s v="WTRMIE5302GY"/>
    <n v="1"/>
    <s v=""/>
    <n v="0"/>
    <s v="E5"/>
    <s v="모자"/>
    <s v="WTR"/>
    <s v="MI"/>
    <x v="8"/>
    <s v="WTRMIE5302"/>
    <x v="181"/>
    <x v="0"/>
    <n v="800"/>
    <n v="44000000"/>
    <n v="6349160.0000000009"/>
    <n v="6.300045990335728"/>
    <n v="0"/>
    <n v="800"/>
  </r>
  <r>
    <x v="0"/>
    <x v="0"/>
    <s v="WTRMIE3303"/>
    <n v="1"/>
    <s v=""/>
    <n v="0"/>
    <s v="WTRMIE3303GY"/>
    <n v="1"/>
    <s v=""/>
    <n v="0"/>
    <s v="E3"/>
    <s v="모자"/>
    <s v="WTR"/>
    <s v="MI"/>
    <x v="8"/>
    <s v="WTRMIE3303"/>
    <x v="182"/>
    <x v="0"/>
    <n v="800"/>
    <n v="44000000"/>
    <n v="5921292.0000000009"/>
    <n v="6.7552824620032235"/>
    <n v="0"/>
    <n v="800"/>
  </r>
  <r>
    <x v="0"/>
    <x v="0"/>
    <s v="WTRMIE3304"/>
    <n v="1"/>
    <s v=""/>
    <n v="0"/>
    <s v="WTRMIE3304RE"/>
    <n v="1"/>
    <s v=""/>
    <n v="0"/>
    <s v="E3"/>
    <s v="모자"/>
    <s v="WTR"/>
    <s v="MI"/>
    <x v="8"/>
    <s v="WTRMIE3304"/>
    <x v="183"/>
    <x v="0"/>
    <n v="600"/>
    <n v="33000000"/>
    <n v="3117540.0000000005"/>
    <n v="9.6229719586597096"/>
    <n v="0"/>
    <n v="600"/>
  </r>
  <r>
    <x v="0"/>
    <x v="0"/>
    <s v="WTRTPE5305"/>
    <n v="1"/>
    <s v=""/>
    <n v="0"/>
    <s v="WTRTPE5305GY"/>
    <n v="1"/>
    <s v=""/>
    <n v="0"/>
    <s v="E5"/>
    <s v="모자"/>
    <s v="WTR"/>
    <s v="TP"/>
    <x v="8"/>
    <s v="WTRTPE5305"/>
    <x v="184"/>
    <x v="0"/>
    <n v="400"/>
    <n v="31600000"/>
    <n v="5948280"/>
    <n v="4.8295091568104933"/>
    <n v="0"/>
    <n v="400"/>
  </r>
  <r>
    <x v="0"/>
    <x v="0"/>
    <s v="WTRERE5306"/>
    <n v="1"/>
    <s v=""/>
    <n v="0"/>
    <s v="WTRERE5306OR"/>
    <n v="1"/>
    <s v=""/>
    <n v="0"/>
    <s v="E5"/>
    <s v="모자"/>
    <s v="WTR"/>
    <s v="ER"/>
    <x v="8"/>
    <s v="WTRERE5306"/>
    <x v="185"/>
    <x v="0"/>
    <n v="500"/>
    <n v="32500000"/>
    <n v="7950000"/>
    <n v="3.7164093767867352"/>
    <n v="0"/>
    <n v="500"/>
  </r>
  <r>
    <x v="0"/>
    <x v="0"/>
    <s v="WTRERE5806"/>
    <n v="1"/>
    <s v=""/>
    <n v="0"/>
    <s v="WTRERE5806OR"/>
    <n v="1"/>
    <s v=""/>
    <n v="0"/>
    <s v="E5"/>
    <s v="모자"/>
    <s v="WTR"/>
    <s v="ER"/>
    <x v="8"/>
    <s v="WTRERE5806"/>
    <x v="186"/>
    <x v="0"/>
    <n v="300"/>
    <n v="17700000"/>
    <n v="4620000"/>
    <n v="3.4828807556080283"/>
    <n v="0"/>
    <n v="300"/>
  </r>
  <r>
    <x v="0"/>
    <x v="0"/>
    <s v="WTRBAE3307"/>
    <n v="1"/>
    <s v=""/>
    <n v="0"/>
    <s v="WTRBAE3307BL"/>
    <n v="1"/>
    <s v=""/>
    <n v="0"/>
    <s v="E3"/>
    <s v="모자"/>
    <s v="WTR"/>
    <s v="BA"/>
    <x v="8"/>
    <s v="WTRBAE3307"/>
    <x v="187"/>
    <x v="0"/>
    <n v="600"/>
    <n v="39000000"/>
    <n v="9420000"/>
    <n v="3.7637521713954833"/>
    <n v="0"/>
    <n v="600"/>
  </r>
  <r>
    <x v="0"/>
    <x v="0"/>
    <s v="WTRERE5308"/>
    <n v="1"/>
    <s v=""/>
    <n v="0"/>
    <s v="WTRERE5308GR"/>
    <n v="1"/>
    <s v=""/>
    <n v="0"/>
    <s v="E5"/>
    <s v="모자"/>
    <s v="WTR"/>
    <s v="ER"/>
    <x v="8"/>
    <s v="WTRERE5308"/>
    <x v="188"/>
    <x v="0"/>
    <n v="500"/>
    <n v="34500000"/>
    <n v="8350000"/>
    <n v="3.7561241154055525"/>
    <n v="0"/>
    <n v="500"/>
  </r>
  <r>
    <x v="0"/>
    <x v="0"/>
    <s v="WTRERE5309"/>
    <n v="1"/>
    <s v=""/>
    <n v="0"/>
    <s v="WTRERE5309BL"/>
    <n v="1"/>
    <s v=""/>
    <n v="0"/>
    <s v="E5"/>
    <s v="모자"/>
    <s v="WTR"/>
    <s v="ER"/>
    <x v="8"/>
    <s v="WTRERE5309"/>
    <x v="189"/>
    <x v="0"/>
    <n v="600"/>
    <n v="41400000"/>
    <n v="10020000"/>
    <n v="3.7561241154055525"/>
    <n v="0"/>
    <n v="600"/>
  </r>
  <r>
    <x v="0"/>
    <x v="0"/>
    <s v="WTRMIE3310"/>
    <n v="1"/>
    <s v=""/>
    <n v="0"/>
    <s v="WTRMIE3310NY"/>
    <n v="1"/>
    <s v=""/>
    <n v="0"/>
    <s v="E3"/>
    <s v="모자"/>
    <s v="WTR"/>
    <s v="MI"/>
    <x v="8"/>
    <s v="WTRMIE3310"/>
    <x v="190"/>
    <x v="0"/>
    <n v="600"/>
    <n v="35400000"/>
    <n v="7680000"/>
    <n v="4.1903409090909092"/>
    <n v="0"/>
    <n v="600"/>
  </r>
  <r>
    <x v="0"/>
    <x v="0"/>
    <s v="WTRERE5311"/>
    <n v="1"/>
    <s v=""/>
    <n v="0"/>
    <s v="WTRERE5311KH"/>
    <n v="1"/>
    <s v=""/>
    <n v="0"/>
    <s v="E5"/>
    <s v="모자"/>
    <s v="WTR"/>
    <s v="ER"/>
    <x v="8"/>
    <s v="WTRERE5311"/>
    <x v="191"/>
    <x v="0"/>
    <n v="400"/>
    <n v="27600000"/>
    <n v="6880000"/>
    <n v="3.6469344608879486"/>
    <n v="0"/>
    <n v="400"/>
  </r>
  <r>
    <x v="0"/>
    <x v="0"/>
    <s v="NOVBAE3310"/>
    <n v="1"/>
    <s v=""/>
    <n v="0"/>
    <s v="NOVBAE3310MT"/>
    <n v="1"/>
    <s v=""/>
    <n v="0"/>
    <s v="E3"/>
    <s v="모자"/>
    <s v="NOV"/>
    <s v="BA"/>
    <x v="11"/>
    <s v="NOVBAE3310"/>
    <x v="192"/>
    <x v="0"/>
    <n v="500"/>
    <n v="24500000"/>
    <n v="3471535.0000000005"/>
    <n v="6.4158152727042266"/>
    <n v="500"/>
    <n v="0"/>
  </r>
  <r>
    <x v="0"/>
    <x v="0"/>
    <s v="NOVBAE3311"/>
    <n v="1"/>
    <s v=""/>
    <n v="0"/>
    <s v="NOVBAE3311BL"/>
    <n v="1"/>
    <s v=""/>
    <n v="0"/>
    <s v="E3"/>
    <s v="모자"/>
    <s v="NOV"/>
    <s v="BA"/>
    <x v="11"/>
    <s v="NOVBAE3311"/>
    <x v="193"/>
    <x v="0"/>
    <n v="500"/>
    <n v="24500000"/>
    <n v="3471535.0000000005"/>
    <n v="6.4158152727042266"/>
    <n v="500"/>
    <n v="0"/>
  </r>
  <r>
    <x v="0"/>
    <x v="0"/>
    <s v="NOVBAE3312"/>
    <n v="1"/>
    <s v=""/>
    <n v="0"/>
    <s v="NOVBAE3312NY"/>
    <n v="1"/>
    <s v=""/>
    <n v="0"/>
    <s v="E3"/>
    <s v="모자"/>
    <s v="NOV"/>
    <s v="BA"/>
    <x v="11"/>
    <s v="NOVBAE3312"/>
    <x v="194"/>
    <x v="0"/>
    <n v="500"/>
    <n v="24500000"/>
    <n v="3502720.0000000005"/>
    <n v="6.3586947494310904"/>
    <n v="460"/>
    <n v="0"/>
  </r>
  <r>
    <x v="0"/>
    <x v="0"/>
    <s v="NOVBAE3313"/>
    <n v="1"/>
    <s v=""/>
    <n v="0"/>
    <s v="NOVBAE3313GY"/>
    <n v="1"/>
    <s v=""/>
    <n v="0"/>
    <s v="E3"/>
    <s v="모자"/>
    <s v="NOV"/>
    <s v="BA"/>
    <x v="11"/>
    <s v="NOVBAE3313"/>
    <x v="195"/>
    <x v="0"/>
    <n v="500"/>
    <n v="24500000"/>
    <n v="3596275.0000000005"/>
    <n v="6.193277008217466"/>
    <n v="500"/>
    <n v="0"/>
  </r>
  <r>
    <x v="0"/>
    <x v="0"/>
    <s v="NOVBAE3314"/>
    <n v="0.5"/>
    <s v=""/>
    <n v="0"/>
    <s v="NOVBAE3314GY"/>
    <n v="1"/>
    <s v=""/>
    <n v="0"/>
    <s v="E3"/>
    <s v="모자"/>
    <s v="NOV"/>
    <s v="BA"/>
    <x v="11"/>
    <s v="NOVBAE3314"/>
    <x v="196"/>
    <x v="0"/>
    <n v="500"/>
    <n v="24500000"/>
    <n v="3471535.0000000005"/>
    <n v="6.4158152727042266"/>
    <n v="500"/>
    <n v="0"/>
  </r>
  <r>
    <x v="0"/>
    <x v="0"/>
    <s v="NOVBAE3314"/>
    <n v="0.5"/>
    <s v=""/>
    <n v="0"/>
    <s v="NOVBAE3314NY"/>
    <n v="1"/>
    <s v=""/>
    <n v="0"/>
    <s v="E3"/>
    <s v="모자"/>
    <s v="NOV"/>
    <s v="BA"/>
    <x v="11"/>
    <s v="NOVBAE3314"/>
    <x v="197"/>
    <x v="0"/>
    <n v="500"/>
    <n v="24500000"/>
    <n v="3377980.0000000009"/>
    <n v="6.5935047788107877"/>
    <n v="500"/>
    <n v="0"/>
  </r>
  <r>
    <x v="0"/>
    <x v="0"/>
    <s v="NOVBAE3315"/>
    <n v="1"/>
    <s v=""/>
    <n v="0"/>
    <s v="NOVBAE3315NY"/>
    <n v="1"/>
    <s v=""/>
    <n v="0"/>
    <s v="E3"/>
    <s v="모자"/>
    <s v="NOV"/>
    <s v="BA"/>
    <x v="11"/>
    <s v="NOVBAE3315"/>
    <x v="198"/>
    <x v="0"/>
    <n v="500"/>
    <n v="24500000"/>
    <n v="3533905.0000000005"/>
    <n v="6.3025823480617804"/>
    <n v="500"/>
    <n v="0"/>
  </r>
  <r>
    <x v="0"/>
    <x v="0"/>
    <s v="NOVBAE3316"/>
    <n v="1"/>
    <s v=""/>
    <n v="0"/>
    <s v="NOVBAE3316OR"/>
    <n v="1"/>
    <s v=""/>
    <n v="0"/>
    <s v="E3"/>
    <s v="모자"/>
    <s v="NOV"/>
    <s v="BA"/>
    <x v="11"/>
    <s v="NOVBAE3316"/>
    <x v="199"/>
    <x v="0"/>
    <n v="500"/>
    <n v="24500000"/>
    <n v="3565090.0000000005"/>
    <n v="6.247451613487252"/>
    <n v="500"/>
    <n v="0"/>
  </r>
  <r>
    <x v="0"/>
    <x v="0"/>
    <s v="NOVBAE3317"/>
    <n v="1"/>
    <s v=""/>
    <n v="0"/>
    <s v="NOVBAE3317RE"/>
    <n v="1"/>
    <s v=""/>
    <n v="0"/>
    <s v="E3"/>
    <s v="모자"/>
    <s v="NOV"/>
    <s v="BA"/>
    <x v="11"/>
    <s v="NOVBAE3317"/>
    <x v="200"/>
    <x v="0"/>
    <n v="500"/>
    <n v="24500000"/>
    <n v="3471535.0000000005"/>
    <n v="6.4158152727042266"/>
    <n v="485"/>
    <n v="0"/>
  </r>
  <r>
    <x v="1"/>
    <x v="0"/>
    <s v="VBLBAE3103"/>
    <n v="0.5"/>
    <s v=""/>
    <n v="0"/>
    <s v="VBLBAE3103RE"/>
    <n v="1"/>
    <s v=""/>
    <n v="0"/>
    <s v="E3"/>
    <s v="모자"/>
    <s v="VBL"/>
    <s v="BA"/>
    <x v="10"/>
    <s v="VBLBAE3103"/>
    <x v="201"/>
    <x v="0"/>
    <n v="4000"/>
    <n v="220000000"/>
    <n v="17347320"/>
    <n v="11.529158394495518"/>
    <n v="4000"/>
    <n v="0"/>
  </r>
  <r>
    <x v="1"/>
    <x v="0"/>
    <s v="VBLBAE3103"/>
    <n v="0.5"/>
    <s v=""/>
    <n v="0"/>
    <s v="VBLBAE3103GR"/>
    <n v="1"/>
    <s v=""/>
    <n v="0"/>
    <s v="E3"/>
    <s v="모자"/>
    <s v="VBL"/>
    <s v="BA"/>
    <x v="10"/>
    <s v="VBLBAE3103"/>
    <x v="202"/>
    <x v="0"/>
    <n v="2000"/>
    <n v="110000000"/>
    <n v="9187660"/>
    <n v="10.884164194147367"/>
    <n v="1975"/>
    <n v="0"/>
  </r>
  <r>
    <x v="1"/>
    <x v="0"/>
    <s v="VBLBAE3201"/>
    <n v="1"/>
    <s v=""/>
    <n v="0"/>
    <s v="VBLBAE3201GY"/>
    <n v="1"/>
    <s v=""/>
    <n v="0"/>
    <s v="E3"/>
    <s v="모자"/>
    <s v="VBL"/>
    <s v="BA"/>
    <x v="10"/>
    <s v="VBLBAE3201"/>
    <x v="203"/>
    <x v="0"/>
    <n v="2000"/>
    <n v="90000000"/>
    <n v="20440000"/>
    <n v="4.002846468599893"/>
    <n v="1983"/>
    <n v="0"/>
  </r>
  <r>
    <x v="1"/>
    <x v="0"/>
    <s v="PLAUME3204"/>
    <n v="1"/>
    <s v=""/>
    <n v="0"/>
    <s v="PLAUME3204YE"/>
    <n v="1"/>
    <s v=""/>
    <n v="0"/>
    <s v="E3"/>
    <s v="모자"/>
    <s v="PLA"/>
    <s v="UM"/>
    <x v="16"/>
    <s v="PLAUME3204"/>
    <x v="204"/>
    <x v="0"/>
    <n v="1500"/>
    <n v="88500000"/>
    <n v="12162150"/>
    <n v="6.6151581303096449"/>
    <n v="1500"/>
    <n v="0"/>
  </r>
  <r>
    <x v="0"/>
    <x v="0"/>
    <s v="ELSACE3301"/>
    <n v="1"/>
    <s v=""/>
    <n v="0"/>
    <s v="ELSACE3301NY"/>
    <n v="1"/>
    <s v=""/>
    <n v="0"/>
    <s v="E3"/>
    <s v="ACC"/>
    <s v="ELS"/>
    <s v="AC"/>
    <x v="3"/>
    <s v="ELSACE3301"/>
    <x v="205"/>
    <x v="0"/>
    <n v="1200"/>
    <n v="5880000"/>
    <n v="811346.40000000014"/>
    <n v="6.5883752555684527"/>
    <n v="0"/>
    <n v="1200"/>
  </r>
  <r>
    <x v="0"/>
    <x v="0"/>
    <s v="ELSACE3302"/>
    <n v="1"/>
    <s v=""/>
    <n v="0"/>
    <s v="ELSACE3302BL"/>
    <n v="1"/>
    <s v=""/>
    <n v="0"/>
    <s v="E3"/>
    <s v="ACC"/>
    <s v="ELS"/>
    <s v="AC"/>
    <x v="3"/>
    <s v="ELSACE3302"/>
    <x v="206"/>
    <x v="0"/>
    <n v="1200"/>
    <n v="5880000"/>
    <n v="811346.40000000014"/>
    <n v="6.5883752555684527"/>
    <n v="0"/>
    <n v="1200"/>
  </r>
  <r>
    <x v="0"/>
    <x v="0"/>
    <s v="ELSACE3303"/>
    <n v="1"/>
    <s v=""/>
    <n v="0"/>
    <s v="ELSACE3303OR"/>
    <n v="1"/>
    <s v=""/>
    <n v="0"/>
    <s v="E3"/>
    <s v="ACC"/>
    <s v="ELS"/>
    <s v="AC"/>
    <x v="3"/>
    <s v="ELSACE3303"/>
    <x v="207"/>
    <x v="0"/>
    <n v="1200"/>
    <n v="5880000"/>
    <n v="811346.40000000014"/>
    <n v="6.5883752555684527"/>
    <n v="0"/>
    <n v="1200"/>
  </r>
  <r>
    <x v="0"/>
    <x v="0"/>
    <s v="ELSACE3304"/>
    <n v="1"/>
    <s v=""/>
    <n v="0"/>
    <s v="ELSACE3304BL"/>
    <n v="1"/>
    <s v=""/>
    <n v="0"/>
    <s v="E3"/>
    <s v="ACC"/>
    <s v="ELS"/>
    <s v="AC"/>
    <x v="3"/>
    <s v="ELSACE3304"/>
    <x v="208"/>
    <x v="0"/>
    <n v="1200"/>
    <n v="5880000"/>
    <n v="811346.40000000014"/>
    <n v="6.5883752555684527"/>
    <n v="0"/>
    <n v="1200"/>
  </r>
  <r>
    <x v="0"/>
    <x v="0"/>
    <s v="NIXBEE5301"/>
    <n v="0.5"/>
    <s v=""/>
    <n v="0"/>
    <s v="NIXBEE5301GY"/>
    <n v="1"/>
    <s v=""/>
    <n v="0"/>
    <s v="E5"/>
    <s v="모자"/>
    <s v="NIX"/>
    <s v="BE"/>
    <x v="17"/>
    <s v="NIXBEE5301"/>
    <x v="209"/>
    <x v="1"/>
    <n v="300"/>
    <n v="9900000"/>
    <n v="3599999.9999999995"/>
    <n v="2.5"/>
    <n v="0"/>
    <n v="300"/>
  </r>
  <r>
    <x v="0"/>
    <x v="0"/>
    <s v="NIXBEE5301"/>
    <n v="0.5"/>
    <s v=""/>
    <n v="0"/>
    <s v="NIXBEE5301NY"/>
    <n v="1"/>
    <s v=""/>
    <n v="0"/>
    <s v="E5"/>
    <s v="모자"/>
    <s v="NIX"/>
    <s v="BE"/>
    <x v="17"/>
    <s v="NIXBEE5301"/>
    <x v="210"/>
    <x v="1"/>
    <n v="400"/>
    <n v="13200000"/>
    <n v="4799999.9999999991"/>
    <n v="2.5000000000000004"/>
    <n v="0"/>
    <n v="400"/>
  </r>
  <r>
    <x v="0"/>
    <x v="0"/>
    <s v="NIXFIE3302"/>
    <n v="1"/>
    <s v=""/>
    <n v="0"/>
    <s v="NIXFIE3302BK"/>
    <n v="1"/>
    <s v=""/>
    <n v="0"/>
    <s v="E3"/>
    <s v="모자"/>
    <s v="NIX"/>
    <s v="FI"/>
    <x v="17"/>
    <s v="NIXFIE3302"/>
    <x v="211"/>
    <x v="1"/>
    <n v="300"/>
    <n v="11700000"/>
    <n v="4254545.4545454541"/>
    <n v="2.5"/>
    <n v="0"/>
    <n v="300"/>
  </r>
  <r>
    <x v="0"/>
    <x v="0"/>
    <s v="NIXFIE3303"/>
    <n v="0.5"/>
    <s v=""/>
    <n v="0"/>
    <s v="NIXFIE3303BW"/>
    <n v="1"/>
    <s v=""/>
    <n v="0"/>
    <s v="E3"/>
    <s v="모자"/>
    <s v="NIX"/>
    <s v="FI"/>
    <x v="17"/>
    <s v="NIXFIE3303"/>
    <x v="212"/>
    <x v="1"/>
    <n v="400"/>
    <n v="15600000"/>
    <n v="5672727.2727272725"/>
    <n v="2.5"/>
    <n v="0"/>
    <n v="400"/>
  </r>
  <r>
    <x v="0"/>
    <x v="0"/>
    <s v="NIXFIE3303"/>
    <n v="0.5"/>
    <s v=""/>
    <n v="0"/>
    <s v="NIXFIE3303RE"/>
    <n v="1"/>
    <s v=""/>
    <n v="0"/>
    <s v="E3"/>
    <s v="모자"/>
    <s v="NIX"/>
    <s v="FI"/>
    <x v="17"/>
    <s v="NIXFIE3303"/>
    <x v="213"/>
    <x v="1"/>
    <n v="400"/>
    <n v="15600000"/>
    <n v="5672727.2727272725"/>
    <n v="2.5"/>
    <n v="0"/>
    <n v="400"/>
  </r>
  <r>
    <x v="0"/>
    <x v="0"/>
    <s v="NIXFIE3304"/>
    <n v="1"/>
    <s v=""/>
    <n v="0"/>
    <s v="NIXFIE3304GY"/>
    <n v="1"/>
    <s v=""/>
    <n v="0"/>
    <s v="E3"/>
    <s v="모자"/>
    <s v="NIX"/>
    <s v="FI"/>
    <x v="17"/>
    <s v="NIXFIE3304"/>
    <x v="214"/>
    <x v="1"/>
    <n v="400"/>
    <n v="13200000"/>
    <n v="4799999.9999999991"/>
    <n v="2.5000000000000004"/>
    <n v="0"/>
    <n v="400"/>
  </r>
  <r>
    <x v="0"/>
    <x v="0"/>
    <s v="NIXFIE3305"/>
    <n v="0.5"/>
    <s v=""/>
    <n v="0"/>
    <s v="NIXFIE3305NY"/>
    <n v="1"/>
    <s v=""/>
    <n v="0"/>
    <s v="E3"/>
    <s v="모자"/>
    <s v="NIX"/>
    <s v="FI"/>
    <x v="17"/>
    <s v="NIXFIE3305"/>
    <x v="215"/>
    <x v="1"/>
    <n v="400"/>
    <n v="15600000"/>
    <n v="5672727.2727272725"/>
    <n v="2.5"/>
    <n v="0"/>
    <n v="400"/>
  </r>
  <r>
    <x v="0"/>
    <x v="0"/>
    <s v="NIXFIE3305"/>
    <n v="0.5"/>
    <s v=""/>
    <n v="0"/>
    <s v="NIXFIE3305IV"/>
    <n v="1"/>
    <s v=""/>
    <n v="0"/>
    <s v="E3"/>
    <s v="모자"/>
    <s v="NIX"/>
    <s v="FI"/>
    <x v="17"/>
    <s v="NIXFIE3305"/>
    <x v="216"/>
    <x v="1"/>
    <n v="300"/>
    <n v="11700000"/>
    <n v="4254545.4545454541"/>
    <n v="2.5"/>
    <n v="0"/>
    <n v="300"/>
  </r>
  <r>
    <x v="0"/>
    <x v="0"/>
    <s v="ELSTPE5301"/>
    <n v="0.5"/>
    <s v=""/>
    <n v="0"/>
    <s v="ELSTPE5301NY"/>
    <n v="0.5"/>
    <s v=""/>
    <n v="0"/>
    <s v="E5"/>
    <s v="모자"/>
    <s v="ELS"/>
    <s v="TP"/>
    <x v="3"/>
    <s v="ELSTPE5301"/>
    <x v="217"/>
    <x v="0"/>
    <n v="800"/>
    <n v="47200000"/>
    <n v="7812384.0000000009"/>
    <n v="5.4924451881897891"/>
    <n v="0"/>
    <n v="800"/>
  </r>
  <r>
    <x v="0"/>
    <x v="0"/>
    <s v="ELSTPE5801"/>
    <n v="0.5"/>
    <s v=""/>
    <n v="0"/>
    <s v="ELSTPE5801NY"/>
    <n v="0.5"/>
    <s v=""/>
    <n v="0"/>
    <s v="E5"/>
    <s v="모자"/>
    <s v="ELS"/>
    <s v="TP"/>
    <x v="3"/>
    <s v="ELSTPE5801"/>
    <x v="218"/>
    <x v="0"/>
    <n v="600"/>
    <n v="33000000"/>
    <n v="5858688.0000000009"/>
    <n v="5.1206003801533706"/>
    <n v="0"/>
    <n v="600"/>
  </r>
  <r>
    <x v="0"/>
    <x v="0"/>
    <s v="ELSBEE5302"/>
    <n v="1"/>
    <s v=""/>
    <n v="0"/>
    <s v="ELSBEE5302GR"/>
    <n v="1"/>
    <s v=""/>
    <n v="0"/>
    <s v="E5"/>
    <s v="모자"/>
    <s v="ELS"/>
    <s v="BE"/>
    <x v="3"/>
    <s v="ELSBEE5302"/>
    <x v="219"/>
    <x v="0"/>
    <n v="500"/>
    <n v="24500000"/>
    <n v="3120260"/>
    <n v="7.1380997970448838"/>
    <n v="0"/>
    <n v="500"/>
  </r>
  <r>
    <x v="0"/>
    <x v="0"/>
    <s v="ELSBEE5802"/>
    <n v="1"/>
    <s v=""/>
    <n v="0"/>
    <s v="ELSBEE5802GR"/>
    <n v="1"/>
    <s v=""/>
    <n v="0"/>
    <s v="E5"/>
    <s v="모자"/>
    <s v="ELS"/>
    <s v="BE"/>
    <x v="3"/>
    <s v="ELSBEE5802"/>
    <x v="220"/>
    <x v="0"/>
    <n v="500"/>
    <n v="22500000"/>
    <n v="3057890.0000000005"/>
    <n v="6.6891044002712485"/>
    <n v="0"/>
    <n v="500"/>
  </r>
  <r>
    <x v="0"/>
    <x v="0"/>
    <s v="ELSBEE5303"/>
    <n v="1"/>
    <s v=""/>
    <n v="0"/>
    <s v="ELSBEE5303BL"/>
    <n v="1"/>
    <s v=""/>
    <n v="0"/>
    <s v="E5"/>
    <s v="모자"/>
    <s v="ELS"/>
    <s v="BE"/>
    <x v="3"/>
    <s v="ELSBEE5303"/>
    <x v="221"/>
    <x v="0"/>
    <n v="500"/>
    <n v="24500000"/>
    <n v="3120260"/>
    <n v="7.1380997970448838"/>
    <n v="0"/>
    <n v="500"/>
  </r>
  <r>
    <x v="0"/>
    <x v="0"/>
    <s v="ELSBEE5803"/>
    <n v="1"/>
    <s v=""/>
    <n v="0"/>
    <s v="ELSBEE5803BL"/>
    <n v="1"/>
    <s v=""/>
    <n v="0"/>
    <s v="E5"/>
    <s v="모자"/>
    <s v="ELS"/>
    <s v="BE"/>
    <x v="3"/>
    <s v="ELSBEE5803"/>
    <x v="222"/>
    <x v="0"/>
    <n v="500"/>
    <n v="22500000"/>
    <n v="3057890.0000000005"/>
    <n v="6.6891044002712485"/>
    <n v="0"/>
    <n v="500"/>
  </r>
  <r>
    <x v="0"/>
    <x v="0"/>
    <s v="ELSBEE5304"/>
    <n v="0.33333333333333331"/>
    <s v=""/>
    <n v="0"/>
    <s v="ELSBEE5304BK"/>
    <n v="1"/>
    <s v=""/>
    <n v="0"/>
    <s v="E5"/>
    <s v="모자"/>
    <s v="ELS"/>
    <s v="BE"/>
    <x v="3"/>
    <s v="ELSBEE5304"/>
    <x v="223"/>
    <x v="0"/>
    <n v="500"/>
    <n v="19500000"/>
    <n v="3222055.0000000009"/>
    <n v="5.5018529253140374"/>
    <n v="0"/>
    <n v="500"/>
  </r>
  <r>
    <x v="0"/>
    <x v="0"/>
    <s v="ELSBEE5304"/>
    <n v="0.33333333333333331"/>
    <s v=""/>
    <n v="0"/>
    <s v="ELSBEE5304GR"/>
    <n v="1"/>
    <s v=""/>
    <n v="0"/>
    <s v="E5"/>
    <s v="모자"/>
    <s v="ELS"/>
    <s v="BE"/>
    <x v="3"/>
    <s v="ELSBEE5304"/>
    <x v="224"/>
    <x v="0"/>
    <n v="500"/>
    <n v="19500000"/>
    <n v="3222055.0000000009"/>
    <n v="5.5018529253140374"/>
    <n v="0"/>
    <n v="500"/>
  </r>
  <r>
    <x v="0"/>
    <x v="0"/>
    <s v="ELSBEE5304"/>
    <n v="0.33333333333333331"/>
    <s v=""/>
    <n v="0"/>
    <s v="ELSBEE5304PK"/>
    <n v="1"/>
    <s v=""/>
    <n v="0"/>
    <s v="E5"/>
    <s v="모자"/>
    <s v="ELS"/>
    <s v="BE"/>
    <x v="3"/>
    <s v="ELSBEE5304"/>
    <x v="225"/>
    <x v="0"/>
    <n v="500"/>
    <n v="19500000"/>
    <n v="3222055.0000000009"/>
    <n v="5.5018529253140374"/>
    <n v="0"/>
    <n v="500"/>
  </r>
  <r>
    <x v="0"/>
    <x v="0"/>
    <s v="JOIERE5801"/>
    <n v="1"/>
    <s v=""/>
    <n v="0"/>
    <s v="JOIERE5801PK"/>
    <n v="1"/>
    <s v=""/>
    <n v="0"/>
    <s v="E5"/>
    <s v="모자"/>
    <s v="JOI"/>
    <s v="ER"/>
    <x v="6"/>
    <s v="JOIERE5801"/>
    <x v="226"/>
    <x v="0"/>
    <n v="500"/>
    <n v="29500000"/>
    <n v="5541790"/>
    <n v="4.8392634542596911"/>
    <n v="0"/>
    <n v="500"/>
  </r>
  <r>
    <x v="0"/>
    <x v="0"/>
    <s v="JOIERE5802"/>
    <n v="1"/>
    <s v=""/>
    <n v="0"/>
    <s v="JOIERE5802OR"/>
    <n v="1"/>
    <s v=""/>
    <n v="0"/>
    <s v="E5"/>
    <s v="모자"/>
    <s v="JOI"/>
    <s v="ER"/>
    <x v="6"/>
    <s v="JOIERE5802"/>
    <x v="227"/>
    <x v="0"/>
    <n v="500"/>
    <n v="29500000"/>
    <n v="5036790"/>
    <n v="5.3244589943558926"/>
    <n v="0"/>
    <n v="500"/>
  </r>
  <r>
    <x v="1"/>
    <x v="0"/>
    <s v="VBLBAE3216"/>
    <n v="0.2"/>
    <s v=""/>
    <n v="0"/>
    <s v="VBLBAE3216GR"/>
    <n v="1"/>
    <s v=""/>
    <n v="0"/>
    <s v="E3"/>
    <s v="모자"/>
    <s v="VBL"/>
    <s v="BA"/>
    <x v="10"/>
    <s v="VBLBAE3216"/>
    <x v="228"/>
    <x v="0"/>
    <n v="1000"/>
    <n v="49000000"/>
    <n v="10020000"/>
    <n v="4.4456541462529486"/>
    <n v="1014"/>
    <n v="0"/>
  </r>
  <r>
    <x v="1"/>
    <x v="0"/>
    <s v="VBLBAE3216"/>
    <n v="0.2"/>
    <s v=""/>
    <n v="0"/>
    <s v="VBLBAE3216LI"/>
    <n v="1"/>
    <s v=""/>
    <n v="0"/>
    <s v="E3"/>
    <s v="모자"/>
    <s v="VBL"/>
    <s v="BA"/>
    <x v="10"/>
    <s v="VBLBAE3216"/>
    <x v="229"/>
    <x v="0"/>
    <n v="1000"/>
    <n v="49000000"/>
    <n v="10020000"/>
    <n v="4.4456541462529486"/>
    <n v="704"/>
    <n v="0"/>
  </r>
  <r>
    <x v="1"/>
    <x v="0"/>
    <s v="VBLBAE3216"/>
    <n v="0.2"/>
    <s v=""/>
    <n v="0"/>
    <s v="VBLBAE3216BL"/>
    <n v="1"/>
    <s v=""/>
    <n v="0"/>
    <s v="E3"/>
    <s v="모자"/>
    <s v="VBL"/>
    <s v="BA"/>
    <x v="10"/>
    <s v="VBLBAE3216"/>
    <x v="230"/>
    <x v="0"/>
    <n v="1000"/>
    <n v="49000000"/>
    <n v="10020000"/>
    <n v="4.4456541462529486"/>
    <n v="1000"/>
    <n v="0"/>
  </r>
  <r>
    <x v="1"/>
    <x v="0"/>
    <s v="VBLBAE3216"/>
    <n v="0.2"/>
    <s v=""/>
    <n v="0"/>
    <s v="VBLBAE3216RE"/>
    <n v="1"/>
    <s v=""/>
    <n v="0"/>
    <s v="E3"/>
    <s v="모자"/>
    <s v="VBL"/>
    <s v="BA"/>
    <x v="10"/>
    <s v="VBLBAE3216"/>
    <x v="231"/>
    <x v="0"/>
    <n v="1000"/>
    <n v="49000000"/>
    <n v="10020000"/>
    <n v="4.4456541462529486"/>
    <n v="1000"/>
    <n v="0"/>
  </r>
  <r>
    <x v="0"/>
    <x v="0"/>
    <s v="BMDMIE3301"/>
    <n v="0.25"/>
    <s v=""/>
    <n v="0"/>
    <s v="BMDMIE3301BK"/>
    <n v="1"/>
    <s v=""/>
    <n v="0"/>
    <s v="E3"/>
    <s v="모자"/>
    <s v="BMD"/>
    <s v="MI"/>
    <x v="18"/>
    <s v="BMDMIE3301"/>
    <x v="232"/>
    <x v="0"/>
    <n v="700"/>
    <n v="34300000"/>
    <n v="4562040.0000000009"/>
    <n v="6.8350602322246559"/>
    <n v="0"/>
    <n v="700"/>
  </r>
  <r>
    <x v="0"/>
    <x v="0"/>
    <s v="BMDMIE3301"/>
    <n v="0.25"/>
    <s v=""/>
    <n v="0"/>
    <s v="BMDMIE3301KH"/>
    <n v="1"/>
    <s v=""/>
    <n v="0"/>
    <s v="E3"/>
    <s v="모자"/>
    <s v="BMD"/>
    <s v="MI"/>
    <x v="18"/>
    <s v="BMDMIE3301"/>
    <x v="233"/>
    <x v="0"/>
    <n v="700"/>
    <n v="34300000"/>
    <n v="4389140.0000000009"/>
    <n v="7.1043115922067122"/>
    <n v="0"/>
    <n v="700"/>
  </r>
  <r>
    <x v="0"/>
    <x v="0"/>
    <s v="BMDMIE3301"/>
    <n v="0.25"/>
    <s v=""/>
    <n v="0"/>
    <s v="BMDMIE3301GY"/>
    <n v="1"/>
    <s v=""/>
    <n v="0"/>
    <s v="E3"/>
    <s v="모자"/>
    <s v="BMD"/>
    <s v="MI"/>
    <x v="18"/>
    <s v="BMDMIE3301"/>
    <x v="234"/>
    <x v="0"/>
    <n v="700"/>
    <n v="34300000"/>
    <n v="4774840.0000000009"/>
    <n v="6.5304425241093256"/>
    <n v="0"/>
    <n v="700"/>
  </r>
  <r>
    <x v="0"/>
    <x v="0"/>
    <s v="BMDERE5302"/>
    <n v="0.33333333333333331"/>
    <s v=""/>
    <n v="0"/>
    <s v="BMDERE5302BK"/>
    <n v="1"/>
    <s v=""/>
    <n v="0"/>
    <s v="E5"/>
    <s v="모자"/>
    <s v="BMD"/>
    <s v="ER"/>
    <x v="18"/>
    <s v="BMDERE5302"/>
    <x v="235"/>
    <x v="0"/>
    <n v="700"/>
    <n v="45500000"/>
    <n v="9114000"/>
    <n v="4.5384722804077642"/>
    <n v="0"/>
    <n v="700"/>
  </r>
  <r>
    <x v="0"/>
    <x v="0"/>
    <s v="BMDERE5302"/>
    <n v="0.33333333333333331"/>
    <s v=""/>
    <n v="0"/>
    <s v="BMDERE5302GY"/>
    <n v="1"/>
    <s v=""/>
    <n v="0"/>
    <s v="E5"/>
    <s v="모자"/>
    <s v="BMD"/>
    <s v="ER"/>
    <x v="18"/>
    <s v="BMDERE5302"/>
    <x v="236"/>
    <x v="0"/>
    <n v="700"/>
    <n v="45500000"/>
    <n v="9114000"/>
    <n v="4.5384722804077642"/>
    <n v="0"/>
    <n v="700"/>
  </r>
  <r>
    <x v="0"/>
    <x v="0"/>
    <s v="BMDERE5302"/>
    <n v="0.33333333333333331"/>
    <s v=""/>
    <n v="0"/>
    <s v="BMDERE5302RE"/>
    <n v="1"/>
    <s v=""/>
    <n v="0"/>
    <s v="E5"/>
    <s v="모자"/>
    <s v="BMD"/>
    <s v="ER"/>
    <x v="18"/>
    <s v="BMDERE5302"/>
    <x v="237"/>
    <x v="0"/>
    <n v="700"/>
    <n v="45500000"/>
    <n v="9114000"/>
    <n v="4.5384722804077642"/>
    <n v="0"/>
    <n v="700"/>
  </r>
  <r>
    <x v="0"/>
    <x v="0"/>
    <s v="BMDERE5303"/>
    <n v="0.5"/>
    <s v=""/>
    <n v="0"/>
    <s v="BMDERE5303BU"/>
    <n v="1"/>
    <s v=""/>
    <n v="0"/>
    <s v="E5"/>
    <s v="모자"/>
    <s v="BMD"/>
    <s v="ER"/>
    <x v="18"/>
    <s v="BMDERE5303"/>
    <x v="238"/>
    <x v="0"/>
    <n v="400"/>
    <n v="23600000"/>
    <n v="4605196"/>
    <n v="4.6587692368675411"/>
    <n v="0"/>
    <n v="400"/>
  </r>
  <r>
    <x v="0"/>
    <x v="0"/>
    <s v="BMDERE5303"/>
    <n v="0.5"/>
    <s v=""/>
    <n v="0"/>
    <s v="BMDERE5303GY"/>
    <n v="1"/>
    <s v=""/>
    <n v="0"/>
    <s v="E5"/>
    <s v="모자"/>
    <s v="BMD"/>
    <s v="ER"/>
    <x v="18"/>
    <s v="BMDERE5303"/>
    <x v="239"/>
    <x v="0"/>
    <n v="400"/>
    <n v="23600000"/>
    <n v="4584796"/>
    <n v="4.679498379981454"/>
    <n v="0"/>
    <n v="400"/>
  </r>
  <r>
    <x v="1"/>
    <x v="0"/>
    <s v="ELSFIE3211"/>
    <n v="1"/>
    <s v=""/>
    <n v="0"/>
    <s v="ELSFIE3211PK"/>
    <n v="1"/>
    <s v=""/>
    <n v="0"/>
    <s v="E3"/>
    <s v="모자"/>
    <s v="ELS"/>
    <s v="FI"/>
    <x v="3"/>
    <s v="ELSFIE3211"/>
    <x v="240"/>
    <x v="0"/>
    <n v="800"/>
    <n v="44000000"/>
    <n v="5654248.0000000009"/>
    <n v="7.0743271253754676"/>
    <n v="700"/>
    <n v="0"/>
  </r>
  <r>
    <x v="1"/>
    <x v="0"/>
    <s v="ELSFIE3711"/>
    <n v="1"/>
    <s v=""/>
    <n v="0"/>
    <s v="ELSFIE3711PK"/>
    <n v="1"/>
    <s v=""/>
    <n v="0"/>
    <s v="E3"/>
    <s v="모자"/>
    <s v="ELS"/>
    <s v="FI"/>
    <x v="3"/>
    <s v="ELSFIE3711"/>
    <x v="241"/>
    <x v="0"/>
    <n v="2000"/>
    <n v="98000000"/>
    <n v="13886140.000000002"/>
    <n v="6.4158152727042266"/>
    <n v="0"/>
    <n v="2000"/>
  </r>
  <r>
    <x v="1"/>
    <x v="0"/>
    <s v="ELSFIE3712"/>
    <n v="1"/>
    <s v=""/>
    <n v="0"/>
    <s v="ELSFIE3712BL"/>
    <n v="1"/>
    <s v=""/>
    <n v="0"/>
    <s v="E3"/>
    <s v="모자"/>
    <s v="ELS"/>
    <s v="FI"/>
    <x v="3"/>
    <s v="ELSFIE3712"/>
    <x v="242"/>
    <x v="0"/>
    <n v="1000"/>
    <n v="49000000"/>
    <n v="6693590"/>
    <n v="6.6549421977525576"/>
    <n v="900"/>
    <n v="0"/>
  </r>
  <r>
    <x v="1"/>
    <x v="0"/>
    <s v="ELSFIE3713"/>
    <n v="1"/>
    <s v=""/>
    <n v="0"/>
    <s v="ELSFIE3713PK"/>
    <n v="1"/>
    <s v=""/>
    <n v="0"/>
    <s v="E3"/>
    <s v="모자"/>
    <s v="ELS"/>
    <s v="FI"/>
    <x v="3"/>
    <s v="ELSFIE3713"/>
    <x v="243"/>
    <x v="0"/>
    <n v="2500"/>
    <n v="122500000"/>
    <n v="17045825.000000004"/>
    <n v="6.5331913453080928"/>
    <n v="0"/>
    <n v="2500"/>
  </r>
  <r>
    <x v="1"/>
    <x v="0"/>
    <s v="ELSBAE3008"/>
    <n v="0.33333333333333331"/>
    <s v=""/>
    <n v="0"/>
    <s v="ELSBAE3008BK"/>
    <n v="1"/>
    <s v=""/>
    <n v="0"/>
    <s v="E3"/>
    <s v="모자"/>
    <s v="ELS"/>
    <s v="BA"/>
    <x v="3"/>
    <s v="ELSBAE3008"/>
    <x v="244"/>
    <x v="0"/>
    <n v="5000"/>
    <n v="245000000"/>
    <n v="29552499.999999996"/>
    <n v="7.5366643338896111"/>
    <n v="0"/>
    <n v="5000"/>
  </r>
  <r>
    <x v="1"/>
    <x v="0"/>
    <s v="JILMIE3152"/>
    <n v="0.25"/>
    <s v=""/>
    <n v="0"/>
    <s v="JILMIE3152BK"/>
    <n v="1"/>
    <s v=""/>
    <n v="0"/>
    <s v="E3"/>
    <s v="모자"/>
    <s v="JIL"/>
    <s v="MI"/>
    <x v="4"/>
    <s v="JILMIE3152"/>
    <x v="245"/>
    <x v="0"/>
    <n v="2000"/>
    <n v="90000000"/>
    <n v="12474000"/>
    <n v="6.5590974681883765"/>
    <n v="2000"/>
    <n v="0"/>
  </r>
  <r>
    <x v="0"/>
    <x v="0"/>
    <s v="ELSFIE5305"/>
    <n v="0.5"/>
    <s v=""/>
    <n v="0"/>
    <s v="ELSFIE5305OR"/>
    <n v="1"/>
    <s v=""/>
    <n v="0"/>
    <s v="E5"/>
    <s v="모자"/>
    <s v="ELS"/>
    <s v="FI"/>
    <x v="3"/>
    <s v="ELSFIE5305"/>
    <x v="246"/>
    <x v="0"/>
    <n v="800"/>
    <n v="44000000"/>
    <n v="6302896.0000000009"/>
    <n v="6.3462890709286635"/>
    <n v="0"/>
    <n v="800"/>
  </r>
  <r>
    <x v="0"/>
    <x v="0"/>
    <s v="ELSFIE5305"/>
    <n v="0.5"/>
    <s v=""/>
    <n v="0"/>
    <s v="ELSFIE5305GR"/>
    <n v="1"/>
    <s v=""/>
    <n v="0"/>
    <s v="E5"/>
    <s v="모자"/>
    <s v="ELS"/>
    <s v="FI"/>
    <x v="3"/>
    <s v="ELSFIE5305"/>
    <x v="247"/>
    <x v="0"/>
    <n v="800"/>
    <n v="44000000"/>
    <n v="6302896.0000000009"/>
    <n v="6.3462890709286635"/>
    <n v="0"/>
    <n v="800"/>
  </r>
  <r>
    <x v="0"/>
    <x v="0"/>
    <s v="ELSBAE5306"/>
    <n v="0.5"/>
    <s v=""/>
    <n v="0"/>
    <s v="ELSBAE5306GR"/>
    <n v="1"/>
    <s v=""/>
    <n v="0"/>
    <s v="E5"/>
    <s v="모자"/>
    <s v="ELS"/>
    <s v="BA"/>
    <x v="3"/>
    <s v="ELSBAE5306"/>
    <x v="248"/>
    <x v="0"/>
    <n v="600"/>
    <n v="33000000"/>
    <n v="4652328.0000000009"/>
    <n v="6.4483845507023556"/>
    <n v="0"/>
    <n v="600"/>
  </r>
  <r>
    <x v="0"/>
    <x v="0"/>
    <s v="ELSBAE5306"/>
    <n v="0.5"/>
    <s v=""/>
    <n v="0"/>
    <s v="ELSBAE5306PK"/>
    <n v="1"/>
    <s v=""/>
    <n v="0"/>
    <s v="E5"/>
    <s v="모자"/>
    <s v="ELS"/>
    <s v="BA"/>
    <x v="3"/>
    <s v="ELSBAE5306"/>
    <x v="249"/>
    <x v="0"/>
    <n v="600"/>
    <n v="33000000"/>
    <n v="4652328.0000000009"/>
    <n v="6.4483845507023556"/>
    <n v="0"/>
    <n v="600"/>
  </r>
  <r>
    <x v="0"/>
    <x v="0"/>
    <s v="ELSERE5309"/>
    <n v="1"/>
    <s v=""/>
    <n v="0"/>
    <s v="ELSERE5309PK"/>
    <n v="1"/>
    <s v=""/>
    <n v="0"/>
    <s v="E5"/>
    <s v="모자"/>
    <s v="ELS"/>
    <s v="ER"/>
    <x v="3"/>
    <s v="ELSERE5309"/>
    <x v="250"/>
    <x v="0"/>
    <n v="1000"/>
    <n v="59000000"/>
    <n v="8751800.0000000019"/>
    <n v="6.1286093873675833"/>
    <n v="0"/>
    <n v="1000"/>
  </r>
  <r>
    <x v="0"/>
    <x v="0"/>
    <s v="ELSBAE3311"/>
    <n v="0.25"/>
    <s v=""/>
    <n v="0"/>
    <s v="ELSBAE3311LI"/>
    <n v="0.5"/>
    <s v=""/>
    <n v="0"/>
    <s v="E3"/>
    <s v="모자"/>
    <s v="ELS"/>
    <s v="BA"/>
    <x v="3"/>
    <s v="ELSBAE3311"/>
    <x v="251"/>
    <x v="0"/>
    <n v="600"/>
    <n v="29400000"/>
    <n v="4577484"/>
    <n v="5.8388566136490541"/>
    <n v="0"/>
    <n v="600"/>
  </r>
  <r>
    <x v="0"/>
    <x v="0"/>
    <s v="ELSBAE3811"/>
    <n v="0.25"/>
    <s v=""/>
    <n v="0"/>
    <s v="ELSBAE3811LI"/>
    <n v="0.5"/>
    <s v=""/>
    <n v="0"/>
    <s v="E3"/>
    <s v="모자"/>
    <s v="ELS"/>
    <s v="BA"/>
    <x v="3"/>
    <s v="ELSBAE3811"/>
    <x v="252"/>
    <x v="0"/>
    <n v="600"/>
    <n v="25800000"/>
    <n v="4502640.0000000009"/>
    <n v="5.209065227187927"/>
    <n v="0"/>
    <n v="600"/>
  </r>
  <r>
    <x v="0"/>
    <x v="0"/>
    <s v="ELSBAE3311"/>
    <n v="0.25"/>
    <s v=""/>
    <n v="0"/>
    <s v="ELSBAE3311PK"/>
    <n v="0.5"/>
    <s v=""/>
    <n v="0"/>
    <s v="E3"/>
    <s v="모자"/>
    <s v="ELS"/>
    <s v="BA"/>
    <x v="3"/>
    <s v="ELSBAE3311"/>
    <x v="253"/>
    <x v="0"/>
    <n v="600"/>
    <n v="29400000"/>
    <n v="4577484"/>
    <n v="5.8388566136490541"/>
    <n v="0"/>
    <n v="600"/>
  </r>
  <r>
    <x v="0"/>
    <x v="0"/>
    <s v="ELSBAE3811"/>
    <n v="0.25"/>
    <s v=""/>
    <n v="0"/>
    <s v="ELSBAE3811PK"/>
    <n v="0.5"/>
    <s v=""/>
    <n v="0"/>
    <s v="E3"/>
    <s v="모자"/>
    <s v="ELS"/>
    <s v="BA"/>
    <x v="3"/>
    <s v="ELSBAE3811"/>
    <x v="254"/>
    <x v="0"/>
    <n v="600"/>
    <n v="25800000"/>
    <n v="4502640.0000000009"/>
    <n v="5.209065227187927"/>
    <n v="0"/>
    <n v="600"/>
  </r>
  <r>
    <x v="0"/>
    <x v="0"/>
    <s v="ELSBAE3312"/>
    <n v="0.5"/>
    <s v=""/>
    <n v="0"/>
    <s v="ELSBAE3312NY"/>
    <n v="0.5"/>
    <s v=""/>
    <n v="0"/>
    <s v="E3"/>
    <s v="모자"/>
    <s v="ELS"/>
    <s v="BA"/>
    <x v="3"/>
    <s v="ELSBAE3312"/>
    <x v="255"/>
    <x v="0"/>
    <n v="600"/>
    <n v="29400000"/>
    <n v="4727172.0000000009"/>
    <n v="5.653966626827355"/>
    <n v="0"/>
    <n v="600"/>
  </r>
  <r>
    <x v="0"/>
    <x v="0"/>
    <s v="ELSBAE3812"/>
    <n v="0.5"/>
    <s v=""/>
    <n v="0"/>
    <s v="ELSBAE3812NY"/>
    <n v="0.5"/>
    <s v=""/>
    <n v="0"/>
    <s v="E3"/>
    <s v="모자"/>
    <s v="ELS"/>
    <s v="BA"/>
    <x v="3"/>
    <s v="ELSBAE3812"/>
    <x v="256"/>
    <x v="0"/>
    <n v="600"/>
    <n v="25800000"/>
    <n v="4652328.0000000009"/>
    <n v="5.0414642850945688"/>
    <n v="0"/>
    <n v="600"/>
  </r>
  <r>
    <x v="0"/>
    <x v="0"/>
    <s v="ELSBAE3307"/>
    <n v="0.5"/>
    <s v=""/>
    <n v="0"/>
    <s v="ELSBAE3307OR"/>
    <n v="0.5"/>
    <s v=""/>
    <n v="0"/>
    <s v="E3"/>
    <s v="모자"/>
    <s v="ELS"/>
    <s v="BA"/>
    <x v="3"/>
    <s v="ELSBAE3307"/>
    <x v="257"/>
    <x v="0"/>
    <n v="600"/>
    <n v="29400000"/>
    <n v="5700144"/>
    <n v="4.6888767594770808"/>
    <n v="0"/>
    <n v="600"/>
  </r>
  <r>
    <x v="0"/>
    <x v="0"/>
    <s v="ELSERE5308"/>
    <n v="1"/>
    <s v=""/>
    <n v="0"/>
    <s v="ELSERE5308OR"/>
    <n v="1"/>
    <s v=""/>
    <n v="0"/>
    <s v="E5"/>
    <s v="모자"/>
    <s v="ELS"/>
    <s v="ER"/>
    <x v="3"/>
    <s v="ELSERE5308"/>
    <x v="258"/>
    <x v="0"/>
    <n v="1000"/>
    <n v="59000000"/>
    <n v="9126020"/>
    <n v="5.8773006892778712"/>
    <n v="0"/>
    <n v="1000"/>
  </r>
  <r>
    <x v="0"/>
    <x v="0"/>
    <s v="ELSERE5310"/>
    <n v="0.5"/>
    <s v=""/>
    <n v="0"/>
    <s v="ELSERE5310YE"/>
    <n v="1"/>
    <s v=""/>
    <n v="0"/>
    <s v="E5"/>
    <s v="모자"/>
    <s v="ELS"/>
    <s v="ER"/>
    <x v="3"/>
    <s v="ELSERE5310"/>
    <x v="259"/>
    <x v="0"/>
    <n v="800"/>
    <n v="47200000"/>
    <n v="7600192"/>
    <n v="5.6457903838601577"/>
    <n v="0"/>
    <n v="800"/>
  </r>
  <r>
    <x v="0"/>
    <x v="0"/>
    <s v="ELSERE5810"/>
    <n v="0.5"/>
    <s v=""/>
    <n v="0"/>
    <s v="ELSERE5810YE"/>
    <n v="1"/>
    <s v=""/>
    <n v="0"/>
    <s v="E5"/>
    <s v="모자"/>
    <s v="ELS"/>
    <s v="ER"/>
    <x v="3"/>
    <s v="ELSERE5810"/>
    <x v="260"/>
    <x v="0"/>
    <n v="800"/>
    <n v="44000000"/>
    <n v="7500400"/>
    <n v="5.3330489040584492"/>
    <n v="0"/>
    <n v="800"/>
  </r>
  <r>
    <x v="0"/>
    <x v="0"/>
    <s v="ELSERE5310"/>
    <n v="0.5"/>
    <s v=""/>
    <n v="0"/>
    <s v="ELSERE5310PK"/>
    <n v="1"/>
    <s v=""/>
    <n v="0"/>
    <s v="E5"/>
    <s v="모자"/>
    <s v="ELS"/>
    <s v="ER"/>
    <x v="3"/>
    <s v="ELSERE5310"/>
    <x v="261"/>
    <x v="0"/>
    <n v="800"/>
    <n v="47200000"/>
    <n v="7699984.0000000009"/>
    <n v="5.5726207884446124"/>
    <n v="0"/>
    <n v="800"/>
  </r>
  <r>
    <x v="0"/>
    <x v="0"/>
    <s v="ELSERE5810"/>
    <n v="0.5"/>
    <s v=""/>
    <n v="0"/>
    <s v="ELSERE5810PK"/>
    <n v="1"/>
    <s v=""/>
    <n v="0"/>
    <s v="E5"/>
    <s v="모자"/>
    <s v="ELS"/>
    <s v="ER"/>
    <x v="3"/>
    <s v="ELSERE5810"/>
    <x v="262"/>
    <x v="0"/>
    <n v="800"/>
    <n v="44000000"/>
    <n v="7500400"/>
    <n v="5.3330489040584492"/>
    <n v="0"/>
    <n v="800"/>
  </r>
  <r>
    <x v="0"/>
    <x v="0"/>
    <s v="ELSERE5313"/>
    <n v="1"/>
    <s v=""/>
    <n v="0"/>
    <s v="ELSERE5313NY"/>
    <n v="1"/>
    <s v=""/>
    <n v="0"/>
    <s v="E5"/>
    <s v="모자"/>
    <s v="ELS"/>
    <s v="ER"/>
    <x v="3"/>
    <s v="ELSERE5313"/>
    <x v="263"/>
    <x v="0"/>
    <n v="1000"/>
    <n v="69000000"/>
    <n v="14500000"/>
    <n v="4.3260188087774294"/>
    <n v="0"/>
    <n v="1000"/>
  </r>
  <r>
    <x v="0"/>
    <x v="0"/>
    <s v="ELSERE5316"/>
    <n v="1"/>
    <s v=""/>
    <n v="0"/>
    <s v="ELSERE5316BL"/>
    <n v="1"/>
    <s v=""/>
    <n v="0"/>
    <s v="E5"/>
    <s v="모자"/>
    <s v="ELS"/>
    <s v="ER"/>
    <x v="3"/>
    <s v="ELSERE5316"/>
    <x v="264"/>
    <x v="0"/>
    <n v="800"/>
    <n v="55200000"/>
    <n v="12400000"/>
    <n v="4.0469208211143686"/>
    <n v="0"/>
    <n v="800"/>
  </r>
  <r>
    <x v="0"/>
    <x v="0"/>
    <s v="ELSERE5816"/>
    <n v="1"/>
    <s v=""/>
    <n v="0"/>
    <s v="ELSERE5816BL"/>
    <n v="1"/>
    <s v=""/>
    <n v="0"/>
    <s v="E5"/>
    <s v="모자"/>
    <s v="ELS"/>
    <s v="ER"/>
    <x v="3"/>
    <s v="ELSERE5816"/>
    <x v="265"/>
    <x v="0"/>
    <n v="1000"/>
    <n v="65000000"/>
    <n v="15000000"/>
    <n v="3.939393939393939"/>
    <n v="0"/>
    <n v="1000"/>
  </r>
  <r>
    <x v="0"/>
    <x v="0"/>
    <s v="ELSFAE3818"/>
    <n v="1"/>
    <s v=""/>
    <n v="0"/>
    <s v="ELSFAE3818BL"/>
    <n v="1"/>
    <s v=""/>
    <n v="0"/>
    <s v="E3"/>
    <s v="모자"/>
    <s v="ELS"/>
    <s v="FA"/>
    <x v="3"/>
    <s v="ELSFAE3818"/>
    <x v="266"/>
    <x v="0"/>
    <n v="400"/>
    <n v="23600000"/>
    <n v="3992396"/>
    <n v="5.3738520563955712"/>
    <n v="0"/>
    <n v="400"/>
  </r>
  <r>
    <x v="0"/>
    <x v="0"/>
    <s v="BMDMIE3301"/>
    <n v="0.25"/>
    <s v=""/>
    <n v="0"/>
    <s v="BMDMIE3301BL"/>
    <n v="1"/>
    <s v=""/>
    <n v="0"/>
    <s v="E3"/>
    <s v="모자"/>
    <s v="BMD"/>
    <s v="MI"/>
    <x v="18"/>
    <s v="BMDMIE3301"/>
    <x v="267"/>
    <x v="0"/>
    <n v="700"/>
    <n v="34300000"/>
    <n v="4700640.0000000009"/>
    <n v="6.633526111724823"/>
    <n v="0"/>
    <n v="700"/>
  </r>
  <r>
    <x v="1"/>
    <x v="0"/>
    <s v="ELSBAE3008"/>
    <n v="0.33333333333333331"/>
    <s v=""/>
    <n v="0"/>
    <s v="ELSBAE3008BW"/>
    <n v="1"/>
    <s v=""/>
    <n v="0"/>
    <s v="E3"/>
    <s v="모자"/>
    <s v="ELS"/>
    <s v="BA"/>
    <x v="3"/>
    <s v="ELSBAE3008"/>
    <x v="268"/>
    <x v="0"/>
    <n v="2000"/>
    <n v="98000000"/>
    <n v="13091500.000000002"/>
    <n v="6.8052483742053296"/>
    <n v="0"/>
    <n v="2000"/>
  </r>
  <r>
    <x v="1"/>
    <x v="0"/>
    <s v="ELSFIE3620"/>
    <n v="0.33333333333333331"/>
    <s v=""/>
    <n v="0"/>
    <s v="ELSFIE3620RE"/>
    <n v="1"/>
    <s v=""/>
    <n v="0"/>
    <s v="E3"/>
    <s v="모자"/>
    <s v="ELS"/>
    <s v="FI"/>
    <x v="3"/>
    <s v="ELSFIE3620"/>
    <x v="269"/>
    <x v="0"/>
    <n v="3000"/>
    <n v="129000000"/>
    <n v="13573500"/>
    <n v="8.6398296145229505"/>
    <n v="0"/>
    <n v="3000"/>
  </r>
  <r>
    <x v="1"/>
    <x v="0"/>
    <s v="ELSFIE3620"/>
    <n v="0.33333333333333331"/>
    <s v=""/>
    <n v="0"/>
    <s v="ELSFIE3620YE"/>
    <n v="1"/>
    <s v=""/>
    <n v="0"/>
    <s v="E3"/>
    <s v="모자"/>
    <s v="ELS"/>
    <s v="FI"/>
    <x v="3"/>
    <s v="ELSFIE3620"/>
    <x v="270"/>
    <x v="0"/>
    <n v="2000"/>
    <n v="86000000"/>
    <n v="9049000"/>
    <n v="8.6398296145229505"/>
    <n v="0"/>
    <n v="2000"/>
  </r>
  <r>
    <x v="1"/>
    <x v="0"/>
    <s v="ELSFIE3640"/>
    <n v="1"/>
    <s v=""/>
    <n v="0"/>
    <s v="ELSFIE3640GR"/>
    <n v="1"/>
    <s v=""/>
    <n v="0"/>
    <s v="E3"/>
    <s v="모자"/>
    <s v="ELS"/>
    <s v="FI"/>
    <x v="3"/>
    <s v="ELSFIE3640"/>
    <x v="271"/>
    <x v="0"/>
    <n v="1000"/>
    <n v="43000000"/>
    <n v="5506250"/>
    <n v="7.0993705499948394"/>
    <n v="0"/>
    <n v="1000"/>
  </r>
  <r>
    <x v="1"/>
    <x v="0"/>
    <s v="SMBFIE3205"/>
    <n v="1"/>
    <s v=""/>
    <n v="0"/>
    <s v="SMBFIE3205BK"/>
    <n v="1"/>
    <s v=""/>
    <n v="0"/>
    <s v="E3"/>
    <s v="모자"/>
    <s v="SMB"/>
    <s v="FI"/>
    <x v="13"/>
    <s v="SMBFIE3205"/>
    <x v="272"/>
    <x v="0"/>
    <n v="1000"/>
    <n v="49000000"/>
    <n v="7179250"/>
    <n v="6.2047504329079697"/>
    <n v="1000"/>
    <n v="0"/>
  </r>
  <r>
    <x v="1"/>
    <x v="0"/>
    <s v="SMBFIE3702"/>
    <n v="1"/>
    <s v=""/>
    <n v="0"/>
    <s v="SMBFIE3702RE"/>
    <n v="1"/>
    <s v=""/>
    <n v="0"/>
    <s v="E3"/>
    <s v="모자"/>
    <s v="SMB"/>
    <s v="FI"/>
    <x v="13"/>
    <s v="SMBFIE3702"/>
    <x v="273"/>
    <x v="0"/>
    <n v="1000"/>
    <n v="43000000"/>
    <n v="6832750"/>
    <n v="5.7211092299453492"/>
    <n v="0"/>
    <n v="1000"/>
  </r>
  <r>
    <x v="1"/>
    <x v="0"/>
    <s v="SMBFIE3705"/>
    <n v="1"/>
    <s v=""/>
    <n v="0"/>
    <s v="SMBFIE3705BK"/>
    <n v="1"/>
    <s v=""/>
    <n v="0"/>
    <s v="E3"/>
    <s v="모자"/>
    <s v="SMB"/>
    <s v="FI"/>
    <x v="13"/>
    <s v="SMBFIE3705"/>
    <x v="274"/>
    <x v="0"/>
    <n v="2000"/>
    <n v="86000000"/>
    <n v="14012000.000000002"/>
    <n v="5.5796330418083189"/>
    <n v="1300"/>
    <n v="700"/>
  </r>
  <r>
    <x v="1"/>
    <x v="0"/>
    <s v="SMBFLE3742"/>
    <n v="1"/>
    <s v=""/>
    <n v="0"/>
    <s v="SMBFLE3742NY"/>
    <n v="1"/>
    <s v=""/>
    <n v="0"/>
    <s v="E3"/>
    <s v="모자"/>
    <s v="SMB"/>
    <s v="FL"/>
    <x v="13"/>
    <s v="SMBFLE3742"/>
    <x v="275"/>
    <x v="0"/>
    <n v="1000"/>
    <n v="43000000"/>
    <n v="6544000"/>
    <n v="5.9735496777061563"/>
    <n v="0"/>
    <n v="1000"/>
  </r>
  <r>
    <x v="1"/>
    <x v="0"/>
    <s v="SMBFLE3757"/>
    <n v="1"/>
    <s v=""/>
    <n v="0"/>
    <s v="SMBFLE3757PK"/>
    <n v="1"/>
    <s v=""/>
    <n v="0"/>
    <s v="E3"/>
    <s v="모자"/>
    <s v="SMB"/>
    <s v="FL"/>
    <x v="13"/>
    <s v="SMBFLE3757"/>
    <x v="276"/>
    <x v="0"/>
    <n v="1000"/>
    <n v="43000000"/>
    <n v="6890499.9999999991"/>
    <n v="5.6731600160959426"/>
    <n v="0"/>
    <n v="1000"/>
  </r>
  <r>
    <x v="0"/>
    <x v="0"/>
    <s v="NOVERE5318"/>
    <n v="1"/>
    <s v=""/>
    <n v="0"/>
    <s v="NOVERE5318RE"/>
    <n v="1"/>
    <s v=""/>
    <n v="0"/>
    <s v="E5"/>
    <s v="모자"/>
    <s v="NOV"/>
    <s v="ER"/>
    <x v="11"/>
    <s v="NOVERE5318"/>
    <x v="277"/>
    <x v="0"/>
    <n v="500"/>
    <n v="29500000"/>
    <n v="2856450.0000000005"/>
    <n v="9.3886403816561845"/>
    <n v="0"/>
    <n v="500"/>
  </r>
  <r>
    <x v="0"/>
    <x v="0"/>
    <s v="NOVBAE5319"/>
    <n v="1"/>
    <s v=""/>
    <n v="0"/>
    <s v="NOVBAE5319NY"/>
    <n v="1"/>
    <s v=""/>
    <n v="0"/>
    <s v="E5"/>
    <s v="모자"/>
    <s v="NOV"/>
    <s v="BA"/>
    <x v="11"/>
    <s v="NOVBAE5319"/>
    <x v="278"/>
    <x v="0"/>
    <n v="700"/>
    <n v="34300000"/>
    <n v="3258381"/>
    <n v="9.5697274756445552"/>
    <n v="0"/>
    <n v="700"/>
  </r>
  <r>
    <x v="0"/>
    <x v="0"/>
    <s v="NOVBAE5819"/>
    <n v="1"/>
    <s v=""/>
    <n v="0"/>
    <s v="NOVBAE5819NY"/>
    <n v="1"/>
    <s v=""/>
    <n v="0"/>
    <s v="E5"/>
    <s v="모자"/>
    <s v="NOV"/>
    <s v="BA"/>
    <x v="11"/>
    <s v="NOVBAE5819"/>
    <x v="279"/>
    <x v="0"/>
    <n v="500"/>
    <n v="22500000"/>
    <n v="2267230"/>
    <n v="9.0218219830125115"/>
    <n v="0"/>
    <n v="500"/>
  </r>
  <r>
    <x v="0"/>
    <x v="0"/>
    <s v="NOVMIE5320"/>
    <n v="1"/>
    <s v=""/>
    <n v="0"/>
    <s v="NOVMIE5320KH"/>
    <n v="1"/>
    <s v=""/>
    <n v="0"/>
    <s v="E5"/>
    <s v="모자"/>
    <s v="NOV"/>
    <s v="MI"/>
    <x v="11"/>
    <s v="NOVMIE5320"/>
    <x v="280"/>
    <x v="0"/>
    <n v="700"/>
    <n v="34300000"/>
    <n v="3140081"/>
    <n v="9.9302591817912287"/>
    <n v="0"/>
    <n v="700"/>
  </r>
  <r>
    <x v="0"/>
    <x v="0"/>
    <s v="NOVMIE5820"/>
    <n v="1"/>
    <s v=""/>
    <n v="0"/>
    <s v="NOVMIE5820KH"/>
    <n v="1"/>
    <s v=""/>
    <n v="0"/>
    <s v="E5"/>
    <s v="모자"/>
    <s v="NOV"/>
    <s v="MI"/>
    <x v="11"/>
    <s v="NOVMIE5820"/>
    <x v="281"/>
    <x v="0"/>
    <n v="500"/>
    <n v="22500000"/>
    <n v="2190730"/>
    <n v="9.3368628057978178"/>
    <n v="0"/>
    <n v="500"/>
  </r>
  <r>
    <x v="0"/>
    <x v="0"/>
    <s v="NOVBAE3321"/>
    <n v="1"/>
    <s v=""/>
    <n v="0"/>
    <s v="NOVBAE3321NY"/>
    <n v="1"/>
    <s v=""/>
    <n v="0"/>
    <s v="E3"/>
    <s v="모자"/>
    <s v="NOV"/>
    <s v="BA"/>
    <x v="11"/>
    <s v="NOVBAE3321"/>
    <x v="282"/>
    <x v="0"/>
    <n v="500"/>
    <n v="22500000"/>
    <n v="2777600.0000000005"/>
    <n v="7.3641076665270191"/>
    <n v="0"/>
    <n v="500"/>
  </r>
  <r>
    <x v="0"/>
    <x v="0"/>
    <s v="VBLBAE3306"/>
    <n v="1"/>
    <s v=""/>
    <n v="0"/>
    <s v="VBLBAE3306NY"/>
    <n v="1"/>
    <s v=""/>
    <n v="0"/>
    <s v="E3"/>
    <s v="모자"/>
    <s v="VBL"/>
    <s v="BA"/>
    <x v="10"/>
    <s v="VBLBAE3306"/>
    <x v="283"/>
    <x v="0"/>
    <n v="700"/>
    <n v="34300000"/>
    <n v="3180081.0000000005"/>
    <n v="9.8053534428268243"/>
    <n v="0"/>
    <n v="700"/>
  </r>
  <r>
    <x v="0"/>
    <x v="0"/>
    <s v="VBLBAE3309"/>
    <n v="1"/>
    <s v=""/>
    <n v="0"/>
    <s v="VBLBAE3309GR"/>
    <n v="1"/>
    <s v=""/>
    <n v="0"/>
    <s v="E3"/>
    <s v="모자"/>
    <s v="VBL"/>
    <s v="BA"/>
    <x v="10"/>
    <s v="VBLBAE3309"/>
    <x v="284"/>
    <x v="0"/>
    <n v="500"/>
    <n v="24500000"/>
    <n v="2297715"/>
    <n v="9.6934246730892522"/>
    <n v="0"/>
    <n v="500"/>
  </r>
  <r>
    <x v="0"/>
    <x v="0"/>
    <s v="VBLBAE3310"/>
    <n v="1"/>
    <s v=""/>
    <n v="0"/>
    <s v="VBLBAE3310RE"/>
    <n v="1"/>
    <s v=""/>
    <n v="0"/>
    <s v="E3"/>
    <s v="모자"/>
    <s v="VBL"/>
    <s v="BA"/>
    <x v="10"/>
    <s v="VBLBAE3310"/>
    <x v="285"/>
    <x v="0"/>
    <n v="500"/>
    <n v="24500000"/>
    <n v="2296830"/>
    <n v="9.6971596821389792"/>
    <n v="0"/>
    <n v="500"/>
  </r>
  <r>
    <x v="0"/>
    <x v="0"/>
    <s v="VBLBAE3311"/>
    <n v="1"/>
    <s v=""/>
    <n v="0"/>
    <s v="VBLBAE3311NY"/>
    <n v="1"/>
    <s v=""/>
    <n v="0"/>
    <s v="E3"/>
    <s v="모자"/>
    <s v="VBL"/>
    <s v="BA"/>
    <x v="10"/>
    <s v="VBLBAE3311"/>
    <x v="286"/>
    <x v="0"/>
    <n v="700"/>
    <n v="34300000"/>
    <n v="3408681.0000000005"/>
    <n v="9.1477665941219417"/>
    <n v="0"/>
    <n v="700"/>
  </r>
  <r>
    <x v="0"/>
    <x v="0"/>
    <s v="VBLBAE3811"/>
    <n v="1"/>
    <s v=""/>
    <n v="0"/>
    <s v="VBLBAE3811NY"/>
    <n v="1"/>
    <s v=""/>
    <n v="0"/>
    <s v="E3"/>
    <s v="모자"/>
    <s v="VBL"/>
    <s v="BA"/>
    <x v="10"/>
    <s v="VBLBAE3811"/>
    <x v="287"/>
    <x v="0"/>
    <n v="500"/>
    <n v="22500000"/>
    <n v="2411315"/>
    <n v="8.4827347130281421"/>
    <n v="0"/>
    <n v="500"/>
  </r>
  <r>
    <x v="0"/>
    <x v="0"/>
    <s v="VBLBAE3312"/>
    <n v="0.5"/>
    <s v=""/>
    <n v="0"/>
    <s v="VBLBAE3312BK"/>
    <n v="0.5"/>
    <s v=""/>
    <n v="0"/>
    <s v="E3"/>
    <s v="모자"/>
    <s v="VBL"/>
    <s v="BA"/>
    <x v="10"/>
    <s v="VBLBAE3312"/>
    <x v="288"/>
    <x v="0"/>
    <n v="700"/>
    <n v="38500000"/>
    <n v="3613676.0000000005"/>
    <n v="9.6854283560562688"/>
    <n v="0"/>
    <n v="700"/>
  </r>
  <r>
    <x v="0"/>
    <x v="0"/>
    <s v="VBLBAE3812"/>
    <n v="0.5"/>
    <s v=""/>
    <n v="0"/>
    <s v="VBLBAE3812BK"/>
    <n v="0.5"/>
    <s v=""/>
    <n v="0"/>
    <s v="E3"/>
    <s v="모자"/>
    <s v="VBL"/>
    <s v="BA"/>
    <x v="10"/>
    <s v="VBLBAE3812"/>
    <x v="289"/>
    <x v="0"/>
    <n v="500"/>
    <n v="26500000"/>
    <n v="2568640.0000000005"/>
    <n v="9.3788577188352917"/>
    <n v="0"/>
    <n v="500"/>
  </r>
  <r>
    <x v="0"/>
    <x v="0"/>
    <s v="VBLBAE3313"/>
    <n v="1"/>
    <s v=""/>
    <n v="0"/>
    <s v="VBLBAE3313BL"/>
    <n v="1"/>
    <s v=""/>
    <n v="0"/>
    <s v="E3"/>
    <s v="모자"/>
    <s v="VBL"/>
    <s v="BA"/>
    <x v="10"/>
    <s v="VBLBAE3313"/>
    <x v="290"/>
    <x v="0"/>
    <n v="700"/>
    <n v="41300000"/>
    <n v="3807271.0000000005"/>
    <n v="9.861513547487041"/>
    <n v="0"/>
    <n v="700"/>
  </r>
  <r>
    <x v="0"/>
    <x v="0"/>
    <s v="VBLBAE3813"/>
    <n v="1"/>
    <s v=""/>
    <n v="0"/>
    <s v="VBLBAE3813BL"/>
    <n v="1"/>
    <s v=""/>
    <n v="0"/>
    <s v="E3"/>
    <s v="모자"/>
    <s v="VBL"/>
    <s v="BA"/>
    <x v="10"/>
    <s v="VBLBAE3813"/>
    <x v="291"/>
    <x v="0"/>
    <n v="500"/>
    <n v="27500000"/>
    <n v="2747365.0000000005"/>
    <n v="9.0996281891921864"/>
    <n v="0"/>
    <n v="500"/>
  </r>
  <r>
    <x v="0"/>
    <x v="0"/>
    <s v="VBLBAE3305"/>
    <n v="1"/>
    <s v=""/>
    <n v="0"/>
    <s v="VBLBAE3305GY"/>
    <n v="1"/>
    <s v=""/>
    <n v="0"/>
    <s v="E3"/>
    <s v="모자"/>
    <s v="VBL"/>
    <s v="BA"/>
    <x v="10"/>
    <s v="VBLBAE3305"/>
    <x v="292"/>
    <x v="0"/>
    <n v="700"/>
    <n v="38500000"/>
    <n v="3994425"/>
    <n v="8.7622123334397308"/>
    <n v="0"/>
    <n v="700"/>
  </r>
  <r>
    <x v="0"/>
    <x v="0"/>
    <s v="VBLBAE3307"/>
    <n v="1"/>
    <s v=""/>
    <n v="0"/>
    <s v="VBLBAE3307OR"/>
    <n v="1"/>
    <s v=""/>
    <n v="0"/>
    <s v="E3"/>
    <s v="모자"/>
    <s v="VBL"/>
    <s v="BA"/>
    <x v="10"/>
    <s v="VBLBAE3307"/>
    <x v="293"/>
    <x v="0"/>
    <n v="500"/>
    <n v="24500000"/>
    <n v="2406915"/>
    <n v="9.2536409772373656"/>
    <n v="0"/>
    <n v="500"/>
  </r>
  <r>
    <x v="0"/>
    <x v="0"/>
    <s v="VBLBAE3308"/>
    <n v="1"/>
    <s v=""/>
    <n v="0"/>
    <s v="VBLBAE3308OR"/>
    <n v="1"/>
    <s v=""/>
    <n v="0"/>
    <s v="E3"/>
    <s v="모자"/>
    <s v="VBL"/>
    <s v="BA"/>
    <x v="10"/>
    <s v="VBLBAE3308"/>
    <x v="294"/>
    <x v="0"/>
    <n v="700"/>
    <n v="38500000"/>
    <n v="3237022"/>
    <n v="10.812407206376724"/>
    <n v="0"/>
    <n v="700"/>
  </r>
  <r>
    <x v="0"/>
    <x v="0"/>
    <s v="VBLERE5314"/>
    <n v="1"/>
    <s v=""/>
    <n v="0"/>
    <s v="VBLERE5314BK"/>
    <n v="1"/>
    <s v=""/>
    <n v="0"/>
    <s v="E5"/>
    <s v="모자"/>
    <s v="VBL"/>
    <s v="ER"/>
    <x v="10"/>
    <s v="VBLERE5314"/>
    <x v="295"/>
    <x v="0"/>
    <n v="450"/>
    <n v="26550000"/>
    <n v="2441556"/>
    <n v="9.885648183520523"/>
    <n v="0"/>
    <n v="450"/>
  </r>
  <r>
    <x v="0"/>
    <x v="0"/>
    <s v="VBLERE5814"/>
    <n v="1"/>
    <s v=""/>
    <n v="0"/>
    <s v="VBLERE5814BK"/>
    <n v="1"/>
    <s v=""/>
    <n v="0"/>
    <s v="E5"/>
    <s v="모자"/>
    <s v="VBL"/>
    <s v="ER"/>
    <x v="10"/>
    <s v="VBLERE5814"/>
    <x v="296"/>
    <x v="0"/>
    <n v="400"/>
    <n v="22000000"/>
    <n v="2170272"/>
    <n v="9.2154347473496401"/>
    <n v="0"/>
    <n v="400"/>
  </r>
  <r>
    <x v="0"/>
    <x v="0"/>
    <s v="VBLERE5315"/>
    <n v="0.5"/>
    <s v=""/>
    <n v="0"/>
    <s v="VBLERE5315GY"/>
    <n v="0.5"/>
    <s v=""/>
    <n v="0"/>
    <s v="E5"/>
    <s v="모자"/>
    <s v="VBL"/>
    <s v="ER"/>
    <x v="10"/>
    <s v="VBLERE5315"/>
    <x v="297"/>
    <x v="0"/>
    <n v="700"/>
    <n v="45500000"/>
    <n v="4147276"/>
    <n v="9.9736878769670394"/>
    <n v="0"/>
    <n v="700"/>
  </r>
  <r>
    <x v="0"/>
    <x v="0"/>
    <s v="JILMIE5317"/>
    <n v="0.33333333333333331"/>
    <s v=""/>
    <n v="0"/>
    <s v="JILMIE5317BL"/>
    <n v="1"/>
    <s v=""/>
    <n v="0"/>
    <s v="E5"/>
    <s v="모자"/>
    <s v="JIL"/>
    <s v="MI"/>
    <x v="4"/>
    <s v="JILMIE5317"/>
    <x v="298"/>
    <x v="0"/>
    <n v="500"/>
    <n v="22500000"/>
    <n v="3246505"/>
    <n v="6.3004817348334443"/>
    <n v="0"/>
    <n v="500"/>
  </r>
  <r>
    <x v="0"/>
    <x v="0"/>
    <s v="JILMIE5317"/>
    <n v="0.33333333333333331"/>
    <s v=""/>
    <n v="0"/>
    <s v="JILMIE5317GY"/>
    <n v="1"/>
    <s v=""/>
    <n v="0"/>
    <s v="E5"/>
    <s v="모자"/>
    <s v="JIL"/>
    <s v="MI"/>
    <x v="4"/>
    <s v="JILMIE5317"/>
    <x v="299"/>
    <x v="0"/>
    <n v="700"/>
    <n v="31500000"/>
    <n v="4501707"/>
    <n v="6.3612233395828817"/>
    <n v="0"/>
    <n v="700"/>
  </r>
  <r>
    <x v="0"/>
    <x v="0"/>
    <s v="JILMIE5317"/>
    <n v="0.33333333333333331"/>
    <s v=""/>
    <n v="0"/>
    <s v="JILMIE5317KH"/>
    <n v="1"/>
    <s v=""/>
    <n v="0"/>
    <s v="E5"/>
    <s v="모자"/>
    <s v="JIL"/>
    <s v="MI"/>
    <x v="4"/>
    <s v="JILMIE5317"/>
    <x v="300"/>
    <x v="0"/>
    <n v="700"/>
    <n v="31500000"/>
    <n v="4679507"/>
    <n v="6.119525761231607"/>
    <n v="0"/>
    <n v="700"/>
  </r>
  <r>
    <x v="0"/>
    <x v="0"/>
    <s v="JILMIE5318"/>
    <n v="1"/>
    <s v=""/>
    <n v="0"/>
    <s v="JILMIE5318KH"/>
    <n v="1"/>
    <s v=""/>
    <n v="0"/>
    <s v="E5"/>
    <s v="모자"/>
    <s v="JIL"/>
    <s v="MI"/>
    <x v="4"/>
    <s v="JILMIE5318"/>
    <x v="301"/>
    <x v="0"/>
    <n v="500"/>
    <n v="19500000"/>
    <n v="2876450.0000000005"/>
    <n v="6.1628996600923784"/>
    <n v="0"/>
    <n v="500"/>
  </r>
  <r>
    <x v="0"/>
    <x v="0"/>
    <s v="JILMIE5319"/>
    <n v="1"/>
    <s v=""/>
    <n v="0"/>
    <s v="JILMIE5319GY"/>
    <n v="1"/>
    <s v=""/>
    <n v="0"/>
    <s v="E5"/>
    <s v="모자"/>
    <s v="JIL"/>
    <s v="MI"/>
    <x v="4"/>
    <s v="JILMIE5319"/>
    <x v="302"/>
    <x v="0"/>
    <n v="500"/>
    <n v="19500000"/>
    <n v="2767745.0000000005"/>
    <n v="6.4049515859563373"/>
    <n v="0"/>
    <n v="500"/>
  </r>
  <r>
    <x v="0"/>
    <x v="0"/>
    <s v="JILMIE3320"/>
    <n v="1"/>
    <s v=""/>
    <n v="0"/>
    <s v="JILMIE3320BK"/>
    <n v="1"/>
    <s v=""/>
    <n v="0"/>
    <s v="E3"/>
    <s v="모자"/>
    <s v="JIL"/>
    <s v="MI"/>
    <x v="4"/>
    <s v="JILMIE3320"/>
    <x v="303"/>
    <x v="0"/>
    <n v="500"/>
    <n v="19500000"/>
    <n v="2562820"/>
    <n v="6.9170962952032244"/>
    <n v="0"/>
    <n v="500"/>
  </r>
  <r>
    <x v="0"/>
    <x v="0"/>
    <s v="JILMIE5321"/>
    <n v="1"/>
    <s v=""/>
    <n v="0"/>
    <s v="JILMIE5321OR"/>
    <n v="1"/>
    <s v=""/>
    <n v="0"/>
    <s v="E5"/>
    <s v="모자"/>
    <s v="JIL"/>
    <s v="MI"/>
    <x v="4"/>
    <s v="JILMIE5321"/>
    <x v="304"/>
    <x v="0"/>
    <n v="500"/>
    <n v="24500000"/>
    <n v="3276890.0000000005"/>
    <n v="6.7969102633067537"/>
    <n v="0"/>
    <n v="500"/>
  </r>
  <r>
    <x v="0"/>
    <x v="0"/>
    <s v="JILMIE3322"/>
    <n v="1"/>
    <s v=""/>
    <n v="0"/>
    <s v="JILMIE3322OR"/>
    <n v="1"/>
    <s v=""/>
    <n v="0"/>
    <s v="E3"/>
    <s v="모자"/>
    <s v="JIL"/>
    <s v="MI"/>
    <x v="4"/>
    <s v="JILMIE3322"/>
    <x v="305"/>
    <x v="0"/>
    <n v="400"/>
    <n v="18000000"/>
    <n v="2626684.0000000005"/>
    <n v="6.2297696881834126"/>
    <n v="0"/>
    <n v="400"/>
  </r>
  <r>
    <x v="0"/>
    <x v="0"/>
    <s v="JILMIE3323"/>
    <n v="1"/>
    <s v=""/>
    <n v="0"/>
    <s v="JILMIE3323BL"/>
    <n v="1"/>
    <s v=""/>
    <n v="0"/>
    <s v="E3"/>
    <s v="모자"/>
    <s v="JIL"/>
    <s v="MI"/>
    <x v="4"/>
    <s v="JILMIE3323"/>
    <x v="306"/>
    <x v="0"/>
    <n v="500"/>
    <n v="22500000"/>
    <n v="2574970.0000000005"/>
    <n v="7.9436053447401127"/>
    <n v="0"/>
    <n v="500"/>
  </r>
  <r>
    <x v="0"/>
    <x v="0"/>
    <s v="JILMIE3324"/>
    <n v="1"/>
    <s v=""/>
    <n v="0"/>
    <s v="JILMIE3324YE"/>
    <n v="1"/>
    <s v=""/>
    <n v="0"/>
    <s v="E3"/>
    <s v="모자"/>
    <s v="JIL"/>
    <s v="MI"/>
    <x v="4"/>
    <s v="JILMIE3324"/>
    <x v="307"/>
    <x v="0"/>
    <n v="500"/>
    <n v="22500000"/>
    <n v="2358470.0000000005"/>
    <n v="8.6728028995685538"/>
    <n v="0"/>
    <n v="500"/>
  </r>
  <r>
    <x v="0"/>
    <x v="0"/>
    <s v="JILMIE3325"/>
    <n v="1"/>
    <s v=""/>
    <n v="0"/>
    <s v="JILMIE3325RE"/>
    <n v="1"/>
    <s v=""/>
    <n v="0"/>
    <s v="E3"/>
    <s v="모자"/>
    <s v="JIL"/>
    <s v="MI"/>
    <x v="4"/>
    <s v="JILMIE3325"/>
    <x v="308"/>
    <x v="0"/>
    <n v="500"/>
    <n v="22500000"/>
    <n v="2362470.0000000005"/>
    <n v="8.658118602371859"/>
    <n v="0"/>
    <n v="500"/>
  </r>
  <r>
    <x v="0"/>
    <x v="0"/>
    <s v="JILMIE3326"/>
    <n v="1"/>
    <s v=""/>
    <n v="0"/>
    <s v="JILMIE3326BK"/>
    <n v="1"/>
    <s v=""/>
    <n v="0"/>
    <s v="E3"/>
    <s v="모자"/>
    <s v="JIL"/>
    <s v="MI"/>
    <x v="4"/>
    <s v="JILMIE3326"/>
    <x v="309"/>
    <x v="0"/>
    <n v="400"/>
    <n v="18000000"/>
    <n v="2334376"/>
    <n v="7.0098546093844192"/>
    <n v="0"/>
    <n v="400"/>
  </r>
  <r>
    <x v="0"/>
    <x v="0"/>
    <s v="JILMIE3327"/>
    <n v="1"/>
    <s v=""/>
    <n v="0"/>
    <s v="JILMIE3327BW"/>
    <n v="1"/>
    <s v=""/>
    <n v="0"/>
    <s v="E3"/>
    <s v="모자"/>
    <s v="JIL"/>
    <s v="MI"/>
    <x v="4"/>
    <s v="JILMIE3327"/>
    <x v="310"/>
    <x v="0"/>
    <n v="500"/>
    <n v="22500000"/>
    <n v="2383470.0000000005"/>
    <n v="8.5818346589407231"/>
    <n v="0"/>
    <n v="500"/>
  </r>
  <r>
    <x v="0"/>
    <x v="0"/>
    <s v="JILMIE3339"/>
    <n v="1"/>
    <s v=""/>
    <n v="0"/>
    <s v="JILMIE3339YE"/>
    <n v="1"/>
    <s v=""/>
    <n v="0"/>
    <s v="E3"/>
    <s v="모자"/>
    <s v="JIL"/>
    <s v="MI"/>
    <x v="4"/>
    <s v="JILMIE3339"/>
    <x v="311"/>
    <x v="0"/>
    <n v="500"/>
    <n v="22500000"/>
    <n v="2452285"/>
    <n v="8.3410147901020704"/>
    <n v="0"/>
    <n v="500"/>
  </r>
  <r>
    <x v="0"/>
    <x v="0"/>
    <s v="JILERE5328"/>
    <n v="1"/>
    <s v=""/>
    <n v="0"/>
    <s v="JILERE5328KH"/>
    <n v="1"/>
    <s v=""/>
    <n v="0"/>
    <s v="E5"/>
    <s v="모자"/>
    <s v="JIL"/>
    <s v="ER"/>
    <x v="4"/>
    <s v="JILERE5328"/>
    <x v="312"/>
    <x v="0"/>
    <n v="400"/>
    <n v="22000000"/>
    <n v="2418568"/>
    <n v="8.2693560817806233"/>
    <n v="0"/>
    <n v="400"/>
  </r>
  <r>
    <x v="0"/>
    <x v="0"/>
    <s v="JILERE5329"/>
    <n v="1"/>
    <s v=""/>
    <n v="0"/>
    <s v="JILERE5329NY"/>
    <n v="1"/>
    <s v=""/>
    <n v="0"/>
    <s v="E5"/>
    <s v="모자"/>
    <s v="JIL"/>
    <s v="ER"/>
    <x v="4"/>
    <s v="JILERE5329"/>
    <x v="313"/>
    <x v="0"/>
    <n v="400"/>
    <n v="22000000"/>
    <n v="2403568"/>
    <n v="8.3209628352515921"/>
    <n v="0"/>
    <n v="400"/>
  </r>
  <r>
    <x v="0"/>
    <x v="0"/>
    <s v="JILERE5330"/>
    <n v="1"/>
    <s v=""/>
    <n v="0"/>
    <s v="JILERE5330NY"/>
    <n v="1"/>
    <s v=""/>
    <n v="0"/>
    <s v="E5"/>
    <s v="모자"/>
    <s v="JIL"/>
    <s v="ER"/>
    <x v="4"/>
    <s v="JILERE5330"/>
    <x v="314"/>
    <x v="0"/>
    <n v="500"/>
    <n v="27500000"/>
    <n v="2967050"/>
    <n v="8.4258775551473679"/>
    <n v="0"/>
    <n v="500"/>
  </r>
  <r>
    <x v="0"/>
    <x v="0"/>
    <s v="JILERE5331"/>
    <n v="1"/>
    <s v=""/>
    <n v="0"/>
    <s v="JILERE5331BK"/>
    <n v="1"/>
    <s v=""/>
    <n v="0"/>
    <s v="E5"/>
    <s v="모자"/>
    <s v="JIL"/>
    <s v="ER"/>
    <x v="4"/>
    <s v="JILERE5331"/>
    <x v="315"/>
    <x v="0"/>
    <n v="500"/>
    <n v="27500000"/>
    <n v="3255950.0000000005"/>
    <n v="7.6782505873861675"/>
    <n v="0"/>
    <n v="500"/>
  </r>
  <r>
    <x v="0"/>
    <x v="0"/>
    <s v="JILERE5332"/>
    <n v="0.5"/>
    <s v=""/>
    <n v="0"/>
    <s v="JILERE5332NY"/>
    <n v="1"/>
    <s v=""/>
    <n v="0"/>
    <s v="E5"/>
    <s v="모자"/>
    <s v="JIL"/>
    <s v="ER"/>
    <x v="4"/>
    <s v="JILERE5332"/>
    <x v="316"/>
    <x v="0"/>
    <n v="400"/>
    <n v="19600000"/>
    <n v="2608992"/>
    <n v="6.8295271960135624"/>
    <n v="0"/>
    <n v="400"/>
  </r>
  <r>
    <x v="0"/>
    <x v="0"/>
    <s v="JILERE5332"/>
    <n v="0.5"/>
    <s v=""/>
    <n v="0"/>
    <s v="JILERE5332OR"/>
    <n v="1"/>
    <s v=""/>
    <n v="0"/>
    <s v="E5"/>
    <s v="모자"/>
    <s v="JIL"/>
    <s v="ER"/>
    <x v="4"/>
    <s v="JILERE5332"/>
    <x v="317"/>
    <x v="0"/>
    <n v="400"/>
    <n v="19600000"/>
    <n v="2576992"/>
    <n v="6.9143333848850972"/>
    <n v="0"/>
    <n v="400"/>
  </r>
  <r>
    <x v="0"/>
    <x v="0"/>
    <s v="JILTPE5333"/>
    <n v="0.5"/>
    <s v=""/>
    <n v="0"/>
    <s v="JILTPE5333GR"/>
    <n v="1"/>
    <s v=""/>
    <n v="0"/>
    <s v="E5"/>
    <s v="모자"/>
    <s v="JIL"/>
    <s v="TP"/>
    <x v="4"/>
    <s v="JILTPE5333"/>
    <x v="318"/>
    <x v="0"/>
    <n v="500"/>
    <n v="34500000"/>
    <n v="4998385"/>
    <n v="6.2747540182751758"/>
    <n v="0"/>
    <n v="500"/>
  </r>
  <r>
    <x v="0"/>
    <x v="0"/>
    <s v="JILTPE5833"/>
    <n v="0.5"/>
    <s v=""/>
    <n v="0"/>
    <s v="JILTPE5833GR"/>
    <n v="1"/>
    <s v=""/>
    <n v="0"/>
    <s v="E5"/>
    <s v="모자"/>
    <s v="JIL"/>
    <s v="TP"/>
    <x v="4"/>
    <s v="JILTPE5833"/>
    <x v="319"/>
    <x v="0"/>
    <n v="500"/>
    <n v="32500000"/>
    <n v="4923000"/>
    <n v="6.00151422820527"/>
    <n v="0"/>
    <n v="500"/>
  </r>
  <r>
    <x v="0"/>
    <x v="0"/>
    <s v="JILTPE5333"/>
    <n v="0.5"/>
    <s v=""/>
    <n v="0"/>
    <s v="JILTPE5333RE"/>
    <n v="1"/>
    <s v=""/>
    <n v="0"/>
    <s v="E5"/>
    <s v="모자"/>
    <s v="JIL"/>
    <s v="TP"/>
    <x v="4"/>
    <s v="JILTPE5333"/>
    <x v="320"/>
    <x v="0"/>
    <n v="500"/>
    <n v="34500000"/>
    <n v="4692885"/>
    <n v="6.6832313946828794"/>
    <n v="0"/>
    <n v="500"/>
  </r>
  <r>
    <x v="0"/>
    <x v="0"/>
    <s v="JILTPE5833"/>
    <n v="0.5"/>
    <s v=""/>
    <n v="0"/>
    <s v="JILTPE5833RE"/>
    <n v="1"/>
    <s v=""/>
    <n v="0"/>
    <s v="E5"/>
    <s v="모자"/>
    <s v="JIL"/>
    <s v="TP"/>
    <x v="4"/>
    <s v="JILTPE5833"/>
    <x v="321"/>
    <x v="0"/>
    <n v="500"/>
    <n v="32500000"/>
    <n v="4630500"/>
    <n v="6.3806186255165844"/>
    <n v="0"/>
    <n v="500"/>
  </r>
  <r>
    <x v="0"/>
    <x v="0"/>
    <s v="JILTPE5334"/>
    <n v="1"/>
    <s v=""/>
    <n v="0"/>
    <s v="JILTPE5334BK"/>
    <n v="1"/>
    <s v=""/>
    <n v="0"/>
    <s v="E5"/>
    <s v="모자"/>
    <s v="JIL"/>
    <s v="TP"/>
    <x v="4"/>
    <s v="JILTPE5334"/>
    <x v="322"/>
    <x v="0"/>
    <n v="500"/>
    <n v="29500000"/>
    <n v="3921495.0000000005"/>
    <n v="6.8387647614447582"/>
    <n v="0"/>
    <n v="500"/>
  </r>
  <r>
    <x v="0"/>
    <x v="0"/>
    <s v="JILTPE5834"/>
    <n v="1"/>
    <s v=""/>
    <n v="0"/>
    <s v="JILTPE5834BK"/>
    <n v="1"/>
    <s v=""/>
    <n v="0"/>
    <s v="E5"/>
    <s v="모자"/>
    <s v="JIL"/>
    <s v="TP"/>
    <x v="4"/>
    <s v="JILTPE5834"/>
    <x v="323"/>
    <x v="0"/>
    <n v="500"/>
    <n v="27500000"/>
    <n v="3861509.9999999995"/>
    <n v="6.4741513035056233"/>
    <n v="0"/>
    <n v="500"/>
  </r>
  <r>
    <x v="0"/>
    <x v="0"/>
    <s v="JILTPE5335"/>
    <n v="1"/>
    <s v=""/>
    <n v="0"/>
    <s v="JILTPE5335KH"/>
    <n v="1"/>
    <s v=""/>
    <n v="0"/>
    <s v="E5"/>
    <s v="모자"/>
    <s v="JIL"/>
    <s v="TP"/>
    <x v="4"/>
    <s v="JILTPE5335"/>
    <x v="324"/>
    <x v="0"/>
    <n v="500"/>
    <n v="34500000"/>
    <n v="4958885"/>
    <n v="6.3247355733469046"/>
    <n v="0"/>
    <n v="500"/>
  </r>
  <r>
    <x v="0"/>
    <x v="0"/>
    <s v="JILTPE5336"/>
    <n v="1"/>
    <s v=""/>
    <n v="0"/>
    <s v="JILTPE5336GY"/>
    <n v="1"/>
    <s v=""/>
    <n v="0"/>
    <s v="E5"/>
    <s v="모자"/>
    <s v="JIL"/>
    <s v="TP"/>
    <x v="4"/>
    <s v="JILTPE5336"/>
    <x v="325"/>
    <x v="0"/>
    <n v="500"/>
    <n v="34500000"/>
    <n v="4937900"/>
    <n v="6.3516143226141404"/>
    <n v="0"/>
    <n v="500"/>
  </r>
  <r>
    <x v="0"/>
    <x v="0"/>
    <s v="JILTPE5337"/>
    <n v="1"/>
    <s v=""/>
    <n v="0"/>
    <s v="JILTPE5337BK"/>
    <n v="1"/>
    <s v=""/>
    <n v="0"/>
    <s v="E5"/>
    <s v="모자"/>
    <s v="JIL"/>
    <s v="TP"/>
    <x v="4"/>
    <s v="JILTPE5337"/>
    <x v="326"/>
    <x v="0"/>
    <n v="500"/>
    <n v="32500000"/>
    <n v="4303205"/>
    <n v="6.8659184364803778"/>
    <n v="0"/>
    <n v="500"/>
  </r>
  <r>
    <x v="0"/>
    <x v="0"/>
    <s v="JILTPE5338"/>
    <n v="1"/>
    <s v=""/>
    <n v="0"/>
    <s v="JILTPE5338BL"/>
    <n v="1"/>
    <s v=""/>
    <n v="0"/>
    <s v="E5"/>
    <s v="모자"/>
    <s v="JIL"/>
    <s v="TP"/>
    <x v="4"/>
    <s v="JILTPE5338"/>
    <x v="327"/>
    <x v="0"/>
    <n v="500"/>
    <n v="34500000"/>
    <n v="4750875"/>
    <n v="6.6016547191067678"/>
    <n v="0"/>
    <n v="500"/>
  </r>
  <r>
    <x v="0"/>
    <x v="0"/>
    <s v="NOVBAE5803"/>
    <n v="1"/>
    <s v=""/>
    <n v="0"/>
    <s v="NOVBAE5803OR"/>
    <n v="1"/>
    <s v=""/>
    <n v="0"/>
    <s v="E5"/>
    <s v="모자"/>
    <s v="NOV"/>
    <s v="BA"/>
    <x v="11"/>
    <s v="NOVBAE5803"/>
    <x v="328"/>
    <x v="0"/>
    <n v="500"/>
    <n v="22500000"/>
    <n v="2331045"/>
    <n v="8.7748393765652128"/>
    <n v="0"/>
    <n v="500"/>
  </r>
  <r>
    <x v="0"/>
    <x v="0"/>
    <s v="NOVBAE5804"/>
    <n v="1"/>
    <s v=""/>
    <n v="0"/>
    <s v="NOVBAE5804BL"/>
    <n v="1"/>
    <s v=""/>
    <n v="0"/>
    <s v="E5"/>
    <s v="모자"/>
    <s v="NOV"/>
    <s v="BA"/>
    <x v="11"/>
    <s v="NOVBAE5804"/>
    <x v="329"/>
    <x v="0"/>
    <n v="500"/>
    <n v="22500000"/>
    <n v="2243675"/>
    <n v="9.1165366884889547"/>
    <n v="0"/>
    <n v="500"/>
  </r>
  <r>
    <x v="1"/>
    <x v="0"/>
    <s v="ELSFIE3001"/>
    <n v="1"/>
    <s v=""/>
    <n v="0"/>
    <s v="ELSFIE3001BK"/>
    <n v="1"/>
    <s v=""/>
    <n v="0"/>
    <s v="E3"/>
    <s v="모자"/>
    <s v="ELS"/>
    <s v="FI"/>
    <x v="3"/>
    <s v="ELSFIE3001"/>
    <x v="330"/>
    <x v="0"/>
    <n v="5000"/>
    <n v="245000000"/>
    <n v="27820000"/>
    <n v="8.0060126789098742"/>
    <n v="0"/>
    <n v="5000"/>
  </r>
  <r>
    <x v="1"/>
    <x v="0"/>
    <s v="ELSFIE3661"/>
    <n v="1"/>
    <s v=""/>
    <n v="0"/>
    <s v="ELSFIE3661BK"/>
    <n v="1"/>
    <s v=""/>
    <n v="0"/>
    <s v="E3"/>
    <s v="모자"/>
    <s v="ELS"/>
    <s v="FI"/>
    <x v="3"/>
    <s v="ELSFIE3661"/>
    <x v="331"/>
    <x v="0"/>
    <n v="3000"/>
    <n v="129000000"/>
    <n v="14613000"/>
    <n v="8.0252328250685867"/>
    <n v="0"/>
    <n v="3000"/>
  </r>
  <r>
    <x v="1"/>
    <x v="0"/>
    <s v="ELSUME3014"/>
    <n v="0.5"/>
    <s v=""/>
    <n v="0"/>
    <s v="ELSUME3014PK"/>
    <n v="1"/>
    <s v=""/>
    <n v="0"/>
    <s v="E3"/>
    <s v="모자"/>
    <s v="ELS"/>
    <s v="UM"/>
    <x v="3"/>
    <s v="ELSUME3014"/>
    <x v="332"/>
    <x v="0"/>
    <n v="1500"/>
    <n v="67500000"/>
    <n v="8086125"/>
    <n v="7.5887568351511216"/>
    <n v="0"/>
    <n v="1500"/>
  </r>
  <r>
    <x v="1"/>
    <x v="0"/>
    <s v="NOVMIE3102"/>
    <n v="0.33333333333333331"/>
    <s v=""/>
    <n v="0"/>
    <s v="NOVMIE3102GR"/>
    <n v="1"/>
    <s v=""/>
    <n v="0"/>
    <s v="E3"/>
    <s v="모자"/>
    <s v="NOV"/>
    <s v="MI"/>
    <x v="11"/>
    <s v="NOVMIE3102"/>
    <x v="333"/>
    <x v="0"/>
    <n v="700"/>
    <n v="34300000"/>
    <n v="4772831.0000000009"/>
    <n v="6.5331913453080936"/>
    <n v="0"/>
    <n v="700"/>
  </r>
  <r>
    <x v="1"/>
    <x v="0"/>
    <s v="PLAUME3003"/>
    <n v="1"/>
    <s v=""/>
    <n v="0"/>
    <s v="PLAUME3003BW"/>
    <n v="1"/>
    <s v=""/>
    <n v="0"/>
    <s v="E3"/>
    <s v="모자"/>
    <s v="PLA"/>
    <s v="UM"/>
    <x v="16"/>
    <s v="PLAUME3003"/>
    <x v="334"/>
    <x v="0"/>
    <n v="700"/>
    <n v="41300000"/>
    <n v="5151762.0000000009"/>
    <n v="7.2878860757648622"/>
    <n v="700"/>
    <n v="0"/>
  </r>
  <r>
    <x v="1"/>
    <x v="0"/>
    <s v="ELSBPE3601"/>
    <n v="0.5"/>
    <s v=""/>
    <n v="0"/>
    <s v="ELSBPE3601BK"/>
    <n v="1"/>
    <s v=""/>
    <n v="0"/>
    <s v="E3"/>
    <s v="가방"/>
    <s v="ELS"/>
    <s v="BP"/>
    <x v="0"/>
    <s v="ELSBPE3601"/>
    <x v="335"/>
    <x v="0"/>
    <n v="1000"/>
    <n v="109000000"/>
    <n v="22920000"/>
    <n v="4.3233380929715999"/>
    <n v="990"/>
    <n v="0"/>
  </r>
  <r>
    <x v="1"/>
    <x v="0"/>
    <s v="ELSBPE3601"/>
    <n v="0.5"/>
    <s v=""/>
    <n v="0"/>
    <s v="ELSBPE3601BL"/>
    <n v="1"/>
    <s v=""/>
    <n v="0"/>
    <s v="E3"/>
    <s v="가방"/>
    <s v="ELS"/>
    <s v="BP"/>
    <x v="0"/>
    <s v="ELSBPE3601"/>
    <x v="336"/>
    <x v="0"/>
    <n v="500"/>
    <n v="54500000"/>
    <n v="11460000"/>
    <n v="4.3233380929715999"/>
    <n v="510"/>
    <n v="0"/>
  </r>
  <r>
    <x v="1"/>
    <x v="0"/>
    <s v="ELSBPE3603"/>
    <n v="0.5"/>
    <s v=""/>
    <n v="0"/>
    <s v="ELSBPE3603PK"/>
    <n v="1"/>
    <s v=""/>
    <n v="0"/>
    <s v="E3"/>
    <s v="가방"/>
    <s v="ELS"/>
    <s v="BP"/>
    <x v="0"/>
    <s v="ELSBPE3603"/>
    <x v="337"/>
    <x v="0"/>
    <n v="500"/>
    <n v="54500000"/>
    <n v="11460000"/>
    <n v="4.3233380929715999"/>
    <n v="500"/>
    <n v="0"/>
  </r>
  <r>
    <x v="1"/>
    <x v="0"/>
    <s v="ELSBPE3611"/>
    <n v="0.33333333333333331"/>
    <s v=""/>
    <n v="0"/>
    <s v="ELSBPE3611BK"/>
    <n v="1"/>
    <s v=""/>
    <n v="0"/>
    <s v="E3"/>
    <s v="가방"/>
    <s v="ELS"/>
    <s v="BP"/>
    <x v="0"/>
    <s v="ELSBPE3611"/>
    <x v="338"/>
    <x v="0"/>
    <n v="500"/>
    <n v="49500000"/>
    <n v="10010000"/>
    <n v="4.4955044955044956"/>
    <n v="500"/>
    <n v="0"/>
  </r>
  <r>
    <x v="1"/>
    <x v="0"/>
    <s v="ELSBPE3611"/>
    <n v="0.33333333333333331"/>
    <s v=""/>
    <n v="0"/>
    <s v="ELSBPE3611BL"/>
    <n v="1"/>
    <s v=""/>
    <n v="0"/>
    <s v="E3"/>
    <s v="가방"/>
    <s v="ELS"/>
    <s v="BP"/>
    <x v="0"/>
    <s v="ELSBPE3611"/>
    <x v="339"/>
    <x v="0"/>
    <n v="500"/>
    <n v="49500000"/>
    <n v="10010000"/>
    <n v="4.4955044955044956"/>
    <n v="500"/>
    <n v="0"/>
  </r>
  <r>
    <x v="1"/>
    <x v="0"/>
    <s v="ELSBPE3613"/>
    <n v="1"/>
    <s v=""/>
    <n v="0"/>
    <s v="ELSBPE3613GR"/>
    <n v="1"/>
    <s v=""/>
    <n v="0"/>
    <s v="E3"/>
    <s v="가방"/>
    <s v="ELS"/>
    <s v="BP"/>
    <x v="0"/>
    <s v="ELSBPE3613"/>
    <x v="340"/>
    <x v="0"/>
    <n v="500"/>
    <n v="49500000"/>
    <n v="10460000"/>
    <n v="4.3021032504780115"/>
    <n v="500"/>
    <n v="0"/>
  </r>
  <r>
    <x v="0"/>
    <x v="0"/>
    <s v="ELSSBE3801"/>
    <n v="0.33333333333333331"/>
    <s v=""/>
    <n v="0"/>
    <s v="ELSSBE3801BK"/>
    <n v="0.5"/>
    <s v=""/>
    <n v="0"/>
    <s v="E3"/>
    <s v="가방"/>
    <s v="ELS"/>
    <s v="SB"/>
    <x v="0"/>
    <s v="ELSSBE3801"/>
    <x v="0"/>
    <x v="0"/>
    <n v="500"/>
    <n v="22500000"/>
    <n v="5010000"/>
    <n v="4.0827436037016875"/>
    <n v="500"/>
    <n v="0"/>
  </r>
  <r>
    <x v="1"/>
    <x v="1"/>
    <s v=""/>
    <n v="0"/>
    <s v="VBLBAE3216"/>
    <n v="0.25"/>
    <s v=""/>
    <n v="0"/>
    <s v="VBLBAE3216BK"/>
    <n v="0.5"/>
    <s v="E3"/>
    <s v="모자"/>
    <s v="VBL"/>
    <s v="BA"/>
    <x v="10"/>
    <s v="VBLBAE3216"/>
    <x v="125"/>
    <x v="0"/>
    <n v="3000"/>
    <n v="147000000"/>
    <n v="25560000"/>
    <n v="5.2283397353819883"/>
    <n v="3000"/>
    <n v="0"/>
  </r>
  <r>
    <x v="1"/>
    <x v="0"/>
    <s v="BMDBAE3202"/>
    <n v="0.25"/>
    <s v=""/>
    <n v="0"/>
    <s v="BMDBAE3202BK"/>
    <n v="1"/>
    <s v=""/>
    <n v="0"/>
    <s v="E3"/>
    <s v="모자"/>
    <s v="BMD"/>
    <s v="BA"/>
    <x v="18"/>
    <s v="BMDBAE3202"/>
    <x v="341"/>
    <x v="0"/>
    <n v="1000"/>
    <n v="55000000"/>
    <n v="9020000"/>
    <n v="5.5432372505543235"/>
    <n v="497"/>
    <n v="503"/>
  </r>
  <r>
    <x v="1"/>
    <x v="0"/>
    <s v="BMDBAE3202"/>
    <n v="0.25"/>
    <s v=""/>
    <n v="0"/>
    <s v="BMDBAE3202PK"/>
    <n v="1"/>
    <s v=""/>
    <n v="0"/>
    <s v="E3"/>
    <s v="모자"/>
    <s v="BMD"/>
    <s v="BA"/>
    <x v="18"/>
    <s v="BMDBAE3202"/>
    <x v="342"/>
    <x v="0"/>
    <n v="1000"/>
    <n v="55000000"/>
    <n v="9020000"/>
    <n v="5.5432372505543235"/>
    <n v="499"/>
    <n v="501"/>
  </r>
  <r>
    <x v="0"/>
    <x v="0"/>
    <s v="HCUMIE3304"/>
    <n v="1"/>
    <s v=""/>
    <n v="0"/>
    <s v="HCUMIE3304BK"/>
    <n v="1"/>
    <s v=""/>
    <n v="0"/>
    <s v="E3"/>
    <s v="모자"/>
    <s v="HCU"/>
    <s v="MI"/>
    <x v="12"/>
    <s v="HCUMIE3304"/>
    <x v="343"/>
    <x v="0"/>
    <n v="1000"/>
    <n v="49000000"/>
    <n v="5938470"/>
    <n v="7.5011668907066191"/>
    <n v="0"/>
    <n v="1000"/>
  </r>
  <r>
    <x v="0"/>
    <x v="0"/>
    <s v="HCUMIE3305"/>
    <n v="1"/>
    <s v=""/>
    <n v="0"/>
    <s v="HCUMIE3305NY"/>
    <n v="1"/>
    <s v=""/>
    <n v="0"/>
    <s v="E3"/>
    <s v="모자"/>
    <s v="HCU"/>
    <s v="MI"/>
    <x v="12"/>
    <s v="HCUMIE3305"/>
    <x v="344"/>
    <x v="0"/>
    <n v="800"/>
    <n v="44000000"/>
    <n v="7126060.0000000009"/>
    <n v="5.6132000011226388"/>
    <n v="0"/>
    <n v="800"/>
  </r>
  <r>
    <x v="0"/>
    <x v="0"/>
    <s v="HCUMIE3306"/>
    <n v="0.5"/>
    <s v=""/>
    <n v="0"/>
    <s v="HCUMIE3306KH"/>
    <n v="1"/>
    <s v=""/>
    <n v="0"/>
    <s v="E3"/>
    <s v="모자"/>
    <s v="HCU"/>
    <s v="MI"/>
    <x v="12"/>
    <s v="HCUMIE3306"/>
    <x v="345"/>
    <x v="0"/>
    <n v="800"/>
    <n v="44000000"/>
    <n v="7517256.0000000009"/>
    <n v="5.3210905681541236"/>
    <n v="0"/>
    <n v="800"/>
  </r>
  <r>
    <x v="0"/>
    <x v="0"/>
    <s v="HCUMIE3306"/>
    <n v="0.5"/>
    <s v=""/>
    <n v="0"/>
    <s v="HCUMIE3306BK"/>
    <n v="1"/>
    <s v=""/>
    <n v="0"/>
    <s v="E3"/>
    <s v="모자"/>
    <s v="HCU"/>
    <s v="MI"/>
    <x v="12"/>
    <s v="HCUMIE3306"/>
    <x v="346"/>
    <x v="0"/>
    <n v="800"/>
    <n v="44000000"/>
    <n v="7517256.0000000009"/>
    <n v="5.3210905681541236"/>
    <n v="0"/>
    <n v="800"/>
  </r>
  <r>
    <x v="0"/>
    <x v="0"/>
    <s v="HCUMIE3307"/>
    <n v="1"/>
    <s v=""/>
    <n v="0"/>
    <s v="HCUMIE3307GY"/>
    <n v="1"/>
    <s v=""/>
    <n v="0"/>
    <s v="E3"/>
    <s v="모자"/>
    <s v="HCU"/>
    <s v="MI"/>
    <x v="12"/>
    <s v="HCUMIE3307"/>
    <x v="347"/>
    <x v="0"/>
    <n v="800"/>
    <n v="44000000"/>
    <n v="7236176.0000000009"/>
    <n v="5.5277815243852544"/>
    <n v="0"/>
    <n v="800"/>
  </r>
  <r>
    <x v="0"/>
    <x v="0"/>
    <s v="HCUERE5308"/>
    <n v="0.5"/>
    <s v=""/>
    <n v="0"/>
    <s v="HCUERE5308KH"/>
    <n v="1"/>
    <s v=""/>
    <n v="0"/>
    <s v="E5"/>
    <s v="모자"/>
    <s v="HCU"/>
    <s v="ER"/>
    <x v="12"/>
    <s v="HCUERE5308"/>
    <x v="348"/>
    <x v="0"/>
    <n v="800"/>
    <n v="47200000"/>
    <n v="6631792.0000000009"/>
    <n v="6.4702106020651575"/>
    <n v="0"/>
    <n v="800"/>
  </r>
  <r>
    <x v="0"/>
    <x v="0"/>
    <s v="HCUERE5308"/>
    <n v="0.5"/>
    <s v=""/>
    <n v="0"/>
    <s v="HCUERE5308BK"/>
    <n v="1"/>
    <s v=""/>
    <n v="0"/>
    <s v="E5"/>
    <s v="모자"/>
    <s v="HCU"/>
    <s v="ER"/>
    <x v="12"/>
    <s v="HCUERE5308"/>
    <x v="349"/>
    <x v="0"/>
    <n v="800"/>
    <n v="47200000"/>
    <n v="6813792.0000000009"/>
    <n v="6.2973878435225048"/>
    <n v="0"/>
    <n v="800"/>
  </r>
  <r>
    <x v="0"/>
    <x v="0"/>
    <s v="PLAUME3301"/>
    <n v="1"/>
    <s v=""/>
    <n v="0"/>
    <s v="PLAUME3301BL"/>
    <n v="1"/>
    <s v=""/>
    <n v="0"/>
    <s v="E3"/>
    <s v="모자"/>
    <s v="PLA"/>
    <s v="UM"/>
    <x v="16"/>
    <s v="PLAUME3301"/>
    <x v="350"/>
    <x v="0"/>
    <n v="700"/>
    <n v="45500000"/>
    <n v="6112260.0000000009"/>
    <n v="6.7673227846388002"/>
    <n v="0"/>
    <n v="700"/>
  </r>
  <r>
    <x v="0"/>
    <x v="0"/>
    <s v="PLAUME3302"/>
    <n v="1"/>
    <s v=""/>
    <n v="0"/>
    <s v="PLAUME3302PK"/>
    <n v="1"/>
    <s v=""/>
    <n v="0"/>
    <s v="E3"/>
    <s v="모자"/>
    <s v="PLA"/>
    <s v="UM"/>
    <x v="16"/>
    <s v="PLAUME3302"/>
    <x v="351"/>
    <x v="0"/>
    <n v="700"/>
    <n v="45500000"/>
    <n v="6112260.0000000009"/>
    <n v="6.7673227846388002"/>
    <n v="0"/>
    <n v="700"/>
  </r>
  <r>
    <x v="1"/>
    <x v="0"/>
    <s v="VBLBAE5113"/>
    <n v="1"/>
    <s v=""/>
    <n v="0"/>
    <s v="VBLBAE5113RE"/>
    <n v="1"/>
    <s v=""/>
    <n v="0"/>
    <s v="E5"/>
    <s v="모자"/>
    <s v="VBL"/>
    <s v="BA"/>
    <x v="10"/>
    <s v="VBLBAE5113"/>
    <x v="352"/>
    <x v="0"/>
    <n v="1500"/>
    <n v="82500000"/>
    <n v="5549745.0000000009"/>
    <n v="13.514134433203683"/>
    <n v="0"/>
    <n v="1500"/>
  </r>
  <r>
    <x v="1"/>
    <x v="0"/>
    <s v="VBLBAE5106"/>
    <n v="1"/>
    <s v=""/>
    <n v="0"/>
    <s v="VBLBAE5106BK"/>
    <n v="1"/>
    <s v=""/>
    <n v="0"/>
    <s v="E5"/>
    <s v="모자"/>
    <s v="VBL"/>
    <s v="BA"/>
    <x v="10"/>
    <s v="VBLBAE5106"/>
    <x v="353"/>
    <x v="0"/>
    <n v="1000"/>
    <n v="55000000"/>
    <n v="3824570"/>
    <n v="13.073365110326128"/>
    <n v="0"/>
    <n v="1000"/>
  </r>
  <r>
    <x v="1"/>
    <x v="0"/>
    <s v="ELSTPE5148"/>
    <n v="1"/>
    <s v=""/>
    <n v="0"/>
    <s v="ELSTPE5148NY"/>
    <n v="1"/>
    <s v=""/>
    <n v="0"/>
    <s v="E5"/>
    <s v="모자"/>
    <s v="ELS"/>
    <s v="TP"/>
    <x v="3"/>
    <s v="ELSTPE5148"/>
    <x v="354"/>
    <x v="0"/>
    <n v="1200"/>
    <n v="78000000"/>
    <n v="5861832"/>
    <n v="12.096745677646664"/>
    <n v="0"/>
    <n v="1200"/>
  </r>
  <r>
    <x v="1"/>
    <x v="0"/>
    <s v="ELSTPE5648"/>
    <n v="0.5"/>
    <s v=""/>
    <n v="0"/>
    <s v="ELSTPE5648NY"/>
    <n v="1"/>
    <s v=""/>
    <n v="0"/>
    <s v="E5"/>
    <s v="모자"/>
    <s v="ELS"/>
    <s v="TP"/>
    <x v="3"/>
    <s v="ELSTPE5648"/>
    <x v="355"/>
    <x v="0"/>
    <n v="1200"/>
    <n v="70800000"/>
    <n v="5861832"/>
    <n v="10.98012299971005"/>
    <n v="0"/>
    <n v="1200"/>
  </r>
  <r>
    <x v="1"/>
    <x v="0"/>
    <s v="ELSTPE5648"/>
    <n v="0.5"/>
    <s v=""/>
    <n v="0"/>
    <s v="ELSTPE5648PK"/>
    <n v="1"/>
    <s v=""/>
    <n v="0"/>
    <s v="E5"/>
    <s v="모자"/>
    <s v="ELS"/>
    <s v="TP"/>
    <x v="3"/>
    <s v="ELSTPE5648"/>
    <x v="356"/>
    <x v="0"/>
    <n v="1200"/>
    <n v="70800000"/>
    <n v="5861832"/>
    <n v="10.98012299971005"/>
    <n v="0"/>
    <n v="1200"/>
  </r>
  <r>
    <x v="1"/>
    <x v="0"/>
    <s v="ELSFIE5647"/>
    <n v="1"/>
    <s v=""/>
    <n v="0"/>
    <s v="ELSFIE5647BK"/>
    <n v="1"/>
    <s v=""/>
    <n v="0"/>
    <s v="E5"/>
    <s v="모자"/>
    <s v="ELS"/>
    <s v="FI"/>
    <x v="3"/>
    <s v="ELSFIE5647"/>
    <x v="357"/>
    <x v="0"/>
    <n v="700"/>
    <n v="37100000"/>
    <n v="9100000"/>
    <n v="3.7062937062937062"/>
    <n v="0"/>
    <n v="700"/>
  </r>
  <r>
    <x v="0"/>
    <x v="0"/>
    <s v="PLATLE5301"/>
    <n v="1"/>
    <s v=""/>
    <n v="0"/>
    <s v="PLATLE5301BK"/>
    <n v="1"/>
    <s v=""/>
    <n v="0"/>
    <s v="E5"/>
    <s v="의류"/>
    <s v="PLA"/>
    <s v="TL"/>
    <x v="19"/>
    <s v="PLATLE5301"/>
    <x v="358"/>
    <x v="0"/>
    <n v="1200"/>
    <n v="118800000"/>
    <n v="29130000"/>
    <n v="3.7075180226570543"/>
    <n v="0"/>
    <n v="1200"/>
  </r>
  <r>
    <x v="0"/>
    <x v="0"/>
    <s v="PLATLE5801"/>
    <n v="1"/>
    <s v=""/>
    <n v="0"/>
    <s v="PLATLE5801BK"/>
    <n v="1"/>
    <s v=""/>
    <n v="0"/>
    <s v="E5"/>
    <s v="의류"/>
    <s v="PLA"/>
    <s v="TL"/>
    <x v="19"/>
    <s v="PLATLE5801"/>
    <x v="359"/>
    <x v="0"/>
    <n v="1000"/>
    <n v="89000000"/>
    <n v="20579000"/>
    <n v="3.9316337484372861"/>
    <n v="0"/>
    <n v="1000"/>
  </r>
  <r>
    <x v="0"/>
    <x v="0"/>
    <s v="PLATLE5302"/>
    <n v="1"/>
    <s v=""/>
    <n v="0"/>
    <s v="PLATLE5302BK"/>
    <n v="1"/>
    <s v=""/>
    <n v="0"/>
    <s v="E5"/>
    <s v="의류"/>
    <s v="PLA"/>
    <s v="TL"/>
    <x v="19"/>
    <s v="PLATLE5302"/>
    <x v="360"/>
    <x v="0"/>
    <n v="1200"/>
    <n v="106800000"/>
    <n v="20814000"/>
    <n v="4.6646924709767026"/>
    <n v="0"/>
    <n v="1200"/>
  </r>
  <r>
    <x v="0"/>
    <x v="0"/>
    <s v="PLATLE5802"/>
    <n v="1"/>
    <s v=""/>
    <n v="0"/>
    <s v="PLATLE5802BK"/>
    <n v="1"/>
    <s v=""/>
    <n v="0"/>
    <s v="E5"/>
    <s v="의류"/>
    <s v="PLA"/>
    <s v="TL"/>
    <x v="19"/>
    <s v="PLATLE5802"/>
    <x v="361"/>
    <x v="0"/>
    <n v="1000"/>
    <n v="79000000"/>
    <n v="15843500"/>
    <n v="4.5329745206666345"/>
    <n v="0"/>
    <n v="1000"/>
  </r>
  <r>
    <x v="0"/>
    <x v="0"/>
    <s v="PLAJPE5305"/>
    <n v="1"/>
    <s v=""/>
    <n v="0"/>
    <s v="PLAJPE5305BK"/>
    <n v="1"/>
    <s v=""/>
    <n v="0"/>
    <s v="E5"/>
    <s v="의류"/>
    <s v="PLA"/>
    <s v="JP"/>
    <x v="19"/>
    <s v="PLAJPE5305"/>
    <x v="362"/>
    <x v="0"/>
    <n v="1000"/>
    <n v="199000000"/>
    <n v="40445000"/>
    <n v="4.4729655311927532"/>
    <n v="0"/>
    <n v="1000"/>
  </r>
  <r>
    <x v="0"/>
    <x v="0"/>
    <s v="PLAJPE5306"/>
    <n v="1"/>
    <s v=""/>
    <n v="0"/>
    <s v="PLAJPE5306BK"/>
    <n v="1"/>
    <s v=""/>
    <n v="0"/>
    <s v="E5"/>
    <s v="의류"/>
    <s v="PLA"/>
    <s v="JP"/>
    <x v="19"/>
    <s v="PLAJPE5306"/>
    <x v="363"/>
    <x v="0"/>
    <n v="1200"/>
    <n v="226800000"/>
    <n v="45623400"/>
    <n v="4.5192120311466955"/>
    <n v="0"/>
    <n v="1200"/>
  </r>
  <r>
    <x v="0"/>
    <x v="0"/>
    <s v="PLAJPE5806"/>
    <n v="1"/>
    <s v=""/>
    <n v="0"/>
    <s v="PLAJPE5806BK"/>
    <n v="1"/>
    <s v=""/>
    <n v="0"/>
    <s v="E5"/>
    <s v="의류"/>
    <s v="PLA"/>
    <s v="JP"/>
    <x v="19"/>
    <s v="PLAJPE5806"/>
    <x v="364"/>
    <x v="0"/>
    <n v="800"/>
    <n v="143200000"/>
    <n v="28198000"/>
    <n v="4.6167039570827066"/>
    <n v="0"/>
    <n v="800"/>
  </r>
  <r>
    <x v="0"/>
    <x v="0"/>
    <s v="PLATLE5303"/>
    <n v="1"/>
    <s v=""/>
    <n v="0"/>
    <s v="PLATLE5303BK"/>
    <n v="1"/>
    <s v=""/>
    <n v="0"/>
    <s v="E5"/>
    <s v="의류"/>
    <s v="PLA"/>
    <s v="TL"/>
    <x v="19"/>
    <s v="PLATLE5303"/>
    <x v="365"/>
    <x v="0"/>
    <n v="1200"/>
    <n v="118800000"/>
    <n v="26064000"/>
    <n v="4.1436464088397784"/>
    <n v="0"/>
    <n v="1200"/>
  </r>
  <r>
    <x v="0"/>
    <x v="0"/>
    <s v="PLATLE5304"/>
    <n v="1"/>
    <s v=""/>
    <n v="0"/>
    <s v="PLATLE5304RE"/>
    <n v="1"/>
    <s v=""/>
    <n v="0"/>
    <s v="E5"/>
    <s v="의류"/>
    <s v="PLA"/>
    <s v="TL"/>
    <x v="19"/>
    <s v="PLATLE5304"/>
    <x v="366"/>
    <x v="0"/>
    <n v="1000"/>
    <n v="99000000"/>
    <n v="23320000"/>
    <n v="3.85934819897084"/>
    <n v="0"/>
    <n v="1000"/>
  </r>
  <r>
    <x v="0"/>
    <x v="0"/>
    <s v="PLATLE5804"/>
    <n v="1"/>
    <s v=""/>
    <n v="0"/>
    <s v="PLATLE5804RE"/>
    <n v="1"/>
    <s v=""/>
    <n v="0"/>
    <s v="E5"/>
    <s v="의류"/>
    <s v="PLA"/>
    <s v="TL"/>
    <x v="19"/>
    <s v="PLATLE5804"/>
    <x v="367"/>
    <x v="0"/>
    <n v="1000"/>
    <n v="89000000"/>
    <n v="21320000"/>
    <n v="3.7949855023025747"/>
    <n v="0"/>
    <n v="1000"/>
  </r>
  <r>
    <x v="0"/>
    <x v="0"/>
    <s v="PLAJPE5307"/>
    <n v="1"/>
    <s v=""/>
    <n v="0"/>
    <s v="PLAJPE5307BL"/>
    <n v="1"/>
    <s v=""/>
    <n v="0"/>
    <s v="E5"/>
    <s v="의류"/>
    <s v="PLA"/>
    <s v="JP"/>
    <x v="19"/>
    <s v="PLAJPE5307"/>
    <x v="368"/>
    <x v="0"/>
    <n v="1000"/>
    <n v="189000000"/>
    <n v="41820000"/>
    <n v="4.1085170209990869"/>
    <n v="0"/>
    <n v="1000"/>
  </r>
  <r>
    <x v="0"/>
    <x v="0"/>
    <s v="PLAJPE5807"/>
    <n v="1"/>
    <s v=""/>
    <n v="0"/>
    <s v="PLAJPE5807BL"/>
    <n v="1"/>
    <s v=""/>
    <n v="0"/>
    <s v="E5"/>
    <s v="의류"/>
    <s v="PLA"/>
    <s v="JP"/>
    <x v="19"/>
    <s v="PLAJPE5807"/>
    <x v="369"/>
    <x v="0"/>
    <n v="800"/>
    <n v="143200000"/>
    <n v="31776000"/>
    <n v="4.096859837041106"/>
    <n v="0"/>
    <n v="800"/>
  </r>
  <r>
    <x v="0"/>
    <x v="0"/>
    <s v="ELSTLE5307"/>
    <n v="1"/>
    <s v=""/>
    <n v="0"/>
    <s v="ELSTLE5307RE"/>
    <n v="1"/>
    <s v=""/>
    <n v="0"/>
    <s v="E5"/>
    <s v="의류"/>
    <s v="ELS"/>
    <s v="TL"/>
    <x v="14"/>
    <s v="ELSTLE5307"/>
    <x v="370"/>
    <x v="0"/>
    <n v="1200"/>
    <n v="94800000"/>
    <n v="22167137.999999996"/>
    <n v="3.8878189048048597"/>
    <n v="0"/>
    <n v="1200"/>
  </r>
  <r>
    <x v="0"/>
    <x v="0"/>
    <s v="ELSTLE5807"/>
    <n v="1"/>
    <s v=""/>
    <n v="0"/>
    <s v="ELSTLE5807RE"/>
    <n v="1"/>
    <s v=""/>
    <n v="0"/>
    <s v="E5"/>
    <s v="의류"/>
    <s v="ELS"/>
    <s v="TL"/>
    <x v="14"/>
    <s v="ELSTLE5807"/>
    <x v="371"/>
    <x v="0"/>
    <n v="1200"/>
    <n v="82800000"/>
    <n v="19348014"/>
    <n v="3.8904627251524246"/>
    <n v="0"/>
    <n v="1200"/>
  </r>
  <r>
    <x v="0"/>
    <x v="0"/>
    <s v="ELSTLE5308"/>
    <n v="1"/>
    <s v=""/>
    <n v="0"/>
    <s v="ELSTLE5308BK"/>
    <n v="1"/>
    <s v=""/>
    <n v="0"/>
    <s v="E5"/>
    <s v="의류"/>
    <s v="ELS"/>
    <s v="TL"/>
    <x v="14"/>
    <s v="ELSTLE5308"/>
    <x v="372"/>
    <x v="0"/>
    <n v="1200"/>
    <n v="94800000"/>
    <n v="20914194"/>
    <n v="4.1207334206528916"/>
    <n v="0"/>
    <n v="1200"/>
  </r>
  <r>
    <x v="0"/>
    <x v="0"/>
    <s v="ELSTLE5808"/>
    <n v="1"/>
    <s v=""/>
    <n v="0"/>
    <s v="ELSTLE5808BK"/>
    <n v="1"/>
    <s v=""/>
    <n v="0"/>
    <s v="E5"/>
    <s v="의류"/>
    <s v="ELS"/>
    <s v="TL"/>
    <x v="14"/>
    <s v="ELSTLE5808"/>
    <x v="373"/>
    <x v="0"/>
    <n v="1500"/>
    <n v="103500000"/>
    <n v="22618837.5"/>
    <n v="4.1598472552317984"/>
    <n v="0"/>
    <n v="1500"/>
  </r>
  <r>
    <x v="0"/>
    <x v="0"/>
    <s v="ELSTLE5309"/>
    <n v="1"/>
    <s v=""/>
    <n v="0"/>
    <s v="ELSTLE5309YE"/>
    <n v="1"/>
    <s v=""/>
    <n v="0"/>
    <s v="E5"/>
    <s v="의류"/>
    <s v="ELS"/>
    <s v="TL"/>
    <x v="14"/>
    <s v="ELSTLE5309"/>
    <x v="374"/>
    <x v="0"/>
    <n v="1200"/>
    <n v="94800000"/>
    <n v="20906804.999999996"/>
    <n v="4.1221897933145781"/>
    <n v="0"/>
    <n v="1200"/>
  </r>
  <r>
    <x v="0"/>
    <x v="0"/>
    <s v="ELSTLE5809"/>
    <n v="1"/>
    <s v=""/>
    <n v="0"/>
    <s v="ELSTLE5809YE"/>
    <n v="1"/>
    <s v=""/>
    <n v="0"/>
    <s v="E5"/>
    <s v="의류"/>
    <s v="ELS"/>
    <s v="TL"/>
    <x v="14"/>
    <s v="ELSTLE5809"/>
    <x v="375"/>
    <x v="0"/>
    <n v="1500"/>
    <n v="103500000"/>
    <n v="22590024"/>
    <n v="4.1651531264822506"/>
    <n v="0"/>
    <n v="1500"/>
  </r>
  <r>
    <x v="0"/>
    <x v="0"/>
    <s v="ELSTHE5312"/>
    <n v="1"/>
    <s v=""/>
    <n v="0"/>
    <s v="ELSTHE5312PK"/>
    <n v="1"/>
    <s v=""/>
    <n v="0"/>
    <s v="E5"/>
    <s v="의류"/>
    <s v="ELS"/>
    <s v="TH"/>
    <x v="14"/>
    <s v="ELSTHE5312"/>
    <x v="376"/>
    <x v="0"/>
    <n v="1000"/>
    <n v="109000000"/>
    <n v="20401070"/>
    <n v="4.8571427425575759"/>
    <n v="0"/>
    <n v="1000"/>
  </r>
  <r>
    <x v="0"/>
    <x v="0"/>
    <s v="ELSTHE5314"/>
    <n v="1"/>
    <s v=""/>
    <n v="0"/>
    <s v="ELSTHE5314BK"/>
    <n v="1"/>
    <s v=""/>
    <n v="0"/>
    <s v="E5"/>
    <s v="의류"/>
    <s v="ELS"/>
    <s v="TH"/>
    <x v="14"/>
    <s v="ELSTHE5314"/>
    <x v="377"/>
    <x v="0"/>
    <n v="1500"/>
    <n v="148500000"/>
    <n v="32994780"/>
    <n v="4.0915563007239326"/>
    <n v="0"/>
    <n v="1500"/>
  </r>
  <r>
    <x v="0"/>
    <x v="0"/>
    <s v="ELSTHE5814"/>
    <n v="1"/>
    <s v=""/>
    <n v="0"/>
    <s v="ELSTHE5814BK"/>
    <n v="1"/>
    <s v=""/>
    <n v="0"/>
    <s v="E5"/>
    <s v="의류"/>
    <s v="ELS"/>
    <s v="TH"/>
    <x v="14"/>
    <s v="ELSTHE5814"/>
    <x v="378"/>
    <x v="0"/>
    <n v="1500"/>
    <n v="133500000"/>
    <n v="29079329.999999993"/>
    <n v="4.1735361978297432"/>
    <n v="0"/>
    <n v="1500"/>
  </r>
  <r>
    <x v="0"/>
    <x v="0"/>
    <s v="ELSTHE5318"/>
    <n v="1"/>
    <s v=""/>
    <n v="0"/>
    <s v="ELSTHE5318NY"/>
    <n v="1"/>
    <s v=""/>
    <n v="0"/>
    <s v="E5"/>
    <s v="의류"/>
    <s v="ELS"/>
    <s v="TH"/>
    <x v="14"/>
    <s v="ELSTHE5318"/>
    <x v="379"/>
    <x v="0"/>
    <n v="1200"/>
    <n v="118800000"/>
    <n v="24359790"/>
    <n v="4.4335357570816489"/>
    <n v="0"/>
    <n v="1200"/>
  </r>
  <r>
    <x v="0"/>
    <x v="0"/>
    <s v="ELSTHE5818"/>
    <n v="1"/>
    <s v=""/>
    <n v="0"/>
    <s v="ELSTHE5818NY"/>
    <n v="1"/>
    <s v=""/>
    <n v="0"/>
    <s v="E5"/>
    <s v="의류"/>
    <s v="ELS"/>
    <s v="TH"/>
    <x v="14"/>
    <s v="ELSTHE5818"/>
    <x v="380"/>
    <x v="0"/>
    <n v="1500"/>
    <n v="133500000"/>
    <n v="26925832.499999993"/>
    <n v="4.5073308824763876"/>
    <n v="0"/>
    <n v="1500"/>
  </r>
  <r>
    <x v="0"/>
    <x v="0"/>
    <s v="ELSTHE5316"/>
    <n v="1"/>
    <s v=""/>
    <n v="0"/>
    <s v="ELSTHE5316RE"/>
    <n v="1"/>
    <s v=""/>
    <n v="0"/>
    <s v="E5"/>
    <s v="의류"/>
    <s v="ELS"/>
    <s v="TH"/>
    <x v="14"/>
    <s v="ELSTHE5316"/>
    <x v="381"/>
    <x v="0"/>
    <n v="800"/>
    <n v="79200000"/>
    <n v="16553095.999999996"/>
    <n v="4.3496394873804878"/>
    <n v="0"/>
    <n v="800"/>
  </r>
  <r>
    <x v="0"/>
    <x v="0"/>
    <s v="ELSTHE5317"/>
    <n v="1"/>
    <s v=""/>
    <n v="0"/>
    <s v="ELSTHE5317YE"/>
    <n v="1"/>
    <s v=""/>
    <n v="0"/>
    <s v="E5"/>
    <s v="의류"/>
    <s v="ELS"/>
    <s v="TH"/>
    <x v="14"/>
    <s v="ELSTHE5317"/>
    <x v="382"/>
    <x v="0"/>
    <n v="800"/>
    <n v="79200000"/>
    <n v="16553095.999999996"/>
    <n v="4.3496394873804878"/>
    <n v="0"/>
    <n v="800"/>
  </r>
  <r>
    <x v="0"/>
    <x v="0"/>
    <s v="ELSTLE5310"/>
    <n v="0.5"/>
    <s v=""/>
    <n v="0"/>
    <s v="ELSTLE5310BL"/>
    <n v="1"/>
    <s v=""/>
    <n v="0"/>
    <s v="E5"/>
    <s v="의류"/>
    <s v="ELS"/>
    <s v="TL"/>
    <x v="14"/>
    <s v="ELSTLE5310"/>
    <x v="383"/>
    <x v="0"/>
    <n v="1500"/>
    <n v="133500000"/>
    <n v="30058192.5"/>
    <n v="4.0376225670800512"/>
    <n v="0"/>
    <n v="1500"/>
  </r>
  <r>
    <x v="0"/>
    <x v="0"/>
    <s v="ELSTLE5810"/>
    <n v="0.5"/>
    <s v=""/>
    <n v="0"/>
    <s v="ELSTLE5810BL"/>
    <n v="1"/>
    <s v=""/>
    <n v="0"/>
    <s v="E5"/>
    <s v="의류"/>
    <s v="ELS"/>
    <s v="TL"/>
    <x v="14"/>
    <s v="ELSTLE5810"/>
    <x v="384"/>
    <x v="0"/>
    <n v="1500"/>
    <n v="118500000"/>
    <n v="23206155"/>
    <n v="4.6421853481230606"/>
    <n v="0"/>
    <n v="1500"/>
  </r>
  <r>
    <x v="0"/>
    <x v="0"/>
    <s v="ELSTLE5310"/>
    <n v="0.5"/>
    <s v=""/>
    <n v="0"/>
    <s v="ELSTLE5310RE"/>
    <n v="1"/>
    <s v=""/>
    <n v="0"/>
    <s v="E5"/>
    <s v="의류"/>
    <s v="ELS"/>
    <s v="TL"/>
    <x v="14"/>
    <s v="ELSTLE5310"/>
    <x v="385"/>
    <x v="0"/>
    <n v="1500"/>
    <n v="133500000"/>
    <n v="30058192.5"/>
    <n v="4.0376225670800512"/>
    <n v="0"/>
    <n v="1500"/>
  </r>
  <r>
    <x v="0"/>
    <x v="0"/>
    <s v="ELSTLE5810"/>
    <n v="0.5"/>
    <s v=""/>
    <n v="0"/>
    <s v="ELSTLE5810RE"/>
    <n v="1"/>
    <s v=""/>
    <n v="0"/>
    <s v="E5"/>
    <s v="의류"/>
    <s v="ELS"/>
    <s v="TL"/>
    <x v="14"/>
    <s v="ELSTLE5810"/>
    <x v="386"/>
    <x v="0"/>
    <n v="1500"/>
    <n v="118500000"/>
    <n v="23206155"/>
    <n v="4.6421853481230606"/>
    <n v="0"/>
    <n v="1500"/>
  </r>
  <r>
    <x v="0"/>
    <x v="0"/>
    <s v="ELSTLE5311"/>
    <n v="1"/>
    <s v=""/>
    <n v="0"/>
    <s v="ELSTLE5311BK"/>
    <n v="1"/>
    <s v=""/>
    <n v="0"/>
    <s v="E5"/>
    <s v="의류"/>
    <s v="ELS"/>
    <s v="TL"/>
    <x v="14"/>
    <s v="ELSTLE5311"/>
    <x v="387"/>
    <x v="0"/>
    <n v="1000"/>
    <n v="89000000"/>
    <n v="18929417.499999996"/>
    <n v="4.2742514876166116"/>
    <n v="0"/>
    <n v="1000"/>
  </r>
  <r>
    <x v="0"/>
    <x v="0"/>
    <s v="ELSHPE5321"/>
    <n v="1"/>
    <s v=""/>
    <n v="0"/>
    <s v="ELSHPE5321BW"/>
    <n v="1"/>
    <s v=""/>
    <n v="0"/>
    <s v="E5"/>
    <s v="의류"/>
    <s v="ELS"/>
    <s v="HP"/>
    <x v="14"/>
    <s v="ELSHPE5321"/>
    <x v="388"/>
    <x v="0"/>
    <n v="1000"/>
    <n v="129000000"/>
    <n v="25921225"/>
    <n v="4.5241969572320464"/>
    <n v="0"/>
    <n v="1000"/>
  </r>
  <r>
    <x v="0"/>
    <x v="0"/>
    <s v="ELSHPE5821"/>
    <n v="1"/>
    <s v=""/>
    <n v="0"/>
    <s v="ELSHPE5821BW"/>
    <n v="1"/>
    <s v=""/>
    <n v="0"/>
    <s v="E5"/>
    <s v="의류"/>
    <s v="ELS"/>
    <s v="HP"/>
    <x v="14"/>
    <s v="ELSHPE5821"/>
    <x v="389"/>
    <x v="0"/>
    <n v="800"/>
    <n v="95200000"/>
    <n v="18335503.999999996"/>
    <n v="4.720102296912839"/>
    <n v="0"/>
    <n v="800"/>
  </r>
  <r>
    <x v="0"/>
    <x v="0"/>
    <s v="ELSHPE5322"/>
    <n v="1"/>
    <s v=""/>
    <n v="0"/>
    <s v="ELSHPE5322RE"/>
    <n v="1"/>
    <s v=""/>
    <n v="0"/>
    <s v="E5"/>
    <s v="의류"/>
    <s v="ELS"/>
    <s v="HP"/>
    <x v="14"/>
    <s v="ELSHPE5322"/>
    <x v="390"/>
    <x v="0"/>
    <n v="1000"/>
    <n v="129000000"/>
    <n v="25921225"/>
    <n v="4.5241969572320464"/>
    <n v="0"/>
    <n v="1000"/>
  </r>
  <r>
    <x v="0"/>
    <x v="0"/>
    <s v="ELSHPE5822"/>
    <n v="1"/>
    <s v=""/>
    <n v="0"/>
    <s v="ELSHPE5822RE"/>
    <n v="1"/>
    <s v=""/>
    <n v="0"/>
    <s v="E5"/>
    <s v="의류"/>
    <s v="ELS"/>
    <s v="HP"/>
    <x v="14"/>
    <s v="ELSHPE5822"/>
    <x v="391"/>
    <x v="0"/>
    <n v="800"/>
    <n v="95200000"/>
    <n v="18335503.999999996"/>
    <n v="4.720102296912839"/>
    <n v="0"/>
    <n v="800"/>
  </r>
  <r>
    <x v="0"/>
    <x v="0"/>
    <s v="ELSTHE5313"/>
    <n v="1"/>
    <s v=""/>
    <n v="0"/>
    <s v="ELSTHE5313NY"/>
    <n v="1"/>
    <s v=""/>
    <n v="0"/>
    <s v="E5"/>
    <s v="의류"/>
    <s v="ELS"/>
    <s v="TH"/>
    <x v="14"/>
    <s v="ELSTHE5313"/>
    <x v="392"/>
    <x v="0"/>
    <n v="1000"/>
    <n v="109000000"/>
    <n v="26120000"/>
    <n v="3.7936795210914656"/>
    <n v="0"/>
    <n v="1000"/>
  </r>
  <r>
    <x v="0"/>
    <x v="0"/>
    <s v="ELSTHE5813"/>
    <n v="1"/>
    <s v=""/>
    <n v="0"/>
    <s v="ELSTHE5813NY"/>
    <n v="1"/>
    <s v=""/>
    <n v="0"/>
    <s v="E5"/>
    <s v="의류"/>
    <s v="ELS"/>
    <s v="TH"/>
    <x v="14"/>
    <s v="ELSTHE5813"/>
    <x v="393"/>
    <x v="0"/>
    <n v="1000"/>
    <n v="99000000"/>
    <n v="24220000"/>
    <n v="3.7159372419488021"/>
    <n v="0"/>
    <n v="1000"/>
  </r>
  <r>
    <x v="0"/>
    <x v="0"/>
    <s v="ELSTHE5319"/>
    <n v="1"/>
    <s v=""/>
    <n v="0"/>
    <s v="ELSTHE5319BU"/>
    <n v="1"/>
    <s v=""/>
    <n v="0"/>
    <s v="E5"/>
    <s v="의류"/>
    <s v="ELS"/>
    <s v="TH"/>
    <x v="14"/>
    <s v="ELSTHE5319"/>
    <x v="394"/>
    <x v="0"/>
    <n v="1500"/>
    <n v="163500000"/>
    <n v="40080000"/>
    <n v="3.7084921066956995"/>
    <n v="0"/>
    <n v="1500"/>
  </r>
  <r>
    <x v="0"/>
    <x v="0"/>
    <s v="ELSHPE5320"/>
    <n v="1"/>
    <s v=""/>
    <n v="0"/>
    <s v="ELSHPE5320BK"/>
    <n v="1"/>
    <s v=""/>
    <n v="0"/>
    <s v="E5"/>
    <s v="의류"/>
    <s v="ELS"/>
    <s v="HP"/>
    <x v="14"/>
    <s v="ELSHPE5320"/>
    <x v="395"/>
    <x v="0"/>
    <n v="1500"/>
    <n v="193500000"/>
    <n v="46680000"/>
    <n v="3.7684038326711842"/>
    <n v="0"/>
    <n v="1500"/>
  </r>
  <r>
    <x v="0"/>
    <x v="0"/>
    <s v="ELSTHE5315"/>
    <n v="1"/>
    <s v=""/>
    <n v="0"/>
    <s v="ELSTHE5315BW"/>
    <n v="1"/>
    <s v=""/>
    <n v="0"/>
    <s v="E5"/>
    <s v="의류"/>
    <s v="ELS"/>
    <s v="TH"/>
    <x v="14"/>
    <s v="ELSTHE5315"/>
    <x v="396"/>
    <x v="0"/>
    <n v="1500"/>
    <n v="148500000"/>
    <n v="29252625.000000004"/>
    <n v="4.6149704513697474"/>
    <n v="0"/>
    <n v="1500"/>
  </r>
  <r>
    <x v="0"/>
    <x v="0"/>
    <s v="ELSTHE5815"/>
    <n v="1"/>
    <s v=""/>
    <n v="0"/>
    <s v="ELSTHE5815BW"/>
    <n v="1"/>
    <s v=""/>
    <n v="0"/>
    <s v="E5"/>
    <s v="의류"/>
    <s v="ELS"/>
    <s v="TH"/>
    <x v="14"/>
    <s v="ELSTHE5815"/>
    <x v="397"/>
    <x v="0"/>
    <n v="1500"/>
    <n v="133500000"/>
    <n v="25701000"/>
    <n v="4.7221367403461478"/>
    <n v="0"/>
    <n v="1500"/>
  </r>
  <r>
    <x v="0"/>
    <x v="0"/>
    <s v="ELSHPE5323"/>
    <n v="1"/>
    <s v=""/>
    <n v="0"/>
    <s v="ELSHPE5323BK"/>
    <n v="1"/>
    <s v=""/>
    <n v="0"/>
    <s v="E5"/>
    <s v="의류"/>
    <s v="ELS"/>
    <s v="HP"/>
    <x v="14"/>
    <s v="ELSHPE5323"/>
    <x v="398"/>
    <x v="0"/>
    <n v="1500"/>
    <n v="193500000"/>
    <n v="38781375"/>
    <n v="4.5359168133953709"/>
    <n v="0"/>
    <n v="1500"/>
  </r>
  <r>
    <x v="0"/>
    <x v="0"/>
    <s v="ELSHPE5823"/>
    <n v="1"/>
    <s v=""/>
    <n v="0"/>
    <s v="ELSHPE5823BK"/>
    <n v="1"/>
    <s v=""/>
    <n v="0"/>
    <s v="E5"/>
    <s v="의류"/>
    <s v="ELS"/>
    <s v="HP"/>
    <x v="14"/>
    <s v="ELSHPE5823"/>
    <x v="399"/>
    <x v="0"/>
    <n v="1200"/>
    <n v="142800000"/>
    <n v="28668900"/>
    <n v="4.5281884487434745"/>
    <n v="0"/>
    <n v="1200"/>
  </r>
  <r>
    <x v="0"/>
    <x v="0"/>
    <s v="ELSHPE5324"/>
    <n v="1"/>
    <s v=""/>
    <n v="0"/>
    <s v="ELSHPE5324GY"/>
    <n v="1"/>
    <s v=""/>
    <n v="0"/>
    <s v="E5"/>
    <s v="의류"/>
    <s v="ELS"/>
    <s v="HP"/>
    <x v="14"/>
    <s v="ELSHPE5324"/>
    <x v="400"/>
    <x v="0"/>
    <n v="800"/>
    <n v="111200000"/>
    <n v="21746000"/>
    <n v="4.6487128249291398"/>
    <n v="0"/>
    <n v="800"/>
  </r>
  <r>
    <x v="0"/>
    <x v="0"/>
    <s v="ELSHPE5325"/>
    <n v="1"/>
    <s v=""/>
    <n v="0"/>
    <s v="ELSHPE5325BK"/>
    <n v="1"/>
    <s v=""/>
    <n v="0"/>
    <s v="E5"/>
    <s v="의류"/>
    <s v="ELS"/>
    <s v="HP"/>
    <x v="14"/>
    <s v="ELSHPE5325"/>
    <x v="401"/>
    <x v="0"/>
    <n v="1000"/>
    <n v="139000000"/>
    <n v="27182500"/>
    <n v="4.6487128249291398"/>
    <n v="0"/>
    <n v="1000"/>
  </r>
  <r>
    <x v="0"/>
    <x v="0"/>
    <s v="ELSJPE5326"/>
    <n v="1"/>
    <s v=""/>
    <n v="0"/>
    <s v="ELSJPE5326GR"/>
    <n v="1"/>
    <s v=""/>
    <n v="0"/>
    <s v="E5"/>
    <s v="의류"/>
    <s v="ELS"/>
    <s v="JP"/>
    <x v="14"/>
    <s v="ELSJPE5326"/>
    <x v="402"/>
    <x v="0"/>
    <n v="1200"/>
    <n v="214800000"/>
    <n v="45093000"/>
    <n v="4.3304443543948556"/>
    <n v="0"/>
    <n v="1200"/>
  </r>
  <r>
    <x v="0"/>
    <x v="0"/>
    <s v="ELSJPE5826"/>
    <n v="1"/>
    <s v=""/>
    <n v="0"/>
    <s v="ELSJPE5826GR"/>
    <n v="1"/>
    <s v=""/>
    <n v="0"/>
    <s v="E5"/>
    <s v="의류"/>
    <s v="ELS"/>
    <s v="JP"/>
    <x v="14"/>
    <s v="ELSJPE5826"/>
    <x v="403"/>
    <x v="0"/>
    <n v="800"/>
    <n v="135200000"/>
    <n v="27752000"/>
    <n v="4.4288372336801274"/>
    <n v="0"/>
    <n v="800"/>
  </r>
  <r>
    <x v="0"/>
    <x v="0"/>
    <s v="ELSEDE5319"/>
    <n v="1"/>
    <s v=""/>
    <n v="0"/>
    <s v="ELSEDE5319BW"/>
    <n v="1"/>
    <s v=""/>
    <n v="0"/>
    <s v="E5"/>
    <s v="ACC"/>
    <s v="ELS"/>
    <s v="ED"/>
    <x v="2"/>
    <s v="ELSEDE5319"/>
    <x v="404"/>
    <x v="0"/>
    <n v="500"/>
    <n v="21500000"/>
    <n v="4001680.0000000005"/>
    <n v="4.8843122252290394"/>
    <n v="0"/>
    <n v="500"/>
  </r>
  <r>
    <x v="0"/>
    <x v="0"/>
    <s v="ELSEDE5320"/>
    <n v="1"/>
    <s v=""/>
    <n v="0"/>
    <s v="ELSEDE5320BU"/>
    <n v="1"/>
    <s v=""/>
    <n v="0"/>
    <s v="E5"/>
    <s v="ACC"/>
    <s v="ELS"/>
    <s v="ED"/>
    <x v="2"/>
    <s v="ELSEDE5320"/>
    <x v="405"/>
    <x v="0"/>
    <n v="500"/>
    <n v="21500000"/>
    <n v="4001680.0000000005"/>
    <n v="4.8843122252290394"/>
    <n v="0"/>
    <n v="500"/>
  </r>
  <r>
    <x v="0"/>
    <x v="0"/>
    <s v="ELSTPE5321"/>
    <n v="1"/>
    <s v=""/>
    <n v="0"/>
    <s v="ELSTPE5321MT"/>
    <n v="1"/>
    <s v=""/>
    <n v="0"/>
    <s v="E5"/>
    <s v="모자"/>
    <s v="ELS"/>
    <s v="TP"/>
    <x v="3"/>
    <s v="ELSTPE5321"/>
    <x v="406"/>
    <x v="0"/>
    <n v="300"/>
    <n v="14700000"/>
    <n v="2424768.0000000005"/>
    <n v="5.511305149043686"/>
    <n v="0"/>
    <n v="300"/>
  </r>
  <r>
    <x v="0"/>
    <x v="0"/>
    <s v="ELSTPE5821"/>
    <n v="1"/>
    <s v=""/>
    <n v="0"/>
    <s v="ELSTPE5821MT"/>
    <n v="1"/>
    <s v=""/>
    <n v="0"/>
    <s v="E5"/>
    <s v="모자"/>
    <s v="ELS"/>
    <s v="TP"/>
    <x v="3"/>
    <s v="ELSTPE5821"/>
    <x v="407"/>
    <x v="0"/>
    <n v="800"/>
    <n v="36000000"/>
    <n v="5125248.0000000009"/>
    <n v="6.3855003167208135"/>
    <n v="0"/>
    <n v="800"/>
  </r>
  <r>
    <x v="0"/>
    <x v="0"/>
    <s v="ELSVBE5322"/>
    <n v="1"/>
    <s v=""/>
    <n v="0"/>
    <s v="ELSVBE5322OR"/>
    <n v="1"/>
    <s v=""/>
    <n v="0"/>
    <s v="E5"/>
    <s v="모자"/>
    <s v="ELS"/>
    <s v="VB"/>
    <x v="3"/>
    <s v="ELSVBE5322"/>
    <x v="408"/>
    <x v="0"/>
    <n v="700"/>
    <n v="34300000"/>
    <n v="4674236.0000000009"/>
    <n v="6.6709978233487082"/>
    <n v="0"/>
    <n v="700"/>
  </r>
  <r>
    <x v="0"/>
    <x v="0"/>
    <s v="ELSVBE5822"/>
    <n v="1"/>
    <s v=""/>
    <n v="0"/>
    <s v="ELSVBE5822OR"/>
    <n v="1"/>
    <s v=""/>
    <n v="0"/>
    <s v="E5"/>
    <s v="모자"/>
    <s v="ELS"/>
    <s v="VB"/>
    <x v="3"/>
    <s v="ELSVBE5822"/>
    <x v="409"/>
    <x v="0"/>
    <n v="700"/>
    <n v="31500000"/>
    <n v="4499600"/>
    <n v="6.3642020704870736"/>
    <n v="0"/>
    <n v="700"/>
  </r>
  <r>
    <x v="0"/>
    <x v="0"/>
    <s v="ELSBEE5323"/>
    <n v="1"/>
    <s v=""/>
    <n v="0"/>
    <s v="ELSBEE5323BW"/>
    <n v="1"/>
    <s v=""/>
    <n v="0"/>
    <s v="E5"/>
    <s v="모자"/>
    <s v="ELS"/>
    <s v="BE"/>
    <x v="3"/>
    <s v="ELSBEE5323"/>
    <x v="410"/>
    <x v="0"/>
    <n v="200"/>
    <n v="15800000"/>
    <n v="2782864"/>
    <n v="5.1614582543869778"/>
    <n v="0"/>
    <n v="200"/>
  </r>
  <r>
    <x v="0"/>
    <x v="0"/>
    <s v="ELSTPE5824"/>
    <n v="1"/>
    <s v=""/>
    <n v="0"/>
    <s v="ELSTPE5824NY"/>
    <n v="1"/>
    <s v=""/>
    <n v="0"/>
    <s v="E5"/>
    <s v="모자"/>
    <s v="ELS"/>
    <s v="TP"/>
    <x v="3"/>
    <s v="ELSTPE5824"/>
    <x v="411"/>
    <x v="0"/>
    <n v="300"/>
    <n v="16500000"/>
    <n v="2706678"/>
    <n v="5.5418487163969994"/>
    <n v="0"/>
    <n v="300"/>
  </r>
  <r>
    <x v="0"/>
    <x v="0"/>
    <s v="JOIEBE5803"/>
    <n v="1"/>
    <s v=""/>
    <n v="0"/>
    <s v="JOIEBE5803BL"/>
    <n v="1"/>
    <s v=""/>
    <n v="0"/>
    <s v="E5"/>
    <s v="모자"/>
    <s v="JOI"/>
    <s v="EB"/>
    <x v="6"/>
    <s v="JOIEBE5803"/>
    <x v="412"/>
    <x v="0"/>
    <n v="400"/>
    <n v="22000000"/>
    <n v="3932648.0000000005"/>
    <n v="5.0856318694172469"/>
    <n v="0"/>
    <n v="400"/>
  </r>
  <r>
    <x v="0"/>
    <x v="0"/>
    <s v="JOIEBE5804"/>
    <n v="1"/>
    <s v=""/>
    <n v="0"/>
    <s v="JOIEBE5804RE"/>
    <n v="1"/>
    <s v=""/>
    <n v="0"/>
    <s v="E5"/>
    <s v="모자"/>
    <s v="JOI"/>
    <s v="EB"/>
    <x v="6"/>
    <s v="JOIEBE5804"/>
    <x v="413"/>
    <x v="0"/>
    <n v="400"/>
    <n v="22000000"/>
    <n v="3414936"/>
    <n v="5.8566251314812341"/>
    <n v="0"/>
    <n v="400"/>
  </r>
  <r>
    <x v="0"/>
    <x v="0"/>
    <s v="JOIEBE5305"/>
    <n v="1"/>
    <s v=""/>
    <n v="0"/>
    <s v="JOIEBE5305GY"/>
    <n v="1"/>
    <s v=""/>
    <n v="0"/>
    <s v="E5"/>
    <s v="모자"/>
    <s v="JOI"/>
    <s v="EB"/>
    <x v="6"/>
    <s v="JOIEBE5305"/>
    <x v="414"/>
    <x v="0"/>
    <n v="500"/>
    <n v="32500000"/>
    <n v="4390525"/>
    <n v="6.7293671133758597"/>
    <n v="0"/>
    <n v="500"/>
  </r>
  <r>
    <x v="0"/>
    <x v="0"/>
    <s v="JOIEBE5805"/>
    <n v="1"/>
    <s v=""/>
    <n v="0"/>
    <s v="JOIEBE5805GY"/>
    <n v="1"/>
    <s v=""/>
    <n v="0"/>
    <s v="E5"/>
    <s v="모자"/>
    <s v="JOI"/>
    <s v="EB"/>
    <x v="6"/>
    <s v="JOIEBE5805"/>
    <x v="415"/>
    <x v="0"/>
    <n v="500"/>
    <n v="29500000"/>
    <n v="4308025"/>
    <n v="6.2251685675412327"/>
    <n v="0"/>
    <n v="500"/>
  </r>
  <r>
    <x v="0"/>
    <x v="0"/>
    <s v="JOIVBE5806"/>
    <n v="0.5"/>
    <s v=""/>
    <n v="0"/>
    <s v="JOIVBE5806NY"/>
    <n v="1"/>
    <s v=""/>
    <n v="0"/>
    <s v="E5"/>
    <s v="모자"/>
    <s v="JOI"/>
    <s v="VB"/>
    <x v="6"/>
    <s v="JOIVBE5806"/>
    <x v="416"/>
    <x v="0"/>
    <n v="400"/>
    <n v="22000000"/>
    <n v="4215224.0000000009"/>
    <n v="4.7447063311463387"/>
    <n v="0"/>
    <n v="400"/>
  </r>
  <r>
    <x v="0"/>
    <x v="0"/>
    <s v="JOIVBE5806"/>
    <n v="0.5"/>
    <s v=""/>
    <n v="0"/>
    <s v="JOIVBE5806PK"/>
    <n v="1"/>
    <s v=""/>
    <n v="0"/>
    <s v="E5"/>
    <s v="모자"/>
    <s v="JOI"/>
    <s v="VB"/>
    <x v="6"/>
    <s v="JOIVBE5806"/>
    <x v="417"/>
    <x v="0"/>
    <n v="400"/>
    <n v="22000000"/>
    <n v="4258024.0000000009"/>
    <n v="4.6970143897732832"/>
    <n v="0"/>
    <n v="400"/>
  </r>
  <r>
    <x v="0"/>
    <x v="0"/>
    <s v="JOIVBE5306"/>
    <n v="0.5"/>
    <s v=""/>
    <n v="0"/>
    <s v="JOIVBE5306NY"/>
    <n v="1"/>
    <s v=""/>
    <n v="0"/>
    <s v="E5"/>
    <s v="모자"/>
    <s v="JOI"/>
    <s v="VB"/>
    <x v="6"/>
    <s v="JOIVBE5306"/>
    <x v="418"/>
    <x v="0"/>
    <n v="400"/>
    <n v="23600000"/>
    <n v="4389964"/>
    <n v="4.8871802717620128"/>
    <n v="0"/>
    <n v="400"/>
  </r>
  <r>
    <x v="0"/>
    <x v="0"/>
    <s v="JOIVBE5306"/>
    <n v="0.5"/>
    <s v=""/>
    <n v="0"/>
    <s v="JOIVBE5306PK"/>
    <n v="1"/>
    <s v=""/>
    <n v="0"/>
    <s v="E5"/>
    <s v="모자"/>
    <s v="JOI"/>
    <s v="VB"/>
    <x v="6"/>
    <s v="JOIVBE5306"/>
    <x v="419"/>
    <x v="0"/>
    <n v="400"/>
    <n v="23600000"/>
    <n v="4439164"/>
    <n v="4.8330148321948574"/>
    <n v="0"/>
    <n v="400"/>
  </r>
  <r>
    <x v="0"/>
    <x v="0"/>
    <s v="JOIEBE5807"/>
    <n v="1"/>
    <s v=""/>
    <n v="0"/>
    <s v="JOIEBE5807BL"/>
    <n v="1"/>
    <s v=""/>
    <n v="0"/>
    <s v="E5"/>
    <s v="모자"/>
    <s v="JOI"/>
    <s v="EB"/>
    <x v="6"/>
    <s v="JOIEBE5807"/>
    <x v="420"/>
    <x v="0"/>
    <n v="400"/>
    <n v="22000000"/>
    <n v="3678844"/>
    <n v="5.4364903757810872"/>
    <n v="0"/>
    <n v="400"/>
  </r>
  <r>
    <x v="0"/>
    <x v="0"/>
    <s v="JOIEBE5310"/>
    <n v="1"/>
    <s v=""/>
    <n v="0"/>
    <s v="JOIEBE5310KH"/>
    <n v="1"/>
    <s v=""/>
    <n v="0"/>
    <s v="E5"/>
    <s v="모자"/>
    <s v="JOI"/>
    <s v="EB"/>
    <x v="6"/>
    <s v="JOIEBE5310"/>
    <x v="421"/>
    <x v="0"/>
    <n v="200"/>
    <n v="11800000"/>
    <n v="2074460.0000000002"/>
    <n v="5.1711157251876267"/>
    <n v="0"/>
    <n v="200"/>
  </r>
  <r>
    <x v="0"/>
    <x v="0"/>
    <s v="JOIEBE5808"/>
    <n v="1"/>
    <s v=""/>
    <n v="0"/>
    <s v="JOIEBE5808IV"/>
    <n v="1"/>
    <s v=""/>
    <n v="0"/>
    <s v="E5"/>
    <s v="모자"/>
    <s v="JOI"/>
    <s v="EB"/>
    <x v="6"/>
    <s v="JOIEBE5808"/>
    <x v="422"/>
    <x v="0"/>
    <n v="500"/>
    <n v="24500000"/>
    <n v="3101820"/>
    <n v="7.1805350641646744"/>
    <n v="0"/>
    <n v="500"/>
  </r>
  <r>
    <x v="0"/>
    <x v="0"/>
    <s v="JOIEBE5809"/>
    <n v="1"/>
    <s v=""/>
    <n v="0"/>
    <s v="JOIEBE5809BL"/>
    <n v="1"/>
    <s v=""/>
    <n v="0"/>
    <s v="E5"/>
    <s v="모자"/>
    <s v="JOI"/>
    <s v="EB"/>
    <x v="6"/>
    <s v="JOIEBE5809"/>
    <x v="423"/>
    <x v="0"/>
    <n v="500"/>
    <n v="24500000"/>
    <n v="3529370.0000000005"/>
    <n v="6.3106807369947804"/>
    <n v="0"/>
    <n v="500"/>
  </r>
  <r>
    <x v="0"/>
    <x v="0"/>
    <s v="JOIEDE5311"/>
    <n v="1"/>
    <s v=""/>
    <n v="0"/>
    <s v="JOIEDE5311BL"/>
    <n v="1"/>
    <s v=""/>
    <n v="0"/>
    <s v="E5"/>
    <s v="ACC"/>
    <s v="JOI"/>
    <s v="ED"/>
    <x v="20"/>
    <s v="JOIEDE5311"/>
    <x v="424"/>
    <x v="0"/>
    <n v="500"/>
    <n v="22500000"/>
    <n v="3197815.0000000009"/>
    <n v="6.3964130053006336"/>
    <n v="0"/>
    <n v="500"/>
  </r>
  <r>
    <x v="0"/>
    <x v="0"/>
    <s v="JOIEBE5812"/>
    <n v="1"/>
    <s v=""/>
    <n v="0"/>
    <s v="JOIEBE5812YE"/>
    <n v="1"/>
    <s v=""/>
    <n v="0"/>
    <s v="E5"/>
    <s v="모자"/>
    <s v="JOI"/>
    <s v="EB"/>
    <x v="6"/>
    <s v="JOIEBE5812"/>
    <x v="425"/>
    <x v="0"/>
    <n v="500"/>
    <n v="24500000"/>
    <n v="3565450.0000000005"/>
    <n v="6.2468208144069521"/>
    <n v="0"/>
    <n v="500"/>
  </r>
  <r>
    <x v="1"/>
    <x v="0"/>
    <s v="JOIEDE5102"/>
    <n v="1"/>
    <s v=""/>
    <n v="0"/>
    <s v="JOIEDE5102IV"/>
    <n v="1"/>
    <s v=""/>
    <n v="0"/>
    <s v="E5"/>
    <s v="ACC"/>
    <s v="JOI"/>
    <s v="ED"/>
    <x v="20"/>
    <s v="JOIEDE5102"/>
    <x v="426"/>
    <x v="0"/>
    <n v="500"/>
    <n v="19500000"/>
    <n v="3970495"/>
    <n v="4.4647513036215196"/>
    <n v="0"/>
    <n v="500"/>
  </r>
  <r>
    <x v="1"/>
    <x v="0"/>
    <s v="JOIEDE5110"/>
    <n v="1"/>
    <s v=""/>
    <n v="0"/>
    <s v="JOIEDE5110IV"/>
    <n v="1"/>
    <s v=""/>
    <n v="0"/>
    <s v="E5"/>
    <s v="ACC"/>
    <s v="JOI"/>
    <s v="ED"/>
    <x v="20"/>
    <s v="JOIEDE5110"/>
    <x v="427"/>
    <x v="0"/>
    <n v="500"/>
    <n v="19500000"/>
    <n v="3970495"/>
    <n v="4.4647513036215196"/>
    <n v="0"/>
    <n v="500"/>
  </r>
  <r>
    <x v="0"/>
    <x v="0"/>
    <s v="PLABPE3301"/>
    <n v="1"/>
    <s v=""/>
    <n v="0"/>
    <s v="PLABPE3301BW"/>
    <n v="1"/>
    <s v=""/>
    <n v="0"/>
    <s v="E3"/>
    <s v="가방"/>
    <s v="PLA"/>
    <s v="BP"/>
    <x v="21"/>
    <s v="PLABPE3301"/>
    <x v="428"/>
    <x v="0"/>
    <n v="500"/>
    <n v="59500000"/>
    <n v="12000000"/>
    <n v="4.5075757575757569"/>
    <n v="0"/>
    <n v="500"/>
  </r>
  <r>
    <x v="0"/>
    <x v="0"/>
    <s v="PLABPE3302"/>
    <n v="1"/>
    <s v=""/>
    <n v="0"/>
    <s v="PLABPE3302BK"/>
    <n v="1"/>
    <s v=""/>
    <n v="0"/>
    <s v="E3"/>
    <s v="가방"/>
    <s v="PLA"/>
    <s v="BP"/>
    <x v="21"/>
    <s v="PLABPE3302"/>
    <x v="429"/>
    <x v="0"/>
    <n v="500"/>
    <n v="59500000"/>
    <n v="12000000"/>
    <n v="4.5075757575757569"/>
    <n v="0"/>
    <n v="500"/>
  </r>
  <r>
    <x v="0"/>
    <x v="0"/>
    <s v="PLABPE3303"/>
    <n v="1"/>
    <s v=""/>
    <n v="0"/>
    <s v="PLABPE3303OR"/>
    <n v="1"/>
    <s v=""/>
    <n v="0"/>
    <s v="E3"/>
    <s v="가방"/>
    <s v="PLA"/>
    <s v="BP"/>
    <x v="21"/>
    <s v="PLABPE3303"/>
    <x v="430"/>
    <x v="0"/>
    <n v="500"/>
    <n v="59500000"/>
    <n v="12000000"/>
    <n v="4.5075757575757569"/>
    <n v="0"/>
    <n v="500"/>
  </r>
  <r>
    <x v="0"/>
    <x v="0"/>
    <s v="PLABPE3304"/>
    <n v="1"/>
    <s v=""/>
    <n v="0"/>
    <s v="PLABPE3304BK"/>
    <n v="1"/>
    <s v=""/>
    <n v="0"/>
    <s v="E3"/>
    <s v="가방"/>
    <s v="PLA"/>
    <s v="BP"/>
    <x v="21"/>
    <s v="PLABPE3304"/>
    <x v="431"/>
    <x v="0"/>
    <n v="500"/>
    <n v="59500000"/>
    <n v="12000000"/>
    <n v="4.5075757575757569"/>
    <n v="0"/>
    <n v="500"/>
  </r>
  <r>
    <x v="0"/>
    <x v="0"/>
    <s v="ELSBPE3301"/>
    <n v="1"/>
    <s v=""/>
    <n v="0"/>
    <s v="ELSBPE3301BW"/>
    <n v="1"/>
    <s v=""/>
    <n v="0"/>
    <s v="E3"/>
    <s v="가방"/>
    <s v="ELS"/>
    <s v="BP"/>
    <x v="0"/>
    <s v="ELSBPE3301"/>
    <x v="432"/>
    <x v="0"/>
    <n v="500"/>
    <n v="64500000"/>
    <n v="12510000"/>
    <n v="4.6871593634183553"/>
    <n v="0"/>
    <n v="500"/>
  </r>
  <r>
    <x v="0"/>
    <x v="0"/>
    <s v="ELSBPE3801"/>
    <n v="1"/>
    <s v=""/>
    <n v="0"/>
    <s v="ELSBPE3801BW"/>
    <n v="1"/>
    <s v=""/>
    <n v="0"/>
    <s v="E3"/>
    <s v="가방"/>
    <s v="ELS"/>
    <s v="BP"/>
    <x v="0"/>
    <s v="ELSBPE3801"/>
    <x v="433"/>
    <x v="0"/>
    <n v="500"/>
    <n v="49500000"/>
    <n v="11260000"/>
    <n v="3.9964476021314379"/>
    <n v="0"/>
    <n v="500"/>
  </r>
  <r>
    <x v="0"/>
    <x v="0"/>
    <s v="ELSBPE3811"/>
    <n v="1"/>
    <s v=""/>
    <n v="0"/>
    <s v="ELSBPE3811BW"/>
    <n v="1"/>
    <s v=""/>
    <n v="0"/>
    <s v="E3"/>
    <s v="가방"/>
    <s v="ELS"/>
    <s v="BP"/>
    <x v="0"/>
    <s v="ELSBPE3811"/>
    <x v="434"/>
    <x v="0"/>
    <n v="500"/>
    <n v="44500000"/>
    <n v="10010000"/>
    <n v="4.0414131323222229"/>
    <n v="0"/>
    <n v="500"/>
  </r>
  <r>
    <x v="1"/>
    <x v="0"/>
    <s v="NOVFAE3105"/>
    <n v="1"/>
    <s v=""/>
    <n v="0"/>
    <s v="NOVFAE3105BG"/>
    <n v="1"/>
    <s v=""/>
    <n v="0"/>
    <s v="E3"/>
    <s v="모자"/>
    <s v="NOV"/>
    <s v="FA"/>
    <x v="11"/>
    <s v="NOVFAE3105"/>
    <x v="435"/>
    <x v="0"/>
    <n v="700"/>
    <n v="41300000"/>
    <n v="4656456.0000000009"/>
    <n v="8.063096600817131"/>
    <n v="0"/>
    <n v="700"/>
  </r>
  <r>
    <x v="1"/>
    <x v="0"/>
    <s v="NOVFAE3605"/>
    <n v="1"/>
    <s v=""/>
    <n v="0"/>
    <s v="NOVFAE3605BG"/>
    <n v="1"/>
    <s v=""/>
    <n v="0"/>
    <s v="E3"/>
    <s v="모자"/>
    <s v="NOV"/>
    <s v="FA"/>
    <x v="11"/>
    <s v="NOVFAE3605"/>
    <x v="436"/>
    <x v="0"/>
    <n v="500"/>
    <n v="27500000"/>
    <n v="3297855.0000000005"/>
    <n v="7.580685021021238"/>
    <n v="0"/>
    <n v="500"/>
  </r>
  <r>
    <x v="1"/>
    <x v="0"/>
    <s v="NOVMIE3101"/>
    <n v="1"/>
    <s v=""/>
    <n v="0"/>
    <s v="NOVMIE3101BG"/>
    <n v="1"/>
    <s v=""/>
    <n v="0"/>
    <s v="E3"/>
    <s v="모자"/>
    <s v="NOV"/>
    <s v="MI"/>
    <x v="11"/>
    <s v="NOVMIE3101"/>
    <x v="437"/>
    <x v="0"/>
    <n v="700"/>
    <n v="34300000"/>
    <n v="3479707"/>
    <n v="8.961047059944466"/>
    <n v="0"/>
    <n v="700"/>
  </r>
  <r>
    <x v="1"/>
    <x v="0"/>
    <s v="NOVMIE3102"/>
    <n v="0.33333333333333331"/>
    <s v=""/>
    <n v="0"/>
    <s v="NOVMIE3102BK"/>
    <n v="1"/>
    <s v=""/>
    <n v="0"/>
    <s v="E3"/>
    <s v="모자"/>
    <s v="NOV"/>
    <s v="MI"/>
    <x v="11"/>
    <s v="NOVMIE3102"/>
    <x v="438"/>
    <x v="0"/>
    <n v="1000"/>
    <n v="49000000"/>
    <n v="6818330.0000000009"/>
    <n v="6.5331913453080936"/>
    <n v="0"/>
    <n v="1000"/>
  </r>
  <r>
    <x v="1"/>
    <x v="0"/>
    <s v="NOVMIE3102"/>
    <n v="0.33333333333333331"/>
    <s v=""/>
    <n v="0"/>
    <s v="NOVMIE3102RE"/>
    <n v="1"/>
    <s v=""/>
    <n v="0"/>
    <s v="E3"/>
    <s v="모자"/>
    <s v="NOV"/>
    <s v="MI"/>
    <x v="11"/>
    <s v="NOVMIE3102"/>
    <x v="439"/>
    <x v="0"/>
    <n v="1000"/>
    <n v="49000000"/>
    <n v="6818330.0000000009"/>
    <n v="6.5331913453080936"/>
    <n v="0"/>
    <n v="1000"/>
  </r>
  <r>
    <x v="1"/>
    <x v="0"/>
    <s v="NOVMIE3602"/>
    <n v="1"/>
    <s v=""/>
    <n v="0"/>
    <s v="NOVMIE3602RE"/>
    <n v="1"/>
    <s v=""/>
    <n v="0"/>
    <s v="E3"/>
    <s v="모자"/>
    <s v="NOV"/>
    <s v="MI"/>
    <x v="11"/>
    <s v="NOVMIE3602"/>
    <x v="440"/>
    <x v="0"/>
    <n v="500"/>
    <n v="22500000"/>
    <n v="3377980.0000000009"/>
    <n v="6.0552594907446009"/>
    <n v="0"/>
    <n v="500"/>
  </r>
  <r>
    <x v="1"/>
    <x v="0"/>
    <s v="HCUMIE3001"/>
    <n v="1"/>
    <s v=""/>
    <n v="0"/>
    <s v="HCUMIE3001GY"/>
    <n v="1"/>
    <s v=""/>
    <n v="0"/>
    <s v="E3"/>
    <s v="모자"/>
    <s v="HCU"/>
    <s v="MI"/>
    <x v="12"/>
    <s v="HCUMIE3001"/>
    <x v="441"/>
    <x v="0"/>
    <n v="700"/>
    <n v="31500000"/>
    <n v="4017153"/>
    <n v="7.1285220245192633"/>
    <n v="0"/>
    <n v="700"/>
  </r>
  <r>
    <x v="1"/>
    <x v="0"/>
    <s v="HCUMIE3010"/>
    <n v="1"/>
    <s v=""/>
    <n v="0"/>
    <s v="HCUMIE3010BK"/>
    <n v="1"/>
    <s v=""/>
    <n v="0"/>
    <s v="E3"/>
    <s v="모자"/>
    <s v="HCU"/>
    <s v="MI"/>
    <x v="12"/>
    <s v="HCUMIE3010"/>
    <x v="442"/>
    <x v="0"/>
    <n v="1200"/>
    <n v="54000000"/>
    <n v="7032456"/>
    <n v="6.9806208657272917"/>
    <n v="0"/>
    <n v="1200"/>
  </r>
  <r>
    <x v="1"/>
    <x v="1"/>
    <s v=""/>
    <n v="0"/>
    <s v="VBLBAE3003"/>
    <n v="1"/>
    <s v=""/>
    <n v="0"/>
    <s v="VBLBAE3003BK"/>
    <n v="1"/>
    <s v="E3"/>
    <s v="모자"/>
    <s v="VBL"/>
    <s v="BA"/>
    <x v="10"/>
    <s v="VBLBAE3003"/>
    <x v="126"/>
    <x v="0"/>
    <n v="700"/>
    <n v="30100000"/>
    <n v="6664000"/>
    <n v="4.1061879297173407"/>
    <n v="700"/>
    <n v="0"/>
  </r>
  <r>
    <x v="1"/>
    <x v="0"/>
    <s v="BMDBAE3202"/>
    <n v="0.25"/>
    <s v=""/>
    <n v="0"/>
    <s v="BMDBAE3202OR"/>
    <n v="1"/>
    <s v=""/>
    <n v="0"/>
    <s v="E3"/>
    <s v="모자"/>
    <s v="BMD"/>
    <s v="BA"/>
    <x v="18"/>
    <s v="BMDBAE3202"/>
    <x v="443"/>
    <x v="0"/>
    <n v="500"/>
    <n v="27500000"/>
    <n v="4510000"/>
    <n v="5.5432372505543235"/>
    <n v="0"/>
    <n v="500"/>
  </r>
  <r>
    <x v="1"/>
    <x v="0"/>
    <s v="PLAUME3203"/>
    <n v="1"/>
    <s v=""/>
    <n v="0"/>
    <s v="PLAUME3203BK"/>
    <n v="1"/>
    <s v=""/>
    <n v="0"/>
    <s v="E3"/>
    <s v="모자"/>
    <s v="PLA"/>
    <s v="UM"/>
    <x v="16"/>
    <s v="PLAUME3203"/>
    <x v="444"/>
    <x v="0"/>
    <n v="1500"/>
    <n v="88500000"/>
    <n v="11600820.000000002"/>
    <n v="6.9352464269375291"/>
    <n v="0"/>
    <n v="1500"/>
  </r>
  <r>
    <x v="1"/>
    <x v="0"/>
    <s v="PLAUME3208"/>
    <n v="1"/>
    <s v=""/>
    <n v="0"/>
    <s v="PLAUME3208GR"/>
    <n v="1"/>
    <s v=""/>
    <n v="0"/>
    <s v="E3"/>
    <s v="모자"/>
    <s v="PLA"/>
    <s v="UM"/>
    <x v="16"/>
    <s v="PLAUME3208"/>
    <x v="445"/>
    <x v="0"/>
    <n v="500"/>
    <n v="29500000"/>
    <n v="3866940.0000000005"/>
    <n v="6.93524642693753"/>
    <n v="0"/>
    <n v="500"/>
  </r>
  <r>
    <x v="1"/>
    <x v="0"/>
    <s v="HCUMIE3008"/>
    <n v="0.5"/>
    <s v=""/>
    <n v="0"/>
    <s v="HCUMIE3008BK"/>
    <n v="1"/>
    <s v=""/>
    <n v="0"/>
    <s v="E3"/>
    <s v="모자"/>
    <s v="HCU"/>
    <s v="MI"/>
    <x v="12"/>
    <s v="HCUMIE3008"/>
    <x v="446"/>
    <x v="0"/>
    <n v="1000"/>
    <n v="49000000"/>
    <n v="9520000"/>
    <n v="4.6791443850267376"/>
    <n v="0"/>
    <n v="1000"/>
  </r>
  <r>
    <x v="1"/>
    <x v="0"/>
    <s v="HCUMIE3008"/>
    <n v="0.5"/>
    <s v=""/>
    <n v="0"/>
    <s v="HCUMIE3008KH"/>
    <n v="1"/>
    <s v=""/>
    <n v="0"/>
    <s v="E3"/>
    <s v="모자"/>
    <s v="HCU"/>
    <s v="MI"/>
    <x v="12"/>
    <s v="HCUMIE3008"/>
    <x v="447"/>
    <x v="0"/>
    <n v="1000"/>
    <n v="49000000"/>
    <n v="9520000"/>
    <n v="4.6791443850267376"/>
    <n v="0"/>
    <n v="1000"/>
  </r>
  <r>
    <x v="1"/>
    <x v="0"/>
    <s v="HCUMIE3109"/>
    <n v="1"/>
    <s v=""/>
    <n v="0"/>
    <s v="HCUMIE3109GY"/>
    <n v="1"/>
    <s v=""/>
    <n v="0"/>
    <s v="E3"/>
    <s v="모자"/>
    <s v="HCU"/>
    <s v="MI"/>
    <x v="12"/>
    <s v="HCUMIE3109"/>
    <x v="448"/>
    <x v="0"/>
    <n v="800"/>
    <n v="44000000"/>
    <n v="7229600"/>
    <n v="5.5328095606949201"/>
    <n v="0"/>
    <n v="800"/>
  </r>
  <r>
    <x v="1"/>
    <x v="0"/>
    <s v="HCUMIE3110"/>
    <n v="1"/>
    <s v=""/>
    <n v="0"/>
    <s v="HCUMIE3110GY"/>
    <n v="1"/>
    <s v=""/>
    <n v="0"/>
    <s v="E3"/>
    <s v="모자"/>
    <s v="HCU"/>
    <s v="MI"/>
    <x v="12"/>
    <s v="HCUMIE3110"/>
    <x v="449"/>
    <x v="0"/>
    <n v="800"/>
    <n v="47200000"/>
    <n v="6253040.0000000009"/>
    <n v="6.8621168118372662"/>
    <n v="0"/>
    <n v="800"/>
  </r>
  <r>
    <x v="1"/>
    <x v="0"/>
    <s v="VBLBAE3101"/>
    <n v="1"/>
    <s v=""/>
    <n v="0"/>
    <s v="VBLBAE3101GY"/>
    <n v="1"/>
    <s v=""/>
    <n v="0"/>
    <s v="E3"/>
    <s v="모자"/>
    <s v="VBL"/>
    <s v="BA"/>
    <x v="10"/>
    <s v="VBLBAE3101"/>
    <x v="450"/>
    <x v="0"/>
    <n v="1000"/>
    <n v="59000000"/>
    <n v="12520000"/>
    <n v="4.2840546035434208"/>
    <n v="0"/>
    <n v="1000"/>
  </r>
  <r>
    <x v="1"/>
    <x v="0"/>
    <s v="VBLBAE3107"/>
    <n v="1"/>
    <s v=""/>
    <n v="0"/>
    <s v="VBLBAE3107NY"/>
    <n v="1"/>
    <s v=""/>
    <n v="0"/>
    <s v="E3"/>
    <s v="모자"/>
    <s v="VBL"/>
    <s v="BA"/>
    <x v="10"/>
    <s v="VBLBAE3107"/>
    <x v="451"/>
    <x v="0"/>
    <n v="1000"/>
    <n v="55000000"/>
    <n v="11020000"/>
    <n v="4.5372050816696907"/>
    <n v="0"/>
    <n v="1000"/>
  </r>
  <r>
    <x v="1"/>
    <x v="0"/>
    <s v="ELSERE5022"/>
    <n v="1"/>
    <s v=""/>
    <n v="0"/>
    <s v="ELSERE5022NY"/>
    <n v="1"/>
    <s v=""/>
    <n v="0"/>
    <s v="E5"/>
    <s v="모자"/>
    <s v="ELS"/>
    <s v="ER"/>
    <x v="3"/>
    <s v="ELSERE5022"/>
    <x v="452"/>
    <x v="0"/>
    <n v="1200"/>
    <n v="70800000"/>
    <n v="11400288"/>
    <n v="5.6457903838601586"/>
    <n v="0"/>
    <n v="1200"/>
  </r>
  <r>
    <x v="1"/>
    <x v="0"/>
    <s v="ELSERE5144"/>
    <n v="1"/>
    <s v=""/>
    <n v="0"/>
    <s v="ELSERE5144RE"/>
    <n v="1"/>
    <s v=""/>
    <n v="0"/>
    <s v="E5"/>
    <s v="모자"/>
    <s v="ELS"/>
    <s v="ER"/>
    <x v="3"/>
    <s v="ELSERE5144"/>
    <x v="453"/>
    <x v="0"/>
    <n v="3000"/>
    <n v="207000000"/>
    <n v="31386270"/>
    <n v="5.9956732093943685"/>
    <n v="0"/>
    <n v="3000"/>
  </r>
  <r>
    <x v="1"/>
    <x v="0"/>
    <s v="ELSERE5644"/>
    <n v="1"/>
    <s v=""/>
    <n v="0"/>
    <s v="ELSERE5644RE"/>
    <n v="1"/>
    <s v=""/>
    <n v="0"/>
    <s v="E5"/>
    <s v="모자"/>
    <s v="ELS"/>
    <s v="ER"/>
    <x v="3"/>
    <s v="ELSERE5644"/>
    <x v="454"/>
    <x v="0"/>
    <n v="2000"/>
    <n v="126000000"/>
    <n v="19955989.999999996"/>
    <n v="5.7399033846706962"/>
    <n v="0"/>
    <n v="2000"/>
  </r>
  <r>
    <x v="1"/>
    <x v="0"/>
    <s v="ELSERE5145"/>
    <n v="1"/>
    <s v=""/>
    <n v="0"/>
    <s v="ELSERE5145BK"/>
    <n v="1"/>
    <s v=""/>
    <n v="0"/>
    <s v="E5"/>
    <s v="모자"/>
    <s v="ELS"/>
    <s v="ER"/>
    <x v="3"/>
    <s v="ELSERE5145"/>
    <x v="455"/>
    <x v="0"/>
    <n v="2500"/>
    <n v="172500000"/>
    <n v="26277600.000000004"/>
    <n v="5.9677513097916774"/>
    <n v="0"/>
    <n v="2500"/>
  </r>
  <r>
    <x v="0"/>
    <x v="0"/>
    <s v="ELSFIE3325"/>
    <n v="1"/>
    <s v=""/>
    <n v="0"/>
    <s v="ELSFIE3325LI"/>
    <n v="1"/>
    <s v=""/>
    <n v="0"/>
    <s v="E3"/>
    <s v="모자"/>
    <s v="ELS"/>
    <s v="FI"/>
    <x v="3"/>
    <s v="ELSFIE3325"/>
    <x v="456"/>
    <x v="0"/>
    <n v="1000"/>
    <n v="49000000"/>
    <n v="6488000"/>
    <n v="6.8658222172402192"/>
    <n v="0"/>
    <n v="1000"/>
  </r>
  <r>
    <x v="0"/>
    <x v="0"/>
    <s v="ELSFIE3825"/>
    <n v="1"/>
    <s v=""/>
    <n v="0"/>
    <s v="ELSFIE3825LI"/>
    <n v="1"/>
    <s v=""/>
    <n v="0"/>
    <s v="E3"/>
    <s v="모자"/>
    <s v="ELS"/>
    <s v="FI"/>
    <x v="3"/>
    <s v="ELSFIE3825"/>
    <x v="457"/>
    <x v="0"/>
    <n v="1000"/>
    <n v="43000000"/>
    <n v="6372500"/>
    <n v="6.1343129212882053"/>
    <n v="0"/>
    <n v="1000"/>
  </r>
  <r>
    <x v="0"/>
    <x v="0"/>
    <s v="ELSFIE3326"/>
    <n v="0.5"/>
    <s v=""/>
    <n v="0"/>
    <s v="ELSFIE3326KH"/>
    <n v="1"/>
    <s v=""/>
    <n v="0"/>
    <s v="E3"/>
    <s v="모자"/>
    <s v="ELS"/>
    <s v="FI"/>
    <x v="3"/>
    <s v="ELSFIE3326"/>
    <x v="458"/>
    <x v="0"/>
    <n v="1200"/>
    <n v="58800000"/>
    <n v="6954000"/>
    <n v="7.6868774021491868"/>
    <n v="0"/>
    <n v="1200"/>
  </r>
  <r>
    <x v="0"/>
    <x v="0"/>
    <s v="ELSFIE3826"/>
    <n v="0.5"/>
    <s v=""/>
    <n v="0"/>
    <s v="ELSFIE3826KH"/>
    <n v="1"/>
    <s v=""/>
    <n v="0"/>
    <s v="E3"/>
    <s v="모자"/>
    <s v="ELS"/>
    <s v="FI"/>
    <x v="3"/>
    <s v="ELSFIE3826"/>
    <x v="459"/>
    <x v="0"/>
    <n v="1200"/>
    <n v="51600000"/>
    <n v="6815400.0000000009"/>
    <n v="6.8828081857397798"/>
    <n v="0"/>
    <n v="1200"/>
  </r>
  <r>
    <x v="0"/>
    <x v="0"/>
    <s v="ELSFIE3326"/>
    <n v="0.5"/>
    <s v=""/>
    <n v="0"/>
    <s v="ELSFIE3326RE"/>
    <n v="1"/>
    <s v=""/>
    <n v="0"/>
    <s v="E3"/>
    <s v="모자"/>
    <s v="ELS"/>
    <s v="FI"/>
    <x v="3"/>
    <s v="ELSFIE3326"/>
    <x v="460"/>
    <x v="0"/>
    <n v="1200"/>
    <n v="58800000"/>
    <n v="6954000"/>
    <n v="7.6868774021491868"/>
    <n v="0"/>
    <n v="1200"/>
  </r>
  <r>
    <x v="0"/>
    <x v="0"/>
    <s v="ELSFIE3826"/>
    <n v="0.5"/>
    <s v=""/>
    <n v="0"/>
    <s v="ELSFIE3826RE"/>
    <n v="1"/>
    <s v=""/>
    <n v="0"/>
    <s v="E3"/>
    <s v="모자"/>
    <s v="ELS"/>
    <s v="FI"/>
    <x v="3"/>
    <s v="ELSFIE3826"/>
    <x v="461"/>
    <x v="0"/>
    <n v="1200"/>
    <n v="51600000"/>
    <n v="6815400.0000000009"/>
    <n v="6.8828081857397798"/>
    <n v="0"/>
    <n v="1200"/>
  </r>
  <r>
    <x v="0"/>
    <x v="0"/>
    <s v="ELSMIE3327"/>
    <n v="1"/>
    <s v=""/>
    <n v="0"/>
    <s v="ELSMIE3327BK"/>
    <n v="1"/>
    <s v=""/>
    <n v="0"/>
    <s v="E3"/>
    <s v="모자"/>
    <s v="ELS"/>
    <s v="MI"/>
    <x v="3"/>
    <s v="ELSMIE3327"/>
    <x v="462"/>
    <x v="0"/>
    <n v="800"/>
    <n v="39200000"/>
    <n v="7188080"/>
    <n v="4.9577027017456166"/>
    <n v="0"/>
    <n v="800"/>
  </r>
  <r>
    <x v="1"/>
    <x v="0"/>
    <s v="ELSBEE5149"/>
    <n v="1"/>
    <s v=""/>
    <n v="0"/>
    <s v="ELSBEE5149BK"/>
    <n v="1"/>
    <s v=""/>
    <n v="0"/>
    <s v="E5"/>
    <s v="모자"/>
    <s v="ELS"/>
    <s v="BE"/>
    <x v="3"/>
    <s v="ELSBEE5149"/>
    <x v="463"/>
    <x v="0"/>
    <n v="700"/>
    <n v="30100000"/>
    <n v="3943310.0000000009"/>
    <n v="6.939255692206892"/>
    <n v="0"/>
    <n v="700"/>
  </r>
  <r>
    <x v="0"/>
    <x v="0"/>
    <s v="ELSEBE5328"/>
    <n v="0.5"/>
    <s v=""/>
    <n v="0"/>
    <s v="ELSEBE5328GY"/>
    <n v="1"/>
    <s v=""/>
    <n v="0"/>
    <s v="E5"/>
    <s v="모자"/>
    <s v="ELS"/>
    <s v="EB"/>
    <x v="3"/>
    <s v="ELSEBE5328"/>
    <x v="464"/>
    <x v="0"/>
    <n v="700"/>
    <n v="34300000"/>
    <n v="5929562.0000000009"/>
    <n v="5.2587051424402302"/>
    <n v="0"/>
    <n v="700"/>
  </r>
  <r>
    <x v="0"/>
    <x v="0"/>
    <s v="ELSEBE5828"/>
    <n v="0.5"/>
    <s v=""/>
    <n v="0"/>
    <s v="ELSEBE5828GY"/>
    <n v="1"/>
    <s v=""/>
    <n v="0"/>
    <s v="E5"/>
    <s v="모자"/>
    <s v="ELS"/>
    <s v="EB"/>
    <x v="3"/>
    <s v="ELSEBE5828"/>
    <x v="465"/>
    <x v="0"/>
    <n v="700"/>
    <n v="31500000"/>
    <n v="5623826.0000000009"/>
    <n v="5.0919718420099818"/>
    <n v="0"/>
    <n v="700"/>
  </r>
  <r>
    <x v="0"/>
    <x v="0"/>
    <s v="ELSEBE5328"/>
    <n v="0.5"/>
    <s v=""/>
    <n v="0"/>
    <s v="ELSEBE5328MT"/>
    <n v="1"/>
    <s v=""/>
    <n v="0"/>
    <s v="E5"/>
    <s v="모자"/>
    <s v="ELS"/>
    <s v="EB"/>
    <x v="3"/>
    <s v="ELSEBE5328"/>
    <x v="466"/>
    <x v="0"/>
    <n v="700"/>
    <n v="34300000"/>
    <n v="5929562.0000000009"/>
    <n v="5.2587051424402302"/>
    <n v="0"/>
    <n v="700"/>
  </r>
  <r>
    <x v="0"/>
    <x v="0"/>
    <s v="ELSEBE5828"/>
    <n v="0.5"/>
    <s v=""/>
    <n v="0"/>
    <s v="ELSEBE5828MT"/>
    <n v="1"/>
    <s v=""/>
    <n v="0"/>
    <s v="E5"/>
    <s v="모자"/>
    <s v="ELS"/>
    <s v="EB"/>
    <x v="3"/>
    <s v="ELSEBE5828"/>
    <x v="467"/>
    <x v="0"/>
    <n v="700"/>
    <n v="31500000"/>
    <n v="5623826.0000000009"/>
    <n v="5.0919718420099818"/>
    <n v="0"/>
    <n v="700"/>
  </r>
  <r>
    <x v="0"/>
    <x v="0"/>
    <s v="ELSEBE5329"/>
    <n v="0.33333333333333331"/>
    <s v=""/>
    <n v="0"/>
    <s v="ELSEBE5329NY"/>
    <n v="1"/>
    <s v=""/>
    <n v="0"/>
    <s v="E5"/>
    <s v="모자"/>
    <s v="ELS"/>
    <s v="EB"/>
    <x v="3"/>
    <s v="ELSEBE5329"/>
    <x v="468"/>
    <x v="0"/>
    <n v="500"/>
    <n v="22500000"/>
    <n v="3382315.0000000009"/>
    <n v="6.0474986671984858"/>
    <n v="0"/>
    <n v="500"/>
  </r>
  <r>
    <x v="0"/>
    <x v="0"/>
    <s v="ELSEBE5829"/>
    <n v="0.33333333333333331"/>
    <s v=""/>
    <n v="0"/>
    <s v="ELSEBE5829NY"/>
    <n v="1"/>
    <s v=""/>
    <n v="0"/>
    <s v="E5"/>
    <s v="모자"/>
    <s v="ELS"/>
    <s v="EB"/>
    <x v="3"/>
    <s v="ELSEBE5829"/>
    <x v="469"/>
    <x v="0"/>
    <n v="500"/>
    <n v="21500000"/>
    <n v="3178390.0000000005"/>
    <n v="6.1494827712944415"/>
    <n v="0"/>
    <n v="500"/>
  </r>
  <r>
    <x v="0"/>
    <x v="0"/>
    <s v="ELSEBE5329"/>
    <n v="0.33333333333333331"/>
    <s v=""/>
    <n v="0"/>
    <s v="ELSEBE5329MT"/>
    <n v="1"/>
    <s v=""/>
    <n v="0"/>
    <s v="E5"/>
    <s v="모자"/>
    <s v="ELS"/>
    <s v="EB"/>
    <x v="3"/>
    <s v="ELSEBE5329"/>
    <x v="470"/>
    <x v="0"/>
    <n v="500"/>
    <n v="22500000"/>
    <n v="3382315.0000000009"/>
    <n v="6.0474986671984858"/>
    <n v="0"/>
    <n v="500"/>
  </r>
  <r>
    <x v="0"/>
    <x v="0"/>
    <s v="ELSEBE5829"/>
    <n v="0.33333333333333331"/>
    <s v=""/>
    <n v="0"/>
    <s v="ELSEBE5829MT"/>
    <n v="1"/>
    <s v=""/>
    <n v="0"/>
    <s v="E5"/>
    <s v="모자"/>
    <s v="ELS"/>
    <s v="EB"/>
    <x v="3"/>
    <s v="ELSEBE5829"/>
    <x v="471"/>
    <x v="0"/>
    <n v="500"/>
    <n v="21500000"/>
    <n v="3178390.0000000005"/>
    <n v="6.1494827712944415"/>
    <n v="0"/>
    <n v="500"/>
  </r>
  <r>
    <x v="0"/>
    <x v="0"/>
    <s v="ELSEBE5329"/>
    <n v="0.33333333333333331"/>
    <s v=""/>
    <n v="0"/>
    <s v="ELSEBE5329BL"/>
    <n v="1"/>
    <s v=""/>
    <n v="0"/>
    <s v="E5"/>
    <s v="모자"/>
    <s v="ELS"/>
    <s v="EB"/>
    <x v="3"/>
    <s v="ELSEBE5329"/>
    <x v="472"/>
    <x v="0"/>
    <n v="500"/>
    <n v="22500000"/>
    <n v="3429815.0000000009"/>
    <n v="5.9637459905404366"/>
    <n v="0"/>
    <n v="500"/>
  </r>
  <r>
    <x v="0"/>
    <x v="0"/>
    <s v="ELSEBE5829"/>
    <n v="0.33333333333333331"/>
    <s v=""/>
    <n v="0"/>
    <s v="ELSEBE5829BL"/>
    <n v="1"/>
    <s v=""/>
    <n v="0"/>
    <s v="E5"/>
    <s v="모자"/>
    <s v="ELS"/>
    <s v="EB"/>
    <x v="3"/>
    <s v="ELSEBE5829"/>
    <x v="473"/>
    <x v="0"/>
    <n v="500"/>
    <n v="21500000"/>
    <n v="3217890.0000000005"/>
    <n v="6.0739971053872379"/>
    <n v="0"/>
    <n v="500"/>
  </r>
  <r>
    <x v="0"/>
    <x v="0"/>
    <s v="ELSEBE5330"/>
    <n v="1"/>
    <s v=""/>
    <n v="0"/>
    <s v="ELSEBE5330BL"/>
    <n v="1"/>
    <s v=""/>
    <n v="0"/>
    <s v="E5"/>
    <s v="모자"/>
    <s v="ELS"/>
    <s v="EB"/>
    <x v="3"/>
    <s v="ELSEBE5330"/>
    <x v="474"/>
    <x v="0"/>
    <n v="700"/>
    <n v="34300000"/>
    <n v="5876444"/>
    <n v="5.3062393144252171"/>
    <n v="0"/>
    <n v="700"/>
  </r>
  <r>
    <x v="0"/>
    <x v="0"/>
    <s v="ELSEBE5830"/>
    <n v="1"/>
    <s v=""/>
    <n v="0"/>
    <s v="ELSEBE5830BL"/>
    <n v="1"/>
    <s v=""/>
    <n v="0"/>
    <s v="E5"/>
    <s v="모자"/>
    <s v="ELS"/>
    <s v="EB"/>
    <x v="3"/>
    <s v="ELSEBE5830"/>
    <x v="475"/>
    <x v="0"/>
    <n v="700"/>
    <n v="31500000"/>
    <n v="5587808"/>
    <n v="5.124793771790948"/>
    <n v="0"/>
    <n v="700"/>
  </r>
  <r>
    <x v="0"/>
    <x v="0"/>
    <s v="ELSBEE5804"/>
    <n v="0.33333333333333331"/>
    <s v=""/>
    <n v="0"/>
    <s v="ELSBEE5804BK"/>
    <n v="1"/>
    <s v=""/>
    <n v="0"/>
    <s v="E5"/>
    <s v="모자"/>
    <s v="ELS"/>
    <s v="BE"/>
    <x v="3"/>
    <s v="ELSBEE5804"/>
    <x v="476"/>
    <x v="0"/>
    <n v="500"/>
    <n v="17500000"/>
    <n v="3222055.0000000009"/>
    <n v="4.9375603175895204"/>
    <n v="0"/>
    <n v="500"/>
  </r>
  <r>
    <x v="0"/>
    <x v="0"/>
    <s v="ELSBEE5804"/>
    <n v="0.33333333333333331"/>
    <s v=""/>
    <n v="0"/>
    <s v="ELSBEE5804GR"/>
    <n v="1"/>
    <s v=""/>
    <n v="0"/>
    <s v="E5"/>
    <s v="모자"/>
    <s v="ELS"/>
    <s v="BE"/>
    <x v="3"/>
    <s v="ELSBEE5804"/>
    <x v="477"/>
    <x v="0"/>
    <n v="500"/>
    <n v="17500000"/>
    <n v="3222055.0000000009"/>
    <n v="4.9375603175895204"/>
    <n v="0"/>
    <n v="500"/>
  </r>
  <r>
    <x v="0"/>
    <x v="0"/>
    <s v="ELSBEE5804"/>
    <n v="0.33333333333333331"/>
    <s v=""/>
    <n v="0"/>
    <s v="ELSBEE5804PK"/>
    <n v="1"/>
    <s v=""/>
    <n v="0"/>
    <s v="E5"/>
    <s v="모자"/>
    <s v="ELS"/>
    <s v="BE"/>
    <x v="3"/>
    <s v="ELSBEE5804"/>
    <x v="478"/>
    <x v="0"/>
    <n v="500"/>
    <n v="17500000"/>
    <n v="3222055.0000000009"/>
    <n v="4.9375603175895204"/>
    <n v="0"/>
    <n v="500"/>
  </r>
  <r>
    <x v="0"/>
    <x v="0"/>
    <s v="JILBEE5341"/>
    <n v="1"/>
    <s v=""/>
    <n v="0"/>
    <s v="JILBEE5341ZZ"/>
    <n v="1"/>
    <s v=""/>
    <n v="0"/>
    <s v="E5"/>
    <s v="모자"/>
    <s v="JIL"/>
    <s v="BE"/>
    <x v="4"/>
    <s v="JILBEE5341"/>
    <x v="479"/>
    <x v="0"/>
    <n v="700"/>
    <n v="30100000"/>
    <n v="3120299"/>
    <n v="8.7695558546268675"/>
    <n v="0"/>
    <n v="700"/>
  </r>
  <r>
    <x v="0"/>
    <x v="0"/>
    <s v="JILBEE5342"/>
    <n v="0.5"/>
    <s v=""/>
    <n v="0"/>
    <s v="JILBEE5342NY"/>
    <n v="1"/>
    <s v=""/>
    <n v="0"/>
    <s v="E5"/>
    <s v="모자"/>
    <s v="JIL"/>
    <s v="BE"/>
    <x v="4"/>
    <s v="JILBEE5342"/>
    <x v="480"/>
    <x v="0"/>
    <n v="500"/>
    <n v="14500000"/>
    <n v="1646010"/>
    <n v="8.0083463537999044"/>
    <n v="0"/>
    <n v="500"/>
  </r>
  <r>
    <x v="0"/>
    <x v="0"/>
    <s v="JILBEE5842"/>
    <n v="0.5"/>
    <s v=""/>
    <n v="0"/>
    <s v="JILBEE5842NY"/>
    <n v="1"/>
    <s v=""/>
    <n v="0"/>
    <s v="E5"/>
    <s v="모자"/>
    <s v="JIL"/>
    <s v="BE"/>
    <x v="4"/>
    <s v="JILBEE5842"/>
    <x v="481"/>
    <x v="0"/>
    <n v="700"/>
    <n v="17500000"/>
    <n v="2307914"/>
    <n v="6.8932771797783223"/>
    <n v="0"/>
    <n v="700"/>
  </r>
  <r>
    <x v="0"/>
    <x v="0"/>
    <s v="JILBEE5342"/>
    <n v="0.5"/>
    <s v=""/>
    <n v="0"/>
    <s v="JILBEE5342GR"/>
    <n v="1"/>
    <s v=""/>
    <n v="0"/>
    <s v="E5"/>
    <s v="모자"/>
    <s v="JIL"/>
    <s v="BE"/>
    <x v="4"/>
    <s v="JILBEE5342"/>
    <x v="482"/>
    <x v="0"/>
    <n v="500"/>
    <n v="14500000"/>
    <n v="1646010"/>
    <n v="8.0083463537999044"/>
    <n v="0"/>
    <n v="500"/>
  </r>
  <r>
    <x v="0"/>
    <x v="0"/>
    <s v="JILBEE5842"/>
    <n v="0.5"/>
    <s v=""/>
    <n v="0"/>
    <s v="JILBEE5842GR"/>
    <n v="1"/>
    <s v=""/>
    <n v="0"/>
    <s v="E5"/>
    <s v="모자"/>
    <s v="JIL"/>
    <s v="BE"/>
    <x v="4"/>
    <s v="JILBEE5842"/>
    <x v="483"/>
    <x v="0"/>
    <n v="700"/>
    <n v="17500000"/>
    <n v="2307914"/>
    <n v="6.8932771797783223"/>
    <n v="0"/>
    <n v="700"/>
  </r>
  <r>
    <x v="0"/>
    <x v="0"/>
    <s v="JILEBE5343"/>
    <n v="1"/>
    <s v=""/>
    <n v="0"/>
    <s v="JILEBE5343RE"/>
    <n v="1"/>
    <s v=""/>
    <n v="0"/>
    <s v="E5"/>
    <s v="모자"/>
    <s v="JIL"/>
    <s v="EB"/>
    <x v="4"/>
    <s v="JILEBE5343"/>
    <x v="484"/>
    <x v="0"/>
    <n v="1200"/>
    <n v="51600000"/>
    <n v="6656184"/>
    <n v="7.04744503894287"/>
    <n v="0"/>
    <n v="1200"/>
  </r>
  <r>
    <x v="0"/>
    <x v="0"/>
    <s v="JILEBE5843"/>
    <n v="1"/>
    <s v=""/>
    <n v="0"/>
    <s v="JILEBE5843RE"/>
    <n v="1"/>
    <s v=""/>
    <n v="0"/>
    <s v="E5"/>
    <s v="모자"/>
    <s v="JIL"/>
    <s v="EB"/>
    <x v="4"/>
    <s v="JILEBE5843"/>
    <x v="485"/>
    <x v="0"/>
    <n v="1200"/>
    <n v="46800000"/>
    <n v="6617277.6000000006"/>
    <n v="6.4294498609903474"/>
    <n v="0"/>
    <n v="1200"/>
  </r>
  <r>
    <x v="0"/>
    <x v="0"/>
    <s v="JILBEE5344"/>
    <n v="0.5"/>
    <s v=""/>
    <n v="0"/>
    <s v="JILBEE5344RE"/>
    <n v="1"/>
    <s v=""/>
    <n v="0"/>
    <s v="E5"/>
    <s v="모자"/>
    <s v="JIL"/>
    <s v="BE"/>
    <x v="4"/>
    <s v="JILBEE5344"/>
    <x v="486"/>
    <x v="0"/>
    <n v="1200"/>
    <n v="46800000"/>
    <n v="5417366.3999999994"/>
    <n v="7.8535309233384227"/>
    <n v="0"/>
    <n v="1200"/>
  </r>
  <r>
    <x v="0"/>
    <x v="0"/>
    <s v="JILBEE5844"/>
    <n v="0.5"/>
    <s v=""/>
    <n v="0"/>
    <s v="JILBEE5844RE"/>
    <n v="1"/>
    <s v=""/>
    <n v="0"/>
    <s v="E5"/>
    <s v="모자"/>
    <s v="JIL"/>
    <s v="BE"/>
    <x v="4"/>
    <s v="JILBEE5844"/>
    <x v="487"/>
    <x v="0"/>
    <n v="1000"/>
    <n v="35000000"/>
    <n v="4519472"/>
    <n v="7.0402431563204324"/>
    <n v="0"/>
    <n v="1000"/>
  </r>
  <r>
    <x v="0"/>
    <x v="0"/>
    <s v="JILBEE5344"/>
    <n v="0.5"/>
    <s v=""/>
    <n v="0"/>
    <s v="JILBEE5344MT"/>
    <n v="1"/>
    <s v=""/>
    <n v="0"/>
    <s v="E5"/>
    <s v="모자"/>
    <s v="JIL"/>
    <s v="BE"/>
    <x v="4"/>
    <s v="JILBEE5344"/>
    <x v="488"/>
    <x v="0"/>
    <n v="1200"/>
    <n v="46800000"/>
    <n v="5417366.3999999994"/>
    <n v="7.8535309233384227"/>
    <n v="0"/>
    <n v="1200"/>
  </r>
  <r>
    <x v="0"/>
    <x v="0"/>
    <s v="JILBEE5844"/>
    <n v="0.5"/>
    <s v=""/>
    <n v="0"/>
    <s v="JILBEE5844MT"/>
    <n v="1"/>
    <s v=""/>
    <n v="0"/>
    <s v="E5"/>
    <s v="모자"/>
    <s v="JIL"/>
    <s v="BE"/>
    <x v="4"/>
    <s v="JILBEE5844"/>
    <x v="489"/>
    <x v="0"/>
    <n v="1000"/>
    <n v="35000000"/>
    <n v="4519472"/>
    <n v="7.0402431563204324"/>
    <n v="0"/>
    <n v="1000"/>
  </r>
  <r>
    <x v="0"/>
    <x v="0"/>
    <s v="JILBEE5345"/>
    <n v="0.25"/>
    <s v=""/>
    <n v="0"/>
    <s v="JILBEE5345BK"/>
    <n v="1"/>
    <s v=""/>
    <n v="0"/>
    <s v="E5"/>
    <s v="모자"/>
    <s v="JIL"/>
    <s v="BE"/>
    <x v="4"/>
    <s v="JILBEE5345"/>
    <x v="490"/>
    <x v="0"/>
    <n v="700"/>
    <n v="20300000"/>
    <n v="2814686.0000000005"/>
    <n v="6.5565201427603119"/>
    <n v="0"/>
    <n v="700"/>
  </r>
  <r>
    <x v="0"/>
    <x v="0"/>
    <s v="JILBEE5345"/>
    <n v="0.25"/>
    <s v=""/>
    <n v="0"/>
    <s v="JILBEE5345NY"/>
    <n v="1"/>
    <s v=""/>
    <n v="0"/>
    <s v="E5"/>
    <s v="모자"/>
    <s v="JIL"/>
    <s v="BE"/>
    <x v="4"/>
    <s v="JILBEE5345"/>
    <x v="491"/>
    <x v="0"/>
    <n v="700"/>
    <n v="20300000"/>
    <n v="2814686.0000000005"/>
    <n v="6.5565201427603119"/>
    <n v="0"/>
    <n v="700"/>
  </r>
  <r>
    <x v="0"/>
    <x v="0"/>
    <s v="JILBEE5345"/>
    <n v="0.25"/>
    <s v=""/>
    <n v="0"/>
    <s v="JILBEE5345GY"/>
    <n v="1"/>
    <s v=""/>
    <n v="0"/>
    <s v="E5"/>
    <s v="모자"/>
    <s v="JIL"/>
    <s v="BE"/>
    <x v="4"/>
    <s v="JILBEE5345"/>
    <x v="492"/>
    <x v="0"/>
    <n v="500"/>
    <n v="14500000"/>
    <n v="2010490.0000000005"/>
    <n v="6.5565201427603119"/>
    <n v="0"/>
    <n v="500"/>
  </r>
  <r>
    <x v="0"/>
    <x v="0"/>
    <s v="JILBEE5345"/>
    <n v="0.25"/>
    <s v=""/>
    <n v="0"/>
    <s v="JILBEE5345PK"/>
    <n v="1"/>
    <s v=""/>
    <n v="0"/>
    <s v="E5"/>
    <s v="모자"/>
    <s v="JIL"/>
    <s v="BE"/>
    <x v="4"/>
    <s v="JILBEE5345"/>
    <x v="493"/>
    <x v="0"/>
    <n v="500"/>
    <n v="14500000"/>
    <n v="2010490.0000000005"/>
    <n v="6.5565201427603119"/>
    <n v="0"/>
    <n v="500"/>
  </r>
  <r>
    <x v="0"/>
    <x v="0"/>
    <s v="JILEBE5346"/>
    <n v="0.33333333333333331"/>
    <s v=""/>
    <n v="0"/>
    <s v="JILEBE5346BU"/>
    <n v="1"/>
    <s v=""/>
    <n v="0"/>
    <s v="E5"/>
    <s v="모자"/>
    <s v="JIL"/>
    <s v="EB"/>
    <x v="4"/>
    <s v="JILEBE5346"/>
    <x v="494"/>
    <x v="0"/>
    <n v="700"/>
    <n v="30100000"/>
    <n v="3657843.0000000005"/>
    <n v="7.4808121517616692"/>
    <n v="0"/>
    <n v="700"/>
  </r>
  <r>
    <x v="0"/>
    <x v="0"/>
    <s v="JILEBE5346"/>
    <n v="0.33333333333333331"/>
    <s v=""/>
    <n v="0"/>
    <s v="JILEBE5346BK"/>
    <n v="1"/>
    <s v=""/>
    <n v="0"/>
    <s v="E5"/>
    <s v="모자"/>
    <s v="JIL"/>
    <s v="EB"/>
    <x v="4"/>
    <s v="JILEBE5346"/>
    <x v="495"/>
    <x v="0"/>
    <n v="700"/>
    <n v="30100000"/>
    <n v="3657843.0000000005"/>
    <n v="7.4808121517616692"/>
    <n v="0"/>
    <n v="700"/>
  </r>
  <r>
    <x v="0"/>
    <x v="0"/>
    <s v="JILEBE5346"/>
    <n v="0.33333333333333331"/>
    <s v=""/>
    <n v="0"/>
    <s v="JILEBE5346YE"/>
    <n v="1"/>
    <s v=""/>
    <n v="0"/>
    <s v="E5"/>
    <s v="모자"/>
    <s v="JIL"/>
    <s v="EB"/>
    <x v="4"/>
    <s v="JILEBE5346"/>
    <x v="496"/>
    <x v="0"/>
    <n v="700"/>
    <n v="30100000"/>
    <n v="3657843.0000000005"/>
    <n v="7.4808121517616692"/>
    <n v="0"/>
    <n v="700"/>
  </r>
  <r>
    <x v="0"/>
    <x v="0"/>
    <s v="JILVBE5347"/>
    <n v="0.5"/>
    <s v=""/>
    <n v="0"/>
    <s v="JILVBE5347BW"/>
    <n v="1"/>
    <s v=""/>
    <n v="0"/>
    <s v="E5"/>
    <s v="모자"/>
    <s v="JIL"/>
    <s v="VB"/>
    <x v="4"/>
    <s v="JILVBE5347"/>
    <x v="497"/>
    <x v="0"/>
    <n v="500"/>
    <n v="22500000"/>
    <n v="3248919.0000000005"/>
    <n v="6.2958003737690751"/>
    <n v="0"/>
    <n v="500"/>
  </r>
  <r>
    <x v="0"/>
    <x v="0"/>
    <s v="JILVBE5347"/>
    <n v="0.5"/>
    <s v=""/>
    <n v="0"/>
    <s v="JILVBE5347BK"/>
    <n v="1"/>
    <s v=""/>
    <n v="0"/>
    <s v="E5"/>
    <s v="모자"/>
    <s v="JIL"/>
    <s v="VB"/>
    <x v="4"/>
    <s v="JILVBE5347"/>
    <x v="498"/>
    <x v="0"/>
    <n v="500"/>
    <n v="22500000"/>
    <n v="3248919.0000000005"/>
    <n v="6.2958003737690751"/>
    <n v="0"/>
    <n v="500"/>
  </r>
  <r>
    <x v="0"/>
    <x v="0"/>
    <s v="JILBEE5348"/>
    <n v="0.16666666666666666"/>
    <s v=""/>
    <n v="0"/>
    <s v="JILBEE5348GR"/>
    <n v="1"/>
    <s v=""/>
    <n v="0"/>
    <s v="E5"/>
    <s v="모자"/>
    <s v="JIL"/>
    <s v="BE"/>
    <x v="4"/>
    <s v="JILBEE5348"/>
    <x v="499"/>
    <x v="0"/>
    <n v="1500"/>
    <n v="58500000"/>
    <n v="6677685"/>
    <n v="7.9641100443968496"/>
    <n v="0"/>
    <n v="1500"/>
  </r>
  <r>
    <x v="0"/>
    <x v="0"/>
    <s v="JILBEE5348"/>
    <n v="0.16666666666666666"/>
    <s v=""/>
    <n v="0"/>
    <s v="JILBEE5348GY"/>
    <n v="1"/>
    <s v=""/>
    <n v="0"/>
    <s v="E5"/>
    <s v="모자"/>
    <s v="JIL"/>
    <s v="BE"/>
    <x v="4"/>
    <s v="JILBEE5348"/>
    <x v="500"/>
    <x v="0"/>
    <n v="1000"/>
    <n v="39000000"/>
    <n v="4451790"/>
    <n v="7.9641100443968504"/>
    <n v="0"/>
    <n v="1000"/>
  </r>
  <r>
    <x v="0"/>
    <x v="0"/>
    <s v="JILBEE5348"/>
    <n v="0.16666666666666666"/>
    <s v=""/>
    <n v="0"/>
    <s v="JILBEE5348BL"/>
    <n v="1"/>
    <s v=""/>
    <n v="0"/>
    <s v="E5"/>
    <s v="모자"/>
    <s v="JIL"/>
    <s v="BE"/>
    <x v="4"/>
    <s v="JILBEE5348"/>
    <x v="501"/>
    <x v="0"/>
    <n v="1500"/>
    <n v="58500000"/>
    <n v="6677685"/>
    <n v="7.9641100443968496"/>
    <n v="0"/>
    <n v="1500"/>
  </r>
  <r>
    <x v="0"/>
    <x v="0"/>
    <s v="JILBEE5348"/>
    <n v="0.16666666666666666"/>
    <s v=""/>
    <n v="0"/>
    <s v="JILBEE5348BK"/>
    <n v="1"/>
    <s v=""/>
    <n v="0"/>
    <s v="E5"/>
    <s v="모자"/>
    <s v="JIL"/>
    <s v="BE"/>
    <x v="4"/>
    <s v="JILBEE5348"/>
    <x v="502"/>
    <x v="0"/>
    <n v="2000"/>
    <n v="78000000"/>
    <n v="8903580"/>
    <n v="7.9641100443968504"/>
    <n v="0"/>
    <n v="2000"/>
  </r>
  <r>
    <x v="0"/>
    <x v="0"/>
    <s v="JILBEE5348"/>
    <n v="0.16666666666666666"/>
    <s v=""/>
    <n v="0"/>
    <s v="JILBEE5348RE"/>
    <n v="1"/>
    <s v=""/>
    <n v="0"/>
    <s v="E5"/>
    <s v="모자"/>
    <s v="JIL"/>
    <s v="BE"/>
    <x v="4"/>
    <s v="JILBEE5348"/>
    <x v="503"/>
    <x v="0"/>
    <n v="2000"/>
    <n v="78000000"/>
    <n v="8903580"/>
    <n v="7.9641100443968504"/>
    <n v="0"/>
    <n v="2000"/>
  </r>
  <r>
    <x v="0"/>
    <x v="0"/>
    <s v="JILBEE5348"/>
    <n v="0.16666666666666666"/>
    <s v=""/>
    <n v="0"/>
    <s v="JILBEE5348CL"/>
    <n v="1"/>
    <s v=""/>
    <n v="0"/>
    <s v="E5"/>
    <s v="모자"/>
    <s v="JIL"/>
    <s v="BE"/>
    <x v="4"/>
    <s v="JILBEE5348"/>
    <x v="504"/>
    <x v="0"/>
    <n v="1000"/>
    <n v="39000000"/>
    <n v="4451790"/>
    <n v="7.9641100443968504"/>
    <n v="0"/>
    <n v="1000"/>
  </r>
  <r>
    <x v="0"/>
    <x v="0"/>
    <s v="JILBEE5349"/>
    <n v="1"/>
    <s v=""/>
    <n v="0"/>
    <s v="JILBEE5349BK"/>
    <n v="1"/>
    <s v=""/>
    <n v="0"/>
    <s v="E5"/>
    <s v="모자"/>
    <s v="JIL"/>
    <s v="BE"/>
    <x v="4"/>
    <s v="JILBEE5349"/>
    <x v="505"/>
    <x v="0"/>
    <n v="500"/>
    <n v="21500000"/>
    <n v="1785411.9999999998"/>
    <n v="10.947307705702967"/>
    <n v="0"/>
    <n v="500"/>
  </r>
  <r>
    <x v="0"/>
    <x v="0"/>
    <s v="JILBEE5849"/>
    <n v="1"/>
    <s v=""/>
    <n v="0"/>
    <s v="JILBEE5849BK"/>
    <n v="1"/>
    <s v=""/>
    <n v="0"/>
    <s v="E5"/>
    <s v="모자"/>
    <s v="JIL"/>
    <s v="BE"/>
    <x v="4"/>
    <s v="JILBEE5849"/>
    <x v="506"/>
    <x v="0"/>
    <n v="500"/>
    <n v="19500000"/>
    <n v="1787911.9999999998"/>
    <n v="9.9150700522580131"/>
    <n v="0"/>
    <n v="500"/>
  </r>
  <r>
    <x v="0"/>
    <x v="0"/>
    <s v="JILEBE5350"/>
    <n v="0.5"/>
    <s v=""/>
    <n v="0"/>
    <s v="JILEBE5350BW"/>
    <n v="1"/>
    <s v=""/>
    <n v="0"/>
    <s v="E5"/>
    <s v="모자"/>
    <s v="JIL"/>
    <s v="EB"/>
    <x v="4"/>
    <s v="JILEBE5350"/>
    <x v="507"/>
    <x v="0"/>
    <n v="1000"/>
    <n v="43000000"/>
    <n v="6237000"/>
    <n v="6.2675820251577816"/>
    <n v="0"/>
    <n v="1000"/>
  </r>
  <r>
    <x v="0"/>
    <x v="0"/>
    <s v="JILEBE5850"/>
    <n v="0.5"/>
    <s v=""/>
    <n v="0"/>
    <s v="JILEBE5850BW"/>
    <n v="1"/>
    <s v=""/>
    <n v="0"/>
    <s v="E5"/>
    <s v="모자"/>
    <s v="JIL"/>
    <s v="EB"/>
    <x v="4"/>
    <s v="JILEBE5850"/>
    <x v="508"/>
    <x v="0"/>
    <n v="800"/>
    <n v="31200000"/>
    <n v="4989600"/>
    <n v="5.6845511390965937"/>
    <n v="0"/>
    <n v="800"/>
  </r>
  <r>
    <x v="0"/>
    <x v="0"/>
    <s v="JILEBE5350"/>
    <n v="0.5"/>
    <s v=""/>
    <n v="0"/>
    <s v="JILEBE5350NY"/>
    <n v="1"/>
    <s v=""/>
    <n v="0"/>
    <s v="E5"/>
    <s v="모자"/>
    <s v="JIL"/>
    <s v="EB"/>
    <x v="4"/>
    <s v="JILEBE5350"/>
    <x v="509"/>
    <x v="0"/>
    <n v="800"/>
    <n v="34400000"/>
    <n v="4989600"/>
    <n v="6.2675820251577825"/>
    <n v="0"/>
    <n v="800"/>
  </r>
  <r>
    <x v="0"/>
    <x v="0"/>
    <s v="JILEBE5850"/>
    <n v="0.5"/>
    <s v=""/>
    <n v="0"/>
    <s v="JILEBE5850NY"/>
    <n v="1"/>
    <s v=""/>
    <n v="0"/>
    <s v="E5"/>
    <s v="모자"/>
    <s v="JIL"/>
    <s v="EB"/>
    <x v="4"/>
    <s v="JILEBE5850"/>
    <x v="510"/>
    <x v="0"/>
    <n v="600"/>
    <n v="23400000"/>
    <n v="3742200"/>
    <n v="5.6845511390965928"/>
    <n v="0"/>
    <n v="600"/>
  </r>
  <r>
    <x v="0"/>
    <x v="0"/>
    <s v="JILBEE5352"/>
    <n v="0.5"/>
    <s v=""/>
    <n v="0"/>
    <s v="JILBEE5352BK"/>
    <n v="1"/>
    <s v=""/>
    <n v="0"/>
    <s v="E5"/>
    <s v="모자"/>
    <s v="JIL"/>
    <s v="BE"/>
    <x v="4"/>
    <s v="JILBEE5352"/>
    <x v="511"/>
    <x v="0"/>
    <n v="500"/>
    <n v="19500000"/>
    <n v="2089395"/>
    <n v="8.4844046852187969"/>
    <n v="0"/>
    <n v="500"/>
  </r>
  <r>
    <x v="0"/>
    <x v="0"/>
    <s v="JILBEE5352"/>
    <n v="0.5"/>
    <s v=""/>
    <n v="0"/>
    <s v="JILBEE5352GY"/>
    <n v="1"/>
    <s v=""/>
    <n v="0"/>
    <s v="E5"/>
    <s v="모자"/>
    <s v="JIL"/>
    <s v="BE"/>
    <x v="4"/>
    <s v="JILBEE5352"/>
    <x v="512"/>
    <x v="0"/>
    <n v="500"/>
    <n v="19500000"/>
    <n v="2089395"/>
    <n v="8.4844046852187969"/>
    <n v="0"/>
    <n v="500"/>
  </r>
  <r>
    <x v="0"/>
    <x v="0"/>
    <s v="JILBEE5353"/>
    <n v="0.5"/>
    <s v=""/>
    <n v="0"/>
    <s v="JILBEE5353OR"/>
    <n v="1"/>
    <s v=""/>
    <n v="0"/>
    <s v="E5"/>
    <s v="모자"/>
    <s v="JIL"/>
    <s v="BE"/>
    <x v="4"/>
    <s v="JILBEE5353"/>
    <x v="513"/>
    <x v="0"/>
    <n v="500"/>
    <n v="21500000"/>
    <n v="2120580"/>
    <n v="9.2170323899379163"/>
    <n v="0"/>
    <n v="500"/>
  </r>
  <r>
    <x v="0"/>
    <x v="0"/>
    <s v="JILBEE5353"/>
    <n v="0.5"/>
    <s v=""/>
    <n v="0"/>
    <s v="JILBEE5353GR"/>
    <n v="1"/>
    <s v=""/>
    <n v="0"/>
    <s v="E5"/>
    <s v="모자"/>
    <s v="JIL"/>
    <s v="BE"/>
    <x v="4"/>
    <s v="JILBEE5353"/>
    <x v="514"/>
    <x v="0"/>
    <n v="500"/>
    <n v="21500000"/>
    <n v="2120580"/>
    <n v="9.2170323899379163"/>
    <n v="0"/>
    <n v="500"/>
  </r>
  <r>
    <x v="0"/>
    <x v="0"/>
    <s v="JILEBE5354"/>
    <n v="1"/>
    <s v=""/>
    <n v="0"/>
    <s v="JILEBE5354NY"/>
    <n v="1"/>
    <s v=""/>
    <n v="0"/>
    <s v="E5"/>
    <s v="모자"/>
    <s v="JIL"/>
    <s v="EB"/>
    <x v="4"/>
    <s v="JILEBE5354"/>
    <x v="515"/>
    <x v="0"/>
    <n v="500"/>
    <n v="22500000"/>
    <n v="2744280.0000000005"/>
    <n v="7.4535198502140627"/>
    <n v="0"/>
    <n v="500"/>
  </r>
  <r>
    <x v="0"/>
    <x v="0"/>
    <s v="JILBEE5355"/>
    <n v="0.5"/>
    <s v=""/>
    <n v="0"/>
    <s v="JILBEE5355RE"/>
    <n v="1"/>
    <s v=""/>
    <n v="0"/>
    <s v="E5"/>
    <s v="모자"/>
    <s v="JIL"/>
    <s v="BE"/>
    <x v="4"/>
    <s v="JILBEE5355"/>
    <x v="516"/>
    <x v="0"/>
    <n v="700"/>
    <n v="27300000"/>
    <n v="2794176"/>
    <n v="8.8821111548384266"/>
    <n v="0"/>
    <n v="700"/>
  </r>
  <r>
    <x v="0"/>
    <x v="0"/>
    <s v="JILBEE5855"/>
    <n v="0.5"/>
    <s v=""/>
    <n v="0"/>
    <s v="JILBEE5855RE"/>
    <n v="1"/>
    <s v=""/>
    <n v="0"/>
    <s v="E5"/>
    <s v="모자"/>
    <s v="JIL"/>
    <s v="BE"/>
    <x v="4"/>
    <s v="JILBEE5855"/>
    <x v="517"/>
    <x v="0"/>
    <n v="700"/>
    <n v="24500000"/>
    <n v="2794176"/>
    <n v="7.9711253953678192"/>
    <n v="0"/>
    <n v="700"/>
  </r>
  <r>
    <x v="0"/>
    <x v="0"/>
    <s v="JILBEE5355"/>
    <n v="0.5"/>
    <s v=""/>
    <n v="0"/>
    <s v="JILBEE5355KH"/>
    <n v="1"/>
    <s v=""/>
    <n v="0"/>
    <s v="E5"/>
    <s v="모자"/>
    <s v="JIL"/>
    <s v="BE"/>
    <x v="4"/>
    <s v="JILBEE5355"/>
    <x v="518"/>
    <x v="0"/>
    <n v="700"/>
    <n v="27300000"/>
    <n v="2794176"/>
    <n v="8.8821111548384266"/>
    <n v="0"/>
    <n v="700"/>
  </r>
  <r>
    <x v="0"/>
    <x v="0"/>
    <s v="JILBEE5855"/>
    <n v="0.5"/>
    <s v=""/>
    <n v="0"/>
    <s v="JILBEE5855KH"/>
    <n v="1"/>
    <s v=""/>
    <n v="0"/>
    <s v="E5"/>
    <s v="모자"/>
    <s v="JIL"/>
    <s v="BE"/>
    <x v="4"/>
    <s v="JILBEE5855"/>
    <x v="519"/>
    <x v="0"/>
    <n v="700"/>
    <n v="24500000"/>
    <n v="2794176"/>
    <n v="7.9711253953678192"/>
    <n v="0"/>
    <n v="700"/>
  </r>
  <r>
    <x v="0"/>
    <x v="0"/>
    <s v="JILBEE5356"/>
    <n v="0.33333333333333331"/>
    <s v=""/>
    <n v="0"/>
    <s v="JILBEE5356BK"/>
    <n v="1"/>
    <s v=""/>
    <n v="0"/>
    <s v="E5"/>
    <s v="모자"/>
    <s v="JIL"/>
    <s v="BE"/>
    <x v="4"/>
    <s v="JILBEE5356"/>
    <x v="520"/>
    <x v="0"/>
    <n v="800"/>
    <n v="31200000"/>
    <n v="4390848.0000000009"/>
    <n v="6.4597172035188546"/>
    <n v="0"/>
    <n v="800"/>
  </r>
  <r>
    <x v="0"/>
    <x v="0"/>
    <s v="JILBEE5856"/>
    <n v="0.33333333333333331"/>
    <s v=""/>
    <n v="0"/>
    <s v="JILBEE5856BK"/>
    <n v="1"/>
    <s v=""/>
    <n v="0"/>
    <s v="E5"/>
    <s v="모자"/>
    <s v="JIL"/>
    <s v="BE"/>
    <x v="4"/>
    <s v="JILBEE5856"/>
    <x v="521"/>
    <x v="0"/>
    <n v="800"/>
    <n v="28000000"/>
    <n v="4390848.0000000009"/>
    <n v="5.7971821057220483"/>
    <n v="0"/>
    <n v="800"/>
  </r>
  <r>
    <x v="0"/>
    <x v="0"/>
    <s v="JILBEE5356"/>
    <n v="0.33333333333333331"/>
    <s v=""/>
    <n v="0"/>
    <s v="JILBEE5356NY"/>
    <n v="1"/>
    <s v=""/>
    <n v="0"/>
    <s v="E5"/>
    <s v="모자"/>
    <s v="JIL"/>
    <s v="BE"/>
    <x v="4"/>
    <s v="JILBEE5356"/>
    <x v="522"/>
    <x v="0"/>
    <n v="1000"/>
    <n v="39000000"/>
    <n v="5488560.0000000009"/>
    <n v="6.4597172035188546"/>
    <n v="0"/>
    <n v="1000"/>
  </r>
  <r>
    <x v="0"/>
    <x v="0"/>
    <s v="JILBEE5856"/>
    <n v="0.33333333333333331"/>
    <s v=""/>
    <n v="0"/>
    <s v="JILBEE5856NY"/>
    <n v="1"/>
    <s v=""/>
    <n v="0"/>
    <s v="E5"/>
    <s v="모자"/>
    <s v="JIL"/>
    <s v="BE"/>
    <x v="4"/>
    <s v="JILBEE5856"/>
    <x v="523"/>
    <x v="0"/>
    <n v="1000"/>
    <n v="35000000"/>
    <n v="5488560.0000000009"/>
    <n v="5.7971821057220492"/>
    <n v="0"/>
    <n v="1000"/>
  </r>
  <r>
    <x v="0"/>
    <x v="0"/>
    <s v="JILBEE5356"/>
    <n v="0.33333333333333331"/>
    <s v=""/>
    <n v="0"/>
    <s v="JILBEE5356MT"/>
    <n v="1"/>
    <s v=""/>
    <n v="0"/>
    <s v="E5"/>
    <s v="모자"/>
    <s v="JIL"/>
    <s v="BE"/>
    <x v="4"/>
    <s v="JILBEE5356"/>
    <x v="524"/>
    <x v="0"/>
    <n v="1000"/>
    <n v="39000000"/>
    <n v="5488560.0000000009"/>
    <n v="6.4597172035188546"/>
    <n v="0"/>
    <n v="1000"/>
  </r>
  <r>
    <x v="0"/>
    <x v="0"/>
    <s v="JILBEE5856"/>
    <n v="0.33333333333333331"/>
    <s v=""/>
    <n v="0"/>
    <s v="JILBEE5856MT"/>
    <n v="1"/>
    <s v=""/>
    <n v="0"/>
    <s v="E5"/>
    <s v="모자"/>
    <s v="JIL"/>
    <s v="BE"/>
    <x v="4"/>
    <s v="JILBEE5856"/>
    <x v="525"/>
    <x v="0"/>
    <n v="1000"/>
    <n v="35000000"/>
    <n v="5488560.0000000009"/>
    <n v="5.7971821057220492"/>
    <n v="0"/>
    <n v="1000"/>
  </r>
  <r>
    <x v="0"/>
    <x v="0"/>
    <s v="JILVBE5357"/>
    <n v="0.5"/>
    <s v=""/>
    <n v="0"/>
    <s v="JILVBE5357YE"/>
    <n v="1"/>
    <s v=""/>
    <n v="0"/>
    <s v="E5"/>
    <s v="모자"/>
    <s v="JIL"/>
    <s v="VB"/>
    <x v="4"/>
    <s v="JILVBE5357"/>
    <x v="526"/>
    <x v="0"/>
    <n v="1000"/>
    <n v="45000000"/>
    <n v="5239080.0000000009"/>
    <n v="7.8084493668909225"/>
    <n v="0"/>
    <n v="1000"/>
  </r>
  <r>
    <x v="0"/>
    <x v="0"/>
    <s v="JILVBE5357"/>
    <n v="0.5"/>
    <s v=""/>
    <n v="0"/>
    <s v="JILVBE5357RE"/>
    <n v="1"/>
    <s v=""/>
    <n v="0"/>
    <s v="E5"/>
    <s v="모자"/>
    <s v="JIL"/>
    <s v="VB"/>
    <x v="4"/>
    <s v="JILVBE5357"/>
    <x v="527"/>
    <x v="0"/>
    <n v="1000"/>
    <n v="45000000"/>
    <n v="5239080.0000000009"/>
    <n v="7.8084493668909225"/>
    <n v="0"/>
    <n v="1000"/>
  </r>
  <r>
    <x v="0"/>
    <x v="0"/>
    <s v="JILEBE5358"/>
    <n v="1"/>
    <s v=""/>
    <n v="0"/>
    <s v="JILEBE5358BK"/>
    <n v="1"/>
    <s v=""/>
    <n v="0"/>
    <s v="E5"/>
    <s v="모자"/>
    <s v="JIL"/>
    <s v="EB"/>
    <x v="4"/>
    <s v="JILEBE5358"/>
    <x v="528"/>
    <x v="0"/>
    <n v="700"/>
    <n v="38500000"/>
    <n v="5239080.0000000009"/>
    <n v="6.6805622361177894"/>
    <n v="0"/>
    <n v="700"/>
  </r>
  <r>
    <x v="0"/>
    <x v="0"/>
    <s v="JILBEE5359"/>
    <n v="0.5"/>
    <s v=""/>
    <n v="0"/>
    <s v="JILBEE5359RE"/>
    <n v="1"/>
    <s v=""/>
    <n v="0"/>
    <s v="E5"/>
    <s v="모자"/>
    <s v="JIL"/>
    <s v="BE"/>
    <x v="4"/>
    <s v="JILBEE5359"/>
    <x v="529"/>
    <x v="0"/>
    <n v="1000"/>
    <n v="39000000"/>
    <n v="6486480.0000000009"/>
    <n v="5.4659145568236465"/>
    <n v="0"/>
    <n v="1000"/>
  </r>
  <r>
    <x v="0"/>
    <x v="0"/>
    <s v="JILBEE5359"/>
    <n v="0.5"/>
    <s v=""/>
    <n v="0"/>
    <s v="JILBEE5359BW"/>
    <n v="1"/>
    <s v=""/>
    <n v="0"/>
    <s v="E5"/>
    <s v="모자"/>
    <s v="JIL"/>
    <s v="BE"/>
    <x v="4"/>
    <s v="JILBEE5359"/>
    <x v="530"/>
    <x v="0"/>
    <n v="1000"/>
    <n v="39000000"/>
    <n v="6486480.0000000009"/>
    <n v="5.4659145568236465"/>
    <n v="0"/>
    <n v="1000"/>
  </r>
  <r>
    <x v="0"/>
    <x v="0"/>
    <s v="JILEBE5360"/>
    <n v="1"/>
    <s v=""/>
    <n v="0"/>
    <s v="JILEBE5360GY"/>
    <n v="1"/>
    <s v=""/>
    <n v="0"/>
    <s v="E5"/>
    <s v="모자"/>
    <s v="JIL"/>
    <s v="EB"/>
    <x v="4"/>
    <s v="JILEBE5360"/>
    <x v="531"/>
    <x v="0"/>
    <n v="700"/>
    <n v="30100000"/>
    <n v="4103946.0000000005"/>
    <n v="6.6676404522955126"/>
    <n v="0"/>
    <n v="700"/>
  </r>
  <r>
    <x v="0"/>
    <x v="0"/>
    <s v="URBFIE5301"/>
    <n v="1"/>
    <s v=""/>
    <n v="0"/>
    <s v="URBFIE5301BK"/>
    <n v="1"/>
    <s v=""/>
    <n v="0"/>
    <s v="E5"/>
    <s v="모자"/>
    <s v="URB"/>
    <s v="FI"/>
    <x v="22"/>
    <s v="URBFIE5301"/>
    <x v="532"/>
    <x v="0"/>
    <n v="500"/>
    <n v="24500000"/>
    <n v="2264915"/>
    <n v="9.8338027134472039"/>
    <n v="0"/>
    <n v="500"/>
  </r>
  <r>
    <x v="0"/>
    <x v="0"/>
    <s v="URBFIE3303"/>
    <n v="1"/>
    <s v=""/>
    <n v="0"/>
    <s v="URBFIE3303NY"/>
    <n v="1"/>
    <s v=""/>
    <n v="0"/>
    <s v="E3"/>
    <s v="모자"/>
    <s v="URB"/>
    <s v="FI"/>
    <x v="22"/>
    <s v="URBFIE3303"/>
    <x v="533"/>
    <x v="0"/>
    <n v="500"/>
    <n v="24500000"/>
    <n v="2190071.0000000005"/>
    <n v="10.16986539373713"/>
    <n v="0"/>
    <n v="500"/>
  </r>
  <r>
    <x v="0"/>
    <x v="0"/>
    <s v="URBFIE3304"/>
    <n v="0.5"/>
    <s v=""/>
    <n v="0"/>
    <s v="URBFIE3304RE"/>
    <n v="1"/>
    <s v=""/>
    <n v="0"/>
    <s v="E3"/>
    <s v="모자"/>
    <s v="URB"/>
    <s v="FI"/>
    <x v="22"/>
    <s v="URBFIE3304"/>
    <x v="534"/>
    <x v="0"/>
    <n v="600"/>
    <n v="29400000"/>
    <n v="3077149.2"/>
    <n v="8.6857253224096915"/>
    <n v="0"/>
    <n v="600"/>
  </r>
  <r>
    <x v="0"/>
    <x v="0"/>
    <s v="URBFIE3305"/>
    <n v="1"/>
    <s v=""/>
    <n v="0"/>
    <s v="URBFIE3305RE"/>
    <n v="1"/>
    <s v=""/>
    <n v="0"/>
    <s v="E3"/>
    <s v="모자"/>
    <s v="URB"/>
    <s v="FI"/>
    <x v="22"/>
    <s v="URBFIE3305"/>
    <x v="535"/>
    <x v="0"/>
    <n v="400"/>
    <n v="18000000"/>
    <n v="1392431.2000000002"/>
    <n v="11.751845522878517"/>
    <n v="0"/>
    <n v="400"/>
  </r>
  <r>
    <x v="0"/>
    <x v="0"/>
    <s v="URBFIE3306"/>
    <n v="1"/>
    <s v=""/>
    <n v="0"/>
    <s v="URBFIE3306BK"/>
    <n v="1"/>
    <s v=""/>
    <n v="0"/>
    <s v="E3"/>
    <s v="모자"/>
    <s v="URB"/>
    <s v="FI"/>
    <x v="22"/>
    <s v="URBFIE3306"/>
    <x v="536"/>
    <x v="0"/>
    <n v="800"/>
    <n v="39200000"/>
    <n v="3962408"/>
    <n v="8.9936128829650119"/>
    <n v="0"/>
    <n v="800"/>
  </r>
  <r>
    <x v="0"/>
    <x v="0"/>
    <s v="URBFIE3307"/>
    <n v="0.33333333333333331"/>
    <s v=""/>
    <n v="0"/>
    <s v="URBFIE3307RE"/>
    <n v="1"/>
    <s v=""/>
    <n v="0"/>
    <s v="E3"/>
    <s v="모자"/>
    <s v="URB"/>
    <s v="FI"/>
    <x v="22"/>
    <s v="URBFIE3307"/>
    <x v="537"/>
    <x v="0"/>
    <n v="600"/>
    <n v="29400000"/>
    <n v="2447898"/>
    <n v="10.918458500833255"/>
    <n v="0"/>
    <n v="600"/>
  </r>
  <r>
    <x v="0"/>
    <x v="0"/>
    <s v="URBFIE3307"/>
    <n v="0.33333333333333331"/>
    <s v=""/>
    <n v="0"/>
    <s v="URBFIE3307BL"/>
    <n v="1"/>
    <s v=""/>
    <n v="0"/>
    <s v="E3"/>
    <s v="모자"/>
    <s v="URB"/>
    <s v="FI"/>
    <x v="22"/>
    <s v="URBFIE3307"/>
    <x v="538"/>
    <x v="0"/>
    <n v="600"/>
    <n v="29400000"/>
    <n v="2358085.2000000007"/>
    <n v="11.334311723457963"/>
    <n v="0"/>
    <n v="600"/>
  </r>
  <r>
    <x v="0"/>
    <x v="0"/>
    <s v="URBFIE5308"/>
    <n v="1"/>
    <s v=""/>
    <n v="0"/>
    <s v="URBFIE5308GY"/>
    <n v="1"/>
    <s v=""/>
    <n v="0"/>
    <s v="E5"/>
    <s v="모자"/>
    <s v="URB"/>
    <s v="FI"/>
    <x v="22"/>
    <s v="URBFIE5308"/>
    <x v="539"/>
    <x v="0"/>
    <n v="500"/>
    <n v="24500000"/>
    <n v="1890695.0000000002"/>
    <n v="11.780179919409141"/>
    <n v="0"/>
    <n v="500"/>
  </r>
  <r>
    <x v="0"/>
    <x v="0"/>
    <s v="URBFIE3309"/>
    <n v="1"/>
    <s v=""/>
    <n v="0"/>
    <s v="URBFIE3309GY"/>
    <n v="1"/>
    <s v=""/>
    <n v="0"/>
    <s v="E3"/>
    <s v="모자"/>
    <s v="URB"/>
    <s v="FI"/>
    <x v="22"/>
    <s v="URBFIE3309"/>
    <x v="540"/>
    <x v="0"/>
    <n v="400"/>
    <n v="18000000"/>
    <n v="1691807.2"/>
    <n v="9.6722820210461116"/>
    <n v="0"/>
    <n v="400"/>
  </r>
  <r>
    <x v="0"/>
    <x v="0"/>
    <s v="URBFIE3311"/>
    <n v="1"/>
    <s v=""/>
    <n v="0"/>
    <s v="URBFIE3311OR"/>
    <n v="1"/>
    <s v=""/>
    <n v="0"/>
    <s v="E3"/>
    <s v="모자"/>
    <s v="URB"/>
    <s v="FI"/>
    <x v="22"/>
    <s v="URBFIE3311"/>
    <x v="541"/>
    <x v="0"/>
    <n v="600"/>
    <n v="29400000"/>
    <n v="2447898"/>
    <n v="10.918458500833255"/>
    <n v="0"/>
    <n v="600"/>
  </r>
  <r>
    <x v="0"/>
    <x v="0"/>
    <s v="URBFIE3302"/>
    <n v="1"/>
    <s v=""/>
    <n v="0"/>
    <s v="URBFIE3302NY"/>
    <n v="1"/>
    <s v=""/>
    <n v="0"/>
    <s v="E3"/>
    <s v="모자"/>
    <s v="URB"/>
    <s v="FI"/>
    <x v="22"/>
    <s v="URBFIE3302"/>
    <x v="542"/>
    <x v="0"/>
    <n v="500"/>
    <n v="24500000"/>
    <n v="2546100.0000000005"/>
    <n v="8.747781812468979"/>
    <n v="0"/>
    <n v="500"/>
  </r>
  <r>
    <x v="0"/>
    <x v="0"/>
    <s v="URBFIE3304"/>
    <n v="0.5"/>
    <s v=""/>
    <n v="0"/>
    <s v="URBFIE3304BK"/>
    <n v="1"/>
    <s v=""/>
    <n v="0"/>
    <s v="E3"/>
    <s v="모자"/>
    <s v="URB"/>
    <s v="FI"/>
    <x v="22"/>
    <s v="URBFIE3304"/>
    <x v="543"/>
    <x v="0"/>
    <n v="600"/>
    <n v="29400000"/>
    <n v="3055320.0000000005"/>
    <n v="8.747781812468979"/>
    <n v="0"/>
    <n v="600"/>
  </r>
  <r>
    <x v="0"/>
    <x v="0"/>
    <s v="URBFIE3307"/>
    <n v="0.33333333333333331"/>
    <s v=""/>
    <n v="0"/>
    <s v="URBFIE3307BK"/>
    <n v="1"/>
    <s v=""/>
    <n v="0"/>
    <s v="E3"/>
    <s v="모자"/>
    <s v="URB"/>
    <s v="FI"/>
    <x v="22"/>
    <s v="URBFIE3307"/>
    <x v="544"/>
    <x v="0"/>
    <n v="600"/>
    <n v="29400000"/>
    <n v="2845320.0000000005"/>
    <n v="9.3934154075016938"/>
    <n v="0"/>
    <n v="600"/>
  </r>
  <r>
    <x v="0"/>
    <x v="0"/>
    <s v="URBFIE3310"/>
    <n v="1"/>
    <s v=""/>
    <n v="0"/>
    <s v="URBFIE3310BL"/>
    <n v="1"/>
    <s v=""/>
    <n v="0"/>
    <s v="E3"/>
    <s v="모자"/>
    <s v="URB"/>
    <s v="FI"/>
    <x v="22"/>
    <s v="URBFIE3310"/>
    <x v="545"/>
    <x v="0"/>
    <n v="400"/>
    <n v="18000000"/>
    <n v="1896880.0000000002"/>
    <n v="8.6266059864811488"/>
    <n v="0"/>
    <n v="400"/>
  </r>
  <r>
    <x v="0"/>
    <x v="0"/>
    <s v="URBFIE3312"/>
    <n v="1"/>
    <s v=""/>
    <n v="0"/>
    <s v="URBFIE3312PP"/>
    <n v="1"/>
    <s v=""/>
    <n v="0"/>
    <s v="E3"/>
    <s v="모자"/>
    <s v="URB"/>
    <s v="FI"/>
    <x v="22"/>
    <s v="URBFIE3312"/>
    <x v="546"/>
    <x v="0"/>
    <n v="400"/>
    <n v="19600000"/>
    <n v="1896880.0000000002"/>
    <n v="9.3934154075016938"/>
    <n v="0"/>
    <n v="400"/>
  </r>
  <r>
    <x v="0"/>
    <x v="0"/>
    <s v="URBFIE3313"/>
    <n v="1"/>
    <s v=""/>
    <n v="0"/>
    <s v="URBFIE3313BW"/>
    <n v="1"/>
    <s v=""/>
    <n v="0"/>
    <s v="E3"/>
    <s v="모자"/>
    <s v="URB"/>
    <s v="FI"/>
    <x v="22"/>
    <s v="URBFIE3313"/>
    <x v="547"/>
    <x v="0"/>
    <n v="600"/>
    <n v="29400000"/>
    <n v="2845320.0000000005"/>
    <n v="9.3934154075016938"/>
    <n v="0"/>
    <n v="600"/>
  </r>
  <r>
    <x v="0"/>
    <x v="0"/>
    <s v="URBFIE3314"/>
    <n v="1"/>
    <s v=""/>
    <n v="0"/>
    <s v="URBFIE3314BK"/>
    <n v="1"/>
    <s v=""/>
    <n v="0"/>
    <s v="E3"/>
    <s v="모자"/>
    <s v="URB"/>
    <s v="FI"/>
    <x v="22"/>
    <s v="URBFIE3314"/>
    <x v="548"/>
    <x v="0"/>
    <n v="800"/>
    <n v="39200000"/>
    <n v="4073760.0000000005"/>
    <n v="8.747781812468979"/>
    <n v="0"/>
    <n v="800"/>
  </r>
  <r>
    <x v="0"/>
    <x v="0"/>
    <s v="URBFIE3315"/>
    <n v="1"/>
    <s v=""/>
    <n v="0"/>
    <s v="URBFIE3315BK"/>
    <n v="1"/>
    <s v=""/>
    <n v="0"/>
    <s v="E3"/>
    <s v="모자"/>
    <s v="URB"/>
    <s v="FI"/>
    <x v="22"/>
    <s v="URBFIE3315"/>
    <x v="549"/>
    <x v="0"/>
    <n v="600"/>
    <n v="29400000"/>
    <n v="3055320.0000000005"/>
    <n v="8.747781812468979"/>
    <n v="0"/>
    <n v="600"/>
  </r>
  <r>
    <x v="0"/>
    <x v="0"/>
    <s v="URBFIE3322"/>
    <n v="1"/>
    <s v=""/>
    <n v="0"/>
    <s v="URBFIE3322NY"/>
    <n v="1"/>
    <s v=""/>
    <n v="0"/>
    <s v="E3"/>
    <s v="모자"/>
    <s v="URB"/>
    <s v="FI"/>
    <x v="22"/>
    <s v="URBFIE3322"/>
    <x v="550"/>
    <x v="0"/>
    <n v="600"/>
    <n v="29400000"/>
    <n v="3055320.0000000005"/>
    <n v="8.747781812468979"/>
    <n v="0"/>
    <n v="600"/>
  </r>
  <r>
    <x v="0"/>
    <x v="0"/>
    <s v="URBFIE3316"/>
    <n v="1"/>
    <s v=""/>
    <n v="0"/>
    <s v="URBFIE3316BK"/>
    <n v="1"/>
    <s v=""/>
    <n v="0"/>
    <s v="E3"/>
    <s v="모자"/>
    <s v="URB"/>
    <s v="FI"/>
    <x v="22"/>
    <s v="URBFIE3316"/>
    <x v="551"/>
    <x v="0"/>
    <n v="600"/>
    <n v="27000000"/>
    <n v="5387369.3527500005"/>
    <n v="4.5561113297207356"/>
    <n v="0"/>
    <n v="600"/>
  </r>
  <r>
    <x v="0"/>
    <x v="0"/>
    <s v="URBFIE3317"/>
    <n v="1"/>
    <s v=""/>
    <n v="0"/>
    <s v="URBFIE3317BK"/>
    <n v="1"/>
    <s v=""/>
    <n v="0"/>
    <s v="E3"/>
    <s v="모자"/>
    <s v="URB"/>
    <s v="FI"/>
    <x v="22"/>
    <s v="URBFIE3317"/>
    <x v="552"/>
    <x v="0"/>
    <n v="600"/>
    <n v="27000000"/>
    <n v="5252977.5952500002"/>
    <n v="4.6726745165731804"/>
    <n v="0"/>
    <n v="600"/>
  </r>
  <r>
    <x v="0"/>
    <x v="0"/>
    <s v="URBFIE3318"/>
    <n v="1"/>
    <s v=""/>
    <n v="0"/>
    <s v="URBFIE3318BK"/>
    <n v="1"/>
    <s v=""/>
    <n v="0"/>
    <s v="E3"/>
    <s v="모자"/>
    <s v="URB"/>
    <s v="FI"/>
    <x v="22"/>
    <s v="URBFIE3318"/>
    <x v="553"/>
    <x v="0"/>
    <n v="800"/>
    <n v="36000000"/>
    <n v="6809512.9410000006"/>
    <n v="4.8061106588434814"/>
    <n v="0"/>
    <n v="800"/>
  </r>
  <r>
    <x v="0"/>
    <x v="0"/>
    <s v="URBFIE3319"/>
    <n v="1"/>
    <s v=""/>
    <n v="0"/>
    <s v="URBFIE3319YE"/>
    <n v="1"/>
    <s v=""/>
    <n v="0"/>
    <s v="E3"/>
    <s v="모자"/>
    <s v="URB"/>
    <s v="FI"/>
    <x v="22"/>
    <s v="URBFIE3319"/>
    <x v="554"/>
    <x v="0"/>
    <n v="600"/>
    <n v="27000000"/>
    <n v="5107134.7057500007"/>
    <n v="4.8061106588434814"/>
    <n v="0"/>
    <n v="600"/>
  </r>
  <r>
    <x v="0"/>
    <x v="0"/>
    <s v="URBFIE3320"/>
    <n v="1"/>
    <s v=""/>
    <n v="0"/>
    <s v="URBFIE3320YE"/>
    <n v="1"/>
    <s v=""/>
    <n v="0"/>
    <s v="E3"/>
    <s v="모자"/>
    <s v="URB"/>
    <s v="FI"/>
    <x v="22"/>
    <s v="URBFIE3320"/>
    <x v="555"/>
    <x v="0"/>
    <n v="600"/>
    <n v="29400000"/>
    <n v="5512124.9452499999"/>
    <n v="4.8488147479865447"/>
    <n v="0"/>
    <n v="600"/>
  </r>
  <r>
    <x v="0"/>
    <x v="0"/>
    <s v="URBFIE3321"/>
    <n v="1"/>
    <s v=""/>
    <n v="0"/>
    <s v="URBFIE3321BK"/>
    <n v="1"/>
    <s v=""/>
    <n v="0"/>
    <s v="E3"/>
    <s v="모자"/>
    <s v="URB"/>
    <s v="FI"/>
    <x v="22"/>
    <s v="URBFIE3321"/>
    <x v="556"/>
    <x v="0"/>
    <n v="600"/>
    <n v="29400000"/>
    <n v="5957630.5140000032"/>
    <n v="4.4862252978706136"/>
    <n v="0"/>
    <n v="600"/>
  </r>
  <r>
    <x v="1"/>
    <x v="0"/>
    <s v="ELSERE5645"/>
    <n v="1"/>
    <s v=""/>
    <n v="0"/>
    <s v="ELSERE5645BK"/>
    <n v="1"/>
    <s v=""/>
    <n v="0"/>
    <s v="E5"/>
    <s v="모자"/>
    <s v="ELS"/>
    <s v="ER"/>
    <x v="3"/>
    <s v="ELSERE5645"/>
    <x v="557"/>
    <x v="0"/>
    <n v="1200"/>
    <n v="75600000"/>
    <n v="12037033.999999998"/>
    <n v="5.709651790239417"/>
    <n v="0"/>
    <n v="1200"/>
  </r>
  <r>
    <x v="0"/>
    <x v="0"/>
    <s v="ELSTPE5301"/>
    <n v="0.5"/>
    <s v=""/>
    <n v="0"/>
    <s v="ELSTPE5301NY"/>
    <n v="0.5"/>
    <s v=""/>
    <n v="0"/>
    <s v="E5"/>
    <s v="모자"/>
    <s v="ELS"/>
    <s v="TP"/>
    <x v="3"/>
    <s v="ELSTPE5301"/>
    <x v="217"/>
    <x v="0"/>
    <n v="200"/>
    <n v="11800000"/>
    <n v="1970896.0000000002"/>
    <n v="5.4428405797529269"/>
    <n v="0"/>
    <n v="200"/>
  </r>
  <r>
    <x v="0"/>
    <x v="0"/>
    <s v="ELSTPE5801"/>
    <n v="0.5"/>
    <s v=""/>
    <n v="0"/>
    <s v="ELSTPE5801NY"/>
    <n v="0.5"/>
    <s v=""/>
    <n v="0"/>
    <s v="E5"/>
    <s v="모자"/>
    <s v="ELS"/>
    <s v="TP"/>
    <x v="3"/>
    <s v="ELSTPE5801"/>
    <x v="218"/>
    <x v="0"/>
    <n v="200"/>
    <n v="11000000"/>
    <n v="1958896.0000000002"/>
    <n v="5.1049162385343569"/>
    <n v="0"/>
    <n v="200"/>
  </r>
  <r>
    <x v="0"/>
    <x v="0"/>
    <s v="ELSBAE3311"/>
    <n v="0.25"/>
    <s v=""/>
    <n v="0"/>
    <s v="ELSBAE3311LI"/>
    <n v="0.5"/>
    <s v=""/>
    <n v="0"/>
    <s v="E3"/>
    <s v="모자"/>
    <s v="ELS"/>
    <s v="BA"/>
    <x v="3"/>
    <s v="ELSBAE3311"/>
    <x v="251"/>
    <x v="0"/>
    <n v="400"/>
    <n v="19600000"/>
    <n v="3051656"/>
    <n v="5.8388566136490541"/>
    <n v="0"/>
    <n v="400"/>
  </r>
  <r>
    <x v="0"/>
    <x v="0"/>
    <s v="ELSBAE3811"/>
    <n v="0.25"/>
    <s v=""/>
    <n v="0"/>
    <s v="ELSBAE3811LI"/>
    <n v="0.5"/>
    <s v=""/>
    <n v="0"/>
    <s v="E3"/>
    <s v="모자"/>
    <s v="ELS"/>
    <s v="BA"/>
    <x v="3"/>
    <s v="ELSBAE3811"/>
    <x v="252"/>
    <x v="0"/>
    <n v="400"/>
    <n v="17200000"/>
    <n v="3001760.0000000005"/>
    <n v="5.209065227187927"/>
    <n v="0"/>
    <n v="400"/>
  </r>
  <r>
    <x v="0"/>
    <x v="0"/>
    <s v="ELSBAE3311"/>
    <n v="0.25"/>
    <s v=""/>
    <n v="0"/>
    <s v="ELSBAE3311PK"/>
    <n v="0.5"/>
    <s v=""/>
    <n v="0"/>
    <s v="E3"/>
    <s v="모자"/>
    <s v="ELS"/>
    <s v="BA"/>
    <x v="3"/>
    <s v="ELSBAE3311"/>
    <x v="253"/>
    <x v="0"/>
    <n v="400"/>
    <n v="19600000"/>
    <n v="3051656"/>
    <n v="5.8388566136490541"/>
    <n v="0"/>
    <n v="400"/>
  </r>
  <r>
    <x v="0"/>
    <x v="0"/>
    <s v="ELSBAE3811"/>
    <n v="0.25"/>
    <s v=""/>
    <n v="0"/>
    <s v="ELSBAE3811PK"/>
    <n v="0.5"/>
    <s v=""/>
    <n v="0"/>
    <s v="E3"/>
    <s v="모자"/>
    <s v="ELS"/>
    <s v="BA"/>
    <x v="3"/>
    <s v="ELSBAE3811"/>
    <x v="254"/>
    <x v="0"/>
    <n v="400"/>
    <n v="17200000"/>
    <n v="3001760.0000000005"/>
    <n v="5.209065227187927"/>
    <n v="0"/>
    <n v="400"/>
  </r>
  <r>
    <x v="0"/>
    <x v="0"/>
    <s v="ELSBAE3312"/>
    <n v="0.5"/>
    <s v=""/>
    <n v="0"/>
    <s v="ELSBAE3312NY"/>
    <n v="0.5"/>
    <s v=""/>
    <n v="0"/>
    <s v="E3"/>
    <s v="모자"/>
    <s v="ELS"/>
    <s v="BA"/>
    <x v="3"/>
    <s v="ELSBAE3312"/>
    <x v="255"/>
    <x v="0"/>
    <n v="400"/>
    <n v="19600000"/>
    <n v="3151448.0000000005"/>
    <n v="5.653966626827355"/>
    <n v="0"/>
    <n v="400"/>
  </r>
  <r>
    <x v="0"/>
    <x v="0"/>
    <s v="ELSBAE3812"/>
    <n v="0.5"/>
    <s v=""/>
    <n v="0"/>
    <s v="ELSBAE3812NY"/>
    <n v="0.5"/>
    <s v=""/>
    <n v="0"/>
    <s v="E3"/>
    <s v="모자"/>
    <s v="ELS"/>
    <s v="BA"/>
    <x v="3"/>
    <s v="ELSBAE3812"/>
    <x v="256"/>
    <x v="0"/>
    <n v="400"/>
    <n v="17200000"/>
    <n v="3101552.0000000005"/>
    <n v="5.0414642850945697"/>
    <n v="0"/>
    <n v="400"/>
  </r>
  <r>
    <x v="0"/>
    <x v="0"/>
    <s v="ELSBAE3307"/>
    <n v="0.5"/>
    <s v=""/>
    <n v="0"/>
    <s v="ELSBAE3307OR"/>
    <n v="0.5"/>
    <s v=""/>
    <n v="0"/>
    <s v="E3"/>
    <s v="모자"/>
    <s v="ELS"/>
    <s v="BA"/>
    <x v="3"/>
    <s v="ELSBAE3307"/>
    <x v="257"/>
    <x v="0"/>
    <n v="200"/>
    <n v="9800000"/>
    <n v="1900048"/>
    <n v="4.6888767594770808"/>
    <n v="0"/>
    <n v="200"/>
  </r>
  <r>
    <x v="0"/>
    <x v="0"/>
    <s v="VBLBAE3312"/>
    <n v="0.5"/>
    <s v=""/>
    <n v="0"/>
    <s v="VBLBAE3312BK"/>
    <n v="0.5"/>
    <s v=""/>
    <n v="0"/>
    <s v="E3"/>
    <s v="모자"/>
    <s v="VBL"/>
    <s v="BA"/>
    <x v="10"/>
    <s v="VBLBAE3312"/>
    <x v="288"/>
    <x v="0"/>
    <n v="500"/>
    <n v="27500000"/>
    <n v="4166666.666666666"/>
    <n v="6"/>
    <n v="0"/>
    <n v="500"/>
  </r>
  <r>
    <x v="0"/>
    <x v="0"/>
    <s v="VBLBAE3812"/>
    <n v="0.5"/>
    <s v=""/>
    <n v="0"/>
    <s v="VBLBAE3812BK"/>
    <n v="0.5"/>
    <s v=""/>
    <n v="0"/>
    <s v="E3"/>
    <s v="모자"/>
    <s v="VBL"/>
    <s v="BA"/>
    <x v="10"/>
    <s v="VBLBAE3812"/>
    <x v="289"/>
    <x v="0"/>
    <n v="300"/>
    <n v="15900000"/>
    <n v="2409090.9090909087"/>
    <n v="6"/>
    <n v="0"/>
    <n v="300"/>
  </r>
  <r>
    <x v="0"/>
    <x v="0"/>
    <s v="VBLERE5315"/>
    <n v="0.5"/>
    <s v=""/>
    <n v="0"/>
    <s v="VBLERE5315GY"/>
    <n v="0.5"/>
    <s v=""/>
    <n v="0"/>
    <s v="E5"/>
    <s v="모자"/>
    <s v="VBL"/>
    <s v="ER"/>
    <x v="10"/>
    <s v="VBLERE5315"/>
    <x v="297"/>
    <x v="0"/>
    <n v="300"/>
    <n v="19500000"/>
    <n v="2954545.4545454546"/>
    <n v="5.9999999999999991"/>
    <n v="0"/>
    <n v="300"/>
  </r>
  <r>
    <x v="0"/>
    <x v="0"/>
    <s v="VBLERE5301"/>
    <n v="0.5"/>
    <s v=""/>
    <n v="0"/>
    <s v="VBLERE5301OR"/>
    <n v="0.5"/>
    <s v=""/>
    <n v="0"/>
    <s v="E5"/>
    <s v="모자"/>
    <s v="VBL"/>
    <s v="ER"/>
    <x v="10"/>
    <s v="VBLERE5301"/>
    <x v="88"/>
    <x v="0"/>
    <n v="300"/>
    <n v="17700000"/>
    <n v="4022727.2727272725"/>
    <n v="4"/>
    <n v="0"/>
    <n v="300"/>
  </r>
  <r>
    <x v="0"/>
    <x v="0"/>
    <s v="VBLERE5801"/>
    <n v="0.5"/>
    <s v=""/>
    <n v="0"/>
    <s v="VBLERE5801OR"/>
    <n v="0.5"/>
    <s v=""/>
    <n v="0"/>
    <s v="E5"/>
    <s v="모자"/>
    <s v="VBL"/>
    <s v="ER"/>
    <x v="10"/>
    <s v="VBLERE5801"/>
    <x v="89"/>
    <x v="0"/>
    <n v="200"/>
    <n v="11000000"/>
    <n v="2499999.9999999995"/>
    <n v="4.0000000000000009"/>
    <n v="0"/>
    <n v="200"/>
  </r>
  <r>
    <x v="1"/>
    <x v="1"/>
    <s v=""/>
    <n v="0"/>
    <s v="JILEBE5036"/>
    <n v="0.5"/>
    <s v=""/>
    <n v="0"/>
    <s v="JILEBE5036GY"/>
    <n v="1"/>
    <s v="E5"/>
    <s v="모자"/>
    <s v="JIL"/>
    <s v="EB"/>
    <x v="4"/>
    <s v="JILEBE5036"/>
    <x v="30"/>
    <x v="0"/>
    <n v="500"/>
    <n v="21500000"/>
    <n v="3399165.0000000005"/>
    <n v="5.7500752524383314"/>
    <n v="0"/>
    <n v="500"/>
  </r>
  <r>
    <x v="1"/>
    <x v="1"/>
    <s v=""/>
    <n v="0"/>
    <s v="JILEBE5036"/>
    <n v="0.5"/>
    <s v=""/>
    <n v="0"/>
    <s v="JILEBE5036RE"/>
    <n v="1"/>
    <s v="E5"/>
    <s v="모자"/>
    <s v="JIL"/>
    <s v="EB"/>
    <x v="4"/>
    <s v="JILEBE5036"/>
    <x v="31"/>
    <x v="0"/>
    <n v="500"/>
    <n v="21500000"/>
    <n v="3399165.0000000005"/>
    <n v="5.7500752524383314"/>
    <n v="0"/>
    <n v="500"/>
  </r>
  <r>
    <x v="1"/>
    <x v="0"/>
    <s v="JILMIE3215"/>
    <n v="1"/>
    <s v=""/>
    <n v="0"/>
    <s v="JILMIE3215NY"/>
    <n v="1"/>
    <s v=""/>
    <n v="0"/>
    <s v="E3"/>
    <s v="모자"/>
    <s v="JIL"/>
    <s v="MI"/>
    <x v="4"/>
    <s v="JILMIE3215"/>
    <x v="558"/>
    <x v="0"/>
    <n v="700"/>
    <n v="30100000"/>
    <n v="4307799.0000000009"/>
    <n v="6.3521153989859682"/>
    <n v="0"/>
    <n v="700"/>
  </r>
  <r>
    <x v="1"/>
    <x v="0"/>
    <s v="JILMIE3218"/>
    <n v="1"/>
    <s v=""/>
    <n v="0"/>
    <s v="JILMIE3218BW"/>
    <n v="1"/>
    <s v=""/>
    <n v="0"/>
    <s v="E3"/>
    <s v="모자"/>
    <s v="JIL"/>
    <s v="MI"/>
    <x v="4"/>
    <s v="JILMIE3218"/>
    <x v="559"/>
    <x v="0"/>
    <n v="700"/>
    <n v="30100000"/>
    <n v="3723799.0000000005"/>
    <n v="7.3483118620624683"/>
    <n v="0"/>
    <n v="700"/>
  </r>
  <r>
    <x v="1"/>
    <x v="0"/>
    <s v="JILMIE3219"/>
    <n v="1"/>
    <s v=""/>
    <n v="0"/>
    <s v="JILMIE3219IV"/>
    <n v="1"/>
    <s v=""/>
    <n v="0"/>
    <s v="E3"/>
    <s v="모자"/>
    <s v="JIL"/>
    <s v="MI"/>
    <x v="4"/>
    <s v="JILMIE3219"/>
    <x v="560"/>
    <x v="0"/>
    <n v="500"/>
    <n v="22500000"/>
    <n v="3234915"/>
    <n v="6.3230549966677492"/>
    <n v="0"/>
    <n v="500"/>
  </r>
  <r>
    <x v="0"/>
    <x v="0"/>
    <s v="ELSTPE5831"/>
    <n v="0.5"/>
    <s v=""/>
    <n v="0"/>
    <s v="ELSTPE5831NY"/>
    <n v="1"/>
    <s v=""/>
    <n v="0"/>
    <s v="E5"/>
    <s v="모자"/>
    <s v="ELS"/>
    <s v="TP"/>
    <x v="3"/>
    <s v="ELSTPE5831"/>
    <x v="561"/>
    <x v="0"/>
    <n v="800"/>
    <n v="39200000"/>
    <n v="6381588.0000000009"/>
    <n v="5.5842469987663925"/>
    <n v="0"/>
    <n v="800"/>
  </r>
  <r>
    <x v="0"/>
    <x v="0"/>
    <s v="ELSTPE5831"/>
    <n v="0.5"/>
    <s v=""/>
    <n v="0"/>
    <s v="ELSTPE5831OR"/>
    <n v="1"/>
    <s v=""/>
    <n v="0"/>
    <s v="E5"/>
    <s v="모자"/>
    <s v="ELS"/>
    <s v="TP"/>
    <x v="3"/>
    <s v="ELSTPE5831"/>
    <x v="562"/>
    <x v="0"/>
    <n v="800"/>
    <n v="39200000"/>
    <n v="6380188.0000000009"/>
    <n v="5.585472346012943"/>
    <n v="0"/>
    <n v="800"/>
  </r>
  <r>
    <x v="0"/>
    <x v="0"/>
    <s v="ELSERE5332"/>
    <n v="1"/>
    <s v=""/>
    <n v="0"/>
    <s v="ELSERE5332GY"/>
    <n v="1"/>
    <s v=""/>
    <n v="0"/>
    <s v="E5"/>
    <s v="모자"/>
    <s v="ELS"/>
    <s v="ER"/>
    <x v="3"/>
    <s v="ELSERE5332"/>
    <x v="563"/>
    <x v="0"/>
    <n v="1000"/>
    <n v="69000000"/>
    <n v="11598260"/>
    <n v="5.408334761185964"/>
    <n v="0"/>
    <n v="1000"/>
  </r>
  <r>
    <x v="0"/>
    <x v="0"/>
    <s v="ELSERE5832"/>
    <n v="1"/>
    <s v=""/>
    <n v="0"/>
    <s v="ELSERE5832GY"/>
    <n v="1"/>
    <s v=""/>
    <n v="0"/>
    <s v="E5"/>
    <s v="모자"/>
    <s v="ELS"/>
    <s v="ER"/>
    <x v="3"/>
    <s v="ELSERE5832"/>
    <x v="564"/>
    <x v="0"/>
    <n v="1000"/>
    <n v="65000000"/>
    <n v="11182780"/>
    <n v="5.2840983271520212"/>
    <n v="0"/>
    <n v="1000"/>
  </r>
  <r>
    <x v="0"/>
    <x v="0"/>
    <s v="ELSERE5333"/>
    <n v="1"/>
    <s v=""/>
    <n v="0"/>
    <s v="ELSERE5333NY"/>
    <n v="1"/>
    <s v=""/>
    <n v="0"/>
    <s v="E5"/>
    <s v="모자"/>
    <s v="ELS"/>
    <s v="ER"/>
    <x v="3"/>
    <s v="ELSERE5333"/>
    <x v="565"/>
    <x v="0"/>
    <n v="1500"/>
    <n v="88500000"/>
    <n v="16401170.000000002"/>
    <n v="4.9054150072553018"/>
    <n v="0"/>
    <n v="1500"/>
  </r>
  <r>
    <x v="0"/>
    <x v="0"/>
    <s v="ELSERE5833"/>
    <n v="1"/>
    <s v=""/>
    <n v="0"/>
    <s v="ELSERE5833NY"/>
    <n v="1"/>
    <s v=""/>
    <n v="0"/>
    <s v="E5"/>
    <s v="모자"/>
    <s v="ELS"/>
    <s v="ER"/>
    <x v="3"/>
    <s v="ELSERE5833"/>
    <x v="566"/>
    <x v="0"/>
    <n v="1500"/>
    <n v="82500000"/>
    <n v="15473140.000000002"/>
    <n v="4.847109248672214"/>
    <n v="0"/>
    <n v="1500"/>
  </r>
  <r>
    <x v="0"/>
    <x v="0"/>
    <s v="ELSERE5334"/>
    <n v="1"/>
    <s v=""/>
    <n v="0"/>
    <s v="ELSERE5334YE"/>
    <n v="1"/>
    <s v=""/>
    <n v="0"/>
    <s v="E5"/>
    <s v="모자"/>
    <s v="ELS"/>
    <s v="ER"/>
    <x v="3"/>
    <s v="ELSERE5334"/>
    <x v="567"/>
    <x v="0"/>
    <n v="800"/>
    <n v="47200000"/>
    <n v="8870646"/>
    <n v="4.8372002342434701"/>
    <n v="0"/>
    <n v="800"/>
  </r>
  <r>
    <x v="0"/>
    <x v="0"/>
    <s v="ELSERE5834"/>
    <n v="1"/>
    <s v=""/>
    <n v="0"/>
    <s v="ELSERE5834YE"/>
    <n v="1"/>
    <s v=""/>
    <n v="0"/>
    <s v="E5"/>
    <s v="모자"/>
    <s v="ELS"/>
    <s v="ER"/>
    <x v="3"/>
    <s v="ELSERE5834"/>
    <x v="568"/>
    <x v="0"/>
    <n v="800"/>
    <n v="44000000"/>
    <n v="8440758"/>
    <n v="4.7389108892826917"/>
    <n v="0"/>
    <n v="800"/>
  </r>
  <r>
    <x v="0"/>
    <x v="0"/>
    <s v="ELSFIE3335"/>
    <n v="1"/>
    <s v=""/>
    <n v="0"/>
    <s v="ELSFIE3335BL"/>
    <n v="1"/>
    <s v=""/>
    <n v="0"/>
    <s v="E3"/>
    <s v="모자"/>
    <s v="ELS"/>
    <s v="FI"/>
    <x v="3"/>
    <s v="ELSFIE3335"/>
    <x v="569"/>
    <x v="0"/>
    <n v="1000"/>
    <n v="49000000"/>
    <n v="9001280"/>
    <n v="4.948791121424347"/>
    <n v="0"/>
    <n v="1000"/>
  </r>
  <r>
    <x v="0"/>
    <x v="0"/>
    <s v="ELSFIE3835"/>
    <n v="1"/>
    <s v=""/>
    <n v="0"/>
    <s v="ELSFIE3835BL"/>
    <n v="1"/>
    <s v=""/>
    <n v="0"/>
    <s v="E3"/>
    <s v="모자"/>
    <s v="ELS"/>
    <s v="FI"/>
    <x v="3"/>
    <s v="ELSFIE3835"/>
    <x v="570"/>
    <x v="0"/>
    <n v="1000"/>
    <n v="43000000"/>
    <n v="9001280"/>
    <n v="4.3428166983927943"/>
    <n v="0"/>
    <n v="1000"/>
  </r>
  <r>
    <x v="1"/>
    <x v="1"/>
    <s v=""/>
    <n v="0"/>
    <s v="ELSBAE3007"/>
    <n v="1"/>
    <s v=""/>
    <n v="0"/>
    <s v="ELSBAE3007PK"/>
    <n v="1"/>
    <s v="E3"/>
    <s v="모자"/>
    <s v="ELS"/>
    <s v="BA"/>
    <x v="3"/>
    <s v="ELSBAE3007"/>
    <x v="179"/>
    <x v="0"/>
    <n v="2000"/>
    <n v="98000000"/>
    <n v="12518380.000000002"/>
    <n v="7.116808172535829"/>
    <n v="0"/>
    <n v="2000"/>
  </r>
  <r>
    <x v="1"/>
    <x v="0"/>
    <s v="ELSBAE3649"/>
    <n v="1"/>
    <s v=""/>
    <n v="0"/>
    <s v="ELSBAE3649PK"/>
    <n v="1"/>
    <s v=""/>
    <n v="0"/>
    <s v="E3"/>
    <s v="모자"/>
    <s v="ELS"/>
    <s v="BA"/>
    <x v="3"/>
    <s v="ELSBAE3649"/>
    <x v="571"/>
    <x v="0"/>
    <n v="2000"/>
    <n v="86000000"/>
    <n v="12144160.000000002"/>
    <n v="6.4378119344457057"/>
    <n v="0"/>
    <n v="2000"/>
  </r>
  <r>
    <x v="1"/>
    <x v="0"/>
    <s v="JILMIE3152"/>
    <n v="0.25"/>
    <s v=""/>
    <n v="0"/>
    <s v="JILMIE3152PK"/>
    <n v="1"/>
    <s v=""/>
    <n v="0"/>
    <s v="E3"/>
    <s v="모자"/>
    <s v="JIL"/>
    <s v="MI"/>
    <x v="4"/>
    <s v="JILMIE3152"/>
    <x v="572"/>
    <x v="0"/>
    <n v="1000"/>
    <n v="45000000"/>
    <n v="6673590"/>
    <n v="6.1299976338209126"/>
    <n v="0"/>
    <n v="1000"/>
  </r>
  <r>
    <x v="1"/>
    <x v="0"/>
    <s v="WTRBAE3603"/>
    <n v="1"/>
    <s v=""/>
    <n v="0"/>
    <s v="WTRBAE3603RE"/>
    <n v="1"/>
    <s v=""/>
    <n v="0"/>
    <s v="E3"/>
    <s v="모자"/>
    <s v="WTR"/>
    <s v="BA"/>
    <x v="8"/>
    <s v="WTRBAE3603"/>
    <x v="573"/>
    <x v="0"/>
    <n v="700"/>
    <n v="34300000"/>
    <n v="7795454.5454545449"/>
    <n v="4"/>
    <n v="0"/>
    <n v="700"/>
  </r>
  <r>
    <x v="0"/>
    <x v="0"/>
    <s v="ELSJSE5327"/>
    <n v="1"/>
    <s v=""/>
    <n v="0"/>
    <s v="ELSJSE5327BW"/>
    <n v="1"/>
    <s v=""/>
    <n v="0"/>
    <s v="E5"/>
    <s v="의류"/>
    <s v="ELS"/>
    <s v="JS"/>
    <x v="14"/>
    <s v="ELSJSE5327"/>
    <x v="574"/>
    <x v="0"/>
    <n v="800"/>
    <n v="127200000"/>
    <n v="27251800"/>
    <n v="4.2432559917643466"/>
    <n v="0"/>
    <n v="800"/>
  </r>
  <r>
    <x v="0"/>
    <x v="0"/>
    <s v="ELSJSE5827"/>
    <n v="1"/>
    <s v=""/>
    <n v="0"/>
    <s v="ELSJSE5827BW"/>
    <n v="1"/>
    <s v=""/>
    <n v="0"/>
    <s v="E5"/>
    <s v="의류"/>
    <s v="ELS"/>
    <s v="JS"/>
    <x v="14"/>
    <s v="ELSJSE5827"/>
    <x v="575"/>
    <x v="0"/>
    <n v="800"/>
    <n v="111200000"/>
    <n v="21754000"/>
    <n v="4.6470032679465421"/>
    <n v="0"/>
    <n v="800"/>
  </r>
  <r>
    <x v="0"/>
    <x v="0"/>
    <s v="ELSPTE5330"/>
    <n v="1"/>
    <s v=""/>
    <n v="0"/>
    <s v="ELSPTE5330BK"/>
    <n v="1"/>
    <s v=""/>
    <n v="0"/>
    <s v="E5"/>
    <s v="의류"/>
    <s v="ELS"/>
    <s v="PT"/>
    <x v="14"/>
    <s v="ELSPTE5330"/>
    <x v="576"/>
    <x v="0"/>
    <n v="1000"/>
    <n v="89000000"/>
    <n v="22020000"/>
    <n v="3.6743456361984967"/>
    <n v="0"/>
    <n v="1000"/>
  </r>
  <r>
    <x v="0"/>
    <x v="0"/>
    <s v="ELSPTE5830"/>
    <n v="1"/>
    <s v=""/>
    <n v="0"/>
    <s v="ELSPTE5830BK"/>
    <n v="1"/>
    <s v=""/>
    <n v="0"/>
    <s v="E5"/>
    <s v="의류"/>
    <s v="ELS"/>
    <s v="PT"/>
    <x v="14"/>
    <s v="ELSPTE5830"/>
    <x v="577"/>
    <x v="0"/>
    <n v="1000"/>
    <n v="79000000"/>
    <n v="19120000"/>
    <n v="3.7561810574362875"/>
    <n v="0"/>
    <n v="1000"/>
  </r>
  <r>
    <x v="0"/>
    <x v="0"/>
    <s v="ELSPTE5331"/>
    <n v="1"/>
    <s v=""/>
    <n v="0"/>
    <s v="ELSPTE5331BW"/>
    <n v="1"/>
    <s v=""/>
    <n v="0"/>
    <s v="E5"/>
    <s v="의류"/>
    <s v="ELS"/>
    <s v="PT"/>
    <x v="14"/>
    <s v="ELSPTE5331"/>
    <x v="578"/>
    <x v="0"/>
    <n v="1000"/>
    <n v="89000000"/>
    <n v="23020000"/>
    <n v="3.514730274069978"/>
    <n v="0"/>
    <n v="1000"/>
  </r>
  <r>
    <x v="0"/>
    <x v="0"/>
    <s v="ELSPTE5831"/>
    <n v="1"/>
    <s v=""/>
    <n v="0"/>
    <s v="ELSPTE5831BW"/>
    <n v="1"/>
    <s v=""/>
    <n v="0"/>
    <s v="E5"/>
    <s v="의류"/>
    <s v="ELS"/>
    <s v="PT"/>
    <x v="14"/>
    <s v="ELSPTE5831"/>
    <x v="579"/>
    <x v="0"/>
    <n v="1000"/>
    <n v="79000000"/>
    <n v="20020000"/>
    <n v="3.587321769139951"/>
    <n v="0"/>
    <n v="1000"/>
  </r>
  <r>
    <x v="0"/>
    <x v="0"/>
    <s v="VBLBAE5316"/>
    <n v="1"/>
    <s v=""/>
    <n v="0"/>
    <s v="VBLBAE5316GY"/>
    <n v="1"/>
    <s v=""/>
    <n v="0"/>
    <s v="E5"/>
    <s v="모자"/>
    <s v="VBL"/>
    <s v="BA"/>
    <x v="10"/>
    <s v="VBLBAE5316"/>
    <x v="580"/>
    <x v="0"/>
    <n v="1000"/>
    <n v="59000000"/>
    <n v="13409090.909090908"/>
    <n v="4"/>
    <n v="0"/>
    <n v="1000"/>
  </r>
  <r>
    <x v="1"/>
    <x v="0"/>
    <s v="ELSBAE3008"/>
    <n v="0.33333333333333331"/>
    <s v=""/>
    <n v="0"/>
    <s v="ELSBAE3008NY"/>
    <n v="1"/>
    <s v=""/>
    <n v="0"/>
    <s v="E3"/>
    <s v="모자"/>
    <s v="ELS"/>
    <s v="BA"/>
    <x v="3"/>
    <s v="ELSBAE3008"/>
    <x v="581"/>
    <x v="0"/>
    <n v="3000"/>
    <n v="147000000"/>
    <n v="12215040"/>
    <n v="10.940313223400301"/>
    <n v="0"/>
    <n v="3000"/>
  </r>
  <r>
    <x v="1"/>
    <x v="0"/>
    <s v="ELSFIE3013"/>
    <n v="0.33333333333333331"/>
    <s v=""/>
    <n v="0"/>
    <s v="ELSFIE3013RE"/>
    <n v="1"/>
    <s v=""/>
    <n v="0"/>
    <s v="E3"/>
    <s v="모자"/>
    <s v="ELS"/>
    <s v="FI"/>
    <x v="3"/>
    <s v="ELSFIE3013"/>
    <x v="582"/>
    <x v="0"/>
    <n v="3500"/>
    <n v="171500000"/>
    <n v="13237700.000000002"/>
    <n v="11.777657063469551"/>
    <n v="0"/>
    <n v="3500"/>
  </r>
  <r>
    <x v="1"/>
    <x v="0"/>
    <s v="ELSFIE3013"/>
    <n v="0.33333333333333331"/>
    <s v=""/>
    <n v="0"/>
    <s v="ELSFIE3013BK"/>
    <n v="1"/>
    <s v=""/>
    <n v="0"/>
    <s v="E3"/>
    <s v="모자"/>
    <s v="ELS"/>
    <s v="FI"/>
    <x v="3"/>
    <s v="ELSFIE3013"/>
    <x v="583"/>
    <x v="0"/>
    <n v="1500"/>
    <n v="73500000"/>
    <n v="5673300.0000000009"/>
    <n v="11.777657063469549"/>
    <n v="0"/>
    <n v="1500"/>
  </r>
  <r>
    <x v="1"/>
    <x v="0"/>
    <s v="ELSFIE3013"/>
    <n v="0.33333333333333331"/>
    <s v=""/>
    <n v="0"/>
    <s v="ELSFIE3013YE"/>
    <n v="1"/>
    <s v=""/>
    <n v="0"/>
    <s v="E3"/>
    <s v="모자"/>
    <s v="ELS"/>
    <s v="FI"/>
    <x v="3"/>
    <s v="ELSFIE3013"/>
    <x v="584"/>
    <x v="0"/>
    <n v="1800"/>
    <n v="88200000"/>
    <n v="6807960.0000000019"/>
    <n v="11.777657063469549"/>
    <n v="0"/>
    <n v="1800"/>
  </r>
  <r>
    <x v="1"/>
    <x v="0"/>
    <s v="ELSFIE3031"/>
    <n v="1"/>
    <s v=""/>
    <n v="0"/>
    <s v="ELSFIE3031GR"/>
    <n v="1"/>
    <s v=""/>
    <n v="0"/>
    <s v="E3"/>
    <s v="모자"/>
    <s v="ELS"/>
    <s v="FI"/>
    <x v="3"/>
    <s v="ELSFIE3031"/>
    <x v="585"/>
    <x v="0"/>
    <n v="1500"/>
    <n v="73500000"/>
    <n v="4984860.0000000009"/>
    <n v="13.404224354983249"/>
    <n v="0"/>
    <n v="1500"/>
  </r>
  <r>
    <x v="1"/>
    <x v="0"/>
    <s v="ELSFIE3210"/>
    <n v="1"/>
    <s v=""/>
    <n v="0"/>
    <s v="ELSFIE3210GY"/>
    <n v="1"/>
    <s v=""/>
    <n v="0"/>
    <s v="E3"/>
    <s v="모자"/>
    <s v="ELS"/>
    <s v="FI"/>
    <x v="3"/>
    <s v="ELSFIE3210"/>
    <x v="586"/>
    <x v="0"/>
    <n v="3000"/>
    <n v="147000000"/>
    <n v="18944250"/>
    <n v="7.0541913053493088"/>
    <n v="0"/>
    <n v="3000"/>
  </r>
  <r>
    <x v="1"/>
    <x v="0"/>
    <s v="ELSFIE3710"/>
    <n v="1"/>
    <s v=""/>
    <n v="0"/>
    <s v="ELSFIE3710GY"/>
    <n v="1"/>
    <s v=""/>
    <n v="0"/>
    <s v="E3"/>
    <s v="모자"/>
    <s v="ELS"/>
    <s v="FI"/>
    <x v="3"/>
    <s v="ELSFIE3710"/>
    <x v="587"/>
    <x v="0"/>
    <n v="3000"/>
    <n v="129000000"/>
    <n v="18597750"/>
    <n v="6.3057481293558242"/>
    <n v="0"/>
    <n v="3000"/>
  </r>
  <r>
    <x v="1"/>
    <x v="0"/>
    <s v="ELSFIE3714"/>
    <n v="1"/>
    <s v=""/>
    <n v="0"/>
    <s v="ELSFIE3714GR"/>
    <n v="1"/>
    <s v=""/>
    <n v="0"/>
    <s v="E3"/>
    <s v="모자"/>
    <s v="ELS"/>
    <s v="FI"/>
    <x v="3"/>
    <s v="ELSFIE3714"/>
    <x v="588"/>
    <x v="0"/>
    <n v="3000"/>
    <n v="129000000"/>
    <n v="16518750"/>
    <n v="7.0993705499948403"/>
    <n v="0"/>
    <n v="3000"/>
  </r>
  <r>
    <x v="1"/>
    <x v="1"/>
    <s v=""/>
    <n v="0"/>
    <s v="ELSFIE3211"/>
    <n v="1"/>
    <s v=""/>
    <n v="0"/>
    <s v="ELSFIE3211PK"/>
    <n v="1"/>
    <s v="E3"/>
    <s v="모자"/>
    <s v="ELS"/>
    <s v="FI"/>
    <x v="3"/>
    <s v="ELSFIE3211"/>
    <x v="240"/>
    <x v="0"/>
    <n v="1200"/>
    <n v="66000000"/>
    <n v="7854900.0000000009"/>
    <n v="7.6385440934957778"/>
    <n v="0"/>
    <n v="1200"/>
  </r>
  <r>
    <x v="1"/>
    <x v="0"/>
    <s v="ELSFIE3226"/>
    <n v="1"/>
    <s v=""/>
    <n v="0"/>
    <s v="ELSFIE3226BL"/>
    <n v="1"/>
    <s v=""/>
    <n v="0"/>
    <s v="E3"/>
    <s v="모자"/>
    <s v="ELS"/>
    <s v="FI"/>
    <x v="3"/>
    <s v="ELSFIE3226"/>
    <x v="589"/>
    <x v="0"/>
    <n v="1600"/>
    <n v="94400000"/>
    <n v="20800000"/>
    <n v="4.1258741258741258"/>
    <n v="0"/>
    <n v="1600"/>
  </r>
  <r>
    <x v="1"/>
    <x v="0"/>
    <s v="ELSFIE3721"/>
    <n v="0.5"/>
    <s v=""/>
    <n v="0"/>
    <s v="ELSFIE3721OR"/>
    <n v="1"/>
    <s v=""/>
    <n v="0"/>
    <s v="E3"/>
    <s v="모자"/>
    <s v="ELS"/>
    <s v="FI"/>
    <x v="3"/>
    <s v="ELSFIE3721"/>
    <x v="590"/>
    <x v="0"/>
    <n v="1000"/>
    <n v="55000000"/>
    <n v="12500000"/>
    <n v="3.9999999999999996"/>
    <n v="0"/>
    <n v="1000"/>
  </r>
  <r>
    <x v="1"/>
    <x v="0"/>
    <s v="ELSFIE3721"/>
    <n v="0.5"/>
    <s v=""/>
    <n v="0"/>
    <s v="ELSFIE3721MT"/>
    <n v="1"/>
    <s v=""/>
    <n v="0"/>
    <s v="E3"/>
    <s v="모자"/>
    <s v="ELS"/>
    <s v="FI"/>
    <x v="3"/>
    <s v="ELSFIE3721"/>
    <x v="591"/>
    <x v="0"/>
    <n v="1000"/>
    <n v="55000000"/>
    <n v="12500000"/>
    <n v="3.9999999999999996"/>
    <n v="0"/>
    <n v="1000"/>
  </r>
  <r>
    <x v="1"/>
    <x v="0"/>
    <s v="ELSFIE3221"/>
    <n v="0.5"/>
    <s v=""/>
    <n v="0"/>
    <s v="ELSFIE3221OR"/>
    <n v="1"/>
    <s v=""/>
    <n v="0"/>
    <s v="E3"/>
    <s v="모자"/>
    <s v="ELS"/>
    <s v="FI"/>
    <x v="3"/>
    <s v="ELSFIE3221"/>
    <x v="592"/>
    <x v="0"/>
    <n v="1000"/>
    <n v="59000000"/>
    <n v="12500000"/>
    <n v="4.2909090909090901"/>
    <n v="0"/>
    <n v="1000"/>
  </r>
  <r>
    <x v="1"/>
    <x v="0"/>
    <s v="ELSFIE3726"/>
    <n v="1"/>
    <s v=""/>
    <n v="0"/>
    <s v="ELSFIE3726BL"/>
    <n v="1"/>
    <s v=""/>
    <n v="0"/>
    <s v="E3"/>
    <s v="모자"/>
    <s v="ELS"/>
    <s v="FI"/>
    <x v="3"/>
    <s v="ELSFIE3726"/>
    <x v="593"/>
    <x v="0"/>
    <n v="1000"/>
    <n v="55000000"/>
    <n v="13000000"/>
    <n v="3.8461538461538458"/>
    <n v="0"/>
    <n v="1000"/>
  </r>
  <r>
    <x v="1"/>
    <x v="0"/>
    <s v="SMBBAE3223"/>
    <n v="1"/>
    <s v=""/>
    <n v="0"/>
    <s v="SMBBAE3223GY"/>
    <n v="1"/>
    <s v=""/>
    <n v="0"/>
    <s v="E3"/>
    <s v="모자"/>
    <s v="SMB"/>
    <s v="BA"/>
    <x v="13"/>
    <s v="SMBBAE3223"/>
    <x v="594"/>
    <x v="0"/>
    <n v="1000"/>
    <n v="45000000"/>
    <n v="6314750"/>
    <n v="6.4783389538922211"/>
    <n v="0"/>
    <n v="1000"/>
  </r>
  <r>
    <x v="1"/>
    <x v="0"/>
    <s v="SMBBAE3226"/>
    <n v="1"/>
    <s v=""/>
    <n v="0"/>
    <s v="SMBBAE3226PK"/>
    <n v="1"/>
    <s v=""/>
    <n v="0"/>
    <s v="E3"/>
    <s v="모자"/>
    <s v="SMB"/>
    <s v="BA"/>
    <x v="13"/>
    <s v="SMBBAE3226"/>
    <x v="595"/>
    <x v="0"/>
    <n v="700"/>
    <n v="34300000"/>
    <n v="4904199.9999999991"/>
    <n v="6.3581864895025051"/>
    <n v="0"/>
    <n v="700"/>
  </r>
  <r>
    <x v="1"/>
    <x v="0"/>
    <s v="SMBBAE3235"/>
    <n v="1"/>
    <s v=""/>
    <n v="0"/>
    <s v="SMBBAE3235BK"/>
    <n v="1"/>
    <s v=""/>
    <n v="0"/>
    <s v="E3"/>
    <s v="모자"/>
    <s v="SMB"/>
    <s v="BA"/>
    <x v="13"/>
    <s v="SMBBAE3235"/>
    <x v="596"/>
    <x v="0"/>
    <n v="500"/>
    <n v="24500000"/>
    <n v="3300875"/>
    <n v="6.7475221790365492"/>
    <n v="0"/>
    <n v="500"/>
  </r>
  <r>
    <x v="1"/>
    <x v="0"/>
    <s v="SMBFIE3203"/>
    <n v="1"/>
    <s v=""/>
    <n v="0"/>
    <s v="SMBFIE3203BL"/>
    <n v="1"/>
    <s v=""/>
    <n v="0"/>
    <s v="E3"/>
    <s v="모자"/>
    <s v="SMB"/>
    <s v="FI"/>
    <x v="13"/>
    <s v="SMBFIE3203"/>
    <x v="597"/>
    <x v="0"/>
    <n v="1500"/>
    <n v="73500000"/>
    <n v="8692500"/>
    <n v="7.6868774021491886"/>
    <n v="0"/>
    <n v="1500"/>
  </r>
  <r>
    <x v="1"/>
    <x v="0"/>
    <s v="SMBFIE3703"/>
    <n v="1"/>
    <s v=""/>
    <n v="0"/>
    <s v="SMBFIE3703BL"/>
    <n v="1"/>
    <s v=""/>
    <n v="0"/>
    <s v="E3"/>
    <s v="모자"/>
    <s v="SMB"/>
    <s v="FI"/>
    <x v="13"/>
    <s v="SMBFIE3703"/>
    <x v="598"/>
    <x v="0"/>
    <n v="1500"/>
    <n v="64500000"/>
    <n v="9902625"/>
    <n v="5.9212949734402383"/>
    <n v="0"/>
    <n v="1500"/>
  </r>
  <r>
    <x v="1"/>
    <x v="0"/>
    <s v="SMBFIE3213"/>
    <n v="1"/>
    <s v=""/>
    <n v="0"/>
    <s v="SMBFIE3213BK"/>
    <n v="1"/>
    <s v=""/>
    <n v="0"/>
    <s v="E3"/>
    <s v="모자"/>
    <s v="SMB"/>
    <s v="FI"/>
    <x v="13"/>
    <s v="SMBFIE3213"/>
    <x v="599"/>
    <x v="0"/>
    <n v="1500"/>
    <n v="67500000"/>
    <n v="6960000"/>
    <n v="8.8166144200626952"/>
    <n v="0"/>
    <n v="1500"/>
  </r>
  <r>
    <x v="1"/>
    <x v="0"/>
    <s v="SMBFIE3218"/>
    <n v="1"/>
    <s v=""/>
    <n v="0"/>
    <s v="SMBFIE3218NY"/>
    <n v="1"/>
    <s v=""/>
    <n v="0"/>
    <s v="E3"/>
    <s v="모자"/>
    <s v="SMB"/>
    <s v="FI"/>
    <x v="13"/>
    <s v="SMBFIE3218"/>
    <x v="600"/>
    <x v="0"/>
    <n v="1500"/>
    <n v="73500000"/>
    <n v="9296250.0000000019"/>
    <n v="7.1876489786937521"/>
    <n v="0"/>
    <n v="1500"/>
  </r>
  <r>
    <x v="1"/>
    <x v="0"/>
    <s v="SMBFLE3744"/>
    <n v="0.5"/>
    <s v=""/>
    <n v="0"/>
    <s v="SMBFLE3744RE"/>
    <n v="1"/>
    <s v=""/>
    <n v="0"/>
    <s v="E3"/>
    <s v="모자"/>
    <s v="SMB"/>
    <s v="FL"/>
    <x v="13"/>
    <s v="SMBFLE3744"/>
    <x v="601"/>
    <x v="0"/>
    <n v="500"/>
    <n v="21500000"/>
    <n v="3271999.9999999995"/>
    <n v="5.9735496777061572"/>
    <n v="0"/>
    <n v="500"/>
  </r>
  <r>
    <x v="1"/>
    <x v="0"/>
    <s v="BMDBAE3202"/>
    <n v="0.25"/>
    <s v=""/>
    <n v="0"/>
    <s v="BMDBAE3202RE"/>
    <n v="1"/>
    <s v=""/>
    <n v="0"/>
    <s v="E3"/>
    <s v="모자"/>
    <s v="BMD"/>
    <s v="BA"/>
    <x v="18"/>
    <s v="BMDBAE3202"/>
    <x v="602"/>
    <x v="0"/>
    <n v="1000"/>
    <n v="55000000"/>
    <n v="9020000"/>
    <n v="5.5432372505543235"/>
    <n v="0"/>
    <n v="1000"/>
  </r>
  <r>
    <x v="1"/>
    <x v="0"/>
    <s v="BMDMIE3201"/>
    <n v="0.5"/>
    <s v=""/>
    <n v="0"/>
    <s v="BMDMIE3201BL"/>
    <n v="1"/>
    <s v=""/>
    <n v="0"/>
    <s v="E3"/>
    <s v="모자"/>
    <s v="BMD"/>
    <s v="MI"/>
    <x v="18"/>
    <s v="BMDMIE3201"/>
    <x v="603"/>
    <x v="0"/>
    <n v="500"/>
    <n v="24500000"/>
    <n v="4910000"/>
    <n v="4.5361970005554531"/>
    <n v="0"/>
    <n v="500"/>
  </r>
  <r>
    <x v="1"/>
    <x v="0"/>
    <s v="BMDMIE3201"/>
    <n v="0.5"/>
    <s v=""/>
    <n v="0"/>
    <s v="BMDMIE3201BK"/>
    <n v="1"/>
    <s v=""/>
    <n v="0"/>
    <s v="E3"/>
    <s v="모자"/>
    <s v="BMD"/>
    <s v="MI"/>
    <x v="18"/>
    <s v="BMDMIE3201"/>
    <x v="604"/>
    <x v="0"/>
    <n v="500"/>
    <n v="24500000"/>
    <n v="4910000"/>
    <n v="4.5361970005554531"/>
    <n v="0"/>
    <n v="500"/>
  </r>
  <r>
    <x v="0"/>
    <x v="0"/>
    <s v="NAABAE3301"/>
    <n v="1"/>
    <s v=""/>
    <n v="0"/>
    <s v="NAABAE3301NY"/>
    <n v="1"/>
    <s v=""/>
    <n v="0"/>
    <s v="E3"/>
    <s v="모자"/>
    <s v="NAA"/>
    <s v="BA"/>
    <x v="23"/>
    <s v="NAABAE3301"/>
    <x v="605"/>
    <x v="0"/>
    <n v="700"/>
    <n v="30100000"/>
    <n v="4810575.0000000009"/>
    <n v="5.68822570350454"/>
    <n v="0"/>
    <n v="700"/>
  </r>
  <r>
    <x v="0"/>
    <x v="0"/>
    <s v="NAABAE3302"/>
    <n v="1"/>
    <s v=""/>
    <n v="0"/>
    <s v="NAABAE3302BU"/>
    <n v="1"/>
    <s v=""/>
    <n v="0"/>
    <s v="E3"/>
    <s v="모자"/>
    <s v="NAA"/>
    <s v="BA"/>
    <x v="23"/>
    <s v="NAABAE3302"/>
    <x v="606"/>
    <x v="0"/>
    <n v="700"/>
    <n v="30100000"/>
    <n v="4931850.0000000009"/>
    <n v="5.5483513009593466"/>
    <n v="0"/>
    <n v="700"/>
  </r>
  <r>
    <x v="0"/>
    <x v="0"/>
    <s v="NAABAE3303"/>
    <n v="1"/>
    <s v=""/>
    <n v="0"/>
    <s v="NAABAE3303PK"/>
    <n v="1"/>
    <s v=""/>
    <n v="0"/>
    <s v="E3"/>
    <s v="모자"/>
    <s v="NAA"/>
    <s v="BA"/>
    <x v="23"/>
    <s v="NAABAE3303"/>
    <x v="607"/>
    <x v="0"/>
    <n v="500"/>
    <n v="21500000"/>
    <n v="3436125.0000000005"/>
    <n v="5.6882257035045409"/>
    <n v="0"/>
    <n v="500"/>
  </r>
  <r>
    <x v="0"/>
    <x v="0"/>
    <s v="NAABAE3304"/>
    <n v="1"/>
    <s v=""/>
    <n v="0"/>
    <s v="NAABAE3304GY"/>
    <n v="1"/>
    <s v=""/>
    <n v="0"/>
    <s v="E3"/>
    <s v="모자"/>
    <s v="NAA"/>
    <s v="BA"/>
    <x v="23"/>
    <s v="NAABAE3304"/>
    <x v="608"/>
    <x v="0"/>
    <n v="500"/>
    <n v="21500000"/>
    <n v="3436125.0000000005"/>
    <n v="5.6882257035045409"/>
    <n v="0"/>
    <n v="500"/>
  </r>
  <r>
    <x v="0"/>
    <x v="0"/>
    <s v="NAABAE3305"/>
    <n v="1"/>
    <s v=""/>
    <n v="0"/>
    <s v="NAABAE3305GR"/>
    <n v="1"/>
    <s v=""/>
    <n v="0"/>
    <s v="E3"/>
    <s v="모자"/>
    <s v="NAA"/>
    <s v="BA"/>
    <x v="23"/>
    <s v="NAABAE3305"/>
    <x v="609"/>
    <x v="0"/>
    <n v="500"/>
    <n v="21500000"/>
    <n v="3436125.0000000005"/>
    <n v="5.6882257035045409"/>
    <n v="0"/>
    <n v="500"/>
  </r>
  <r>
    <x v="0"/>
    <x v="0"/>
    <s v="NAABAE3306"/>
    <n v="1"/>
    <s v=""/>
    <n v="0"/>
    <s v="NAABAE3306NY"/>
    <n v="1"/>
    <s v=""/>
    <n v="0"/>
    <s v="E3"/>
    <s v="모자"/>
    <s v="NAA"/>
    <s v="BA"/>
    <x v="23"/>
    <s v="NAABAE3306"/>
    <x v="610"/>
    <x v="0"/>
    <n v="700"/>
    <n v="31500000"/>
    <n v="5619075"/>
    <n v="5.0962771695276592"/>
    <n v="0"/>
    <n v="700"/>
  </r>
  <r>
    <x v="0"/>
    <x v="0"/>
    <s v="NAABAE3307"/>
    <n v="1"/>
    <s v=""/>
    <n v="0"/>
    <s v="NAABAE3307NY"/>
    <n v="1"/>
    <s v=""/>
    <n v="0"/>
    <s v="E3"/>
    <s v="모자"/>
    <s v="NAA"/>
    <s v="BA"/>
    <x v="23"/>
    <s v="NAABAE3307"/>
    <x v="611"/>
    <x v="0"/>
    <n v="700"/>
    <n v="31500000"/>
    <n v="5174400.0000000009"/>
    <n v="5.5342384887839415"/>
    <n v="0"/>
    <n v="700"/>
  </r>
  <r>
    <x v="0"/>
    <x v="0"/>
    <s v="NAABAE3308"/>
    <n v="1"/>
    <s v=""/>
    <n v="0"/>
    <s v="NAABAE3308GR"/>
    <n v="1"/>
    <s v=""/>
    <n v="0"/>
    <s v="E3"/>
    <s v="모자"/>
    <s v="NAA"/>
    <s v="BA"/>
    <x v="23"/>
    <s v="NAABAE3308"/>
    <x v="612"/>
    <x v="0"/>
    <n v="700"/>
    <n v="31500000"/>
    <n v="5012700.0000000009"/>
    <n v="5.7127623110027779"/>
    <n v="0"/>
    <n v="700"/>
  </r>
  <r>
    <x v="0"/>
    <x v="0"/>
    <s v="NAAFLE3309"/>
    <n v="1"/>
    <s v=""/>
    <n v="0"/>
    <s v="NAAFLE3309NY"/>
    <n v="1"/>
    <s v=""/>
    <n v="0"/>
    <s v="E3"/>
    <s v="모자"/>
    <s v="NAA"/>
    <s v="FL"/>
    <x v="23"/>
    <s v="NAAFLE3309"/>
    <x v="613"/>
    <x v="0"/>
    <n v="500"/>
    <n v="22500000"/>
    <n v="3407250"/>
    <n v="6.0032417505452935"/>
    <n v="0"/>
    <n v="500"/>
  </r>
  <r>
    <x v="0"/>
    <x v="0"/>
    <s v="NAAFLE3310"/>
    <n v="1"/>
    <s v=""/>
    <n v="0"/>
    <s v="NAAFLE3310PP"/>
    <n v="1"/>
    <s v=""/>
    <n v="0"/>
    <s v="E3"/>
    <s v="모자"/>
    <s v="NAA"/>
    <s v="FL"/>
    <x v="23"/>
    <s v="NAAFLE3310"/>
    <x v="614"/>
    <x v="0"/>
    <n v="500"/>
    <n v="22500000"/>
    <n v="3436125.0000000005"/>
    <n v="5.9527943408768449"/>
    <n v="0"/>
    <n v="500"/>
  </r>
  <r>
    <x v="0"/>
    <x v="0"/>
    <s v="NAAFIE3311"/>
    <n v="1"/>
    <s v=""/>
    <n v="0"/>
    <s v="NAAFIE3311PP"/>
    <n v="1"/>
    <s v=""/>
    <n v="0"/>
    <s v="E3"/>
    <s v="모자"/>
    <s v="NAA"/>
    <s v="FI"/>
    <x v="23"/>
    <s v="NAAFIE3311"/>
    <x v="615"/>
    <x v="0"/>
    <n v="700"/>
    <n v="34300000"/>
    <n v="4689300"/>
    <n v="6.6495677780944238"/>
    <n v="0"/>
    <n v="700"/>
  </r>
  <r>
    <x v="0"/>
    <x v="0"/>
    <s v="NAAFIE3312"/>
    <n v="1"/>
    <s v=""/>
    <n v="0"/>
    <s v="NAAFIE3312KH"/>
    <n v="1"/>
    <s v=""/>
    <n v="0"/>
    <s v="E3"/>
    <s v="모자"/>
    <s v="NAA"/>
    <s v="FI"/>
    <x v="23"/>
    <s v="NAAFIE3312"/>
    <x v="616"/>
    <x v="0"/>
    <n v="700"/>
    <n v="34300000"/>
    <n v="5174400.0000000009"/>
    <n v="6.0261707988980699"/>
    <n v="0"/>
    <n v="700"/>
  </r>
  <r>
    <x v="0"/>
    <x v="0"/>
    <s v="NAAFIE3313"/>
    <n v="1"/>
    <s v=""/>
    <n v="0"/>
    <s v="NAAFIE3313BU"/>
    <n v="1"/>
    <s v=""/>
    <n v="0"/>
    <s v="E3"/>
    <s v="모자"/>
    <s v="NAA"/>
    <s v="FI"/>
    <x v="23"/>
    <s v="NAAFIE3313"/>
    <x v="617"/>
    <x v="0"/>
    <n v="700"/>
    <n v="34300000"/>
    <n v="4851000.0000000009"/>
    <n v="6.4279155188246078"/>
    <n v="0"/>
    <n v="700"/>
  </r>
  <r>
    <x v="0"/>
    <x v="0"/>
    <s v="NAAFIE3314"/>
    <n v="1"/>
    <s v=""/>
    <n v="0"/>
    <s v="NAAFIE3314BG"/>
    <n v="1"/>
    <s v=""/>
    <n v="0"/>
    <s v="E3"/>
    <s v="모자"/>
    <s v="NAA"/>
    <s v="FI"/>
    <x v="23"/>
    <s v="NAAFIE3314"/>
    <x v="618"/>
    <x v="0"/>
    <n v="700"/>
    <n v="34300000"/>
    <n v="4851000.0000000009"/>
    <n v="6.4279155188246078"/>
    <n v="0"/>
    <n v="700"/>
  </r>
  <r>
    <x v="0"/>
    <x v="0"/>
    <s v="NAAFIE3315"/>
    <n v="1"/>
    <s v=""/>
    <n v="0"/>
    <s v="NAAFIE3315BK"/>
    <n v="1"/>
    <s v=""/>
    <n v="0"/>
    <s v="E3"/>
    <s v="모자"/>
    <s v="NAA"/>
    <s v="FI"/>
    <x v="23"/>
    <s v="NAAFIE3315"/>
    <x v="619"/>
    <x v="0"/>
    <n v="700"/>
    <n v="34300000"/>
    <n v="5012700.0000000009"/>
    <n v="6.2205634053141363"/>
    <n v="0"/>
    <n v="700"/>
  </r>
  <r>
    <x v="0"/>
    <x v="0"/>
    <s v="NAAFIE3316"/>
    <n v="1"/>
    <s v=""/>
    <n v="0"/>
    <s v="NAAFIE3316NY"/>
    <n v="1"/>
    <s v=""/>
    <n v="0"/>
    <s v="E3"/>
    <s v="모자"/>
    <s v="NAA"/>
    <s v="FI"/>
    <x v="23"/>
    <s v="NAAFIE3316"/>
    <x v="620"/>
    <x v="0"/>
    <n v="700"/>
    <n v="34300000"/>
    <n v="4972275.0000000009"/>
    <n v="6.2711370915362021"/>
    <n v="0"/>
    <n v="700"/>
  </r>
  <r>
    <x v="0"/>
    <x v="0"/>
    <s v="NAAFIE3317"/>
    <n v="1"/>
    <s v=""/>
    <n v="0"/>
    <s v="NAAFIE3317GR"/>
    <n v="1"/>
    <s v=""/>
    <n v="0"/>
    <s v="E3"/>
    <s v="모자"/>
    <s v="NAA"/>
    <s v="FI"/>
    <x v="23"/>
    <s v="NAAFIE3317"/>
    <x v="621"/>
    <x v="0"/>
    <n v="700"/>
    <n v="34300000"/>
    <n v="4851000.0000000009"/>
    <n v="6.4279155188246078"/>
    <n v="0"/>
    <n v="700"/>
  </r>
  <r>
    <x v="0"/>
    <x v="0"/>
    <s v="NAAFIE3318"/>
    <n v="1"/>
    <s v=""/>
    <n v="0"/>
    <s v="NAAFIE3318GY"/>
    <n v="1"/>
    <s v=""/>
    <n v="0"/>
    <s v="E3"/>
    <s v="모자"/>
    <s v="NAA"/>
    <s v="FI"/>
    <x v="23"/>
    <s v="NAAFIE3318"/>
    <x v="622"/>
    <x v="0"/>
    <n v="700"/>
    <n v="34300000"/>
    <n v="4972275.0000000009"/>
    <n v="6.2711370915362021"/>
    <n v="0"/>
    <n v="700"/>
  </r>
  <r>
    <x v="0"/>
    <x v="0"/>
    <s v="GOOFAE3301"/>
    <n v="0.5"/>
    <s v=""/>
    <n v="0"/>
    <s v="GOOFAE3301BK"/>
    <n v="1"/>
    <s v=""/>
    <n v="0"/>
    <s v="E3"/>
    <s v="모자"/>
    <s v="GOO"/>
    <s v="FA"/>
    <x v="24"/>
    <s v="GOOFAE3301"/>
    <x v="623"/>
    <x v="1"/>
    <n v="96"/>
    <n v="6624000"/>
    <n v="1672727.2727272725"/>
    <n v="3.6000000000000005"/>
    <n v="0"/>
    <n v="96"/>
  </r>
  <r>
    <x v="0"/>
    <x v="0"/>
    <s v="GOOFAE3301"/>
    <n v="0.5"/>
    <s v=""/>
    <n v="0"/>
    <s v="GOOFAE3301BU"/>
    <n v="1"/>
    <s v=""/>
    <n v="0"/>
    <s v="E3"/>
    <s v="모자"/>
    <s v="GOO"/>
    <s v="FA"/>
    <x v="24"/>
    <s v="GOOFAE3301"/>
    <x v="624"/>
    <x v="1"/>
    <n v="72"/>
    <n v="4968000"/>
    <n v="1254545.4545454541"/>
    <n v="3.6000000000000014"/>
    <n v="0"/>
    <n v="72"/>
  </r>
  <r>
    <x v="0"/>
    <x v="0"/>
    <s v="GOOFEE3302"/>
    <n v="1"/>
    <s v=""/>
    <n v="0"/>
    <s v="GOOFEE3302BK"/>
    <n v="1"/>
    <s v=""/>
    <n v="0"/>
    <s v="E3"/>
    <s v="모자"/>
    <s v="GOO"/>
    <s v="FE"/>
    <x v="24"/>
    <s v="GOOFEE3302"/>
    <x v="625"/>
    <x v="1"/>
    <n v="144"/>
    <n v="9360000"/>
    <n v="2363636.3636363633"/>
    <n v="3.6"/>
    <n v="0"/>
    <n v="144"/>
  </r>
  <r>
    <x v="0"/>
    <x v="0"/>
    <s v="GOOFEE3303"/>
    <n v="1"/>
    <s v=""/>
    <n v="0"/>
    <s v="GOOFEE3303BK"/>
    <n v="1"/>
    <s v=""/>
    <n v="0"/>
    <s v="E3"/>
    <s v="모자"/>
    <s v="GOO"/>
    <s v="FE"/>
    <x v="24"/>
    <s v="GOOFEE3303"/>
    <x v="626"/>
    <x v="1"/>
    <n v="144"/>
    <n v="9360000"/>
    <n v="2363636.3636363633"/>
    <n v="3.6"/>
    <n v="0"/>
    <n v="144"/>
  </r>
  <r>
    <x v="0"/>
    <x v="0"/>
    <s v="GOOFAE3304"/>
    <n v="0.5"/>
    <s v=""/>
    <n v="0"/>
    <s v="GOOFAE3304BK"/>
    <n v="1"/>
    <s v=""/>
    <n v="0"/>
    <s v="E3"/>
    <s v="모자"/>
    <s v="GOO"/>
    <s v="FA"/>
    <x v="24"/>
    <s v="GOOFAE3304"/>
    <x v="627"/>
    <x v="1"/>
    <n v="144"/>
    <n v="7920000"/>
    <n v="1999999.9999999998"/>
    <n v="3.6"/>
    <n v="0"/>
    <n v="144"/>
  </r>
  <r>
    <x v="0"/>
    <x v="0"/>
    <s v="GOOFAE3304"/>
    <n v="0.5"/>
    <s v=""/>
    <n v="0"/>
    <s v="GOOFAE3304CL"/>
    <n v="1"/>
    <s v=""/>
    <n v="0"/>
    <s v="E3"/>
    <s v="모자"/>
    <s v="GOO"/>
    <s v="FA"/>
    <x v="24"/>
    <s v="GOOFAE3304"/>
    <x v="628"/>
    <x v="1"/>
    <n v="144"/>
    <n v="7920000"/>
    <n v="1999999.9999999998"/>
    <n v="3.6"/>
    <n v="0"/>
    <n v="144"/>
  </r>
  <r>
    <x v="0"/>
    <x v="0"/>
    <s v="GOOMIE3305"/>
    <n v="0.33333333333333331"/>
    <s v=""/>
    <n v="0"/>
    <s v="GOOMIE3305BK"/>
    <n v="1"/>
    <s v=""/>
    <n v="0"/>
    <s v="E3"/>
    <s v="모자"/>
    <s v="GOO"/>
    <s v="MI"/>
    <x v="24"/>
    <s v="GOOMIE3305"/>
    <x v="629"/>
    <x v="1"/>
    <n v="360"/>
    <n v="19800000"/>
    <n v="4999999.9999999991"/>
    <n v="3.6000000000000005"/>
    <n v="0"/>
    <n v="360"/>
  </r>
  <r>
    <x v="0"/>
    <x v="0"/>
    <s v="GOOMIE3305"/>
    <n v="0.33333333333333331"/>
    <s v=""/>
    <n v="0"/>
    <s v="GOOMIE3305GY"/>
    <n v="1"/>
    <s v=""/>
    <n v="0"/>
    <s v="E3"/>
    <s v="모자"/>
    <s v="GOO"/>
    <s v="MI"/>
    <x v="24"/>
    <s v="GOOMIE3305"/>
    <x v="630"/>
    <x v="1"/>
    <n v="240"/>
    <n v="13200000"/>
    <n v="3333333.333333333"/>
    <n v="3.6"/>
    <n v="0"/>
    <n v="240"/>
  </r>
  <r>
    <x v="0"/>
    <x v="0"/>
    <s v="GOOMIE3305"/>
    <n v="0.33333333333333331"/>
    <s v=""/>
    <n v="0"/>
    <s v="GOOMIE3305KH"/>
    <n v="1"/>
    <s v=""/>
    <n v="0"/>
    <s v="E3"/>
    <s v="모자"/>
    <s v="GOO"/>
    <s v="MI"/>
    <x v="24"/>
    <s v="GOOMIE3305"/>
    <x v="631"/>
    <x v="1"/>
    <n v="240"/>
    <n v="13200000"/>
    <n v="3333333.333333333"/>
    <n v="3.6"/>
    <n v="0"/>
    <n v="240"/>
  </r>
  <r>
    <x v="0"/>
    <x v="0"/>
    <s v="GOOMIE3306"/>
    <n v="1"/>
    <s v=""/>
    <n v="0"/>
    <s v="GOOMIE3306BK"/>
    <n v="1"/>
    <s v=""/>
    <n v="0"/>
    <s v="E3"/>
    <s v="모자"/>
    <s v="GOO"/>
    <s v="MI"/>
    <x v="24"/>
    <s v="GOOMIE3306"/>
    <x v="632"/>
    <x v="1"/>
    <n v="240"/>
    <n v="14160000"/>
    <n v="3575757.5757575752"/>
    <n v="3.6"/>
    <n v="0"/>
    <n v="240"/>
  </r>
  <r>
    <x v="0"/>
    <x v="0"/>
    <s v="GOOFEE5307"/>
    <n v="1"/>
    <s v=""/>
    <n v="0"/>
    <s v="GOOFEE5307BK"/>
    <n v="1"/>
    <s v=""/>
    <n v="0"/>
    <s v="E5"/>
    <s v="모자"/>
    <s v="GOO"/>
    <s v="FE"/>
    <x v="24"/>
    <s v="GOOFEE5307"/>
    <x v="633"/>
    <x v="1"/>
    <n v="144"/>
    <n v="9360000"/>
    <n v="2363636.3636363633"/>
    <n v="3.6"/>
    <n v="0"/>
    <n v="144"/>
  </r>
  <r>
    <x v="0"/>
    <x v="0"/>
    <s v="GOOMIE5308"/>
    <n v="1"/>
    <s v=""/>
    <n v="0"/>
    <s v="GOOMIE5308GY"/>
    <n v="1"/>
    <s v=""/>
    <n v="0"/>
    <s v="E5"/>
    <s v="모자"/>
    <s v="GOO"/>
    <s v="MI"/>
    <x v="24"/>
    <s v="GOOMIE5308"/>
    <x v="634"/>
    <x v="1"/>
    <n v="240"/>
    <n v="14160000"/>
    <n v="3575757.5757575752"/>
    <n v="3.6"/>
    <n v="0"/>
    <n v="240"/>
  </r>
  <r>
    <x v="0"/>
    <x v="0"/>
    <s v="GOOMIE5309"/>
    <n v="0.5"/>
    <s v=""/>
    <n v="0"/>
    <s v="GOOMIE5309BK"/>
    <n v="1"/>
    <s v=""/>
    <n v="0"/>
    <s v="E5"/>
    <s v="모자"/>
    <s v="GOO"/>
    <s v="MI"/>
    <x v="24"/>
    <s v="GOOMIE5309"/>
    <x v="635"/>
    <x v="1"/>
    <n v="360"/>
    <n v="19800000"/>
    <n v="4999999.9999999991"/>
    <n v="3.6000000000000005"/>
    <n v="0"/>
    <n v="360"/>
  </r>
  <r>
    <x v="0"/>
    <x v="0"/>
    <s v="GOOMIE5309"/>
    <n v="0.5"/>
    <s v=""/>
    <n v="0"/>
    <s v="GOOMIE5309BW"/>
    <n v="1"/>
    <s v=""/>
    <n v="0"/>
    <s v="E5"/>
    <s v="모자"/>
    <s v="GOO"/>
    <s v="MI"/>
    <x v="24"/>
    <s v="GOOMIE5309"/>
    <x v="636"/>
    <x v="1"/>
    <n v="360"/>
    <n v="19800000"/>
    <n v="4999999.9999999991"/>
    <n v="3.6000000000000005"/>
    <n v="0"/>
    <n v="360"/>
  </r>
  <r>
    <x v="1"/>
    <x v="0"/>
    <s v="GOOMIE3043"/>
    <n v="0.25"/>
    <s v=""/>
    <n v="0"/>
    <s v="GOOMIE3043BK"/>
    <n v="1"/>
    <s v=""/>
    <n v="0"/>
    <s v="E3"/>
    <s v="모자"/>
    <s v="GOO"/>
    <s v="MI"/>
    <x v="24"/>
    <s v="GOOMIE3043"/>
    <x v="637"/>
    <x v="1"/>
    <n v="360"/>
    <n v="17640000"/>
    <n v="4454545.4545454541"/>
    <n v="3.6"/>
    <n v="0"/>
    <n v="360"/>
  </r>
  <r>
    <x v="1"/>
    <x v="0"/>
    <s v="GOOMIE3043"/>
    <n v="0.25"/>
    <s v=""/>
    <n v="0"/>
    <s v="GOOMIE3043NY"/>
    <n v="1"/>
    <s v=""/>
    <n v="0"/>
    <s v="E3"/>
    <s v="모자"/>
    <s v="GOO"/>
    <s v="MI"/>
    <x v="24"/>
    <s v="GOOMIE3043"/>
    <x v="638"/>
    <x v="1"/>
    <n v="360"/>
    <n v="17640000"/>
    <n v="4454545.4545454541"/>
    <n v="3.6"/>
    <n v="0"/>
    <n v="360"/>
  </r>
  <r>
    <x v="1"/>
    <x v="0"/>
    <s v="GOOMIE3043"/>
    <n v="0.25"/>
    <s v=""/>
    <n v="0"/>
    <s v="GOOMIE3043KH"/>
    <n v="1"/>
    <s v=""/>
    <n v="0"/>
    <s v="E3"/>
    <s v="모자"/>
    <s v="GOO"/>
    <s v="MI"/>
    <x v="24"/>
    <s v="GOOMIE3043"/>
    <x v="639"/>
    <x v="1"/>
    <n v="360"/>
    <n v="17640000"/>
    <n v="4454545.4545454541"/>
    <n v="3.6"/>
    <n v="0"/>
    <n v="360"/>
  </r>
  <r>
    <x v="1"/>
    <x v="0"/>
    <s v="GOOMIE3043"/>
    <n v="0.25"/>
    <s v=""/>
    <n v="0"/>
    <s v="GOOMIE3043GY"/>
    <n v="1"/>
    <s v=""/>
    <n v="0"/>
    <s v="E3"/>
    <s v="모자"/>
    <s v="GOO"/>
    <s v="MI"/>
    <x v="24"/>
    <s v="GOOMIE3043"/>
    <x v="640"/>
    <x v="1"/>
    <n v="240"/>
    <n v="11760000"/>
    <n v="2969696.9696969697"/>
    <n v="3.5999999999999996"/>
    <n v="0"/>
    <n v="240"/>
  </r>
  <r>
    <x v="0"/>
    <x v="0"/>
    <s v="JILBEE5361"/>
    <n v="0.33333333333333331"/>
    <s v=""/>
    <n v="0"/>
    <s v="JILBEE5361YE"/>
    <n v="1"/>
    <s v=""/>
    <n v="0"/>
    <s v="E5"/>
    <s v="모자"/>
    <s v="JIL"/>
    <s v="BE"/>
    <x v="4"/>
    <s v="JILBEE5361"/>
    <x v="641"/>
    <x v="0"/>
    <n v="700"/>
    <n v="27300000"/>
    <n v="3388448"/>
    <n v="7.3243507995937422"/>
    <n v="0"/>
    <n v="700"/>
  </r>
  <r>
    <x v="0"/>
    <x v="0"/>
    <s v="JILBEE5361"/>
    <n v="0.33333333333333331"/>
    <s v=""/>
    <n v="0"/>
    <s v="JILBEE5361PK"/>
    <n v="1"/>
    <s v=""/>
    <n v="0"/>
    <s v="E5"/>
    <s v="모자"/>
    <s v="JIL"/>
    <s v="BE"/>
    <x v="4"/>
    <s v="JILBEE5361"/>
    <x v="642"/>
    <x v="0"/>
    <n v="700"/>
    <n v="27300000"/>
    <n v="3388448"/>
    <n v="7.3243507995937422"/>
    <n v="0"/>
    <n v="700"/>
  </r>
  <r>
    <x v="0"/>
    <x v="0"/>
    <s v="JILBEE5361"/>
    <n v="0.33333333333333331"/>
    <s v=""/>
    <n v="0"/>
    <s v="JILBEE5361BW"/>
    <n v="1"/>
    <s v=""/>
    <n v="0"/>
    <s v="E5"/>
    <s v="모자"/>
    <s v="JIL"/>
    <s v="BE"/>
    <x v="4"/>
    <s v="JILBEE5361"/>
    <x v="643"/>
    <x v="0"/>
    <n v="700"/>
    <n v="27300000"/>
    <n v="3388448"/>
    <n v="7.3243507995937422"/>
    <n v="0"/>
    <n v="700"/>
  </r>
  <r>
    <x v="0"/>
    <x v="0"/>
    <s v="JILWAE5362"/>
    <n v="1"/>
    <s v=""/>
    <n v="0"/>
    <s v="JILWAE5362MT"/>
    <n v="1"/>
    <s v=""/>
    <n v="0"/>
    <s v="E5"/>
    <s v="ACC"/>
    <s v="JIL"/>
    <s v="WA"/>
    <x v="5"/>
    <s v="JILWAE5362"/>
    <x v="644"/>
    <x v="0"/>
    <n v="400"/>
    <n v="26000000"/>
    <n v="5135808"/>
    <n v="4.6022677709843576"/>
    <n v="0"/>
    <n v="400"/>
  </r>
  <r>
    <x v="0"/>
    <x v="0"/>
    <s v="JILWAE5363"/>
    <n v="1"/>
    <s v=""/>
    <n v="0"/>
    <s v="JILWAE5363BK"/>
    <n v="1"/>
    <s v=""/>
    <n v="0"/>
    <s v="E5"/>
    <s v="ACC"/>
    <s v="JIL"/>
    <s v="WA"/>
    <x v="5"/>
    <s v="JILWAE5363"/>
    <x v="645"/>
    <x v="0"/>
    <n v="400"/>
    <n v="26000000"/>
    <n v="5135808"/>
    <n v="4.6022677709843576"/>
    <n v="0"/>
    <n v="400"/>
  </r>
  <r>
    <x v="0"/>
    <x v="0"/>
    <s v="JILCME5364"/>
    <n v="0.5"/>
    <s v=""/>
    <n v="0"/>
    <s v="JILCME5364PK"/>
    <n v="1"/>
    <s v=""/>
    <n v="0"/>
    <s v="E5"/>
    <s v="모자"/>
    <s v="JIL"/>
    <s v="CM"/>
    <x v="4"/>
    <s v="JILCME5364"/>
    <x v="646"/>
    <x v="0"/>
    <n v="700"/>
    <n v="31500000"/>
    <n v="4434827.6000000015"/>
    <n v="6.4571537428791199"/>
    <n v="0"/>
    <n v="700"/>
  </r>
  <r>
    <x v="0"/>
    <x v="0"/>
    <s v="JILCME5364"/>
    <n v="0.5"/>
    <s v=""/>
    <n v="0"/>
    <s v="JILCME5364BK"/>
    <n v="1"/>
    <s v=""/>
    <n v="0"/>
    <s v="E5"/>
    <s v="모자"/>
    <s v="JIL"/>
    <s v="CM"/>
    <x v="4"/>
    <s v="JILCME5364"/>
    <x v="647"/>
    <x v="0"/>
    <n v="700"/>
    <n v="31500000"/>
    <n v="4434827.6000000015"/>
    <n v="6.4571537428791199"/>
    <n v="0"/>
    <n v="700"/>
  </r>
  <r>
    <x v="0"/>
    <x v="0"/>
    <s v="JILEBE5365"/>
    <n v="1"/>
    <s v=""/>
    <n v="0"/>
    <s v="JILEBE5365IV"/>
    <n v="1"/>
    <s v=""/>
    <n v="0"/>
    <s v="E5"/>
    <s v="모자"/>
    <s v="JIL"/>
    <s v="EB"/>
    <x v="4"/>
    <s v="JILEBE5365"/>
    <x v="648"/>
    <x v="0"/>
    <n v="700"/>
    <n v="31500000"/>
    <n v="3006021.2000000007"/>
    <n v="9.5263345569098554"/>
    <n v="0"/>
    <n v="700"/>
  </r>
  <r>
    <x v="0"/>
    <x v="0"/>
    <s v="JOIEDE5313"/>
    <n v="1"/>
    <s v=""/>
    <n v="0"/>
    <s v="JOIEDE5313MT"/>
    <n v="1"/>
    <s v=""/>
    <n v="0"/>
    <s v="E5"/>
    <s v="ACC"/>
    <s v="JOI"/>
    <s v="ED"/>
    <x v="20"/>
    <s v="JOIEDE5313"/>
    <x v="649"/>
    <x v="0"/>
    <n v="500"/>
    <n v="22500000"/>
    <n v="3970495"/>
    <n v="5.1516361195632925"/>
    <n v="0"/>
    <n v="500"/>
  </r>
  <r>
    <x v="0"/>
    <x v="0"/>
    <s v="JOIMUE5814"/>
    <n v="1"/>
    <s v=""/>
    <n v="0"/>
    <s v="JOIMUE5814KH"/>
    <n v="1"/>
    <s v=""/>
    <n v="0"/>
    <s v="E5"/>
    <s v="ACC"/>
    <s v="JOI"/>
    <s v="MU"/>
    <x v="20"/>
    <s v="JOIMUE5814"/>
    <x v="650"/>
    <x v="0"/>
    <n v="300"/>
    <n v="14700000"/>
    <n v="2384913.0000000005"/>
    <n v="5.6034062305989192"/>
    <n v="0"/>
    <n v="300"/>
  </r>
  <r>
    <x v="1"/>
    <x v="0"/>
    <s v="FFTFIE3213"/>
    <n v="1"/>
    <s v=""/>
    <n v="0"/>
    <s v="FFTFIE3213BK"/>
    <n v="1"/>
    <s v=""/>
    <n v="0"/>
    <s v="E3"/>
    <s v="모자"/>
    <s v="FFT"/>
    <s v="FI"/>
    <x v="25"/>
    <s v="FFTFIE3213"/>
    <x v="651"/>
    <x v="1"/>
    <n v="70"/>
    <n v="3430000"/>
    <n v="1403181.8181818181"/>
    <n v="2.2222222222222223"/>
    <n v="70"/>
    <n v="0"/>
  </r>
  <r>
    <x v="0"/>
    <x v="0"/>
    <s v="FFTFIE3313"/>
    <n v="1"/>
    <s v=""/>
    <n v="0"/>
    <s v="FFTFIE3313WH"/>
    <n v="1"/>
    <s v=""/>
    <n v="0"/>
    <s v="E3"/>
    <s v="모자"/>
    <s v="FFT"/>
    <s v="FI"/>
    <x v="25"/>
    <s v="FFTFIE3313"/>
    <x v="652"/>
    <x v="1"/>
    <n v="20"/>
    <n v="980000"/>
    <n v="400909.09090909088"/>
    <n v="2.2222222222222223"/>
    <n v="20"/>
    <n v="0"/>
  </r>
  <r>
    <x v="1"/>
    <x v="0"/>
    <s v="FFTFIE3208"/>
    <n v="0.33333333333333331"/>
    <s v=""/>
    <n v="0"/>
    <s v="FFTFIE3208WH"/>
    <n v="1"/>
    <s v=""/>
    <n v="0"/>
    <s v="E3"/>
    <s v="모자"/>
    <s v="FFT"/>
    <s v="FI"/>
    <x v="25"/>
    <s v="FFTFIE3208"/>
    <x v="653"/>
    <x v="1"/>
    <n v="50"/>
    <n v="2450000"/>
    <n v="1002272.7272727272"/>
    <n v="2.2222222222222223"/>
    <n v="50"/>
    <n v="0"/>
  </r>
  <r>
    <x v="1"/>
    <x v="0"/>
    <s v="FFTFIE3208"/>
    <n v="0.33333333333333331"/>
    <s v=""/>
    <n v="0"/>
    <s v="FFTFIE3208BK"/>
    <n v="1"/>
    <s v=""/>
    <n v="0"/>
    <s v="E3"/>
    <s v="모자"/>
    <s v="FFT"/>
    <s v="FI"/>
    <x v="25"/>
    <s v="FFTFIE3208"/>
    <x v="654"/>
    <x v="1"/>
    <n v="35"/>
    <n v="1715000"/>
    <n v="701590.90909090906"/>
    <n v="2.2222222222222223"/>
    <n v="35"/>
    <n v="0"/>
  </r>
  <r>
    <x v="1"/>
    <x v="0"/>
    <s v="FFTFIE3208"/>
    <n v="0.33333333333333331"/>
    <s v=""/>
    <n v="0"/>
    <s v="FFTFIE3208KH"/>
    <n v="1"/>
    <s v=""/>
    <n v="0"/>
    <s v="E3"/>
    <s v="모자"/>
    <s v="FFT"/>
    <s v="FI"/>
    <x v="25"/>
    <s v="FFTFIE3208"/>
    <x v="655"/>
    <x v="1"/>
    <n v="37"/>
    <n v="1813000"/>
    <n v="741681.81818181812"/>
    <n v="2.2222222222222223"/>
    <n v="37"/>
    <n v="0"/>
  </r>
  <r>
    <x v="1"/>
    <x v="0"/>
    <s v="FFTFIE3209"/>
    <n v="0.5"/>
    <s v=""/>
    <n v="0"/>
    <s v="FFTFIE3209WH"/>
    <n v="1"/>
    <s v=""/>
    <n v="0"/>
    <s v="E3"/>
    <s v="모자"/>
    <s v="FFT"/>
    <s v="FI"/>
    <x v="25"/>
    <s v="FFTFIE3209"/>
    <x v="656"/>
    <x v="1"/>
    <n v="10"/>
    <n v="490000"/>
    <n v="200454.54545454544"/>
    <n v="2.2222222222222223"/>
    <n v="10"/>
    <n v="0"/>
  </r>
  <r>
    <x v="1"/>
    <x v="0"/>
    <s v="FFTFIE3209"/>
    <n v="0.5"/>
    <s v=""/>
    <n v="0"/>
    <s v="FFTFIE3209BK"/>
    <n v="1"/>
    <s v=""/>
    <n v="0"/>
    <s v="E3"/>
    <s v="모자"/>
    <s v="FFT"/>
    <s v="FI"/>
    <x v="25"/>
    <s v="FFTFIE3209"/>
    <x v="657"/>
    <x v="1"/>
    <n v="62"/>
    <n v="3038000"/>
    <n v="1242818.1818181816"/>
    <n v="2.2222222222222223"/>
    <n v="62"/>
    <n v="0"/>
  </r>
  <r>
    <x v="1"/>
    <x v="0"/>
    <s v="FFTFIE3211"/>
    <n v="1"/>
    <s v=""/>
    <n v="0"/>
    <s v="FFTFIE3211RE"/>
    <n v="1"/>
    <s v=""/>
    <n v="0"/>
    <s v="E3"/>
    <s v="모자"/>
    <s v="FFT"/>
    <s v="FI"/>
    <x v="25"/>
    <s v="FFTFIE3211"/>
    <x v="658"/>
    <x v="1"/>
    <n v="13"/>
    <n v="637000"/>
    <n v="260590.90909090906"/>
    <n v="2.2222222222222223"/>
    <n v="13"/>
    <n v="0"/>
  </r>
  <r>
    <x v="0"/>
    <x v="0"/>
    <s v="FFTFIE3311"/>
    <n v="1"/>
    <s v=""/>
    <n v="0"/>
    <s v="FFTFIE3311BL"/>
    <n v="1"/>
    <s v=""/>
    <n v="0"/>
    <s v="E3"/>
    <s v="모자"/>
    <s v="FFT"/>
    <s v="FI"/>
    <x v="25"/>
    <s v="FFTFIE3311"/>
    <x v="659"/>
    <x v="1"/>
    <n v="10"/>
    <n v="490000"/>
    <n v="200454.54545454544"/>
    <n v="2.2222222222222223"/>
    <n v="10"/>
    <n v="0"/>
  </r>
  <r>
    <x v="0"/>
    <x v="0"/>
    <s v="FFTFIE3301"/>
    <n v="1"/>
    <s v=""/>
    <n v="0"/>
    <s v="FFTFIE3301BK"/>
    <n v="1"/>
    <s v=""/>
    <n v="0"/>
    <s v="E3"/>
    <s v="모자"/>
    <s v="FFT"/>
    <s v="FI"/>
    <x v="25"/>
    <s v="FFTFIE3301"/>
    <x v="660"/>
    <x v="1"/>
    <n v="14"/>
    <n v="686000"/>
    <n v="280636.36363636365"/>
    <n v="2.2222222222222219"/>
    <n v="14"/>
    <n v="0"/>
  </r>
  <r>
    <x v="1"/>
    <x v="0"/>
    <s v="FFTFIE3235"/>
    <n v="1"/>
    <s v=""/>
    <n v="0"/>
    <s v="FFTFIE3235NY"/>
    <n v="1"/>
    <s v=""/>
    <n v="0"/>
    <s v="E3"/>
    <s v="모자"/>
    <s v="FFT"/>
    <s v="FI"/>
    <x v="25"/>
    <s v="FFTFIE3235"/>
    <x v="661"/>
    <x v="1"/>
    <n v="70"/>
    <n v="3430000"/>
    <n v="1403181.8181818181"/>
    <n v="2.2222222222222223"/>
    <n v="70"/>
    <n v="0"/>
  </r>
  <r>
    <x v="1"/>
    <x v="0"/>
    <s v="FFTFIE3234"/>
    <n v="1"/>
    <s v=""/>
    <n v="0"/>
    <s v="FFTFIE3234RE"/>
    <n v="1"/>
    <s v=""/>
    <n v="0"/>
    <s v="E3"/>
    <s v="모자"/>
    <s v="FFT"/>
    <s v="FI"/>
    <x v="25"/>
    <s v="FFTFIE3234"/>
    <x v="662"/>
    <x v="1"/>
    <n v="50"/>
    <n v="2450000"/>
    <n v="1002272.7272727272"/>
    <n v="2.2222222222222223"/>
    <n v="50"/>
    <n v="0"/>
  </r>
  <r>
    <x v="1"/>
    <x v="0"/>
    <s v="FFTFIE3243"/>
    <n v="1"/>
    <s v=""/>
    <n v="0"/>
    <s v="FFTFIE3243BK"/>
    <n v="1"/>
    <s v=""/>
    <n v="0"/>
    <s v="E3"/>
    <s v="모자"/>
    <s v="FFT"/>
    <s v="FI"/>
    <x v="25"/>
    <s v="FFTFIE3243"/>
    <x v="663"/>
    <x v="1"/>
    <n v="50"/>
    <n v="2950000"/>
    <n v="1206818.1818181819"/>
    <n v="2.2222222222222219"/>
    <n v="50"/>
    <n v="0"/>
  </r>
  <r>
    <x v="0"/>
    <x v="0"/>
    <s v="FFTFIE3302"/>
    <n v="1"/>
    <s v=""/>
    <n v="0"/>
    <s v="FFTFIE3302BK"/>
    <n v="1"/>
    <s v=""/>
    <n v="0"/>
    <s v="E3"/>
    <s v="모자"/>
    <s v="FFT"/>
    <s v="FI"/>
    <x v="25"/>
    <s v="FFTFIE3302"/>
    <x v="664"/>
    <x v="1"/>
    <n v="12"/>
    <n v="588000"/>
    <n v="240545.45454545453"/>
    <n v="2.2222222222222223"/>
    <n v="12"/>
    <n v="0"/>
  </r>
  <r>
    <x v="0"/>
    <x v="0"/>
    <s v="ELSBEE5336"/>
    <n v="1"/>
    <s v=""/>
    <n v="0"/>
    <s v="ELSBEE5336BK"/>
    <n v="1"/>
    <s v=""/>
    <n v="0"/>
    <s v="E5"/>
    <s v="모자"/>
    <s v="ELS"/>
    <s v="BE"/>
    <x v="3"/>
    <s v="ELSBEE5336"/>
    <x v="665"/>
    <x v="0"/>
    <n v="700"/>
    <n v="27300000"/>
    <n v="3332084"/>
    <n v="7.4482461481108571"/>
    <n v="0"/>
    <n v="700"/>
  </r>
  <r>
    <x v="0"/>
    <x v="0"/>
    <s v="ELSBEE5337"/>
    <n v="1"/>
    <s v=""/>
    <n v="0"/>
    <s v="ELSBEE5337BL"/>
    <n v="1"/>
    <s v=""/>
    <n v="0"/>
    <s v="E5"/>
    <s v="모자"/>
    <s v="ELS"/>
    <s v="BE"/>
    <x v="3"/>
    <s v="ELSBEE5337"/>
    <x v="666"/>
    <x v="0"/>
    <n v="700"/>
    <n v="27300000"/>
    <n v="3332084"/>
    <n v="7.4482461481108571"/>
    <n v="0"/>
    <n v="700"/>
  </r>
  <r>
    <x v="0"/>
    <x v="0"/>
    <s v="PLAUME3303"/>
    <n v="1"/>
    <s v=""/>
    <n v="0"/>
    <s v="PLAUME3303BK"/>
    <n v="1"/>
    <s v=""/>
    <n v="0"/>
    <s v="E3"/>
    <s v="모자"/>
    <s v="PLA"/>
    <s v="UM"/>
    <x v="16"/>
    <s v="PLAUME3303"/>
    <x v="667"/>
    <x v="0"/>
    <n v="1000"/>
    <n v="59000000"/>
    <n v="7733880.0000000009"/>
    <n v="6.93524642693753"/>
    <n v="0"/>
    <n v="1000"/>
  </r>
  <r>
    <x v="0"/>
    <x v="0"/>
    <s v="PLAUME3304"/>
    <n v="1"/>
    <s v=""/>
    <n v="0"/>
    <s v="PLAUME3304OR"/>
    <n v="1"/>
    <s v=""/>
    <n v="0"/>
    <s v="E3"/>
    <s v="모자"/>
    <s v="PLA"/>
    <s v="UM"/>
    <x v="16"/>
    <s v="PLAUME3304"/>
    <x v="668"/>
    <x v="0"/>
    <n v="500"/>
    <n v="29500000"/>
    <n v="3866940.0000000005"/>
    <n v="6.93524642693753"/>
    <n v="0"/>
    <n v="500"/>
  </r>
  <r>
    <x v="0"/>
    <x v="0"/>
    <s v="PLAUME3305"/>
    <n v="1"/>
    <s v=""/>
    <n v="0"/>
    <s v="PLAUME3305BW"/>
    <n v="1"/>
    <s v=""/>
    <n v="0"/>
    <s v="E3"/>
    <s v="모자"/>
    <s v="PLA"/>
    <s v="UM"/>
    <x v="16"/>
    <s v="PLAUME3305"/>
    <x v="669"/>
    <x v="0"/>
    <n v="1000"/>
    <n v="59000000"/>
    <n v="7733880.0000000009"/>
    <n v="6.93524642693753"/>
    <n v="0"/>
    <n v="1000"/>
  </r>
  <r>
    <x v="0"/>
    <x v="0"/>
    <s v="PLAUME3306"/>
    <n v="0.5"/>
    <s v=""/>
    <n v="0"/>
    <s v="PLAUME3306WH"/>
    <n v="1"/>
    <s v=""/>
    <n v="0"/>
    <s v="E3"/>
    <s v="모자"/>
    <s v="PLA"/>
    <s v="UM"/>
    <x v="16"/>
    <s v="PLAUME3306"/>
    <x v="670"/>
    <x v="0"/>
    <n v="500"/>
    <n v="29500000"/>
    <n v="3866940.0000000005"/>
    <n v="6.93524642693753"/>
    <n v="0"/>
    <n v="500"/>
  </r>
  <r>
    <x v="0"/>
    <x v="0"/>
    <s v="PLAUME3306"/>
    <n v="0.5"/>
    <s v=""/>
    <n v="0"/>
    <s v="PLAUME3306BK"/>
    <n v="1"/>
    <s v=""/>
    <n v="0"/>
    <s v="E3"/>
    <s v="모자"/>
    <s v="PLA"/>
    <s v="UM"/>
    <x v="16"/>
    <s v="PLAUME3306"/>
    <x v="671"/>
    <x v="0"/>
    <n v="700"/>
    <n v="41300000"/>
    <n v="5413716.0000000009"/>
    <n v="6.93524642693753"/>
    <n v="0"/>
    <n v="700"/>
  </r>
  <r>
    <x v="0"/>
    <x v="0"/>
    <s v="ELSJPE4328"/>
    <n v="0.25"/>
    <s v=""/>
    <n v="0"/>
    <s v="ELSJPE4328PK"/>
    <n v="1"/>
    <s v=""/>
    <n v="0"/>
    <s v="E4"/>
    <s v="의류"/>
    <s v="ELS"/>
    <s v="JP"/>
    <x v="14"/>
    <s v="ELSJPE4328"/>
    <x v="672"/>
    <x v="0"/>
    <n v="1000"/>
    <n v="99000000"/>
    <n v="24000000"/>
    <n v="3.7499999999999996"/>
    <n v="0"/>
    <n v="1000"/>
  </r>
  <r>
    <x v="0"/>
    <x v="0"/>
    <s v="ELSPTE4329"/>
    <n v="0.25"/>
    <s v=""/>
    <n v="0"/>
    <s v="ELSPTE4329PK"/>
    <n v="1"/>
    <s v=""/>
    <n v="0"/>
    <s v="E4"/>
    <s v="의류"/>
    <s v="ELS"/>
    <s v="PT"/>
    <x v="14"/>
    <s v="ELSPTE4329"/>
    <x v="673"/>
    <x v="0"/>
    <n v="800"/>
    <n v="55200000"/>
    <n v="12480000"/>
    <n v="4.0209790209790208"/>
    <n v="0"/>
    <n v="800"/>
  </r>
  <r>
    <x v="0"/>
    <x v="0"/>
    <s v="ELSJPE4328"/>
    <n v="0.25"/>
    <s v=""/>
    <n v="0"/>
    <s v="ELSJPE4328BL"/>
    <n v="1"/>
    <s v=""/>
    <n v="0"/>
    <s v="E4"/>
    <s v="의류"/>
    <s v="ELS"/>
    <s v="JP"/>
    <x v="14"/>
    <s v="ELSJPE4328"/>
    <x v="674"/>
    <x v="0"/>
    <n v="1500"/>
    <n v="148500000"/>
    <n v="36000000"/>
    <n v="3.75"/>
    <n v="0"/>
    <n v="1500"/>
  </r>
  <r>
    <x v="0"/>
    <x v="0"/>
    <s v="ELSPTE4329"/>
    <n v="0.25"/>
    <s v=""/>
    <n v="0"/>
    <s v="ELSPTE4329BL"/>
    <n v="1"/>
    <s v=""/>
    <n v="0"/>
    <s v="E4"/>
    <s v="의류"/>
    <s v="ELS"/>
    <s v="PT"/>
    <x v="14"/>
    <s v="ELSPTE4329"/>
    <x v="675"/>
    <x v="0"/>
    <n v="1200"/>
    <n v="82800000"/>
    <n v="18720000"/>
    <n v="4.0209790209790208"/>
    <n v="0"/>
    <n v="1200"/>
  </r>
  <r>
    <x v="0"/>
    <x v="0"/>
    <s v="ELSJPE4328"/>
    <n v="0.25"/>
    <s v=""/>
    <n v="0"/>
    <s v="ELSJPE4328RE"/>
    <n v="1"/>
    <s v=""/>
    <n v="0"/>
    <s v="E4"/>
    <s v="의류"/>
    <s v="ELS"/>
    <s v="JP"/>
    <x v="14"/>
    <s v="ELSJPE4328"/>
    <x v="676"/>
    <x v="0"/>
    <n v="1500"/>
    <n v="148500000"/>
    <n v="36000000"/>
    <n v="3.75"/>
    <n v="0"/>
    <n v="1500"/>
  </r>
  <r>
    <x v="0"/>
    <x v="0"/>
    <s v="ELSPTE4329"/>
    <n v="0.25"/>
    <s v=""/>
    <n v="0"/>
    <s v="ELSPTE4329RE"/>
    <n v="1"/>
    <s v=""/>
    <n v="0"/>
    <s v="E4"/>
    <s v="의류"/>
    <s v="ELS"/>
    <s v="PT"/>
    <x v="14"/>
    <s v="ELSPTE4329"/>
    <x v="677"/>
    <x v="0"/>
    <n v="1200"/>
    <n v="82800000"/>
    <n v="18720000"/>
    <n v="4.0209790209790208"/>
    <n v="0"/>
    <n v="1200"/>
  </r>
  <r>
    <x v="0"/>
    <x v="0"/>
    <s v="ELSJPE4328"/>
    <n v="0.25"/>
    <s v=""/>
    <n v="0"/>
    <s v="ELSJPE4328BK"/>
    <n v="1"/>
    <s v=""/>
    <n v="0"/>
    <s v="E4"/>
    <s v="의류"/>
    <s v="ELS"/>
    <s v="JP"/>
    <x v="14"/>
    <s v="ELSJPE4328"/>
    <x v="678"/>
    <x v="0"/>
    <n v="2000"/>
    <n v="198000000"/>
    <n v="48000000"/>
    <n v="3.7499999999999996"/>
    <n v="0"/>
    <n v="2000"/>
  </r>
  <r>
    <x v="0"/>
    <x v="0"/>
    <s v="ELSPTE4329"/>
    <n v="0.25"/>
    <s v=""/>
    <n v="0"/>
    <s v="ELSPTE4329BK"/>
    <n v="1"/>
    <s v=""/>
    <n v="0"/>
    <s v="E4"/>
    <s v="의류"/>
    <s v="ELS"/>
    <s v="PT"/>
    <x v="14"/>
    <s v="ELSPTE4329"/>
    <x v="679"/>
    <x v="0"/>
    <n v="1500"/>
    <n v="103500000"/>
    <n v="23400000"/>
    <n v="4.0209790209790208"/>
    <n v="0"/>
    <n v="1500"/>
  </r>
  <r>
    <x v="0"/>
    <x v="0"/>
    <s v="ELSJPE4832"/>
    <n v="0.33333333333333331"/>
    <s v=""/>
    <n v="0"/>
    <s v="ELSJPE4832RE"/>
    <n v="1"/>
    <s v=""/>
    <n v="0"/>
    <s v="E4"/>
    <s v="의류"/>
    <s v="ELS"/>
    <s v="JP"/>
    <x v="14"/>
    <s v="ELSJPE4832"/>
    <x v="680"/>
    <x v="0"/>
    <n v="1500"/>
    <n v="133500000"/>
    <n v="30000000"/>
    <n v="4.045454545454545"/>
    <n v="0"/>
    <n v="1500"/>
  </r>
  <r>
    <x v="0"/>
    <x v="0"/>
    <s v="ELSPTE4833"/>
    <n v="0.33333333333333331"/>
    <s v=""/>
    <n v="0"/>
    <s v="ELSPTE4833RE"/>
    <n v="1"/>
    <s v=""/>
    <n v="0"/>
    <s v="E4"/>
    <s v="의류"/>
    <s v="ELS"/>
    <s v="PT"/>
    <x v="14"/>
    <s v="ELSPTE4833"/>
    <x v="681"/>
    <x v="0"/>
    <n v="1200"/>
    <n v="70800000"/>
    <n v="14640000"/>
    <n v="4.3964232488822645"/>
    <n v="0"/>
    <n v="1200"/>
  </r>
  <r>
    <x v="0"/>
    <x v="0"/>
    <s v="ELSJPE4832"/>
    <n v="0.33333333333333331"/>
    <s v=""/>
    <n v="0"/>
    <s v="ELSJPE4832BK"/>
    <n v="1"/>
    <s v=""/>
    <n v="0"/>
    <s v="E4"/>
    <s v="의류"/>
    <s v="ELS"/>
    <s v="JP"/>
    <x v="14"/>
    <s v="ELSJPE4832"/>
    <x v="682"/>
    <x v="0"/>
    <n v="1500"/>
    <n v="133500000"/>
    <n v="31500000"/>
    <n v="3.8528138528138527"/>
    <n v="0"/>
    <n v="1500"/>
  </r>
  <r>
    <x v="0"/>
    <x v="0"/>
    <s v="ELSPTE4833"/>
    <n v="0.33333333333333331"/>
    <s v=""/>
    <n v="0"/>
    <s v="ELSPTE4833BK"/>
    <n v="1"/>
    <s v=""/>
    <n v="0"/>
    <s v="E4"/>
    <s v="의류"/>
    <s v="ELS"/>
    <s v="PT"/>
    <x v="14"/>
    <s v="ELSPTE4833"/>
    <x v="683"/>
    <x v="0"/>
    <n v="1200"/>
    <n v="70800000"/>
    <n v="15000000"/>
    <n v="4.2909090909090901"/>
    <n v="0"/>
    <n v="1200"/>
  </r>
  <r>
    <x v="0"/>
    <x v="0"/>
    <s v="ELSJPE4832"/>
    <n v="0.33333333333333331"/>
    <s v=""/>
    <n v="0"/>
    <s v="ELSJPE4832BW"/>
    <n v="1"/>
    <s v=""/>
    <n v="0"/>
    <s v="E4"/>
    <s v="의류"/>
    <s v="ELS"/>
    <s v="JP"/>
    <x v="14"/>
    <s v="ELSJPE4832"/>
    <x v="684"/>
    <x v="0"/>
    <n v="1500"/>
    <n v="133500000"/>
    <n v="31500000"/>
    <n v="3.8528138528138527"/>
    <n v="0"/>
    <n v="1500"/>
  </r>
  <r>
    <x v="0"/>
    <x v="0"/>
    <s v="ELSPTE4833"/>
    <n v="0.33333333333333331"/>
    <s v=""/>
    <n v="0"/>
    <s v="ELSPTE4833BW"/>
    <n v="1"/>
    <s v=""/>
    <n v="0"/>
    <s v="E4"/>
    <s v="의류"/>
    <s v="ELS"/>
    <s v="PT"/>
    <x v="14"/>
    <s v="ELSPTE4833"/>
    <x v="685"/>
    <x v="0"/>
    <n v="1200"/>
    <n v="70800000"/>
    <n v="15000000"/>
    <n v="4.2909090909090901"/>
    <n v="0"/>
    <n v="1200"/>
  </r>
  <r>
    <x v="1"/>
    <x v="0"/>
    <s v="SMBFIE3134"/>
    <n v="1"/>
    <s v=""/>
    <n v="0"/>
    <s v="SMBFIE3134RE"/>
    <n v="1"/>
    <s v=""/>
    <n v="0"/>
    <s v="E3"/>
    <s v="모자"/>
    <s v="SMB"/>
    <s v="FI"/>
    <x v="13"/>
    <s v="SMBFIE3134"/>
    <x v="686"/>
    <x v="0"/>
    <n v="2000"/>
    <n v="118000000"/>
    <n v="18220000"/>
    <n v="5.8876359644746037"/>
    <n v="0"/>
    <n v="2000"/>
  </r>
  <r>
    <x v="1"/>
    <x v="0"/>
    <s v="SMBFIE3634"/>
    <n v="1"/>
    <s v=""/>
    <n v="0"/>
    <s v="SMBFIE3634RE"/>
    <n v="1"/>
    <s v=""/>
    <n v="0"/>
    <s v="E3"/>
    <s v="모자"/>
    <s v="SMB"/>
    <s v="FI"/>
    <x v="13"/>
    <s v="SMBFIE3634"/>
    <x v="687"/>
    <x v="0"/>
    <n v="2000"/>
    <n v="110000000"/>
    <n v="17873500"/>
    <n v="5.594875094413517"/>
    <n v="0"/>
    <n v="2000"/>
  </r>
  <r>
    <x v="1"/>
    <x v="0"/>
    <s v="SMBFIE3135"/>
    <n v="1"/>
    <s v=""/>
    <n v="0"/>
    <s v="SMBFIE3135BK"/>
    <n v="1"/>
    <s v=""/>
    <n v="0"/>
    <s v="E3"/>
    <s v="모자"/>
    <s v="SMB"/>
    <s v="FI"/>
    <x v="13"/>
    <s v="SMBFIE3135"/>
    <x v="688"/>
    <x v="0"/>
    <n v="1200"/>
    <n v="70800000"/>
    <n v="9583200.0000000019"/>
    <n v="6.7162989777565265"/>
    <n v="0"/>
    <n v="1200"/>
  </r>
  <r>
    <x v="1"/>
    <x v="0"/>
    <s v="SMBFIE3635"/>
    <n v="1"/>
    <s v=""/>
    <n v="0"/>
    <s v="SMBFIE3635BK"/>
    <n v="1"/>
    <s v=""/>
    <n v="0"/>
    <s v="E3"/>
    <s v="모자"/>
    <s v="SMB"/>
    <s v="FI"/>
    <x v="13"/>
    <s v="SMBFIE3635"/>
    <x v="689"/>
    <x v="0"/>
    <n v="800"/>
    <n v="44000000"/>
    <n v="6250200"/>
    <n v="6.3997952065533896"/>
    <n v="0"/>
    <n v="800"/>
  </r>
  <r>
    <x v="1"/>
    <x v="0"/>
    <s v="SMBFIE3206"/>
    <n v="1"/>
    <s v=""/>
    <n v="0"/>
    <s v="SMBFIE3206BK"/>
    <n v="1"/>
    <s v=""/>
    <n v="0"/>
    <s v="E3"/>
    <s v="모자"/>
    <s v="SMB"/>
    <s v="FI"/>
    <x v="13"/>
    <s v="SMBFIE3206"/>
    <x v="690"/>
    <x v="0"/>
    <n v="1000"/>
    <n v="45000000"/>
    <n v="6199250"/>
    <n v="6.599038740023536"/>
    <n v="0"/>
    <n v="1000"/>
  </r>
  <r>
    <x v="1"/>
    <x v="0"/>
    <s v="SMBFIE3215"/>
    <n v="1"/>
    <s v=""/>
    <n v="0"/>
    <s v="SMBFIE3215BK"/>
    <n v="1"/>
    <s v=""/>
    <n v="0"/>
    <s v="E3"/>
    <s v="모자"/>
    <s v="SMB"/>
    <s v="FI"/>
    <x v="13"/>
    <s v="SMBFIE3215"/>
    <x v="691"/>
    <x v="0"/>
    <n v="1200"/>
    <n v="54000000"/>
    <n v="5568000"/>
    <n v="8.8166144200626952"/>
    <n v="0"/>
    <n v="1200"/>
  </r>
  <r>
    <x v="1"/>
    <x v="1"/>
    <s v=""/>
    <n v="0"/>
    <s v="VBLBAE3103"/>
    <n v="0.5"/>
    <s v=""/>
    <n v="0"/>
    <s v="VBLBAE3103RE"/>
    <n v="1"/>
    <s v="E3"/>
    <s v="모자"/>
    <s v="VBL"/>
    <s v="BA"/>
    <x v="10"/>
    <s v="VBLBAE3103"/>
    <x v="201"/>
    <x v="0"/>
    <n v="6000"/>
    <n v="330000000"/>
    <n v="25120080"/>
    <n v="11.942637125359472"/>
    <n v="0"/>
    <n v="6000"/>
  </r>
  <r>
    <x v="1"/>
    <x v="1"/>
    <s v=""/>
    <n v="0"/>
    <s v="VBLBAE3103"/>
    <n v="0.5"/>
    <s v=""/>
    <n v="0"/>
    <s v="VBLBAE3103GR"/>
    <n v="1"/>
    <s v="E3"/>
    <s v="모자"/>
    <s v="VBL"/>
    <s v="BA"/>
    <x v="10"/>
    <s v="VBLBAE3103"/>
    <x v="202"/>
    <x v="0"/>
    <n v="3000"/>
    <n v="165000000"/>
    <n v="13635090.000000002"/>
    <n v="11.00102749596812"/>
    <n v="0"/>
    <n v="3000"/>
  </r>
  <r>
    <x v="1"/>
    <x v="1"/>
    <s v=""/>
    <n v="0"/>
    <s v="VBLBAE3201"/>
    <n v="1"/>
    <s v=""/>
    <n v="0"/>
    <s v="VBLBAE3201GY"/>
    <n v="1"/>
    <s v="E3"/>
    <s v="모자"/>
    <s v="VBL"/>
    <s v="BA"/>
    <x v="10"/>
    <s v="VBLBAE3201"/>
    <x v="203"/>
    <x v="0"/>
    <n v="3000"/>
    <n v="135000000"/>
    <n v="30681818.18181818"/>
    <n v="4"/>
    <n v="0"/>
    <n v="3000"/>
  </r>
  <r>
    <x v="1"/>
    <x v="1"/>
    <s v=""/>
    <n v="0"/>
    <s v="PLAUME3204"/>
    <n v="0.5"/>
    <s v=""/>
    <n v="0"/>
    <s v="PLAUME3204YE"/>
    <n v="0.5"/>
    <s v="E3"/>
    <s v="모자"/>
    <s v="PLA"/>
    <s v="UM"/>
    <x v="16"/>
    <s v="PLAUME3204"/>
    <x v="204"/>
    <x v="0"/>
    <n v="1200"/>
    <n v="70800000"/>
    <n v="9729720"/>
    <n v="6.6151581303096458"/>
    <n v="0"/>
    <n v="1200"/>
  </r>
  <r>
    <x v="1"/>
    <x v="1"/>
    <s v=""/>
    <n v="0"/>
    <s v="SMBFIE3134"/>
    <n v="1"/>
    <s v=""/>
    <n v="0"/>
    <s v="SMBFIE3134RE"/>
    <n v="1"/>
    <s v="E3"/>
    <s v="모자"/>
    <s v="SMB"/>
    <s v="FI"/>
    <x v="13"/>
    <s v="SMBFIE3134"/>
    <x v="686"/>
    <x v="0"/>
    <n v="3000"/>
    <n v="177000000"/>
    <n v="22987012.987012986"/>
    <n v="7"/>
    <n v="0"/>
    <n v="3000"/>
  </r>
  <r>
    <x v="1"/>
    <x v="1"/>
    <s v=""/>
    <n v="0"/>
    <s v="SMBFIE3634"/>
    <n v="1"/>
    <s v=""/>
    <n v="0"/>
    <s v="SMBFIE3634RE"/>
    <n v="1"/>
    <s v="E3"/>
    <s v="모자"/>
    <s v="SMB"/>
    <s v="FI"/>
    <x v="13"/>
    <s v="SMBFIE3634"/>
    <x v="687"/>
    <x v="0"/>
    <n v="3000"/>
    <n v="165000000"/>
    <n v="21428571.428571425"/>
    <n v="7"/>
    <n v="0"/>
    <n v="3000"/>
  </r>
  <r>
    <x v="1"/>
    <x v="1"/>
    <s v=""/>
    <n v="0"/>
    <s v="SMBFIE3135"/>
    <n v="1"/>
    <s v=""/>
    <n v="0"/>
    <s v="SMBFIE3135BK"/>
    <n v="1"/>
    <s v="E3"/>
    <s v="모자"/>
    <s v="SMB"/>
    <s v="FI"/>
    <x v="13"/>
    <s v="SMBFIE3135"/>
    <x v="688"/>
    <x v="0"/>
    <n v="1800"/>
    <n v="106200000"/>
    <n v="13792207.792207791"/>
    <n v="7"/>
    <n v="0"/>
    <n v="1800"/>
  </r>
  <r>
    <x v="1"/>
    <x v="1"/>
    <s v=""/>
    <n v="0"/>
    <s v="SMBFIE3635"/>
    <n v="1"/>
    <s v=""/>
    <n v="0"/>
    <s v="SMBFIE3635BK"/>
    <n v="1"/>
    <s v="E3"/>
    <s v="모자"/>
    <s v="SMB"/>
    <s v="FI"/>
    <x v="13"/>
    <s v="SMBFIE3635"/>
    <x v="689"/>
    <x v="0"/>
    <n v="1200"/>
    <n v="66000000"/>
    <n v="8571428.5714285709"/>
    <n v="7"/>
    <n v="0"/>
    <n v="1200"/>
  </r>
  <r>
    <x v="1"/>
    <x v="1"/>
    <s v=""/>
    <n v="0"/>
    <s v="SMBFIE3206"/>
    <n v="1"/>
    <s v=""/>
    <n v="0"/>
    <s v="SMBFIE3206BK"/>
    <n v="1"/>
    <s v="E3"/>
    <s v="모자"/>
    <s v="SMB"/>
    <s v="FI"/>
    <x v="13"/>
    <s v="SMBFIE3206"/>
    <x v="690"/>
    <x v="0"/>
    <n v="1500"/>
    <n v="67500000"/>
    <n v="8766233.7662337646"/>
    <n v="7.0000000000000009"/>
    <n v="0"/>
    <n v="1500"/>
  </r>
  <r>
    <x v="1"/>
    <x v="1"/>
    <s v=""/>
    <n v="0"/>
    <s v="SMBFIE3215"/>
    <n v="1"/>
    <s v=""/>
    <n v="0"/>
    <s v="SMBFIE3215BK"/>
    <n v="1"/>
    <s v="E3"/>
    <s v="모자"/>
    <s v="SMB"/>
    <s v="FI"/>
    <x v="13"/>
    <s v="SMBFIE3215"/>
    <x v="691"/>
    <x v="0"/>
    <n v="1800"/>
    <n v="81000000"/>
    <n v="10519480.519480519"/>
    <n v="6.9999999999999991"/>
    <n v="0"/>
    <n v="1800"/>
  </r>
  <r>
    <x v="1"/>
    <x v="1"/>
    <s v=""/>
    <n v="0"/>
    <s v="PLAUME3204"/>
    <n v="0.5"/>
    <s v=""/>
    <n v="0"/>
    <s v="PLAUME3204YE"/>
    <n v="0.5"/>
    <s v="E3"/>
    <s v="모자"/>
    <s v="PLA"/>
    <s v="UM"/>
    <x v="16"/>
    <s v="PLAUME3204"/>
    <x v="204"/>
    <x v="0"/>
    <n v="1800"/>
    <n v="106200000"/>
    <n v="14594580"/>
    <n v="6.6151581303096449"/>
    <n v="0"/>
    <n v="1800"/>
  </r>
  <r>
    <x v="0"/>
    <x v="0"/>
    <s v="SMBBEE5301"/>
    <n v="0.5"/>
    <s v=""/>
    <n v="0"/>
    <s v="SMBBEE5301NY"/>
    <n v="1"/>
    <s v=""/>
    <n v="0"/>
    <s v="E5"/>
    <s v="모자"/>
    <s v="SMB"/>
    <s v="BE"/>
    <x v="13"/>
    <s v="SMBBEE5301"/>
    <x v="692"/>
    <x v="0"/>
    <n v="700"/>
    <n v="27300000"/>
    <n v="2458904"/>
    <n v="10.093188598734157"/>
    <n v="0"/>
    <n v="700"/>
  </r>
  <r>
    <x v="0"/>
    <x v="0"/>
    <s v="SMBBEE5301"/>
    <n v="0.5"/>
    <s v=""/>
    <n v="0"/>
    <s v="SMBBEE5301RE"/>
    <n v="1"/>
    <s v=""/>
    <n v="0"/>
    <s v="E5"/>
    <s v="모자"/>
    <s v="SMB"/>
    <s v="BE"/>
    <x v="13"/>
    <s v="SMBBEE5301"/>
    <x v="693"/>
    <x v="0"/>
    <n v="700"/>
    <n v="27300000"/>
    <n v="2458904"/>
    <n v="10.093188598734157"/>
    <n v="0"/>
    <n v="700"/>
  </r>
  <r>
    <x v="0"/>
    <x v="0"/>
    <s v="FFTFIE3330"/>
    <n v="1"/>
    <s v=""/>
    <n v="0"/>
    <s v="FFTFIE3330GR"/>
    <n v="1"/>
    <s v=""/>
    <n v="0"/>
    <s v="E3"/>
    <s v="모자"/>
    <s v="FFT"/>
    <s v="FI"/>
    <x v="25"/>
    <s v="FFTFIE3330"/>
    <x v="694"/>
    <x v="1"/>
    <n v="20"/>
    <n v="980000"/>
    <n v="400909.09090909088"/>
    <n v="2.2222222222222223"/>
    <n v="20"/>
    <n v="0"/>
  </r>
  <r>
    <x v="0"/>
    <x v="0"/>
    <s v="FFTFIE3331"/>
    <n v="1"/>
    <s v=""/>
    <n v="0"/>
    <s v="FFTFIE3331PP"/>
    <n v="1"/>
    <s v=""/>
    <n v="0"/>
    <s v="E3"/>
    <s v="모자"/>
    <s v="FFT"/>
    <s v="FI"/>
    <x v="25"/>
    <s v="FFTFIE3331"/>
    <x v="695"/>
    <x v="1"/>
    <n v="30"/>
    <n v="1470000"/>
    <n v="601363.63636363635"/>
    <n v="2.2222222222222223"/>
    <n v="28"/>
    <n v="0"/>
  </r>
  <r>
    <x v="0"/>
    <x v="0"/>
    <s v="FFTFIE3332"/>
    <n v="1"/>
    <s v=""/>
    <n v="0"/>
    <s v="FFTFIE3332WH"/>
    <n v="1"/>
    <s v=""/>
    <n v="0"/>
    <s v="E3"/>
    <s v="모자"/>
    <s v="FFT"/>
    <s v="FI"/>
    <x v="25"/>
    <s v="FFTFIE3332"/>
    <x v="696"/>
    <x v="1"/>
    <n v="30"/>
    <n v="1470000"/>
    <n v="601363.63636363635"/>
    <n v="2.2222222222222223"/>
    <n v="30"/>
    <n v="0"/>
  </r>
  <r>
    <x v="0"/>
    <x v="0"/>
    <s v="FFTFIE3333"/>
    <n v="1"/>
    <s v=""/>
    <n v="0"/>
    <s v="FFTFIE3333BL"/>
    <n v="1"/>
    <s v=""/>
    <n v="0"/>
    <s v="E3"/>
    <s v="모자"/>
    <s v="FFT"/>
    <s v="FI"/>
    <x v="25"/>
    <s v="FFTFIE3333"/>
    <x v="697"/>
    <x v="1"/>
    <n v="25"/>
    <n v="1225000"/>
    <n v="501136.36363636359"/>
    <n v="2.2222222222222223"/>
    <n v="25"/>
    <n v="0"/>
  </r>
  <r>
    <x v="0"/>
    <x v="0"/>
    <s v="FFTFIE3334"/>
    <n v="1"/>
    <s v=""/>
    <n v="0"/>
    <s v="FFTFIE3334PP"/>
    <n v="1"/>
    <s v=""/>
    <n v="0"/>
    <s v="E3"/>
    <s v="모자"/>
    <s v="FFT"/>
    <s v="FI"/>
    <x v="25"/>
    <s v="FFTFIE3334"/>
    <x v="698"/>
    <x v="1"/>
    <n v="25"/>
    <n v="1225000"/>
    <n v="501136.36363636359"/>
    <n v="2.2222222222222223"/>
    <n v="25"/>
    <n v="0"/>
  </r>
  <r>
    <x v="0"/>
    <x v="0"/>
    <s v="FFTFIE3335"/>
    <n v="1"/>
    <s v=""/>
    <n v="0"/>
    <s v="FFTFIE3335BL"/>
    <n v="1"/>
    <s v=""/>
    <n v="0"/>
    <s v="E3"/>
    <s v="모자"/>
    <s v="FFT"/>
    <s v="FI"/>
    <x v="25"/>
    <s v="FFTFIE3335"/>
    <x v="699"/>
    <x v="1"/>
    <n v="20"/>
    <n v="980000"/>
    <n v="400909.09090909088"/>
    <n v="2.2222222222222223"/>
    <n v="20"/>
    <n v="0"/>
  </r>
  <r>
    <x v="0"/>
    <x v="0"/>
    <s v="FFTFIE3336"/>
    <n v="1"/>
    <s v=""/>
    <n v="0"/>
    <s v="FFTFIE3336KH"/>
    <n v="1"/>
    <s v=""/>
    <n v="0"/>
    <s v="E3"/>
    <s v="모자"/>
    <s v="FFT"/>
    <s v="FI"/>
    <x v="25"/>
    <s v="FFTFIE3336"/>
    <x v="700"/>
    <x v="1"/>
    <n v="25"/>
    <n v="1225000"/>
    <n v="501136.36363636359"/>
    <n v="2.2222222222222223"/>
    <n v="25"/>
    <n v="0"/>
  </r>
  <r>
    <x v="0"/>
    <x v="0"/>
    <s v="FFTFIE3337"/>
    <n v="1"/>
    <s v=""/>
    <n v="0"/>
    <s v="FFTFIE3337BL"/>
    <n v="1"/>
    <s v=""/>
    <n v="0"/>
    <s v="E3"/>
    <s v="모자"/>
    <s v="FFT"/>
    <s v="FI"/>
    <x v="25"/>
    <s v="FFTFIE3337"/>
    <x v="701"/>
    <x v="1"/>
    <n v="15"/>
    <n v="735000"/>
    <n v="300681.81818181818"/>
    <n v="2.2222222222222223"/>
    <n v="15"/>
    <n v="0"/>
  </r>
  <r>
    <x v="0"/>
    <x v="0"/>
    <s v="FFTFIE3338"/>
    <n v="1"/>
    <s v=""/>
    <n v="0"/>
    <s v="FFTFIE3338PP"/>
    <n v="1"/>
    <s v=""/>
    <n v="0"/>
    <s v="E3"/>
    <s v="모자"/>
    <s v="FFT"/>
    <s v="FI"/>
    <x v="25"/>
    <s v="FFTFIE3338"/>
    <x v="702"/>
    <x v="1"/>
    <n v="20"/>
    <n v="980000"/>
    <n v="400909.09090909088"/>
    <n v="2.2222222222222223"/>
    <n v="20"/>
    <n v="0"/>
  </r>
  <r>
    <x v="0"/>
    <x v="0"/>
    <s v="FFTFIE3340"/>
    <n v="1"/>
    <s v=""/>
    <n v="0"/>
    <s v="FFTFIE3340KH"/>
    <n v="1"/>
    <s v=""/>
    <n v="0"/>
    <s v="E3"/>
    <s v="모자"/>
    <s v="FFT"/>
    <s v="FI"/>
    <x v="25"/>
    <s v="FFTFIE3340"/>
    <x v="703"/>
    <x v="1"/>
    <n v="25"/>
    <n v="1225000"/>
    <n v="501136.36363636359"/>
    <n v="2.2222222222222223"/>
    <n v="25"/>
    <n v="0"/>
  </r>
  <r>
    <x v="0"/>
    <x v="0"/>
    <s v="FFTFIE3339"/>
    <n v="1"/>
    <s v=""/>
    <n v="0"/>
    <s v="FFTFIE3339BK"/>
    <n v="1"/>
    <s v=""/>
    <n v="0"/>
    <s v="E3"/>
    <s v="모자"/>
    <s v="FFT"/>
    <s v="FI"/>
    <x v="25"/>
    <s v="FFTFIE3339"/>
    <x v="704"/>
    <x v="1"/>
    <n v="20"/>
    <n v="980000"/>
    <n v="400909.09090909088"/>
    <n v="2.2222222222222223"/>
    <n v="20"/>
    <n v="0"/>
  </r>
  <r>
    <x v="0"/>
    <x v="0"/>
    <s v="JILMUE5366"/>
    <n v="1"/>
    <s v=""/>
    <n v="0"/>
    <s v="JILMUE5366NY"/>
    <n v="1"/>
    <s v=""/>
    <n v="0"/>
    <s v="E5"/>
    <s v="ACC"/>
    <s v="JIL"/>
    <s v="MU"/>
    <x v="5"/>
    <s v="JILMUE5366"/>
    <x v="705"/>
    <x v="0"/>
    <n v="300"/>
    <n v="16500000"/>
    <n v="2499999.9999999995"/>
    <n v="6.0000000000000009"/>
    <n v="0"/>
    <n v="300"/>
  </r>
  <r>
    <x v="0"/>
    <x v="0"/>
    <s v="JILMUE5367"/>
    <n v="0.5"/>
    <s v=""/>
    <n v="0"/>
    <s v="JILMUE5367RE"/>
    <n v="1"/>
    <s v=""/>
    <n v="0"/>
    <s v="E5"/>
    <s v="ACC"/>
    <s v="JIL"/>
    <s v="MU"/>
    <x v="5"/>
    <s v="JILMUE5367"/>
    <x v="706"/>
    <x v="0"/>
    <n v="500"/>
    <n v="24500000"/>
    <n v="3712121.2121212119"/>
    <n v="6"/>
    <n v="0"/>
    <n v="500"/>
  </r>
  <r>
    <x v="0"/>
    <x v="0"/>
    <s v="JILMUE5367"/>
    <n v="0.5"/>
    <s v=""/>
    <n v="0"/>
    <s v="JILMUE5367YE"/>
    <n v="1"/>
    <s v=""/>
    <n v="0"/>
    <s v="E5"/>
    <s v="ACC"/>
    <s v="JIL"/>
    <s v="MU"/>
    <x v="5"/>
    <s v="JILMUE5367"/>
    <x v="707"/>
    <x v="0"/>
    <n v="500"/>
    <n v="24500000"/>
    <n v="3712121.2121212119"/>
    <n v="6"/>
    <n v="0"/>
    <n v="500"/>
  </r>
  <r>
    <x v="0"/>
    <x v="0"/>
    <s v="JILBEE5368"/>
    <n v="0.5"/>
    <s v=""/>
    <n v="0"/>
    <s v="JILBEE5368BK"/>
    <n v="1"/>
    <s v=""/>
    <n v="0"/>
    <s v="E5"/>
    <s v="모자"/>
    <s v="JIL"/>
    <s v="BE"/>
    <x v="4"/>
    <s v="JILBEE5368"/>
    <x v="708"/>
    <x v="0"/>
    <n v="800"/>
    <n v="31200000"/>
    <n v="4727272.7272727266"/>
    <n v="6"/>
    <n v="0"/>
    <n v="800"/>
  </r>
  <r>
    <x v="0"/>
    <x v="0"/>
    <s v="JILBEE5368"/>
    <n v="0.5"/>
    <s v=""/>
    <n v="0"/>
    <s v="JILBEE5368NY"/>
    <n v="1"/>
    <s v=""/>
    <n v="0"/>
    <s v="E5"/>
    <s v="모자"/>
    <s v="JIL"/>
    <s v="BE"/>
    <x v="4"/>
    <s v="JILBEE5368"/>
    <x v="709"/>
    <x v="0"/>
    <n v="800"/>
    <n v="31200000"/>
    <n v="4727272.7272727266"/>
    <n v="6"/>
    <n v="0"/>
    <n v="800"/>
  </r>
  <r>
    <x v="0"/>
    <x v="0"/>
    <s v="JILEBE5369"/>
    <n v="0.33333333333333331"/>
    <s v=""/>
    <n v="0"/>
    <s v="JILEBE5369KH"/>
    <n v="1"/>
    <s v=""/>
    <n v="0"/>
    <s v="E5"/>
    <s v="모자"/>
    <s v="JIL"/>
    <s v="EB"/>
    <x v="4"/>
    <s v="JILEBE5369"/>
    <x v="710"/>
    <x v="0"/>
    <n v="700"/>
    <n v="31500000"/>
    <n v="4772727.2727272715"/>
    <n v="6.0000000000000009"/>
    <n v="0"/>
    <n v="700"/>
  </r>
  <r>
    <x v="0"/>
    <x v="0"/>
    <s v="JILEBE5369"/>
    <n v="0.33333333333333331"/>
    <s v=""/>
    <n v="0"/>
    <s v="JILEBE5369GY"/>
    <n v="1"/>
    <s v=""/>
    <n v="0"/>
    <s v="E5"/>
    <s v="모자"/>
    <s v="JIL"/>
    <s v="EB"/>
    <x v="4"/>
    <s v="JILEBE5369"/>
    <x v="711"/>
    <x v="0"/>
    <n v="700"/>
    <n v="31500000"/>
    <n v="4772727.2727272715"/>
    <n v="6.0000000000000009"/>
    <n v="0"/>
    <n v="700"/>
  </r>
  <r>
    <x v="0"/>
    <x v="0"/>
    <s v="JILEBE5369"/>
    <n v="0.33333333333333331"/>
    <s v=""/>
    <n v="0"/>
    <s v="JILEBE5369NY"/>
    <n v="1"/>
    <s v=""/>
    <n v="0"/>
    <s v="E5"/>
    <s v="모자"/>
    <s v="JIL"/>
    <s v="EB"/>
    <x v="4"/>
    <s v="JILEBE5369"/>
    <x v="712"/>
    <x v="0"/>
    <n v="700"/>
    <n v="31500000"/>
    <n v="4772727.2727272715"/>
    <n v="6.0000000000000009"/>
    <n v="0"/>
    <n v="700"/>
  </r>
  <r>
    <x v="0"/>
    <x v="0"/>
    <s v="SMBFIE5352"/>
    <n v="1"/>
    <s v=""/>
    <n v="0"/>
    <s v="SMBFIE5352GY"/>
    <n v="1"/>
    <s v=""/>
    <n v="0"/>
    <s v="E5"/>
    <s v="모자"/>
    <s v="SMB"/>
    <s v="FI"/>
    <x v="13"/>
    <s v="SMBFIE5352"/>
    <x v="713"/>
    <x v="0"/>
    <n v="700"/>
    <n v="31500000"/>
    <n v="4232103.2"/>
    <n v="6.7664615636886252"/>
    <n v="0"/>
    <n v="700"/>
  </r>
  <r>
    <x v="0"/>
    <x v="0"/>
    <s v="SMBFIE3353"/>
    <n v="1"/>
    <s v=""/>
    <n v="0"/>
    <s v="SMBFIE3353RE"/>
    <n v="1"/>
    <s v=""/>
    <n v="0"/>
    <s v="E3"/>
    <s v="모자"/>
    <s v="SMB"/>
    <s v="FI"/>
    <x v="13"/>
    <s v="SMBFIE3353"/>
    <x v="714"/>
    <x v="0"/>
    <n v="500"/>
    <n v="24500000"/>
    <n v="2834944.0000000005"/>
    <n v="7.8564963797264662"/>
    <n v="0"/>
    <n v="500"/>
  </r>
  <r>
    <x v="0"/>
    <x v="0"/>
    <s v="SMBFIE3354"/>
    <n v="1"/>
    <s v=""/>
    <n v="0"/>
    <s v="SMBFIE3354BK"/>
    <n v="1"/>
    <s v=""/>
    <n v="0"/>
    <s v="E3"/>
    <s v="모자"/>
    <s v="SMB"/>
    <s v="FI"/>
    <x v="13"/>
    <s v="SMBFIE3354"/>
    <x v="715"/>
    <x v="0"/>
    <n v="1000"/>
    <n v="49000000"/>
    <n v="8091200.0000000009"/>
    <n v="5.5054200298416225"/>
    <n v="0"/>
    <n v="1000"/>
  </r>
  <r>
    <x v="0"/>
    <x v="0"/>
    <s v="SMBFIE3854"/>
    <n v="1"/>
    <s v=""/>
    <n v="0"/>
    <s v="SMBFIE3854BK"/>
    <n v="1"/>
    <s v=""/>
    <n v="0"/>
    <s v="E3"/>
    <s v="모자"/>
    <s v="SMB"/>
    <s v="FI"/>
    <x v="13"/>
    <s v="SMBFIE3854"/>
    <x v="716"/>
    <x v="0"/>
    <n v="1000"/>
    <n v="45000000"/>
    <n v="8091200.0000000009"/>
    <n v="5.0559979865892455"/>
    <n v="0"/>
    <n v="1000"/>
  </r>
  <r>
    <x v="0"/>
    <x v="0"/>
    <s v="SMBFIE5306"/>
    <n v="1"/>
    <s v=""/>
    <n v="0"/>
    <s v="SMBFIE5306CL"/>
    <n v="1"/>
    <s v=""/>
    <n v="0"/>
    <s v="E5"/>
    <s v="모자"/>
    <s v="SMB"/>
    <s v="FI"/>
    <x v="13"/>
    <s v="SMBFIE5306"/>
    <x v="717"/>
    <x v="0"/>
    <n v="700"/>
    <n v="31500000"/>
    <n v="3141195.1999999997"/>
    <n v="9.116390995492301"/>
    <n v="0"/>
    <n v="700"/>
  </r>
  <r>
    <x v="0"/>
    <x v="0"/>
    <s v="SMBFIE5307"/>
    <n v="1"/>
    <s v=""/>
    <n v="0"/>
    <s v="SMBFIE5307PK"/>
    <n v="1"/>
    <s v=""/>
    <n v="0"/>
    <s v="E5"/>
    <s v="모자"/>
    <s v="SMB"/>
    <s v="FI"/>
    <x v="13"/>
    <s v="SMBFIE5307"/>
    <x v="718"/>
    <x v="0"/>
    <n v="700"/>
    <n v="31500000"/>
    <n v="5338821.6000000006"/>
    <n v="5.3637985649049655"/>
    <n v="0"/>
    <n v="700"/>
  </r>
  <r>
    <x v="0"/>
    <x v="0"/>
    <s v="SMBERE5308"/>
    <n v="1"/>
    <s v=""/>
    <n v="0"/>
    <s v="SMBERE5308BW"/>
    <n v="1"/>
    <s v=""/>
    <n v="0"/>
    <s v="E5"/>
    <s v="모자"/>
    <s v="SMB"/>
    <s v="ER"/>
    <x v="13"/>
    <s v="SMBERE5308"/>
    <x v="719"/>
    <x v="0"/>
    <n v="500"/>
    <n v="29500000"/>
    <n v="3319944.0000000005"/>
    <n v="8.0779018616524283"/>
    <n v="0"/>
    <n v="500"/>
  </r>
  <r>
    <x v="0"/>
    <x v="0"/>
    <s v="SMBFIE5355"/>
    <n v="1"/>
    <s v=""/>
    <n v="0"/>
    <s v="SMBFIE5355OR"/>
    <n v="1"/>
    <s v=""/>
    <n v="0"/>
    <s v="E5"/>
    <s v="모자"/>
    <s v="SMB"/>
    <s v="FI"/>
    <x v="13"/>
    <s v="SMBFIE5355"/>
    <x v="720"/>
    <x v="0"/>
    <n v="700"/>
    <n v="41300000"/>
    <n v="4488994"/>
    <n v="8.3638905611044567"/>
    <n v="0"/>
    <n v="700"/>
  </r>
  <r>
    <x v="0"/>
    <x v="0"/>
    <s v="SMBFIE5855"/>
    <n v="1"/>
    <s v=""/>
    <n v="0"/>
    <s v="SMBFIE5855OR"/>
    <n v="1"/>
    <s v=""/>
    <n v="0"/>
    <s v="E5"/>
    <s v="모자"/>
    <s v="SMB"/>
    <s v="FI"/>
    <x v="13"/>
    <s v="SMBFIE5855"/>
    <x v="721"/>
    <x v="0"/>
    <n v="700"/>
    <n v="38500000"/>
    <n v="4488994"/>
    <n v="7.7968471332329692"/>
    <n v="0"/>
    <n v="700"/>
  </r>
  <r>
    <x v="1"/>
    <x v="1"/>
    <s v=""/>
    <n v="0"/>
    <s v="VBLBAE3216"/>
    <n v="0.25"/>
    <s v=""/>
    <n v="0"/>
    <s v="VBLBAE3216BK"/>
    <n v="0.5"/>
    <s v="E3"/>
    <s v="모자"/>
    <s v="VBL"/>
    <s v="BA"/>
    <x v="10"/>
    <s v="VBLBAE3216"/>
    <x v="125"/>
    <x v="0"/>
    <n v="3000"/>
    <n v="147000000"/>
    <n v="33409090.909090906"/>
    <n v="4"/>
    <n v="0"/>
    <n v="3000"/>
  </r>
  <r>
    <x v="1"/>
    <x v="1"/>
    <s v=""/>
    <n v="0"/>
    <s v="VBLBAE3216"/>
    <n v="0.25"/>
    <s v=""/>
    <n v="0"/>
    <s v="VBLBAE3216GR"/>
    <n v="1"/>
    <s v="E3"/>
    <s v="모자"/>
    <s v="VBL"/>
    <s v="BA"/>
    <x v="10"/>
    <s v="VBLBAE3216"/>
    <x v="228"/>
    <x v="0"/>
    <n v="1000"/>
    <n v="49000000"/>
    <n v="11136363.636363637"/>
    <n v="3.9999999999999996"/>
    <n v="0"/>
    <n v="1000"/>
  </r>
  <r>
    <x v="1"/>
    <x v="0"/>
    <s v="JILMIE3216"/>
    <n v="1"/>
    <s v=""/>
    <n v="0"/>
    <s v="JILMIE3216NY"/>
    <n v="1"/>
    <s v=""/>
    <n v="0"/>
    <s v="E3"/>
    <s v="모자"/>
    <s v="JIL"/>
    <s v="MI"/>
    <x v="4"/>
    <s v="JILMIE3216"/>
    <x v="722"/>
    <x v="0"/>
    <n v="1500"/>
    <n v="64500000"/>
    <n v="7596855"/>
    <n v="7.7185050440430452"/>
    <n v="0"/>
    <n v="1500"/>
  </r>
  <r>
    <x v="1"/>
    <x v="0"/>
    <s v="ELSFIE3214"/>
    <n v="1"/>
    <s v=""/>
    <n v="0"/>
    <s v="ELSFIE3214GR"/>
    <n v="1"/>
    <s v=""/>
    <n v="0"/>
    <s v="E3"/>
    <s v="모자"/>
    <s v="ELS"/>
    <s v="FI"/>
    <x v="3"/>
    <s v="ELSFIE3214"/>
    <x v="723"/>
    <x v="0"/>
    <n v="1000"/>
    <n v="49000000"/>
    <n v="5737250.0000000009"/>
    <n v="7.7642519578987379"/>
    <n v="0"/>
    <n v="1000"/>
  </r>
  <r>
    <x v="1"/>
    <x v="0"/>
    <s v="ELSFIE3221"/>
    <n v="0.5"/>
    <s v=""/>
    <n v="0"/>
    <s v="ELSFIE3221MT"/>
    <n v="1"/>
    <s v=""/>
    <n v="0"/>
    <s v="E3"/>
    <s v="모자"/>
    <s v="ELS"/>
    <s v="FI"/>
    <x v="3"/>
    <s v="ELSFIE3221"/>
    <x v="724"/>
    <x v="0"/>
    <n v="700"/>
    <n v="41300000"/>
    <n v="8750000"/>
    <n v="4.290909090909091"/>
    <n v="0"/>
    <n v="700"/>
  </r>
  <r>
    <x v="1"/>
    <x v="0"/>
    <s v="JILMIE3011"/>
    <n v="1"/>
    <s v=""/>
    <n v="0"/>
    <s v="JILMIE3011BK"/>
    <n v="1"/>
    <s v=""/>
    <n v="0"/>
    <s v="E3"/>
    <s v="모자"/>
    <s v="JIL"/>
    <s v="MI"/>
    <x v="4"/>
    <s v="JILMIE3011"/>
    <x v="725"/>
    <x v="0"/>
    <n v="1000"/>
    <n v="45000000"/>
    <n v="5955670"/>
    <n v="6.8689317757852439"/>
    <n v="0"/>
    <n v="1000"/>
  </r>
  <r>
    <x v="1"/>
    <x v="1"/>
    <s v=""/>
    <n v="0"/>
    <s v="JILMIE3152"/>
    <n v="1"/>
    <s v=""/>
    <n v="0"/>
    <s v="JILMIE3152BK"/>
    <n v="1"/>
    <s v="E3"/>
    <s v="모자"/>
    <s v="JIL"/>
    <s v="MI"/>
    <x v="4"/>
    <s v="JILMIE3152"/>
    <x v="245"/>
    <x v="0"/>
    <n v="1000"/>
    <n v="45000000"/>
    <n v="6673590"/>
    <n v="6.1299976338209126"/>
    <n v="0"/>
    <n v="1000"/>
  </r>
  <r>
    <x v="1"/>
    <x v="0"/>
    <s v="PLAUME3004"/>
    <n v="1"/>
    <s v=""/>
    <n v="0"/>
    <s v="PLAUME3004BL"/>
    <n v="1"/>
    <s v=""/>
    <n v="0"/>
    <s v="E3"/>
    <s v="모자"/>
    <s v="PLA"/>
    <s v="UM"/>
    <x v="16"/>
    <s v="PLAUME3004"/>
    <x v="726"/>
    <x v="0"/>
    <n v="500"/>
    <n v="29500000"/>
    <n v="3829518"/>
    <n v="7.0030175646600465"/>
    <n v="0"/>
    <n v="500"/>
  </r>
  <r>
    <x v="0"/>
    <x v="0"/>
    <s v="JOIMUE5316"/>
    <n v="1"/>
    <s v=""/>
    <n v="0"/>
    <s v="JOIMUE5316MT"/>
    <n v="1"/>
    <s v=""/>
    <n v="0"/>
    <s v="E5"/>
    <s v="ACC"/>
    <s v="JOI"/>
    <s v="MU"/>
    <x v="20"/>
    <s v="JOIMUE5316"/>
    <x v="727"/>
    <x v="0"/>
    <n v="300"/>
    <n v="17700000"/>
    <n v="3037182.0000000009"/>
    <n v="5.2979732827697141"/>
    <n v="0"/>
    <n v="300"/>
  </r>
  <r>
    <x v="0"/>
    <x v="0"/>
    <s v="JOIMUE5816"/>
    <n v="1"/>
    <s v=""/>
    <n v="0"/>
    <s v="JOIMUE5816MT"/>
    <n v="1"/>
    <s v=""/>
    <n v="0"/>
    <s v="E5"/>
    <s v="ACC"/>
    <s v="JOI"/>
    <s v="MU"/>
    <x v="20"/>
    <s v="JOIMUE5816"/>
    <x v="728"/>
    <x v="0"/>
    <n v="300"/>
    <n v="16500000"/>
    <n v="2625540.0000000005"/>
    <n v="5.7131104458511377"/>
    <n v="0"/>
    <n v="300"/>
  </r>
  <r>
    <x v="0"/>
    <x v="0"/>
    <s v="JOIEBE5317"/>
    <n v="1"/>
    <s v=""/>
    <n v="0"/>
    <s v="JOIEBE5317MT"/>
    <n v="1"/>
    <s v=""/>
    <n v="0"/>
    <s v="E5"/>
    <s v="모자"/>
    <s v="JOI"/>
    <s v="EB"/>
    <x v="6"/>
    <s v="JOIEBE5317"/>
    <x v="729"/>
    <x v="0"/>
    <n v="400"/>
    <n v="23600000"/>
    <n v="3500720.0000000005"/>
    <n v="6.1286093873675842"/>
    <n v="0"/>
    <n v="400"/>
  </r>
  <r>
    <x v="0"/>
    <x v="0"/>
    <s v="JOIEBE5817"/>
    <n v="1"/>
    <s v=""/>
    <n v="0"/>
    <s v="JOIEBE5817MT"/>
    <n v="1"/>
    <s v=""/>
    <n v="0"/>
    <s v="E5"/>
    <s v="모자"/>
    <s v="JOI"/>
    <s v="EB"/>
    <x v="6"/>
    <s v="JOIEBE5817"/>
    <x v="730"/>
    <x v="0"/>
    <n v="400"/>
    <n v="22000000"/>
    <n v="3333333.333333333"/>
    <n v="6"/>
    <n v="0"/>
    <n v="400"/>
  </r>
  <r>
    <x v="0"/>
    <x v="0"/>
    <s v="JOIMUE5818"/>
    <n v="1"/>
    <s v=""/>
    <n v="0"/>
    <s v="JOIMUE5818BL"/>
    <n v="1"/>
    <s v=""/>
    <n v="0"/>
    <s v="E5"/>
    <s v="ACC"/>
    <s v="JOI"/>
    <s v="MU"/>
    <x v="20"/>
    <s v="JOIMUE5818"/>
    <x v="731"/>
    <x v="0"/>
    <n v="300"/>
    <n v="14700000"/>
    <n v="3299136.0000000009"/>
    <n v="4.0506473099733862"/>
    <n v="0"/>
    <n v="300"/>
  </r>
  <r>
    <x v="1"/>
    <x v="1"/>
    <s v=""/>
    <n v="0"/>
    <s v="FFTFIE3208"/>
    <n v="0.25"/>
    <s v=""/>
    <n v="0"/>
    <s v="FFTFIE3208BK"/>
    <n v="0.5"/>
    <s v="E3"/>
    <s v="모자"/>
    <s v="FFT"/>
    <s v="FI"/>
    <x v="25"/>
    <s v="FFTFIE3208"/>
    <x v="654"/>
    <x v="1"/>
    <n v="70"/>
    <n v="3430000"/>
    <n v="1403181.8181818181"/>
    <n v="2.2222222222222223"/>
    <n v="70"/>
    <n v="0"/>
  </r>
  <r>
    <x v="1"/>
    <x v="1"/>
    <s v=""/>
    <n v="0"/>
    <s v="FFTFIE3208"/>
    <n v="0.25"/>
    <s v=""/>
    <n v="0"/>
    <s v="FFTFIE3208KH"/>
    <n v="1"/>
    <s v="E3"/>
    <s v="모자"/>
    <s v="FFT"/>
    <s v="FI"/>
    <x v="25"/>
    <s v="FFTFIE3208"/>
    <x v="655"/>
    <x v="1"/>
    <n v="35"/>
    <n v="1715000"/>
    <n v="701590.90909090906"/>
    <n v="2.2222222222222223"/>
    <n v="35"/>
    <n v="0"/>
  </r>
  <r>
    <x v="1"/>
    <x v="0"/>
    <s v="FFTFIE3210"/>
    <n v="1"/>
    <s v=""/>
    <n v="0"/>
    <s v="FFTFIE3210BK"/>
    <n v="1"/>
    <s v=""/>
    <n v="0"/>
    <s v="E3"/>
    <s v="모자"/>
    <s v="FFT"/>
    <s v="FI"/>
    <x v="25"/>
    <s v="FFTFIE3210"/>
    <x v="732"/>
    <x v="1"/>
    <n v="70"/>
    <n v="3430000"/>
    <n v="1403181.8181818181"/>
    <n v="2.2222222222222223"/>
    <n v="70"/>
    <n v="0"/>
  </r>
  <r>
    <x v="1"/>
    <x v="0"/>
    <s v="FFTFIE3239"/>
    <n v="1"/>
    <s v=""/>
    <n v="0"/>
    <s v="FFTFIE3239RE"/>
    <n v="1"/>
    <s v=""/>
    <n v="0"/>
    <s v="E3"/>
    <s v="모자"/>
    <s v="FFT"/>
    <s v="FI"/>
    <x v="25"/>
    <s v="FFTFIE3239"/>
    <x v="733"/>
    <x v="1"/>
    <n v="35"/>
    <n v="1715000"/>
    <n v="701590.90909090906"/>
    <n v="2.2222222222222223"/>
    <n v="35"/>
    <n v="0"/>
  </r>
  <r>
    <x v="1"/>
    <x v="0"/>
    <s v="FFTFIE3225"/>
    <n v="1"/>
    <s v=""/>
    <n v="0"/>
    <s v="FFTFIE3225AR"/>
    <n v="1"/>
    <s v=""/>
    <n v="0"/>
    <s v="E3"/>
    <s v="모자"/>
    <s v="FFT"/>
    <s v="FI"/>
    <x v="25"/>
    <s v="FFTFIE3225"/>
    <x v="734"/>
    <x v="1"/>
    <n v="80"/>
    <n v="3920000"/>
    <n v="1603636.3636363635"/>
    <n v="2.2222222222222223"/>
    <n v="80"/>
    <n v="0"/>
  </r>
  <r>
    <x v="1"/>
    <x v="1"/>
    <s v=""/>
    <n v="0"/>
    <s v="FFTFIE3211"/>
    <n v="0.5"/>
    <s v=""/>
    <n v="0"/>
    <s v="FFTFIE3211RE"/>
    <n v="0.5"/>
    <s v="E3"/>
    <s v="모자"/>
    <s v="FFT"/>
    <s v="FI"/>
    <x v="25"/>
    <s v="FFTFIE3211"/>
    <x v="658"/>
    <x v="1"/>
    <n v="35"/>
    <n v="1715000"/>
    <n v="701590.90909090906"/>
    <n v="2.2222222222222223"/>
    <n v="35"/>
    <n v="0"/>
  </r>
  <r>
    <x v="1"/>
    <x v="1"/>
    <s v=""/>
    <n v="0"/>
    <s v="FFTFIE3235"/>
    <n v="0.5"/>
    <s v=""/>
    <n v="0"/>
    <s v="FFTFIE3235NY"/>
    <n v="0.5"/>
    <s v="E3"/>
    <s v="모자"/>
    <s v="FFT"/>
    <s v="FI"/>
    <x v="25"/>
    <s v="FFTFIE3235"/>
    <x v="661"/>
    <x v="1"/>
    <n v="50"/>
    <n v="2450000"/>
    <n v="1002272.7272727272"/>
    <n v="2.2222222222222223"/>
    <n v="50"/>
    <n v="0"/>
  </r>
  <r>
    <x v="1"/>
    <x v="1"/>
    <s v=""/>
    <n v="0"/>
    <s v="FFTFIE3234"/>
    <n v="0.5"/>
    <s v=""/>
    <n v="0"/>
    <s v="FFTFIE3234RE"/>
    <n v="0.5"/>
    <s v="E3"/>
    <s v="모자"/>
    <s v="FFT"/>
    <s v="FI"/>
    <x v="25"/>
    <s v="FFTFIE3234"/>
    <x v="662"/>
    <x v="1"/>
    <n v="50"/>
    <n v="2450000"/>
    <n v="1002272.7272727272"/>
    <n v="2.2222222222222223"/>
    <n v="50"/>
    <n v="0"/>
  </r>
  <r>
    <x v="1"/>
    <x v="0"/>
    <s v="FFTFIE3228"/>
    <n v="1"/>
    <s v=""/>
    <n v="0"/>
    <s v="FFTFIE3228BK"/>
    <n v="1"/>
    <s v=""/>
    <n v="0"/>
    <s v="E3"/>
    <s v="모자"/>
    <s v="FFT"/>
    <s v="FI"/>
    <x v="25"/>
    <s v="FFTFIE3228"/>
    <x v="735"/>
    <x v="1"/>
    <n v="200"/>
    <n v="9800000"/>
    <n v="4009090.9090909087"/>
    <n v="2.2222222222222223"/>
    <n v="190"/>
    <n v="0"/>
  </r>
  <r>
    <x v="1"/>
    <x v="0"/>
    <s v="FFTFIE3232"/>
    <n v="1"/>
    <s v=""/>
    <n v="0"/>
    <s v="FFTFIE3232RE"/>
    <n v="1"/>
    <s v=""/>
    <n v="0"/>
    <s v="E3"/>
    <s v="모자"/>
    <s v="FFT"/>
    <s v="FI"/>
    <x v="25"/>
    <s v="FFTFIE3232"/>
    <x v="736"/>
    <x v="1"/>
    <n v="85"/>
    <n v="4165000"/>
    <n v="1703863.6363636362"/>
    <n v="2.2222222222222223"/>
    <n v="85"/>
    <n v="0"/>
  </r>
  <r>
    <x v="1"/>
    <x v="0"/>
    <s v="FFTFIE3230"/>
    <n v="1"/>
    <s v=""/>
    <n v="0"/>
    <s v="FFTFIE3230BL"/>
    <n v="1"/>
    <s v=""/>
    <n v="0"/>
    <s v="E3"/>
    <s v="모자"/>
    <s v="FFT"/>
    <s v="FI"/>
    <x v="25"/>
    <s v="FFTFIE3230"/>
    <x v="737"/>
    <x v="1"/>
    <n v="80"/>
    <n v="3920000"/>
    <n v="1603636.3636363635"/>
    <n v="2.2222222222222223"/>
    <n v="80"/>
    <n v="0"/>
  </r>
  <r>
    <x v="1"/>
    <x v="0"/>
    <s v="FFTFIE3229"/>
    <n v="1"/>
    <s v=""/>
    <n v="0"/>
    <s v="FFTFIE3229WH"/>
    <n v="1"/>
    <s v=""/>
    <n v="0"/>
    <s v="E3"/>
    <s v="모자"/>
    <s v="FFT"/>
    <s v="FI"/>
    <x v="25"/>
    <s v="FFTFIE3229"/>
    <x v="738"/>
    <x v="1"/>
    <n v="80"/>
    <n v="3920000"/>
    <n v="1603636.3636363635"/>
    <n v="2.2222222222222223"/>
    <n v="80"/>
    <n v="0"/>
  </r>
  <r>
    <x v="1"/>
    <x v="1"/>
    <s v=""/>
    <n v="0"/>
    <s v="FFTFIE3243"/>
    <n v="0.5"/>
    <s v=""/>
    <n v="0"/>
    <s v="FFTFIE3243BK"/>
    <n v="0.5"/>
    <s v="E3"/>
    <s v="모자"/>
    <s v="FFT"/>
    <s v="FI"/>
    <x v="25"/>
    <s v="FFTFIE3243"/>
    <x v="663"/>
    <x v="1"/>
    <n v="50"/>
    <n v="2950000"/>
    <n v="1206818.1818181819"/>
    <n v="2.2222222222222219"/>
    <n v="50"/>
    <n v="0"/>
  </r>
  <r>
    <x v="1"/>
    <x v="0"/>
    <s v="FFTFIE3245"/>
    <n v="1"/>
    <s v=""/>
    <n v="0"/>
    <s v="FFTFIE3245BK"/>
    <n v="1"/>
    <s v=""/>
    <n v="0"/>
    <s v="E3"/>
    <s v="모자"/>
    <s v="FFT"/>
    <s v="FI"/>
    <x v="25"/>
    <s v="FFTFIE3245"/>
    <x v="739"/>
    <x v="1"/>
    <n v="120"/>
    <n v="5880000"/>
    <n v="2405454.5454545454"/>
    <n v="2.2222222222222223"/>
    <n v="120"/>
    <n v="0"/>
  </r>
  <r>
    <x v="1"/>
    <x v="0"/>
    <s v="FFTFIE3250"/>
    <n v="1"/>
    <s v=""/>
    <n v="0"/>
    <s v="FFTFIE3250RE"/>
    <n v="1"/>
    <s v=""/>
    <n v="0"/>
    <s v="E3"/>
    <s v="모자"/>
    <s v="FFT"/>
    <s v="FI"/>
    <x v="25"/>
    <s v="FFTFIE3250"/>
    <x v="740"/>
    <x v="1"/>
    <n v="135"/>
    <n v="6615000"/>
    <n v="2706136.3636363633"/>
    <n v="2.2222222222222223"/>
    <n v="135"/>
    <n v="0"/>
  </r>
  <r>
    <x v="1"/>
    <x v="0"/>
    <s v="FFTFIE3240"/>
    <n v="1"/>
    <s v=""/>
    <n v="0"/>
    <s v="FFTFIE3240BK"/>
    <n v="1"/>
    <s v=""/>
    <n v="0"/>
    <s v="E3"/>
    <s v="모자"/>
    <s v="FFT"/>
    <s v="FI"/>
    <x v="25"/>
    <s v="FFTFIE3240"/>
    <x v="741"/>
    <x v="1"/>
    <n v="35"/>
    <n v="1715000"/>
    <n v="701590.90909090906"/>
    <n v="2.2222222222222223"/>
    <n v="35"/>
    <n v="0"/>
  </r>
  <r>
    <x v="1"/>
    <x v="0"/>
    <s v="FFTFIE3251"/>
    <n v="1"/>
    <s v=""/>
    <n v="0"/>
    <s v="FFTFIE3251WH"/>
    <n v="1"/>
    <s v=""/>
    <n v="0"/>
    <s v="E3"/>
    <s v="모자"/>
    <s v="FFT"/>
    <s v="FI"/>
    <x v="25"/>
    <s v="FFTFIE3251"/>
    <x v="742"/>
    <x v="1"/>
    <n v="15"/>
    <n v="735000"/>
    <n v="300681.81818181818"/>
    <n v="2.2222222222222223"/>
    <n v="15"/>
    <n v="0"/>
  </r>
  <r>
    <x v="0"/>
    <x v="0"/>
    <s v="FFTFIE3303"/>
    <n v="1"/>
    <s v=""/>
    <n v="0"/>
    <s v="FFTFIE3303RE"/>
    <n v="1"/>
    <s v=""/>
    <n v="0"/>
    <s v="E3"/>
    <s v="모자"/>
    <s v="FFT"/>
    <s v="FI"/>
    <x v="25"/>
    <s v="FFTFIE3303"/>
    <x v="743"/>
    <x v="1"/>
    <n v="50"/>
    <n v="2450000"/>
    <n v="1002272.7272727272"/>
    <n v="2.2222222222222223"/>
    <n v="50"/>
    <n v="0"/>
  </r>
  <r>
    <x v="1"/>
    <x v="0"/>
    <s v="FFTFIE3241"/>
    <n v="1"/>
    <s v=""/>
    <n v="0"/>
    <s v="FFTFIE3241GY"/>
    <n v="1"/>
    <s v=""/>
    <n v="0"/>
    <s v="E3"/>
    <s v="모자"/>
    <s v="FFT"/>
    <s v="FI"/>
    <x v="25"/>
    <s v="FFTFIE3241"/>
    <x v="744"/>
    <x v="1"/>
    <n v="35"/>
    <n v="1715000"/>
    <n v="701590.90909090906"/>
    <n v="2.2222222222222223"/>
    <n v="35"/>
    <n v="0"/>
  </r>
  <r>
    <x v="1"/>
    <x v="0"/>
    <s v="FFTFIE3231"/>
    <n v="1"/>
    <s v=""/>
    <n v="0"/>
    <s v="FFTFIE3231YE"/>
    <n v="1"/>
    <s v=""/>
    <n v="0"/>
    <s v="E3"/>
    <s v="모자"/>
    <s v="FFT"/>
    <s v="FI"/>
    <x v="25"/>
    <s v="FFTFIE3231"/>
    <x v="745"/>
    <x v="1"/>
    <n v="85"/>
    <n v="4165000"/>
    <n v="1703863.6363636362"/>
    <n v="2.2222222222222223"/>
    <n v="85"/>
    <n v="0"/>
  </r>
  <r>
    <x v="1"/>
    <x v="0"/>
    <s v="FFTFIE3205"/>
    <n v="1"/>
    <s v=""/>
    <n v="0"/>
    <s v="FFTFIE3205RE"/>
    <n v="1"/>
    <s v=""/>
    <n v="0"/>
    <s v="E3"/>
    <s v="모자"/>
    <s v="FFT"/>
    <s v="FI"/>
    <x v="25"/>
    <s v="FFTFIE3205"/>
    <x v="746"/>
    <x v="1"/>
    <n v="130"/>
    <n v="5850000"/>
    <n v="2393181.8181818179"/>
    <n v="2.2222222222222223"/>
    <n v="130"/>
    <n v="0"/>
  </r>
  <r>
    <x v="0"/>
    <x v="0"/>
    <s v="FFTFIE3304"/>
    <n v="1"/>
    <s v=""/>
    <n v="0"/>
    <s v="FFTFIE3304RE"/>
    <n v="1"/>
    <s v=""/>
    <n v="0"/>
    <s v="E3"/>
    <s v="모자"/>
    <s v="FFT"/>
    <s v="FI"/>
    <x v="25"/>
    <s v="FFTFIE3304"/>
    <x v="747"/>
    <x v="1"/>
    <n v="80"/>
    <n v="3920000"/>
    <n v="1603636.3636363635"/>
    <n v="2.2222222222222223"/>
    <n v="80"/>
    <n v="0"/>
  </r>
  <r>
    <x v="0"/>
    <x v="0"/>
    <s v="FFTFIE3305"/>
    <n v="1"/>
    <s v=""/>
    <n v="0"/>
    <s v="FFTFIE3305BL"/>
    <n v="1"/>
    <s v=""/>
    <n v="0"/>
    <s v="E3"/>
    <s v="모자"/>
    <s v="FFT"/>
    <s v="FI"/>
    <x v="25"/>
    <s v="FFTFIE3305"/>
    <x v="748"/>
    <x v="1"/>
    <n v="80"/>
    <n v="3920000"/>
    <n v="1603636.3636363635"/>
    <n v="2.2222222222222223"/>
    <n v="80"/>
    <n v="0"/>
  </r>
  <r>
    <x v="0"/>
    <x v="0"/>
    <s v="FFTFIE3306"/>
    <n v="1"/>
    <s v=""/>
    <n v="0"/>
    <s v="FFTFIE3306BK"/>
    <n v="1"/>
    <s v=""/>
    <n v="0"/>
    <s v="E3"/>
    <s v="모자"/>
    <s v="FFT"/>
    <s v="FI"/>
    <x v="25"/>
    <s v="FFTFIE3306"/>
    <x v="749"/>
    <x v="1"/>
    <n v="30"/>
    <n v="1470000"/>
    <n v="601363.63636363635"/>
    <n v="2.2222222222222223"/>
    <n v="30"/>
    <n v="0"/>
  </r>
  <r>
    <x v="0"/>
    <x v="0"/>
    <s v="FFTFIE3307"/>
    <n v="1"/>
    <s v=""/>
    <n v="0"/>
    <s v="FFTFIE3307RE"/>
    <n v="1"/>
    <s v=""/>
    <n v="0"/>
    <s v="E3"/>
    <s v="모자"/>
    <s v="FFT"/>
    <s v="FI"/>
    <x v="25"/>
    <s v="FFTFIE3307"/>
    <x v="750"/>
    <x v="1"/>
    <n v="30"/>
    <n v="1470000"/>
    <n v="601363.63636363635"/>
    <n v="2.2222222222222223"/>
    <n v="30"/>
    <n v="0"/>
  </r>
  <r>
    <x v="0"/>
    <x v="0"/>
    <s v="FFTFIE3308"/>
    <n v="1"/>
    <s v=""/>
    <n v="0"/>
    <s v="FFTFIE3308WH"/>
    <n v="1"/>
    <s v=""/>
    <n v="0"/>
    <s v="E3"/>
    <s v="모자"/>
    <s v="FFT"/>
    <s v="FI"/>
    <x v="25"/>
    <s v="FFTFIE3308"/>
    <x v="751"/>
    <x v="1"/>
    <n v="30"/>
    <n v="1470000"/>
    <n v="601363.63636363635"/>
    <n v="2.2222222222222223"/>
    <n v="30"/>
    <n v="0"/>
  </r>
  <r>
    <x v="0"/>
    <x v="0"/>
    <s v="FFTFIE3309"/>
    <n v="1"/>
    <s v=""/>
    <n v="0"/>
    <s v="FFTFIE3309BK"/>
    <n v="1"/>
    <s v=""/>
    <n v="0"/>
    <s v="E3"/>
    <s v="모자"/>
    <s v="FFT"/>
    <s v="FI"/>
    <x v="25"/>
    <s v="FFTFIE3309"/>
    <x v="752"/>
    <x v="1"/>
    <n v="30"/>
    <n v="1470000"/>
    <n v="601363.63636363635"/>
    <n v="2.2222222222222223"/>
    <n v="27"/>
    <n v="0"/>
  </r>
  <r>
    <x v="0"/>
    <x v="0"/>
    <s v="FFTFIE3310"/>
    <n v="1"/>
    <s v=""/>
    <n v="0"/>
    <s v="FFTFIE3310WH"/>
    <n v="1"/>
    <s v=""/>
    <n v="0"/>
    <s v="E3"/>
    <s v="모자"/>
    <s v="FFT"/>
    <s v="FI"/>
    <x v="25"/>
    <s v="FFTFIE3310"/>
    <x v="753"/>
    <x v="1"/>
    <n v="30"/>
    <n v="1470000"/>
    <n v="601363.63636363635"/>
    <n v="2.2222222222222223"/>
    <n v="30"/>
    <n v="0"/>
  </r>
  <r>
    <x v="0"/>
    <x v="0"/>
    <s v="FFTFIE3312"/>
    <n v="1"/>
    <s v=""/>
    <n v="0"/>
    <s v="FFTFIE3312BK"/>
    <n v="1"/>
    <s v=""/>
    <n v="0"/>
    <s v="E3"/>
    <s v="모자"/>
    <s v="FFT"/>
    <s v="FI"/>
    <x v="25"/>
    <s v="FFTFIE3312"/>
    <x v="754"/>
    <x v="1"/>
    <n v="150"/>
    <n v="7350000"/>
    <n v="3006818.1818181816"/>
    <n v="2.2222222222222223"/>
    <n v="150"/>
    <n v="0"/>
  </r>
  <r>
    <x v="0"/>
    <x v="0"/>
    <s v="FFTFIE3314"/>
    <n v="1"/>
    <s v=""/>
    <n v="0"/>
    <s v="FFTFIE3314NY"/>
    <n v="1"/>
    <s v=""/>
    <n v="0"/>
    <s v="E3"/>
    <s v="모자"/>
    <s v="FFT"/>
    <s v="FI"/>
    <x v="25"/>
    <s v="FFTFIE3314"/>
    <x v="755"/>
    <x v="1"/>
    <n v="150"/>
    <n v="7350000"/>
    <n v="3006818.1818181816"/>
    <n v="2.2222222222222223"/>
    <n v="150"/>
    <n v="0"/>
  </r>
  <r>
    <x v="0"/>
    <x v="0"/>
    <s v="FFTFIE3315"/>
    <n v="1"/>
    <s v=""/>
    <n v="0"/>
    <s v="FFTFIE3315BK"/>
    <n v="1"/>
    <s v=""/>
    <n v="0"/>
    <s v="E3"/>
    <s v="모자"/>
    <s v="FFT"/>
    <s v="FI"/>
    <x v="25"/>
    <s v="FFTFIE3315"/>
    <x v="756"/>
    <x v="1"/>
    <n v="30"/>
    <n v="1470000"/>
    <n v="601363.63636363635"/>
    <n v="2.2222222222222223"/>
    <n v="30"/>
    <n v="0"/>
  </r>
  <r>
    <x v="0"/>
    <x v="0"/>
    <s v="SMBBAE3359"/>
    <n v="1"/>
    <s v=""/>
    <n v="0"/>
    <s v="SMBBAE3359BK"/>
    <n v="1"/>
    <s v=""/>
    <n v="0"/>
    <s v="E3"/>
    <s v="모자"/>
    <s v="SMB"/>
    <s v="BA"/>
    <x v="13"/>
    <s v="SMBBAE3359"/>
    <x v="757"/>
    <x v="0"/>
    <n v="1000"/>
    <n v="65000000"/>
    <n v="13500000"/>
    <n v="4.3771043771043763"/>
    <n v="0"/>
    <n v="1000"/>
  </r>
  <r>
    <x v="1"/>
    <x v="0"/>
    <s v="SMBBAE3222"/>
    <n v="1"/>
    <s v=""/>
    <n v="0"/>
    <s v="SMBBAE3222GY"/>
    <n v="1"/>
    <s v=""/>
    <n v="0"/>
    <s v="E3"/>
    <s v="모자"/>
    <s v="SMB"/>
    <s v="BA"/>
    <x v="13"/>
    <s v="SMBBAE3222"/>
    <x v="758"/>
    <x v="0"/>
    <n v="700"/>
    <n v="34300000"/>
    <n v="4420325"/>
    <n v="7.0541913053493088"/>
    <n v="0"/>
    <n v="700"/>
  </r>
  <r>
    <x v="1"/>
    <x v="0"/>
    <s v="SMBFLE3203"/>
    <n v="1"/>
    <s v=""/>
    <n v="0"/>
    <s v="SMBFLE3203NY"/>
    <n v="1"/>
    <s v=""/>
    <n v="0"/>
    <s v="E3"/>
    <s v="모자"/>
    <s v="SMB"/>
    <s v="FL"/>
    <x v="13"/>
    <s v="SMBFLE3203"/>
    <x v="759"/>
    <x v="0"/>
    <n v="700"/>
    <n v="30100000"/>
    <n v="4096925"/>
    <n v="6.6790669498798154"/>
    <n v="0"/>
    <n v="700"/>
  </r>
  <r>
    <x v="1"/>
    <x v="0"/>
    <s v="SMBFLE3205"/>
    <n v="1"/>
    <s v=""/>
    <n v="0"/>
    <s v="SMBFLE3205NY"/>
    <n v="1"/>
    <s v=""/>
    <n v="0"/>
    <s v="E3"/>
    <s v="모자"/>
    <s v="SMB"/>
    <s v="FL"/>
    <x v="13"/>
    <s v="SMBFLE3205"/>
    <x v="760"/>
    <x v="0"/>
    <n v="700"/>
    <n v="30100000"/>
    <n v="4258625"/>
    <n v="6.4254627640697084"/>
    <n v="0"/>
    <n v="700"/>
  </r>
  <r>
    <x v="1"/>
    <x v="0"/>
    <s v="SMBFLE3208"/>
    <n v="1"/>
    <s v=""/>
    <n v="0"/>
    <s v="SMBFLE3208BK"/>
    <n v="1"/>
    <s v=""/>
    <n v="0"/>
    <s v="E3"/>
    <s v="모자"/>
    <s v="SMB"/>
    <s v="FL"/>
    <x v="13"/>
    <s v="SMBFLE3208"/>
    <x v="761"/>
    <x v="0"/>
    <n v="300"/>
    <n v="12900000"/>
    <n v="1773149.9999999995"/>
    <n v="6.6138074766786401"/>
    <n v="0"/>
    <n v="300"/>
  </r>
  <r>
    <x v="1"/>
    <x v="0"/>
    <s v="SMBFLE3241"/>
    <n v="1"/>
    <s v=""/>
    <n v="0"/>
    <s v="SMBFLE3241BK"/>
    <n v="1"/>
    <s v=""/>
    <n v="0"/>
    <s v="E3"/>
    <s v="모자"/>
    <s v="SMB"/>
    <s v="FL"/>
    <x v="13"/>
    <s v="SMBFLE3241"/>
    <x v="762"/>
    <x v="0"/>
    <n v="500"/>
    <n v="22500000"/>
    <n v="2810875"/>
    <n v="7.2769317221667453"/>
    <n v="0"/>
    <n v="500"/>
  </r>
  <r>
    <x v="1"/>
    <x v="0"/>
    <s v="ELSFIE3220"/>
    <n v="1"/>
    <s v=""/>
    <n v="0"/>
    <s v="ELSFIE3220GY"/>
    <n v="1"/>
    <s v=""/>
    <n v="0"/>
    <s v="E3"/>
    <s v="모자"/>
    <s v="ELS"/>
    <s v="FI"/>
    <x v="3"/>
    <s v="ELSFIE3220"/>
    <x v="763"/>
    <x v="0"/>
    <n v="1000"/>
    <n v="59000000"/>
    <n v="7662337.6623376617"/>
    <n v="7"/>
    <n v="0"/>
    <n v="1000"/>
  </r>
  <r>
    <x v="1"/>
    <x v="0"/>
    <s v="ELSUME3014"/>
    <n v="0.5"/>
    <s v=""/>
    <n v="0"/>
    <s v="ELSUME3014YE"/>
    <n v="1"/>
    <s v=""/>
    <n v="0"/>
    <s v="E3"/>
    <s v="모자"/>
    <s v="ELS"/>
    <s v="UM"/>
    <x v="3"/>
    <s v="ELSUME3014"/>
    <x v="764"/>
    <x v="0"/>
    <n v="1000"/>
    <n v="45000000"/>
    <n v="5844155.8441558434"/>
    <n v="7"/>
    <n v="0"/>
    <n v="1000"/>
  </r>
  <r>
    <x v="1"/>
    <x v="0"/>
    <s v="HCUMIE3002"/>
    <n v="1"/>
    <s v=""/>
    <n v="0"/>
    <s v="HCUMIE3002KH"/>
    <n v="1"/>
    <s v=""/>
    <n v="0"/>
    <s v="E3"/>
    <s v="모자"/>
    <s v="HCU"/>
    <s v="MI"/>
    <x v="12"/>
    <s v="HCUMIE3002"/>
    <x v="765"/>
    <x v="0"/>
    <n v="1000"/>
    <n v="45000000"/>
    <n v="6818181.8181818174"/>
    <n v="6"/>
    <n v="0"/>
    <n v="1000"/>
  </r>
  <r>
    <x v="0"/>
    <x v="1"/>
    <s v=""/>
    <n v="0"/>
    <s v="HCUMIE3302"/>
    <n v="1"/>
    <s v=""/>
    <n v="0"/>
    <s v="HCUMIE3302GY"/>
    <n v="1"/>
    <s v="E3"/>
    <s v="모자"/>
    <s v="HCU"/>
    <s v="MI"/>
    <x v="12"/>
    <s v="HCUMIE3302"/>
    <x v="114"/>
    <x v="0"/>
    <n v="2000"/>
    <n v="70000000"/>
    <n v="10606060.606060605"/>
    <n v="5.9999999999999991"/>
    <n v="0"/>
    <n v="2000"/>
  </r>
  <r>
    <x v="1"/>
    <x v="0"/>
    <s v="JILMIE3152"/>
    <n v="0.25"/>
    <s v=""/>
    <n v="0"/>
    <s v="JILMIE3152KH"/>
    <n v="1"/>
    <s v=""/>
    <n v="0"/>
    <s v="E3"/>
    <s v="모자"/>
    <s v="JIL"/>
    <s v="MI"/>
    <x v="4"/>
    <s v="JILMIE3152"/>
    <x v="766"/>
    <x v="0"/>
    <n v="1000"/>
    <n v="45000000"/>
    <n v="6673590"/>
    <n v="6.1299976338209126"/>
    <n v="0"/>
    <n v="1000"/>
  </r>
  <r>
    <x v="1"/>
    <x v="0"/>
    <s v="JILMIE3152"/>
    <n v="0.25"/>
    <s v=""/>
    <n v="0"/>
    <s v="JILMIE3152NY"/>
    <n v="1"/>
    <s v=""/>
    <n v="0"/>
    <s v="E3"/>
    <s v="모자"/>
    <s v="JIL"/>
    <s v="MI"/>
    <x v="4"/>
    <s v="JILMIE3152"/>
    <x v="767"/>
    <x v="0"/>
    <n v="700"/>
    <n v="31500000"/>
    <n v="4671513"/>
    <n v="6.1299976338209126"/>
    <n v="0"/>
    <n v="700"/>
  </r>
  <r>
    <x v="0"/>
    <x v="1"/>
    <s v=""/>
    <n v="0"/>
    <s v="JILMIE3311"/>
    <n v="0.5"/>
    <s v=""/>
    <n v="0"/>
    <s v="JILMIE3311BK"/>
    <n v="1"/>
    <s v="E3"/>
    <s v="모자"/>
    <s v="JIL"/>
    <s v="MI"/>
    <x v="4"/>
    <s v="JILMIE3311"/>
    <x v="117"/>
    <x v="0"/>
    <n v="3000"/>
    <n v="87000000"/>
    <n v="14285178.000000002"/>
    <n v="5.5365714792569669"/>
    <n v="0"/>
    <n v="3000"/>
  </r>
  <r>
    <x v="0"/>
    <x v="1"/>
    <s v=""/>
    <n v="0"/>
    <s v="JILMIE3311"/>
    <n v="0.5"/>
    <s v=""/>
    <n v="0"/>
    <s v="JILMIE3311NY"/>
    <n v="1"/>
    <s v="E3"/>
    <s v="모자"/>
    <s v="JIL"/>
    <s v="MI"/>
    <x v="4"/>
    <s v="JILMIE3311"/>
    <x v="118"/>
    <x v="0"/>
    <n v="5000"/>
    <n v="145000000"/>
    <n v="22658630.000000004"/>
    <n v="5.8175706924108725"/>
    <n v="0"/>
    <n v="5000"/>
  </r>
  <r>
    <x v="0"/>
    <x v="1"/>
    <s v=""/>
    <n v="0"/>
    <s v="JILMIE3314"/>
    <n v="1"/>
    <s v=""/>
    <n v="0"/>
    <s v="JILMIE3314BK"/>
    <n v="1"/>
    <s v="E3"/>
    <s v="모자"/>
    <s v="JIL"/>
    <s v="MI"/>
    <x v="4"/>
    <s v="JILMIE3314"/>
    <x v="121"/>
    <x v="0"/>
    <n v="3000"/>
    <n v="87000000"/>
    <n v="15302178.000000002"/>
    <n v="5.1686046973776589"/>
    <n v="0"/>
    <n v="3000"/>
  </r>
  <r>
    <x v="0"/>
    <x v="1"/>
    <s v=""/>
    <n v="0"/>
    <s v="JILMIE3313"/>
    <n v="1"/>
    <s v=""/>
    <n v="0"/>
    <s v="JILMIE3313BK"/>
    <n v="1"/>
    <s v="E3"/>
    <s v="모자"/>
    <s v="JIL"/>
    <s v="MI"/>
    <x v="4"/>
    <s v="JILMIE3313"/>
    <x v="123"/>
    <x v="0"/>
    <n v="3500"/>
    <n v="101500000"/>
    <n v="22786715.000000004"/>
    <n v="4.049408932912324"/>
    <n v="0"/>
    <n v="3500"/>
  </r>
  <r>
    <x v="1"/>
    <x v="1"/>
    <s v=""/>
    <n v="0"/>
    <s v="VBLBAE3216"/>
    <n v="0.25"/>
    <s v=""/>
    <n v="0"/>
    <s v="VBLBAE3216BL"/>
    <n v="1"/>
    <s v="E3"/>
    <s v="모자"/>
    <s v="VBL"/>
    <s v="BA"/>
    <x v="10"/>
    <s v="VBLBAE3216"/>
    <x v="230"/>
    <x v="0"/>
    <n v="1000"/>
    <n v="49000000"/>
    <n v="10020000"/>
    <n v="4.4456541462529486"/>
    <n v="0"/>
    <n v="1000"/>
  </r>
  <r>
    <x v="1"/>
    <x v="1"/>
    <s v=""/>
    <n v="0"/>
    <s v="BMDBAE3202"/>
    <n v="0.33333333333333331"/>
    <s v=""/>
    <n v="0"/>
    <s v="BMDBAE3202BK"/>
    <n v="1"/>
    <s v="E3"/>
    <s v="모자"/>
    <s v="BMD"/>
    <s v="BA"/>
    <x v="18"/>
    <s v="BMDBAE3202"/>
    <x v="341"/>
    <x v="0"/>
    <n v="1000"/>
    <n v="55000000"/>
    <n v="9000000"/>
    <n v="5.5555555555555554"/>
    <n v="0"/>
    <n v="1000"/>
  </r>
  <r>
    <x v="1"/>
    <x v="1"/>
    <s v=""/>
    <n v="0"/>
    <s v="BMDBAE3202"/>
    <n v="0.33333333333333331"/>
    <s v=""/>
    <n v="0"/>
    <s v="BMDBAE3202PK"/>
    <n v="1"/>
    <s v="E3"/>
    <s v="모자"/>
    <s v="BMD"/>
    <s v="BA"/>
    <x v="18"/>
    <s v="BMDBAE3202"/>
    <x v="342"/>
    <x v="0"/>
    <n v="2000"/>
    <n v="110000000"/>
    <n v="18000000"/>
    <n v="5.5555555555555554"/>
    <n v="0"/>
    <n v="2000"/>
  </r>
  <r>
    <x v="1"/>
    <x v="1"/>
    <s v=""/>
    <n v="0"/>
    <s v="BMDBAE3202"/>
    <n v="0.33333333333333331"/>
    <s v=""/>
    <n v="0"/>
    <s v="BMDBAE3202RE"/>
    <n v="1"/>
    <s v="E3"/>
    <s v="모자"/>
    <s v="BMD"/>
    <s v="BA"/>
    <x v="18"/>
    <s v="BMDBAE3202"/>
    <x v="602"/>
    <x v="0"/>
    <n v="1000"/>
    <n v="55000000"/>
    <n v="9000000"/>
    <n v="5.5555555555555554"/>
    <n v="0"/>
    <n v="1000"/>
  </r>
  <r>
    <x v="1"/>
    <x v="0"/>
    <s v="ELSBPE3101"/>
    <n v="1"/>
    <s v=""/>
    <n v="0"/>
    <s v="ELSBPE3101BK"/>
    <n v="1"/>
    <s v=""/>
    <n v="0"/>
    <s v="E3"/>
    <s v="가방"/>
    <s v="ELS"/>
    <s v="BP"/>
    <x v="0"/>
    <s v="ELSBPE3101"/>
    <x v="768"/>
    <x v="0"/>
    <n v="1000"/>
    <n v="139000000"/>
    <n v="25720000"/>
    <n v="4.9130496253357832"/>
    <n v="0"/>
    <n v="1000"/>
  </r>
  <r>
    <x v="1"/>
    <x v="1"/>
    <s v=""/>
    <n v="0"/>
    <s v="ELSBPE3601"/>
    <n v="1"/>
    <s v=""/>
    <n v="0"/>
    <s v="ELSBPE3601BK"/>
    <n v="1"/>
    <s v="E3"/>
    <s v="가방"/>
    <s v="ELS"/>
    <s v="BP"/>
    <x v="0"/>
    <s v="ELSBPE3601"/>
    <x v="335"/>
    <x v="0"/>
    <n v="700"/>
    <n v="76300000"/>
    <n v="16044000"/>
    <n v="4.3233380929716008"/>
    <n v="0"/>
    <n v="700"/>
  </r>
  <r>
    <x v="1"/>
    <x v="0"/>
    <s v="ELSBPE3104"/>
    <n v="1"/>
    <s v=""/>
    <n v="0"/>
    <s v="ELSBPE3104BK"/>
    <n v="1"/>
    <s v=""/>
    <n v="0"/>
    <s v="E3"/>
    <s v="가방"/>
    <s v="ELS"/>
    <s v="BP"/>
    <x v="0"/>
    <s v="ELSBPE3104"/>
    <x v="769"/>
    <x v="0"/>
    <n v="500"/>
    <n v="49500000"/>
    <n v="12510000"/>
    <n v="3.5971223021582728"/>
    <n v="0"/>
    <n v="500"/>
  </r>
  <r>
    <x v="1"/>
    <x v="0"/>
    <s v="ELSBPE3604"/>
    <n v="1"/>
    <s v=""/>
    <n v="0"/>
    <s v="ELSBPE3604BK"/>
    <n v="1"/>
    <s v=""/>
    <n v="0"/>
    <s v="E3"/>
    <s v="가방"/>
    <s v="ELS"/>
    <s v="BP"/>
    <x v="0"/>
    <s v="ELSBPE3604"/>
    <x v="770"/>
    <x v="0"/>
    <n v="500"/>
    <n v="44500000"/>
    <n v="9510000"/>
    <n v="4.2538954210878499"/>
    <n v="0"/>
    <n v="500"/>
  </r>
  <r>
    <x v="1"/>
    <x v="0"/>
    <s v="ELSBPE3602"/>
    <n v="1"/>
    <s v=""/>
    <n v="0"/>
    <s v="ELSBPE3602YE"/>
    <n v="1"/>
    <s v=""/>
    <n v="0"/>
    <s v="E3"/>
    <s v="가방"/>
    <s v="ELS"/>
    <s v="BP"/>
    <x v="0"/>
    <s v="ELSBPE3602"/>
    <x v="771"/>
    <x v="0"/>
    <n v="500"/>
    <n v="54500000"/>
    <n v="11460000"/>
    <n v="4.3233380929715999"/>
    <n v="0"/>
    <n v="500"/>
  </r>
  <r>
    <x v="1"/>
    <x v="0"/>
    <s v="ELSBPE3103"/>
    <n v="1"/>
    <s v=""/>
    <n v="0"/>
    <s v="ELSBPE3103GR"/>
    <n v="1"/>
    <s v=""/>
    <n v="0"/>
    <s v="E3"/>
    <s v="가방"/>
    <s v="ELS"/>
    <s v="BP"/>
    <x v="0"/>
    <s v="ELSBPE3103"/>
    <x v="772"/>
    <x v="0"/>
    <n v="500"/>
    <n v="69500000"/>
    <n v="12860000"/>
    <n v="4.9130496253357832"/>
    <n v="0"/>
    <n v="500"/>
  </r>
  <r>
    <x v="1"/>
    <x v="0"/>
    <s v="ELSBPE3603"/>
    <n v="0.5"/>
    <s v=""/>
    <n v="0"/>
    <s v="ELSBPE3603GR"/>
    <n v="1"/>
    <s v=""/>
    <n v="0"/>
    <s v="E3"/>
    <s v="가방"/>
    <s v="ELS"/>
    <s v="BP"/>
    <x v="0"/>
    <s v="ELSBPE3603"/>
    <x v="773"/>
    <x v="0"/>
    <n v="500"/>
    <n v="54500000"/>
    <n v="11460000"/>
    <n v="4.3233380929715999"/>
    <n v="0"/>
    <n v="500"/>
  </r>
  <r>
    <x v="1"/>
    <x v="1"/>
    <s v=""/>
    <n v="0"/>
    <s v="ELSBPE3603"/>
    <n v="1"/>
    <s v=""/>
    <n v="0"/>
    <s v="ELSBPE3603PK"/>
    <n v="1"/>
    <s v="E3"/>
    <s v="가방"/>
    <s v="ELS"/>
    <s v="BP"/>
    <x v="0"/>
    <s v="ELSBPE3603"/>
    <x v="337"/>
    <x v="0"/>
    <n v="1000"/>
    <n v="109000000"/>
    <n v="22920000"/>
    <n v="4.3233380929715999"/>
    <n v="0"/>
    <n v="1000"/>
  </r>
  <r>
    <x v="1"/>
    <x v="0"/>
    <s v="ELSBPE3611"/>
    <n v="0.33333333333333331"/>
    <s v=""/>
    <n v="0"/>
    <s v="ELSBPE3611PK"/>
    <n v="1"/>
    <s v=""/>
    <n v="0"/>
    <s v="E3"/>
    <s v="가방"/>
    <s v="ELS"/>
    <s v="BP"/>
    <x v="0"/>
    <s v="ELSBPE3611"/>
    <x v="774"/>
    <x v="0"/>
    <n v="500"/>
    <n v="49500000"/>
    <n v="10010000"/>
    <n v="4.4955044955044956"/>
    <n v="0"/>
    <n v="500"/>
  </r>
  <r>
    <x v="1"/>
    <x v="0"/>
    <s v="ELSBPE3704"/>
    <n v="1"/>
    <s v=""/>
    <n v="0"/>
    <s v="ELSBPE3704PK"/>
    <n v="1"/>
    <s v=""/>
    <n v="0"/>
    <s v="E3"/>
    <s v="가방"/>
    <s v="ELS"/>
    <s v="BP"/>
    <x v="0"/>
    <s v="ELSBPE3704"/>
    <x v="775"/>
    <x v="0"/>
    <n v="500"/>
    <n v="49500000"/>
    <n v="11260000"/>
    <n v="3.9964476021314379"/>
    <n v="0"/>
    <n v="500"/>
  </r>
  <r>
    <x v="0"/>
    <x v="1"/>
    <s v=""/>
    <n v="0"/>
    <s v="ELSSBE3801"/>
    <n v="1"/>
    <s v=""/>
    <n v="0"/>
    <s v="ELSSBE3801BK"/>
    <n v="1"/>
    <s v="E3"/>
    <s v="가방"/>
    <s v="ELS"/>
    <s v="SB"/>
    <x v="0"/>
    <s v="ELSSBE3801"/>
    <x v="0"/>
    <x v="0"/>
    <n v="500"/>
    <n v="22500000"/>
    <n v="5010000"/>
    <n v="4.0827436037016875"/>
    <n v="0"/>
    <n v="500"/>
  </r>
  <r>
    <x v="0"/>
    <x v="1"/>
    <s v=""/>
    <n v="0"/>
    <s v="ELSSBE3803"/>
    <n v="1"/>
    <s v=""/>
    <n v="0"/>
    <s v="ELSSBE3803PK"/>
    <n v="1"/>
    <s v="E3"/>
    <s v="가방"/>
    <s v="ELS"/>
    <s v="SB"/>
    <x v="0"/>
    <s v="ELSSBE3803"/>
    <x v="3"/>
    <x v="0"/>
    <n v="500"/>
    <n v="22500000"/>
    <n v="5010000"/>
    <n v="4.0827436037016875"/>
    <n v="0"/>
    <n v="500"/>
  </r>
  <r>
    <x v="0"/>
    <x v="0"/>
    <s v="FFTFIE3319"/>
    <n v="1"/>
    <s v=""/>
    <n v="0"/>
    <s v="FFTFIE3319BL"/>
    <n v="1"/>
    <s v=""/>
    <n v="0"/>
    <s v="E3"/>
    <s v="모자"/>
    <s v="FFT"/>
    <s v="FI"/>
    <x v="25"/>
    <s v="FFTFIE3319"/>
    <x v="776"/>
    <x v="1"/>
    <n v="300"/>
    <n v="14700000"/>
    <n v="6013636.3636363633"/>
    <n v="2.2222222222222223"/>
    <n v="300"/>
    <n v="0"/>
  </r>
  <r>
    <x v="0"/>
    <x v="0"/>
    <s v="FFTFIE3316"/>
    <n v="1"/>
    <s v=""/>
    <n v="0"/>
    <s v="FFTFIE3316BK"/>
    <n v="1"/>
    <s v=""/>
    <n v="0"/>
    <s v="E3"/>
    <s v="모자"/>
    <s v="FFT"/>
    <s v="FI"/>
    <x v="25"/>
    <s v="FFTFIE3316"/>
    <x v="777"/>
    <x v="1"/>
    <n v="150"/>
    <n v="7350000"/>
    <n v="3006818.1818181816"/>
    <n v="2.2222222222222223"/>
    <n v="150"/>
    <n v="0"/>
  </r>
  <r>
    <x v="0"/>
    <x v="1"/>
    <s v=""/>
    <n v="0"/>
    <s v="FFTFIE3313"/>
    <n v="1"/>
    <s v=""/>
    <n v="0"/>
    <s v="FFTFIE3313WH"/>
    <n v="1"/>
    <s v="E3"/>
    <s v="모자"/>
    <s v="FFT"/>
    <s v="FI"/>
    <x v="25"/>
    <s v="FFTFIE3313"/>
    <x v="652"/>
    <x v="1"/>
    <n v="50"/>
    <n v="2450000"/>
    <n v="1002272.7272727272"/>
    <n v="2.2222222222222223"/>
    <n v="50"/>
    <n v="0"/>
  </r>
  <r>
    <x v="0"/>
    <x v="0"/>
    <s v="FFTFIE3317"/>
    <n v="1"/>
    <s v=""/>
    <n v="0"/>
    <s v="FFTFIE3317BK"/>
    <n v="1"/>
    <s v=""/>
    <n v="0"/>
    <s v="E3"/>
    <s v="모자"/>
    <s v="FFT"/>
    <s v="FI"/>
    <x v="25"/>
    <s v="FFTFIE3317"/>
    <x v="778"/>
    <x v="1"/>
    <n v="100"/>
    <n v="4900000"/>
    <n v="2004545.4545454544"/>
    <n v="2.2222222222222223"/>
    <n v="100"/>
    <n v="0"/>
  </r>
  <r>
    <x v="1"/>
    <x v="1"/>
    <s v=""/>
    <n v="0"/>
    <s v="FFTFIE3208"/>
    <n v="0.25"/>
    <s v=""/>
    <n v="0"/>
    <s v="FFTFIE3208WH"/>
    <n v="1"/>
    <s v="E3"/>
    <s v="모자"/>
    <s v="FFT"/>
    <s v="FI"/>
    <x v="25"/>
    <s v="FFTFIE3208"/>
    <x v="653"/>
    <x v="1"/>
    <n v="100"/>
    <n v="4900000"/>
    <n v="2004545.4545454544"/>
    <n v="2.2222222222222223"/>
    <n v="100"/>
    <n v="0"/>
  </r>
  <r>
    <x v="1"/>
    <x v="1"/>
    <s v=""/>
    <n v="0"/>
    <s v="FFTFIE3208"/>
    <n v="0.25"/>
    <s v=""/>
    <n v="0"/>
    <s v="FFTFIE3208BK"/>
    <n v="0.5"/>
    <s v="E3"/>
    <s v="모자"/>
    <s v="FFT"/>
    <s v="FI"/>
    <x v="25"/>
    <s v="FFTFIE3208"/>
    <x v="654"/>
    <x v="1"/>
    <n v="150"/>
    <n v="7350000"/>
    <n v="3006818.1818181816"/>
    <n v="2.2222222222222223"/>
    <n v="150"/>
    <n v="0"/>
  </r>
  <r>
    <x v="1"/>
    <x v="0"/>
    <s v="FFTFIE3238"/>
    <n v="1"/>
    <s v=""/>
    <n v="0"/>
    <s v="FFTFIE3238BK"/>
    <n v="1"/>
    <s v=""/>
    <n v="0"/>
    <s v="E3"/>
    <s v="모자"/>
    <s v="FFT"/>
    <s v="FI"/>
    <x v="25"/>
    <s v="FFTFIE3238"/>
    <x v="779"/>
    <x v="1"/>
    <n v="150"/>
    <n v="7350000"/>
    <n v="3006818.1818181816"/>
    <n v="2.2222222222222223"/>
    <n v="150"/>
    <n v="0"/>
  </r>
  <r>
    <x v="1"/>
    <x v="1"/>
    <s v=""/>
    <n v="0"/>
    <s v="FFTFIE3209"/>
    <n v="0.5"/>
    <s v=""/>
    <n v="0"/>
    <s v="FFTFIE3209WH"/>
    <n v="1"/>
    <s v="E3"/>
    <s v="모자"/>
    <s v="FFT"/>
    <s v="FI"/>
    <x v="25"/>
    <s v="FFTFIE3209"/>
    <x v="656"/>
    <x v="1"/>
    <n v="150"/>
    <n v="7350000"/>
    <n v="3006818.1818181816"/>
    <n v="2.2222222222222223"/>
    <n v="150"/>
    <n v="0"/>
  </r>
  <r>
    <x v="1"/>
    <x v="1"/>
    <s v=""/>
    <n v="0"/>
    <s v="FFTFIE3209"/>
    <n v="0.5"/>
    <s v=""/>
    <n v="0"/>
    <s v="FFTFIE3209BK"/>
    <n v="1"/>
    <s v="E3"/>
    <s v="모자"/>
    <s v="FFT"/>
    <s v="FI"/>
    <x v="25"/>
    <s v="FFTFIE3209"/>
    <x v="657"/>
    <x v="1"/>
    <n v="150"/>
    <n v="7350000"/>
    <n v="3006818.1818181816"/>
    <n v="2.2222222222222223"/>
    <n v="150"/>
    <n v="0"/>
  </r>
  <r>
    <x v="1"/>
    <x v="1"/>
    <s v=""/>
    <n v="0"/>
    <s v="FFTFIE3225"/>
    <n v="1"/>
    <s v=""/>
    <n v="0"/>
    <s v="FFTFIE3225AR"/>
    <n v="1"/>
    <s v="E3"/>
    <s v="모자"/>
    <s v="FFT"/>
    <s v="FI"/>
    <x v="25"/>
    <s v="FFTFIE3225"/>
    <x v="734"/>
    <x v="1"/>
    <n v="100"/>
    <n v="4900000"/>
    <n v="2004545.4545454544"/>
    <n v="2.2222222222222223"/>
    <n v="100"/>
    <n v="0"/>
  </r>
  <r>
    <x v="1"/>
    <x v="1"/>
    <s v=""/>
    <n v="0"/>
    <s v="FFTFIE3211"/>
    <n v="0.5"/>
    <s v=""/>
    <n v="0"/>
    <s v="FFTFIE3211RE"/>
    <n v="0.5"/>
    <s v="E3"/>
    <s v="모자"/>
    <s v="FFT"/>
    <s v="FI"/>
    <x v="25"/>
    <s v="FFTFIE3211"/>
    <x v="658"/>
    <x v="1"/>
    <n v="80"/>
    <n v="3920000"/>
    <n v="1603636.3636363635"/>
    <n v="2.2222222222222223"/>
    <n v="80"/>
    <n v="0"/>
  </r>
  <r>
    <x v="0"/>
    <x v="1"/>
    <s v=""/>
    <n v="0"/>
    <s v="FFTFIE3311"/>
    <n v="1"/>
    <s v=""/>
    <n v="0"/>
    <s v="FFTFIE3311BL"/>
    <n v="1"/>
    <s v="E3"/>
    <s v="모자"/>
    <s v="FFT"/>
    <s v="FI"/>
    <x v="25"/>
    <s v="FFTFIE3311"/>
    <x v="659"/>
    <x v="1"/>
    <n v="200"/>
    <n v="9800000"/>
    <n v="4009090.9090909087"/>
    <n v="2.2222222222222223"/>
    <n v="200"/>
    <n v="0"/>
  </r>
  <r>
    <x v="1"/>
    <x v="1"/>
    <s v=""/>
    <n v="0"/>
    <s v="FFTFIE3235"/>
    <n v="0.5"/>
    <s v=""/>
    <n v="0"/>
    <s v="FFTFIE3235NY"/>
    <n v="0.5"/>
    <s v="E3"/>
    <s v="모자"/>
    <s v="FFT"/>
    <s v="FI"/>
    <x v="25"/>
    <s v="FFTFIE3235"/>
    <x v="661"/>
    <x v="1"/>
    <n v="200"/>
    <n v="9800000"/>
    <n v="4009090.9090909087"/>
    <n v="2.2222222222222223"/>
    <n v="200"/>
    <n v="0"/>
  </r>
  <r>
    <x v="1"/>
    <x v="1"/>
    <s v=""/>
    <n v="0"/>
    <s v="FFTFIE3234"/>
    <n v="0.5"/>
    <s v=""/>
    <n v="0"/>
    <s v="FFTFIE3234RE"/>
    <n v="0.5"/>
    <s v="E3"/>
    <s v="모자"/>
    <s v="FFT"/>
    <s v="FI"/>
    <x v="25"/>
    <s v="FFTFIE3234"/>
    <x v="662"/>
    <x v="1"/>
    <n v="100"/>
    <n v="4900000"/>
    <n v="2004545.4545454544"/>
    <n v="2.2222222222222223"/>
    <n v="100"/>
    <n v="0"/>
  </r>
  <r>
    <x v="1"/>
    <x v="1"/>
    <s v=""/>
    <n v="0"/>
    <s v="FFTFIE3228"/>
    <n v="1"/>
    <s v=""/>
    <n v="0"/>
    <s v="FFTFIE3228BK"/>
    <n v="1"/>
    <s v="E3"/>
    <s v="모자"/>
    <s v="FFT"/>
    <s v="FI"/>
    <x v="25"/>
    <s v="FFTFIE3228"/>
    <x v="735"/>
    <x v="1"/>
    <n v="200"/>
    <n v="9800000"/>
    <n v="4009090.9090909087"/>
    <n v="2.2222222222222223"/>
    <n v="200"/>
    <n v="0"/>
  </r>
  <r>
    <x v="1"/>
    <x v="1"/>
    <s v=""/>
    <n v="0"/>
    <s v="FFTFIE3229"/>
    <n v="1"/>
    <s v=""/>
    <n v="0"/>
    <s v="FFTFIE3229WH"/>
    <n v="1"/>
    <s v="E3"/>
    <s v="모자"/>
    <s v="FFT"/>
    <s v="FI"/>
    <x v="25"/>
    <s v="FFTFIE3229"/>
    <x v="738"/>
    <x v="1"/>
    <n v="150"/>
    <n v="7350000"/>
    <n v="3006818.1818181816"/>
    <n v="2.2222222222222223"/>
    <n v="120"/>
    <n v="0"/>
  </r>
  <r>
    <x v="1"/>
    <x v="1"/>
    <s v=""/>
    <n v="0"/>
    <s v="FFTFIE3243"/>
    <n v="0.5"/>
    <s v=""/>
    <n v="0"/>
    <s v="FFTFIE3243BK"/>
    <n v="0.5"/>
    <s v="E3"/>
    <s v="모자"/>
    <s v="FFT"/>
    <s v="FI"/>
    <x v="25"/>
    <s v="FFTFIE3243"/>
    <x v="663"/>
    <x v="1"/>
    <n v="100"/>
    <n v="5900000"/>
    <n v="2413636.3636363638"/>
    <n v="2.2222222222222219"/>
    <n v="100"/>
    <n v="0"/>
  </r>
  <r>
    <x v="1"/>
    <x v="0"/>
    <s v="FFTFIE3244"/>
    <n v="1"/>
    <s v=""/>
    <n v="0"/>
    <s v="FFTFIE3244BK"/>
    <n v="1"/>
    <s v=""/>
    <n v="0"/>
    <s v="E3"/>
    <s v="모자"/>
    <s v="FFT"/>
    <s v="FI"/>
    <x v="25"/>
    <s v="FFTFIE3244"/>
    <x v="780"/>
    <x v="1"/>
    <n v="200"/>
    <n v="9800000"/>
    <n v="4009090.9090909087"/>
    <n v="2.2222222222222223"/>
    <n v="200"/>
    <n v="0"/>
  </r>
  <r>
    <x v="1"/>
    <x v="1"/>
    <s v=""/>
    <n v="0"/>
    <s v="FFTFIE3240"/>
    <n v="1"/>
    <s v=""/>
    <n v="0"/>
    <s v="FFTFIE3240BK"/>
    <n v="1"/>
    <s v="E3"/>
    <s v="모자"/>
    <s v="FFT"/>
    <s v="FI"/>
    <x v="25"/>
    <s v="FFTFIE3240"/>
    <x v="741"/>
    <x v="1"/>
    <n v="80"/>
    <n v="3920000"/>
    <n v="1603636.3636363635"/>
    <n v="2.2222222222222223"/>
    <n v="80"/>
    <n v="0"/>
  </r>
  <r>
    <x v="1"/>
    <x v="1"/>
    <s v=""/>
    <n v="0"/>
    <s v="FFTFIE3251"/>
    <n v="1"/>
    <s v=""/>
    <n v="0"/>
    <s v="FFTFIE3251WH"/>
    <n v="1"/>
    <s v="E3"/>
    <s v="모자"/>
    <s v="FFT"/>
    <s v="FI"/>
    <x v="25"/>
    <s v="FFTFIE3251"/>
    <x v="742"/>
    <x v="1"/>
    <n v="100"/>
    <n v="4900000"/>
    <n v="2004545.4545454544"/>
    <n v="2.2222222222222223"/>
    <n v="100"/>
    <n v="0"/>
  </r>
  <r>
    <x v="1"/>
    <x v="1"/>
    <s v=""/>
    <n v="0"/>
    <s v="FFTFIE3241"/>
    <n v="1"/>
    <s v=""/>
    <n v="0"/>
    <s v="FFTFIE3241GY"/>
    <n v="1"/>
    <s v="E3"/>
    <s v="모자"/>
    <s v="FFT"/>
    <s v="FI"/>
    <x v="25"/>
    <s v="FFTFIE3241"/>
    <x v="744"/>
    <x v="1"/>
    <n v="80"/>
    <n v="3920000"/>
    <n v="1603636.3636363635"/>
    <n v="2.2222222222222223"/>
    <n v="80"/>
    <n v="0"/>
  </r>
  <r>
    <x v="0"/>
    <x v="0"/>
    <s v="FFTFIE3318"/>
    <n v="1"/>
    <s v=""/>
    <n v="0"/>
    <s v="FFTFIE3318BL"/>
    <n v="1"/>
    <s v=""/>
    <n v="0"/>
    <s v="E3"/>
    <s v="모자"/>
    <s v="FFT"/>
    <s v="FI"/>
    <x v="25"/>
    <s v="FFTFIE3318"/>
    <x v="781"/>
    <x v="1"/>
    <n v="50"/>
    <n v="2450000"/>
    <n v="1002272.7272727272"/>
    <n v="2.2222222222222223"/>
    <n v="50"/>
    <n v="0"/>
  </r>
  <r>
    <x v="1"/>
    <x v="1"/>
    <s v=""/>
    <n v="0"/>
    <s v="FFTFIE3231"/>
    <n v="1"/>
    <s v=""/>
    <n v="0"/>
    <s v="FFTFIE3231YE"/>
    <n v="1"/>
    <s v="E3"/>
    <s v="모자"/>
    <s v="FFT"/>
    <s v="FI"/>
    <x v="25"/>
    <s v="FFTFIE3231"/>
    <x v="745"/>
    <x v="1"/>
    <n v="80"/>
    <n v="3920000"/>
    <n v="1603636.3636363635"/>
    <n v="2.2222222222222223"/>
    <n v="80"/>
    <n v="0"/>
  </r>
  <r>
    <x v="1"/>
    <x v="1"/>
    <s v=""/>
    <n v="0"/>
    <s v="FFTFIE3205"/>
    <n v="1"/>
    <s v=""/>
    <n v="0"/>
    <s v="FFTFIE3205RE"/>
    <n v="1"/>
    <s v="E3"/>
    <s v="모자"/>
    <s v="FFT"/>
    <s v="FI"/>
    <x v="25"/>
    <s v="FFTFIE3205"/>
    <x v="746"/>
    <x v="1"/>
    <n v="50"/>
    <n v="2250000"/>
    <n v="920454.54545454541"/>
    <n v="2.2222222222222223"/>
    <n v="50"/>
    <n v="0"/>
  </r>
  <r>
    <x v="0"/>
    <x v="0"/>
    <s v="FFTFIE3320"/>
    <n v="1"/>
    <s v=""/>
    <n v="0"/>
    <s v="FFTFIE3320GY"/>
    <n v="1"/>
    <s v=""/>
    <n v="0"/>
    <s v="E3"/>
    <s v="모자"/>
    <s v="FFT"/>
    <s v="FI"/>
    <x v="25"/>
    <s v="FFTFIE3320"/>
    <x v="782"/>
    <x v="1"/>
    <n v="150"/>
    <n v="7350000"/>
    <n v="3006818.1818181816"/>
    <n v="2.2222222222222223"/>
    <n v="150"/>
    <n v="0"/>
  </r>
  <r>
    <x v="1"/>
    <x v="0"/>
    <s v="SMBBAE3229"/>
    <n v="1"/>
    <s v=""/>
    <n v="0"/>
    <s v="SMBBAE3229NY"/>
    <n v="1"/>
    <s v=""/>
    <n v="0"/>
    <s v="E3"/>
    <s v="모자"/>
    <s v="SMB"/>
    <s v="BA"/>
    <x v="13"/>
    <s v="SMBBAE3229"/>
    <x v="783"/>
    <x v="0"/>
    <n v="1000"/>
    <n v="49000000"/>
    <n v="6363636.3636363633"/>
    <n v="7"/>
    <n v="0"/>
    <n v="1000"/>
  </r>
  <r>
    <x v="1"/>
    <x v="0"/>
    <s v="SMBBAE3230"/>
    <n v="1"/>
    <s v=""/>
    <n v="0"/>
    <s v="SMBBAE3230PK"/>
    <n v="1"/>
    <s v=""/>
    <n v="0"/>
    <s v="E3"/>
    <s v="모자"/>
    <s v="SMB"/>
    <s v="BA"/>
    <x v="13"/>
    <s v="SMBBAE3230"/>
    <x v="784"/>
    <x v="0"/>
    <n v="500"/>
    <n v="24500000"/>
    <n v="3181818.1818181816"/>
    <n v="7"/>
    <n v="0"/>
    <n v="500"/>
  </r>
  <r>
    <x v="1"/>
    <x v="0"/>
    <s v="SMBFIE3708"/>
    <n v="1"/>
    <s v=""/>
    <n v="0"/>
    <s v="SMBFIE3708NY"/>
    <n v="1"/>
    <s v=""/>
    <n v="0"/>
    <s v="E3"/>
    <s v="모자"/>
    <s v="SMB"/>
    <s v="FI"/>
    <x v="13"/>
    <s v="SMBFIE3708"/>
    <x v="785"/>
    <x v="0"/>
    <n v="1000"/>
    <n v="43000000"/>
    <n v="5584415.5844155839"/>
    <n v="7"/>
    <n v="0"/>
    <n v="1000"/>
  </r>
  <r>
    <x v="1"/>
    <x v="0"/>
    <s v="SMBFIE3709"/>
    <n v="1"/>
    <s v=""/>
    <n v="0"/>
    <s v="SMBFIE3709PK"/>
    <n v="1"/>
    <s v=""/>
    <n v="0"/>
    <s v="E3"/>
    <s v="모자"/>
    <s v="SMB"/>
    <s v="FI"/>
    <x v="13"/>
    <s v="SMBFIE3709"/>
    <x v="786"/>
    <x v="0"/>
    <n v="700"/>
    <n v="30100000"/>
    <n v="3909090.9090909087"/>
    <n v="7"/>
    <n v="0"/>
    <n v="700"/>
  </r>
  <r>
    <x v="0"/>
    <x v="0"/>
    <s v="SMBFIE5360"/>
    <n v="1"/>
    <s v=""/>
    <n v="0"/>
    <s v="SMBFIE5360YE"/>
    <n v="1"/>
    <s v=""/>
    <n v="0"/>
    <s v="E5"/>
    <s v="모자"/>
    <s v="SMB"/>
    <s v="FI"/>
    <x v="13"/>
    <s v="SMBFIE5360"/>
    <x v="787"/>
    <x v="0"/>
    <n v="1000"/>
    <n v="49000000"/>
    <n v="4949494.9494949495"/>
    <n v="9"/>
    <n v="0"/>
    <n v="1000"/>
  </r>
  <r>
    <x v="0"/>
    <x v="0"/>
    <s v="SMBFIE5860"/>
    <n v="1"/>
    <s v=""/>
    <n v="0"/>
    <s v="SMBFIE5860YE"/>
    <n v="1"/>
    <s v=""/>
    <n v="0"/>
    <s v="E5"/>
    <s v="모자"/>
    <s v="SMB"/>
    <s v="FI"/>
    <x v="13"/>
    <s v="SMBFIE5860"/>
    <x v="788"/>
    <x v="0"/>
    <n v="1000"/>
    <n v="45000000"/>
    <n v="4545454.5454545449"/>
    <n v="9"/>
    <n v="0"/>
    <n v="1000"/>
  </r>
  <r>
    <x v="0"/>
    <x v="0"/>
    <s v="SMBFIE3361"/>
    <n v="1"/>
    <s v=""/>
    <n v="0"/>
    <s v="SMBFIE3361NY"/>
    <n v="1"/>
    <s v=""/>
    <n v="0"/>
    <s v="E3"/>
    <s v="모자"/>
    <s v="SMB"/>
    <s v="FI"/>
    <x v="13"/>
    <s v="SMBFIE3361"/>
    <x v="789"/>
    <x v="0"/>
    <n v="1000"/>
    <n v="59000000"/>
    <n v="5959595.9595959596"/>
    <n v="9"/>
    <n v="0"/>
    <n v="1000"/>
  </r>
  <r>
    <x v="0"/>
    <x v="0"/>
    <s v="SMBFIE3861"/>
    <n v="1"/>
    <s v=""/>
    <n v="0"/>
    <s v="SMBFIE3861NY"/>
    <n v="1"/>
    <s v=""/>
    <n v="0"/>
    <s v="E3"/>
    <s v="모자"/>
    <s v="SMB"/>
    <s v="FI"/>
    <x v="13"/>
    <s v="SMBFIE3861"/>
    <x v="790"/>
    <x v="0"/>
    <n v="1000"/>
    <n v="55000000"/>
    <n v="5555555.555555555"/>
    <n v="9"/>
    <n v="0"/>
    <n v="1000"/>
  </r>
  <r>
    <x v="0"/>
    <x v="0"/>
    <s v="SMBFIE3362"/>
    <n v="1"/>
    <s v=""/>
    <n v="0"/>
    <s v="SMBFIE3362NY"/>
    <n v="1"/>
    <s v=""/>
    <n v="0"/>
    <s v="E3"/>
    <s v="모자"/>
    <s v="SMB"/>
    <s v="FI"/>
    <x v="13"/>
    <s v="SMBFIE3362"/>
    <x v="791"/>
    <x v="0"/>
    <n v="1000"/>
    <n v="49000000"/>
    <n v="4949494.9494949495"/>
    <n v="9"/>
    <n v="0"/>
    <n v="1000"/>
  </r>
  <r>
    <x v="0"/>
    <x v="0"/>
    <s v="ELSBEE5338"/>
    <n v="1"/>
    <s v=""/>
    <n v="0"/>
    <s v="ELSBEE5338MT"/>
    <n v="1"/>
    <s v=""/>
    <n v="0"/>
    <s v="E5"/>
    <s v="모자"/>
    <s v="ELS"/>
    <s v="BE"/>
    <x v="3"/>
    <s v="ELSBEE5338"/>
    <x v="792"/>
    <x v="0"/>
    <n v="700"/>
    <n v="34300000"/>
    <n v="5196969.6969696973"/>
    <n v="6"/>
    <n v="0"/>
    <n v="700"/>
  </r>
  <r>
    <x v="0"/>
    <x v="0"/>
    <s v="ELSBEE5838"/>
    <n v="1"/>
    <s v=""/>
    <n v="0"/>
    <s v="ELSBEE5838MT"/>
    <n v="1"/>
    <s v=""/>
    <n v="0"/>
    <s v="E5"/>
    <s v="모자"/>
    <s v="ELS"/>
    <s v="BE"/>
    <x v="3"/>
    <s v="ELSBEE5838"/>
    <x v="793"/>
    <x v="0"/>
    <n v="700"/>
    <n v="31500000"/>
    <n v="4772727.2727272715"/>
    <n v="6.0000000000000009"/>
    <n v="0"/>
    <n v="700"/>
  </r>
  <r>
    <x v="0"/>
    <x v="0"/>
    <s v="ELSBEE5339"/>
    <n v="1"/>
    <s v=""/>
    <n v="0"/>
    <s v="ELSBEE5339BL"/>
    <n v="1"/>
    <s v=""/>
    <n v="0"/>
    <s v="E5"/>
    <s v="모자"/>
    <s v="ELS"/>
    <s v="BE"/>
    <x v="3"/>
    <s v="ELSBEE5339"/>
    <x v="794"/>
    <x v="0"/>
    <n v="500"/>
    <n v="19500000"/>
    <n v="2954545.4545454541"/>
    <n v="6"/>
    <n v="0"/>
    <n v="500"/>
  </r>
  <r>
    <x v="0"/>
    <x v="0"/>
    <s v="ELSBEE5839"/>
    <n v="1"/>
    <s v=""/>
    <n v="0"/>
    <s v="ELSBEE5839BL"/>
    <n v="1"/>
    <s v=""/>
    <n v="0"/>
    <s v="E5"/>
    <s v="모자"/>
    <s v="ELS"/>
    <s v="BE"/>
    <x v="3"/>
    <s v="ELSBEE5839"/>
    <x v="795"/>
    <x v="0"/>
    <n v="500"/>
    <n v="17500000"/>
    <n v="2651515.1515151514"/>
    <n v="5.9999999999999991"/>
    <n v="0"/>
    <n v="500"/>
  </r>
  <r>
    <x v="0"/>
    <x v="0"/>
    <s v="ELSEBE5340"/>
    <n v="1"/>
    <s v=""/>
    <n v="0"/>
    <s v="ELSEBE5340PK"/>
    <n v="1"/>
    <s v=""/>
    <n v="0"/>
    <s v="E5"/>
    <s v="모자"/>
    <s v="ELS"/>
    <s v="EB"/>
    <x v="3"/>
    <s v="ELSEBE5340"/>
    <x v="796"/>
    <x v="0"/>
    <n v="700"/>
    <n v="34300000"/>
    <n v="5196969.6969696973"/>
    <n v="6"/>
    <n v="0"/>
    <n v="700"/>
  </r>
  <r>
    <x v="0"/>
    <x v="0"/>
    <s v="ELSEBE5840"/>
    <n v="1"/>
    <s v=""/>
    <n v="0"/>
    <s v="ELSEBE5840PK"/>
    <n v="1"/>
    <s v=""/>
    <n v="0"/>
    <s v="E5"/>
    <s v="모자"/>
    <s v="ELS"/>
    <s v="EB"/>
    <x v="3"/>
    <s v="ELSEBE5840"/>
    <x v="797"/>
    <x v="0"/>
    <n v="700"/>
    <n v="31500000"/>
    <n v="4772727.2727272715"/>
    <n v="6.0000000000000009"/>
    <n v="0"/>
    <n v="700"/>
  </r>
  <r>
    <x v="0"/>
    <x v="0"/>
    <s v="SMBBEE5363"/>
    <n v="1"/>
    <s v=""/>
    <n v="0"/>
    <s v="SMBBEE5363RE"/>
    <n v="1"/>
    <s v=""/>
    <n v="0"/>
    <s v="E5"/>
    <s v="모자"/>
    <s v="SMB"/>
    <s v="BE"/>
    <x v="13"/>
    <s v="SMBBEE5363"/>
    <x v="798"/>
    <x v="0"/>
    <n v="500"/>
    <n v="24500000"/>
    <n v="3181818.1818181816"/>
    <n v="7"/>
    <n v="0"/>
    <n v="500"/>
  </r>
  <r>
    <x v="0"/>
    <x v="0"/>
    <s v="SMBBEE5863"/>
    <n v="1"/>
    <s v=""/>
    <n v="0"/>
    <s v="SMBBEE5863RE"/>
    <n v="1"/>
    <s v=""/>
    <n v="0"/>
    <s v="E5"/>
    <s v="모자"/>
    <s v="SMB"/>
    <s v="BE"/>
    <x v="13"/>
    <s v="SMBBEE5863"/>
    <x v="799"/>
    <x v="0"/>
    <n v="700"/>
    <n v="31500000"/>
    <n v="4090909.0909090904"/>
    <n v="7"/>
    <n v="0"/>
    <n v="700"/>
  </r>
  <r>
    <x v="0"/>
    <x v="0"/>
    <s v="SMBFLE3314"/>
    <n v="1"/>
    <s v=""/>
    <n v="0"/>
    <s v="SMBFLE3314BU"/>
    <n v="1"/>
    <s v=""/>
    <n v="0"/>
    <s v="E3"/>
    <s v="모자"/>
    <s v="SMB"/>
    <s v="FL"/>
    <x v="13"/>
    <s v="SMBFLE3314"/>
    <x v="800"/>
    <x v="0"/>
    <n v="700"/>
    <n v="31500000"/>
    <n v="5133974.9999999991"/>
    <n v="5.577815169797991"/>
    <n v="0"/>
    <n v="700"/>
  </r>
  <r>
    <x v="0"/>
    <x v="0"/>
    <s v="SMBFLE3814"/>
    <n v="1"/>
    <s v=""/>
    <n v="0"/>
    <s v="SMBFLE3814BU"/>
    <n v="1"/>
    <s v=""/>
    <n v="0"/>
    <s v="E3"/>
    <s v="모자"/>
    <s v="SMB"/>
    <s v="FL"/>
    <x v="13"/>
    <s v="SMBFLE3814"/>
    <x v="801"/>
    <x v="0"/>
    <n v="500"/>
    <n v="21500000"/>
    <n v="3667124.9999999995"/>
    <n v="5.3299122733625239"/>
    <n v="0"/>
    <n v="500"/>
  </r>
  <r>
    <x v="0"/>
    <x v="0"/>
    <s v="SMBFLE3315"/>
    <n v="1"/>
    <s v=""/>
    <n v="0"/>
    <s v="SMBFLE3315RE"/>
    <n v="1"/>
    <s v=""/>
    <n v="0"/>
    <s v="E3"/>
    <s v="모자"/>
    <s v="SMB"/>
    <s v="FL"/>
    <x v="13"/>
    <s v="SMBFLE3315"/>
    <x v="802"/>
    <x v="0"/>
    <n v="700"/>
    <n v="31500000"/>
    <n v="4931850"/>
    <n v="5.8064141521667603"/>
    <n v="0"/>
    <n v="700"/>
  </r>
  <r>
    <x v="0"/>
    <x v="0"/>
    <s v="SMBFLE3815"/>
    <n v="1"/>
    <s v=""/>
    <n v="0"/>
    <s v="SMBFLE3815RE"/>
    <n v="1"/>
    <s v=""/>
    <n v="0"/>
    <s v="E3"/>
    <s v="모자"/>
    <s v="SMB"/>
    <s v="FL"/>
    <x v="13"/>
    <s v="SMBFLE3815"/>
    <x v="803"/>
    <x v="0"/>
    <n v="500"/>
    <n v="21500000"/>
    <n v="3522750"/>
    <n v="5.5483513009593484"/>
    <n v="0"/>
    <n v="500"/>
  </r>
  <r>
    <x v="0"/>
    <x v="0"/>
    <s v="SMBFLE3316"/>
    <n v="1"/>
    <s v=""/>
    <n v="0"/>
    <s v="SMBFLE3316BU"/>
    <n v="1"/>
    <s v=""/>
    <n v="0"/>
    <s v="E3"/>
    <s v="모자"/>
    <s v="SMB"/>
    <s v="FL"/>
    <x v="13"/>
    <s v="SMBFLE3316"/>
    <x v="804"/>
    <x v="0"/>
    <n v="700"/>
    <n v="31500000"/>
    <n v="4648875.0000000009"/>
    <n v="6.1598480570812564"/>
    <n v="0"/>
    <n v="700"/>
  </r>
  <r>
    <x v="0"/>
    <x v="0"/>
    <s v="SMBFLE3816"/>
    <n v="1"/>
    <s v=""/>
    <n v="0"/>
    <s v="SMBFLE3816BU"/>
    <n v="1"/>
    <s v=""/>
    <n v="0"/>
    <s v="E3"/>
    <s v="모자"/>
    <s v="SMB"/>
    <s v="FL"/>
    <x v="13"/>
    <s v="SMBFLE3816"/>
    <x v="805"/>
    <x v="0"/>
    <n v="500"/>
    <n v="21500000"/>
    <n v="3320625.0000000005"/>
    <n v="5.8860770323220901"/>
    <n v="0"/>
    <n v="500"/>
  </r>
  <r>
    <x v="0"/>
    <x v="0"/>
    <s v="SMBFLE3317"/>
    <n v="1"/>
    <s v=""/>
    <n v="0"/>
    <s v="SMBFLE3317BL"/>
    <n v="1"/>
    <s v=""/>
    <n v="0"/>
    <s v="E3"/>
    <s v="모자"/>
    <s v="SMB"/>
    <s v="FL"/>
    <x v="13"/>
    <s v="SMBFLE3317"/>
    <x v="806"/>
    <x v="0"/>
    <n v="700"/>
    <n v="31500000"/>
    <n v="4729725"/>
    <n v="6.0545515090969637"/>
    <n v="0"/>
    <n v="700"/>
  </r>
  <r>
    <x v="0"/>
    <x v="0"/>
    <s v="SMBFLE3318"/>
    <n v="1"/>
    <s v=""/>
    <n v="0"/>
    <s v="SMBFLE3318BK"/>
    <n v="1"/>
    <s v=""/>
    <n v="0"/>
    <s v="E3"/>
    <s v="모자"/>
    <s v="SMB"/>
    <s v="FL"/>
    <x v="13"/>
    <s v="SMBFLE3318"/>
    <x v="807"/>
    <x v="0"/>
    <n v="800"/>
    <n v="36000000"/>
    <n v="5728800.0000000009"/>
    <n v="5.7127623110027788"/>
    <n v="0"/>
    <n v="800"/>
  </r>
  <r>
    <x v="0"/>
    <x v="0"/>
    <s v="SMBFLE3319"/>
    <n v="1"/>
    <s v=""/>
    <n v="0"/>
    <s v="SMBFLE3319NY"/>
    <n v="1"/>
    <s v=""/>
    <n v="0"/>
    <s v="E3"/>
    <s v="모자"/>
    <s v="SMB"/>
    <s v="FL"/>
    <x v="13"/>
    <s v="SMBFLE3319"/>
    <x v="808"/>
    <x v="0"/>
    <n v="800"/>
    <n v="36000000"/>
    <n v="6098400"/>
    <n v="5.3665342921541264"/>
    <n v="0"/>
    <n v="800"/>
  </r>
  <r>
    <x v="0"/>
    <x v="0"/>
    <s v="SMBFLE3819"/>
    <n v="1"/>
    <s v=""/>
    <n v="0"/>
    <s v="SMBFLE3819NY"/>
    <n v="1"/>
    <s v=""/>
    <n v="0"/>
    <s v="E3"/>
    <s v="모자"/>
    <s v="SMB"/>
    <s v="FL"/>
    <x v="13"/>
    <s v="SMBFLE3819"/>
    <x v="809"/>
    <x v="0"/>
    <n v="500"/>
    <n v="21500000"/>
    <n v="3811500"/>
    <n v="5.1280216569472765"/>
    <n v="0"/>
    <n v="500"/>
  </r>
  <r>
    <x v="0"/>
    <x v="0"/>
    <s v="SMBFLE3320"/>
    <n v="1"/>
    <s v=""/>
    <n v="0"/>
    <s v="SMBFLE3320GY"/>
    <n v="1"/>
    <s v=""/>
    <n v="0"/>
    <s v="E3"/>
    <s v="모자"/>
    <s v="SMB"/>
    <s v="FL"/>
    <x v="13"/>
    <s v="SMBFLE3320"/>
    <x v="810"/>
    <x v="0"/>
    <n v="700"/>
    <n v="31500000"/>
    <n v="4851000.0000000009"/>
    <n v="5.9031877213695374"/>
    <n v="0"/>
    <n v="700"/>
  </r>
  <r>
    <x v="0"/>
    <x v="0"/>
    <s v="SMBFLE3321"/>
    <n v="1"/>
    <s v=""/>
    <n v="0"/>
    <s v="SMBFLE3321NY"/>
    <n v="1"/>
    <s v=""/>
    <n v="0"/>
    <s v="E3"/>
    <s v="모자"/>
    <s v="SMB"/>
    <s v="FL"/>
    <x v="13"/>
    <s v="SMBFLE3321"/>
    <x v="811"/>
    <x v="0"/>
    <n v="800"/>
    <n v="36000000"/>
    <n v="5405400"/>
    <n v="6.0545515090969628"/>
    <n v="0"/>
    <n v="800"/>
  </r>
  <r>
    <x v="0"/>
    <x v="0"/>
    <s v="SMBFLE3372"/>
    <n v="1"/>
    <s v=""/>
    <n v="0"/>
    <s v="SMBFLE3372BK"/>
    <n v="1"/>
    <s v=""/>
    <n v="0"/>
    <s v="E3"/>
    <s v="모자"/>
    <s v="SMB"/>
    <s v="FL"/>
    <x v="13"/>
    <s v="SMBFLE3372"/>
    <x v="812"/>
    <x v="0"/>
    <n v="800"/>
    <n v="39200000"/>
    <n v="6281800.0000000009"/>
    <n v="5.6729541908949068"/>
    <n v="0"/>
    <n v="800"/>
  </r>
  <r>
    <x v="0"/>
    <x v="0"/>
    <s v="SMBFLE3872"/>
    <n v="1"/>
    <s v=""/>
    <n v="0"/>
    <s v="SMBFLE3872BK"/>
    <n v="1"/>
    <s v=""/>
    <n v="0"/>
    <s v="E3"/>
    <s v="모자"/>
    <s v="SMB"/>
    <s v="FL"/>
    <x v="13"/>
    <s v="SMBFLE3872"/>
    <x v="813"/>
    <x v="0"/>
    <n v="500"/>
    <n v="22500000"/>
    <n v="3926125.0000000005"/>
    <n v="5.2098558895973639"/>
    <n v="0"/>
    <n v="500"/>
  </r>
  <r>
    <x v="0"/>
    <x v="0"/>
    <s v="SMBFLE3323"/>
    <n v="1"/>
    <s v=""/>
    <n v="0"/>
    <s v="SMBFLE3323BK"/>
    <n v="1"/>
    <s v=""/>
    <n v="0"/>
    <s v="E3"/>
    <s v="모자"/>
    <s v="SMB"/>
    <s v="FL"/>
    <x v="13"/>
    <s v="SMBFLE3323"/>
    <x v="814"/>
    <x v="0"/>
    <n v="800"/>
    <n v="36000000"/>
    <n v="5590200"/>
    <n v="5.8544010459863189"/>
    <n v="0"/>
    <n v="800"/>
  </r>
  <r>
    <x v="0"/>
    <x v="0"/>
    <s v="SMBBAE3374"/>
    <n v="1"/>
    <s v=""/>
    <n v="0"/>
    <s v="SMBBAE3374RE"/>
    <n v="1"/>
    <s v=""/>
    <n v="0"/>
    <s v="E3"/>
    <s v="모자"/>
    <s v="SMB"/>
    <s v="BA"/>
    <x v="13"/>
    <s v="SMBBAE3374"/>
    <x v="815"/>
    <x v="0"/>
    <n v="500"/>
    <n v="24500000"/>
    <n v="4099375"/>
    <n v="5.4332007373629576"/>
    <n v="0"/>
    <n v="500"/>
  </r>
  <r>
    <x v="0"/>
    <x v="0"/>
    <s v="SMBBAE3375"/>
    <n v="1"/>
    <s v=""/>
    <n v="0"/>
    <s v="SMBBAE3375GR"/>
    <n v="1"/>
    <s v=""/>
    <n v="0"/>
    <s v="E3"/>
    <s v="모자"/>
    <s v="SMB"/>
    <s v="BA"/>
    <x v="13"/>
    <s v="SMBBAE3375"/>
    <x v="816"/>
    <x v="0"/>
    <n v="500"/>
    <n v="24500000"/>
    <n v="4272625"/>
    <n v="5.2128907340867201"/>
    <n v="0"/>
    <n v="500"/>
  </r>
  <r>
    <x v="0"/>
    <x v="0"/>
    <s v="SMBBAE3376"/>
    <n v="1"/>
    <s v=""/>
    <n v="0"/>
    <s v="SMBBAE3376GY"/>
    <n v="1"/>
    <s v=""/>
    <n v="0"/>
    <s v="E3"/>
    <s v="모자"/>
    <s v="SMB"/>
    <s v="BA"/>
    <x v="13"/>
    <s v="SMBBAE3376"/>
    <x v="817"/>
    <x v="0"/>
    <n v="700"/>
    <n v="34300000"/>
    <n v="6062525"/>
    <n v="5.1433714800051424"/>
    <n v="0"/>
    <n v="700"/>
  </r>
  <r>
    <x v="0"/>
    <x v="0"/>
    <s v="SMBBAE3377"/>
    <n v="1"/>
    <s v=""/>
    <n v="0"/>
    <s v="SMBBAE3377GY"/>
    <n v="1"/>
    <s v=""/>
    <n v="0"/>
    <s v="E3"/>
    <s v="모자"/>
    <s v="SMB"/>
    <s v="BA"/>
    <x v="13"/>
    <s v="SMBBAE3377"/>
    <x v="818"/>
    <x v="0"/>
    <n v="700"/>
    <n v="34300000"/>
    <n v="5981675"/>
    <n v="5.2128907340867192"/>
    <n v="0"/>
    <n v="700"/>
  </r>
  <r>
    <x v="0"/>
    <x v="0"/>
    <s v="SMBFLE3378"/>
    <n v="1"/>
    <s v=""/>
    <n v="0"/>
    <s v="SMBFLE3378BK"/>
    <n v="1"/>
    <s v=""/>
    <n v="0"/>
    <s v="E3"/>
    <s v="모자"/>
    <s v="SMB"/>
    <s v="FL"/>
    <x v="13"/>
    <s v="SMBFLE3378"/>
    <x v="819"/>
    <x v="0"/>
    <n v="800"/>
    <n v="39200000"/>
    <n v="6836200"/>
    <n v="5.2128907340867192"/>
    <n v="0"/>
    <n v="800"/>
  </r>
  <r>
    <x v="0"/>
    <x v="0"/>
    <s v="SMBFLE3878"/>
    <n v="1"/>
    <s v=""/>
    <n v="0"/>
    <s v="SMBFLE3878BK"/>
    <n v="1"/>
    <s v=""/>
    <n v="0"/>
    <s v="E3"/>
    <s v="모자"/>
    <s v="SMB"/>
    <s v="FL"/>
    <x v="13"/>
    <s v="SMBFLE3878"/>
    <x v="820"/>
    <x v="0"/>
    <n v="500"/>
    <n v="22500000"/>
    <n v="4272625"/>
    <n v="4.7873486333449469"/>
    <n v="0"/>
    <n v="500"/>
  </r>
  <r>
    <x v="0"/>
    <x v="0"/>
    <s v="SMBFLE3329"/>
    <n v="1"/>
    <s v=""/>
    <n v="0"/>
    <s v="SMBFLE3329NY"/>
    <n v="1"/>
    <s v=""/>
    <n v="0"/>
    <s v="E3"/>
    <s v="모자"/>
    <s v="SMB"/>
    <s v="FL"/>
    <x v="13"/>
    <s v="SMBFLE3329"/>
    <x v="821"/>
    <x v="0"/>
    <n v="600"/>
    <n v="27000000"/>
    <n v="3915450.0000000009"/>
    <n v="6.2688719164986244"/>
    <n v="0"/>
    <n v="600"/>
  </r>
  <r>
    <x v="0"/>
    <x v="0"/>
    <s v="SMBFLE3330"/>
    <n v="1"/>
    <s v=""/>
    <n v="0"/>
    <s v="SMBFLE3330GY"/>
    <n v="1"/>
    <s v=""/>
    <n v="0"/>
    <s v="E3"/>
    <s v="모자"/>
    <s v="SMB"/>
    <s v="FL"/>
    <x v="13"/>
    <s v="SMBFLE3330"/>
    <x v="822"/>
    <x v="0"/>
    <n v="600"/>
    <n v="27000000"/>
    <n v="4469850.0000000009"/>
    <n v="5.491337415227477"/>
    <n v="0"/>
    <n v="600"/>
  </r>
  <r>
    <x v="0"/>
    <x v="0"/>
    <s v="SMBFLE3331"/>
    <n v="1"/>
    <s v=""/>
    <n v="0"/>
    <s v="SMBFLE3331GY"/>
    <n v="1"/>
    <s v=""/>
    <n v="0"/>
    <s v="E3"/>
    <s v="모자"/>
    <s v="SMB"/>
    <s v="FL"/>
    <x v="13"/>
    <s v="SMBFLE3331"/>
    <x v="823"/>
    <x v="0"/>
    <n v="600"/>
    <n v="27000000"/>
    <n v="4296600.0000000009"/>
    <n v="5.7127623110027779"/>
    <n v="0"/>
    <n v="600"/>
  </r>
  <r>
    <x v="0"/>
    <x v="0"/>
    <s v="ELSBAE3341"/>
    <n v="0.5"/>
    <s v=""/>
    <n v="0"/>
    <s v="ELSBAE3341BK"/>
    <n v="1"/>
    <s v=""/>
    <n v="0"/>
    <s v="E3"/>
    <s v="모자"/>
    <s v="ELS"/>
    <s v="BA"/>
    <x v="3"/>
    <s v="ELSBAE3341"/>
    <x v="824"/>
    <x v="0"/>
    <n v="1000"/>
    <n v="55000000"/>
    <n v="12499999.999999998"/>
    <n v="4.0000000000000009"/>
    <n v="0"/>
    <n v="1000"/>
  </r>
  <r>
    <x v="0"/>
    <x v="0"/>
    <s v="ELSBAE3841"/>
    <n v="0.5"/>
    <s v=""/>
    <n v="0"/>
    <s v="ELSBAE3841BK"/>
    <n v="1"/>
    <s v=""/>
    <n v="0"/>
    <s v="E3"/>
    <s v="모자"/>
    <s v="ELS"/>
    <s v="BA"/>
    <x v="3"/>
    <s v="ELSBAE3841"/>
    <x v="825"/>
    <x v="0"/>
    <n v="1000"/>
    <n v="53000000"/>
    <n v="12045454.545454545"/>
    <n v="4"/>
    <n v="0"/>
    <n v="1000"/>
  </r>
  <r>
    <x v="0"/>
    <x v="0"/>
    <s v="ELSBAE3341"/>
    <n v="0.5"/>
    <s v=""/>
    <n v="0"/>
    <s v="ELSBAE3341RE"/>
    <n v="1"/>
    <s v=""/>
    <n v="0"/>
    <s v="E3"/>
    <s v="모자"/>
    <s v="ELS"/>
    <s v="BA"/>
    <x v="3"/>
    <s v="ELSBAE3341"/>
    <x v="826"/>
    <x v="0"/>
    <n v="1000"/>
    <n v="55000000"/>
    <n v="12499999.999999998"/>
    <n v="4.0000000000000009"/>
    <n v="0"/>
    <n v="1000"/>
  </r>
  <r>
    <x v="0"/>
    <x v="0"/>
    <s v="ELSBAE3841"/>
    <n v="0.5"/>
    <s v=""/>
    <n v="0"/>
    <s v="ELSBAE3841RE"/>
    <n v="1"/>
    <s v=""/>
    <n v="0"/>
    <s v="E3"/>
    <s v="모자"/>
    <s v="ELS"/>
    <s v="BA"/>
    <x v="3"/>
    <s v="ELSBAE3841"/>
    <x v="827"/>
    <x v="0"/>
    <n v="1000"/>
    <n v="53000000"/>
    <n v="12045454.545454545"/>
    <n v="4"/>
    <n v="0"/>
    <n v="1000"/>
  </r>
  <r>
    <x v="2"/>
    <x v="2"/>
    <m/>
    <m/>
    <m/>
    <m/>
    <m/>
    <m/>
    <m/>
    <m/>
    <m/>
    <m/>
    <m/>
    <m/>
    <x v="26"/>
    <m/>
    <x v="828"/>
    <x v="2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46">
  <r>
    <n v="1"/>
    <x v="0"/>
    <x v="0"/>
    <s v="FRE"/>
    <x v="0"/>
    <n v="500"/>
    <n v="0"/>
    <n v="500"/>
    <n v="5010000"/>
    <n v="22500000"/>
  </r>
  <r>
    <n v="2"/>
    <x v="1"/>
    <x v="1"/>
    <s v="FRE"/>
    <x v="0"/>
    <n v="500"/>
    <n v="0"/>
    <n v="500"/>
    <n v="5010000"/>
    <n v="22500000"/>
  </r>
  <r>
    <n v="3"/>
    <x v="2"/>
    <x v="2"/>
    <s v="FRE"/>
    <x v="0"/>
    <n v="500"/>
    <n v="0"/>
    <n v="500"/>
    <n v="5010000"/>
    <n v="22500000"/>
  </r>
  <r>
    <n v="4"/>
    <x v="3"/>
    <x v="3"/>
    <s v="FRE"/>
    <x v="0"/>
    <n v="500"/>
    <n v="0"/>
    <n v="500"/>
    <n v="5010000"/>
    <n v="22500000"/>
  </r>
  <r>
    <n v="5"/>
    <x v="4"/>
    <x v="4"/>
    <m/>
    <x v="1"/>
    <n v="2000"/>
    <n v="0"/>
    <n v="2000"/>
    <n v="20040000"/>
    <n v="90000000"/>
  </r>
  <r>
    <n v="6"/>
    <x v="5"/>
    <x v="5"/>
    <s v="FRE"/>
    <x v="2"/>
    <n v="0"/>
    <n v="360"/>
    <n v="360"/>
    <n v="3436363.6363636358"/>
    <n v="12600000"/>
  </r>
  <r>
    <n v="7"/>
    <x v="6"/>
    <x v="6"/>
    <s v="FRE"/>
    <x v="2"/>
    <n v="0"/>
    <n v="480"/>
    <n v="480"/>
    <n v="3796363.6363636358"/>
    <n v="13920000"/>
  </r>
  <r>
    <n v="8"/>
    <x v="7"/>
    <x v="7"/>
    <s v="FRE"/>
    <x v="2"/>
    <n v="0"/>
    <n v="480"/>
    <n v="480"/>
    <n v="3796363.6363636358"/>
    <n v="13920000"/>
  </r>
  <r>
    <n v="9"/>
    <x v="8"/>
    <x v="8"/>
    <s v="FRE"/>
    <x v="2"/>
    <n v="0"/>
    <n v="240"/>
    <n v="240"/>
    <n v="3861818.1818181816"/>
    <n v="14160000"/>
  </r>
  <r>
    <n v="10"/>
    <x v="9"/>
    <x v="9"/>
    <s v="FRE"/>
    <x v="2"/>
    <n v="0"/>
    <n v="360"/>
    <n v="360"/>
    <n v="2454545.4545454546"/>
    <n v="9000000"/>
  </r>
  <r>
    <n v="11"/>
    <x v="10"/>
    <x v="10"/>
    <s v="FRE"/>
    <x v="2"/>
    <n v="0"/>
    <n v="360"/>
    <n v="360"/>
    <n v="3829090.9090909092"/>
    <n v="14040000"/>
  </r>
  <r>
    <n v="12"/>
    <x v="11"/>
    <x v="11"/>
    <s v="FRE"/>
    <x v="2"/>
    <n v="0"/>
    <n v="240"/>
    <n v="240"/>
    <n v="2552727.2727272725"/>
    <n v="9360000"/>
  </r>
  <r>
    <n v="13"/>
    <x v="12"/>
    <x v="12"/>
    <s v="FRE"/>
    <x v="2"/>
    <n v="0"/>
    <n v="360"/>
    <n v="360"/>
    <n v="3829090.9090909092"/>
    <n v="14040000"/>
  </r>
  <r>
    <n v="14"/>
    <x v="13"/>
    <x v="13"/>
    <s v="FRE"/>
    <x v="2"/>
    <n v="0"/>
    <n v="360"/>
    <n v="360"/>
    <n v="3829090.9090909092"/>
    <n v="14040000"/>
  </r>
  <r>
    <n v="15"/>
    <x v="14"/>
    <x v="14"/>
    <s v="FRE"/>
    <x v="2"/>
    <n v="0"/>
    <n v="480"/>
    <n v="480"/>
    <n v="5105454.5454545449"/>
    <n v="18720000"/>
  </r>
  <r>
    <n v="16"/>
    <x v="15"/>
    <x v="15"/>
    <s v="FRE"/>
    <x v="2"/>
    <n v="0"/>
    <n v="480"/>
    <n v="480"/>
    <n v="5105454.5454545449"/>
    <n v="18720000"/>
  </r>
  <r>
    <n v="17"/>
    <x v="16"/>
    <x v="16"/>
    <s v="FRE"/>
    <x v="2"/>
    <n v="0"/>
    <n v="480"/>
    <n v="480"/>
    <n v="5105454.5454545449"/>
    <n v="18720000"/>
  </r>
  <r>
    <n v="18"/>
    <x v="17"/>
    <x v="17"/>
    <s v="FRE"/>
    <x v="2"/>
    <n v="0"/>
    <n v="360"/>
    <n v="360"/>
    <n v="3829090.9090909092"/>
    <n v="14040000"/>
  </r>
  <r>
    <n v="19"/>
    <x v="18"/>
    <x v="18"/>
    <s v="FRE"/>
    <x v="2"/>
    <n v="0"/>
    <n v="240"/>
    <n v="240"/>
    <n v="3599999.9999999995"/>
    <n v="13200000"/>
  </r>
  <r>
    <n v="20"/>
    <x v="19"/>
    <x v="19"/>
    <s v="FRE"/>
    <x v="2"/>
    <n v="0"/>
    <n v="240"/>
    <n v="240"/>
    <n v="3599999.9999999995"/>
    <n v="13200000"/>
  </r>
  <r>
    <n v="21"/>
    <x v="20"/>
    <x v="20"/>
    <s v="FRE"/>
    <x v="2"/>
    <n v="0"/>
    <n v="120"/>
    <n v="120"/>
    <n v="1145454.5454545454"/>
    <n v="4200000"/>
  </r>
  <r>
    <n v="22"/>
    <x v="21"/>
    <x v="21"/>
    <s v="FRE"/>
    <x v="2"/>
    <n v="0"/>
    <n v="120"/>
    <n v="120"/>
    <n v="1145454.5454545454"/>
    <n v="4200000"/>
  </r>
  <r>
    <n v="23"/>
    <x v="22"/>
    <x v="4"/>
    <m/>
    <x v="1"/>
    <n v="0"/>
    <n v="5760"/>
    <n v="5760"/>
    <n v="60021818.181818187"/>
    <n v="220080000"/>
  </r>
  <r>
    <n v="24"/>
    <x v="23"/>
    <x v="22"/>
    <s v="FRE"/>
    <x v="0"/>
    <n v="0"/>
    <n v="500"/>
    <n v="500"/>
    <n v="4157605.0000000005"/>
    <n v="19500000"/>
  </r>
  <r>
    <n v="25"/>
    <x v="24"/>
    <x v="23"/>
    <s v="FRE"/>
    <x v="0"/>
    <n v="0"/>
    <n v="500"/>
    <n v="500"/>
    <n v="4157605.0000000005"/>
    <n v="19500000"/>
  </r>
  <r>
    <n v="26"/>
    <x v="25"/>
    <x v="24"/>
    <s v="FRE"/>
    <x v="0"/>
    <n v="0"/>
    <n v="500"/>
    <n v="500"/>
    <n v="2592005"/>
    <n v="14500000"/>
  </r>
  <r>
    <n v="27"/>
    <x v="26"/>
    <x v="25"/>
    <s v="FRE"/>
    <x v="0"/>
    <n v="0"/>
    <n v="500"/>
    <n v="500"/>
    <n v="2592005"/>
    <n v="14500000"/>
  </r>
  <r>
    <n v="28"/>
    <x v="27"/>
    <x v="26"/>
    <s v="FRE"/>
    <x v="0"/>
    <n v="0"/>
    <n v="1000"/>
    <n v="1000"/>
    <n v="8795510.0000000019"/>
    <n v="55000000"/>
  </r>
  <r>
    <n v="29"/>
    <x v="28"/>
    <x v="27"/>
    <s v="FRE"/>
    <x v="0"/>
    <n v="0"/>
    <n v="1000"/>
    <n v="1000"/>
    <n v="8633510.0000000019"/>
    <n v="49000000"/>
  </r>
  <r>
    <n v="30"/>
    <x v="29"/>
    <x v="4"/>
    <m/>
    <x v="1"/>
    <n v="0"/>
    <n v="4000"/>
    <n v="4000"/>
    <n v="30928240"/>
    <n v="172000000"/>
  </r>
  <r>
    <n v="31"/>
    <x v="30"/>
    <x v="28"/>
    <s v="FRE"/>
    <x v="0"/>
    <n v="0"/>
    <n v="1000"/>
    <n v="1000"/>
    <n v="6186444"/>
    <n v="39000000"/>
  </r>
  <r>
    <n v="32"/>
    <x v="31"/>
    <x v="29"/>
    <s v="FRE"/>
    <x v="0"/>
    <n v="0"/>
    <n v="1000"/>
    <n v="1000"/>
    <n v="6186444"/>
    <n v="39000000"/>
  </r>
  <r>
    <n v="33"/>
    <x v="32"/>
    <x v="30"/>
    <s v="FRE"/>
    <x v="0"/>
    <n v="0"/>
    <n v="1500"/>
    <n v="1500"/>
    <n v="10197495.000000002"/>
    <n v="64500000"/>
  </r>
  <r>
    <n v="34"/>
    <x v="33"/>
    <x v="31"/>
    <s v="FRE"/>
    <x v="0"/>
    <n v="0"/>
    <n v="1500"/>
    <n v="1500"/>
    <n v="10197495.000000002"/>
    <n v="64500000"/>
  </r>
  <r>
    <n v="35"/>
    <x v="34"/>
    <x v="32"/>
    <s v="FRE"/>
    <x v="0"/>
    <n v="0"/>
    <n v="1000"/>
    <n v="1000"/>
    <n v="6798330.0000000009"/>
    <n v="43000000"/>
  </r>
  <r>
    <n v="36"/>
    <x v="35"/>
    <x v="33"/>
    <s v="FRE"/>
    <x v="0"/>
    <n v="0"/>
    <n v="800"/>
    <n v="800"/>
    <n v="6160560.0000000009"/>
    <n v="31200000"/>
  </r>
  <r>
    <n v="37"/>
    <x v="36"/>
    <x v="34"/>
    <s v="FRE"/>
    <x v="0"/>
    <n v="0"/>
    <n v="1000"/>
    <n v="1000"/>
    <n v="6752143.9999999991"/>
    <n v="65000000"/>
  </r>
  <r>
    <n v="38"/>
    <x v="37"/>
    <x v="35"/>
    <s v="FRE"/>
    <x v="0"/>
    <n v="0"/>
    <n v="1000"/>
    <n v="1000"/>
    <n v="6752143.9999999991"/>
    <n v="65000000"/>
  </r>
  <r>
    <n v="39"/>
    <x v="38"/>
    <x v="4"/>
    <m/>
    <x v="1"/>
    <n v="0"/>
    <n v="8800"/>
    <n v="8800"/>
    <n v="59231056"/>
    <n v="411200000"/>
  </r>
  <r>
    <n v="40"/>
    <x v="39"/>
    <x v="36"/>
    <s v="FRE"/>
    <x v="0"/>
    <n v="0"/>
    <n v="1000"/>
    <n v="1000"/>
    <n v="4783750"/>
    <n v="39000000"/>
  </r>
  <r>
    <n v="41"/>
    <x v="40"/>
    <x v="37"/>
    <s v="FRE"/>
    <x v="0"/>
    <n v="0"/>
    <n v="1000"/>
    <n v="1000"/>
    <n v="4783750"/>
    <n v="39000000"/>
  </r>
  <r>
    <n v="42"/>
    <x v="41"/>
    <x v="38"/>
    <s v="FRE"/>
    <x v="0"/>
    <n v="0"/>
    <n v="1500"/>
    <n v="1500"/>
    <n v="6710850.0000000009"/>
    <n v="58500000"/>
  </r>
  <r>
    <n v="43"/>
    <x v="42"/>
    <x v="39"/>
    <s v="FRE"/>
    <x v="0"/>
    <n v="0"/>
    <n v="1500"/>
    <n v="1500"/>
    <n v="6710850.0000000009"/>
    <n v="58500000"/>
  </r>
  <r>
    <n v="44"/>
    <x v="43"/>
    <x v="40"/>
    <s v="FRE"/>
    <x v="0"/>
    <n v="0"/>
    <n v="1000"/>
    <n v="1000"/>
    <n v="7216180.0000000009"/>
    <n v="45000000"/>
  </r>
  <r>
    <n v="45"/>
    <x v="44"/>
    <x v="41"/>
    <s v="FRE"/>
    <x v="0"/>
    <n v="0"/>
    <n v="2000"/>
    <n v="2000"/>
    <n v="9696240"/>
    <n v="78000000"/>
  </r>
  <r>
    <n v="46"/>
    <x v="45"/>
    <x v="42"/>
    <s v="FRE"/>
    <x v="0"/>
    <n v="0"/>
    <n v="1500"/>
    <n v="1500"/>
    <n v="7272180"/>
    <n v="58500000"/>
  </r>
  <r>
    <n v="47"/>
    <x v="46"/>
    <x v="43"/>
    <s v="FRE"/>
    <x v="0"/>
    <n v="0"/>
    <n v="1000"/>
    <n v="1000"/>
    <n v="3848200.0000000009"/>
    <n v="39000000"/>
  </r>
  <r>
    <n v="48"/>
    <x v="47"/>
    <x v="44"/>
    <s v="FRE"/>
    <x v="0"/>
    <n v="0"/>
    <n v="1000"/>
    <n v="1000"/>
    <n v="5200542"/>
    <n v="43000000"/>
  </r>
  <r>
    <n v="49"/>
    <x v="48"/>
    <x v="45"/>
    <s v="FRE"/>
    <x v="0"/>
    <n v="0"/>
    <n v="500"/>
    <n v="500"/>
    <n v="2470505"/>
    <n v="14500000"/>
  </r>
  <r>
    <n v="50"/>
    <x v="49"/>
    <x v="46"/>
    <s v="FRE"/>
    <x v="0"/>
    <n v="0"/>
    <n v="500"/>
    <n v="500"/>
    <n v="2470505"/>
    <n v="14500000"/>
  </r>
  <r>
    <n v="51"/>
    <x v="50"/>
    <x v="4"/>
    <m/>
    <x v="1"/>
    <n v="0"/>
    <n v="12500"/>
    <n v="12500"/>
    <n v="61163552"/>
    <n v="487500000"/>
  </r>
  <r>
    <n v="52"/>
    <x v="51"/>
    <x v="47"/>
    <s v="FRE"/>
    <x v="0"/>
    <n v="0"/>
    <n v="500"/>
    <n v="500"/>
    <n v="3657535.0000000005"/>
    <n v="29500000"/>
  </r>
  <r>
    <n v="53"/>
    <x v="52"/>
    <x v="48"/>
    <s v="FRE"/>
    <x v="0"/>
    <n v="0"/>
    <n v="200"/>
    <n v="200"/>
    <n v="1451866.0000000002"/>
    <n v="9800000"/>
  </r>
  <r>
    <n v="54"/>
    <x v="53"/>
    <x v="4"/>
    <m/>
    <x v="1"/>
    <n v="0"/>
    <n v="700"/>
    <n v="700"/>
    <n v="5109401.0000000009"/>
    <n v="39300000"/>
  </r>
  <r>
    <n v="55"/>
    <x v="54"/>
    <x v="49"/>
    <s v="FRE"/>
    <x v="0"/>
    <n v="0"/>
    <n v="500"/>
    <n v="500"/>
    <n v="4095235"/>
    <n v="29500000"/>
  </r>
  <r>
    <n v="56"/>
    <x v="55"/>
    <x v="50"/>
    <s v="FRE"/>
    <x v="0"/>
    <n v="0"/>
    <n v="500"/>
    <n v="500"/>
    <n v="4349395"/>
    <n v="27500000"/>
  </r>
  <r>
    <n v="57"/>
    <x v="56"/>
    <x v="51"/>
    <s v="FRE"/>
    <x v="0"/>
    <n v="0"/>
    <n v="500"/>
    <n v="500"/>
    <n v="3752200.0000000009"/>
    <n v="26500000"/>
  </r>
  <r>
    <n v="58"/>
    <x v="57"/>
    <x v="52"/>
    <s v="FRE"/>
    <x v="0"/>
    <n v="0"/>
    <n v="500"/>
    <n v="500"/>
    <n v="3970495"/>
    <n v="26500000"/>
  </r>
  <r>
    <n v="59"/>
    <x v="58"/>
    <x v="4"/>
    <m/>
    <x v="1"/>
    <n v="0"/>
    <n v="2000"/>
    <n v="2000"/>
    <n v="16167325"/>
    <n v="110000000"/>
  </r>
  <r>
    <n v="60"/>
    <x v="59"/>
    <x v="53"/>
    <s v="FRE"/>
    <x v="0"/>
    <n v="0"/>
    <n v="500"/>
    <n v="500"/>
    <n v="4970570"/>
    <n v="29500000"/>
  </r>
  <r>
    <n v="61"/>
    <x v="60"/>
    <x v="54"/>
    <s v="FRE"/>
    <x v="0"/>
    <n v="0"/>
    <n v="500"/>
    <n v="500"/>
    <n v="4699330"/>
    <n v="29500000"/>
  </r>
  <r>
    <n v="62"/>
    <x v="61"/>
    <x v="55"/>
    <s v="FRE"/>
    <x v="0"/>
    <n v="0"/>
    <n v="500"/>
    <n v="500"/>
    <n v="4919660"/>
    <n v="29500000"/>
  </r>
  <r>
    <n v="63"/>
    <x v="62"/>
    <x v="56"/>
    <s v="FRE"/>
    <x v="0"/>
    <n v="0"/>
    <n v="800"/>
    <n v="800"/>
    <n v="6529064.0000000009"/>
    <n v="47200000"/>
  </r>
  <r>
    <n v="64"/>
    <x v="63"/>
    <x v="57"/>
    <s v="FRE"/>
    <x v="0"/>
    <n v="0"/>
    <n v="500"/>
    <n v="500"/>
    <n v="5555330"/>
    <n v="27500000"/>
  </r>
  <r>
    <n v="65"/>
    <x v="64"/>
    <x v="4"/>
    <m/>
    <x v="1"/>
    <n v="0"/>
    <n v="2800"/>
    <n v="2800"/>
    <n v="26673954"/>
    <n v="163200000"/>
  </r>
  <r>
    <n v="66"/>
    <x v="65"/>
    <x v="58"/>
    <s v="FRE"/>
    <x v="0"/>
    <n v="0"/>
    <n v="800"/>
    <n v="800"/>
    <n v="12774622.4"/>
    <n v="63200000"/>
  </r>
  <r>
    <n v="67"/>
    <x v="66"/>
    <x v="4"/>
    <m/>
    <x v="1"/>
    <n v="0"/>
    <n v="800"/>
    <n v="800"/>
    <n v="12774622.4"/>
    <n v="63200000"/>
  </r>
  <r>
    <n v="68"/>
    <x v="67"/>
    <x v="59"/>
    <s v="FRE"/>
    <x v="2"/>
    <n v="0"/>
    <n v="168"/>
    <n v="168"/>
    <n v="7470096.8160000015"/>
    <n v="28392000"/>
  </r>
  <r>
    <n v="69"/>
    <x v="68"/>
    <x v="60"/>
    <s v="FRE"/>
    <x v="2"/>
    <n v="0"/>
    <n v="168"/>
    <n v="168"/>
    <n v="5898372.8160000006"/>
    <n v="23352000"/>
  </r>
  <r>
    <n v="70"/>
    <x v="69"/>
    <x v="61"/>
    <s v="FRE"/>
    <x v="2"/>
    <n v="0"/>
    <n v="144"/>
    <n v="144"/>
    <n v="5055748.1280000005"/>
    <n v="20016000"/>
  </r>
  <r>
    <n v="71"/>
    <x v="70"/>
    <x v="62"/>
    <s v="FRE"/>
    <x v="2"/>
    <n v="0"/>
    <n v="108"/>
    <n v="108"/>
    <n v="4802205.0960000008"/>
    <n v="18252000"/>
  </r>
  <r>
    <n v="72"/>
    <x v="71"/>
    <x v="63"/>
    <s v="FRE"/>
    <x v="2"/>
    <n v="0"/>
    <n v="168"/>
    <n v="168"/>
    <n v="7470096.8160000015"/>
    <n v="28392000"/>
  </r>
  <r>
    <n v="73"/>
    <x v="72"/>
    <x v="64"/>
    <s v="FRE"/>
    <x v="2"/>
    <n v="0"/>
    <n v="108"/>
    <n v="108"/>
    <n v="4802205.0960000008"/>
    <n v="18252000"/>
  </r>
  <r>
    <n v="74"/>
    <x v="73"/>
    <x v="62"/>
    <s v="FRE"/>
    <x v="2"/>
    <n v="0"/>
    <n v="108"/>
    <n v="108"/>
    <n v="4802205.0960000008"/>
    <n v="18252000"/>
  </r>
  <r>
    <n v="75"/>
    <x v="74"/>
    <x v="65"/>
    <s v="FRE"/>
    <x v="2"/>
    <n v="0"/>
    <n v="108"/>
    <n v="108"/>
    <n v="3286614.0959999999"/>
    <n v="12420000"/>
  </r>
  <r>
    <n v="76"/>
    <x v="75"/>
    <x v="66"/>
    <s v="FRE"/>
    <x v="2"/>
    <n v="0"/>
    <n v="144"/>
    <n v="144"/>
    <n v="4382152.1280000005"/>
    <n v="16560000"/>
  </r>
  <r>
    <n v="77"/>
    <x v="76"/>
    <x v="67"/>
    <s v="FRE"/>
    <x v="2"/>
    <n v="0"/>
    <n v="168"/>
    <n v="168"/>
    <n v="5112510.8160000006"/>
    <n v="19320000"/>
  </r>
  <r>
    <n v="78"/>
    <x v="77"/>
    <x v="68"/>
    <s v="FRE"/>
    <x v="2"/>
    <n v="0"/>
    <n v="96"/>
    <n v="96"/>
    <n v="2472370.7520000003"/>
    <n v="9504000"/>
  </r>
  <r>
    <n v="79"/>
    <x v="78"/>
    <x v="69"/>
    <s v="FRE"/>
    <x v="2"/>
    <n v="0"/>
    <n v="96"/>
    <n v="96"/>
    <n v="2472370.7520000003"/>
    <n v="9504000"/>
  </r>
  <r>
    <n v="80"/>
    <x v="79"/>
    <x v="70"/>
    <s v="FRE"/>
    <x v="2"/>
    <n v="0"/>
    <n v="72"/>
    <n v="72"/>
    <n v="1854278.064"/>
    <n v="7128000"/>
  </r>
  <r>
    <n v="81"/>
    <x v="80"/>
    <x v="71"/>
    <s v="FRE"/>
    <x v="2"/>
    <n v="0"/>
    <n v="96"/>
    <n v="96"/>
    <n v="2472370.7520000003"/>
    <n v="9504000"/>
  </r>
  <r>
    <n v="82"/>
    <x v="81"/>
    <x v="72"/>
    <s v="FRE"/>
    <x v="2"/>
    <n v="0"/>
    <n v="96"/>
    <n v="96"/>
    <n v="2921434.7520000003"/>
    <n v="11040000"/>
  </r>
  <r>
    <n v="83"/>
    <x v="82"/>
    <x v="73"/>
    <s v="FRE"/>
    <x v="2"/>
    <n v="0"/>
    <n v="96"/>
    <n v="96"/>
    <n v="2921434.7520000003"/>
    <n v="11040000"/>
  </r>
  <r>
    <n v="84"/>
    <x v="83"/>
    <x v="74"/>
    <s v="FRE"/>
    <x v="2"/>
    <n v="0"/>
    <n v="72"/>
    <n v="72"/>
    <n v="2191076.0640000002"/>
    <n v="8280000"/>
  </r>
  <r>
    <n v="85"/>
    <x v="84"/>
    <x v="4"/>
    <m/>
    <x v="1"/>
    <n v="0"/>
    <n v="2016"/>
    <n v="2016"/>
    <n v="70387542.792000011"/>
    <n v="269208000"/>
  </r>
  <r>
    <n v="86"/>
    <x v="85"/>
    <x v="75"/>
    <s v="FRE"/>
    <x v="0"/>
    <n v="0"/>
    <n v="500"/>
    <n v="500"/>
    <n v="3580970.0000000005"/>
    <n v="24500000"/>
  </r>
  <r>
    <n v="87"/>
    <x v="86"/>
    <x v="76"/>
    <s v="FRE"/>
    <x v="0"/>
    <n v="0"/>
    <n v="500"/>
    <n v="500"/>
    <n v="3205070"/>
    <n v="24500000"/>
  </r>
  <r>
    <n v="88"/>
    <x v="87"/>
    <x v="77"/>
    <s v="FRE"/>
    <x v="0"/>
    <n v="0"/>
    <n v="500"/>
    <n v="500"/>
    <n v="3347245.0000000009"/>
    <n v="24500000"/>
  </r>
  <r>
    <n v="89"/>
    <x v="88"/>
    <x v="78"/>
    <s v="FRE"/>
    <x v="0"/>
    <n v="0"/>
    <n v="500"/>
    <n v="500"/>
    <n v="4475250"/>
    <n v="29500000"/>
  </r>
  <r>
    <n v="90"/>
    <x v="89"/>
    <x v="79"/>
    <s v="FRE"/>
    <x v="0"/>
    <n v="0"/>
    <n v="500"/>
    <n v="500"/>
    <n v="3348510"/>
    <n v="27500000"/>
  </r>
  <r>
    <n v="91"/>
    <x v="90"/>
    <x v="80"/>
    <s v="FRE"/>
    <x v="0"/>
    <n v="0"/>
    <n v="700"/>
    <n v="700"/>
    <n v="5856582.4000000004"/>
    <n v="41300000"/>
  </r>
  <r>
    <n v="92"/>
    <x v="91"/>
    <x v="81"/>
    <s v="FRE"/>
    <x v="0"/>
    <n v="0"/>
    <n v="500"/>
    <n v="500"/>
    <n v="4172226.0000000005"/>
    <n v="27500000"/>
  </r>
  <r>
    <n v="93"/>
    <x v="92"/>
    <x v="82"/>
    <s v="FRE"/>
    <x v="0"/>
    <n v="0"/>
    <n v="700"/>
    <n v="700"/>
    <n v="5524974"/>
    <n v="41300000"/>
  </r>
  <r>
    <n v="94"/>
    <x v="93"/>
    <x v="83"/>
    <s v="FRE"/>
    <x v="0"/>
    <n v="0"/>
    <n v="500"/>
    <n v="500"/>
    <n v="4067540.0000000005"/>
    <n v="27500000"/>
  </r>
  <r>
    <n v="95"/>
    <x v="94"/>
    <x v="84"/>
    <s v="FRE"/>
    <x v="0"/>
    <n v="0"/>
    <n v="400"/>
    <n v="400"/>
    <n v="2762672"/>
    <n v="19600000"/>
  </r>
  <r>
    <n v="96"/>
    <x v="95"/>
    <x v="85"/>
    <s v="FRE"/>
    <x v="0"/>
    <n v="0"/>
    <n v="700"/>
    <n v="700"/>
    <n v="5555862"/>
    <n v="34300000"/>
  </r>
  <r>
    <n v="97"/>
    <x v="96"/>
    <x v="86"/>
    <s v="FRE"/>
    <x v="0"/>
    <n v="0"/>
    <n v="500"/>
    <n v="500"/>
    <n v="4106899.9999999995"/>
    <n v="22500000"/>
  </r>
  <r>
    <n v="98"/>
    <x v="97"/>
    <x v="87"/>
    <s v="FRE"/>
    <x v="0"/>
    <n v="0"/>
    <n v="500"/>
    <n v="500"/>
    <n v="3755110.0000000005"/>
    <n v="24500000"/>
  </r>
  <r>
    <n v="99"/>
    <x v="98"/>
    <x v="4"/>
    <m/>
    <x v="1"/>
    <n v="0"/>
    <n v="7000"/>
    <n v="7000"/>
    <n v="53758911.399999999"/>
    <n v="369000000"/>
  </r>
  <r>
    <n v="100"/>
    <x v="99"/>
    <x v="88"/>
    <s v="FRE"/>
    <x v="0"/>
    <n v="0"/>
    <n v="400"/>
    <n v="400"/>
    <n v="3135896.0000000005"/>
    <n v="23600000"/>
  </r>
  <r>
    <n v="101"/>
    <x v="100"/>
    <x v="4"/>
    <m/>
    <x v="1"/>
    <n v="0"/>
    <n v="400"/>
    <n v="400"/>
    <n v="3135896.0000000005"/>
    <n v="23600000"/>
  </r>
  <r>
    <n v="102"/>
    <x v="101"/>
    <x v="89"/>
    <s v="FRE"/>
    <x v="0"/>
    <n v="0"/>
    <n v="700"/>
    <n v="700"/>
    <n v="11214000"/>
    <n v="41300000"/>
  </r>
  <r>
    <n v="103"/>
    <x v="102"/>
    <x v="90"/>
    <s v="FRE"/>
    <x v="0"/>
    <n v="0"/>
    <n v="500"/>
    <n v="500"/>
    <n v="7760000"/>
    <n v="27500000"/>
  </r>
  <r>
    <n v="104"/>
    <x v="103"/>
    <x v="4"/>
    <m/>
    <x v="1"/>
    <n v="0"/>
    <n v="1200"/>
    <n v="1200"/>
    <n v="18974000"/>
    <n v="68800000"/>
  </r>
  <r>
    <n v="105"/>
    <x v="104"/>
    <x v="91"/>
    <s v="FRE"/>
    <x v="0"/>
    <n v="0"/>
    <n v="700"/>
    <n v="700"/>
    <n v="3191622"/>
    <n v="38500000"/>
  </r>
  <r>
    <n v="106"/>
    <x v="105"/>
    <x v="92"/>
    <s v="FRE"/>
    <x v="0"/>
    <n v="0"/>
    <n v="500"/>
    <n v="500"/>
    <n v="2312230"/>
    <n v="24500000"/>
  </r>
  <r>
    <n v="107"/>
    <x v="106"/>
    <x v="93"/>
    <s v="FRE"/>
    <x v="0"/>
    <n v="0"/>
    <n v="700"/>
    <n v="700"/>
    <n v="3277022"/>
    <n v="38500000"/>
  </r>
  <r>
    <n v="108"/>
    <x v="107"/>
    <x v="94"/>
    <s v="FRE"/>
    <x v="0"/>
    <n v="0"/>
    <n v="400"/>
    <n v="400"/>
    <n v="1988984"/>
    <n v="22000000"/>
  </r>
  <r>
    <n v="109"/>
    <x v="108"/>
    <x v="4"/>
    <m/>
    <x v="1"/>
    <n v="0"/>
    <n v="2300"/>
    <n v="2300"/>
    <n v="10769858"/>
    <n v="123500000"/>
  </r>
  <r>
    <n v="110"/>
    <x v="109"/>
    <x v="95"/>
    <s v="FRE"/>
    <x v="0"/>
    <n v="0"/>
    <n v="500"/>
    <n v="500"/>
    <n v="2351045"/>
    <n v="24500000"/>
  </r>
  <r>
    <n v="111"/>
    <x v="110"/>
    <x v="96"/>
    <s v="FRE"/>
    <x v="0"/>
    <n v="0"/>
    <n v="500"/>
    <n v="500"/>
    <n v="2295545"/>
    <n v="24500000"/>
  </r>
  <r>
    <n v="112"/>
    <x v="111"/>
    <x v="97"/>
    <s v="FRE"/>
    <x v="0"/>
    <n v="0"/>
    <n v="700"/>
    <n v="700"/>
    <n v="3292604"/>
    <n v="34300000"/>
  </r>
  <r>
    <n v="113"/>
    <x v="112"/>
    <x v="98"/>
    <s v="FRE"/>
    <x v="0"/>
    <n v="0"/>
    <n v="700"/>
    <n v="700"/>
    <n v="3239404"/>
    <n v="34300000"/>
  </r>
  <r>
    <n v="114"/>
    <x v="113"/>
    <x v="99"/>
    <s v="FRE"/>
    <x v="0"/>
    <n v="0"/>
    <n v="500"/>
    <n v="500"/>
    <n v="2339360"/>
    <n v="22500000"/>
  </r>
  <r>
    <n v="115"/>
    <x v="114"/>
    <x v="100"/>
    <s v="FRE"/>
    <x v="0"/>
    <n v="0"/>
    <n v="400"/>
    <n v="400"/>
    <n v="4073320.0000000005"/>
    <n v="27600000"/>
  </r>
  <r>
    <n v="116"/>
    <x v="115"/>
    <x v="101"/>
    <s v="FRE"/>
    <x v="0"/>
    <n v="0"/>
    <n v="400"/>
    <n v="400"/>
    <n v="3822520.0000000005"/>
    <n v="27600000"/>
  </r>
  <r>
    <n v="117"/>
    <x v="116"/>
    <x v="102"/>
    <s v="FRE"/>
    <x v="0"/>
    <n v="0"/>
    <n v="400"/>
    <n v="400"/>
    <n v="3542520.0000000005"/>
    <n v="27600000"/>
  </r>
  <r>
    <n v="118"/>
    <x v="117"/>
    <x v="103"/>
    <s v="FRE"/>
    <x v="0"/>
    <n v="0"/>
    <n v="300"/>
    <n v="300"/>
    <n v="2658279"/>
    <n v="19500000"/>
  </r>
  <r>
    <n v="119"/>
    <x v="118"/>
    <x v="104"/>
    <s v="FRE"/>
    <x v="0"/>
    <n v="0"/>
    <n v="600"/>
    <n v="600"/>
    <n v="5415780.0000000009"/>
    <n v="41400000"/>
  </r>
  <r>
    <n v="120"/>
    <x v="119"/>
    <x v="105"/>
    <s v="FRE"/>
    <x v="0"/>
    <n v="0"/>
    <n v="600"/>
    <n v="600"/>
    <n v="5415780.0000000009"/>
    <n v="41400000"/>
  </r>
  <r>
    <n v="121"/>
    <x v="120"/>
    <x v="106"/>
    <s v="FRE"/>
    <x v="0"/>
    <n v="0"/>
    <n v="600"/>
    <n v="600"/>
    <n v="5350380.0000000009"/>
    <n v="41400000"/>
  </r>
  <r>
    <n v="122"/>
    <x v="121"/>
    <x v="107"/>
    <s v="FRE"/>
    <x v="0"/>
    <n v="0"/>
    <n v="400"/>
    <n v="400"/>
    <n v="3229172"/>
    <n v="26000000"/>
  </r>
  <r>
    <n v="123"/>
    <x v="122"/>
    <x v="108"/>
    <s v="FRE"/>
    <x v="0"/>
    <n v="0"/>
    <n v="600"/>
    <n v="600"/>
    <n v="5462580.0000000009"/>
    <n v="41400000"/>
  </r>
  <r>
    <n v="124"/>
    <x v="123"/>
    <x v="109"/>
    <s v="FRE"/>
    <x v="0"/>
    <n v="0"/>
    <n v="400"/>
    <n v="400"/>
    <n v="4189320.0000000005"/>
    <n v="27600000"/>
  </r>
  <r>
    <n v="125"/>
    <x v="124"/>
    <x v="110"/>
    <s v="FRE"/>
    <x v="0"/>
    <n v="0"/>
    <n v="300"/>
    <n v="300"/>
    <n v="2655279"/>
    <n v="19500000"/>
  </r>
  <r>
    <n v="126"/>
    <x v="125"/>
    <x v="111"/>
    <s v="FRE"/>
    <x v="0"/>
    <n v="0"/>
    <n v="600"/>
    <n v="600"/>
    <n v="5350380.0000000009"/>
    <n v="41400000"/>
  </r>
  <r>
    <n v="127"/>
    <x v="126"/>
    <x v="4"/>
    <m/>
    <x v="1"/>
    <n v="0"/>
    <n v="8500"/>
    <n v="8500"/>
    <n v="64683268"/>
    <n v="522500000"/>
  </r>
  <r>
    <n v="128"/>
    <x v="127"/>
    <x v="112"/>
    <s v="FRE"/>
    <x v="0"/>
    <n v="2999"/>
    <n v="0"/>
    <n v="3000"/>
    <n v="17000700"/>
    <n v="105000000"/>
  </r>
  <r>
    <n v="129"/>
    <x v="128"/>
    <x v="113"/>
    <s v="FRE"/>
    <x v="0"/>
    <n v="2000"/>
    <n v="0"/>
    <n v="2000"/>
    <n v="11345360"/>
    <n v="70000000"/>
  </r>
  <r>
    <n v="130"/>
    <x v="129"/>
    <x v="114"/>
    <s v="FRE"/>
    <x v="0"/>
    <n v="1200"/>
    <n v="0"/>
    <n v="3000"/>
    <n v="22047360"/>
    <n v="105000000"/>
  </r>
  <r>
    <n v="131"/>
    <x v="130"/>
    <x v="115"/>
    <s v="FRE"/>
    <x v="0"/>
    <n v="500"/>
    <n v="0"/>
    <n v="1000"/>
    <n v="7358210.0000000009"/>
    <n v="35000000"/>
  </r>
  <r>
    <n v="132"/>
    <x v="131"/>
    <x v="4"/>
    <m/>
    <x v="1"/>
    <n v="6699"/>
    <n v="0"/>
    <n v="9000"/>
    <n v="57751630"/>
    <n v="315000000"/>
  </r>
  <r>
    <n v="133"/>
    <x v="132"/>
    <x v="116"/>
    <s v="OSM"/>
    <x v="0"/>
    <n v="2000"/>
    <n v="0"/>
    <n v="2000"/>
    <n v="15008800.000000004"/>
    <n v="90000000"/>
  </r>
  <r>
    <n v="134"/>
    <x v="132"/>
    <x v="116"/>
    <s v="OML"/>
    <x v="0"/>
    <n v="1000"/>
    <n v="0"/>
    <n v="1000"/>
    <n v="7504400.0000000019"/>
    <n v="45000000"/>
  </r>
  <r>
    <n v="135"/>
    <x v="133"/>
    <x v="117"/>
    <s v="OSM"/>
    <x v="0"/>
    <n v="1298"/>
    <n v="0"/>
    <n v="1300"/>
    <n v="9755720.0000000019"/>
    <n v="58500000"/>
  </r>
  <r>
    <n v="136"/>
    <x v="133"/>
    <x v="117"/>
    <s v="OML"/>
    <x v="0"/>
    <n v="700"/>
    <n v="0"/>
    <n v="700"/>
    <n v="5253080.0000000009"/>
    <n v="31500000"/>
  </r>
  <r>
    <n v="137"/>
    <x v="134"/>
    <x v="4"/>
    <m/>
    <x v="1"/>
    <n v="4998"/>
    <n v="0"/>
    <n v="5000"/>
    <n v="37522000.000000007"/>
    <n v="225000000"/>
  </r>
  <r>
    <n v="138"/>
    <x v="135"/>
    <x v="118"/>
    <s v="FRE"/>
    <x v="0"/>
    <n v="3059"/>
    <n v="0"/>
    <n v="3000"/>
    <n v="16363550.332458442"/>
    <n v="87000000"/>
  </r>
  <r>
    <n v="139"/>
    <x v="136"/>
    <x v="119"/>
    <s v="FRE"/>
    <x v="0"/>
    <n v="999"/>
    <n v="0"/>
    <n v="1000"/>
    <n v="5337578.748906387"/>
    <n v="29000000"/>
  </r>
  <r>
    <n v="140"/>
    <x v="137"/>
    <x v="120"/>
    <s v="FRE"/>
    <x v="0"/>
    <n v="2998"/>
    <n v="0"/>
    <n v="3000"/>
    <n v="16035089.798775153"/>
    <n v="87000000"/>
  </r>
  <r>
    <n v="141"/>
    <x v="138"/>
    <x v="121"/>
    <s v="FRE"/>
    <x v="0"/>
    <n v="1999"/>
    <n v="0"/>
    <n v="2000"/>
    <n v="10697678.705161856"/>
    <n v="58000000"/>
  </r>
  <r>
    <n v="142"/>
    <x v="139"/>
    <x v="122"/>
    <s v="FRE"/>
    <x v="0"/>
    <n v="2999"/>
    <n v="0"/>
    <n v="3000"/>
    <n v="17600982.528433945"/>
    <n v="87000000"/>
  </r>
  <r>
    <n v="143"/>
    <x v="140"/>
    <x v="123"/>
    <s v="FRE"/>
    <x v="0"/>
    <n v="2000"/>
    <n v="0"/>
    <n v="2000"/>
    <n v="10986644.374453193"/>
    <n v="58000000"/>
  </r>
  <r>
    <n v="144"/>
    <x v="141"/>
    <x v="4"/>
    <m/>
    <x v="1"/>
    <n v="14054"/>
    <n v="0"/>
    <n v="14000"/>
    <n v="77021524.488188967"/>
    <n v="406000000"/>
  </r>
  <r>
    <n v="145"/>
    <x v="142"/>
    <x v="124"/>
    <s v="OSM"/>
    <x v="0"/>
    <n v="2009"/>
    <n v="0"/>
    <n v="2000"/>
    <n v="13048980.000000002"/>
    <n v="58000000"/>
  </r>
  <r>
    <n v="146"/>
    <x v="142"/>
    <x v="124"/>
    <s v="OML"/>
    <x v="0"/>
    <n v="1006"/>
    <n v="0"/>
    <n v="1000"/>
    <n v="6524490.0000000009"/>
    <n v="29000000"/>
  </r>
  <r>
    <n v="147"/>
    <x v="143"/>
    <x v="125"/>
    <s v="OSM"/>
    <x v="0"/>
    <n v="1308"/>
    <n v="0"/>
    <n v="1300"/>
    <n v="8476637"/>
    <n v="37700000"/>
  </r>
  <r>
    <n v="148"/>
    <x v="143"/>
    <x v="125"/>
    <s v="OML"/>
    <x v="0"/>
    <n v="701"/>
    <n v="0"/>
    <n v="700"/>
    <n v="4564343.0000000009"/>
    <n v="20300000"/>
  </r>
  <r>
    <n v="149"/>
    <x v="144"/>
    <x v="4"/>
    <m/>
    <x v="1"/>
    <n v="5024"/>
    <n v="0"/>
    <n v="5000"/>
    <n v="32614450.000000004"/>
    <n v="145000000"/>
  </r>
  <r>
    <n v="150"/>
    <x v="145"/>
    <x v="126"/>
    <s v="FRE"/>
    <x v="0"/>
    <n v="2967"/>
    <n v="0"/>
    <n v="3000"/>
    <n v="30060000"/>
    <n v="147000000"/>
  </r>
  <r>
    <n v="151"/>
    <x v="146"/>
    <x v="127"/>
    <s v="FRE"/>
    <x v="0"/>
    <n v="700"/>
    <n v="0"/>
    <n v="700"/>
    <n v="6664000"/>
    <n v="30100000"/>
  </r>
  <r>
    <n v="152"/>
    <x v="147"/>
    <x v="4"/>
    <m/>
    <x v="1"/>
    <n v="3667"/>
    <n v="0"/>
    <n v="3700"/>
    <n v="36724000"/>
    <n v="177100000"/>
  </r>
  <r>
    <n v="153"/>
    <x v="148"/>
    <x v="128"/>
    <s v="OSM"/>
    <x v="0"/>
    <n v="0"/>
    <n v="250"/>
    <n v="250"/>
    <n v="2755000"/>
    <n v="13750000"/>
  </r>
  <r>
    <n v="154"/>
    <x v="148"/>
    <x v="128"/>
    <s v="OML"/>
    <x v="0"/>
    <n v="0"/>
    <n v="250"/>
    <n v="250"/>
    <n v="2755000"/>
    <n v="13750000"/>
  </r>
  <r>
    <n v="155"/>
    <x v="149"/>
    <x v="129"/>
    <s v="OSM"/>
    <x v="0"/>
    <n v="0"/>
    <n v="200"/>
    <n v="200"/>
    <n v="2504000"/>
    <n v="11000000"/>
  </r>
  <r>
    <n v="156"/>
    <x v="149"/>
    <x v="129"/>
    <s v="OML"/>
    <x v="0"/>
    <n v="0"/>
    <n v="200"/>
    <n v="200"/>
    <n v="2504000"/>
    <n v="11000000"/>
  </r>
  <r>
    <n v="157"/>
    <x v="150"/>
    <x v="130"/>
    <s v="FRE"/>
    <x v="0"/>
    <n v="0"/>
    <n v="400"/>
    <n v="400"/>
    <n v="4808000"/>
    <n v="19600000"/>
  </r>
  <r>
    <n v="158"/>
    <x v="151"/>
    <x v="4"/>
    <m/>
    <x v="1"/>
    <n v="0"/>
    <n v="1300"/>
    <n v="1300"/>
    <n v="15326000"/>
    <n v="69100000"/>
  </r>
  <r>
    <n v="159"/>
    <x v="152"/>
    <x v="131"/>
    <s v="FRE"/>
    <x v="0"/>
    <n v="500"/>
    <n v="0"/>
    <n v="500"/>
    <n v="3513000.0000000005"/>
    <n v="24500000"/>
  </r>
  <r>
    <n v="160"/>
    <x v="153"/>
    <x v="132"/>
    <s v="OXS"/>
    <x v="0"/>
    <n v="200"/>
    <n v="0"/>
    <n v="200"/>
    <n v="1393650.0000000002"/>
    <n v="9800000"/>
  </r>
  <r>
    <n v="161"/>
    <x v="153"/>
    <x v="132"/>
    <s v="OSM"/>
    <x v="0"/>
    <n v="200"/>
    <n v="0"/>
    <n v="200"/>
    <n v="1393650.0000000002"/>
    <n v="9800000"/>
  </r>
  <r>
    <n v="162"/>
    <x v="153"/>
    <x v="132"/>
    <s v="OML"/>
    <x v="0"/>
    <n v="100"/>
    <n v="0"/>
    <n v="100"/>
    <n v="696825.00000000012"/>
    <n v="4900000"/>
  </r>
  <r>
    <n v="163"/>
    <x v="154"/>
    <x v="133"/>
    <s v="FRE"/>
    <x v="0"/>
    <n v="999"/>
    <n v="0"/>
    <n v="1000"/>
    <n v="6852750"/>
    <n v="43000000"/>
  </r>
  <r>
    <n v="164"/>
    <x v="155"/>
    <x v="134"/>
    <s v="OXS"/>
    <x v="0"/>
    <n v="300"/>
    <n v="0"/>
    <n v="300"/>
    <n v="2055825"/>
    <n v="14700000"/>
  </r>
  <r>
    <n v="165"/>
    <x v="155"/>
    <x v="134"/>
    <s v="OSM"/>
    <x v="0"/>
    <n v="200"/>
    <n v="0"/>
    <n v="200"/>
    <n v="1370550"/>
    <n v="9800000"/>
  </r>
  <r>
    <n v="166"/>
    <x v="156"/>
    <x v="135"/>
    <s v="FRE"/>
    <x v="0"/>
    <n v="300"/>
    <n v="0"/>
    <n v="300"/>
    <n v="1934550.0000000002"/>
    <n v="12900000"/>
  </r>
  <r>
    <n v="167"/>
    <x v="157"/>
    <x v="136"/>
    <s v="FRE"/>
    <x v="0"/>
    <n v="300"/>
    <n v="0"/>
    <n v="300"/>
    <n v="1969200"/>
    <n v="12900000"/>
  </r>
  <r>
    <n v="168"/>
    <x v="158"/>
    <x v="4"/>
    <m/>
    <x v="1"/>
    <n v="3099"/>
    <n v="0"/>
    <n v="3100"/>
    <n v="21180000"/>
    <n v="142300000"/>
  </r>
  <r>
    <n v="169"/>
    <x v="159"/>
    <x v="137"/>
    <s v="FRE"/>
    <x v="0"/>
    <n v="0"/>
    <n v="200"/>
    <n v="200"/>
    <n v="1330640.0000000002"/>
    <n v="9000000"/>
  </r>
  <r>
    <n v="170"/>
    <x v="160"/>
    <x v="138"/>
    <s v="FRE"/>
    <x v="0"/>
    <n v="0"/>
    <n v="200"/>
    <n v="200"/>
    <n v="1335040.0000000002"/>
    <n v="9000000"/>
  </r>
  <r>
    <n v="171"/>
    <x v="161"/>
    <x v="4"/>
    <m/>
    <x v="1"/>
    <n v="0"/>
    <n v="400"/>
    <n v="400"/>
    <n v="2665680.0000000005"/>
    <n v="18000000"/>
  </r>
  <r>
    <n v="172"/>
    <x v="162"/>
    <x v="139"/>
    <s v="OSS"/>
    <x v="0"/>
    <n v="0"/>
    <n v="250"/>
    <n v="250"/>
    <n v="9769750"/>
    <n v="44750000"/>
  </r>
  <r>
    <n v="173"/>
    <x v="162"/>
    <x v="139"/>
    <s v="OMM"/>
    <x v="0"/>
    <n v="0"/>
    <n v="350"/>
    <n v="350"/>
    <n v="13677650"/>
    <n v="62650000"/>
  </r>
  <r>
    <n v="174"/>
    <x v="162"/>
    <x v="139"/>
    <s v="OLL"/>
    <x v="0"/>
    <n v="0"/>
    <n v="200"/>
    <n v="200"/>
    <n v="7815800"/>
    <n v="35800000"/>
  </r>
  <r>
    <n v="175"/>
    <x v="162"/>
    <x v="139"/>
    <s v="OXL"/>
    <x v="0"/>
    <n v="0"/>
    <n v="200"/>
    <n v="200"/>
    <n v="7815800"/>
    <n v="35800000"/>
  </r>
  <r>
    <n v="176"/>
    <x v="163"/>
    <x v="140"/>
    <s v="OXS"/>
    <x v="0"/>
    <n v="0"/>
    <n v="250"/>
    <n v="250"/>
    <n v="8672500"/>
    <n v="42250000"/>
  </r>
  <r>
    <n v="177"/>
    <x v="163"/>
    <x v="140"/>
    <s v="OMM"/>
    <x v="0"/>
    <n v="0"/>
    <n v="350"/>
    <n v="350"/>
    <n v="12141500"/>
    <n v="59150000"/>
  </r>
  <r>
    <n v="178"/>
    <x v="163"/>
    <x v="140"/>
    <s v="OXL"/>
    <x v="0"/>
    <n v="0"/>
    <n v="200"/>
    <n v="200"/>
    <n v="6938000"/>
    <n v="33800000"/>
  </r>
  <r>
    <n v="179"/>
    <x v="164"/>
    <x v="141"/>
    <s v="OSS"/>
    <x v="0"/>
    <n v="0"/>
    <n v="300"/>
    <n v="300"/>
    <n v="10129800"/>
    <n v="47700000"/>
  </r>
  <r>
    <n v="180"/>
    <x v="164"/>
    <x v="141"/>
    <s v="OMM"/>
    <x v="0"/>
    <n v="0"/>
    <n v="450"/>
    <n v="450"/>
    <n v="15194700"/>
    <n v="71550000"/>
  </r>
  <r>
    <n v="181"/>
    <x v="164"/>
    <x v="141"/>
    <s v="OLL"/>
    <x v="0"/>
    <n v="0"/>
    <n v="250"/>
    <n v="250"/>
    <n v="8441500"/>
    <n v="39750000"/>
  </r>
  <r>
    <n v="182"/>
    <x v="164"/>
    <x v="141"/>
    <s v="OXL"/>
    <x v="0"/>
    <n v="0"/>
    <n v="200"/>
    <n v="200"/>
    <n v="6753200"/>
    <n v="31800000"/>
  </r>
  <r>
    <n v="183"/>
    <x v="165"/>
    <x v="142"/>
    <s v="OSS"/>
    <x v="0"/>
    <n v="0"/>
    <n v="450"/>
    <n v="450"/>
    <n v="12492000.000000002"/>
    <n v="62550000"/>
  </r>
  <r>
    <n v="184"/>
    <x v="165"/>
    <x v="142"/>
    <s v="OMM"/>
    <x v="0"/>
    <n v="0"/>
    <n v="350"/>
    <n v="350"/>
    <n v="9716000.0000000019"/>
    <n v="48650000"/>
  </r>
  <r>
    <n v="185"/>
    <x v="165"/>
    <x v="142"/>
    <s v="OLL"/>
    <x v="0"/>
    <n v="0"/>
    <n v="200"/>
    <n v="200"/>
    <n v="5552000.0000000009"/>
    <n v="27800000"/>
  </r>
  <r>
    <n v="186"/>
    <x v="166"/>
    <x v="143"/>
    <s v="OSS"/>
    <x v="0"/>
    <n v="0"/>
    <n v="400"/>
    <n v="400"/>
    <n v="11104000.000000002"/>
    <n v="55600000"/>
  </r>
  <r>
    <n v="187"/>
    <x v="166"/>
    <x v="143"/>
    <s v="OMM"/>
    <x v="0"/>
    <n v="0"/>
    <n v="550"/>
    <n v="550"/>
    <n v="15268000.000000002"/>
    <n v="76450000"/>
  </r>
  <r>
    <n v="188"/>
    <x v="166"/>
    <x v="143"/>
    <s v="OLL"/>
    <x v="0"/>
    <n v="0"/>
    <n v="350"/>
    <n v="350"/>
    <n v="9716000.0000000019"/>
    <n v="48650000"/>
  </r>
  <r>
    <n v="189"/>
    <x v="166"/>
    <x v="143"/>
    <s v="OXL"/>
    <x v="0"/>
    <n v="0"/>
    <n v="200"/>
    <n v="200"/>
    <n v="5552000.0000000009"/>
    <n v="27800000"/>
  </r>
  <r>
    <n v="190"/>
    <x v="167"/>
    <x v="144"/>
    <s v="OXS"/>
    <x v="0"/>
    <n v="0"/>
    <n v="300"/>
    <n v="300"/>
    <n v="7635000"/>
    <n v="38700000"/>
  </r>
  <r>
    <n v="191"/>
    <x v="167"/>
    <x v="144"/>
    <s v="OMM"/>
    <x v="0"/>
    <n v="0"/>
    <n v="500"/>
    <n v="500"/>
    <n v="12725000"/>
    <n v="64500000"/>
  </r>
  <r>
    <n v="192"/>
    <x v="167"/>
    <x v="144"/>
    <s v="OXL"/>
    <x v="0"/>
    <n v="0"/>
    <n v="400"/>
    <n v="400"/>
    <n v="10180000"/>
    <n v="51600000"/>
  </r>
  <r>
    <n v="193"/>
    <x v="168"/>
    <x v="145"/>
    <s v="OSS"/>
    <x v="0"/>
    <n v="0"/>
    <n v="350"/>
    <n v="350"/>
    <n v="6077750"/>
    <n v="27650000"/>
  </r>
  <r>
    <n v="194"/>
    <x v="168"/>
    <x v="145"/>
    <s v="OMM"/>
    <x v="0"/>
    <n v="0"/>
    <n v="400"/>
    <n v="400"/>
    <n v="6946000"/>
    <n v="31600000"/>
  </r>
  <r>
    <n v="195"/>
    <x v="168"/>
    <x v="145"/>
    <s v="OLL"/>
    <x v="0"/>
    <n v="0"/>
    <n v="250"/>
    <n v="250"/>
    <n v="4341250"/>
    <n v="19750000"/>
  </r>
  <r>
    <n v="196"/>
    <x v="168"/>
    <x v="145"/>
    <s v="OXL"/>
    <x v="0"/>
    <n v="0"/>
    <n v="200"/>
    <n v="200"/>
    <n v="3473000"/>
    <n v="15800000"/>
  </r>
  <r>
    <n v="197"/>
    <x v="169"/>
    <x v="146"/>
    <s v="OSS"/>
    <x v="0"/>
    <n v="0"/>
    <n v="450"/>
    <n v="450"/>
    <n v="9373500.0000000019"/>
    <n v="44550000"/>
  </r>
  <r>
    <n v="198"/>
    <x v="169"/>
    <x v="146"/>
    <s v="OMM"/>
    <x v="0"/>
    <n v="0"/>
    <n v="350"/>
    <n v="350"/>
    <n v="7290500.0000000009"/>
    <n v="34650000"/>
  </r>
  <r>
    <n v="199"/>
    <x v="169"/>
    <x v="146"/>
    <s v="OLL"/>
    <x v="0"/>
    <n v="0"/>
    <n v="200"/>
    <n v="200"/>
    <n v="4166000.0000000009"/>
    <n v="19800000"/>
  </r>
  <r>
    <n v="200"/>
    <x v="170"/>
    <x v="147"/>
    <s v="OXS"/>
    <x v="0"/>
    <n v="0"/>
    <n v="200"/>
    <n v="200"/>
    <n v="3588500.0000000009"/>
    <n v="17800000"/>
  </r>
  <r>
    <n v="201"/>
    <x v="170"/>
    <x v="147"/>
    <s v="OSS"/>
    <x v="0"/>
    <n v="0"/>
    <n v="250"/>
    <n v="250"/>
    <n v="4485625.0000000009"/>
    <n v="22250000"/>
  </r>
  <r>
    <n v="202"/>
    <x v="170"/>
    <x v="147"/>
    <s v="OMM"/>
    <x v="0"/>
    <n v="0"/>
    <n v="200"/>
    <n v="200"/>
    <n v="3588500.0000000009"/>
    <n v="17800000"/>
  </r>
  <r>
    <n v="203"/>
    <x v="170"/>
    <x v="147"/>
    <s v="OXL"/>
    <x v="0"/>
    <n v="0"/>
    <n v="150"/>
    <n v="150"/>
    <n v="2691375.0000000005"/>
    <n v="13350000"/>
  </r>
  <r>
    <n v="204"/>
    <x v="171"/>
    <x v="148"/>
    <s v="OSS"/>
    <x v="0"/>
    <n v="0"/>
    <n v="450"/>
    <n v="450"/>
    <n v="9373500.0000000019"/>
    <n v="44550000"/>
  </r>
  <r>
    <n v="205"/>
    <x v="171"/>
    <x v="148"/>
    <s v="OMM"/>
    <x v="0"/>
    <n v="0"/>
    <n v="350"/>
    <n v="350"/>
    <n v="7290500.0000000009"/>
    <n v="34650000"/>
  </r>
  <r>
    <n v="206"/>
    <x v="171"/>
    <x v="148"/>
    <s v="OLL"/>
    <x v="0"/>
    <n v="0"/>
    <n v="200"/>
    <n v="200"/>
    <n v="4166000.0000000009"/>
    <n v="19800000"/>
  </r>
  <r>
    <n v="207"/>
    <x v="172"/>
    <x v="149"/>
    <s v="OXS"/>
    <x v="0"/>
    <n v="0"/>
    <n v="250"/>
    <n v="250"/>
    <n v="4485625.0000000009"/>
    <n v="22250000"/>
  </r>
  <r>
    <n v="208"/>
    <x v="172"/>
    <x v="149"/>
    <s v="OSS"/>
    <x v="0"/>
    <n v="0"/>
    <n v="250"/>
    <n v="250"/>
    <n v="4485625.0000000009"/>
    <n v="22250000"/>
  </r>
  <r>
    <n v="209"/>
    <x v="172"/>
    <x v="149"/>
    <s v="OMM"/>
    <x v="0"/>
    <n v="0"/>
    <n v="150"/>
    <n v="150"/>
    <n v="2691375.0000000005"/>
    <n v="13350000"/>
  </r>
  <r>
    <n v="210"/>
    <x v="172"/>
    <x v="149"/>
    <s v="OXL"/>
    <x v="0"/>
    <n v="0"/>
    <n v="150"/>
    <n v="150"/>
    <n v="2691375.0000000005"/>
    <n v="13350000"/>
  </r>
  <r>
    <n v="211"/>
    <x v="173"/>
    <x v="4"/>
    <m/>
    <x v="1"/>
    <n v="0"/>
    <n v="11500"/>
    <n v="11500"/>
    <n v="298496200"/>
    <n v="1442500000"/>
  </r>
  <r>
    <n v="212"/>
    <x v="174"/>
    <x v="150"/>
    <s v="FRE"/>
    <x v="2"/>
    <n v="0"/>
    <n v="200"/>
    <n v="200"/>
    <n v="3184272"/>
    <n v="13000000"/>
  </r>
  <r>
    <n v="213"/>
    <x v="175"/>
    <x v="151"/>
    <s v="FRE"/>
    <x v="2"/>
    <n v="0"/>
    <n v="200"/>
    <n v="200"/>
    <n v="3184272"/>
    <n v="13000000"/>
  </r>
  <r>
    <n v="214"/>
    <x v="176"/>
    <x v="152"/>
    <s v="FRE"/>
    <x v="2"/>
    <n v="0"/>
    <n v="200"/>
    <n v="200"/>
    <n v="3449628.0000000005"/>
    <n v="14600000"/>
  </r>
  <r>
    <n v="215"/>
    <x v="177"/>
    <x v="153"/>
    <s v="FRE"/>
    <x v="2"/>
    <n v="0"/>
    <n v="200"/>
    <n v="200"/>
    <n v="3449628.0000000005"/>
    <n v="14600000"/>
  </r>
  <r>
    <n v="216"/>
    <x v="178"/>
    <x v="154"/>
    <s v="FRE"/>
    <x v="2"/>
    <n v="0"/>
    <n v="200"/>
    <n v="200"/>
    <n v="3449628.0000000005"/>
    <n v="14600000"/>
  </r>
  <r>
    <n v="217"/>
    <x v="179"/>
    <x v="155"/>
    <s v="FRE"/>
    <x v="2"/>
    <n v="0"/>
    <n v="200"/>
    <n v="200"/>
    <n v="3449628.0000000005"/>
    <n v="14600000"/>
  </r>
  <r>
    <n v="218"/>
    <x v="180"/>
    <x v="156"/>
    <s v="FRE"/>
    <x v="2"/>
    <n v="0"/>
    <n v="200"/>
    <n v="200"/>
    <n v="3449628.0000000005"/>
    <n v="14600000"/>
  </r>
  <r>
    <n v="219"/>
    <x v="181"/>
    <x v="157"/>
    <s v="FRE"/>
    <x v="2"/>
    <n v="0"/>
    <n v="300"/>
    <n v="300"/>
    <n v="5174442.0000000009"/>
    <n v="21900000"/>
  </r>
  <r>
    <n v="220"/>
    <x v="182"/>
    <x v="158"/>
    <s v="FRE"/>
    <x v="2"/>
    <n v="0"/>
    <n v="300"/>
    <n v="300"/>
    <n v="5174442.0000000009"/>
    <n v="21900000"/>
  </r>
  <r>
    <n v="221"/>
    <x v="183"/>
    <x v="159"/>
    <s v="FRE"/>
    <x v="2"/>
    <n v="0"/>
    <n v="150"/>
    <n v="150"/>
    <n v="2388204"/>
    <n v="9750000"/>
  </r>
  <r>
    <n v="222"/>
    <x v="184"/>
    <x v="160"/>
    <s v="FRE"/>
    <x v="2"/>
    <n v="0"/>
    <n v="150"/>
    <n v="150"/>
    <n v="2388204"/>
    <n v="9750000"/>
  </r>
  <r>
    <n v="223"/>
    <x v="185"/>
    <x v="161"/>
    <s v="FRE"/>
    <x v="2"/>
    <n v="0"/>
    <n v="300"/>
    <n v="300"/>
    <n v="5174442.0000000009"/>
    <n v="21900000"/>
  </r>
  <r>
    <n v="224"/>
    <x v="186"/>
    <x v="162"/>
    <s v="FRE"/>
    <x v="2"/>
    <n v="0"/>
    <n v="300"/>
    <n v="300"/>
    <n v="5174442.0000000009"/>
    <n v="21900000"/>
  </r>
  <r>
    <n v="225"/>
    <x v="187"/>
    <x v="163"/>
    <s v="FRE"/>
    <x v="2"/>
    <n v="0"/>
    <n v="300"/>
    <n v="300"/>
    <n v="5174442.0000000009"/>
    <n v="21900000"/>
  </r>
  <r>
    <n v="226"/>
    <x v="188"/>
    <x v="164"/>
    <s v="FRE"/>
    <x v="2"/>
    <n v="0"/>
    <n v="50"/>
    <n v="50"/>
    <n v="1171989.0000000002"/>
    <n v="4950000"/>
  </r>
  <r>
    <n v="227"/>
    <x v="189"/>
    <x v="165"/>
    <s v="FRE"/>
    <x v="2"/>
    <n v="0"/>
    <n v="50"/>
    <n v="50"/>
    <n v="1171989.0000000002"/>
    <n v="4950000"/>
  </r>
  <r>
    <n v="228"/>
    <x v="190"/>
    <x v="166"/>
    <s v="FRE"/>
    <x v="2"/>
    <n v="0"/>
    <n v="100"/>
    <n v="100"/>
    <n v="2034396"/>
    <n v="8500000"/>
  </r>
  <r>
    <n v="229"/>
    <x v="191"/>
    <x v="167"/>
    <s v="FRE"/>
    <x v="2"/>
    <n v="0"/>
    <n v="100"/>
    <n v="100"/>
    <n v="2034396"/>
    <n v="8500000"/>
  </r>
  <r>
    <n v="230"/>
    <x v="192"/>
    <x v="168"/>
    <s v="FRE"/>
    <x v="2"/>
    <n v="0"/>
    <n v="200"/>
    <n v="200"/>
    <n v="4068792"/>
    <n v="17000000"/>
  </r>
  <r>
    <n v="231"/>
    <x v="193"/>
    <x v="169"/>
    <s v="FRE"/>
    <x v="2"/>
    <n v="0"/>
    <n v="150"/>
    <n v="150"/>
    <n v="3051594"/>
    <n v="12750000"/>
  </r>
  <r>
    <n v="232"/>
    <x v="194"/>
    <x v="170"/>
    <s v="FRE"/>
    <x v="2"/>
    <n v="0"/>
    <n v="200"/>
    <n v="200"/>
    <n v="4068792"/>
    <n v="17000000"/>
  </r>
  <r>
    <n v="233"/>
    <x v="195"/>
    <x v="171"/>
    <s v="FRE"/>
    <x v="2"/>
    <n v="0"/>
    <n v="300"/>
    <n v="300"/>
    <n v="5174442.0000000009"/>
    <n v="21900000"/>
  </r>
  <r>
    <n v="234"/>
    <x v="196"/>
    <x v="172"/>
    <s v="FRE"/>
    <x v="2"/>
    <n v="0"/>
    <n v="300"/>
    <n v="300"/>
    <n v="5174442.0000000009"/>
    <n v="21900000"/>
  </r>
  <r>
    <n v="235"/>
    <x v="197"/>
    <x v="173"/>
    <s v="FRE"/>
    <x v="2"/>
    <n v="0"/>
    <n v="20"/>
    <n v="20"/>
    <n v="689925.60000000009"/>
    <n v="2980000"/>
  </r>
  <r>
    <n v="236"/>
    <x v="198"/>
    <x v="174"/>
    <s v="FRE"/>
    <x v="2"/>
    <n v="0"/>
    <n v="20"/>
    <n v="20"/>
    <n v="689925.60000000009"/>
    <n v="2980000"/>
  </r>
  <r>
    <n v="237"/>
    <x v="199"/>
    <x v="175"/>
    <s v="FRE"/>
    <x v="2"/>
    <n v="0"/>
    <n v="20"/>
    <n v="20"/>
    <n v="344962.80000000005"/>
    <n v="1460000"/>
  </r>
  <r>
    <n v="238"/>
    <x v="200"/>
    <x v="176"/>
    <s v="FRE"/>
    <x v="2"/>
    <n v="0"/>
    <n v="20"/>
    <n v="20"/>
    <n v="344962.80000000005"/>
    <n v="1460000"/>
  </r>
  <r>
    <n v="239"/>
    <x v="201"/>
    <x v="177"/>
    <s v="FRE"/>
    <x v="2"/>
    <n v="0"/>
    <n v="20"/>
    <n v="20"/>
    <n v="344962.80000000005"/>
    <n v="1460000"/>
  </r>
  <r>
    <n v="240"/>
    <x v="202"/>
    <x v="4"/>
    <m/>
    <x v="1"/>
    <n v="0"/>
    <n v="4750"/>
    <n v="4750"/>
    <n v="84630873.599999979"/>
    <n v="355790000"/>
  </r>
  <r>
    <n v="241"/>
    <x v="203"/>
    <x v="178"/>
    <s v="FRE"/>
    <x v="0"/>
    <n v="1000"/>
    <n v="0"/>
    <n v="1000"/>
    <n v="4524500"/>
    <n v="43000000"/>
  </r>
  <r>
    <n v="242"/>
    <x v="204"/>
    <x v="4"/>
    <m/>
    <x v="1"/>
    <n v="1000"/>
    <n v="0"/>
    <n v="1000"/>
    <n v="4524500"/>
    <n v="43000000"/>
  </r>
  <r>
    <n v="243"/>
    <x v="205"/>
    <x v="179"/>
    <s v="FRE"/>
    <x v="0"/>
    <n v="700"/>
    <n v="0"/>
    <n v="800"/>
    <n v="5554456.0000000009"/>
    <n v="34400000"/>
  </r>
  <r>
    <n v="244"/>
    <x v="206"/>
    <x v="4"/>
    <m/>
    <x v="1"/>
    <n v="700"/>
    <n v="0"/>
    <n v="800"/>
    <n v="5554456.0000000009"/>
    <n v="34400000"/>
  </r>
  <r>
    <n v="245"/>
    <x v="207"/>
    <x v="180"/>
    <s v="FRE"/>
    <x v="0"/>
    <n v="700"/>
    <n v="0"/>
    <n v="700"/>
    <n v="5460000"/>
    <n v="34300000"/>
  </r>
  <r>
    <n v="246"/>
    <x v="208"/>
    <x v="4"/>
    <m/>
    <x v="1"/>
    <n v="700"/>
    <n v="0"/>
    <n v="700"/>
    <n v="5460000"/>
    <n v="34300000"/>
  </r>
  <r>
    <n v="247"/>
    <x v="209"/>
    <x v="181"/>
    <s v="FRE"/>
    <x v="0"/>
    <n v="0"/>
    <n v="800"/>
    <n v="800"/>
    <n v="5638792.0000000009"/>
    <n v="44000000"/>
  </r>
  <r>
    <n v="248"/>
    <x v="210"/>
    <x v="182"/>
    <s v="FRE"/>
    <x v="0"/>
    <n v="0"/>
    <n v="800"/>
    <n v="800"/>
    <n v="6349160.0000000009"/>
    <n v="44000000"/>
  </r>
  <r>
    <n v="249"/>
    <x v="211"/>
    <x v="183"/>
    <s v="FRE"/>
    <x v="0"/>
    <n v="0"/>
    <n v="800"/>
    <n v="800"/>
    <n v="5921292.0000000009"/>
    <n v="44000000"/>
  </r>
  <r>
    <n v="250"/>
    <x v="212"/>
    <x v="184"/>
    <s v="FRE"/>
    <x v="0"/>
    <n v="0"/>
    <n v="600"/>
    <n v="600"/>
    <n v="3117540.0000000005"/>
    <n v="33000000"/>
  </r>
  <r>
    <n v="251"/>
    <x v="213"/>
    <x v="4"/>
    <m/>
    <x v="1"/>
    <n v="0"/>
    <n v="3000"/>
    <n v="3000"/>
    <n v="21026784.000000004"/>
    <n v="165000000"/>
  </r>
  <r>
    <n v="252"/>
    <x v="214"/>
    <x v="185"/>
    <s v="FRE"/>
    <x v="0"/>
    <n v="0"/>
    <n v="400"/>
    <n v="400"/>
    <n v="5948280"/>
    <n v="31600000"/>
  </r>
  <r>
    <n v="253"/>
    <x v="215"/>
    <x v="4"/>
    <m/>
    <x v="1"/>
    <n v="0"/>
    <n v="400"/>
    <n v="400"/>
    <n v="5948280"/>
    <n v="31600000"/>
  </r>
  <r>
    <n v="254"/>
    <x v="216"/>
    <x v="186"/>
    <s v="FRE"/>
    <x v="0"/>
    <n v="0"/>
    <n v="500"/>
    <n v="500"/>
    <n v="7950000"/>
    <n v="32500000"/>
  </r>
  <r>
    <n v="255"/>
    <x v="217"/>
    <x v="187"/>
    <s v="FRE"/>
    <x v="0"/>
    <n v="0"/>
    <n v="300"/>
    <n v="300"/>
    <n v="4620000"/>
    <n v="17700000"/>
  </r>
  <r>
    <n v="256"/>
    <x v="218"/>
    <x v="188"/>
    <s v="FRE"/>
    <x v="0"/>
    <n v="0"/>
    <n v="600"/>
    <n v="600"/>
    <n v="9420000"/>
    <n v="39000000"/>
  </r>
  <r>
    <n v="257"/>
    <x v="219"/>
    <x v="189"/>
    <s v="FRE"/>
    <x v="0"/>
    <n v="0"/>
    <n v="500"/>
    <n v="500"/>
    <n v="8350000"/>
    <n v="34500000"/>
  </r>
  <r>
    <n v="258"/>
    <x v="220"/>
    <x v="190"/>
    <s v="FRE"/>
    <x v="0"/>
    <n v="0"/>
    <n v="600"/>
    <n v="600"/>
    <n v="10020000"/>
    <n v="41400000"/>
  </r>
  <r>
    <n v="259"/>
    <x v="221"/>
    <x v="191"/>
    <s v="FRE"/>
    <x v="0"/>
    <n v="0"/>
    <n v="600"/>
    <n v="600"/>
    <n v="7680000"/>
    <n v="35400000"/>
  </r>
  <r>
    <n v="260"/>
    <x v="222"/>
    <x v="192"/>
    <s v="FRE"/>
    <x v="0"/>
    <n v="0"/>
    <n v="400"/>
    <n v="400"/>
    <n v="6880000"/>
    <n v="27600000"/>
  </r>
  <r>
    <n v="261"/>
    <x v="223"/>
    <x v="4"/>
    <m/>
    <x v="1"/>
    <n v="0"/>
    <n v="3500"/>
    <n v="3500"/>
    <n v="54920000"/>
    <n v="228100000"/>
  </r>
  <r>
    <n v="262"/>
    <x v="224"/>
    <x v="193"/>
    <s v="FRE"/>
    <x v="0"/>
    <n v="500"/>
    <n v="0"/>
    <n v="500"/>
    <n v="3471535.0000000005"/>
    <n v="24500000"/>
  </r>
  <r>
    <n v="263"/>
    <x v="225"/>
    <x v="194"/>
    <s v="FRE"/>
    <x v="0"/>
    <n v="500"/>
    <n v="0"/>
    <n v="500"/>
    <n v="3471535.0000000005"/>
    <n v="24500000"/>
  </r>
  <r>
    <n v="264"/>
    <x v="226"/>
    <x v="195"/>
    <s v="FRE"/>
    <x v="0"/>
    <n v="460"/>
    <n v="0"/>
    <n v="500"/>
    <n v="3502720.0000000005"/>
    <n v="24500000"/>
  </r>
  <r>
    <n v="265"/>
    <x v="227"/>
    <x v="196"/>
    <s v="FRE"/>
    <x v="0"/>
    <n v="500"/>
    <n v="0"/>
    <n v="500"/>
    <n v="3596275.0000000005"/>
    <n v="24500000"/>
  </r>
  <r>
    <n v="266"/>
    <x v="228"/>
    <x v="197"/>
    <s v="FRE"/>
    <x v="0"/>
    <n v="500"/>
    <n v="0"/>
    <n v="500"/>
    <n v="3471535.0000000005"/>
    <n v="24500000"/>
  </r>
  <r>
    <n v="267"/>
    <x v="229"/>
    <x v="198"/>
    <s v="FRE"/>
    <x v="0"/>
    <n v="500"/>
    <n v="0"/>
    <n v="500"/>
    <n v="3377980.0000000009"/>
    <n v="24500000"/>
  </r>
  <r>
    <n v="268"/>
    <x v="230"/>
    <x v="199"/>
    <s v="FRE"/>
    <x v="0"/>
    <n v="500"/>
    <n v="0"/>
    <n v="500"/>
    <n v="3533905.0000000005"/>
    <n v="24500000"/>
  </r>
  <r>
    <n v="269"/>
    <x v="231"/>
    <x v="200"/>
    <s v="FRE"/>
    <x v="0"/>
    <n v="500"/>
    <n v="0"/>
    <n v="500"/>
    <n v="3565090.0000000005"/>
    <n v="24500000"/>
  </r>
  <r>
    <n v="270"/>
    <x v="232"/>
    <x v="201"/>
    <s v="FRE"/>
    <x v="0"/>
    <n v="485"/>
    <n v="0"/>
    <n v="500"/>
    <n v="3471535.0000000005"/>
    <n v="24500000"/>
  </r>
  <r>
    <n v="271"/>
    <x v="233"/>
    <x v="4"/>
    <m/>
    <x v="1"/>
    <n v="4445"/>
    <n v="0"/>
    <n v="4500"/>
    <n v="31462110.000000004"/>
    <n v="220500000"/>
  </r>
  <r>
    <n v="272"/>
    <x v="234"/>
    <x v="202"/>
    <s v="FRE"/>
    <x v="0"/>
    <n v="4000"/>
    <n v="0"/>
    <n v="4000"/>
    <n v="17347320"/>
    <n v="220000000"/>
  </r>
  <r>
    <n v="273"/>
    <x v="235"/>
    <x v="203"/>
    <s v="FRE"/>
    <x v="0"/>
    <n v="1975"/>
    <n v="0"/>
    <n v="2000"/>
    <n v="9187660"/>
    <n v="110000000"/>
  </r>
  <r>
    <n v="274"/>
    <x v="236"/>
    <x v="4"/>
    <m/>
    <x v="1"/>
    <n v="5975"/>
    <n v="0"/>
    <n v="6000"/>
    <n v="26534980"/>
    <n v="330000000"/>
  </r>
  <r>
    <n v="275"/>
    <x v="237"/>
    <x v="204"/>
    <s v="FRE"/>
    <x v="0"/>
    <n v="1983"/>
    <n v="0"/>
    <n v="2000"/>
    <n v="20440000"/>
    <n v="90000000"/>
  </r>
  <r>
    <n v="276"/>
    <x v="238"/>
    <x v="4"/>
    <m/>
    <x v="1"/>
    <n v="1983"/>
    <n v="0"/>
    <n v="2000"/>
    <n v="20440000"/>
    <n v="90000000"/>
  </r>
  <r>
    <n v="277"/>
    <x v="239"/>
    <x v="205"/>
    <s v="FRE"/>
    <x v="0"/>
    <n v="1500"/>
    <n v="0"/>
    <n v="1500"/>
    <n v="12162150"/>
    <n v="88500000"/>
  </r>
  <r>
    <n v="278"/>
    <x v="240"/>
    <x v="4"/>
    <m/>
    <x v="1"/>
    <n v="1500"/>
    <n v="0"/>
    <n v="1500"/>
    <n v="12162150"/>
    <n v="88500000"/>
  </r>
  <r>
    <n v="279"/>
    <x v="241"/>
    <x v="206"/>
    <s v="FRE"/>
    <x v="0"/>
    <n v="0"/>
    <n v="1200"/>
    <n v="1200"/>
    <n v="811346.40000000014"/>
    <n v="5880000"/>
  </r>
  <r>
    <n v="280"/>
    <x v="242"/>
    <x v="207"/>
    <s v="FRE"/>
    <x v="0"/>
    <n v="0"/>
    <n v="1200"/>
    <n v="1200"/>
    <n v="811346.40000000014"/>
    <n v="5880000"/>
  </r>
  <r>
    <n v="281"/>
    <x v="243"/>
    <x v="208"/>
    <s v="FRE"/>
    <x v="0"/>
    <n v="0"/>
    <n v="1200"/>
    <n v="1200"/>
    <n v="811346.40000000014"/>
    <n v="5880000"/>
  </r>
  <r>
    <n v="282"/>
    <x v="244"/>
    <x v="209"/>
    <s v="FRE"/>
    <x v="0"/>
    <n v="0"/>
    <n v="1200"/>
    <n v="1200"/>
    <n v="811346.40000000014"/>
    <n v="5880000"/>
  </r>
  <r>
    <n v="283"/>
    <x v="245"/>
    <x v="4"/>
    <m/>
    <x v="1"/>
    <n v="0"/>
    <n v="4800"/>
    <n v="4800"/>
    <n v="3245385.6000000006"/>
    <n v="23520000"/>
  </r>
  <r>
    <n v="284"/>
    <x v="246"/>
    <x v="210"/>
    <s v="FRE"/>
    <x v="2"/>
    <n v="0"/>
    <n v="300"/>
    <n v="300"/>
    <n v="3599999.9999999995"/>
    <n v="9900000"/>
  </r>
  <r>
    <n v="285"/>
    <x v="247"/>
    <x v="211"/>
    <s v="FRE"/>
    <x v="2"/>
    <n v="0"/>
    <n v="400"/>
    <n v="400"/>
    <n v="4799999.9999999991"/>
    <n v="13200000"/>
  </r>
  <r>
    <n v="286"/>
    <x v="248"/>
    <x v="212"/>
    <s v="FRE"/>
    <x v="2"/>
    <n v="0"/>
    <n v="300"/>
    <n v="300"/>
    <n v="4254545.4545454541"/>
    <n v="11700000"/>
  </r>
  <r>
    <n v="287"/>
    <x v="249"/>
    <x v="213"/>
    <s v="FRE"/>
    <x v="2"/>
    <n v="0"/>
    <n v="400"/>
    <n v="400"/>
    <n v="5672727.2727272725"/>
    <n v="15600000"/>
  </r>
  <r>
    <n v="288"/>
    <x v="250"/>
    <x v="214"/>
    <s v="FRE"/>
    <x v="2"/>
    <n v="0"/>
    <n v="400"/>
    <n v="400"/>
    <n v="5672727.2727272725"/>
    <n v="15600000"/>
  </r>
  <r>
    <n v="289"/>
    <x v="251"/>
    <x v="215"/>
    <s v="FRE"/>
    <x v="2"/>
    <n v="0"/>
    <n v="400"/>
    <n v="400"/>
    <n v="4799999.9999999991"/>
    <n v="13200000"/>
  </r>
  <r>
    <n v="290"/>
    <x v="252"/>
    <x v="216"/>
    <s v="FRE"/>
    <x v="2"/>
    <n v="0"/>
    <n v="400"/>
    <n v="400"/>
    <n v="5672727.2727272725"/>
    <n v="15600000"/>
  </r>
  <r>
    <n v="291"/>
    <x v="253"/>
    <x v="217"/>
    <s v="FRE"/>
    <x v="2"/>
    <n v="0"/>
    <n v="300"/>
    <n v="300"/>
    <n v="4254545.4545454541"/>
    <n v="11700000"/>
  </r>
  <r>
    <n v="292"/>
    <x v="254"/>
    <x v="4"/>
    <m/>
    <x v="1"/>
    <n v="0"/>
    <n v="2900"/>
    <n v="2900"/>
    <n v="38727272.727272727"/>
    <n v="106500000"/>
  </r>
  <r>
    <n v="293"/>
    <x v="255"/>
    <x v="218"/>
    <s v="FRE"/>
    <x v="0"/>
    <n v="0"/>
    <n v="800"/>
    <n v="800"/>
    <n v="7812384.0000000009"/>
    <n v="47200000"/>
  </r>
  <r>
    <n v="294"/>
    <x v="256"/>
    <x v="219"/>
    <s v="FRE"/>
    <x v="0"/>
    <n v="0"/>
    <n v="600"/>
    <n v="600"/>
    <n v="5858688.0000000009"/>
    <n v="33000000"/>
  </r>
  <r>
    <n v="295"/>
    <x v="257"/>
    <x v="220"/>
    <s v="FRE"/>
    <x v="0"/>
    <n v="0"/>
    <n v="500"/>
    <n v="500"/>
    <n v="3120260"/>
    <n v="24500000"/>
  </r>
  <r>
    <n v="296"/>
    <x v="258"/>
    <x v="221"/>
    <s v="FRE"/>
    <x v="0"/>
    <n v="0"/>
    <n v="500"/>
    <n v="500"/>
    <n v="3057890.0000000005"/>
    <n v="22500000"/>
  </r>
  <r>
    <n v="297"/>
    <x v="259"/>
    <x v="222"/>
    <s v="FRE"/>
    <x v="0"/>
    <n v="0"/>
    <n v="500"/>
    <n v="500"/>
    <n v="3120260"/>
    <n v="24500000"/>
  </r>
  <r>
    <n v="298"/>
    <x v="260"/>
    <x v="223"/>
    <s v="FRE"/>
    <x v="0"/>
    <n v="0"/>
    <n v="500"/>
    <n v="500"/>
    <n v="3057890.0000000005"/>
    <n v="22500000"/>
  </r>
  <r>
    <n v="299"/>
    <x v="261"/>
    <x v="224"/>
    <s v="FRE"/>
    <x v="0"/>
    <n v="0"/>
    <n v="500"/>
    <n v="500"/>
    <n v="3222055.0000000009"/>
    <n v="19500000"/>
  </r>
  <r>
    <n v="300"/>
    <x v="262"/>
    <x v="225"/>
    <s v="FRE"/>
    <x v="0"/>
    <n v="0"/>
    <n v="500"/>
    <n v="500"/>
    <n v="3222055.0000000009"/>
    <n v="19500000"/>
  </r>
  <r>
    <n v="301"/>
    <x v="263"/>
    <x v="226"/>
    <s v="FRE"/>
    <x v="0"/>
    <n v="0"/>
    <n v="500"/>
    <n v="500"/>
    <n v="3222055.0000000009"/>
    <n v="19500000"/>
  </r>
  <r>
    <n v="302"/>
    <x v="264"/>
    <x v="4"/>
    <m/>
    <x v="1"/>
    <n v="0"/>
    <n v="4900"/>
    <n v="4900"/>
    <n v="35693537"/>
    <n v="232700000"/>
  </r>
  <r>
    <n v="303"/>
    <x v="265"/>
    <x v="227"/>
    <s v="FRE"/>
    <x v="0"/>
    <n v="0"/>
    <n v="500"/>
    <n v="500"/>
    <n v="5541790"/>
    <n v="29500000"/>
  </r>
  <r>
    <n v="304"/>
    <x v="266"/>
    <x v="228"/>
    <s v="FRE"/>
    <x v="0"/>
    <n v="0"/>
    <n v="500"/>
    <n v="500"/>
    <n v="5036790"/>
    <n v="29500000"/>
  </r>
  <r>
    <n v="305"/>
    <x v="267"/>
    <x v="4"/>
    <m/>
    <x v="1"/>
    <n v="0"/>
    <n v="1000"/>
    <n v="1000"/>
    <n v="10578580"/>
    <n v="59000000"/>
  </r>
  <r>
    <n v="306"/>
    <x v="268"/>
    <x v="229"/>
    <s v="FRE"/>
    <x v="0"/>
    <n v="1014"/>
    <n v="0"/>
    <n v="1000"/>
    <n v="10020000"/>
    <n v="49000000"/>
  </r>
  <r>
    <n v="307"/>
    <x v="269"/>
    <x v="230"/>
    <s v="FRE"/>
    <x v="0"/>
    <n v="704"/>
    <n v="0"/>
    <n v="1000"/>
    <n v="10020000"/>
    <n v="49000000"/>
  </r>
  <r>
    <n v="308"/>
    <x v="270"/>
    <x v="231"/>
    <s v="FRE"/>
    <x v="0"/>
    <n v="1000"/>
    <n v="0"/>
    <n v="1000"/>
    <n v="10020000"/>
    <n v="49000000"/>
  </r>
  <r>
    <n v="309"/>
    <x v="271"/>
    <x v="232"/>
    <s v="FRE"/>
    <x v="0"/>
    <n v="1000"/>
    <n v="0"/>
    <n v="1000"/>
    <n v="10020000"/>
    <n v="49000000"/>
  </r>
  <r>
    <n v="310"/>
    <x v="272"/>
    <x v="4"/>
    <m/>
    <x v="1"/>
    <n v="3718"/>
    <n v="0"/>
    <n v="4000"/>
    <n v="40080000"/>
    <n v="196000000"/>
  </r>
  <r>
    <n v="311"/>
    <x v="273"/>
    <x v="233"/>
    <s v="FRE"/>
    <x v="0"/>
    <n v="0"/>
    <n v="700"/>
    <n v="700"/>
    <n v="4562040.0000000009"/>
    <n v="34300000"/>
  </r>
  <r>
    <n v="312"/>
    <x v="274"/>
    <x v="234"/>
    <s v="FRE"/>
    <x v="0"/>
    <n v="0"/>
    <n v="700"/>
    <n v="700"/>
    <n v="4389140.0000000009"/>
    <n v="34300000"/>
  </r>
  <r>
    <n v="313"/>
    <x v="275"/>
    <x v="235"/>
    <s v="FRE"/>
    <x v="0"/>
    <n v="0"/>
    <n v="700"/>
    <n v="700"/>
    <n v="4774840.0000000009"/>
    <n v="34300000"/>
  </r>
  <r>
    <n v="314"/>
    <x v="276"/>
    <x v="4"/>
    <m/>
    <x v="1"/>
    <n v="0"/>
    <n v="2100"/>
    <n v="2100"/>
    <n v="13726020.000000004"/>
    <n v="102900000"/>
  </r>
  <r>
    <n v="315"/>
    <x v="277"/>
    <x v="236"/>
    <s v="FRE"/>
    <x v="0"/>
    <n v="0"/>
    <n v="700"/>
    <n v="700"/>
    <n v="9114000"/>
    <n v="45500000"/>
  </r>
  <r>
    <n v="316"/>
    <x v="278"/>
    <x v="237"/>
    <s v="FRE"/>
    <x v="0"/>
    <n v="0"/>
    <n v="700"/>
    <n v="700"/>
    <n v="9114000"/>
    <n v="45500000"/>
  </r>
  <r>
    <n v="317"/>
    <x v="279"/>
    <x v="238"/>
    <s v="FRE"/>
    <x v="0"/>
    <n v="0"/>
    <n v="700"/>
    <n v="700"/>
    <n v="9114000"/>
    <n v="45500000"/>
  </r>
  <r>
    <n v="318"/>
    <x v="280"/>
    <x v="4"/>
    <m/>
    <x v="1"/>
    <n v="0"/>
    <n v="2100"/>
    <n v="2100"/>
    <n v="27342000"/>
    <n v="136500000"/>
  </r>
  <r>
    <n v="319"/>
    <x v="281"/>
    <x v="239"/>
    <s v="FRE"/>
    <x v="0"/>
    <n v="0"/>
    <n v="400"/>
    <n v="400"/>
    <n v="4605196"/>
    <n v="23600000"/>
  </r>
  <r>
    <n v="320"/>
    <x v="282"/>
    <x v="240"/>
    <s v="FRE"/>
    <x v="0"/>
    <n v="0"/>
    <n v="400"/>
    <n v="400"/>
    <n v="4584796"/>
    <n v="23600000"/>
  </r>
  <r>
    <n v="321"/>
    <x v="283"/>
    <x v="4"/>
    <m/>
    <x v="1"/>
    <n v="0"/>
    <n v="800"/>
    <n v="800"/>
    <n v="9189992"/>
    <n v="47200000"/>
  </r>
  <r>
    <n v="322"/>
    <x v="284"/>
    <x v="241"/>
    <s v="FRE"/>
    <x v="0"/>
    <n v="700"/>
    <n v="0"/>
    <n v="800"/>
    <n v="5654248.0000000009"/>
    <n v="44000000"/>
  </r>
  <r>
    <n v="323"/>
    <x v="285"/>
    <x v="242"/>
    <s v="FRE"/>
    <x v="0"/>
    <n v="0"/>
    <n v="2000"/>
    <n v="2000"/>
    <n v="13886140.000000002"/>
    <n v="98000000"/>
  </r>
  <r>
    <n v="324"/>
    <x v="286"/>
    <x v="243"/>
    <s v="FRE"/>
    <x v="0"/>
    <n v="900"/>
    <n v="0"/>
    <n v="1000"/>
    <n v="6693590"/>
    <n v="49000000"/>
  </r>
  <r>
    <n v="325"/>
    <x v="287"/>
    <x v="244"/>
    <s v="FRE"/>
    <x v="0"/>
    <n v="0"/>
    <n v="2500"/>
    <n v="2500"/>
    <n v="17045825.000000004"/>
    <n v="122500000"/>
  </r>
  <r>
    <n v="326"/>
    <x v="288"/>
    <x v="4"/>
    <m/>
    <x v="1"/>
    <n v="1600"/>
    <n v="4500"/>
    <n v="6300"/>
    <n v="43279803.000000007"/>
    <n v="313500000"/>
  </r>
  <r>
    <n v="327"/>
    <x v="289"/>
    <x v="245"/>
    <s v="FRE"/>
    <x v="0"/>
    <n v="0"/>
    <n v="5000"/>
    <n v="5000"/>
    <n v="29552499.999999996"/>
    <n v="245000000"/>
  </r>
  <r>
    <n v="328"/>
    <x v="290"/>
    <x v="4"/>
    <m/>
    <x v="1"/>
    <n v="0"/>
    <n v="5000"/>
    <n v="5000"/>
    <n v="29552499.999999996"/>
    <n v="245000000"/>
  </r>
  <r>
    <n v="329"/>
    <x v="291"/>
    <x v="246"/>
    <s v="FRE"/>
    <x v="0"/>
    <n v="2000"/>
    <n v="0"/>
    <n v="2000"/>
    <n v="12474000"/>
    <n v="90000000"/>
  </r>
  <r>
    <n v="330"/>
    <x v="292"/>
    <x v="4"/>
    <m/>
    <x v="1"/>
    <n v="2000"/>
    <n v="0"/>
    <n v="2000"/>
    <n v="12474000"/>
    <n v="90000000"/>
  </r>
  <r>
    <n v="331"/>
    <x v="293"/>
    <x v="247"/>
    <s v="FRE"/>
    <x v="0"/>
    <n v="0"/>
    <n v="800"/>
    <n v="800"/>
    <n v="6302896.0000000009"/>
    <n v="44000000"/>
  </r>
  <r>
    <n v="332"/>
    <x v="294"/>
    <x v="248"/>
    <s v="FRE"/>
    <x v="0"/>
    <n v="0"/>
    <n v="800"/>
    <n v="800"/>
    <n v="6302896.0000000009"/>
    <n v="44000000"/>
  </r>
  <r>
    <n v="333"/>
    <x v="295"/>
    <x v="249"/>
    <s v="FRE"/>
    <x v="0"/>
    <n v="0"/>
    <n v="600"/>
    <n v="600"/>
    <n v="4652328.0000000009"/>
    <n v="33000000"/>
  </r>
  <r>
    <n v="334"/>
    <x v="296"/>
    <x v="250"/>
    <s v="FRE"/>
    <x v="0"/>
    <n v="0"/>
    <n v="600"/>
    <n v="600"/>
    <n v="4652328.0000000009"/>
    <n v="33000000"/>
  </r>
  <r>
    <n v="335"/>
    <x v="297"/>
    <x v="251"/>
    <s v="FRE"/>
    <x v="0"/>
    <n v="0"/>
    <n v="1000"/>
    <n v="1000"/>
    <n v="8751800.0000000019"/>
    <n v="59000000"/>
  </r>
  <r>
    <n v="336"/>
    <x v="298"/>
    <x v="252"/>
    <s v="FRE"/>
    <x v="0"/>
    <n v="0"/>
    <n v="600"/>
    <n v="600"/>
    <n v="4577484"/>
    <n v="29400000"/>
  </r>
  <r>
    <n v="337"/>
    <x v="299"/>
    <x v="253"/>
    <s v="FRE"/>
    <x v="0"/>
    <n v="0"/>
    <n v="600"/>
    <n v="600"/>
    <n v="4502640.0000000009"/>
    <n v="25800000"/>
  </r>
  <r>
    <n v="338"/>
    <x v="300"/>
    <x v="254"/>
    <s v="FRE"/>
    <x v="0"/>
    <n v="0"/>
    <n v="600"/>
    <n v="600"/>
    <n v="4577484"/>
    <n v="29400000"/>
  </r>
  <r>
    <n v="339"/>
    <x v="301"/>
    <x v="255"/>
    <s v="FRE"/>
    <x v="0"/>
    <n v="0"/>
    <n v="600"/>
    <n v="600"/>
    <n v="4502640.0000000009"/>
    <n v="25800000"/>
  </r>
  <r>
    <n v="340"/>
    <x v="302"/>
    <x v="256"/>
    <s v="FRE"/>
    <x v="0"/>
    <n v="0"/>
    <n v="600"/>
    <n v="600"/>
    <n v="4727172.0000000009"/>
    <n v="29400000"/>
  </r>
  <r>
    <n v="341"/>
    <x v="303"/>
    <x v="257"/>
    <s v="FRE"/>
    <x v="0"/>
    <n v="0"/>
    <n v="600"/>
    <n v="600"/>
    <n v="4652328.0000000009"/>
    <n v="25800000"/>
  </r>
  <r>
    <n v="342"/>
    <x v="304"/>
    <x v="4"/>
    <m/>
    <x v="1"/>
    <n v="0"/>
    <n v="7400"/>
    <n v="7400"/>
    <n v="58201996.000000007"/>
    <n v="378600000"/>
  </r>
  <r>
    <n v="343"/>
    <x v="305"/>
    <x v="258"/>
    <s v="FRE"/>
    <x v="0"/>
    <n v="0"/>
    <n v="600"/>
    <n v="600"/>
    <n v="5700144"/>
    <n v="29400000"/>
  </r>
  <r>
    <n v="344"/>
    <x v="306"/>
    <x v="259"/>
    <s v="FRE"/>
    <x v="0"/>
    <n v="0"/>
    <n v="1000"/>
    <n v="1000"/>
    <n v="9126020"/>
    <n v="59000000"/>
  </r>
  <r>
    <n v="345"/>
    <x v="307"/>
    <x v="260"/>
    <s v="FRE"/>
    <x v="0"/>
    <n v="0"/>
    <n v="800"/>
    <n v="800"/>
    <n v="7600192"/>
    <n v="47200000"/>
  </r>
  <r>
    <n v="346"/>
    <x v="308"/>
    <x v="261"/>
    <s v="FRE"/>
    <x v="0"/>
    <n v="0"/>
    <n v="800"/>
    <n v="800"/>
    <n v="7500400"/>
    <n v="44000000"/>
  </r>
  <r>
    <n v="347"/>
    <x v="309"/>
    <x v="262"/>
    <s v="FRE"/>
    <x v="0"/>
    <n v="0"/>
    <n v="800"/>
    <n v="800"/>
    <n v="7699984.0000000009"/>
    <n v="47200000"/>
  </r>
  <r>
    <n v="348"/>
    <x v="310"/>
    <x v="263"/>
    <s v="FRE"/>
    <x v="0"/>
    <n v="0"/>
    <n v="800"/>
    <n v="800"/>
    <n v="7500400"/>
    <n v="44000000"/>
  </r>
  <r>
    <n v="349"/>
    <x v="311"/>
    <x v="4"/>
    <m/>
    <x v="1"/>
    <n v="0"/>
    <n v="4800"/>
    <n v="4800"/>
    <n v="45127140"/>
    <n v="270800000"/>
  </r>
  <r>
    <n v="350"/>
    <x v="312"/>
    <x v="264"/>
    <s v="FRE"/>
    <x v="0"/>
    <n v="0"/>
    <n v="1000"/>
    <n v="1000"/>
    <n v="14500000"/>
    <n v="69000000"/>
  </r>
  <r>
    <n v="351"/>
    <x v="313"/>
    <x v="265"/>
    <s v="FRE"/>
    <x v="0"/>
    <n v="0"/>
    <n v="800"/>
    <n v="800"/>
    <n v="12400000"/>
    <n v="55200000"/>
  </r>
  <r>
    <n v="352"/>
    <x v="314"/>
    <x v="266"/>
    <s v="FRE"/>
    <x v="0"/>
    <n v="0"/>
    <n v="1000"/>
    <n v="1000"/>
    <n v="15000000"/>
    <n v="65000000"/>
  </r>
  <r>
    <n v="353"/>
    <x v="315"/>
    <x v="4"/>
    <m/>
    <x v="1"/>
    <n v="0"/>
    <n v="2800"/>
    <n v="2800"/>
    <n v="41900000"/>
    <n v="189200000"/>
  </r>
  <r>
    <n v="354"/>
    <x v="316"/>
    <x v="267"/>
    <s v="FRE"/>
    <x v="0"/>
    <n v="0"/>
    <n v="400"/>
    <n v="400"/>
    <n v="3992396"/>
    <n v="23600000"/>
  </r>
  <r>
    <n v="355"/>
    <x v="317"/>
    <x v="4"/>
    <m/>
    <x v="1"/>
    <n v="0"/>
    <n v="400"/>
    <n v="400"/>
    <n v="3992396"/>
    <n v="23600000"/>
  </r>
  <r>
    <n v="356"/>
    <x v="318"/>
    <x v="268"/>
    <s v="FRE"/>
    <x v="0"/>
    <n v="0"/>
    <n v="700"/>
    <n v="700"/>
    <n v="4700640.0000000009"/>
    <n v="34300000"/>
  </r>
  <r>
    <n v="357"/>
    <x v="319"/>
    <x v="4"/>
    <m/>
    <x v="1"/>
    <n v="0"/>
    <n v="700"/>
    <n v="700"/>
    <n v="4700640.0000000009"/>
    <n v="34300000"/>
  </r>
  <r>
    <n v="358"/>
    <x v="320"/>
    <x v="269"/>
    <s v="FRE"/>
    <x v="0"/>
    <n v="0"/>
    <n v="2000"/>
    <n v="2000"/>
    <n v="13091500.000000002"/>
    <n v="98000000"/>
  </r>
  <r>
    <n v="359"/>
    <x v="321"/>
    <x v="270"/>
    <s v="FRE"/>
    <x v="0"/>
    <n v="0"/>
    <n v="3000"/>
    <n v="3000"/>
    <n v="13573500"/>
    <n v="129000000"/>
  </r>
  <r>
    <n v="360"/>
    <x v="322"/>
    <x v="271"/>
    <s v="FRE"/>
    <x v="0"/>
    <n v="0"/>
    <n v="2000"/>
    <n v="2000"/>
    <n v="9049000"/>
    <n v="86000000"/>
  </r>
  <r>
    <n v="361"/>
    <x v="323"/>
    <x v="272"/>
    <s v="FRE"/>
    <x v="0"/>
    <n v="0"/>
    <n v="1000"/>
    <n v="1000"/>
    <n v="5506250"/>
    <n v="43000000"/>
  </r>
  <r>
    <n v="362"/>
    <x v="324"/>
    <x v="4"/>
    <m/>
    <x v="1"/>
    <n v="0"/>
    <n v="8000"/>
    <n v="8000"/>
    <n v="41220250"/>
    <n v="356000000"/>
  </r>
  <r>
    <n v="363"/>
    <x v="325"/>
    <x v="273"/>
    <s v="FRE"/>
    <x v="0"/>
    <n v="1000"/>
    <n v="0"/>
    <n v="1000"/>
    <n v="7179250"/>
    <n v="49000000"/>
  </r>
  <r>
    <n v="364"/>
    <x v="326"/>
    <x v="274"/>
    <s v="FRE"/>
    <x v="0"/>
    <n v="0"/>
    <n v="1000"/>
    <n v="1000"/>
    <n v="6832750"/>
    <n v="43000000"/>
  </r>
  <r>
    <n v="365"/>
    <x v="327"/>
    <x v="275"/>
    <s v="FRE"/>
    <x v="0"/>
    <n v="1300"/>
    <n v="700"/>
    <n v="2000"/>
    <n v="14012000.000000002"/>
    <n v="86000000"/>
  </r>
  <r>
    <n v="366"/>
    <x v="328"/>
    <x v="276"/>
    <s v="FRE"/>
    <x v="0"/>
    <n v="0"/>
    <n v="1000"/>
    <n v="1000"/>
    <n v="6544000"/>
    <n v="43000000"/>
  </r>
  <r>
    <n v="367"/>
    <x v="329"/>
    <x v="277"/>
    <s v="FRE"/>
    <x v="0"/>
    <n v="0"/>
    <n v="1000"/>
    <n v="1000"/>
    <n v="6890499.9999999991"/>
    <n v="43000000"/>
  </r>
  <r>
    <n v="368"/>
    <x v="330"/>
    <x v="4"/>
    <m/>
    <x v="1"/>
    <n v="2300"/>
    <n v="3700"/>
    <n v="6000"/>
    <n v="41458500"/>
    <n v="264000000"/>
  </r>
  <r>
    <n v="369"/>
    <x v="331"/>
    <x v="278"/>
    <s v="FRE"/>
    <x v="0"/>
    <n v="0"/>
    <n v="500"/>
    <n v="500"/>
    <n v="2856450.0000000005"/>
    <n v="29500000"/>
  </r>
  <r>
    <n v="370"/>
    <x v="332"/>
    <x v="279"/>
    <s v="FRE"/>
    <x v="0"/>
    <n v="0"/>
    <n v="700"/>
    <n v="700"/>
    <n v="3258381"/>
    <n v="34300000"/>
  </r>
  <r>
    <n v="371"/>
    <x v="333"/>
    <x v="280"/>
    <s v="FRE"/>
    <x v="0"/>
    <n v="0"/>
    <n v="500"/>
    <n v="500"/>
    <n v="2267230"/>
    <n v="22500000"/>
  </r>
  <r>
    <n v="372"/>
    <x v="334"/>
    <x v="281"/>
    <s v="FRE"/>
    <x v="0"/>
    <n v="0"/>
    <n v="700"/>
    <n v="700"/>
    <n v="3140081"/>
    <n v="34300000"/>
  </r>
  <r>
    <n v="373"/>
    <x v="335"/>
    <x v="282"/>
    <s v="FRE"/>
    <x v="0"/>
    <n v="0"/>
    <n v="500"/>
    <n v="500"/>
    <n v="2190730"/>
    <n v="22500000"/>
  </r>
  <r>
    <n v="374"/>
    <x v="336"/>
    <x v="283"/>
    <s v="FRE"/>
    <x v="0"/>
    <n v="0"/>
    <n v="500"/>
    <n v="500"/>
    <n v="2777600.0000000005"/>
    <n v="22500000"/>
  </r>
  <r>
    <n v="375"/>
    <x v="337"/>
    <x v="4"/>
    <m/>
    <x v="1"/>
    <n v="0"/>
    <n v="3400"/>
    <n v="3400"/>
    <n v="16490472"/>
    <n v="165600000"/>
  </r>
  <r>
    <n v="376"/>
    <x v="338"/>
    <x v="284"/>
    <s v="FRE"/>
    <x v="0"/>
    <n v="0"/>
    <n v="700"/>
    <n v="700"/>
    <n v="3180081.0000000005"/>
    <n v="34300000"/>
  </r>
  <r>
    <n v="377"/>
    <x v="339"/>
    <x v="285"/>
    <s v="FRE"/>
    <x v="0"/>
    <n v="0"/>
    <n v="500"/>
    <n v="500"/>
    <n v="2297715"/>
    <n v="24500000"/>
  </r>
  <r>
    <n v="378"/>
    <x v="340"/>
    <x v="286"/>
    <s v="FRE"/>
    <x v="0"/>
    <n v="0"/>
    <n v="500"/>
    <n v="500"/>
    <n v="2296830"/>
    <n v="24500000"/>
  </r>
  <r>
    <n v="379"/>
    <x v="341"/>
    <x v="287"/>
    <s v="FRE"/>
    <x v="0"/>
    <n v="0"/>
    <n v="700"/>
    <n v="700"/>
    <n v="3408681.0000000005"/>
    <n v="34300000"/>
  </r>
  <r>
    <n v="380"/>
    <x v="342"/>
    <x v="288"/>
    <s v="FRE"/>
    <x v="0"/>
    <n v="0"/>
    <n v="500"/>
    <n v="500"/>
    <n v="2411315"/>
    <n v="22500000"/>
  </r>
  <r>
    <n v="381"/>
    <x v="343"/>
    <x v="289"/>
    <s v="FRE"/>
    <x v="0"/>
    <n v="0"/>
    <n v="700"/>
    <n v="700"/>
    <n v="3613676.0000000005"/>
    <n v="38500000"/>
  </r>
  <r>
    <n v="382"/>
    <x v="344"/>
    <x v="290"/>
    <s v="FRE"/>
    <x v="0"/>
    <n v="0"/>
    <n v="500"/>
    <n v="500"/>
    <n v="2568640.0000000005"/>
    <n v="26500000"/>
  </r>
  <r>
    <n v="383"/>
    <x v="345"/>
    <x v="291"/>
    <s v="FRE"/>
    <x v="0"/>
    <n v="0"/>
    <n v="700"/>
    <n v="700"/>
    <n v="3807271.0000000005"/>
    <n v="41300000"/>
  </r>
  <r>
    <n v="384"/>
    <x v="346"/>
    <x v="292"/>
    <s v="FRE"/>
    <x v="0"/>
    <n v="0"/>
    <n v="500"/>
    <n v="500"/>
    <n v="2747365.0000000005"/>
    <n v="27500000"/>
  </r>
  <r>
    <n v="385"/>
    <x v="347"/>
    <x v="4"/>
    <m/>
    <x v="1"/>
    <n v="0"/>
    <n v="5300"/>
    <n v="5300"/>
    <n v="26331574"/>
    <n v="273900000"/>
  </r>
  <r>
    <n v="386"/>
    <x v="348"/>
    <x v="293"/>
    <s v="FRE"/>
    <x v="0"/>
    <n v="0"/>
    <n v="700"/>
    <n v="700"/>
    <n v="3994425"/>
    <n v="38500000"/>
  </r>
  <r>
    <n v="387"/>
    <x v="349"/>
    <x v="294"/>
    <s v="FRE"/>
    <x v="0"/>
    <n v="0"/>
    <n v="500"/>
    <n v="500"/>
    <n v="2406915"/>
    <n v="24500000"/>
  </r>
  <r>
    <n v="388"/>
    <x v="350"/>
    <x v="295"/>
    <s v="FRE"/>
    <x v="0"/>
    <n v="0"/>
    <n v="700"/>
    <n v="700"/>
    <n v="3237022"/>
    <n v="38500000"/>
  </r>
  <r>
    <n v="389"/>
    <x v="351"/>
    <x v="4"/>
    <m/>
    <x v="1"/>
    <n v="0"/>
    <n v="1900"/>
    <n v="1900"/>
    <n v="9638362"/>
    <n v="101500000"/>
  </r>
  <r>
    <n v="390"/>
    <x v="352"/>
    <x v="296"/>
    <s v="FRE"/>
    <x v="0"/>
    <n v="0"/>
    <n v="450"/>
    <n v="450"/>
    <n v="2441556"/>
    <n v="26550000"/>
  </r>
  <r>
    <n v="391"/>
    <x v="353"/>
    <x v="297"/>
    <s v="FRE"/>
    <x v="0"/>
    <n v="0"/>
    <n v="400"/>
    <n v="400"/>
    <n v="2170272"/>
    <n v="22000000"/>
  </r>
  <r>
    <n v="392"/>
    <x v="354"/>
    <x v="298"/>
    <s v="FRE"/>
    <x v="0"/>
    <n v="0"/>
    <n v="700"/>
    <n v="700"/>
    <n v="4147276"/>
    <n v="45500000"/>
  </r>
  <r>
    <n v="393"/>
    <x v="355"/>
    <x v="4"/>
    <m/>
    <x v="1"/>
    <n v="0"/>
    <n v="1550"/>
    <n v="1550"/>
    <n v="8759104"/>
    <n v="94050000"/>
  </r>
  <r>
    <n v="394"/>
    <x v="356"/>
    <x v="299"/>
    <s v="FRE"/>
    <x v="0"/>
    <n v="0"/>
    <n v="500"/>
    <n v="500"/>
    <n v="3246505"/>
    <n v="22500000"/>
  </r>
  <r>
    <n v="395"/>
    <x v="357"/>
    <x v="300"/>
    <s v="FRE"/>
    <x v="0"/>
    <n v="0"/>
    <n v="700"/>
    <n v="700"/>
    <n v="4501707"/>
    <n v="31500000"/>
  </r>
  <r>
    <n v="396"/>
    <x v="358"/>
    <x v="301"/>
    <s v="FRE"/>
    <x v="0"/>
    <n v="0"/>
    <n v="700"/>
    <n v="700"/>
    <n v="4679507"/>
    <n v="31500000"/>
  </r>
  <r>
    <n v="397"/>
    <x v="359"/>
    <x v="302"/>
    <s v="FRE"/>
    <x v="0"/>
    <n v="0"/>
    <n v="500"/>
    <n v="500"/>
    <n v="2876450.0000000005"/>
    <n v="19500000"/>
  </r>
  <r>
    <n v="398"/>
    <x v="360"/>
    <x v="303"/>
    <s v="OSM"/>
    <x v="0"/>
    <n v="0"/>
    <n v="300"/>
    <n v="300"/>
    <n v="1660647.0000000002"/>
    <n v="11700000"/>
  </r>
  <r>
    <n v="399"/>
    <x v="360"/>
    <x v="303"/>
    <s v="OML"/>
    <x v="0"/>
    <n v="0"/>
    <n v="200"/>
    <n v="200"/>
    <n v="1107098.0000000002"/>
    <n v="7800000"/>
  </r>
  <r>
    <n v="400"/>
    <x v="361"/>
    <x v="304"/>
    <s v="OSM"/>
    <x v="0"/>
    <n v="0"/>
    <n v="300"/>
    <n v="300"/>
    <n v="1537692"/>
    <n v="11700000"/>
  </r>
  <r>
    <n v="401"/>
    <x v="361"/>
    <x v="304"/>
    <s v="OML"/>
    <x v="0"/>
    <n v="0"/>
    <n v="200"/>
    <n v="200"/>
    <n v="1025128.0000000001"/>
    <n v="7800000"/>
  </r>
  <r>
    <n v="402"/>
    <x v="362"/>
    <x v="305"/>
    <s v="FRE"/>
    <x v="0"/>
    <n v="0"/>
    <n v="500"/>
    <n v="500"/>
    <n v="3276890.0000000005"/>
    <n v="24500000"/>
  </r>
  <r>
    <n v="403"/>
    <x v="363"/>
    <x v="306"/>
    <s v="FRE"/>
    <x v="0"/>
    <n v="0"/>
    <n v="400"/>
    <n v="400"/>
    <n v="2626684.0000000005"/>
    <n v="18000000"/>
  </r>
  <r>
    <n v="404"/>
    <x v="364"/>
    <x v="307"/>
    <s v="FRE"/>
    <x v="0"/>
    <n v="0"/>
    <n v="500"/>
    <n v="500"/>
    <n v="2574970.0000000005"/>
    <n v="22500000"/>
  </r>
  <r>
    <n v="405"/>
    <x v="365"/>
    <x v="308"/>
    <s v="OSM"/>
    <x v="0"/>
    <n v="0"/>
    <n v="300"/>
    <n v="300"/>
    <n v="1415082.0000000002"/>
    <n v="13500000"/>
  </r>
  <r>
    <n v="406"/>
    <x v="365"/>
    <x v="308"/>
    <s v="OML"/>
    <x v="0"/>
    <n v="0"/>
    <n v="200"/>
    <n v="200"/>
    <n v="943388.00000000012"/>
    <n v="9000000"/>
  </r>
  <r>
    <n v="407"/>
    <x v="366"/>
    <x v="309"/>
    <s v="OSM"/>
    <x v="0"/>
    <n v="0"/>
    <n v="300"/>
    <n v="300"/>
    <n v="1417482.0000000002"/>
    <n v="13500000"/>
  </r>
  <r>
    <n v="408"/>
    <x v="366"/>
    <x v="309"/>
    <s v="OML"/>
    <x v="0"/>
    <n v="0"/>
    <n v="200"/>
    <n v="200"/>
    <n v="944988.00000000012"/>
    <n v="9000000"/>
  </r>
  <r>
    <n v="409"/>
    <x v="367"/>
    <x v="310"/>
    <s v="FRE"/>
    <x v="0"/>
    <n v="0"/>
    <n v="400"/>
    <n v="400"/>
    <n v="2334376"/>
    <n v="18000000"/>
  </r>
  <r>
    <n v="410"/>
    <x v="368"/>
    <x v="311"/>
    <s v="OSM"/>
    <x v="0"/>
    <n v="0"/>
    <n v="300"/>
    <n v="300"/>
    <n v="1430082.0000000002"/>
    <n v="13500000"/>
  </r>
  <r>
    <n v="411"/>
    <x v="368"/>
    <x v="311"/>
    <s v="OML"/>
    <x v="0"/>
    <n v="0"/>
    <n v="200"/>
    <n v="200"/>
    <n v="953388.00000000012"/>
    <n v="9000000"/>
  </r>
  <r>
    <n v="412"/>
    <x v="369"/>
    <x v="312"/>
    <s v="FRE"/>
    <x v="0"/>
    <n v="0"/>
    <n v="500"/>
    <n v="500"/>
    <n v="2452285"/>
    <n v="22500000"/>
  </r>
  <r>
    <n v="413"/>
    <x v="370"/>
    <x v="4"/>
    <m/>
    <x v="1"/>
    <n v="0"/>
    <n v="7200"/>
    <n v="7200"/>
    <n v="41004349"/>
    <n v="317000000"/>
  </r>
  <r>
    <n v="414"/>
    <x v="371"/>
    <x v="313"/>
    <s v="FRE"/>
    <x v="0"/>
    <n v="0"/>
    <n v="400"/>
    <n v="400"/>
    <n v="2418568"/>
    <n v="22000000"/>
  </r>
  <r>
    <n v="415"/>
    <x v="372"/>
    <x v="314"/>
    <s v="FRE"/>
    <x v="0"/>
    <n v="0"/>
    <n v="400"/>
    <n v="400"/>
    <n v="2403568"/>
    <n v="22000000"/>
  </r>
  <r>
    <n v="416"/>
    <x v="373"/>
    <x v="315"/>
    <s v="FRE"/>
    <x v="0"/>
    <n v="0"/>
    <n v="500"/>
    <n v="500"/>
    <n v="2967050"/>
    <n v="27500000"/>
  </r>
  <r>
    <n v="417"/>
    <x v="374"/>
    <x v="316"/>
    <s v="FRE"/>
    <x v="0"/>
    <n v="0"/>
    <n v="500"/>
    <n v="500"/>
    <n v="3255950.0000000005"/>
    <n v="27500000"/>
  </r>
  <r>
    <n v="418"/>
    <x v="375"/>
    <x v="4"/>
    <m/>
    <x v="1"/>
    <n v="0"/>
    <n v="1800"/>
    <n v="1800"/>
    <n v="11045136"/>
    <n v="99000000"/>
  </r>
  <r>
    <n v="419"/>
    <x v="376"/>
    <x v="317"/>
    <s v="FRE"/>
    <x v="0"/>
    <n v="0"/>
    <n v="400"/>
    <n v="400"/>
    <n v="2608992"/>
    <n v="19600000"/>
  </r>
  <r>
    <n v="420"/>
    <x v="377"/>
    <x v="318"/>
    <s v="FRE"/>
    <x v="0"/>
    <n v="0"/>
    <n v="400"/>
    <n v="400"/>
    <n v="2576992"/>
    <n v="19600000"/>
  </r>
  <r>
    <n v="421"/>
    <x v="378"/>
    <x v="319"/>
    <s v="FRE"/>
    <x v="0"/>
    <n v="0"/>
    <n v="500"/>
    <n v="500"/>
    <n v="4998385"/>
    <n v="34500000"/>
  </r>
  <r>
    <n v="422"/>
    <x v="379"/>
    <x v="320"/>
    <s v="FRE"/>
    <x v="0"/>
    <n v="0"/>
    <n v="500"/>
    <n v="500"/>
    <n v="4923000"/>
    <n v="32500000"/>
  </r>
  <r>
    <n v="423"/>
    <x v="380"/>
    <x v="321"/>
    <s v="FRE"/>
    <x v="0"/>
    <n v="0"/>
    <n v="500"/>
    <n v="500"/>
    <n v="4692885"/>
    <n v="34500000"/>
  </r>
  <r>
    <n v="424"/>
    <x v="381"/>
    <x v="322"/>
    <s v="FRE"/>
    <x v="0"/>
    <n v="0"/>
    <n v="500"/>
    <n v="500"/>
    <n v="4630500"/>
    <n v="32500000"/>
  </r>
  <r>
    <n v="425"/>
    <x v="382"/>
    <x v="323"/>
    <s v="FRE"/>
    <x v="0"/>
    <n v="0"/>
    <n v="500"/>
    <n v="500"/>
    <n v="3921495.0000000005"/>
    <n v="29500000"/>
  </r>
  <r>
    <n v="426"/>
    <x v="383"/>
    <x v="324"/>
    <s v="FRE"/>
    <x v="0"/>
    <n v="0"/>
    <n v="500"/>
    <n v="500"/>
    <n v="3861509.9999999995"/>
    <n v="27500000"/>
  </r>
  <r>
    <n v="427"/>
    <x v="384"/>
    <x v="325"/>
    <s v="FRE"/>
    <x v="0"/>
    <n v="0"/>
    <n v="500"/>
    <n v="500"/>
    <n v="4958885"/>
    <n v="34500000"/>
  </r>
  <r>
    <n v="428"/>
    <x v="385"/>
    <x v="326"/>
    <s v="FRE"/>
    <x v="0"/>
    <n v="0"/>
    <n v="500"/>
    <n v="500"/>
    <n v="4937900"/>
    <n v="34500000"/>
  </r>
  <r>
    <n v="429"/>
    <x v="386"/>
    <x v="327"/>
    <s v="FRE"/>
    <x v="0"/>
    <n v="0"/>
    <n v="500"/>
    <n v="500"/>
    <n v="4303205"/>
    <n v="32500000"/>
  </r>
  <r>
    <n v="430"/>
    <x v="387"/>
    <x v="328"/>
    <s v="FRE"/>
    <x v="0"/>
    <n v="0"/>
    <n v="500"/>
    <n v="500"/>
    <n v="4750875"/>
    <n v="34500000"/>
  </r>
  <r>
    <n v="431"/>
    <x v="388"/>
    <x v="4"/>
    <m/>
    <x v="1"/>
    <n v="0"/>
    <n v="5800"/>
    <n v="5800"/>
    <n v="51164624"/>
    <n v="366200000"/>
  </r>
  <r>
    <n v="432"/>
    <x v="389"/>
    <x v="329"/>
    <s v="FRE"/>
    <x v="0"/>
    <n v="0"/>
    <n v="500"/>
    <n v="500"/>
    <n v="2331045"/>
    <n v="22500000"/>
  </r>
  <r>
    <n v="433"/>
    <x v="390"/>
    <x v="330"/>
    <s v="FRE"/>
    <x v="0"/>
    <n v="0"/>
    <n v="500"/>
    <n v="500"/>
    <n v="2243675"/>
    <n v="22500000"/>
  </r>
  <r>
    <n v="434"/>
    <x v="391"/>
    <x v="4"/>
    <m/>
    <x v="1"/>
    <n v="0"/>
    <n v="1000"/>
    <n v="1000"/>
    <n v="4574720"/>
    <n v="45000000"/>
  </r>
  <r>
    <n v="435"/>
    <x v="392"/>
    <x v="331"/>
    <s v="OSM"/>
    <x v="0"/>
    <n v="0"/>
    <n v="4000"/>
    <n v="4000"/>
    <n v="22256000"/>
    <n v="196000000"/>
  </r>
  <r>
    <n v="436"/>
    <x v="392"/>
    <x v="331"/>
    <s v="OML"/>
    <x v="0"/>
    <n v="0"/>
    <n v="1000"/>
    <n v="1000"/>
    <n v="5564000"/>
    <n v="49000000"/>
  </r>
  <r>
    <n v="437"/>
    <x v="393"/>
    <x v="332"/>
    <s v="FRE"/>
    <x v="0"/>
    <n v="0"/>
    <n v="3000"/>
    <n v="3000"/>
    <n v="14613000"/>
    <n v="129000000"/>
  </r>
  <r>
    <n v="438"/>
    <x v="394"/>
    <x v="333"/>
    <s v="FRE"/>
    <x v="0"/>
    <n v="0"/>
    <n v="1500"/>
    <n v="1500"/>
    <n v="8086125"/>
    <n v="67500000"/>
  </r>
  <r>
    <n v="439"/>
    <x v="395"/>
    <x v="4"/>
    <m/>
    <x v="1"/>
    <n v="0"/>
    <n v="9500"/>
    <n v="9500"/>
    <n v="50519125"/>
    <n v="441500000"/>
  </r>
  <r>
    <n v="440"/>
    <x v="396"/>
    <x v="334"/>
    <s v="FRE"/>
    <x v="0"/>
    <n v="0"/>
    <n v="700"/>
    <n v="700"/>
    <n v="4772831.0000000009"/>
    <n v="34300000"/>
  </r>
  <r>
    <n v="441"/>
    <x v="397"/>
    <x v="4"/>
    <m/>
    <x v="1"/>
    <n v="0"/>
    <n v="700"/>
    <n v="700"/>
    <n v="4772831.0000000009"/>
    <n v="34300000"/>
  </r>
  <r>
    <n v="442"/>
    <x v="398"/>
    <x v="335"/>
    <s v="FRE"/>
    <x v="0"/>
    <n v="700"/>
    <n v="0"/>
    <n v="700"/>
    <n v="5151762.0000000009"/>
    <n v="41300000"/>
  </r>
  <r>
    <n v="443"/>
    <x v="399"/>
    <x v="4"/>
    <m/>
    <x v="1"/>
    <n v="700"/>
    <n v="0"/>
    <n v="700"/>
    <n v="5151762.0000000009"/>
    <n v="41300000"/>
  </r>
  <r>
    <n v="444"/>
    <x v="400"/>
    <x v="336"/>
    <s v="OMM"/>
    <x v="0"/>
    <n v="990"/>
    <n v="0"/>
    <n v="1000"/>
    <n v="22920000"/>
    <n v="109000000"/>
  </r>
  <r>
    <n v="445"/>
    <x v="401"/>
    <x v="337"/>
    <s v="OMM"/>
    <x v="0"/>
    <n v="510"/>
    <n v="0"/>
    <n v="500"/>
    <n v="11460000"/>
    <n v="54500000"/>
  </r>
  <r>
    <n v="446"/>
    <x v="402"/>
    <x v="338"/>
    <s v="OMM"/>
    <x v="0"/>
    <n v="500"/>
    <n v="0"/>
    <n v="500"/>
    <n v="11460000"/>
    <n v="54500000"/>
  </r>
  <r>
    <n v="447"/>
    <x v="403"/>
    <x v="339"/>
    <s v="OSS"/>
    <x v="0"/>
    <n v="500"/>
    <n v="0"/>
    <n v="500"/>
    <n v="10010000"/>
    <n v="49500000"/>
  </r>
  <r>
    <n v="448"/>
    <x v="404"/>
    <x v="340"/>
    <s v="OSS"/>
    <x v="0"/>
    <n v="500"/>
    <n v="0"/>
    <n v="500"/>
    <n v="10010000"/>
    <n v="49500000"/>
  </r>
  <r>
    <n v="449"/>
    <x v="405"/>
    <x v="341"/>
    <s v="OSS"/>
    <x v="0"/>
    <n v="500"/>
    <n v="0"/>
    <n v="500"/>
    <n v="10460000"/>
    <n v="49500000"/>
  </r>
  <r>
    <n v="450"/>
    <x v="406"/>
    <x v="0"/>
    <s v="FRE"/>
    <x v="0"/>
    <n v="500"/>
    <n v="0"/>
    <n v="500"/>
    <n v="5010000"/>
    <n v="22500000"/>
  </r>
  <r>
    <n v="451"/>
    <x v="407"/>
    <x v="4"/>
    <m/>
    <x v="1"/>
    <n v="4000"/>
    <n v="0"/>
    <n v="4000"/>
    <n v="81330000"/>
    <n v="389000000"/>
  </r>
  <r>
    <n v="452"/>
    <x v="408"/>
    <x v="126"/>
    <s v="FRE"/>
    <x v="0"/>
    <n v="3000"/>
    <n v="0"/>
    <n v="3000"/>
    <n v="25560000"/>
    <n v="147000000"/>
  </r>
  <r>
    <n v="453"/>
    <x v="409"/>
    <x v="4"/>
    <m/>
    <x v="1"/>
    <n v="3000"/>
    <n v="0"/>
    <n v="3000"/>
    <n v="25560000"/>
    <n v="147000000"/>
  </r>
  <r>
    <n v="454"/>
    <x v="410"/>
    <x v="342"/>
    <s v="FRE"/>
    <x v="0"/>
    <n v="497"/>
    <n v="503"/>
    <n v="1000"/>
    <n v="9020000"/>
    <n v="55000000"/>
  </r>
  <r>
    <n v="455"/>
    <x v="411"/>
    <x v="343"/>
    <s v="FRE"/>
    <x v="0"/>
    <n v="499"/>
    <n v="501"/>
    <n v="1000"/>
    <n v="9020000"/>
    <n v="55000000"/>
  </r>
  <r>
    <n v="456"/>
    <x v="412"/>
    <x v="4"/>
    <m/>
    <x v="1"/>
    <n v="996"/>
    <n v="1004"/>
    <n v="2000"/>
    <n v="18040000"/>
    <n v="110000000"/>
  </r>
  <r>
    <n v="457"/>
    <x v="413"/>
    <x v="344"/>
    <s v="FRE"/>
    <x v="0"/>
    <n v="0"/>
    <n v="1000"/>
    <n v="1000"/>
    <n v="5938470"/>
    <n v="49000000"/>
  </r>
  <r>
    <n v="458"/>
    <x v="414"/>
    <x v="4"/>
    <m/>
    <x v="1"/>
    <n v="0"/>
    <n v="1000"/>
    <n v="1000"/>
    <n v="5938470"/>
    <n v="49000000"/>
  </r>
  <r>
    <n v="459"/>
    <x v="415"/>
    <x v="345"/>
    <s v="OSM"/>
    <x v="0"/>
    <n v="0"/>
    <n v="400"/>
    <n v="400"/>
    <n v="3563030.0000000005"/>
    <n v="22000000"/>
  </r>
  <r>
    <n v="460"/>
    <x v="415"/>
    <x v="345"/>
    <s v="OML"/>
    <x v="0"/>
    <n v="0"/>
    <n v="400"/>
    <n v="400"/>
    <n v="3563030.0000000005"/>
    <n v="22000000"/>
  </r>
  <r>
    <n v="461"/>
    <x v="416"/>
    <x v="346"/>
    <s v="FRE"/>
    <x v="0"/>
    <n v="0"/>
    <n v="800"/>
    <n v="800"/>
    <n v="7517256.0000000009"/>
    <n v="44000000"/>
  </r>
  <r>
    <n v="462"/>
    <x v="417"/>
    <x v="347"/>
    <s v="FRE"/>
    <x v="0"/>
    <n v="0"/>
    <n v="800"/>
    <n v="800"/>
    <n v="7517256.0000000009"/>
    <n v="44000000"/>
  </r>
  <r>
    <n v="463"/>
    <x v="418"/>
    <x v="348"/>
    <s v="OSM"/>
    <x v="0"/>
    <n v="0"/>
    <n v="400"/>
    <n v="400"/>
    <n v="3618088.0000000005"/>
    <n v="22000000"/>
  </r>
  <r>
    <n v="464"/>
    <x v="418"/>
    <x v="348"/>
    <s v="OML"/>
    <x v="0"/>
    <n v="0"/>
    <n v="400"/>
    <n v="400"/>
    <n v="3618088.0000000005"/>
    <n v="22000000"/>
  </r>
  <r>
    <n v="465"/>
    <x v="419"/>
    <x v="349"/>
    <s v="FRE"/>
    <x v="0"/>
    <n v="0"/>
    <n v="800"/>
    <n v="800"/>
    <n v="6631792.0000000009"/>
    <n v="47200000"/>
  </r>
  <r>
    <n v="466"/>
    <x v="420"/>
    <x v="350"/>
    <s v="FRE"/>
    <x v="0"/>
    <n v="0"/>
    <n v="800"/>
    <n v="800"/>
    <n v="6813792.0000000009"/>
    <n v="47200000"/>
  </r>
  <r>
    <n v="467"/>
    <x v="421"/>
    <x v="4"/>
    <m/>
    <x v="1"/>
    <n v="0"/>
    <n v="4800"/>
    <n v="4800"/>
    <n v="42842332.000000007"/>
    <n v="270400000"/>
  </r>
  <r>
    <n v="468"/>
    <x v="422"/>
    <x v="351"/>
    <s v="FRE"/>
    <x v="0"/>
    <n v="0"/>
    <n v="700"/>
    <n v="700"/>
    <n v="6112260.0000000009"/>
    <n v="45500000"/>
  </r>
  <r>
    <n v="469"/>
    <x v="423"/>
    <x v="352"/>
    <s v="FRE"/>
    <x v="0"/>
    <n v="0"/>
    <n v="700"/>
    <n v="700"/>
    <n v="6112260.0000000009"/>
    <n v="45500000"/>
  </r>
  <r>
    <n v="470"/>
    <x v="424"/>
    <x v="4"/>
    <m/>
    <x v="1"/>
    <n v="0"/>
    <n v="1400"/>
    <n v="1400"/>
    <n v="12224520.000000002"/>
    <n v="91000000"/>
  </r>
  <r>
    <n v="471"/>
    <x v="425"/>
    <x v="353"/>
    <s v="FRE"/>
    <x v="0"/>
    <n v="0"/>
    <n v="1500"/>
    <n v="1500"/>
    <n v="5549745.0000000009"/>
    <n v="82500000"/>
  </r>
  <r>
    <n v="472"/>
    <x v="426"/>
    <x v="354"/>
    <s v="FRE"/>
    <x v="0"/>
    <n v="0"/>
    <n v="1000"/>
    <n v="1000"/>
    <n v="3824570"/>
    <n v="55000000"/>
  </r>
  <r>
    <n v="473"/>
    <x v="427"/>
    <x v="4"/>
    <m/>
    <x v="1"/>
    <n v="0"/>
    <n v="2500"/>
    <n v="2500"/>
    <n v="9374315"/>
    <n v="137500000"/>
  </r>
  <r>
    <n v="474"/>
    <x v="428"/>
    <x v="355"/>
    <s v="FRE"/>
    <x v="0"/>
    <n v="0"/>
    <n v="1200"/>
    <n v="1200"/>
    <n v="5861832"/>
    <n v="78000000"/>
  </r>
  <r>
    <n v="475"/>
    <x v="429"/>
    <x v="356"/>
    <s v="FRE"/>
    <x v="0"/>
    <n v="0"/>
    <n v="1200"/>
    <n v="1200"/>
    <n v="5861832"/>
    <n v="70800000"/>
  </r>
  <r>
    <n v="476"/>
    <x v="430"/>
    <x v="357"/>
    <s v="FRE"/>
    <x v="0"/>
    <n v="0"/>
    <n v="1200"/>
    <n v="1200"/>
    <n v="5861832"/>
    <n v="70800000"/>
  </r>
  <r>
    <n v="477"/>
    <x v="431"/>
    <x v="4"/>
    <m/>
    <x v="1"/>
    <n v="0"/>
    <n v="3600"/>
    <n v="3600"/>
    <n v="17585496"/>
    <n v="219600000"/>
  </r>
  <r>
    <n v="478"/>
    <x v="432"/>
    <x v="358"/>
    <s v="FRE"/>
    <x v="0"/>
    <n v="0"/>
    <n v="700"/>
    <n v="700"/>
    <n v="9100000"/>
    <n v="37100000"/>
  </r>
  <r>
    <n v="479"/>
    <x v="433"/>
    <x v="4"/>
    <m/>
    <x v="1"/>
    <n v="0"/>
    <n v="700"/>
    <n v="700"/>
    <n v="9100000"/>
    <n v="37100000"/>
  </r>
  <r>
    <n v="480"/>
    <x v="434"/>
    <x v="359"/>
    <s v="OSS"/>
    <x v="0"/>
    <n v="0"/>
    <n v="450"/>
    <n v="450"/>
    <n v="10923750"/>
    <n v="44550000"/>
  </r>
  <r>
    <n v="481"/>
    <x v="434"/>
    <x v="359"/>
    <s v="OMM"/>
    <x v="0"/>
    <n v="0"/>
    <n v="350"/>
    <n v="350"/>
    <n v="8496250"/>
    <n v="34650000"/>
  </r>
  <r>
    <n v="482"/>
    <x v="434"/>
    <x v="359"/>
    <s v="OLL"/>
    <x v="0"/>
    <n v="0"/>
    <n v="250"/>
    <n v="250"/>
    <n v="6068750"/>
    <n v="24750000"/>
  </r>
  <r>
    <n v="483"/>
    <x v="434"/>
    <x v="359"/>
    <s v="OXL"/>
    <x v="0"/>
    <n v="0"/>
    <n v="150"/>
    <n v="150"/>
    <n v="3641250"/>
    <n v="14850000"/>
  </r>
  <r>
    <n v="484"/>
    <x v="435"/>
    <x v="360"/>
    <s v="OXS"/>
    <x v="0"/>
    <n v="0"/>
    <n v="300"/>
    <n v="300"/>
    <n v="6173700"/>
    <n v="26700000"/>
  </r>
  <r>
    <n v="485"/>
    <x v="435"/>
    <x v="360"/>
    <s v="OSS"/>
    <x v="0"/>
    <n v="0"/>
    <n v="350"/>
    <n v="350"/>
    <n v="7202650"/>
    <n v="31150000"/>
  </r>
  <r>
    <n v="486"/>
    <x v="435"/>
    <x v="360"/>
    <s v="OMM"/>
    <x v="0"/>
    <n v="0"/>
    <n v="200"/>
    <n v="200"/>
    <n v="4115800"/>
    <n v="17800000"/>
  </r>
  <r>
    <n v="487"/>
    <x v="435"/>
    <x v="360"/>
    <s v="OXL"/>
    <x v="0"/>
    <n v="0"/>
    <n v="150"/>
    <n v="150"/>
    <n v="3086850"/>
    <n v="13350000"/>
  </r>
  <r>
    <n v="488"/>
    <x v="436"/>
    <x v="361"/>
    <s v="OSS"/>
    <x v="0"/>
    <n v="0"/>
    <n v="400"/>
    <n v="400"/>
    <n v="6938000"/>
    <n v="35600000"/>
  </r>
  <r>
    <n v="489"/>
    <x v="436"/>
    <x v="361"/>
    <s v="OMM"/>
    <x v="0"/>
    <n v="0"/>
    <n v="400"/>
    <n v="400"/>
    <n v="6938000"/>
    <n v="35600000"/>
  </r>
  <r>
    <n v="490"/>
    <x v="436"/>
    <x v="361"/>
    <s v="OLL"/>
    <x v="0"/>
    <n v="0"/>
    <n v="250"/>
    <n v="250"/>
    <n v="4336250"/>
    <n v="22250000"/>
  </r>
  <r>
    <n v="491"/>
    <x v="436"/>
    <x v="361"/>
    <s v="OXL"/>
    <x v="0"/>
    <n v="0"/>
    <n v="150"/>
    <n v="150"/>
    <n v="2601750"/>
    <n v="13350000"/>
  </r>
  <r>
    <n v="492"/>
    <x v="437"/>
    <x v="362"/>
    <s v="OXS"/>
    <x v="0"/>
    <n v="0"/>
    <n v="300"/>
    <n v="300"/>
    <n v="4753050"/>
    <n v="23700000"/>
  </r>
  <r>
    <n v="493"/>
    <x v="437"/>
    <x v="362"/>
    <s v="OSS"/>
    <x v="0"/>
    <n v="0"/>
    <n v="350"/>
    <n v="350"/>
    <n v="5545225"/>
    <n v="27650000"/>
  </r>
  <r>
    <n v="494"/>
    <x v="437"/>
    <x v="362"/>
    <s v="OMM"/>
    <x v="0"/>
    <n v="0"/>
    <n v="200"/>
    <n v="200"/>
    <n v="3168700"/>
    <n v="15800000"/>
  </r>
  <r>
    <n v="495"/>
    <x v="437"/>
    <x v="362"/>
    <s v="OXL"/>
    <x v="0"/>
    <n v="0"/>
    <n v="150"/>
    <n v="150"/>
    <n v="2376525"/>
    <n v="11850000"/>
  </r>
  <r>
    <n v="496"/>
    <x v="438"/>
    <x v="363"/>
    <s v="OSS"/>
    <x v="0"/>
    <n v="0"/>
    <n v="300"/>
    <n v="300"/>
    <n v="12133500"/>
    <n v="59700000"/>
  </r>
  <r>
    <n v="497"/>
    <x v="438"/>
    <x v="363"/>
    <s v="OMM"/>
    <x v="0"/>
    <n v="0"/>
    <n v="450"/>
    <n v="450"/>
    <n v="18200250"/>
    <n v="89550000"/>
  </r>
  <r>
    <n v="498"/>
    <x v="438"/>
    <x v="363"/>
    <s v="OLL"/>
    <x v="0"/>
    <n v="0"/>
    <n v="250"/>
    <n v="250"/>
    <n v="10111250"/>
    <n v="49750000"/>
  </r>
  <r>
    <n v="499"/>
    <x v="439"/>
    <x v="364"/>
    <s v="OSS"/>
    <x v="0"/>
    <n v="0"/>
    <n v="300"/>
    <n v="300"/>
    <n v="11405850"/>
    <n v="56700000"/>
  </r>
  <r>
    <n v="500"/>
    <x v="439"/>
    <x v="364"/>
    <s v="OMM"/>
    <x v="0"/>
    <n v="0"/>
    <n v="450"/>
    <n v="450"/>
    <n v="17108775"/>
    <n v="85050000"/>
  </r>
  <r>
    <n v="501"/>
    <x v="439"/>
    <x v="364"/>
    <s v="OLL"/>
    <x v="0"/>
    <n v="0"/>
    <n v="300"/>
    <n v="300"/>
    <n v="11405850"/>
    <n v="56700000"/>
  </r>
  <r>
    <n v="502"/>
    <x v="439"/>
    <x v="364"/>
    <s v="OXL"/>
    <x v="0"/>
    <n v="0"/>
    <n v="150"/>
    <n v="150"/>
    <n v="5702925"/>
    <n v="28350000"/>
  </r>
  <r>
    <n v="503"/>
    <x v="440"/>
    <x v="365"/>
    <s v="OXS"/>
    <x v="0"/>
    <n v="0"/>
    <n v="200"/>
    <n v="200"/>
    <n v="7049500"/>
    <n v="35800000"/>
  </r>
  <r>
    <n v="504"/>
    <x v="440"/>
    <x v="365"/>
    <s v="OMM"/>
    <x v="0"/>
    <n v="0"/>
    <n v="350"/>
    <n v="350"/>
    <n v="12336625"/>
    <n v="62650000"/>
  </r>
  <r>
    <n v="505"/>
    <x v="440"/>
    <x v="365"/>
    <s v="OXL"/>
    <x v="0"/>
    <n v="0"/>
    <n v="250"/>
    <n v="250"/>
    <n v="8811875"/>
    <n v="44750000"/>
  </r>
  <r>
    <n v="506"/>
    <x v="441"/>
    <x v="4"/>
    <m/>
    <x v="1"/>
    <n v="0"/>
    <n v="7400"/>
    <n v="7400"/>
    <n v="200632900"/>
    <n v="962600000"/>
  </r>
  <r>
    <n v="507"/>
    <x v="442"/>
    <x v="366"/>
    <s v="OSS"/>
    <x v="0"/>
    <n v="0"/>
    <n v="450"/>
    <n v="450"/>
    <n v="9774000"/>
    <n v="44550000"/>
  </r>
  <r>
    <n v="508"/>
    <x v="442"/>
    <x v="366"/>
    <s v="OMM"/>
    <x v="0"/>
    <n v="0"/>
    <n v="350"/>
    <n v="350"/>
    <n v="7602000"/>
    <n v="34650000"/>
  </r>
  <r>
    <n v="509"/>
    <x v="442"/>
    <x v="366"/>
    <s v="OLL"/>
    <x v="0"/>
    <n v="0"/>
    <n v="250"/>
    <n v="250"/>
    <n v="5430000"/>
    <n v="24750000"/>
  </r>
  <r>
    <n v="510"/>
    <x v="442"/>
    <x v="366"/>
    <s v="OXL"/>
    <x v="0"/>
    <n v="0"/>
    <n v="150"/>
    <n v="150"/>
    <n v="3258000"/>
    <n v="14850000"/>
  </r>
  <r>
    <n v="511"/>
    <x v="443"/>
    <x v="367"/>
    <s v="OSS"/>
    <x v="0"/>
    <n v="0"/>
    <n v="350"/>
    <n v="350"/>
    <n v="8162000"/>
    <n v="34650000"/>
  </r>
  <r>
    <n v="512"/>
    <x v="443"/>
    <x v="367"/>
    <s v="OMM"/>
    <x v="0"/>
    <n v="0"/>
    <n v="300"/>
    <n v="300"/>
    <n v="6996000"/>
    <n v="29700000"/>
  </r>
  <r>
    <n v="513"/>
    <x v="443"/>
    <x v="367"/>
    <s v="OLL"/>
    <x v="0"/>
    <n v="0"/>
    <n v="200"/>
    <n v="200"/>
    <n v="4664000"/>
    <n v="19800000"/>
  </r>
  <r>
    <n v="514"/>
    <x v="443"/>
    <x v="367"/>
    <s v="OXL"/>
    <x v="0"/>
    <n v="0"/>
    <n v="150"/>
    <n v="150"/>
    <n v="3498000"/>
    <n v="14850000"/>
  </r>
  <r>
    <n v="515"/>
    <x v="444"/>
    <x v="368"/>
    <s v="OXS"/>
    <x v="0"/>
    <n v="0"/>
    <n v="300"/>
    <n v="300"/>
    <n v="6396000"/>
    <n v="26700000"/>
  </r>
  <r>
    <n v="516"/>
    <x v="444"/>
    <x v="368"/>
    <s v="OSS"/>
    <x v="0"/>
    <n v="0"/>
    <n v="350"/>
    <n v="350"/>
    <n v="7462000"/>
    <n v="31150000"/>
  </r>
  <r>
    <n v="517"/>
    <x v="444"/>
    <x v="368"/>
    <s v="OMM"/>
    <x v="0"/>
    <n v="0"/>
    <n v="200"/>
    <n v="200"/>
    <n v="4264000"/>
    <n v="17800000"/>
  </r>
  <r>
    <n v="518"/>
    <x v="444"/>
    <x v="368"/>
    <s v="OXL"/>
    <x v="0"/>
    <n v="0"/>
    <n v="150"/>
    <n v="150"/>
    <n v="3198000"/>
    <n v="13350000"/>
  </r>
  <r>
    <n v="519"/>
    <x v="445"/>
    <x v="369"/>
    <s v="OSS"/>
    <x v="0"/>
    <n v="0"/>
    <n v="300"/>
    <n v="300"/>
    <n v="12546000"/>
    <n v="56700000"/>
  </r>
  <r>
    <n v="520"/>
    <x v="445"/>
    <x v="369"/>
    <s v="OMM"/>
    <x v="0"/>
    <n v="0"/>
    <n v="450"/>
    <n v="450"/>
    <n v="18819000"/>
    <n v="85050000"/>
  </r>
  <r>
    <n v="521"/>
    <x v="445"/>
    <x v="369"/>
    <s v="OLL"/>
    <x v="0"/>
    <n v="0"/>
    <n v="250"/>
    <n v="250"/>
    <n v="10455000"/>
    <n v="47250000"/>
  </r>
  <r>
    <n v="522"/>
    <x v="446"/>
    <x v="370"/>
    <s v="OXS"/>
    <x v="0"/>
    <n v="0"/>
    <n v="200"/>
    <n v="200"/>
    <n v="7944000"/>
    <n v="35800000"/>
  </r>
  <r>
    <n v="523"/>
    <x v="446"/>
    <x v="370"/>
    <s v="OMM"/>
    <x v="0"/>
    <n v="0"/>
    <n v="350"/>
    <n v="350"/>
    <n v="13902000"/>
    <n v="62650000"/>
  </r>
  <r>
    <n v="524"/>
    <x v="446"/>
    <x v="370"/>
    <s v="OXL"/>
    <x v="0"/>
    <n v="0"/>
    <n v="250"/>
    <n v="250"/>
    <n v="9930000"/>
    <n v="44750000"/>
  </r>
  <r>
    <n v="525"/>
    <x v="447"/>
    <x v="4"/>
    <m/>
    <x v="1"/>
    <n v="0"/>
    <n v="5000"/>
    <n v="5000"/>
    <n v="144300000"/>
    <n v="639000000"/>
  </r>
  <r>
    <n v="526"/>
    <x v="448"/>
    <x v="371"/>
    <s v="OSS"/>
    <x v="0"/>
    <n v="0"/>
    <n v="400"/>
    <n v="400"/>
    <n v="7389045.9999999991"/>
    <n v="31600000"/>
  </r>
  <r>
    <n v="527"/>
    <x v="448"/>
    <x v="371"/>
    <s v="OMM"/>
    <x v="0"/>
    <n v="0"/>
    <n v="350"/>
    <n v="350"/>
    <n v="6465415.2499999991"/>
    <n v="27650000"/>
  </r>
  <r>
    <n v="528"/>
    <x v="448"/>
    <x v="371"/>
    <s v="OLL"/>
    <x v="0"/>
    <n v="0"/>
    <n v="300"/>
    <n v="300"/>
    <n v="5541784.4999999991"/>
    <n v="23700000"/>
  </r>
  <r>
    <n v="529"/>
    <x v="448"/>
    <x v="371"/>
    <s v="OXL"/>
    <x v="0"/>
    <n v="0"/>
    <n v="150"/>
    <n v="150"/>
    <n v="2770892.2499999995"/>
    <n v="11850000"/>
  </r>
  <r>
    <n v="530"/>
    <x v="449"/>
    <x v="372"/>
    <s v="OXS"/>
    <x v="0"/>
    <n v="0"/>
    <n v="350"/>
    <n v="350"/>
    <n v="5643170.75"/>
    <n v="24150000"/>
  </r>
  <r>
    <n v="531"/>
    <x v="449"/>
    <x v="372"/>
    <s v="OSS"/>
    <x v="0"/>
    <n v="0"/>
    <n v="400"/>
    <n v="400"/>
    <n v="6449338"/>
    <n v="27600000"/>
  </r>
  <r>
    <n v="532"/>
    <x v="449"/>
    <x v="372"/>
    <s v="OMM"/>
    <x v="0"/>
    <n v="0"/>
    <n v="250"/>
    <n v="250"/>
    <n v="4030836.25"/>
    <n v="17250000"/>
  </r>
  <r>
    <n v="533"/>
    <x v="449"/>
    <x v="372"/>
    <s v="OXL"/>
    <x v="0"/>
    <n v="0"/>
    <n v="200"/>
    <n v="200"/>
    <n v="3224669"/>
    <n v="13800000"/>
  </r>
  <r>
    <n v="534"/>
    <x v="450"/>
    <x v="373"/>
    <s v="OSS"/>
    <x v="0"/>
    <n v="0"/>
    <n v="350"/>
    <n v="350"/>
    <n v="6099973.25"/>
    <n v="27650000"/>
  </r>
  <r>
    <n v="535"/>
    <x v="450"/>
    <x v="373"/>
    <s v="OMM"/>
    <x v="0"/>
    <n v="0"/>
    <n v="400"/>
    <n v="400"/>
    <n v="6971398"/>
    <n v="31600000"/>
  </r>
  <r>
    <n v="536"/>
    <x v="450"/>
    <x v="373"/>
    <s v="OLL"/>
    <x v="0"/>
    <n v="0"/>
    <n v="300"/>
    <n v="300"/>
    <n v="5228548.5"/>
    <n v="23700000"/>
  </r>
  <r>
    <n v="537"/>
    <x v="450"/>
    <x v="373"/>
    <s v="OXL"/>
    <x v="0"/>
    <n v="0"/>
    <n v="150"/>
    <n v="150"/>
    <n v="2614274.25"/>
    <n v="11850000"/>
  </r>
  <r>
    <n v="538"/>
    <x v="451"/>
    <x v="374"/>
    <s v="OXS"/>
    <x v="0"/>
    <n v="0"/>
    <n v="450"/>
    <n v="450"/>
    <n v="6785651.25"/>
    <n v="31050000"/>
  </r>
  <r>
    <n v="539"/>
    <x v="451"/>
    <x v="374"/>
    <s v="OSS"/>
    <x v="0"/>
    <n v="0"/>
    <n v="500"/>
    <n v="500"/>
    <n v="7539612.5"/>
    <n v="34500000"/>
  </r>
  <r>
    <n v="540"/>
    <x v="451"/>
    <x v="374"/>
    <s v="OMM"/>
    <x v="0"/>
    <n v="0"/>
    <n v="300"/>
    <n v="300"/>
    <n v="4523767.5"/>
    <n v="20700000"/>
  </r>
  <r>
    <n v="541"/>
    <x v="451"/>
    <x v="374"/>
    <s v="OXL"/>
    <x v="0"/>
    <n v="0"/>
    <n v="250"/>
    <n v="250"/>
    <n v="3769806.25"/>
    <n v="17250000"/>
  </r>
  <r>
    <n v="542"/>
    <x v="452"/>
    <x v="375"/>
    <s v="OSS"/>
    <x v="0"/>
    <n v="0"/>
    <n v="400"/>
    <n v="400"/>
    <n v="6968934.9999999991"/>
    <n v="31600000"/>
  </r>
  <r>
    <n v="543"/>
    <x v="452"/>
    <x v="375"/>
    <s v="OMM"/>
    <x v="0"/>
    <n v="0"/>
    <n v="350"/>
    <n v="350"/>
    <n v="6097818.1249999991"/>
    <n v="27650000"/>
  </r>
  <r>
    <n v="544"/>
    <x v="452"/>
    <x v="375"/>
    <s v="OLL"/>
    <x v="0"/>
    <n v="0"/>
    <n v="300"/>
    <n v="300"/>
    <n v="5226701.2499999991"/>
    <n v="23700000"/>
  </r>
  <r>
    <n v="545"/>
    <x v="452"/>
    <x v="375"/>
    <s v="OXL"/>
    <x v="0"/>
    <n v="0"/>
    <n v="150"/>
    <n v="150"/>
    <n v="2613350.6249999995"/>
    <n v="11850000"/>
  </r>
  <r>
    <n v="546"/>
    <x v="453"/>
    <x v="376"/>
    <s v="OXS"/>
    <x v="0"/>
    <n v="0"/>
    <n v="450"/>
    <n v="450"/>
    <n v="6777007.2000000002"/>
    <n v="31050000"/>
  </r>
  <r>
    <n v="547"/>
    <x v="453"/>
    <x v="376"/>
    <s v="OSS"/>
    <x v="0"/>
    <n v="0"/>
    <n v="500"/>
    <n v="500"/>
    <n v="7530008"/>
    <n v="34500000"/>
  </r>
  <r>
    <n v="548"/>
    <x v="453"/>
    <x v="376"/>
    <s v="OMM"/>
    <x v="0"/>
    <n v="0"/>
    <n v="300"/>
    <n v="300"/>
    <n v="4518004.8"/>
    <n v="20700000"/>
  </r>
  <r>
    <n v="549"/>
    <x v="453"/>
    <x v="376"/>
    <s v="OXL"/>
    <x v="0"/>
    <n v="0"/>
    <n v="250"/>
    <n v="250"/>
    <n v="3765004"/>
    <n v="17250000"/>
  </r>
  <r>
    <n v="550"/>
    <x v="454"/>
    <x v="377"/>
    <s v="OXS"/>
    <x v="0"/>
    <n v="0"/>
    <n v="200"/>
    <n v="200"/>
    <n v="4080214"/>
    <n v="21800000"/>
  </r>
  <r>
    <n v="551"/>
    <x v="454"/>
    <x v="377"/>
    <s v="OSS"/>
    <x v="0"/>
    <n v="0"/>
    <n v="300"/>
    <n v="300"/>
    <n v="6120321"/>
    <n v="32700000"/>
  </r>
  <r>
    <n v="552"/>
    <x v="454"/>
    <x v="377"/>
    <s v="OMM"/>
    <x v="0"/>
    <n v="0"/>
    <n v="300"/>
    <n v="300"/>
    <n v="6120321"/>
    <n v="32700000"/>
  </r>
  <r>
    <n v="553"/>
    <x v="454"/>
    <x v="377"/>
    <s v="OLL"/>
    <x v="0"/>
    <n v="0"/>
    <n v="200"/>
    <n v="200"/>
    <n v="4080214"/>
    <n v="21800000"/>
  </r>
  <r>
    <n v="554"/>
    <x v="455"/>
    <x v="378"/>
    <s v="OXS"/>
    <x v="0"/>
    <n v="0"/>
    <n v="150"/>
    <n v="150"/>
    <n v="3299478"/>
    <n v="14850000"/>
  </r>
  <r>
    <n v="555"/>
    <x v="455"/>
    <x v="378"/>
    <s v="OSS"/>
    <x v="0"/>
    <n v="0"/>
    <n v="450"/>
    <n v="450"/>
    <n v="9898434"/>
    <n v="44550000"/>
  </r>
  <r>
    <n v="556"/>
    <x v="455"/>
    <x v="378"/>
    <s v="OMM"/>
    <x v="0"/>
    <n v="0"/>
    <n v="400"/>
    <n v="400"/>
    <n v="8798608"/>
    <n v="39600000"/>
  </r>
  <r>
    <n v="557"/>
    <x v="455"/>
    <x v="378"/>
    <s v="OLL"/>
    <x v="0"/>
    <n v="0"/>
    <n v="300"/>
    <n v="300"/>
    <n v="6598956"/>
    <n v="29700000"/>
  </r>
  <r>
    <n v="558"/>
    <x v="455"/>
    <x v="378"/>
    <s v="OXL"/>
    <x v="0"/>
    <n v="0"/>
    <n v="200"/>
    <n v="200"/>
    <n v="4399304"/>
    <n v="19800000"/>
  </r>
  <r>
    <n v="559"/>
    <x v="456"/>
    <x v="379"/>
    <s v="OXS"/>
    <x v="0"/>
    <n v="0"/>
    <n v="300"/>
    <n v="300"/>
    <n v="5815865.9999999991"/>
    <n v="26700000"/>
  </r>
  <r>
    <n v="560"/>
    <x v="456"/>
    <x v="379"/>
    <s v="OSS"/>
    <x v="0"/>
    <n v="0"/>
    <n v="450"/>
    <n v="450"/>
    <n v="8723798.9999999981"/>
    <n v="40050000"/>
  </r>
  <r>
    <n v="561"/>
    <x v="456"/>
    <x v="379"/>
    <s v="OMM"/>
    <x v="0"/>
    <n v="0"/>
    <n v="450"/>
    <n v="450"/>
    <n v="8723798.9999999981"/>
    <n v="40050000"/>
  </r>
  <r>
    <n v="562"/>
    <x v="456"/>
    <x v="379"/>
    <s v="OXL"/>
    <x v="0"/>
    <n v="0"/>
    <n v="300"/>
    <n v="300"/>
    <n v="5815865.9999999991"/>
    <n v="26700000"/>
  </r>
  <r>
    <n v="563"/>
    <x v="457"/>
    <x v="380"/>
    <s v="OSS"/>
    <x v="0"/>
    <n v="0"/>
    <n v="350"/>
    <n v="350"/>
    <n v="7104938.75"/>
    <n v="34650000"/>
  </r>
  <r>
    <n v="564"/>
    <x v="457"/>
    <x v="380"/>
    <s v="OMM"/>
    <x v="0"/>
    <n v="0"/>
    <n v="400"/>
    <n v="400"/>
    <n v="8119930"/>
    <n v="39600000"/>
  </r>
  <r>
    <n v="565"/>
    <x v="457"/>
    <x v="380"/>
    <s v="OLL"/>
    <x v="0"/>
    <n v="0"/>
    <n v="250"/>
    <n v="250"/>
    <n v="5074956.25"/>
    <n v="24750000"/>
  </r>
  <r>
    <n v="566"/>
    <x v="457"/>
    <x v="380"/>
    <s v="OXL"/>
    <x v="0"/>
    <n v="0"/>
    <n v="200"/>
    <n v="200"/>
    <n v="4059965"/>
    <n v="19800000"/>
  </r>
  <r>
    <n v="567"/>
    <x v="458"/>
    <x v="381"/>
    <s v="OXS"/>
    <x v="0"/>
    <n v="0"/>
    <n v="300"/>
    <n v="300"/>
    <n v="5385166.4999999991"/>
    <n v="26700000"/>
  </r>
  <r>
    <n v="568"/>
    <x v="458"/>
    <x v="381"/>
    <s v="OSS"/>
    <x v="0"/>
    <n v="0"/>
    <n v="450"/>
    <n v="450"/>
    <n v="8077749.7499999981"/>
    <n v="40050000"/>
  </r>
  <r>
    <n v="569"/>
    <x v="458"/>
    <x v="381"/>
    <s v="OMM"/>
    <x v="0"/>
    <n v="0"/>
    <n v="450"/>
    <n v="450"/>
    <n v="8077749.7499999981"/>
    <n v="40050000"/>
  </r>
  <r>
    <n v="570"/>
    <x v="458"/>
    <x v="381"/>
    <s v="OXL"/>
    <x v="0"/>
    <n v="0"/>
    <n v="300"/>
    <n v="300"/>
    <n v="5385166.4999999991"/>
    <n v="26700000"/>
  </r>
  <r>
    <n v="571"/>
    <x v="459"/>
    <x v="382"/>
    <s v="OSS"/>
    <x v="0"/>
    <n v="0"/>
    <n v="250"/>
    <n v="250"/>
    <n v="5172842.4999999991"/>
    <n v="24750000"/>
  </r>
  <r>
    <n v="572"/>
    <x v="459"/>
    <x v="382"/>
    <s v="OMM"/>
    <x v="0"/>
    <n v="0"/>
    <n v="300"/>
    <n v="300"/>
    <n v="6207410.9999999981"/>
    <n v="29700000"/>
  </r>
  <r>
    <n v="573"/>
    <x v="459"/>
    <x v="382"/>
    <s v="OLL"/>
    <x v="0"/>
    <n v="0"/>
    <n v="150"/>
    <n v="150"/>
    <n v="3103705.4999999991"/>
    <n v="14850000"/>
  </r>
  <r>
    <n v="574"/>
    <x v="459"/>
    <x v="382"/>
    <s v="OXL"/>
    <x v="0"/>
    <n v="0"/>
    <n v="100"/>
    <n v="100"/>
    <n v="2069136.9999999995"/>
    <n v="9900000"/>
  </r>
  <r>
    <n v="575"/>
    <x v="460"/>
    <x v="383"/>
    <s v="OSS"/>
    <x v="0"/>
    <n v="0"/>
    <n v="300"/>
    <n v="300"/>
    <n v="6207410.9999999981"/>
    <n v="29700000"/>
  </r>
  <r>
    <n v="576"/>
    <x v="460"/>
    <x v="383"/>
    <s v="OMM"/>
    <x v="0"/>
    <n v="0"/>
    <n v="250"/>
    <n v="250"/>
    <n v="5172842.4999999991"/>
    <n v="24750000"/>
  </r>
  <r>
    <n v="577"/>
    <x v="460"/>
    <x v="383"/>
    <s v="OLL"/>
    <x v="0"/>
    <n v="0"/>
    <n v="150"/>
    <n v="150"/>
    <n v="3103705.4999999991"/>
    <n v="14850000"/>
  </r>
  <r>
    <n v="578"/>
    <x v="460"/>
    <x v="383"/>
    <s v="OXL"/>
    <x v="0"/>
    <n v="0"/>
    <n v="100"/>
    <n v="100"/>
    <n v="2069136.9999999995"/>
    <n v="9900000"/>
  </r>
  <r>
    <n v="579"/>
    <x v="461"/>
    <x v="4"/>
    <m/>
    <x v="1"/>
    <n v="0"/>
    <n v="16100"/>
    <n v="16100"/>
    <n v="295412007"/>
    <n v="1375900000"/>
  </r>
  <r>
    <n v="580"/>
    <x v="462"/>
    <x v="384"/>
    <s v="OSS"/>
    <x v="0"/>
    <n v="0"/>
    <n v="500"/>
    <n v="500"/>
    <n v="10019397.5"/>
    <n v="44500000"/>
  </r>
  <r>
    <n v="581"/>
    <x v="462"/>
    <x v="384"/>
    <s v="OMM"/>
    <x v="0"/>
    <n v="0"/>
    <n v="450"/>
    <n v="450"/>
    <n v="9017457.75"/>
    <n v="40050000"/>
  </r>
  <r>
    <n v="582"/>
    <x v="462"/>
    <x v="384"/>
    <s v="OLL"/>
    <x v="0"/>
    <n v="0"/>
    <n v="350"/>
    <n v="350"/>
    <n v="7013578.2499999991"/>
    <n v="31150000"/>
  </r>
  <r>
    <n v="583"/>
    <x v="462"/>
    <x v="384"/>
    <s v="OXL"/>
    <x v="0"/>
    <n v="0"/>
    <n v="200"/>
    <n v="200"/>
    <n v="4007758.9999999995"/>
    <n v="17800000"/>
  </r>
  <r>
    <n v="584"/>
    <x v="463"/>
    <x v="385"/>
    <s v="OXS"/>
    <x v="0"/>
    <n v="0"/>
    <n v="450"/>
    <n v="450"/>
    <n v="6961846.5"/>
    <n v="35550000"/>
  </r>
  <r>
    <n v="585"/>
    <x v="463"/>
    <x v="385"/>
    <s v="OSS"/>
    <x v="0"/>
    <n v="0"/>
    <n v="500"/>
    <n v="500"/>
    <n v="7735385"/>
    <n v="39500000"/>
  </r>
  <r>
    <n v="586"/>
    <x v="463"/>
    <x v="385"/>
    <s v="OMM"/>
    <x v="0"/>
    <n v="0"/>
    <n v="300"/>
    <n v="300"/>
    <n v="4641231"/>
    <n v="23700000"/>
  </r>
  <r>
    <n v="587"/>
    <x v="463"/>
    <x v="385"/>
    <s v="OXL"/>
    <x v="0"/>
    <n v="0"/>
    <n v="250"/>
    <n v="250"/>
    <n v="3867692.5"/>
    <n v="19750000"/>
  </r>
  <r>
    <n v="588"/>
    <x v="464"/>
    <x v="386"/>
    <s v="OSS"/>
    <x v="0"/>
    <n v="0"/>
    <n v="500"/>
    <n v="500"/>
    <n v="10019397.5"/>
    <n v="44500000"/>
  </r>
  <r>
    <n v="589"/>
    <x v="464"/>
    <x v="386"/>
    <s v="OMM"/>
    <x v="0"/>
    <n v="0"/>
    <n v="450"/>
    <n v="450"/>
    <n v="9017457.75"/>
    <n v="40050000"/>
  </r>
  <r>
    <n v="590"/>
    <x v="464"/>
    <x v="386"/>
    <s v="OLL"/>
    <x v="0"/>
    <n v="0"/>
    <n v="350"/>
    <n v="350"/>
    <n v="7013578.2499999991"/>
    <n v="31150000"/>
  </r>
  <r>
    <n v="591"/>
    <x v="464"/>
    <x v="386"/>
    <s v="OXL"/>
    <x v="0"/>
    <n v="0"/>
    <n v="200"/>
    <n v="200"/>
    <n v="4007758.9999999995"/>
    <n v="17800000"/>
  </r>
  <r>
    <n v="592"/>
    <x v="465"/>
    <x v="387"/>
    <s v="OXS"/>
    <x v="0"/>
    <n v="0"/>
    <n v="500"/>
    <n v="500"/>
    <n v="7735385"/>
    <n v="39500000"/>
  </r>
  <r>
    <n v="593"/>
    <x v="465"/>
    <x v="387"/>
    <s v="OSS"/>
    <x v="0"/>
    <n v="0"/>
    <n v="450"/>
    <n v="450"/>
    <n v="6961846.5"/>
    <n v="35550000"/>
  </r>
  <r>
    <n v="594"/>
    <x v="465"/>
    <x v="387"/>
    <s v="OMM"/>
    <x v="0"/>
    <n v="0"/>
    <n v="300"/>
    <n v="300"/>
    <n v="4641231"/>
    <n v="23700000"/>
  </r>
  <r>
    <n v="595"/>
    <x v="465"/>
    <x v="387"/>
    <s v="OXL"/>
    <x v="0"/>
    <n v="0"/>
    <n v="250"/>
    <n v="250"/>
    <n v="3867692.5"/>
    <n v="19750000"/>
  </r>
  <r>
    <n v="596"/>
    <x v="466"/>
    <x v="388"/>
    <s v="OSS"/>
    <x v="0"/>
    <n v="0"/>
    <n v="350"/>
    <n v="350"/>
    <n v="6625296.1249999981"/>
    <n v="31150000"/>
  </r>
  <r>
    <n v="597"/>
    <x v="466"/>
    <x v="388"/>
    <s v="OMM"/>
    <x v="0"/>
    <n v="0"/>
    <n v="300"/>
    <n v="300"/>
    <n v="5678825.2499999991"/>
    <n v="26700000"/>
  </r>
  <r>
    <n v="598"/>
    <x v="466"/>
    <x v="388"/>
    <s v="OLL"/>
    <x v="0"/>
    <n v="0"/>
    <n v="200"/>
    <n v="200"/>
    <n v="3785883.4999999991"/>
    <n v="17800000"/>
  </r>
  <r>
    <n v="599"/>
    <x v="466"/>
    <x v="388"/>
    <s v="OXL"/>
    <x v="0"/>
    <n v="0"/>
    <n v="150"/>
    <n v="150"/>
    <n v="2839412.6249999995"/>
    <n v="13350000"/>
  </r>
  <r>
    <n v="600"/>
    <x v="467"/>
    <x v="389"/>
    <s v="OSS"/>
    <x v="0"/>
    <n v="0"/>
    <n v="250"/>
    <n v="250"/>
    <n v="6480306.25"/>
    <n v="32250000"/>
  </r>
  <r>
    <n v="601"/>
    <x v="467"/>
    <x v="389"/>
    <s v="OMM"/>
    <x v="0"/>
    <n v="0"/>
    <n v="350"/>
    <n v="350"/>
    <n v="9072428.75"/>
    <n v="45150000"/>
  </r>
  <r>
    <n v="602"/>
    <x v="467"/>
    <x v="389"/>
    <s v="OLL"/>
    <x v="0"/>
    <n v="0"/>
    <n v="250"/>
    <n v="250"/>
    <n v="6480306.25"/>
    <n v="32250000"/>
  </r>
  <r>
    <n v="603"/>
    <x v="467"/>
    <x v="389"/>
    <s v="OXL"/>
    <x v="0"/>
    <n v="0"/>
    <n v="150"/>
    <n v="150"/>
    <n v="3888183.75"/>
    <n v="19350000"/>
  </r>
  <r>
    <n v="604"/>
    <x v="468"/>
    <x v="390"/>
    <s v="OXS"/>
    <x v="0"/>
    <n v="0"/>
    <n v="100"/>
    <n v="100"/>
    <n v="2291937.9999999995"/>
    <n v="11900000"/>
  </r>
  <r>
    <n v="605"/>
    <x v="468"/>
    <x v="390"/>
    <s v="OSS"/>
    <x v="0"/>
    <n v="0"/>
    <n v="200"/>
    <n v="200"/>
    <n v="4583875.9999999991"/>
    <n v="23800000"/>
  </r>
  <r>
    <n v="606"/>
    <x v="468"/>
    <x v="390"/>
    <s v="OMM"/>
    <x v="0"/>
    <n v="0"/>
    <n v="250"/>
    <n v="250"/>
    <n v="5729844.9999999991"/>
    <n v="29750000"/>
  </r>
  <r>
    <n v="607"/>
    <x v="468"/>
    <x v="390"/>
    <s v="OXL"/>
    <x v="0"/>
    <n v="0"/>
    <n v="250"/>
    <n v="250"/>
    <n v="5729844.9999999991"/>
    <n v="29750000"/>
  </r>
  <r>
    <n v="608"/>
    <x v="469"/>
    <x v="391"/>
    <s v="OSS"/>
    <x v="0"/>
    <n v="0"/>
    <n v="350"/>
    <n v="350"/>
    <n v="9072428.75"/>
    <n v="45150000"/>
  </r>
  <r>
    <n v="609"/>
    <x v="469"/>
    <x v="391"/>
    <s v="OMM"/>
    <x v="0"/>
    <n v="0"/>
    <n v="250"/>
    <n v="250"/>
    <n v="6480306.25"/>
    <n v="32250000"/>
  </r>
  <r>
    <n v="610"/>
    <x v="469"/>
    <x v="391"/>
    <s v="OLL"/>
    <x v="0"/>
    <n v="0"/>
    <n v="250"/>
    <n v="250"/>
    <n v="6480306.25"/>
    <n v="32250000"/>
  </r>
  <r>
    <n v="611"/>
    <x v="469"/>
    <x v="391"/>
    <s v="OXL"/>
    <x v="0"/>
    <n v="0"/>
    <n v="150"/>
    <n v="150"/>
    <n v="3888183.75"/>
    <n v="19350000"/>
  </r>
  <r>
    <n v="612"/>
    <x v="470"/>
    <x v="392"/>
    <s v="OXS"/>
    <x v="0"/>
    <n v="0"/>
    <n v="100"/>
    <n v="100"/>
    <n v="2291937.9999999995"/>
    <n v="11900000"/>
  </r>
  <r>
    <n v="613"/>
    <x v="470"/>
    <x v="392"/>
    <s v="OSS"/>
    <x v="0"/>
    <n v="0"/>
    <n v="200"/>
    <n v="200"/>
    <n v="4583875.9999999991"/>
    <n v="23800000"/>
  </r>
  <r>
    <n v="614"/>
    <x v="470"/>
    <x v="392"/>
    <s v="OMM"/>
    <x v="0"/>
    <n v="0"/>
    <n v="250"/>
    <n v="250"/>
    <n v="5729844.9999999991"/>
    <n v="29750000"/>
  </r>
  <r>
    <n v="615"/>
    <x v="470"/>
    <x v="392"/>
    <s v="OXL"/>
    <x v="0"/>
    <n v="0"/>
    <n v="250"/>
    <n v="250"/>
    <n v="5729844.9999999991"/>
    <n v="29750000"/>
  </r>
  <r>
    <n v="616"/>
    <x v="471"/>
    <x v="4"/>
    <m/>
    <x v="1"/>
    <n v="0"/>
    <n v="10600"/>
    <n v="10600"/>
    <n v="213971570.5"/>
    <n v="1041400000"/>
  </r>
  <r>
    <n v="617"/>
    <x v="472"/>
    <x v="393"/>
    <s v="OSS"/>
    <x v="0"/>
    <n v="0"/>
    <n v="350"/>
    <n v="350"/>
    <n v="9142000"/>
    <n v="38150000"/>
  </r>
  <r>
    <n v="618"/>
    <x v="472"/>
    <x v="393"/>
    <s v="OMM"/>
    <x v="0"/>
    <n v="0"/>
    <n v="350"/>
    <n v="350"/>
    <n v="9142000"/>
    <n v="38150000"/>
  </r>
  <r>
    <n v="619"/>
    <x v="472"/>
    <x v="393"/>
    <s v="OLL"/>
    <x v="0"/>
    <n v="0"/>
    <n v="200"/>
    <n v="200"/>
    <n v="5224000"/>
    <n v="21800000"/>
  </r>
  <r>
    <n v="620"/>
    <x v="472"/>
    <x v="393"/>
    <s v="OXL"/>
    <x v="0"/>
    <n v="0"/>
    <n v="100"/>
    <n v="100"/>
    <n v="2612000"/>
    <n v="10900000"/>
  </r>
  <r>
    <n v="621"/>
    <x v="473"/>
    <x v="394"/>
    <s v="OXS"/>
    <x v="0"/>
    <n v="0"/>
    <n v="200"/>
    <n v="200"/>
    <n v="4844000"/>
    <n v="19800000"/>
  </r>
  <r>
    <n v="622"/>
    <x v="473"/>
    <x v="394"/>
    <s v="OSS"/>
    <x v="0"/>
    <n v="0"/>
    <n v="300"/>
    <n v="300"/>
    <n v="7266000"/>
    <n v="29700000"/>
  </r>
  <r>
    <n v="623"/>
    <x v="473"/>
    <x v="394"/>
    <s v="OMM"/>
    <x v="0"/>
    <n v="0"/>
    <n v="300"/>
    <n v="300"/>
    <n v="7266000"/>
    <n v="29700000"/>
  </r>
  <r>
    <n v="624"/>
    <x v="473"/>
    <x v="394"/>
    <s v="OXL"/>
    <x v="0"/>
    <n v="0"/>
    <n v="200"/>
    <n v="200"/>
    <n v="4844000"/>
    <n v="19800000"/>
  </r>
  <r>
    <n v="625"/>
    <x v="474"/>
    <x v="395"/>
    <s v="OXS"/>
    <x v="0"/>
    <n v="0"/>
    <n v="150"/>
    <n v="150"/>
    <n v="4008000"/>
    <n v="16350000"/>
  </r>
  <r>
    <n v="626"/>
    <x v="474"/>
    <x v="395"/>
    <s v="OSS"/>
    <x v="0"/>
    <n v="0"/>
    <n v="400"/>
    <n v="400"/>
    <n v="10688000"/>
    <n v="43600000"/>
  </r>
  <r>
    <n v="627"/>
    <x v="474"/>
    <x v="395"/>
    <s v="OMM"/>
    <x v="0"/>
    <n v="0"/>
    <n v="450"/>
    <n v="450"/>
    <n v="12024000"/>
    <n v="49050000"/>
  </r>
  <r>
    <n v="628"/>
    <x v="474"/>
    <x v="395"/>
    <s v="OLL"/>
    <x v="0"/>
    <n v="0"/>
    <n v="300"/>
    <n v="300"/>
    <n v="8016000"/>
    <n v="32700000"/>
  </r>
  <r>
    <n v="629"/>
    <x v="474"/>
    <x v="395"/>
    <s v="OXL"/>
    <x v="0"/>
    <n v="0"/>
    <n v="200"/>
    <n v="200"/>
    <n v="5344000"/>
    <n v="21800000"/>
  </r>
  <r>
    <n v="630"/>
    <x v="475"/>
    <x v="396"/>
    <s v="OXS"/>
    <x v="0"/>
    <n v="0"/>
    <n v="200"/>
    <n v="200"/>
    <n v="6224000"/>
    <n v="25800000"/>
  </r>
  <r>
    <n v="631"/>
    <x v="475"/>
    <x v="396"/>
    <s v="OSS"/>
    <x v="0"/>
    <n v="0"/>
    <n v="350"/>
    <n v="350"/>
    <n v="10892000"/>
    <n v="45150000"/>
  </r>
  <r>
    <n v="632"/>
    <x v="475"/>
    <x v="396"/>
    <s v="OMM"/>
    <x v="0"/>
    <n v="0"/>
    <n v="450"/>
    <n v="450"/>
    <n v="14004000"/>
    <n v="58050000"/>
  </r>
  <r>
    <n v="633"/>
    <x v="475"/>
    <x v="396"/>
    <s v="OLL"/>
    <x v="0"/>
    <n v="0"/>
    <n v="300"/>
    <n v="300"/>
    <n v="9336000"/>
    <n v="38700000"/>
  </r>
  <r>
    <n v="634"/>
    <x v="475"/>
    <x v="396"/>
    <s v="OXL"/>
    <x v="0"/>
    <n v="0"/>
    <n v="200"/>
    <n v="200"/>
    <n v="6224000"/>
    <n v="25800000"/>
  </r>
  <r>
    <n v="635"/>
    <x v="476"/>
    <x v="4"/>
    <m/>
    <x v="1"/>
    <n v="0"/>
    <n v="5000"/>
    <n v="5000"/>
    <n v="137100000"/>
    <n v="565000000"/>
  </r>
  <r>
    <n v="636"/>
    <x v="477"/>
    <x v="397"/>
    <s v="OXS"/>
    <x v="0"/>
    <n v="0"/>
    <n v="150"/>
    <n v="150"/>
    <n v="2925262.5000000005"/>
    <n v="14850000"/>
  </r>
  <r>
    <n v="637"/>
    <x v="477"/>
    <x v="397"/>
    <s v="OSS"/>
    <x v="0"/>
    <n v="0"/>
    <n v="450"/>
    <n v="450"/>
    <n v="8775787.5000000019"/>
    <n v="44550000"/>
  </r>
  <r>
    <n v="638"/>
    <x v="477"/>
    <x v="397"/>
    <s v="OMM"/>
    <x v="0"/>
    <n v="0"/>
    <n v="400"/>
    <n v="400"/>
    <n v="7800700.0000000019"/>
    <n v="39600000"/>
  </r>
  <r>
    <n v="639"/>
    <x v="477"/>
    <x v="397"/>
    <s v="OLL"/>
    <x v="0"/>
    <n v="0"/>
    <n v="300"/>
    <n v="300"/>
    <n v="5850525.0000000009"/>
    <n v="29700000"/>
  </r>
  <r>
    <n v="640"/>
    <x v="477"/>
    <x v="397"/>
    <s v="OXL"/>
    <x v="0"/>
    <n v="0"/>
    <n v="200"/>
    <n v="200"/>
    <n v="3900350.0000000009"/>
    <n v="19800000"/>
  </r>
  <r>
    <n v="641"/>
    <x v="478"/>
    <x v="398"/>
    <s v="OXS"/>
    <x v="0"/>
    <n v="0"/>
    <n v="300"/>
    <n v="300"/>
    <n v="5140200"/>
    <n v="26700000"/>
  </r>
  <r>
    <n v="642"/>
    <x v="478"/>
    <x v="398"/>
    <s v="OSS"/>
    <x v="0"/>
    <n v="0"/>
    <n v="450"/>
    <n v="450"/>
    <n v="7710300"/>
    <n v="40050000"/>
  </r>
  <r>
    <n v="643"/>
    <x v="478"/>
    <x v="398"/>
    <s v="OMM"/>
    <x v="0"/>
    <n v="0"/>
    <n v="450"/>
    <n v="450"/>
    <n v="7710300"/>
    <n v="40050000"/>
  </r>
  <r>
    <n v="644"/>
    <x v="478"/>
    <x v="398"/>
    <s v="OXL"/>
    <x v="0"/>
    <n v="0"/>
    <n v="300"/>
    <n v="300"/>
    <n v="5140200"/>
    <n v="26700000"/>
  </r>
  <r>
    <n v="645"/>
    <x v="479"/>
    <x v="399"/>
    <s v="OXS"/>
    <x v="0"/>
    <n v="0"/>
    <n v="200"/>
    <n v="200"/>
    <n v="5170850"/>
    <n v="25800000"/>
  </r>
  <r>
    <n v="646"/>
    <x v="479"/>
    <x v="399"/>
    <s v="OSS"/>
    <x v="0"/>
    <n v="0"/>
    <n v="350"/>
    <n v="350"/>
    <n v="9048987.5"/>
    <n v="45150000"/>
  </r>
  <r>
    <n v="647"/>
    <x v="479"/>
    <x v="399"/>
    <s v="OMM"/>
    <x v="0"/>
    <n v="0"/>
    <n v="450"/>
    <n v="450"/>
    <n v="11634412.5"/>
    <n v="58050000"/>
  </r>
  <r>
    <n v="648"/>
    <x v="479"/>
    <x v="399"/>
    <s v="OLL"/>
    <x v="0"/>
    <n v="0"/>
    <n v="300"/>
    <n v="300"/>
    <n v="7756275"/>
    <n v="38700000"/>
  </r>
  <r>
    <n v="649"/>
    <x v="479"/>
    <x v="399"/>
    <s v="OXL"/>
    <x v="0"/>
    <n v="0"/>
    <n v="200"/>
    <n v="200"/>
    <n v="5170850"/>
    <n v="25800000"/>
  </r>
  <r>
    <n v="650"/>
    <x v="480"/>
    <x v="400"/>
    <s v="OXS"/>
    <x v="0"/>
    <n v="0"/>
    <n v="200"/>
    <n v="200"/>
    <n v="4778150"/>
    <n v="23800000"/>
  </r>
  <r>
    <n v="651"/>
    <x v="480"/>
    <x v="400"/>
    <s v="OSS"/>
    <x v="0"/>
    <n v="0"/>
    <n v="300"/>
    <n v="300"/>
    <n v="7167225"/>
    <n v="35700000"/>
  </r>
  <r>
    <n v="652"/>
    <x v="480"/>
    <x v="400"/>
    <s v="OMM"/>
    <x v="0"/>
    <n v="0"/>
    <n v="350"/>
    <n v="350"/>
    <n v="8361762.5"/>
    <n v="41650000"/>
  </r>
  <r>
    <n v="653"/>
    <x v="480"/>
    <x v="400"/>
    <s v="OXL"/>
    <x v="0"/>
    <n v="0"/>
    <n v="350"/>
    <n v="350"/>
    <n v="8361762.5"/>
    <n v="41650000"/>
  </r>
  <r>
    <n v="654"/>
    <x v="481"/>
    <x v="401"/>
    <s v="OXS"/>
    <x v="0"/>
    <n v="0"/>
    <n v="200"/>
    <n v="200"/>
    <n v="5436500"/>
    <n v="27800000"/>
  </r>
  <r>
    <n v="655"/>
    <x v="481"/>
    <x v="401"/>
    <s v="OSS"/>
    <x v="0"/>
    <n v="0"/>
    <n v="300"/>
    <n v="300"/>
    <n v="8154750"/>
    <n v="41700000"/>
  </r>
  <r>
    <n v="656"/>
    <x v="481"/>
    <x v="401"/>
    <s v="OMM"/>
    <x v="0"/>
    <n v="0"/>
    <n v="200"/>
    <n v="200"/>
    <n v="5436500"/>
    <n v="27800000"/>
  </r>
  <r>
    <n v="657"/>
    <x v="481"/>
    <x v="401"/>
    <s v="OLL"/>
    <x v="0"/>
    <n v="0"/>
    <n v="100"/>
    <n v="100"/>
    <n v="2718250"/>
    <n v="13900000"/>
  </r>
  <r>
    <n v="658"/>
    <x v="482"/>
    <x v="402"/>
    <s v="OSS"/>
    <x v="0"/>
    <n v="0"/>
    <n v="350"/>
    <n v="350"/>
    <n v="9513875"/>
    <n v="48650000"/>
  </r>
  <r>
    <n v="659"/>
    <x v="482"/>
    <x v="402"/>
    <s v="OMM"/>
    <x v="0"/>
    <n v="0"/>
    <n v="250"/>
    <n v="250"/>
    <n v="6795625"/>
    <n v="34750000"/>
  </r>
  <r>
    <n v="660"/>
    <x v="482"/>
    <x v="402"/>
    <s v="OLL"/>
    <x v="0"/>
    <n v="0"/>
    <n v="250"/>
    <n v="250"/>
    <n v="6795625"/>
    <n v="34750000"/>
  </r>
  <r>
    <n v="661"/>
    <x v="482"/>
    <x v="402"/>
    <s v="OXL"/>
    <x v="0"/>
    <n v="0"/>
    <n v="150"/>
    <n v="150"/>
    <n v="4077375"/>
    <n v="20850000"/>
  </r>
  <r>
    <n v="662"/>
    <x v="483"/>
    <x v="403"/>
    <s v="OSS"/>
    <x v="0"/>
    <n v="0"/>
    <n v="300"/>
    <n v="300"/>
    <n v="11273250"/>
    <n v="53700000"/>
  </r>
  <r>
    <n v="663"/>
    <x v="483"/>
    <x v="403"/>
    <s v="OMM"/>
    <x v="0"/>
    <n v="0"/>
    <n v="450"/>
    <n v="450"/>
    <n v="16909875"/>
    <n v="80550000"/>
  </r>
  <r>
    <n v="664"/>
    <x v="483"/>
    <x v="403"/>
    <s v="OLL"/>
    <x v="0"/>
    <n v="0"/>
    <n v="300"/>
    <n v="300"/>
    <n v="11273250"/>
    <n v="53700000"/>
  </r>
  <r>
    <n v="665"/>
    <x v="483"/>
    <x v="403"/>
    <s v="OXL"/>
    <x v="0"/>
    <n v="0"/>
    <n v="150"/>
    <n v="150"/>
    <n v="5636625"/>
    <n v="26850000"/>
  </r>
  <r>
    <n v="666"/>
    <x v="484"/>
    <x v="404"/>
    <s v="OXS"/>
    <x v="0"/>
    <n v="0"/>
    <n v="200"/>
    <n v="200"/>
    <n v="6938000"/>
    <n v="33800000"/>
  </r>
  <r>
    <n v="667"/>
    <x v="484"/>
    <x v="404"/>
    <s v="OMM"/>
    <x v="0"/>
    <n v="0"/>
    <n v="350"/>
    <n v="350"/>
    <n v="12141500"/>
    <n v="59150000"/>
  </r>
  <r>
    <n v="668"/>
    <x v="484"/>
    <x v="404"/>
    <s v="OXL"/>
    <x v="0"/>
    <n v="0"/>
    <n v="250"/>
    <n v="250"/>
    <n v="8672500"/>
    <n v="42250000"/>
  </r>
  <r>
    <n v="669"/>
    <x v="485"/>
    <x v="4"/>
    <m/>
    <x v="1"/>
    <n v="0"/>
    <n v="9500"/>
    <n v="9500"/>
    <n v="244177400"/>
    <n v="1218500000"/>
  </r>
  <r>
    <n v="670"/>
    <x v="486"/>
    <x v="405"/>
    <s v="FRE"/>
    <x v="0"/>
    <n v="0"/>
    <n v="500"/>
    <n v="500"/>
    <n v="4001680.0000000005"/>
    <n v="21500000"/>
  </r>
  <r>
    <n v="671"/>
    <x v="487"/>
    <x v="406"/>
    <s v="FRE"/>
    <x v="0"/>
    <n v="0"/>
    <n v="500"/>
    <n v="500"/>
    <n v="4001680.0000000005"/>
    <n v="21500000"/>
  </r>
  <r>
    <n v="672"/>
    <x v="488"/>
    <x v="407"/>
    <s v="FRE"/>
    <x v="0"/>
    <n v="0"/>
    <n v="300"/>
    <n v="300"/>
    <n v="2424768.0000000005"/>
    <n v="14700000"/>
  </r>
  <r>
    <n v="673"/>
    <x v="489"/>
    <x v="408"/>
    <s v="FRE"/>
    <x v="0"/>
    <n v="0"/>
    <n v="800"/>
    <n v="800"/>
    <n v="5125248.0000000009"/>
    <n v="36000000"/>
  </r>
  <r>
    <n v="674"/>
    <x v="490"/>
    <x v="409"/>
    <s v="FRE"/>
    <x v="0"/>
    <n v="0"/>
    <n v="700"/>
    <n v="700"/>
    <n v="4674236.0000000009"/>
    <n v="34300000"/>
  </r>
  <r>
    <n v="675"/>
    <x v="491"/>
    <x v="410"/>
    <s v="FRE"/>
    <x v="0"/>
    <n v="0"/>
    <n v="700"/>
    <n v="700"/>
    <n v="4499600"/>
    <n v="31500000"/>
  </r>
  <r>
    <n v="676"/>
    <x v="492"/>
    <x v="411"/>
    <s v="FRE"/>
    <x v="0"/>
    <n v="0"/>
    <n v="200"/>
    <n v="200"/>
    <n v="2782864"/>
    <n v="15800000"/>
  </r>
  <r>
    <n v="677"/>
    <x v="493"/>
    <x v="412"/>
    <s v="FRE"/>
    <x v="0"/>
    <n v="0"/>
    <n v="300"/>
    <n v="300"/>
    <n v="2706678"/>
    <n v="16500000"/>
  </r>
  <r>
    <n v="678"/>
    <x v="494"/>
    <x v="4"/>
    <m/>
    <x v="1"/>
    <n v="0"/>
    <n v="4000"/>
    <n v="4000"/>
    <n v="30216754.000000004"/>
    <n v="191800000"/>
  </r>
  <r>
    <n v="679"/>
    <x v="495"/>
    <x v="413"/>
    <s v="FRE"/>
    <x v="0"/>
    <n v="0"/>
    <n v="400"/>
    <n v="400"/>
    <n v="3932648.0000000005"/>
    <n v="22000000"/>
  </r>
  <r>
    <n v="680"/>
    <x v="496"/>
    <x v="414"/>
    <s v="FRE"/>
    <x v="0"/>
    <n v="0"/>
    <n v="400"/>
    <n v="400"/>
    <n v="3414936"/>
    <n v="22000000"/>
  </r>
  <r>
    <n v="681"/>
    <x v="497"/>
    <x v="415"/>
    <s v="FRE"/>
    <x v="0"/>
    <n v="0"/>
    <n v="500"/>
    <n v="500"/>
    <n v="4390525"/>
    <n v="32500000"/>
  </r>
  <r>
    <n v="682"/>
    <x v="498"/>
    <x v="416"/>
    <s v="FRE"/>
    <x v="0"/>
    <n v="0"/>
    <n v="500"/>
    <n v="500"/>
    <n v="4308025"/>
    <n v="29500000"/>
  </r>
  <r>
    <n v="683"/>
    <x v="499"/>
    <x v="417"/>
    <s v="FRE"/>
    <x v="0"/>
    <n v="0"/>
    <n v="400"/>
    <n v="400"/>
    <n v="4215224.0000000009"/>
    <n v="22000000"/>
  </r>
  <r>
    <n v="684"/>
    <x v="500"/>
    <x v="418"/>
    <s v="FRE"/>
    <x v="0"/>
    <n v="0"/>
    <n v="400"/>
    <n v="400"/>
    <n v="4258024.0000000009"/>
    <n v="22000000"/>
  </r>
  <r>
    <n v="685"/>
    <x v="501"/>
    <x v="419"/>
    <s v="FRE"/>
    <x v="0"/>
    <n v="0"/>
    <n v="400"/>
    <n v="400"/>
    <n v="4389964"/>
    <n v="23600000"/>
  </r>
  <r>
    <n v="686"/>
    <x v="502"/>
    <x v="420"/>
    <s v="FRE"/>
    <x v="0"/>
    <n v="0"/>
    <n v="400"/>
    <n v="400"/>
    <n v="4439164"/>
    <n v="23600000"/>
  </r>
  <r>
    <n v="687"/>
    <x v="503"/>
    <x v="421"/>
    <s v="FRE"/>
    <x v="0"/>
    <n v="0"/>
    <n v="400"/>
    <n v="400"/>
    <n v="3678844"/>
    <n v="22000000"/>
  </r>
  <r>
    <n v="688"/>
    <x v="504"/>
    <x v="422"/>
    <s v="FRE"/>
    <x v="0"/>
    <n v="0"/>
    <n v="200"/>
    <n v="200"/>
    <n v="2074460.0000000002"/>
    <n v="11800000"/>
  </r>
  <r>
    <n v="689"/>
    <x v="505"/>
    <x v="4"/>
    <m/>
    <x v="1"/>
    <n v="0"/>
    <n v="4000"/>
    <n v="4000"/>
    <n v="39101814"/>
    <n v="231000000"/>
  </r>
  <r>
    <n v="690"/>
    <x v="506"/>
    <x v="423"/>
    <s v="FRE"/>
    <x v="0"/>
    <n v="0"/>
    <n v="500"/>
    <n v="500"/>
    <n v="3101820"/>
    <n v="24500000"/>
  </r>
  <r>
    <n v="691"/>
    <x v="507"/>
    <x v="424"/>
    <s v="FRE"/>
    <x v="0"/>
    <n v="0"/>
    <n v="500"/>
    <n v="500"/>
    <n v="3529370.0000000005"/>
    <n v="24500000"/>
  </r>
  <r>
    <n v="692"/>
    <x v="508"/>
    <x v="425"/>
    <s v="FRE"/>
    <x v="0"/>
    <n v="0"/>
    <n v="500"/>
    <n v="500"/>
    <n v="3197815.0000000009"/>
    <n v="22500000"/>
  </r>
  <r>
    <n v="693"/>
    <x v="509"/>
    <x v="426"/>
    <s v="FRE"/>
    <x v="0"/>
    <n v="0"/>
    <n v="500"/>
    <n v="500"/>
    <n v="3565450.0000000005"/>
    <n v="24500000"/>
  </r>
  <r>
    <n v="694"/>
    <x v="510"/>
    <x v="4"/>
    <m/>
    <x v="1"/>
    <n v="0"/>
    <n v="2000"/>
    <n v="2000"/>
    <n v="13394455"/>
    <n v="96000000"/>
  </r>
  <r>
    <n v="695"/>
    <x v="511"/>
    <x v="427"/>
    <s v="FRE"/>
    <x v="0"/>
    <n v="0"/>
    <n v="500"/>
    <n v="500"/>
    <n v="3970495"/>
    <n v="19500000"/>
  </r>
  <r>
    <n v="696"/>
    <x v="512"/>
    <x v="428"/>
    <s v="FRE"/>
    <x v="0"/>
    <n v="0"/>
    <n v="500"/>
    <n v="500"/>
    <n v="3970495"/>
    <n v="19500000"/>
  </r>
  <r>
    <n v="697"/>
    <x v="513"/>
    <x v="4"/>
    <m/>
    <x v="1"/>
    <n v="0"/>
    <n v="1000"/>
    <n v="1000"/>
    <n v="7940990"/>
    <n v="39000000"/>
  </r>
  <r>
    <n v="698"/>
    <x v="514"/>
    <x v="429"/>
    <s v="FRE"/>
    <x v="0"/>
    <n v="0"/>
    <n v="500"/>
    <n v="500"/>
    <n v="12000000"/>
    <n v="59500000"/>
  </r>
  <r>
    <n v="699"/>
    <x v="515"/>
    <x v="430"/>
    <s v="FRE"/>
    <x v="0"/>
    <n v="0"/>
    <n v="500"/>
    <n v="500"/>
    <n v="12000000"/>
    <n v="59500000"/>
  </r>
  <r>
    <n v="700"/>
    <x v="516"/>
    <x v="431"/>
    <s v="FRE"/>
    <x v="0"/>
    <n v="0"/>
    <n v="500"/>
    <n v="500"/>
    <n v="12000000"/>
    <n v="59500000"/>
  </r>
  <r>
    <n v="701"/>
    <x v="517"/>
    <x v="432"/>
    <s v="FRE"/>
    <x v="0"/>
    <n v="0"/>
    <n v="500"/>
    <n v="500"/>
    <n v="12000000"/>
    <n v="59500000"/>
  </r>
  <r>
    <n v="702"/>
    <x v="518"/>
    <x v="4"/>
    <m/>
    <x v="1"/>
    <n v="0"/>
    <n v="2000"/>
    <n v="2000"/>
    <n v="48000000"/>
    <n v="238000000"/>
  </r>
  <r>
    <n v="703"/>
    <x v="519"/>
    <x v="433"/>
    <s v="FRE"/>
    <x v="0"/>
    <n v="0"/>
    <n v="500"/>
    <n v="500"/>
    <n v="12510000"/>
    <n v="64500000"/>
  </r>
  <r>
    <n v="704"/>
    <x v="520"/>
    <x v="434"/>
    <s v="OMM"/>
    <x v="0"/>
    <n v="0"/>
    <n v="500"/>
    <n v="500"/>
    <n v="11260000"/>
    <n v="49500000"/>
  </r>
  <r>
    <n v="705"/>
    <x v="521"/>
    <x v="435"/>
    <s v="OSS"/>
    <x v="0"/>
    <n v="0"/>
    <n v="500"/>
    <n v="500"/>
    <n v="10010000"/>
    <n v="44500000"/>
  </r>
  <r>
    <n v="706"/>
    <x v="522"/>
    <x v="4"/>
    <m/>
    <x v="1"/>
    <n v="0"/>
    <n v="1500"/>
    <n v="1500"/>
    <n v="33780000"/>
    <n v="158500000"/>
  </r>
  <r>
    <n v="707"/>
    <x v="523"/>
    <x v="436"/>
    <s v="FRE"/>
    <x v="0"/>
    <n v="0"/>
    <n v="700"/>
    <n v="700"/>
    <n v="4656456.0000000009"/>
    <n v="41300000"/>
  </r>
  <r>
    <n v="708"/>
    <x v="524"/>
    <x v="437"/>
    <s v="FRE"/>
    <x v="0"/>
    <n v="0"/>
    <n v="500"/>
    <n v="500"/>
    <n v="3297855.0000000005"/>
    <n v="27500000"/>
  </r>
  <r>
    <n v="709"/>
    <x v="525"/>
    <x v="438"/>
    <s v="FRE"/>
    <x v="0"/>
    <n v="0"/>
    <n v="700"/>
    <n v="700"/>
    <n v="3479707"/>
    <n v="34300000"/>
  </r>
  <r>
    <n v="710"/>
    <x v="526"/>
    <x v="439"/>
    <s v="FRE"/>
    <x v="0"/>
    <n v="0"/>
    <n v="1000"/>
    <n v="1000"/>
    <n v="6818330.0000000009"/>
    <n v="49000000"/>
  </r>
  <r>
    <n v="711"/>
    <x v="527"/>
    <x v="440"/>
    <s v="FRE"/>
    <x v="0"/>
    <n v="0"/>
    <n v="1000"/>
    <n v="1000"/>
    <n v="6818330.0000000009"/>
    <n v="49000000"/>
  </r>
  <r>
    <n v="712"/>
    <x v="528"/>
    <x v="441"/>
    <s v="FRE"/>
    <x v="0"/>
    <n v="0"/>
    <n v="500"/>
    <n v="500"/>
    <n v="3377980.0000000009"/>
    <n v="22500000"/>
  </r>
  <r>
    <n v="713"/>
    <x v="529"/>
    <x v="4"/>
    <m/>
    <x v="1"/>
    <n v="0"/>
    <n v="4400"/>
    <n v="4400"/>
    <n v="28448658.000000004"/>
    <n v="223600000"/>
  </r>
  <r>
    <n v="714"/>
    <x v="530"/>
    <x v="442"/>
    <s v="FRE"/>
    <x v="0"/>
    <n v="0"/>
    <n v="700"/>
    <n v="700"/>
    <n v="4017153"/>
    <n v="31500000"/>
  </r>
  <r>
    <n v="715"/>
    <x v="531"/>
    <x v="4"/>
    <m/>
    <x v="1"/>
    <n v="0"/>
    <n v="700"/>
    <n v="700"/>
    <n v="4017153"/>
    <n v="31500000"/>
  </r>
  <r>
    <n v="716"/>
    <x v="532"/>
    <x v="443"/>
    <s v="FRE"/>
    <x v="0"/>
    <n v="0"/>
    <n v="1200"/>
    <n v="1200"/>
    <n v="7032456"/>
    <n v="54000000"/>
  </r>
  <r>
    <n v="717"/>
    <x v="533"/>
    <x v="4"/>
    <m/>
    <x v="1"/>
    <n v="0"/>
    <n v="1200"/>
    <n v="1200"/>
    <n v="7032456"/>
    <n v="54000000"/>
  </r>
  <r>
    <n v="718"/>
    <x v="534"/>
    <x v="127"/>
    <s v="FRE"/>
    <x v="0"/>
    <n v="700"/>
    <n v="0"/>
    <n v="700"/>
    <n v="6664000"/>
    <n v="30100000"/>
  </r>
  <r>
    <n v="719"/>
    <x v="535"/>
    <x v="4"/>
    <m/>
    <x v="1"/>
    <n v="700"/>
    <n v="0"/>
    <n v="700"/>
    <n v="6664000"/>
    <n v="30100000"/>
  </r>
  <r>
    <n v="720"/>
    <x v="536"/>
    <x v="444"/>
    <s v="FRE"/>
    <x v="0"/>
    <n v="0"/>
    <n v="500"/>
    <n v="500"/>
    <n v="4510000"/>
    <n v="27500000"/>
  </r>
  <r>
    <n v="721"/>
    <x v="537"/>
    <x v="4"/>
    <m/>
    <x v="1"/>
    <n v="0"/>
    <n v="500"/>
    <n v="500"/>
    <n v="4510000"/>
    <n v="27500000"/>
  </r>
  <r>
    <n v="722"/>
    <x v="538"/>
    <x v="445"/>
    <s v="FRE"/>
    <x v="0"/>
    <n v="0"/>
    <n v="1500"/>
    <n v="1500"/>
    <n v="11600820.000000002"/>
    <n v="88500000"/>
  </r>
  <r>
    <n v="723"/>
    <x v="539"/>
    <x v="446"/>
    <s v="FRE"/>
    <x v="0"/>
    <n v="0"/>
    <n v="500"/>
    <n v="500"/>
    <n v="3866940.0000000005"/>
    <n v="29500000"/>
  </r>
  <r>
    <n v="724"/>
    <x v="540"/>
    <x v="4"/>
    <m/>
    <x v="1"/>
    <n v="0"/>
    <n v="2000"/>
    <n v="2000"/>
    <n v="15467760.000000002"/>
    <n v="118000000"/>
  </r>
  <r>
    <n v="725"/>
    <x v="541"/>
    <x v="447"/>
    <s v="FRE"/>
    <x v="0"/>
    <n v="0"/>
    <n v="1000"/>
    <n v="1000"/>
    <n v="9520000"/>
    <n v="49000000"/>
  </r>
  <r>
    <n v="726"/>
    <x v="542"/>
    <x v="448"/>
    <s v="FRE"/>
    <x v="0"/>
    <n v="0"/>
    <n v="1000"/>
    <n v="1000"/>
    <n v="9520000"/>
    <n v="49000000"/>
  </r>
  <r>
    <n v="727"/>
    <x v="543"/>
    <x v="4"/>
    <m/>
    <x v="1"/>
    <n v="0"/>
    <n v="2000"/>
    <n v="2000"/>
    <n v="19040000"/>
    <n v="98000000"/>
  </r>
  <r>
    <n v="728"/>
    <x v="544"/>
    <x v="449"/>
    <s v="FRE"/>
    <x v="0"/>
    <n v="0"/>
    <n v="800"/>
    <n v="800"/>
    <n v="7229600"/>
    <n v="44000000"/>
  </r>
  <r>
    <n v="729"/>
    <x v="545"/>
    <x v="450"/>
    <s v="FRE"/>
    <x v="0"/>
    <n v="0"/>
    <n v="800"/>
    <n v="800"/>
    <n v="6253040.0000000009"/>
    <n v="47200000"/>
  </r>
  <r>
    <n v="730"/>
    <x v="546"/>
    <x v="4"/>
    <m/>
    <x v="1"/>
    <n v="0"/>
    <n v="1600"/>
    <n v="1600"/>
    <n v="13482640"/>
    <n v="91200000"/>
  </r>
  <r>
    <n v="731"/>
    <x v="547"/>
    <x v="451"/>
    <s v="FRE"/>
    <x v="0"/>
    <n v="0"/>
    <n v="1000"/>
    <n v="1000"/>
    <n v="12520000"/>
    <n v="59000000"/>
  </r>
  <r>
    <n v="732"/>
    <x v="548"/>
    <x v="452"/>
    <s v="FRE"/>
    <x v="0"/>
    <n v="0"/>
    <n v="1000"/>
    <n v="1000"/>
    <n v="11020000"/>
    <n v="55000000"/>
  </r>
  <r>
    <n v="733"/>
    <x v="549"/>
    <x v="4"/>
    <m/>
    <x v="1"/>
    <n v="0"/>
    <n v="2000"/>
    <n v="2000"/>
    <n v="23540000"/>
    <n v="114000000"/>
  </r>
  <r>
    <n v="734"/>
    <x v="550"/>
    <x v="453"/>
    <s v="FRE"/>
    <x v="0"/>
    <n v="0"/>
    <n v="1200"/>
    <n v="1200"/>
    <n v="11400288"/>
    <n v="70800000"/>
  </r>
  <r>
    <n v="735"/>
    <x v="551"/>
    <x v="4"/>
    <m/>
    <x v="1"/>
    <n v="0"/>
    <n v="1200"/>
    <n v="1200"/>
    <n v="11400288"/>
    <n v="70800000"/>
  </r>
  <r>
    <n v="736"/>
    <x v="552"/>
    <x v="454"/>
    <s v="FRE"/>
    <x v="0"/>
    <n v="0"/>
    <n v="3000"/>
    <n v="3000"/>
    <n v="31386270"/>
    <n v="207000000"/>
  </r>
  <r>
    <n v="737"/>
    <x v="553"/>
    <x v="455"/>
    <s v="FRE"/>
    <x v="0"/>
    <n v="0"/>
    <n v="2000"/>
    <n v="2000"/>
    <n v="19955989.999999996"/>
    <n v="126000000"/>
  </r>
  <r>
    <n v="738"/>
    <x v="554"/>
    <x v="456"/>
    <s v="FRE"/>
    <x v="0"/>
    <n v="0"/>
    <n v="2500"/>
    <n v="2500"/>
    <n v="26277600.000000004"/>
    <n v="172500000"/>
  </r>
  <r>
    <n v="739"/>
    <x v="555"/>
    <x v="4"/>
    <m/>
    <x v="1"/>
    <n v="0"/>
    <n v="7500"/>
    <n v="7500"/>
    <n v="77619860"/>
    <n v="505500000"/>
  </r>
  <r>
    <n v="740"/>
    <x v="556"/>
    <x v="457"/>
    <s v="FRE"/>
    <x v="0"/>
    <n v="0"/>
    <n v="1000"/>
    <n v="1000"/>
    <n v="6488000"/>
    <n v="49000000"/>
  </r>
  <r>
    <n v="741"/>
    <x v="557"/>
    <x v="458"/>
    <s v="FRE"/>
    <x v="0"/>
    <n v="0"/>
    <n v="1000"/>
    <n v="1000"/>
    <n v="6372500"/>
    <n v="43000000"/>
  </r>
  <r>
    <n v="742"/>
    <x v="558"/>
    <x v="459"/>
    <s v="FRE"/>
    <x v="0"/>
    <n v="0"/>
    <n v="1200"/>
    <n v="1200"/>
    <n v="6954000"/>
    <n v="58800000"/>
  </r>
  <r>
    <n v="743"/>
    <x v="559"/>
    <x v="460"/>
    <s v="FRE"/>
    <x v="0"/>
    <n v="0"/>
    <n v="1200"/>
    <n v="1200"/>
    <n v="6815400.0000000009"/>
    <n v="51600000"/>
  </r>
  <r>
    <n v="744"/>
    <x v="560"/>
    <x v="461"/>
    <s v="FRE"/>
    <x v="0"/>
    <n v="0"/>
    <n v="1200"/>
    <n v="1200"/>
    <n v="6954000"/>
    <n v="58800000"/>
  </r>
  <r>
    <n v="745"/>
    <x v="561"/>
    <x v="462"/>
    <s v="FRE"/>
    <x v="0"/>
    <n v="0"/>
    <n v="1200"/>
    <n v="1200"/>
    <n v="6815400.0000000009"/>
    <n v="51600000"/>
  </r>
  <r>
    <n v="746"/>
    <x v="562"/>
    <x v="4"/>
    <m/>
    <x v="1"/>
    <n v="0"/>
    <n v="6800"/>
    <n v="6800"/>
    <n v="40399300"/>
    <n v="312800000"/>
  </r>
  <r>
    <n v="747"/>
    <x v="563"/>
    <x v="463"/>
    <s v="FRE"/>
    <x v="0"/>
    <n v="0"/>
    <n v="800"/>
    <n v="800"/>
    <n v="7188080"/>
    <n v="39200000"/>
  </r>
  <r>
    <n v="748"/>
    <x v="564"/>
    <x v="4"/>
    <m/>
    <x v="1"/>
    <n v="0"/>
    <n v="800"/>
    <n v="800"/>
    <n v="7188080"/>
    <n v="39200000"/>
  </r>
  <r>
    <n v="749"/>
    <x v="565"/>
    <x v="464"/>
    <s v="FRE"/>
    <x v="0"/>
    <n v="0"/>
    <n v="700"/>
    <n v="700"/>
    <n v="3943310.0000000009"/>
    <n v="30100000"/>
  </r>
  <r>
    <n v="750"/>
    <x v="566"/>
    <x v="465"/>
    <s v="FRE"/>
    <x v="0"/>
    <n v="0"/>
    <n v="700"/>
    <n v="700"/>
    <n v="5929562.0000000009"/>
    <n v="34300000"/>
  </r>
  <r>
    <n v="751"/>
    <x v="567"/>
    <x v="466"/>
    <s v="FRE"/>
    <x v="0"/>
    <n v="0"/>
    <n v="700"/>
    <n v="700"/>
    <n v="5623826.0000000009"/>
    <n v="31500000"/>
  </r>
  <r>
    <n v="752"/>
    <x v="568"/>
    <x v="467"/>
    <s v="FRE"/>
    <x v="0"/>
    <n v="0"/>
    <n v="700"/>
    <n v="700"/>
    <n v="5929562.0000000009"/>
    <n v="34300000"/>
  </r>
  <r>
    <n v="753"/>
    <x v="569"/>
    <x v="468"/>
    <s v="FRE"/>
    <x v="0"/>
    <n v="0"/>
    <n v="700"/>
    <n v="700"/>
    <n v="5623826.0000000009"/>
    <n v="31500000"/>
  </r>
  <r>
    <n v="754"/>
    <x v="570"/>
    <x v="469"/>
    <s v="FRE"/>
    <x v="0"/>
    <n v="0"/>
    <n v="500"/>
    <n v="500"/>
    <n v="3382315.0000000009"/>
    <n v="22500000"/>
  </r>
  <r>
    <n v="755"/>
    <x v="571"/>
    <x v="470"/>
    <s v="FRE"/>
    <x v="0"/>
    <n v="0"/>
    <n v="500"/>
    <n v="500"/>
    <n v="3178390.0000000005"/>
    <n v="21500000"/>
  </r>
  <r>
    <n v="756"/>
    <x v="572"/>
    <x v="471"/>
    <s v="FRE"/>
    <x v="0"/>
    <n v="0"/>
    <n v="500"/>
    <n v="500"/>
    <n v="3382315.0000000009"/>
    <n v="22500000"/>
  </r>
  <r>
    <n v="757"/>
    <x v="573"/>
    <x v="472"/>
    <s v="FRE"/>
    <x v="0"/>
    <n v="0"/>
    <n v="500"/>
    <n v="500"/>
    <n v="3178390.0000000005"/>
    <n v="21500000"/>
  </r>
  <r>
    <n v="758"/>
    <x v="574"/>
    <x v="473"/>
    <s v="FRE"/>
    <x v="0"/>
    <n v="0"/>
    <n v="500"/>
    <n v="500"/>
    <n v="3429815.0000000009"/>
    <n v="22500000"/>
  </r>
  <r>
    <n v="759"/>
    <x v="575"/>
    <x v="474"/>
    <s v="FRE"/>
    <x v="0"/>
    <n v="0"/>
    <n v="500"/>
    <n v="500"/>
    <n v="3217890.0000000005"/>
    <n v="21500000"/>
  </r>
  <r>
    <n v="760"/>
    <x v="576"/>
    <x v="475"/>
    <s v="FRE"/>
    <x v="0"/>
    <n v="0"/>
    <n v="700"/>
    <n v="700"/>
    <n v="5876444"/>
    <n v="34300000"/>
  </r>
  <r>
    <n v="761"/>
    <x v="577"/>
    <x v="476"/>
    <s v="FRE"/>
    <x v="0"/>
    <n v="0"/>
    <n v="700"/>
    <n v="700"/>
    <n v="5587808"/>
    <n v="31500000"/>
  </r>
  <r>
    <n v="762"/>
    <x v="578"/>
    <x v="477"/>
    <s v="FRE"/>
    <x v="0"/>
    <n v="0"/>
    <n v="500"/>
    <n v="500"/>
    <n v="3222055.0000000009"/>
    <n v="17500000"/>
  </r>
  <r>
    <n v="763"/>
    <x v="579"/>
    <x v="478"/>
    <s v="FRE"/>
    <x v="0"/>
    <n v="0"/>
    <n v="500"/>
    <n v="500"/>
    <n v="3222055.0000000009"/>
    <n v="17500000"/>
  </r>
  <r>
    <n v="764"/>
    <x v="580"/>
    <x v="479"/>
    <s v="FRE"/>
    <x v="0"/>
    <n v="0"/>
    <n v="500"/>
    <n v="500"/>
    <n v="3222055.0000000009"/>
    <n v="17500000"/>
  </r>
  <r>
    <n v="765"/>
    <x v="581"/>
    <x v="4"/>
    <m/>
    <x v="1"/>
    <n v="0"/>
    <n v="9400"/>
    <n v="9400"/>
    <n v="67949618.000000015"/>
    <n v="412000000"/>
  </r>
  <r>
    <n v="766"/>
    <x v="582"/>
    <x v="480"/>
    <s v="FRE"/>
    <x v="0"/>
    <n v="0"/>
    <n v="700"/>
    <n v="700"/>
    <n v="3120299"/>
    <n v="30100000"/>
  </r>
  <r>
    <n v="767"/>
    <x v="583"/>
    <x v="481"/>
    <s v="FRE"/>
    <x v="0"/>
    <n v="0"/>
    <n v="500"/>
    <n v="500"/>
    <n v="1646010"/>
    <n v="14500000"/>
  </r>
  <r>
    <n v="768"/>
    <x v="584"/>
    <x v="482"/>
    <s v="FRE"/>
    <x v="0"/>
    <n v="0"/>
    <n v="700"/>
    <n v="700"/>
    <n v="2307914"/>
    <n v="17500000"/>
  </r>
  <r>
    <n v="769"/>
    <x v="585"/>
    <x v="483"/>
    <s v="FRE"/>
    <x v="0"/>
    <n v="0"/>
    <n v="500"/>
    <n v="500"/>
    <n v="1646010"/>
    <n v="14500000"/>
  </r>
  <r>
    <n v="770"/>
    <x v="586"/>
    <x v="484"/>
    <s v="FRE"/>
    <x v="0"/>
    <n v="0"/>
    <n v="700"/>
    <n v="700"/>
    <n v="2307914"/>
    <n v="17500000"/>
  </r>
  <r>
    <n v="771"/>
    <x v="587"/>
    <x v="4"/>
    <m/>
    <x v="1"/>
    <n v="0"/>
    <n v="3100"/>
    <n v="3100"/>
    <n v="11028147"/>
    <n v="94100000"/>
  </r>
  <r>
    <n v="772"/>
    <x v="588"/>
    <x v="485"/>
    <s v="FRE"/>
    <x v="0"/>
    <n v="0"/>
    <n v="1200"/>
    <n v="1200"/>
    <n v="6656184"/>
    <n v="51600000"/>
  </r>
  <r>
    <n v="773"/>
    <x v="589"/>
    <x v="486"/>
    <s v="FRE"/>
    <x v="0"/>
    <n v="0"/>
    <n v="1200"/>
    <n v="1200"/>
    <n v="6617277.6000000006"/>
    <n v="46800000"/>
  </r>
  <r>
    <n v="774"/>
    <x v="590"/>
    <x v="487"/>
    <s v="FRE"/>
    <x v="0"/>
    <n v="0"/>
    <n v="1200"/>
    <n v="1200"/>
    <n v="5417366.3999999994"/>
    <n v="46800000"/>
  </r>
  <r>
    <n v="775"/>
    <x v="591"/>
    <x v="488"/>
    <s v="FRE"/>
    <x v="0"/>
    <n v="0"/>
    <n v="1000"/>
    <n v="1000"/>
    <n v="4519472"/>
    <n v="35000000"/>
  </r>
  <r>
    <n v="776"/>
    <x v="592"/>
    <x v="489"/>
    <s v="FRE"/>
    <x v="0"/>
    <n v="0"/>
    <n v="1200"/>
    <n v="1200"/>
    <n v="5417366.3999999994"/>
    <n v="46800000"/>
  </r>
  <r>
    <n v="777"/>
    <x v="593"/>
    <x v="490"/>
    <s v="FRE"/>
    <x v="0"/>
    <n v="0"/>
    <n v="1000"/>
    <n v="1000"/>
    <n v="4519472"/>
    <n v="35000000"/>
  </r>
  <r>
    <n v="778"/>
    <x v="594"/>
    <x v="491"/>
    <s v="FRE"/>
    <x v="0"/>
    <n v="0"/>
    <n v="700"/>
    <n v="700"/>
    <n v="2814686.0000000005"/>
    <n v="20300000"/>
  </r>
  <r>
    <n v="779"/>
    <x v="595"/>
    <x v="492"/>
    <s v="FRE"/>
    <x v="0"/>
    <n v="0"/>
    <n v="700"/>
    <n v="700"/>
    <n v="2814686.0000000005"/>
    <n v="20300000"/>
  </r>
  <r>
    <n v="780"/>
    <x v="596"/>
    <x v="493"/>
    <s v="FRE"/>
    <x v="0"/>
    <n v="0"/>
    <n v="500"/>
    <n v="500"/>
    <n v="2010490.0000000005"/>
    <n v="14500000"/>
  </r>
  <r>
    <n v="781"/>
    <x v="597"/>
    <x v="494"/>
    <s v="FRE"/>
    <x v="0"/>
    <n v="0"/>
    <n v="500"/>
    <n v="500"/>
    <n v="2010490.0000000005"/>
    <n v="14500000"/>
  </r>
  <r>
    <n v="782"/>
    <x v="598"/>
    <x v="495"/>
    <s v="FRE"/>
    <x v="0"/>
    <n v="0"/>
    <n v="700"/>
    <n v="700"/>
    <n v="3657843.0000000005"/>
    <n v="30100000"/>
  </r>
  <r>
    <n v="783"/>
    <x v="599"/>
    <x v="496"/>
    <s v="FRE"/>
    <x v="0"/>
    <n v="0"/>
    <n v="700"/>
    <n v="700"/>
    <n v="3657843.0000000005"/>
    <n v="30100000"/>
  </r>
  <r>
    <n v="784"/>
    <x v="600"/>
    <x v="497"/>
    <s v="FRE"/>
    <x v="0"/>
    <n v="0"/>
    <n v="700"/>
    <n v="700"/>
    <n v="3657843.0000000005"/>
    <n v="30100000"/>
  </r>
  <r>
    <n v="785"/>
    <x v="601"/>
    <x v="498"/>
    <s v="FRE"/>
    <x v="0"/>
    <n v="0"/>
    <n v="500"/>
    <n v="500"/>
    <n v="3248919.0000000005"/>
    <n v="22500000"/>
  </r>
  <r>
    <n v="786"/>
    <x v="602"/>
    <x v="499"/>
    <s v="FRE"/>
    <x v="0"/>
    <n v="0"/>
    <n v="500"/>
    <n v="500"/>
    <n v="3248919.0000000005"/>
    <n v="22500000"/>
  </r>
  <r>
    <n v="787"/>
    <x v="603"/>
    <x v="500"/>
    <s v="FRE"/>
    <x v="0"/>
    <n v="0"/>
    <n v="1500"/>
    <n v="1500"/>
    <n v="6677685"/>
    <n v="58500000"/>
  </r>
  <r>
    <n v="788"/>
    <x v="604"/>
    <x v="501"/>
    <s v="FRE"/>
    <x v="0"/>
    <n v="0"/>
    <n v="1000"/>
    <n v="1000"/>
    <n v="4451790"/>
    <n v="39000000"/>
  </r>
  <r>
    <n v="789"/>
    <x v="605"/>
    <x v="502"/>
    <s v="FRE"/>
    <x v="0"/>
    <n v="0"/>
    <n v="1500"/>
    <n v="1500"/>
    <n v="6677685"/>
    <n v="58500000"/>
  </r>
  <r>
    <n v="790"/>
    <x v="606"/>
    <x v="503"/>
    <s v="FRE"/>
    <x v="0"/>
    <n v="0"/>
    <n v="2000"/>
    <n v="2000"/>
    <n v="8903580"/>
    <n v="78000000"/>
  </r>
  <r>
    <n v="791"/>
    <x v="607"/>
    <x v="504"/>
    <s v="FRE"/>
    <x v="0"/>
    <n v="0"/>
    <n v="2000"/>
    <n v="2000"/>
    <n v="8903580"/>
    <n v="78000000"/>
  </r>
  <r>
    <n v="792"/>
    <x v="608"/>
    <x v="505"/>
    <s v="FRE"/>
    <x v="0"/>
    <n v="0"/>
    <n v="1000"/>
    <n v="1000"/>
    <n v="4451790"/>
    <n v="39000000"/>
  </r>
  <r>
    <n v="793"/>
    <x v="609"/>
    <x v="506"/>
    <s v="FRE"/>
    <x v="0"/>
    <n v="0"/>
    <n v="500"/>
    <n v="500"/>
    <n v="1785411.9999999998"/>
    <n v="21500000"/>
  </r>
  <r>
    <n v="794"/>
    <x v="610"/>
    <x v="507"/>
    <s v="FRE"/>
    <x v="0"/>
    <n v="0"/>
    <n v="500"/>
    <n v="500"/>
    <n v="1787911.9999999998"/>
    <n v="19500000"/>
  </r>
  <r>
    <n v="795"/>
    <x v="611"/>
    <x v="4"/>
    <m/>
    <x v="1"/>
    <n v="0"/>
    <n v="22300"/>
    <n v="22300"/>
    <n v="103908291.40000001"/>
    <n v="858900000"/>
  </r>
  <r>
    <n v="796"/>
    <x v="612"/>
    <x v="508"/>
    <s v="FRE"/>
    <x v="0"/>
    <n v="0"/>
    <n v="1000"/>
    <n v="1000"/>
    <n v="6237000"/>
    <n v="43000000"/>
  </r>
  <r>
    <n v="797"/>
    <x v="613"/>
    <x v="509"/>
    <s v="FRE"/>
    <x v="0"/>
    <n v="0"/>
    <n v="800"/>
    <n v="800"/>
    <n v="4989600"/>
    <n v="31200000"/>
  </r>
  <r>
    <n v="798"/>
    <x v="614"/>
    <x v="510"/>
    <s v="FRE"/>
    <x v="0"/>
    <n v="0"/>
    <n v="800"/>
    <n v="800"/>
    <n v="4989600"/>
    <n v="34400000"/>
  </r>
  <r>
    <n v="799"/>
    <x v="615"/>
    <x v="511"/>
    <s v="FRE"/>
    <x v="0"/>
    <n v="0"/>
    <n v="600"/>
    <n v="600"/>
    <n v="3742200"/>
    <n v="23400000"/>
  </r>
  <r>
    <n v="800"/>
    <x v="616"/>
    <x v="512"/>
    <s v="FRE"/>
    <x v="0"/>
    <n v="0"/>
    <n v="500"/>
    <n v="500"/>
    <n v="2089395"/>
    <n v="19500000"/>
  </r>
  <r>
    <n v="801"/>
    <x v="617"/>
    <x v="513"/>
    <s v="FRE"/>
    <x v="0"/>
    <n v="0"/>
    <n v="500"/>
    <n v="500"/>
    <n v="2089395"/>
    <n v="19500000"/>
  </r>
  <r>
    <n v="802"/>
    <x v="618"/>
    <x v="514"/>
    <s v="FRE"/>
    <x v="0"/>
    <n v="0"/>
    <n v="500"/>
    <n v="500"/>
    <n v="2120580"/>
    <n v="21500000"/>
  </r>
  <r>
    <n v="803"/>
    <x v="619"/>
    <x v="515"/>
    <s v="FRE"/>
    <x v="0"/>
    <n v="0"/>
    <n v="500"/>
    <n v="500"/>
    <n v="2120580"/>
    <n v="21500000"/>
  </r>
  <r>
    <n v="804"/>
    <x v="620"/>
    <x v="516"/>
    <s v="FRE"/>
    <x v="0"/>
    <n v="0"/>
    <n v="500"/>
    <n v="500"/>
    <n v="2744280.0000000005"/>
    <n v="22500000"/>
  </r>
  <r>
    <n v="805"/>
    <x v="621"/>
    <x v="517"/>
    <s v="FRE"/>
    <x v="0"/>
    <n v="0"/>
    <n v="700"/>
    <n v="700"/>
    <n v="2794176"/>
    <n v="27300000"/>
  </r>
  <r>
    <n v="806"/>
    <x v="622"/>
    <x v="518"/>
    <s v="FRE"/>
    <x v="0"/>
    <n v="0"/>
    <n v="700"/>
    <n v="700"/>
    <n v="2794176"/>
    <n v="24500000"/>
  </r>
  <r>
    <n v="807"/>
    <x v="623"/>
    <x v="519"/>
    <s v="FRE"/>
    <x v="0"/>
    <n v="0"/>
    <n v="700"/>
    <n v="700"/>
    <n v="2794176"/>
    <n v="27300000"/>
  </r>
  <r>
    <n v="808"/>
    <x v="624"/>
    <x v="520"/>
    <s v="FRE"/>
    <x v="0"/>
    <n v="0"/>
    <n v="700"/>
    <n v="700"/>
    <n v="2794176"/>
    <n v="24500000"/>
  </r>
  <r>
    <n v="809"/>
    <x v="625"/>
    <x v="521"/>
    <s v="FRE"/>
    <x v="0"/>
    <n v="0"/>
    <n v="800"/>
    <n v="800"/>
    <n v="4390848.0000000009"/>
    <n v="31200000"/>
  </r>
  <r>
    <n v="810"/>
    <x v="626"/>
    <x v="522"/>
    <s v="FRE"/>
    <x v="0"/>
    <n v="0"/>
    <n v="800"/>
    <n v="800"/>
    <n v="4390848.0000000009"/>
    <n v="28000000"/>
  </r>
  <r>
    <n v="811"/>
    <x v="627"/>
    <x v="523"/>
    <s v="FRE"/>
    <x v="0"/>
    <n v="0"/>
    <n v="1000"/>
    <n v="1000"/>
    <n v="5488560.0000000009"/>
    <n v="39000000"/>
  </r>
  <r>
    <n v="812"/>
    <x v="628"/>
    <x v="524"/>
    <s v="FRE"/>
    <x v="0"/>
    <n v="0"/>
    <n v="1000"/>
    <n v="1000"/>
    <n v="5488560.0000000009"/>
    <n v="35000000"/>
  </r>
  <r>
    <n v="813"/>
    <x v="629"/>
    <x v="525"/>
    <s v="FRE"/>
    <x v="0"/>
    <n v="0"/>
    <n v="1000"/>
    <n v="1000"/>
    <n v="5488560.0000000009"/>
    <n v="39000000"/>
  </r>
  <r>
    <n v="814"/>
    <x v="630"/>
    <x v="526"/>
    <s v="FRE"/>
    <x v="0"/>
    <n v="0"/>
    <n v="1000"/>
    <n v="1000"/>
    <n v="5488560.0000000009"/>
    <n v="35000000"/>
  </r>
  <r>
    <n v="815"/>
    <x v="631"/>
    <x v="527"/>
    <s v="FRE"/>
    <x v="0"/>
    <n v="0"/>
    <n v="1000"/>
    <n v="1000"/>
    <n v="5239080.0000000009"/>
    <n v="45000000"/>
  </r>
  <r>
    <n v="816"/>
    <x v="632"/>
    <x v="528"/>
    <s v="FRE"/>
    <x v="0"/>
    <n v="0"/>
    <n v="1000"/>
    <n v="1000"/>
    <n v="5239080.0000000009"/>
    <n v="45000000"/>
  </r>
  <r>
    <n v="817"/>
    <x v="633"/>
    <x v="529"/>
    <s v="FRE"/>
    <x v="0"/>
    <n v="0"/>
    <n v="700"/>
    <n v="700"/>
    <n v="5239080.0000000009"/>
    <n v="38500000"/>
  </r>
  <r>
    <n v="818"/>
    <x v="634"/>
    <x v="530"/>
    <s v="FRE"/>
    <x v="0"/>
    <n v="0"/>
    <n v="1000"/>
    <n v="1000"/>
    <n v="6486480.0000000009"/>
    <n v="39000000"/>
  </r>
  <r>
    <n v="819"/>
    <x v="635"/>
    <x v="531"/>
    <s v="FRE"/>
    <x v="0"/>
    <n v="0"/>
    <n v="1000"/>
    <n v="1000"/>
    <n v="6486480.0000000009"/>
    <n v="39000000"/>
  </r>
  <r>
    <n v="820"/>
    <x v="636"/>
    <x v="532"/>
    <s v="FRE"/>
    <x v="0"/>
    <n v="0"/>
    <n v="700"/>
    <n v="700"/>
    <n v="4103946.0000000005"/>
    <n v="30100000"/>
  </r>
  <r>
    <n v="821"/>
    <x v="637"/>
    <x v="4"/>
    <m/>
    <x v="1"/>
    <n v="0"/>
    <n v="19500"/>
    <n v="19500"/>
    <n v="105829416"/>
    <n v="783900000"/>
  </r>
  <r>
    <n v="822"/>
    <x v="638"/>
    <x v="533"/>
    <s v="FRE"/>
    <x v="0"/>
    <n v="0"/>
    <n v="500"/>
    <n v="500"/>
    <n v="2264915"/>
    <n v="24500000"/>
  </r>
  <r>
    <n v="823"/>
    <x v="639"/>
    <x v="534"/>
    <s v="FRE"/>
    <x v="0"/>
    <n v="0"/>
    <n v="500"/>
    <n v="500"/>
    <n v="2190071.0000000005"/>
    <n v="24500000"/>
  </r>
  <r>
    <n v="824"/>
    <x v="640"/>
    <x v="535"/>
    <s v="FRE"/>
    <x v="0"/>
    <n v="0"/>
    <n v="600"/>
    <n v="600"/>
    <n v="3077149.2"/>
    <n v="29400000"/>
  </r>
  <r>
    <n v="825"/>
    <x v="641"/>
    <x v="536"/>
    <s v="FRE"/>
    <x v="0"/>
    <n v="0"/>
    <n v="400"/>
    <n v="400"/>
    <n v="1392431.2000000002"/>
    <n v="18000000"/>
  </r>
  <r>
    <n v="826"/>
    <x v="642"/>
    <x v="537"/>
    <s v="FRE"/>
    <x v="0"/>
    <n v="0"/>
    <n v="800"/>
    <n v="800"/>
    <n v="3962408"/>
    <n v="39200000"/>
  </r>
  <r>
    <n v="827"/>
    <x v="643"/>
    <x v="538"/>
    <s v="FRE"/>
    <x v="0"/>
    <n v="0"/>
    <n v="600"/>
    <n v="600"/>
    <n v="2447898"/>
    <n v="29400000"/>
  </r>
  <r>
    <n v="828"/>
    <x v="644"/>
    <x v="539"/>
    <s v="FRE"/>
    <x v="0"/>
    <n v="0"/>
    <n v="600"/>
    <n v="600"/>
    <n v="2358085.2000000007"/>
    <n v="29400000"/>
  </r>
  <r>
    <n v="829"/>
    <x v="645"/>
    <x v="540"/>
    <s v="FRE"/>
    <x v="0"/>
    <n v="0"/>
    <n v="500"/>
    <n v="500"/>
    <n v="1890695.0000000002"/>
    <n v="24500000"/>
  </r>
  <r>
    <n v="830"/>
    <x v="646"/>
    <x v="541"/>
    <s v="FRE"/>
    <x v="0"/>
    <n v="0"/>
    <n v="400"/>
    <n v="400"/>
    <n v="1691807.2"/>
    <n v="18000000"/>
  </r>
  <r>
    <n v="831"/>
    <x v="647"/>
    <x v="542"/>
    <s v="FRE"/>
    <x v="0"/>
    <n v="0"/>
    <n v="600"/>
    <n v="600"/>
    <n v="2447898"/>
    <n v="29400000"/>
  </r>
  <r>
    <n v="832"/>
    <x v="648"/>
    <x v="4"/>
    <m/>
    <x v="1"/>
    <n v="0"/>
    <n v="5500"/>
    <n v="5500"/>
    <n v="23723357.800000001"/>
    <n v="266300000"/>
  </r>
  <r>
    <n v="833"/>
    <x v="649"/>
    <x v="543"/>
    <s v="FRE"/>
    <x v="0"/>
    <n v="0"/>
    <n v="500"/>
    <n v="500"/>
    <n v="2546100.0000000005"/>
    <n v="24500000"/>
  </r>
  <r>
    <n v="834"/>
    <x v="650"/>
    <x v="544"/>
    <s v="FRE"/>
    <x v="0"/>
    <n v="0"/>
    <n v="600"/>
    <n v="600"/>
    <n v="3055320.0000000005"/>
    <n v="29400000"/>
  </r>
  <r>
    <n v="835"/>
    <x v="651"/>
    <x v="545"/>
    <s v="FRE"/>
    <x v="0"/>
    <n v="0"/>
    <n v="600"/>
    <n v="600"/>
    <n v="2845320.0000000005"/>
    <n v="29400000"/>
  </r>
  <r>
    <n v="836"/>
    <x v="652"/>
    <x v="546"/>
    <s v="FRE"/>
    <x v="0"/>
    <n v="0"/>
    <n v="400"/>
    <n v="400"/>
    <n v="1896880.0000000002"/>
    <n v="18000000"/>
  </r>
  <r>
    <n v="837"/>
    <x v="653"/>
    <x v="547"/>
    <s v="FRE"/>
    <x v="0"/>
    <n v="0"/>
    <n v="400"/>
    <n v="400"/>
    <n v="1896880.0000000002"/>
    <n v="19600000"/>
  </r>
  <r>
    <n v="838"/>
    <x v="654"/>
    <x v="548"/>
    <s v="FRE"/>
    <x v="0"/>
    <n v="0"/>
    <n v="600"/>
    <n v="600"/>
    <n v="2845320.0000000005"/>
    <n v="29400000"/>
  </r>
  <r>
    <n v="839"/>
    <x v="655"/>
    <x v="549"/>
    <s v="FRE"/>
    <x v="0"/>
    <n v="0"/>
    <n v="800"/>
    <n v="800"/>
    <n v="4073760.0000000005"/>
    <n v="39200000"/>
  </r>
  <r>
    <n v="840"/>
    <x v="656"/>
    <x v="550"/>
    <s v="FRE"/>
    <x v="0"/>
    <n v="0"/>
    <n v="600"/>
    <n v="600"/>
    <n v="3055320.0000000005"/>
    <n v="29400000"/>
  </r>
  <r>
    <n v="841"/>
    <x v="657"/>
    <x v="551"/>
    <s v="FRE"/>
    <x v="0"/>
    <n v="0"/>
    <n v="600"/>
    <n v="600"/>
    <n v="3055320.0000000005"/>
    <n v="29400000"/>
  </r>
  <r>
    <n v="842"/>
    <x v="658"/>
    <x v="4"/>
    <m/>
    <x v="1"/>
    <n v="0"/>
    <n v="5100"/>
    <n v="5100"/>
    <n v="25270220.000000004"/>
    <n v="248300000"/>
  </r>
  <r>
    <n v="843"/>
    <x v="659"/>
    <x v="552"/>
    <s v="FRE"/>
    <x v="0"/>
    <n v="0"/>
    <n v="600"/>
    <n v="600"/>
    <n v="5387369.3527500005"/>
    <n v="27000000"/>
  </r>
  <r>
    <n v="844"/>
    <x v="660"/>
    <x v="553"/>
    <s v="FRE"/>
    <x v="0"/>
    <n v="0"/>
    <n v="600"/>
    <n v="600"/>
    <n v="5252977.5952500002"/>
    <n v="27000000"/>
  </r>
  <r>
    <n v="845"/>
    <x v="661"/>
    <x v="554"/>
    <s v="FRE"/>
    <x v="0"/>
    <n v="0"/>
    <n v="800"/>
    <n v="800"/>
    <n v="6809512.9410000006"/>
    <n v="36000000"/>
  </r>
  <r>
    <n v="846"/>
    <x v="662"/>
    <x v="555"/>
    <s v="FRE"/>
    <x v="0"/>
    <n v="0"/>
    <n v="600"/>
    <n v="600"/>
    <n v="5107134.7057500007"/>
    <n v="27000000"/>
  </r>
  <r>
    <n v="847"/>
    <x v="663"/>
    <x v="556"/>
    <s v="FRE"/>
    <x v="0"/>
    <n v="0"/>
    <n v="600"/>
    <n v="600"/>
    <n v="5512124.9452499999"/>
    <n v="29400000"/>
  </r>
  <r>
    <n v="848"/>
    <x v="664"/>
    <x v="557"/>
    <s v="FRE"/>
    <x v="0"/>
    <n v="0"/>
    <n v="600"/>
    <n v="600"/>
    <n v="5957630.5140000032"/>
    <n v="29400000"/>
  </r>
  <r>
    <n v="849"/>
    <x v="665"/>
    <x v="4"/>
    <m/>
    <x v="1"/>
    <n v="0"/>
    <n v="3800"/>
    <n v="3800"/>
    <n v="34026750.054000005"/>
    <n v="175800000"/>
  </r>
  <r>
    <n v="850"/>
    <x v="666"/>
    <x v="558"/>
    <s v="FRE"/>
    <x v="0"/>
    <n v="0"/>
    <n v="1200"/>
    <n v="1200"/>
    <n v="12037033.999999998"/>
    <n v="75600000"/>
  </r>
  <r>
    <n v="851"/>
    <x v="667"/>
    <x v="4"/>
    <m/>
    <x v="1"/>
    <n v="0"/>
    <n v="1200"/>
    <n v="1200"/>
    <n v="12037033.999999998"/>
    <n v="75600000"/>
  </r>
  <r>
    <n v="852"/>
    <x v="668"/>
    <x v="218"/>
    <s v="FRE"/>
    <x v="0"/>
    <n v="0"/>
    <n v="200"/>
    <n v="200"/>
    <n v="1970896.0000000002"/>
    <n v="11800000"/>
  </r>
  <r>
    <n v="853"/>
    <x v="669"/>
    <x v="219"/>
    <s v="FRE"/>
    <x v="0"/>
    <n v="0"/>
    <n v="200"/>
    <n v="200"/>
    <n v="1958896.0000000002"/>
    <n v="11000000"/>
  </r>
  <r>
    <n v="854"/>
    <x v="670"/>
    <x v="4"/>
    <m/>
    <x v="1"/>
    <n v="0"/>
    <n v="400"/>
    <n v="400"/>
    <n v="3929792.0000000005"/>
    <n v="22800000"/>
  </r>
  <r>
    <n v="855"/>
    <x v="671"/>
    <x v="252"/>
    <s v="FRE"/>
    <x v="0"/>
    <n v="0"/>
    <n v="400"/>
    <n v="400"/>
    <n v="3051656"/>
    <n v="19600000"/>
  </r>
  <r>
    <n v="856"/>
    <x v="672"/>
    <x v="253"/>
    <s v="FRE"/>
    <x v="0"/>
    <n v="0"/>
    <n v="400"/>
    <n v="400"/>
    <n v="3001760.0000000005"/>
    <n v="17200000"/>
  </r>
  <r>
    <n v="857"/>
    <x v="673"/>
    <x v="254"/>
    <s v="FRE"/>
    <x v="0"/>
    <n v="0"/>
    <n v="400"/>
    <n v="400"/>
    <n v="3051656"/>
    <n v="19600000"/>
  </r>
  <r>
    <n v="858"/>
    <x v="674"/>
    <x v="255"/>
    <s v="FRE"/>
    <x v="0"/>
    <n v="0"/>
    <n v="400"/>
    <n v="400"/>
    <n v="3001760.0000000005"/>
    <n v="17200000"/>
  </r>
  <r>
    <n v="859"/>
    <x v="675"/>
    <x v="256"/>
    <s v="FRE"/>
    <x v="0"/>
    <n v="0"/>
    <n v="400"/>
    <n v="400"/>
    <n v="3151448.0000000005"/>
    <n v="19600000"/>
  </r>
  <r>
    <n v="860"/>
    <x v="676"/>
    <x v="257"/>
    <s v="FRE"/>
    <x v="0"/>
    <n v="0"/>
    <n v="400"/>
    <n v="400"/>
    <n v="3101552.0000000005"/>
    <n v="17200000"/>
  </r>
  <r>
    <n v="861"/>
    <x v="677"/>
    <x v="258"/>
    <s v="FRE"/>
    <x v="0"/>
    <n v="0"/>
    <n v="200"/>
    <n v="200"/>
    <n v="1900048"/>
    <n v="9800000"/>
  </r>
  <r>
    <n v="862"/>
    <x v="678"/>
    <x v="4"/>
    <m/>
    <x v="1"/>
    <n v="0"/>
    <n v="2600"/>
    <n v="2600"/>
    <n v="20259880"/>
    <n v="120200000"/>
  </r>
  <r>
    <n v="863"/>
    <x v="679"/>
    <x v="289"/>
    <s v="FRE"/>
    <x v="0"/>
    <n v="0"/>
    <n v="500"/>
    <n v="500"/>
    <n v="4166666.666666666"/>
    <n v="27500000"/>
  </r>
  <r>
    <n v="864"/>
    <x v="680"/>
    <x v="290"/>
    <s v="FRE"/>
    <x v="0"/>
    <n v="0"/>
    <n v="300"/>
    <n v="300"/>
    <n v="2409090.9090909087"/>
    <n v="15900000"/>
  </r>
  <r>
    <n v="865"/>
    <x v="681"/>
    <x v="298"/>
    <s v="FRE"/>
    <x v="0"/>
    <n v="0"/>
    <n v="300"/>
    <n v="300"/>
    <n v="2954545.4545454546"/>
    <n v="19500000"/>
  </r>
  <r>
    <n v="866"/>
    <x v="682"/>
    <x v="4"/>
    <m/>
    <x v="1"/>
    <n v="0"/>
    <n v="1100"/>
    <n v="1100"/>
    <n v="9530303.0303030293"/>
    <n v="62900000"/>
  </r>
  <r>
    <n v="867"/>
    <x v="683"/>
    <x v="89"/>
    <s v="FRE"/>
    <x v="0"/>
    <n v="0"/>
    <n v="300"/>
    <n v="300"/>
    <n v="4022727.2727272725"/>
    <n v="17700000"/>
  </r>
  <r>
    <n v="868"/>
    <x v="684"/>
    <x v="90"/>
    <s v="FRE"/>
    <x v="0"/>
    <n v="0"/>
    <n v="200"/>
    <n v="200"/>
    <n v="2499999.9999999995"/>
    <n v="11000000"/>
  </r>
  <r>
    <n v="869"/>
    <x v="685"/>
    <x v="4"/>
    <m/>
    <x v="1"/>
    <n v="0"/>
    <n v="500"/>
    <n v="500"/>
    <n v="6522727.2727272715"/>
    <n v="28700000"/>
  </r>
  <r>
    <n v="870"/>
    <x v="686"/>
    <x v="31"/>
    <s v="FRE"/>
    <x v="0"/>
    <n v="0"/>
    <n v="500"/>
    <n v="500"/>
    <n v="3399165.0000000005"/>
    <n v="21500000"/>
  </r>
  <r>
    <n v="871"/>
    <x v="687"/>
    <x v="32"/>
    <s v="FRE"/>
    <x v="0"/>
    <n v="0"/>
    <n v="500"/>
    <n v="500"/>
    <n v="3399165.0000000005"/>
    <n v="21500000"/>
  </r>
  <r>
    <n v="872"/>
    <x v="688"/>
    <x v="4"/>
    <m/>
    <x v="1"/>
    <n v="0"/>
    <n v="1000"/>
    <n v="1000"/>
    <n v="6798330.0000000009"/>
    <n v="43000000"/>
  </r>
  <r>
    <n v="873"/>
    <x v="689"/>
    <x v="559"/>
    <s v="FRE"/>
    <x v="0"/>
    <n v="0"/>
    <n v="700"/>
    <n v="700"/>
    <n v="4307799.0000000009"/>
    <n v="30100000"/>
  </r>
  <r>
    <n v="874"/>
    <x v="690"/>
    <x v="560"/>
    <s v="FRE"/>
    <x v="0"/>
    <n v="0"/>
    <n v="700"/>
    <n v="700"/>
    <n v="3723799.0000000005"/>
    <n v="30100000"/>
  </r>
  <r>
    <n v="875"/>
    <x v="691"/>
    <x v="561"/>
    <s v="FRE"/>
    <x v="0"/>
    <n v="0"/>
    <n v="500"/>
    <n v="500"/>
    <n v="3234915"/>
    <n v="22500000"/>
  </r>
  <r>
    <n v="876"/>
    <x v="692"/>
    <x v="4"/>
    <m/>
    <x v="1"/>
    <n v="0"/>
    <n v="1900"/>
    <n v="1900"/>
    <n v="11266513.000000002"/>
    <n v="82700000"/>
  </r>
  <r>
    <n v="877"/>
    <x v="693"/>
    <x v="562"/>
    <s v="FRE"/>
    <x v="0"/>
    <n v="0"/>
    <n v="800"/>
    <n v="800"/>
    <n v="6381588.0000000009"/>
    <n v="39200000"/>
  </r>
  <r>
    <n v="878"/>
    <x v="694"/>
    <x v="563"/>
    <s v="FRE"/>
    <x v="0"/>
    <n v="0"/>
    <n v="800"/>
    <n v="800"/>
    <n v="6380188.0000000009"/>
    <n v="39200000"/>
  </r>
  <r>
    <n v="879"/>
    <x v="695"/>
    <x v="4"/>
    <m/>
    <x v="1"/>
    <n v="0"/>
    <n v="1600"/>
    <n v="1600"/>
    <n v="12761776.000000002"/>
    <n v="78400000"/>
  </r>
  <r>
    <n v="880"/>
    <x v="696"/>
    <x v="564"/>
    <s v="FRE"/>
    <x v="0"/>
    <n v="0"/>
    <n v="1000"/>
    <n v="1000"/>
    <n v="11598260"/>
    <n v="69000000"/>
  </r>
  <r>
    <n v="881"/>
    <x v="697"/>
    <x v="565"/>
    <s v="FRE"/>
    <x v="0"/>
    <n v="0"/>
    <n v="1000"/>
    <n v="1000"/>
    <n v="11182780"/>
    <n v="65000000"/>
  </r>
  <r>
    <n v="882"/>
    <x v="698"/>
    <x v="566"/>
    <s v="FRE"/>
    <x v="0"/>
    <n v="0"/>
    <n v="1500"/>
    <n v="1500"/>
    <n v="16401170.000000002"/>
    <n v="88500000"/>
  </r>
  <r>
    <n v="883"/>
    <x v="699"/>
    <x v="567"/>
    <s v="FRE"/>
    <x v="0"/>
    <n v="0"/>
    <n v="1500"/>
    <n v="1500"/>
    <n v="15473140.000000002"/>
    <n v="82500000"/>
  </r>
  <r>
    <n v="884"/>
    <x v="700"/>
    <x v="568"/>
    <s v="FRE"/>
    <x v="0"/>
    <n v="0"/>
    <n v="800"/>
    <n v="800"/>
    <n v="8870646"/>
    <n v="47200000"/>
  </r>
  <r>
    <n v="885"/>
    <x v="701"/>
    <x v="569"/>
    <s v="FRE"/>
    <x v="0"/>
    <n v="0"/>
    <n v="800"/>
    <n v="800"/>
    <n v="8440758"/>
    <n v="44000000"/>
  </r>
  <r>
    <n v="886"/>
    <x v="702"/>
    <x v="4"/>
    <m/>
    <x v="1"/>
    <n v="0"/>
    <n v="6600"/>
    <n v="6600"/>
    <n v="71966754"/>
    <n v="396200000"/>
  </r>
  <r>
    <n v="887"/>
    <x v="703"/>
    <x v="570"/>
    <s v="FRE"/>
    <x v="0"/>
    <n v="0"/>
    <n v="1000"/>
    <n v="1000"/>
    <n v="9001280"/>
    <n v="49000000"/>
  </r>
  <r>
    <n v="888"/>
    <x v="704"/>
    <x v="571"/>
    <s v="FRE"/>
    <x v="0"/>
    <n v="0"/>
    <n v="1000"/>
    <n v="1000"/>
    <n v="9001280"/>
    <n v="43000000"/>
  </r>
  <r>
    <n v="889"/>
    <x v="705"/>
    <x v="4"/>
    <m/>
    <x v="1"/>
    <n v="0"/>
    <n v="2000"/>
    <n v="2000"/>
    <n v="18002560"/>
    <n v="92000000"/>
  </r>
  <r>
    <n v="890"/>
    <x v="706"/>
    <x v="180"/>
    <s v="FRE"/>
    <x v="0"/>
    <n v="0"/>
    <n v="2000"/>
    <n v="2000"/>
    <n v="12518380.000000002"/>
    <n v="98000000"/>
  </r>
  <r>
    <n v="891"/>
    <x v="707"/>
    <x v="572"/>
    <s v="FRE"/>
    <x v="0"/>
    <n v="0"/>
    <n v="2000"/>
    <n v="2000"/>
    <n v="12144160.000000002"/>
    <n v="86000000"/>
  </r>
  <r>
    <n v="892"/>
    <x v="708"/>
    <x v="4"/>
    <m/>
    <x v="1"/>
    <n v="0"/>
    <n v="4000"/>
    <n v="4000"/>
    <n v="24662540.000000004"/>
    <n v="184000000"/>
  </r>
  <r>
    <n v="893"/>
    <x v="709"/>
    <x v="573"/>
    <s v="FRE"/>
    <x v="0"/>
    <n v="0"/>
    <n v="1000"/>
    <n v="1000"/>
    <n v="6673590"/>
    <n v="45000000"/>
  </r>
  <r>
    <n v="894"/>
    <x v="710"/>
    <x v="4"/>
    <m/>
    <x v="1"/>
    <n v="0"/>
    <n v="1000"/>
    <n v="1000"/>
    <n v="6673590"/>
    <n v="45000000"/>
  </r>
  <r>
    <n v="895"/>
    <x v="711"/>
    <x v="574"/>
    <s v="FRE"/>
    <x v="0"/>
    <n v="0"/>
    <n v="700"/>
    <n v="700"/>
    <n v="7795454.5454545449"/>
    <n v="34300000"/>
  </r>
  <r>
    <n v="896"/>
    <x v="712"/>
    <x v="4"/>
    <m/>
    <x v="1"/>
    <n v="0"/>
    <n v="700"/>
    <n v="700"/>
    <n v="7795454.5454545449"/>
    <n v="34300000"/>
  </r>
  <r>
    <n v="897"/>
    <x v="713"/>
    <x v="575"/>
    <s v="OSS"/>
    <x v="0"/>
    <n v="0"/>
    <n v="250"/>
    <n v="250"/>
    <n v="8516187.5"/>
    <n v="39750000"/>
  </r>
  <r>
    <n v="898"/>
    <x v="713"/>
    <x v="575"/>
    <s v="OMM"/>
    <x v="0"/>
    <n v="0"/>
    <n v="300"/>
    <n v="300"/>
    <n v="10219425"/>
    <n v="47700000"/>
  </r>
  <r>
    <n v="899"/>
    <x v="713"/>
    <x v="575"/>
    <s v="OLL"/>
    <x v="0"/>
    <n v="0"/>
    <n v="250"/>
    <n v="250"/>
    <n v="8516187.5"/>
    <n v="39750000"/>
  </r>
  <r>
    <n v="900"/>
    <x v="714"/>
    <x v="576"/>
    <s v="OXS"/>
    <x v="0"/>
    <n v="0"/>
    <n v="250"/>
    <n v="250"/>
    <n v="6798125"/>
    <n v="34750000"/>
  </r>
  <r>
    <n v="901"/>
    <x v="714"/>
    <x v="576"/>
    <s v="OMM"/>
    <x v="0"/>
    <n v="0"/>
    <n v="300"/>
    <n v="300"/>
    <n v="8157750"/>
    <n v="41700000"/>
  </r>
  <r>
    <n v="902"/>
    <x v="714"/>
    <x v="576"/>
    <s v="OXL"/>
    <x v="0"/>
    <n v="0"/>
    <n v="250"/>
    <n v="250"/>
    <n v="6798125"/>
    <n v="34750000"/>
  </r>
  <r>
    <n v="903"/>
    <x v="715"/>
    <x v="4"/>
    <m/>
    <x v="1"/>
    <n v="0"/>
    <n v="1600"/>
    <n v="1600"/>
    <n v="49005800"/>
    <n v="238400000"/>
  </r>
  <r>
    <n v="904"/>
    <x v="716"/>
    <x v="577"/>
    <s v="OSS"/>
    <x v="0"/>
    <n v="0"/>
    <n v="400"/>
    <n v="400"/>
    <n v="8808000"/>
    <n v="35600000"/>
  </r>
  <r>
    <n v="905"/>
    <x v="716"/>
    <x v="577"/>
    <s v="OMM"/>
    <x v="0"/>
    <n v="0"/>
    <n v="300"/>
    <n v="300"/>
    <n v="6606000"/>
    <n v="26700000"/>
  </r>
  <r>
    <n v="906"/>
    <x v="716"/>
    <x v="577"/>
    <s v="OLL"/>
    <x v="0"/>
    <n v="0"/>
    <n v="300"/>
    <n v="300"/>
    <n v="6606000"/>
    <n v="26700000"/>
  </r>
  <r>
    <n v="907"/>
    <x v="717"/>
    <x v="578"/>
    <s v="OXS"/>
    <x v="0"/>
    <n v="0"/>
    <n v="300"/>
    <n v="300"/>
    <n v="5736000"/>
    <n v="23700000"/>
  </r>
  <r>
    <n v="908"/>
    <x v="717"/>
    <x v="578"/>
    <s v="OMM"/>
    <x v="0"/>
    <n v="0"/>
    <n v="400"/>
    <n v="400"/>
    <n v="7648000"/>
    <n v="31600000"/>
  </r>
  <r>
    <n v="909"/>
    <x v="717"/>
    <x v="578"/>
    <s v="OXL"/>
    <x v="0"/>
    <n v="0"/>
    <n v="300"/>
    <n v="300"/>
    <n v="5736000"/>
    <n v="23700000"/>
  </r>
  <r>
    <n v="910"/>
    <x v="718"/>
    <x v="579"/>
    <s v="OSS"/>
    <x v="0"/>
    <n v="0"/>
    <n v="400"/>
    <n v="400"/>
    <n v="9208000"/>
    <n v="35600000"/>
  </r>
  <r>
    <n v="911"/>
    <x v="718"/>
    <x v="579"/>
    <s v="OMM"/>
    <x v="0"/>
    <n v="0"/>
    <n v="300"/>
    <n v="300"/>
    <n v="6906000"/>
    <n v="26700000"/>
  </r>
  <r>
    <n v="912"/>
    <x v="718"/>
    <x v="579"/>
    <s v="OLL"/>
    <x v="0"/>
    <n v="0"/>
    <n v="300"/>
    <n v="300"/>
    <n v="6906000"/>
    <n v="26700000"/>
  </r>
  <r>
    <n v="913"/>
    <x v="719"/>
    <x v="580"/>
    <s v="OXS"/>
    <x v="0"/>
    <n v="0"/>
    <n v="300"/>
    <n v="300"/>
    <n v="6006000"/>
    <n v="23700000"/>
  </r>
  <r>
    <n v="914"/>
    <x v="719"/>
    <x v="580"/>
    <s v="OMM"/>
    <x v="0"/>
    <n v="0"/>
    <n v="400"/>
    <n v="400"/>
    <n v="8008000"/>
    <n v="31600000"/>
  </r>
  <r>
    <n v="915"/>
    <x v="719"/>
    <x v="580"/>
    <s v="OXL"/>
    <x v="0"/>
    <n v="0"/>
    <n v="300"/>
    <n v="300"/>
    <n v="6006000"/>
    <n v="23700000"/>
  </r>
  <r>
    <n v="916"/>
    <x v="720"/>
    <x v="4"/>
    <m/>
    <x v="1"/>
    <n v="0"/>
    <n v="4000"/>
    <n v="4000"/>
    <n v="84180000"/>
    <n v="336000000"/>
  </r>
  <r>
    <n v="917"/>
    <x v="721"/>
    <x v="581"/>
    <s v="FRE"/>
    <x v="0"/>
    <n v="0"/>
    <n v="1000"/>
    <n v="1000"/>
    <n v="13409090.909090908"/>
    <n v="59000000"/>
  </r>
  <r>
    <n v="918"/>
    <x v="722"/>
    <x v="4"/>
    <m/>
    <x v="1"/>
    <n v="0"/>
    <n v="1000"/>
    <n v="1000"/>
    <n v="13409090.909090908"/>
    <n v="59000000"/>
  </r>
  <r>
    <n v="919"/>
    <x v="723"/>
    <x v="582"/>
    <s v="FRE"/>
    <x v="0"/>
    <n v="0"/>
    <n v="3000"/>
    <n v="3000"/>
    <n v="12215040"/>
    <n v="147000000"/>
  </r>
  <r>
    <n v="920"/>
    <x v="724"/>
    <x v="583"/>
    <s v="OSM"/>
    <x v="0"/>
    <n v="0"/>
    <n v="1500"/>
    <n v="1500"/>
    <n v="5673300.0000000009"/>
    <n v="73500000"/>
  </r>
  <r>
    <n v="921"/>
    <x v="724"/>
    <x v="583"/>
    <s v="OML"/>
    <x v="0"/>
    <n v="0"/>
    <n v="1500"/>
    <n v="1500"/>
    <n v="5673300.0000000009"/>
    <n v="73500000"/>
  </r>
  <r>
    <n v="922"/>
    <x v="724"/>
    <x v="583"/>
    <s v="LXL"/>
    <x v="0"/>
    <n v="0"/>
    <n v="500"/>
    <n v="500"/>
    <n v="1891100.0000000005"/>
    <n v="24500000"/>
  </r>
  <r>
    <n v="923"/>
    <x v="725"/>
    <x v="4"/>
    <m/>
    <x v="1"/>
    <n v="0"/>
    <n v="6500"/>
    <n v="6500"/>
    <n v="25452740"/>
    <n v="318500000"/>
  </r>
  <r>
    <n v="924"/>
    <x v="726"/>
    <x v="584"/>
    <s v="OSM"/>
    <x v="0"/>
    <n v="0"/>
    <n v="800"/>
    <n v="800"/>
    <n v="3025760.0000000005"/>
    <n v="39200000"/>
  </r>
  <r>
    <n v="925"/>
    <x v="726"/>
    <x v="584"/>
    <s v="OML"/>
    <x v="0"/>
    <n v="0"/>
    <n v="500"/>
    <n v="500"/>
    <n v="1891100.0000000005"/>
    <n v="24500000"/>
  </r>
  <r>
    <n v="926"/>
    <x v="726"/>
    <x v="584"/>
    <s v="LXL"/>
    <x v="0"/>
    <n v="0"/>
    <n v="200"/>
    <n v="200"/>
    <n v="756440.00000000012"/>
    <n v="9800000"/>
  </r>
  <r>
    <n v="927"/>
    <x v="727"/>
    <x v="585"/>
    <s v="OSM"/>
    <x v="0"/>
    <n v="0"/>
    <n v="800"/>
    <n v="800"/>
    <n v="3025760.0000000005"/>
    <n v="39200000"/>
  </r>
  <r>
    <n v="928"/>
    <x v="727"/>
    <x v="585"/>
    <s v="OML"/>
    <x v="0"/>
    <n v="0"/>
    <n v="1000"/>
    <n v="1000"/>
    <n v="3782200.0000000009"/>
    <n v="49000000"/>
  </r>
  <r>
    <n v="929"/>
    <x v="728"/>
    <x v="586"/>
    <s v="OSM"/>
    <x v="0"/>
    <n v="0"/>
    <n v="500"/>
    <n v="500"/>
    <n v="1661620.0000000002"/>
    <n v="24500000"/>
  </r>
  <r>
    <n v="930"/>
    <x v="728"/>
    <x v="586"/>
    <s v="OML"/>
    <x v="0"/>
    <n v="0"/>
    <n v="800"/>
    <n v="800"/>
    <n v="2658592.0000000005"/>
    <n v="39200000"/>
  </r>
  <r>
    <n v="931"/>
    <x v="728"/>
    <x v="586"/>
    <s v="LXL"/>
    <x v="0"/>
    <n v="0"/>
    <n v="200"/>
    <n v="200"/>
    <n v="664648.00000000012"/>
    <n v="9800000"/>
  </r>
  <r>
    <n v="932"/>
    <x v="729"/>
    <x v="4"/>
    <m/>
    <x v="1"/>
    <n v="0"/>
    <n v="4800"/>
    <n v="4800"/>
    <n v="17466120.000000004"/>
    <n v="235200000"/>
  </r>
  <r>
    <n v="933"/>
    <x v="730"/>
    <x v="587"/>
    <s v="FRE"/>
    <x v="0"/>
    <n v="0"/>
    <n v="3000"/>
    <n v="3000"/>
    <n v="18944250"/>
    <n v="147000000"/>
  </r>
  <r>
    <n v="934"/>
    <x v="731"/>
    <x v="588"/>
    <s v="FRE"/>
    <x v="0"/>
    <n v="0"/>
    <n v="3000"/>
    <n v="3000"/>
    <n v="18597750"/>
    <n v="129000000"/>
  </r>
  <r>
    <n v="935"/>
    <x v="732"/>
    <x v="589"/>
    <s v="FRE"/>
    <x v="0"/>
    <n v="0"/>
    <n v="3000"/>
    <n v="3000"/>
    <n v="16518750"/>
    <n v="129000000"/>
  </r>
  <r>
    <n v="936"/>
    <x v="733"/>
    <x v="4"/>
    <m/>
    <x v="1"/>
    <n v="0"/>
    <n v="9000"/>
    <n v="9000"/>
    <n v="54060750"/>
    <n v="405000000"/>
  </r>
  <r>
    <n v="937"/>
    <x v="734"/>
    <x v="241"/>
    <s v="FRE"/>
    <x v="0"/>
    <n v="0"/>
    <n v="1200"/>
    <n v="1200"/>
    <n v="7854900.0000000009"/>
    <n v="66000000"/>
  </r>
  <r>
    <n v="938"/>
    <x v="735"/>
    <x v="4"/>
    <m/>
    <x v="1"/>
    <n v="0"/>
    <n v="1200"/>
    <n v="1200"/>
    <n v="7854900.0000000009"/>
    <n v="66000000"/>
  </r>
  <r>
    <n v="939"/>
    <x v="736"/>
    <x v="590"/>
    <s v="OSM"/>
    <x v="0"/>
    <n v="0"/>
    <n v="1200"/>
    <n v="1200"/>
    <n v="15600000"/>
    <n v="70800000"/>
  </r>
  <r>
    <n v="940"/>
    <x v="736"/>
    <x v="590"/>
    <s v="OML"/>
    <x v="0"/>
    <n v="0"/>
    <n v="300"/>
    <n v="300"/>
    <n v="3900000"/>
    <n v="17700000"/>
  </r>
  <r>
    <n v="941"/>
    <x v="736"/>
    <x v="590"/>
    <s v="LXL"/>
    <x v="0"/>
    <n v="0"/>
    <n v="100"/>
    <n v="100"/>
    <n v="1300000"/>
    <n v="5900000"/>
  </r>
  <r>
    <n v="942"/>
    <x v="737"/>
    <x v="591"/>
    <s v="FRE"/>
    <x v="0"/>
    <n v="0"/>
    <n v="1000"/>
    <n v="1000"/>
    <n v="12500000"/>
    <n v="55000000"/>
  </r>
  <r>
    <n v="943"/>
    <x v="738"/>
    <x v="592"/>
    <s v="FRE"/>
    <x v="0"/>
    <n v="0"/>
    <n v="1000"/>
    <n v="1000"/>
    <n v="12500000"/>
    <n v="55000000"/>
  </r>
  <r>
    <n v="944"/>
    <x v="739"/>
    <x v="4"/>
    <m/>
    <x v="1"/>
    <n v="0"/>
    <n v="3600"/>
    <n v="3600"/>
    <n v="45800000"/>
    <n v="204400000"/>
  </r>
  <r>
    <n v="945"/>
    <x v="740"/>
    <x v="593"/>
    <s v="OSM"/>
    <x v="0"/>
    <n v="0"/>
    <n v="750"/>
    <n v="750"/>
    <n v="9375000"/>
    <n v="44250000"/>
  </r>
  <r>
    <n v="946"/>
    <x v="740"/>
    <x v="593"/>
    <s v="OML"/>
    <x v="0"/>
    <n v="0"/>
    <n v="150"/>
    <n v="150"/>
    <n v="1875000"/>
    <n v="8850000"/>
  </r>
  <r>
    <n v="947"/>
    <x v="740"/>
    <x v="593"/>
    <s v="LXL"/>
    <x v="0"/>
    <n v="0"/>
    <n v="100"/>
    <n v="100"/>
    <n v="1250000"/>
    <n v="5900000"/>
  </r>
  <r>
    <n v="948"/>
    <x v="741"/>
    <x v="594"/>
    <s v="FRE"/>
    <x v="0"/>
    <n v="0"/>
    <n v="1000"/>
    <n v="1000"/>
    <n v="13000000"/>
    <n v="55000000"/>
  </r>
  <r>
    <n v="949"/>
    <x v="742"/>
    <x v="4"/>
    <m/>
    <x v="1"/>
    <n v="0"/>
    <n v="2000"/>
    <n v="2000"/>
    <n v="25500000"/>
    <n v="114000000"/>
  </r>
  <r>
    <n v="950"/>
    <x v="743"/>
    <x v="595"/>
    <s v="FRE"/>
    <x v="0"/>
    <n v="0"/>
    <n v="1000"/>
    <n v="1000"/>
    <n v="6314750"/>
    <n v="45000000"/>
  </r>
  <r>
    <n v="951"/>
    <x v="744"/>
    <x v="596"/>
    <s v="FRE"/>
    <x v="0"/>
    <n v="0"/>
    <n v="700"/>
    <n v="700"/>
    <n v="4904199.9999999991"/>
    <n v="34300000"/>
  </r>
  <r>
    <n v="952"/>
    <x v="745"/>
    <x v="597"/>
    <s v="FRE"/>
    <x v="0"/>
    <n v="0"/>
    <n v="500"/>
    <n v="500"/>
    <n v="3300875"/>
    <n v="24500000"/>
  </r>
  <r>
    <n v="953"/>
    <x v="746"/>
    <x v="598"/>
    <s v="FRE"/>
    <x v="0"/>
    <n v="0"/>
    <n v="1500"/>
    <n v="1500"/>
    <n v="8692500"/>
    <n v="73500000"/>
  </r>
  <r>
    <n v="954"/>
    <x v="747"/>
    <x v="599"/>
    <s v="FRE"/>
    <x v="0"/>
    <n v="0"/>
    <n v="1500"/>
    <n v="1500"/>
    <n v="9902625"/>
    <n v="64500000"/>
  </r>
  <r>
    <n v="955"/>
    <x v="748"/>
    <x v="600"/>
    <s v="FRE"/>
    <x v="0"/>
    <n v="0"/>
    <n v="1500"/>
    <n v="1500"/>
    <n v="6960000"/>
    <n v="67500000"/>
  </r>
  <r>
    <n v="956"/>
    <x v="749"/>
    <x v="601"/>
    <s v="FRE"/>
    <x v="0"/>
    <n v="0"/>
    <n v="1500"/>
    <n v="1500"/>
    <n v="9296250.0000000019"/>
    <n v="73500000"/>
  </r>
  <r>
    <n v="957"/>
    <x v="750"/>
    <x v="602"/>
    <s v="FRE"/>
    <x v="0"/>
    <n v="0"/>
    <n v="500"/>
    <n v="500"/>
    <n v="3271999.9999999995"/>
    <n v="21500000"/>
  </r>
  <r>
    <n v="958"/>
    <x v="751"/>
    <x v="4"/>
    <m/>
    <x v="1"/>
    <n v="0"/>
    <n v="8700"/>
    <n v="8700"/>
    <n v="52643200"/>
    <n v="404300000"/>
  </r>
  <r>
    <n v="959"/>
    <x v="752"/>
    <x v="603"/>
    <s v="FRE"/>
    <x v="0"/>
    <n v="0"/>
    <n v="1000"/>
    <n v="1000"/>
    <n v="9020000"/>
    <n v="55000000"/>
  </r>
  <r>
    <n v="960"/>
    <x v="753"/>
    <x v="4"/>
    <m/>
    <x v="1"/>
    <n v="0"/>
    <n v="1000"/>
    <n v="1000"/>
    <n v="9020000"/>
    <n v="55000000"/>
  </r>
  <r>
    <n v="961"/>
    <x v="754"/>
    <x v="604"/>
    <s v="FRE"/>
    <x v="0"/>
    <n v="0"/>
    <n v="500"/>
    <n v="500"/>
    <n v="4910000"/>
    <n v="24500000"/>
  </r>
  <r>
    <n v="962"/>
    <x v="755"/>
    <x v="605"/>
    <s v="FRE"/>
    <x v="0"/>
    <n v="0"/>
    <n v="500"/>
    <n v="500"/>
    <n v="4910000"/>
    <n v="24500000"/>
  </r>
  <r>
    <n v="963"/>
    <x v="756"/>
    <x v="4"/>
    <m/>
    <x v="1"/>
    <n v="0"/>
    <n v="1000"/>
    <n v="1000"/>
    <n v="9820000"/>
    <n v="49000000"/>
  </r>
  <r>
    <n v="964"/>
    <x v="757"/>
    <x v="606"/>
    <s v="FRE"/>
    <x v="0"/>
    <n v="0"/>
    <n v="700"/>
    <n v="700"/>
    <n v="4810575.0000000009"/>
    <n v="30100000"/>
  </r>
  <r>
    <n v="965"/>
    <x v="758"/>
    <x v="607"/>
    <s v="FRE"/>
    <x v="0"/>
    <n v="0"/>
    <n v="700"/>
    <n v="700"/>
    <n v="4931850.0000000009"/>
    <n v="30100000"/>
  </r>
  <r>
    <n v="966"/>
    <x v="759"/>
    <x v="608"/>
    <s v="FRE"/>
    <x v="0"/>
    <n v="0"/>
    <n v="500"/>
    <n v="500"/>
    <n v="3436125.0000000005"/>
    <n v="21500000"/>
  </r>
  <r>
    <n v="967"/>
    <x v="760"/>
    <x v="609"/>
    <s v="FRE"/>
    <x v="0"/>
    <n v="0"/>
    <n v="500"/>
    <n v="500"/>
    <n v="3436125.0000000005"/>
    <n v="21500000"/>
  </r>
  <r>
    <n v="968"/>
    <x v="761"/>
    <x v="610"/>
    <s v="FRE"/>
    <x v="0"/>
    <n v="0"/>
    <n v="500"/>
    <n v="500"/>
    <n v="3436125.0000000005"/>
    <n v="21500000"/>
  </r>
  <r>
    <n v="969"/>
    <x v="762"/>
    <x v="611"/>
    <s v="FRE"/>
    <x v="0"/>
    <n v="0"/>
    <n v="700"/>
    <n v="700"/>
    <n v="5619075"/>
    <n v="31500000"/>
  </r>
  <r>
    <n v="970"/>
    <x v="763"/>
    <x v="612"/>
    <s v="FRE"/>
    <x v="0"/>
    <n v="0"/>
    <n v="700"/>
    <n v="700"/>
    <n v="5174400.0000000009"/>
    <n v="31500000"/>
  </r>
  <r>
    <n v="971"/>
    <x v="764"/>
    <x v="613"/>
    <s v="FRE"/>
    <x v="0"/>
    <n v="0"/>
    <n v="700"/>
    <n v="700"/>
    <n v="5012700.0000000009"/>
    <n v="31500000"/>
  </r>
  <r>
    <n v="972"/>
    <x v="765"/>
    <x v="614"/>
    <s v="OXS"/>
    <x v="0"/>
    <n v="0"/>
    <n v="100"/>
    <n v="100"/>
    <n v="681450"/>
    <n v="4500000"/>
  </r>
  <r>
    <n v="973"/>
    <x v="765"/>
    <x v="614"/>
    <s v="OSM"/>
    <x v="0"/>
    <n v="0"/>
    <n v="200"/>
    <n v="200"/>
    <n v="1362900"/>
    <n v="9000000"/>
  </r>
  <r>
    <n v="974"/>
    <x v="765"/>
    <x v="614"/>
    <s v="OML"/>
    <x v="0"/>
    <n v="0"/>
    <n v="200"/>
    <n v="200"/>
    <n v="1362900"/>
    <n v="9000000"/>
  </r>
  <r>
    <n v="975"/>
    <x v="766"/>
    <x v="615"/>
    <s v="OXS"/>
    <x v="0"/>
    <n v="0"/>
    <n v="200"/>
    <n v="200"/>
    <n v="1374450.0000000002"/>
    <n v="9000000"/>
  </r>
  <r>
    <n v="976"/>
    <x v="766"/>
    <x v="615"/>
    <s v="OSM"/>
    <x v="0"/>
    <n v="0"/>
    <n v="200"/>
    <n v="200"/>
    <n v="1374450.0000000002"/>
    <n v="9000000"/>
  </r>
  <r>
    <n v="977"/>
    <x v="766"/>
    <x v="615"/>
    <s v="OML"/>
    <x v="0"/>
    <n v="0"/>
    <n v="100"/>
    <n v="100"/>
    <n v="687225.00000000012"/>
    <n v="4500000"/>
  </r>
  <r>
    <n v="978"/>
    <x v="767"/>
    <x v="616"/>
    <s v="FRE"/>
    <x v="0"/>
    <n v="0"/>
    <n v="700"/>
    <n v="700"/>
    <n v="4689300"/>
    <n v="34300000"/>
  </r>
  <r>
    <n v="979"/>
    <x v="768"/>
    <x v="617"/>
    <s v="FRE"/>
    <x v="0"/>
    <n v="0"/>
    <n v="700"/>
    <n v="700"/>
    <n v="5174400.0000000009"/>
    <n v="34300000"/>
  </r>
  <r>
    <n v="980"/>
    <x v="769"/>
    <x v="618"/>
    <s v="FRE"/>
    <x v="0"/>
    <n v="0"/>
    <n v="700"/>
    <n v="700"/>
    <n v="4851000.0000000009"/>
    <n v="34300000"/>
  </r>
  <r>
    <n v="981"/>
    <x v="770"/>
    <x v="619"/>
    <s v="FRE"/>
    <x v="0"/>
    <n v="0"/>
    <n v="700"/>
    <n v="700"/>
    <n v="4851000.0000000009"/>
    <n v="34300000"/>
  </r>
  <r>
    <n v="982"/>
    <x v="771"/>
    <x v="620"/>
    <s v="FRE"/>
    <x v="0"/>
    <n v="0"/>
    <n v="700"/>
    <n v="700"/>
    <n v="5012700.0000000009"/>
    <n v="34300000"/>
  </r>
  <r>
    <n v="983"/>
    <x v="772"/>
    <x v="621"/>
    <s v="FRE"/>
    <x v="0"/>
    <n v="0"/>
    <n v="700"/>
    <n v="700"/>
    <n v="4972275.0000000009"/>
    <n v="34300000"/>
  </r>
  <r>
    <n v="984"/>
    <x v="773"/>
    <x v="622"/>
    <s v="FRE"/>
    <x v="0"/>
    <n v="0"/>
    <n v="700"/>
    <n v="700"/>
    <n v="4851000.0000000009"/>
    <n v="34300000"/>
  </r>
  <r>
    <n v="985"/>
    <x v="774"/>
    <x v="623"/>
    <s v="FRE"/>
    <x v="0"/>
    <n v="0"/>
    <n v="700"/>
    <n v="700"/>
    <n v="4972275.0000000009"/>
    <n v="34300000"/>
  </r>
  <r>
    <n v="986"/>
    <x v="775"/>
    <x v="4"/>
    <m/>
    <x v="1"/>
    <n v="0"/>
    <n v="11600"/>
    <n v="11600"/>
    <n v="82074300.000000015"/>
    <n v="538600000"/>
  </r>
  <r>
    <n v="987"/>
    <x v="776"/>
    <x v="624"/>
    <s v="OSS"/>
    <x v="2"/>
    <n v="0"/>
    <n v="24"/>
    <n v="24"/>
    <n v="418181.81818181812"/>
    <n v="1656000"/>
  </r>
  <r>
    <n v="988"/>
    <x v="776"/>
    <x v="624"/>
    <s v="OMM"/>
    <x v="2"/>
    <n v="0"/>
    <n v="48"/>
    <n v="48"/>
    <n v="836363.63636363624"/>
    <n v="3312000"/>
  </r>
  <r>
    <n v="989"/>
    <x v="776"/>
    <x v="624"/>
    <s v="OLL"/>
    <x v="2"/>
    <n v="0"/>
    <n v="24"/>
    <n v="24"/>
    <n v="418181.81818181812"/>
    <n v="1656000"/>
  </r>
  <r>
    <n v="990"/>
    <x v="777"/>
    <x v="625"/>
    <s v="OSS"/>
    <x v="2"/>
    <n v="0"/>
    <n v="20"/>
    <n v="20"/>
    <n v="348484.84848484839"/>
    <n v="1380000"/>
  </r>
  <r>
    <n v="991"/>
    <x v="777"/>
    <x v="625"/>
    <s v="OMM"/>
    <x v="2"/>
    <n v="0"/>
    <n v="40"/>
    <n v="40"/>
    <n v="696969.69696969679"/>
    <n v="2760000"/>
  </r>
  <r>
    <n v="992"/>
    <x v="777"/>
    <x v="625"/>
    <s v="OLL"/>
    <x v="2"/>
    <n v="0"/>
    <n v="12"/>
    <n v="12"/>
    <n v="209090.90909090906"/>
    <n v="828000"/>
  </r>
  <r>
    <n v="993"/>
    <x v="778"/>
    <x v="626"/>
    <s v="OMM"/>
    <x v="2"/>
    <n v="0"/>
    <n v="72"/>
    <n v="72"/>
    <n v="1181818.1818181816"/>
    <n v="4680000"/>
  </r>
  <r>
    <n v="994"/>
    <x v="778"/>
    <x v="626"/>
    <s v="OLL"/>
    <x v="2"/>
    <n v="0"/>
    <n v="72"/>
    <n v="72"/>
    <n v="1181818.1818181816"/>
    <n v="4680000"/>
  </r>
  <r>
    <n v="995"/>
    <x v="779"/>
    <x v="627"/>
    <s v="OMM"/>
    <x v="2"/>
    <n v="0"/>
    <n v="72"/>
    <n v="72"/>
    <n v="1181818.1818181816"/>
    <n v="4680000"/>
  </r>
  <r>
    <n v="996"/>
    <x v="779"/>
    <x v="627"/>
    <s v="OLL"/>
    <x v="2"/>
    <n v="0"/>
    <n v="72"/>
    <n v="72"/>
    <n v="1181818.1818181816"/>
    <n v="4680000"/>
  </r>
  <r>
    <n v="997"/>
    <x v="780"/>
    <x v="628"/>
    <s v="OMM"/>
    <x v="2"/>
    <n v="0"/>
    <n v="72"/>
    <n v="72"/>
    <n v="999999.99999999988"/>
    <n v="3960000"/>
  </r>
  <r>
    <n v="998"/>
    <x v="780"/>
    <x v="628"/>
    <s v="OLL"/>
    <x v="2"/>
    <n v="0"/>
    <n v="72"/>
    <n v="72"/>
    <n v="999999.99999999988"/>
    <n v="3960000"/>
  </r>
  <r>
    <n v="999"/>
    <x v="781"/>
    <x v="629"/>
    <s v="OMM"/>
    <x v="2"/>
    <n v="0"/>
    <n v="72"/>
    <n v="72"/>
    <n v="999999.99999999988"/>
    <n v="3960000"/>
  </r>
  <r>
    <n v="1000"/>
    <x v="781"/>
    <x v="629"/>
    <s v="OLL"/>
    <x v="2"/>
    <n v="0"/>
    <n v="72"/>
    <n v="72"/>
    <n v="999999.99999999988"/>
    <n v="3960000"/>
  </r>
  <r>
    <n v="1001"/>
    <x v="782"/>
    <x v="630"/>
    <s v="OMM"/>
    <x v="2"/>
    <n v="0"/>
    <n v="180"/>
    <n v="180"/>
    <n v="2499999.9999999995"/>
    <n v="9900000"/>
  </r>
  <r>
    <n v="1002"/>
    <x v="782"/>
    <x v="630"/>
    <s v="OLL"/>
    <x v="2"/>
    <n v="0"/>
    <n v="180"/>
    <n v="180"/>
    <n v="2499999.9999999995"/>
    <n v="9900000"/>
  </r>
  <r>
    <n v="1003"/>
    <x v="783"/>
    <x v="631"/>
    <s v="OMM"/>
    <x v="2"/>
    <n v="0"/>
    <n v="120"/>
    <n v="120"/>
    <n v="1666666.6666666665"/>
    <n v="6600000"/>
  </r>
  <r>
    <n v="1004"/>
    <x v="783"/>
    <x v="631"/>
    <s v="OLL"/>
    <x v="2"/>
    <n v="0"/>
    <n v="120"/>
    <n v="120"/>
    <n v="1666666.6666666665"/>
    <n v="6600000"/>
  </r>
  <r>
    <n v="1005"/>
    <x v="784"/>
    <x v="632"/>
    <s v="OMM"/>
    <x v="2"/>
    <n v="0"/>
    <n v="120"/>
    <n v="120"/>
    <n v="1666666.6666666665"/>
    <n v="6600000"/>
  </r>
  <r>
    <n v="1006"/>
    <x v="784"/>
    <x v="632"/>
    <s v="OLL"/>
    <x v="2"/>
    <n v="0"/>
    <n v="120"/>
    <n v="120"/>
    <n v="1666666.6666666665"/>
    <n v="6600000"/>
  </r>
  <r>
    <n v="1007"/>
    <x v="785"/>
    <x v="633"/>
    <s v="OMM"/>
    <x v="2"/>
    <n v="0"/>
    <n v="120"/>
    <n v="120"/>
    <n v="1787878.7878787876"/>
    <n v="7080000"/>
  </r>
  <r>
    <n v="1008"/>
    <x v="785"/>
    <x v="633"/>
    <s v="OLL"/>
    <x v="2"/>
    <n v="0"/>
    <n v="120"/>
    <n v="120"/>
    <n v="1787878.7878787876"/>
    <n v="7080000"/>
  </r>
  <r>
    <n v="1009"/>
    <x v="786"/>
    <x v="634"/>
    <s v="OMM"/>
    <x v="2"/>
    <n v="0"/>
    <n v="72"/>
    <n v="72"/>
    <n v="1181818.1818181816"/>
    <n v="4680000"/>
  </r>
  <r>
    <n v="1010"/>
    <x v="786"/>
    <x v="634"/>
    <s v="OLL"/>
    <x v="2"/>
    <n v="0"/>
    <n v="72"/>
    <n v="72"/>
    <n v="1181818.1818181816"/>
    <n v="4680000"/>
  </r>
  <r>
    <n v="1011"/>
    <x v="787"/>
    <x v="635"/>
    <s v="OMM"/>
    <x v="2"/>
    <n v="0"/>
    <n v="120"/>
    <n v="120"/>
    <n v="1787878.7878787876"/>
    <n v="7080000"/>
  </r>
  <r>
    <n v="1012"/>
    <x v="787"/>
    <x v="635"/>
    <s v="OLL"/>
    <x v="2"/>
    <n v="0"/>
    <n v="120"/>
    <n v="120"/>
    <n v="1787878.7878787876"/>
    <n v="7080000"/>
  </r>
  <r>
    <n v="1013"/>
    <x v="788"/>
    <x v="636"/>
    <s v="OMM"/>
    <x v="2"/>
    <n v="0"/>
    <n v="180"/>
    <n v="180"/>
    <n v="2499999.9999999995"/>
    <n v="9900000"/>
  </r>
  <r>
    <n v="1014"/>
    <x v="788"/>
    <x v="636"/>
    <s v="OLL"/>
    <x v="2"/>
    <n v="0"/>
    <n v="180"/>
    <n v="180"/>
    <n v="2499999.9999999995"/>
    <n v="9900000"/>
  </r>
  <r>
    <n v="1015"/>
    <x v="789"/>
    <x v="637"/>
    <s v="OMM"/>
    <x v="2"/>
    <n v="0"/>
    <n v="180"/>
    <n v="180"/>
    <n v="2499999.9999999995"/>
    <n v="9900000"/>
  </r>
  <r>
    <n v="1016"/>
    <x v="789"/>
    <x v="637"/>
    <s v="OLL"/>
    <x v="2"/>
    <n v="0"/>
    <n v="180"/>
    <n v="180"/>
    <n v="2499999.9999999995"/>
    <n v="9900000"/>
  </r>
  <r>
    <n v="1017"/>
    <x v="790"/>
    <x v="638"/>
    <s v="OSS"/>
    <x v="2"/>
    <n v="0"/>
    <n v="96"/>
    <n v="96"/>
    <n v="1187878.7878787878"/>
    <n v="4704000"/>
  </r>
  <r>
    <n v="1018"/>
    <x v="790"/>
    <x v="638"/>
    <s v="OMM"/>
    <x v="2"/>
    <n v="0"/>
    <n v="132"/>
    <n v="132"/>
    <n v="1633333.3333333333"/>
    <n v="6468000"/>
  </r>
  <r>
    <n v="1019"/>
    <x v="790"/>
    <x v="638"/>
    <s v="OLL"/>
    <x v="2"/>
    <n v="0"/>
    <n v="132"/>
    <n v="132"/>
    <n v="1633333.3333333333"/>
    <n v="6468000"/>
  </r>
  <r>
    <n v="1020"/>
    <x v="791"/>
    <x v="639"/>
    <s v="OSS"/>
    <x v="2"/>
    <n v="0"/>
    <n v="96"/>
    <n v="96"/>
    <n v="1187878.7878787878"/>
    <n v="4704000"/>
  </r>
  <r>
    <n v="1021"/>
    <x v="791"/>
    <x v="639"/>
    <s v="OMM"/>
    <x v="2"/>
    <n v="0"/>
    <n v="132"/>
    <n v="132"/>
    <n v="1633333.3333333333"/>
    <n v="6468000"/>
  </r>
  <r>
    <n v="1022"/>
    <x v="791"/>
    <x v="639"/>
    <s v="OLL"/>
    <x v="2"/>
    <n v="0"/>
    <n v="132"/>
    <n v="132"/>
    <n v="1633333.3333333333"/>
    <n v="6468000"/>
  </r>
  <r>
    <n v="1023"/>
    <x v="792"/>
    <x v="640"/>
    <s v="OSS"/>
    <x v="2"/>
    <n v="0"/>
    <n v="96"/>
    <n v="96"/>
    <n v="1187878.7878787878"/>
    <n v="4704000"/>
  </r>
  <r>
    <n v="1024"/>
    <x v="792"/>
    <x v="640"/>
    <s v="OMM"/>
    <x v="2"/>
    <n v="0"/>
    <n v="132"/>
    <n v="132"/>
    <n v="1633333.3333333333"/>
    <n v="6468000"/>
  </r>
  <r>
    <n v="1025"/>
    <x v="792"/>
    <x v="640"/>
    <s v="OLL"/>
    <x v="2"/>
    <n v="0"/>
    <n v="132"/>
    <n v="132"/>
    <n v="1633333.3333333333"/>
    <n v="6468000"/>
  </r>
  <r>
    <n v="1026"/>
    <x v="793"/>
    <x v="641"/>
    <s v="OSS"/>
    <x v="2"/>
    <n v="0"/>
    <n v="60"/>
    <n v="60"/>
    <n v="742424.24242424231"/>
    <n v="2940000"/>
  </r>
  <r>
    <n v="1027"/>
    <x v="793"/>
    <x v="641"/>
    <s v="OMM"/>
    <x v="2"/>
    <n v="0"/>
    <n v="96"/>
    <n v="96"/>
    <n v="1187878.7878787878"/>
    <n v="4704000"/>
  </r>
  <r>
    <n v="1028"/>
    <x v="793"/>
    <x v="641"/>
    <s v="OLL"/>
    <x v="2"/>
    <n v="0"/>
    <n v="84"/>
    <n v="84"/>
    <n v="1039393.9393939393"/>
    <n v="4116000"/>
  </r>
  <r>
    <n v="1029"/>
    <x v="794"/>
    <x v="4"/>
    <m/>
    <x v="1"/>
    <n v="0"/>
    <n v="4248"/>
    <n v="4248"/>
    <n v="59169696.969696991"/>
    <n v="234312000"/>
  </r>
  <r>
    <n v="1030"/>
    <x v="795"/>
    <x v="642"/>
    <s v="FRE"/>
    <x v="0"/>
    <n v="0"/>
    <n v="700"/>
    <n v="700"/>
    <n v="3388448"/>
    <n v="27300000"/>
  </r>
  <r>
    <n v="1031"/>
    <x v="796"/>
    <x v="643"/>
    <s v="FRE"/>
    <x v="0"/>
    <n v="0"/>
    <n v="700"/>
    <n v="700"/>
    <n v="3388448"/>
    <n v="27300000"/>
  </r>
  <r>
    <n v="1032"/>
    <x v="797"/>
    <x v="644"/>
    <s v="FRE"/>
    <x v="0"/>
    <n v="0"/>
    <n v="700"/>
    <n v="700"/>
    <n v="3388448"/>
    <n v="27300000"/>
  </r>
  <r>
    <n v="1033"/>
    <x v="798"/>
    <x v="645"/>
    <s v="FRE"/>
    <x v="0"/>
    <n v="0"/>
    <n v="400"/>
    <n v="400"/>
    <n v="5135808"/>
    <n v="26000000"/>
  </r>
  <r>
    <n v="1034"/>
    <x v="799"/>
    <x v="646"/>
    <s v="FRE"/>
    <x v="0"/>
    <n v="0"/>
    <n v="400"/>
    <n v="400"/>
    <n v="5135808"/>
    <n v="26000000"/>
  </r>
  <r>
    <n v="1035"/>
    <x v="800"/>
    <x v="4"/>
    <m/>
    <x v="1"/>
    <n v="0"/>
    <n v="2900"/>
    <n v="2900"/>
    <n v="20436960"/>
    <n v="133900000"/>
  </r>
  <r>
    <n v="1036"/>
    <x v="801"/>
    <x v="647"/>
    <s v="FRE"/>
    <x v="0"/>
    <n v="0"/>
    <n v="700"/>
    <n v="700"/>
    <n v="4434827.6000000015"/>
    <n v="31500000"/>
  </r>
  <r>
    <n v="1037"/>
    <x v="802"/>
    <x v="648"/>
    <s v="FRE"/>
    <x v="0"/>
    <n v="0"/>
    <n v="700"/>
    <n v="700"/>
    <n v="4434827.6000000015"/>
    <n v="31500000"/>
  </r>
  <r>
    <n v="1038"/>
    <x v="803"/>
    <x v="649"/>
    <s v="FRE"/>
    <x v="0"/>
    <n v="0"/>
    <n v="700"/>
    <n v="700"/>
    <n v="3006021.2000000007"/>
    <n v="31500000"/>
  </r>
  <r>
    <n v="1039"/>
    <x v="804"/>
    <x v="4"/>
    <m/>
    <x v="1"/>
    <n v="0"/>
    <n v="2100"/>
    <n v="2100"/>
    <n v="11875676.400000004"/>
    <n v="94500000"/>
  </r>
  <r>
    <n v="1040"/>
    <x v="805"/>
    <x v="650"/>
    <s v="FRE"/>
    <x v="0"/>
    <n v="0"/>
    <n v="500"/>
    <n v="500"/>
    <n v="3970495"/>
    <n v="22500000"/>
  </r>
  <r>
    <n v="1041"/>
    <x v="806"/>
    <x v="651"/>
    <s v="FRE"/>
    <x v="0"/>
    <n v="0"/>
    <n v="300"/>
    <n v="300"/>
    <n v="2384913.0000000005"/>
    <n v="14700000"/>
  </r>
  <r>
    <n v="1042"/>
    <x v="807"/>
    <x v="4"/>
    <m/>
    <x v="1"/>
    <n v="0"/>
    <n v="800"/>
    <n v="800"/>
    <n v="6355408"/>
    <n v="37200000"/>
  </r>
  <r>
    <n v="1043"/>
    <x v="808"/>
    <x v="652"/>
    <s v="FRE"/>
    <x v="2"/>
    <n v="70"/>
    <n v="0"/>
    <n v="70"/>
    <n v="1403181.8181818181"/>
    <n v="3430000"/>
  </r>
  <r>
    <n v="1044"/>
    <x v="809"/>
    <x v="653"/>
    <s v="FRE"/>
    <x v="2"/>
    <n v="20"/>
    <n v="0"/>
    <n v="20"/>
    <n v="400909.09090909088"/>
    <n v="980000"/>
  </r>
  <r>
    <n v="1045"/>
    <x v="810"/>
    <x v="654"/>
    <s v="FRE"/>
    <x v="2"/>
    <n v="50"/>
    <n v="0"/>
    <n v="50"/>
    <n v="1002272.7272727272"/>
    <n v="2450000"/>
  </r>
  <r>
    <n v="1046"/>
    <x v="811"/>
    <x v="655"/>
    <s v="FRE"/>
    <x v="2"/>
    <n v="35"/>
    <n v="0"/>
    <n v="35"/>
    <n v="701590.90909090906"/>
    <n v="1715000"/>
  </r>
  <r>
    <n v="1047"/>
    <x v="812"/>
    <x v="656"/>
    <s v="FRE"/>
    <x v="2"/>
    <n v="37"/>
    <n v="0"/>
    <n v="37"/>
    <n v="741681.81818181812"/>
    <n v="1813000"/>
  </r>
  <r>
    <n v="1048"/>
    <x v="813"/>
    <x v="657"/>
    <s v="FRE"/>
    <x v="2"/>
    <n v="10"/>
    <n v="0"/>
    <n v="10"/>
    <n v="200454.54545454544"/>
    <n v="490000"/>
  </r>
  <r>
    <n v="1049"/>
    <x v="814"/>
    <x v="658"/>
    <s v="FRE"/>
    <x v="2"/>
    <n v="62"/>
    <n v="0"/>
    <n v="62"/>
    <n v="1242818.1818181816"/>
    <n v="3038000"/>
  </r>
  <r>
    <n v="1050"/>
    <x v="815"/>
    <x v="659"/>
    <s v="FRE"/>
    <x v="2"/>
    <n v="13"/>
    <n v="0"/>
    <n v="13"/>
    <n v="260590.90909090906"/>
    <n v="637000"/>
  </r>
  <r>
    <n v="1051"/>
    <x v="816"/>
    <x v="660"/>
    <s v="FRE"/>
    <x v="2"/>
    <n v="10"/>
    <n v="0"/>
    <n v="10"/>
    <n v="200454.54545454544"/>
    <n v="490000"/>
  </r>
  <r>
    <n v="1052"/>
    <x v="817"/>
    <x v="661"/>
    <s v="FRE"/>
    <x v="2"/>
    <n v="14"/>
    <n v="0"/>
    <n v="14"/>
    <n v="280636.36363636365"/>
    <n v="686000"/>
  </r>
  <r>
    <n v="1053"/>
    <x v="818"/>
    <x v="662"/>
    <s v="FRE"/>
    <x v="2"/>
    <n v="70"/>
    <n v="0"/>
    <n v="70"/>
    <n v="1403181.8181818181"/>
    <n v="3430000"/>
  </r>
  <r>
    <n v="1054"/>
    <x v="819"/>
    <x v="663"/>
    <s v="FRE"/>
    <x v="2"/>
    <n v="50"/>
    <n v="0"/>
    <n v="50"/>
    <n v="1002272.7272727272"/>
    <n v="2450000"/>
  </r>
  <r>
    <n v="1055"/>
    <x v="820"/>
    <x v="664"/>
    <s v="FRE"/>
    <x v="2"/>
    <n v="50"/>
    <n v="0"/>
    <n v="50"/>
    <n v="1206818.1818181819"/>
    <n v="2950000"/>
  </r>
  <r>
    <n v="1056"/>
    <x v="821"/>
    <x v="665"/>
    <s v="FRE"/>
    <x v="2"/>
    <n v="12"/>
    <n v="0"/>
    <n v="12"/>
    <n v="240545.45454545453"/>
    <n v="588000"/>
  </r>
  <r>
    <n v="1057"/>
    <x v="822"/>
    <x v="4"/>
    <m/>
    <x v="1"/>
    <n v="503"/>
    <n v="0"/>
    <n v="503"/>
    <n v="10287409.090909092"/>
    <n v="25147000"/>
  </r>
  <r>
    <n v="1058"/>
    <x v="823"/>
    <x v="666"/>
    <s v="FRE"/>
    <x v="0"/>
    <n v="0"/>
    <n v="700"/>
    <n v="700"/>
    <n v="3332084"/>
    <n v="27300000"/>
  </r>
  <r>
    <n v="1059"/>
    <x v="824"/>
    <x v="667"/>
    <s v="FRE"/>
    <x v="0"/>
    <n v="0"/>
    <n v="700"/>
    <n v="700"/>
    <n v="3332084"/>
    <n v="27300000"/>
  </r>
  <r>
    <n v="1060"/>
    <x v="825"/>
    <x v="4"/>
    <m/>
    <x v="1"/>
    <n v="0"/>
    <n v="1400"/>
    <n v="1400"/>
    <n v="6664168"/>
    <n v="54600000"/>
  </r>
  <r>
    <n v="1061"/>
    <x v="826"/>
    <x v="668"/>
    <s v="FRE"/>
    <x v="0"/>
    <n v="0"/>
    <n v="1000"/>
    <n v="1000"/>
    <n v="7733880.0000000009"/>
    <n v="59000000"/>
  </r>
  <r>
    <n v="1062"/>
    <x v="827"/>
    <x v="669"/>
    <s v="FRE"/>
    <x v="0"/>
    <n v="0"/>
    <n v="500"/>
    <n v="500"/>
    <n v="3866940.0000000005"/>
    <n v="29500000"/>
  </r>
  <r>
    <n v="1063"/>
    <x v="828"/>
    <x v="670"/>
    <s v="FRE"/>
    <x v="0"/>
    <n v="0"/>
    <n v="1000"/>
    <n v="1000"/>
    <n v="7733880.0000000009"/>
    <n v="59000000"/>
  </r>
  <r>
    <n v="1064"/>
    <x v="829"/>
    <x v="671"/>
    <s v="FRE"/>
    <x v="0"/>
    <n v="0"/>
    <n v="500"/>
    <n v="500"/>
    <n v="3866940.0000000005"/>
    <n v="29500000"/>
  </r>
  <r>
    <n v="1065"/>
    <x v="830"/>
    <x v="672"/>
    <s v="FRE"/>
    <x v="0"/>
    <n v="0"/>
    <n v="700"/>
    <n v="700"/>
    <n v="5413716.0000000009"/>
    <n v="41300000"/>
  </r>
  <r>
    <n v="1066"/>
    <x v="831"/>
    <x v="4"/>
    <m/>
    <x v="1"/>
    <n v="0"/>
    <n v="3700"/>
    <n v="3700"/>
    <n v="28615356.000000004"/>
    <n v="218300000"/>
  </r>
  <r>
    <n v="1067"/>
    <x v="832"/>
    <x v="673"/>
    <s v="OXS"/>
    <x v="0"/>
    <n v="0"/>
    <n v="350"/>
    <n v="350"/>
    <n v="8400000"/>
    <n v="34650000"/>
  </r>
  <r>
    <n v="1068"/>
    <x v="832"/>
    <x v="673"/>
    <s v="OSS"/>
    <x v="0"/>
    <n v="0"/>
    <n v="350"/>
    <n v="350"/>
    <n v="8400000"/>
    <n v="34650000"/>
  </r>
  <r>
    <n v="1069"/>
    <x v="832"/>
    <x v="673"/>
    <s v="OMM"/>
    <x v="0"/>
    <n v="0"/>
    <n v="200"/>
    <n v="200"/>
    <n v="4800000"/>
    <n v="19800000"/>
  </r>
  <r>
    <n v="1070"/>
    <x v="832"/>
    <x v="673"/>
    <s v="OLL"/>
    <x v="0"/>
    <n v="0"/>
    <n v="100"/>
    <n v="100"/>
    <n v="2400000"/>
    <n v="9900000"/>
  </r>
  <r>
    <n v="1071"/>
    <x v="833"/>
    <x v="674"/>
    <s v="OSS"/>
    <x v="0"/>
    <n v="0"/>
    <n v="350"/>
    <n v="350"/>
    <n v="5460000"/>
    <n v="24150000"/>
  </r>
  <r>
    <n v="1072"/>
    <x v="833"/>
    <x v="674"/>
    <s v="OMM"/>
    <x v="0"/>
    <n v="0"/>
    <n v="300"/>
    <n v="300"/>
    <n v="4680000"/>
    <n v="20700000"/>
  </r>
  <r>
    <n v="1073"/>
    <x v="833"/>
    <x v="674"/>
    <s v="OLL"/>
    <x v="0"/>
    <n v="0"/>
    <n v="150"/>
    <n v="150"/>
    <n v="2340000"/>
    <n v="10350000"/>
  </r>
  <r>
    <n v="1074"/>
    <x v="834"/>
    <x v="675"/>
    <s v="OSS"/>
    <x v="0"/>
    <n v="0"/>
    <n v="400"/>
    <n v="400"/>
    <n v="9600000"/>
    <n v="39600000"/>
  </r>
  <r>
    <n v="1075"/>
    <x v="834"/>
    <x v="675"/>
    <s v="OMM"/>
    <x v="0"/>
    <n v="0"/>
    <n v="500"/>
    <n v="500"/>
    <n v="12000000"/>
    <n v="49500000"/>
  </r>
  <r>
    <n v="1076"/>
    <x v="834"/>
    <x v="675"/>
    <s v="OLL"/>
    <x v="0"/>
    <n v="0"/>
    <n v="350"/>
    <n v="350"/>
    <n v="8400000"/>
    <n v="34650000"/>
  </r>
  <r>
    <n v="1077"/>
    <x v="834"/>
    <x v="675"/>
    <s v="OXL"/>
    <x v="0"/>
    <n v="0"/>
    <n v="250"/>
    <n v="250"/>
    <n v="6000000"/>
    <n v="24750000"/>
  </r>
  <r>
    <n v="1078"/>
    <x v="835"/>
    <x v="676"/>
    <s v="OSS"/>
    <x v="0"/>
    <n v="0"/>
    <n v="400"/>
    <n v="400"/>
    <n v="6240000"/>
    <n v="27600000"/>
  </r>
  <r>
    <n v="1079"/>
    <x v="835"/>
    <x v="676"/>
    <s v="OMM"/>
    <x v="0"/>
    <n v="0"/>
    <n v="500"/>
    <n v="500"/>
    <n v="7800000"/>
    <n v="34500000"/>
  </r>
  <r>
    <n v="1080"/>
    <x v="835"/>
    <x v="676"/>
    <s v="OLL"/>
    <x v="0"/>
    <n v="0"/>
    <n v="300"/>
    <n v="300"/>
    <n v="4680000"/>
    <n v="20700000"/>
  </r>
  <r>
    <n v="1081"/>
    <x v="836"/>
    <x v="677"/>
    <s v="OSS"/>
    <x v="0"/>
    <n v="0"/>
    <n v="550"/>
    <n v="550"/>
    <n v="13200000"/>
    <n v="54450000"/>
  </r>
  <r>
    <n v="1082"/>
    <x v="836"/>
    <x v="677"/>
    <s v="OMM"/>
    <x v="0"/>
    <n v="0"/>
    <n v="450"/>
    <n v="450"/>
    <n v="10800000"/>
    <n v="44550000"/>
  </r>
  <r>
    <n v="1083"/>
    <x v="836"/>
    <x v="677"/>
    <s v="OLL"/>
    <x v="0"/>
    <n v="0"/>
    <n v="300"/>
    <n v="300"/>
    <n v="7200000"/>
    <n v="29700000"/>
  </r>
  <r>
    <n v="1084"/>
    <x v="836"/>
    <x v="677"/>
    <s v="OXL"/>
    <x v="0"/>
    <n v="0"/>
    <n v="200"/>
    <n v="200"/>
    <n v="4800000"/>
    <n v="19800000"/>
  </r>
  <r>
    <n v="1085"/>
    <x v="837"/>
    <x v="678"/>
    <s v="OSS"/>
    <x v="0"/>
    <n v="0"/>
    <n v="500"/>
    <n v="500"/>
    <n v="7800000"/>
    <n v="34500000"/>
  </r>
  <r>
    <n v="1086"/>
    <x v="837"/>
    <x v="678"/>
    <s v="OMM"/>
    <x v="0"/>
    <n v="0"/>
    <n v="400"/>
    <n v="400"/>
    <n v="6240000"/>
    <n v="27600000"/>
  </r>
  <r>
    <n v="1087"/>
    <x v="837"/>
    <x v="678"/>
    <s v="OLL"/>
    <x v="0"/>
    <n v="0"/>
    <n v="300"/>
    <n v="300"/>
    <n v="4680000"/>
    <n v="20700000"/>
  </r>
  <r>
    <n v="1088"/>
    <x v="838"/>
    <x v="679"/>
    <s v="OXS"/>
    <x v="0"/>
    <n v="0"/>
    <n v="300"/>
    <n v="300"/>
    <n v="7200000"/>
    <n v="29700000"/>
  </r>
  <r>
    <n v="1089"/>
    <x v="838"/>
    <x v="679"/>
    <s v="OSS"/>
    <x v="0"/>
    <n v="0"/>
    <n v="450"/>
    <n v="450"/>
    <n v="10800000"/>
    <n v="44550000"/>
  </r>
  <r>
    <n v="1090"/>
    <x v="838"/>
    <x v="679"/>
    <s v="OMM"/>
    <x v="0"/>
    <n v="0"/>
    <n v="550"/>
    <n v="550"/>
    <n v="13200000"/>
    <n v="54450000"/>
  </r>
  <r>
    <n v="1091"/>
    <x v="838"/>
    <x v="679"/>
    <s v="OLL"/>
    <x v="0"/>
    <n v="0"/>
    <n v="400"/>
    <n v="400"/>
    <n v="9600000"/>
    <n v="39600000"/>
  </r>
  <r>
    <n v="1092"/>
    <x v="838"/>
    <x v="679"/>
    <s v="OXL"/>
    <x v="0"/>
    <n v="0"/>
    <n v="300"/>
    <n v="300"/>
    <n v="7200000"/>
    <n v="29700000"/>
  </r>
  <r>
    <n v="1093"/>
    <x v="839"/>
    <x v="680"/>
    <s v="OSS"/>
    <x v="0"/>
    <n v="0"/>
    <n v="500"/>
    <n v="500"/>
    <n v="7800000"/>
    <n v="34500000"/>
  </r>
  <r>
    <n v="1094"/>
    <x v="839"/>
    <x v="680"/>
    <s v="OMM"/>
    <x v="0"/>
    <n v="0"/>
    <n v="600"/>
    <n v="600"/>
    <n v="9360000"/>
    <n v="41400000"/>
  </r>
  <r>
    <n v="1095"/>
    <x v="839"/>
    <x v="680"/>
    <s v="OLL"/>
    <x v="0"/>
    <n v="0"/>
    <n v="400"/>
    <n v="400"/>
    <n v="6240000"/>
    <n v="27600000"/>
  </r>
  <r>
    <n v="1096"/>
    <x v="840"/>
    <x v="681"/>
    <s v="OXS"/>
    <x v="0"/>
    <n v="0"/>
    <n v="400"/>
    <n v="400"/>
    <n v="8000000"/>
    <n v="35600000"/>
  </r>
  <r>
    <n v="1097"/>
    <x v="840"/>
    <x v="681"/>
    <s v="OMM"/>
    <x v="0"/>
    <n v="0"/>
    <n v="600"/>
    <n v="600"/>
    <n v="12000000"/>
    <n v="53400000"/>
  </r>
  <r>
    <n v="1098"/>
    <x v="840"/>
    <x v="681"/>
    <s v="OXL"/>
    <x v="0"/>
    <n v="0"/>
    <n v="500"/>
    <n v="500"/>
    <n v="10000000"/>
    <n v="44500000"/>
  </r>
  <r>
    <n v="1099"/>
    <x v="841"/>
    <x v="682"/>
    <s v="OXS"/>
    <x v="0"/>
    <n v="0"/>
    <n v="300"/>
    <n v="300"/>
    <n v="3660000"/>
    <n v="17700000"/>
  </r>
  <r>
    <n v="1100"/>
    <x v="841"/>
    <x v="682"/>
    <s v="OMM"/>
    <x v="0"/>
    <n v="0"/>
    <n v="500"/>
    <n v="500"/>
    <n v="6100000"/>
    <n v="29500000"/>
  </r>
  <r>
    <n v="1101"/>
    <x v="841"/>
    <x v="682"/>
    <s v="OXL"/>
    <x v="0"/>
    <n v="0"/>
    <n v="400"/>
    <n v="400"/>
    <n v="4880000"/>
    <n v="23600000"/>
  </r>
  <r>
    <n v="1102"/>
    <x v="842"/>
    <x v="683"/>
    <s v="OXS"/>
    <x v="0"/>
    <n v="0"/>
    <n v="400"/>
    <n v="400"/>
    <n v="8400000"/>
    <n v="35600000"/>
  </r>
  <r>
    <n v="1103"/>
    <x v="842"/>
    <x v="683"/>
    <s v="OMM"/>
    <x v="0"/>
    <n v="0"/>
    <n v="600"/>
    <n v="600"/>
    <n v="12600000"/>
    <n v="53400000"/>
  </r>
  <r>
    <n v="1104"/>
    <x v="842"/>
    <x v="683"/>
    <s v="OXL"/>
    <x v="0"/>
    <n v="0"/>
    <n v="500"/>
    <n v="500"/>
    <n v="10500000"/>
    <n v="44500000"/>
  </r>
  <r>
    <n v="1105"/>
    <x v="843"/>
    <x v="684"/>
    <s v="OXS"/>
    <x v="0"/>
    <n v="0"/>
    <n v="300"/>
    <n v="300"/>
    <n v="3750000"/>
    <n v="17700000"/>
  </r>
  <r>
    <n v="1106"/>
    <x v="843"/>
    <x v="684"/>
    <s v="OMM"/>
    <x v="0"/>
    <n v="0"/>
    <n v="500"/>
    <n v="500"/>
    <n v="6250000"/>
    <n v="29500000"/>
  </r>
  <r>
    <n v="1107"/>
    <x v="843"/>
    <x v="684"/>
    <s v="OXL"/>
    <x v="0"/>
    <n v="0"/>
    <n v="400"/>
    <n v="400"/>
    <n v="5000000"/>
    <n v="23600000"/>
  </r>
  <r>
    <n v="1108"/>
    <x v="844"/>
    <x v="685"/>
    <s v="OXS"/>
    <x v="0"/>
    <n v="0"/>
    <n v="400"/>
    <n v="400"/>
    <n v="8400000"/>
    <n v="35600000"/>
  </r>
  <r>
    <n v="1109"/>
    <x v="844"/>
    <x v="685"/>
    <s v="OMM"/>
    <x v="0"/>
    <n v="0"/>
    <n v="600"/>
    <n v="600"/>
    <n v="12600000"/>
    <n v="53400000"/>
  </r>
  <r>
    <n v="1110"/>
    <x v="844"/>
    <x v="685"/>
    <s v="OXL"/>
    <x v="0"/>
    <n v="0"/>
    <n v="500"/>
    <n v="500"/>
    <n v="10500000"/>
    <n v="44500000"/>
  </r>
  <r>
    <n v="1111"/>
    <x v="845"/>
    <x v="686"/>
    <s v="OXS"/>
    <x v="0"/>
    <n v="0"/>
    <n v="300"/>
    <n v="300"/>
    <n v="3750000"/>
    <n v="17700000"/>
  </r>
  <r>
    <n v="1112"/>
    <x v="845"/>
    <x v="686"/>
    <s v="OMM"/>
    <x v="0"/>
    <n v="0"/>
    <n v="500"/>
    <n v="500"/>
    <n v="6250000"/>
    <n v="29500000"/>
  </r>
  <r>
    <n v="1113"/>
    <x v="845"/>
    <x v="686"/>
    <s v="OXL"/>
    <x v="0"/>
    <n v="0"/>
    <n v="400"/>
    <n v="400"/>
    <n v="5000000"/>
    <n v="23600000"/>
  </r>
  <r>
    <n v="1114"/>
    <x v="846"/>
    <x v="4"/>
    <m/>
    <x v="1"/>
    <n v="0"/>
    <n v="18800"/>
    <n v="18800"/>
    <n v="354960000"/>
    <n v="1531200000"/>
  </r>
  <r>
    <n v="1115"/>
    <x v="847"/>
    <x v="687"/>
    <s v="FRE"/>
    <x v="0"/>
    <n v="0"/>
    <n v="2000"/>
    <n v="2000"/>
    <n v="18220000"/>
    <n v="118000000"/>
  </r>
  <r>
    <n v="1116"/>
    <x v="848"/>
    <x v="688"/>
    <s v="FRE"/>
    <x v="0"/>
    <n v="0"/>
    <n v="2000"/>
    <n v="2000"/>
    <n v="17873500"/>
    <n v="110000000"/>
  </r>
  <r>
    <n v="1117"/>
    <x v="849"/>
    <x v="689"/>
    <s v="FRE"/>
    <x v="0"/>
    <n v="0"/>
    <n v="1200"/>
    <n v="1200"/>
    <n v="9583200.0000000019"/>
    <n v="70800000"/>
  </r>
  <r>
    <n v="1118"/>
    <x v="850"/>
    <x v="690"/>
    <s v="FRE"/>
    <x v="0"/>
    <n v="0"/>
    <n v="800"/>
    <n v="800"/>
    <n v="6250200"/>
    <n v="44000000"/>
  </r>
  <r>
    <n v="1119"/>
    <x v="851"/>
    <x v="691"/>
    <s v="FRE"/>
    <x v="0"/>
    <n v="0"/>
    <n v="1000"/>
    <n v="1000"/>
    <n v="6199250"/>
    <n v="45000000"/>
  </r>
  <r>
    <n v="1120"/>
    <x v="852"/>
    <x v="692"/>
    <s v="FRE"/>
    <x v="0"/>
    <n v="0"/>
    <n v="1200"/>
    <n v="1200"/>
    <n v="5568000"/>
    <n v="54000000"/>
  </r>
  <r>
    <n v="1121"/>
    <x v="853"/>
    <x v="4"/>
    <m/>
    <x v="1"/>
    <n v="0"/>
    <n v="8200"/>
    <n v="8200"/>
    <n v="63694150"/>
    <n v="441800000"/>
  </r>
  <r>
    <n v="1122"/>
    <x v="854"/>
    <x v="202"/>
    <s v="FRE"/>
    <x v="0"/>
    <n v="0"/>
    <n v="6000"/>
    <n v="6000"/>
    <n v="25120080"/>
    <n v="330000000"/>
  </r>
  <r>
    <n v="1123"/>
    <x v="855"/>
    <x v="203"/>
    <s v="FRE"/>
    <x v="0"/>
    <n v="0"/>
    <n v="3000"/>
    <n v="3000"/>
    <n v="13635090.000000002"/>
    <n v="165000000"/>
  </r>
  <r>
    <n v="1124"/>
    <x v="856"/>
    <x v="4"/>
    <m/>
    <x v="1"/>
    <n v="0"/>
    <n v="9000"/>
    <n v="9000"/>
    <n v="38755170"/>
    <n v="495000000"/>
  </r>
  <r>
    <n v="1125"/>
    <x v="857"/>
    <x v="204"/>
    <s v="FRE"/>
    <x v="0"/>
    <n v="0"/>
    <n v="3000"/>
    <n v="3000"/>
    <n v="30681818.18181818"/>
    <n v="135000000"/>
  </r>
  <r>
    <n v="1126"/>
    <x v="858"/>
    <x v="4"/>
    <m/>
    <x v="1"/>
    <n v="0"/>
    <n v="3000"/>
    <n v="3000"/>
    <n v="30681818.18181818"/>
    <n v="135000000"/>
  </r>
  <r>
    <n v="1127"/>
    <x v="859"/>
    <x v="205"/>
    <s v="FRE"/>
    <x v="0"/>
    <n v="0"/>
    <n v="1200"/>
    <n v="1200"/>
    <n v="9729720"/>
    <n v="70800000"/>
  </r>
  <r>
    <n v="1128"/>
    <x v="860"/>
    <x v="4"/>
    <m/>
    <x v="1"/>
    <n v="0"/>
    <n v="1200"/>
    <n v="1200"/>
    <n v="9729720"/>
    <n v="70800000"/>
  </r>
  <r>
    <n v="1129"/>
    <x v="861"/>
    <x v="687"/>
    <s v="FRE"/>
    <x v="0"/>
    <n v="0"/>
    <n v="3000"/>
    <n v="3000"/>
    <n v="22987012.987012986"/>
    <n v="177000000"/>
  </r>
  <r>
    <n v="1130"/>
    <x v="862"/>
    <x v="688"/>
    <s v="FRE"/>
    <x v="0"/>
    <n v="0"/>
    <n v="3000"/>
    <n v="3000"/>
    <n v="21428571.428571425"/>
    <n v="165000000"/>
  </r>
  <r>
    <n v="1131"/>
    <x v="863"/>
    <x v="689"/>
    <s v="FRE"/>
    <x v="0"/>
    <n v="0"/>
    <n v="1800"/>
    <n v="1800"/>
    <n v="13792207.792207791"/>
    <n v="106200000"/>
  </r>
  <r>
    <n v="1132"/>
    <x v="864"/>
    <x v="690"/>
    <s v="FRE"/>
    <x v="0"/>
    <n v="0"/>
    <n v="1200"/>
    <n v="1200"/>
    <n v="8571428.5714285709"/>
    <n v="66000000"/>
  </r>
  <r>
    <n v="1133"/>
    <x v="865"/>
    <x v="691"/>
    <s v="FRE"/>
    <x v="0"/>
    <n v="0"/>
    <n v="1500"/>
    <n v="1500"/>
    <n v="8766233.7662337646"/>
    <n v="67500000"/>
  </r>
  <r>
    <n v="1134"/>
    <x v="866"/>
    <x v="692"/>
    <s v="FRE"/>
    <x v="0"/>
    <n v="0"/>
    <n v="1800"/>
    <n v="1800"/>
    <n v="10519480.519480519"/>
    <n v="81000000"/>
  </r>
  <r>
    <n v="1135"/>
    <x v="867"/>
    <x v="4"/>
    <m/>
    <x v="1"/>
    <n v="0"/>
    <n v="12300"/>
    <n v="12300"/>
    <n v="86064935.064935058"/>
    <n v="662700000"/>
  </r>
  <r>
    <n v="1136"/>
    <x v="868"/>
    <x v="205"/>
    <s v="FRE"/>
    <x v="0"/>
    <n v="0"/>
    <n v="1800"/>
    <n v="1800"/>
    <n v="14594580"/>
    <n v="106200000"/>
  </r>
  <r>
    <n v="1137"/>
    <x v="869"/>
    <x v="4"/>
    <m/>
    <x v="1"/>
    <n v="0"/>
    <n v="1800"/>
    <n v="1800"/>
    <n v="14594580"/>
    <n v="106200000"/>
  </r>
  <r>
    <n v="1138"/>
    <x v="870"/>
    <x v="693"/>
    <s v="FRE"/>
    <x v="0"/>
    <n v="0"/>
    <n v="700"/>
    <n v="700"/>
    <n v="2458904"/>
    <n v="27300000"/>
  </r>
  <r>
    <n v="1139"/>
    <x v="871"/>
    <x v="694"/>
    <s v="FRE"/>
    <x v="0"/>
    <n v="0"/>
    <n v="700"/>
    <n v="700"/>
    <n v="2458904"/>
    <n v="27300000"/>
  </r>
  <r>
    <n v="1140"/>
    <x v="872"/>
    <x v="4"/>
    <m/>
    <x v="1"/>
    <n v="0"/>
    <n v="1400"/>
    <n v="1400"/>
    <n v="4917808"/>
    <n v="54600000"/>
  </r>
  <r>
    <n v="1141"/>
    <x v="873"/>
    <x v="695"/>
    <s v="FRE"/>
    <x v="2"/>
    <n v="20"/>
    <n v="0"/>
    <n v="20"/>
    <n v="400909.09090909088"/>
    <n v="980000"/>
  </r>
  <r>
    <n v="1142"/>
    <x v="874"/>
    <x v="696"/>
    <s v="FRE"/>
    <x v="2"/>
    <n v="28"/>
    <n v="0"/>
    <n v="30"/>
    <n v="601363.63636363635"/>
    <n v="1470000"/>
  </r>
  <r>
    <n v="1143"/>
    <x v="875"/>
    <x v="697"/>
    <s v="FRE"/>
    <x v="2"/>
    <n v="30"/>
    <n v="0"/>
    <n v="30"/>
    <n v="601363.63636363635"/>
    <n v="1470000"/>
  </r>
  <r>
    <n v="1144"/>
    <x v="876"/>
    <x v="698"/>
    <s v="FRE"/>
    <x v="2"/>
    <n v="25"/>
    <n v="0"/>
    <n v="25"/>
    <n v="501136.36363636359"/>
    <n v="1225000"/>
  </r>
  <r>
    <n v="1145"/>
    <x v="877"/>
    <x v="699"/>
    <s v="FRE"/>
    <x v="2"/>
    <n v="25"/>
    <n v="0"/>
    <n v="25"/>
    <n v="501136.36363636359"/>
    <n v="1225000"/>
  </r>
  <r>
    <n v="1146"/>
    <x v="878"/>
    <x v="700"/>
    <s v="FRE"/>
    <x v="2"/>
    <n v="20"/>
    <n v="0"/>
    <n v="20"/>
    <n v="400909.09090909088"/>
    <n v="980000"/>
  </r>
  <r>
    <n v="1147"/>
    <x v="879"/>
    <x v="701"/>
    <s v="FRE"/>
    <x v="2"/>
    <n v="25"/>
    <n v="0"/>
    <n v="25"/>
    <n v="501136.36363636359"/>
    <n v="1225000"/>
  </r>
  <r>
    <n v="1148"/>
    <x v="880"/>
    <x v="702"/>
    <s v="FRE"/>
    <x v="2"/>
    <n v="15"/>
    <n v="0"/>
    <n v="15"/>
    <n v="300681.81818181818"/>
    <n v="735000"/>
  </r>
  <r>
    <n v="1149"/>
    <x v="881"/>
    <x v="703"/>
    <s v="FRE"/>
    <x v="2"/>
    <n v="20"/>
    <n v="0"/>
    <n v="20"/>
    <n v="400909.09090909088"/>
    <n v="980000"/>
  </r>
  <r>
    <n v="1150"/>
    <x v="882"/>
    <x v="704"/>
    <s v="FRE"/>
    <x v="2"/>
    <n v="25"/>
    <n v="0"/>
    <n v="25"/>
    <n v="501136.36363636359"/>
    <n v="1225000"/>
  </r>
  <r>
    <n v="1151"/>
    <x v="883"/>
    <x v="705"/>
    <s v="FRE"/>
    <x v="2"/>
    <n v="20"/>
    <n v="0"/>
    <n v="20"/>
    <n v="400909.09090909088"/>
    <n v="980000"/>
  </r>
  <r>
    <n v="1152"/>
    <x v="884"/>
    <x v="4"/>
    <m/>
    <x v="1"/>
    <n v="253"/>
    <n v="0"/>
    <n v="255"/>
    <n v="5111590.9090909092"/>
    <n v="12495000"/>
  </r>
  <r>
    <n v="1153"/>
    <x v="885"/>
    <x v="706"/>
    <s v="FRE"/>
    <x v="0"/>
    <n v="0"/>
    <n v="300"/>
    <n v="300"/>
    <n v="2499999.9999999995"/>
    <n v="16500000"/>
  </r>
  <r>
    <n v="1154"/>
    <x v="886"/>
    <x v="707"/>
    <s v="FRE"/>
    <x v="0"/>
    <n v="0"/>
    <n v="500"/>
    <n v="500"/>
    <n v="3712121.2121212119"/>
    <n v="24500000"/>
  </r>
  <r>
    <n v="1155"/>
    <x v="887"/>
    <x v="708"/>
    <s v="FRE"/>
    <x v="0"/>
    <n v="0"/>
    <n v="500"/>
    <n v="500"/>
    <n v="3712121.2121212119"/>
    <n v="24500000"/>
  </r>
  <r>
    <n v="1156"/>
    <x v="888"/>
    <x v="709"/>
    <s v="FRE"/>
    <x v="0"/>
    <n v="0"/>
    <n v="800"/>
    <n v="800"/>
    <n v="4727272.7272727266"/>
    <n v="31200000"/>
  </r>
  <r>
    <n v="1157"/>
    <x v="889"/>
    <x v="710"/>
    <s v="FRE"/>
    <x v="0"/>
    <n v="0"/>
    <n v="800"/>
    <n v="800"/>
    <n v="4727272.7272727266"/>
    <n v="31200000"/>
  </r>
  <r>
    <n v="1158"/>
    <x v="890"/>
    <x v="711"/>
    <s v="FRE"/>
    <x v="0"/>
    <n v="0"/>
    <n v="700"/>
    <n v="700"/>
    <n v="4772727.2727272715"/>
    <n v="31500000"/>
  </r>
  <r>
    <n v="1159"/>
    <x v="891"/>
    <x v="712"/>
    <s v="FRE"/>
    <x v="0"/>
    <n v="0"/>
    <n v="700"/>
    <n v="700"/>
    <n v="4772727.2727272715"/>
    <n v="31500000"/>
  </r>
  <r>
    <n v="1160"/>
    <x v="892"/>
    <x v="713"/>
    <s v="FRE"/>
    <x v="0"/>
    <n v="0"/>
    <n v="700"/>
    <n v="700"/>
    <n v="4772727.2727272715"/>
    <n v="31500000"/>
  </r>
  <r>
    <n v="1161"/>
    <x v="893"/>
    <x v="4"/>
    <m/>
    <x v="1"/>
    <n v="0"/>
    <n v="5000"/>
    <n v="5000"/>
    <n v="33696969.696969695"/>
    <n v="222400000"/>
  </r>
  <r>
    <n v="1162"/>
    <x v="894"/>
    <x v="714"/>
    <s v="FRE"/>
    <x v="0"/>
    <n v="0"/>
    <n v="700"/>
    <n v="700"/>
    <n v="4232103.2"/>
    <n v="31500000"/>
  </r>
  <r>
    <n v="1163"/>
    <x v="895"/>
    <x v="715"/>
    <s v="FRE"/>
    <x v="0"/>
    <n v="0"/>
    <n v="500"/>
    <n v="500"/>
    <n v="2834944.0000000005"/>
    <n v="24500000"/>
  </r>
  <r>
    <n v="1164"/>
    <x v="896"/>
    <x v="716"/>
    <s v="FRE"/>
    <x v="0"/>
    <n v="0"/>
    <n v="1000"/>
    <n v="1000"/>
    <n v="8091200.0000000009"/>
    <n v="49000000"/>
  </r>
  <r>
    <n v="1165"/>
    <x v="897"/>
    <x v="717"/>
    <s v="FRE"/>
    <x v="0"/>
    <n v="0"/>
    <n v="1000"/>
    <n v="1000"/>
    <n v="8091200.0000000009"/>
    <n v="45000000"/>
  </r>
  <r>
    <n v="1166"/>
    <x v="898"/>
    <x v="718"/>
    <s v="FRE"/>
    <x v="0"/>
    <n v="0"/>
    <n v="700"/>
    <n v="700"/>
    <n v="3141195.1999999997"/>
    <n v="31500000"/>
  </r>
  <r>
    <n v="1167"/>
    <x v="899"/>
    <x v="719"/>
    <s v="FRE"/>
    <x v="0"/>
    <n v="0"/>
    <n v="700"/>
    <n v="700"/>
    <n v="5338821.6000000006"/>
    <n v="31500000"/>
  </r>
  <r>
    <n v="1168"/>
    <x v="900"/>
    <x v="720"/>
    <s v="FRE"/>
    <x v="0"/>
    <n v="0"/>
    <n v="500"/>
    <n v="500"/>
    <n v="3319944.0000000005"/>
    <n v="29500000"/>
  </r>
  <r>
    <n v="1169"/>
    <x v="901"/>
    <x v="721"/>
    <s v="FRE"/>
    <x v="0"/>
    <n v="0"/>
    <n v="700"/>
    <n v="700"/>
    <n v="4488994"/>
    <n v="41300000"/>
  </r>
  <r>
    <n v="1170"/>
    <x v="902"/>
    <x v="722"/>
    <s v="FRE"/>
    <x v="0"/>
    <n v="0"/>
    <n v="700"/>
    <n v="700"/>
    <n v="4488994"/>
    <n v="38500000"/>
  </r>
  <r>
    <n v="1171"/>
    <x v="903"/>
    <x v="4"/>
    <m/>
    <x v="1"/>
    <n v="0"/>
    <n v="6500"/>
    <n v="6500"/>
    <n v="44027396.000000007"/>
    <n v="322300000"/>
  </r>
  <r>
    <n v="1172"/>
    <x v="904"/>
    <x v="126"/>
    <s v="FRE"/>
    <x v="0"/>
    <n v="0"/>
    <n v="3000"/>
    <n v="3000"/>
    <n v="33409090.909090906"/>
    <n v="147000000"/>
  </r>
  <r>
    <n v="1173"/>
    <x v="905"/>
    <x v="229"/>
    <s v="FRE"/>
    <x v="0"/>
    <n v="0"/>
    <n v="1000"/>
    <n v="1000"/>
    <n v="11136363.636363637"/>
    <n v="49000000"/>
  </r>
  <r>
    <n v="1174"/>
    <x v="906"/>
    <x v="4"/>
    <m/>
    <x v="1"/>
    <n v="0"/>
    <n v="4000"/>
    <n v="4000"/>
    <n v="44545454.545454547"/>
    <n v="196000000"/>
  </r>
  <r>
    <n v="1175"/>
    <x v="907"/>
    <x v="723"/>
    <s v="FRE"/>
    <x v="0"/>
    <n v="0"/>
    <n v="1500"/>
    <n v="1500"/>
    <n v="7596855"/>
    <n v="64500000"/>
  </r>
  <r>
    <n v="1176"/>
    <x v="908"/>
    <x v="4"/>
    <m/>
    <x v="1"/>
    <n v="0"/>
    <n v="1500"/>
    <n v="1500"/>
    <n v="7596855"/>
    <n v="64500000"/>
  </r>
  <r>
    <n v="1177"/>
    <x v="909"/>
    <x v="724"/>
    <s v="OSM"/>
    <x v="0"/>
    <n v="0"/>
    <n v="550"/>
    <n v="550"/>
    <n v="3155487.5000000005"/>
    <n v="26950000"/>
  </r>
  <r>
    <n v="1178"/>
    <x v="909"/>
    <x v="724"/>
    <s v="OML"/>
    <x v="0"/>
    <n v="0"/>
    <n v="300"/>
    <n v="300"/>
    <n v="1721175.0000000002"/>
    <n v="14700000"/>
  </r>
  <r>
    <n v="1179"/>
    <x v="909"/>
    <x v="724"/>
    <s v="LXL"/>
    <x v="0"/>
    <n v="0"/>
    <n v="150"/>
    <n v="150"/>
    <n v="860587.50000000012"/>
    <n v="7350000"/>
  </r>
  <r>
    <n v="1180"/>
    <x v="910"/>
    <x v="4"/>
    <m/>
    <x v="1"/>
    <n v="0"/>
    <n v="1000"/>
    <n v="1000"/>
    <n v="5737250.0000000009"/>
    <n v="49000000"/>
  </r>
  <r>
    <n v="1181"/>
    <x v="911"/>
    <x v="725"/>
    <s v="OSM"/>
    <x v="0"/>
    <n v="0"/>
    <n v="400"/>
    <n v="400"/>
    <n v="5000000"/>
    <n v="23600000"/>
  </r>
  <r>
    <n v="1182"/>
    <x v="911"/>
    <x v="725"/>
    <s v="OML"/>
    <x v="0"/>
    <n v="0"/>
    <n v="300"/>
    <n v="300"/>
    <n v="3750000"/>
    <n v="17700000"/>
  </r>
  <r>
    <n v="1183"/>
    <x v="912"/>
    <x v="4"/>
    <m/>
    <x v="1"/>
    <n v="0"/>
    <n v="700"/>
    <n v="700"/>
    <n v="8750000"/>
    <n v="41300000"/>
  </r>
  <r>
    <n v="1184"/>
    <x v="913"/>
    <x v="726"/>
    <s v="OXS"/>
    <x v="0"/>
    <n v="0"/>
    <n v="500"/>
    <n v="500"/>
    <n v="2977835"/>
    <n v="22500000"/>
  </r>
  <r>
    <n v="1185"/>
    <x v="913"/>
    <x v="726"/>
    <s v="LXL"/>
    <x v="0"/>
    <n v="0"/>
    <n v="500"/>
    <n v="500"/>
    <n v="2977835"/>
    <n v="22500000"/>
  </r>
  <r>
    <n v="1186"/>
    <x v="914"/>
    <x v="246"/>
    <s v="OXS"/>
    <x v="0"/>
    <n v="0"/>
    <n v="500"/>
    <n v="500"/>
    <n v="3336795"/>
    <n v="22500000"/>
  </r>
  <r>
    <n v="1187"/>
    <x v="914"/>
    <x v="246"/>
    <s v="LXL"/>
    <x v="0"/>
    <n v="0"/>
    <n v="500"/>
    <n v="500"/>
    <n v="3336795"/>
    <n v="22500000"/>
  </r>
  <r>
    <n v="1188"/>
    <x v="915"/>
    <x v="4"/>
    <m/>
    <x v="1"/>
    <n v="0"/>
    <n v="2000"/>
    <n v="2000"/>
    <n v="12629260"/>
    <n v="90000000"/>
  </r>
  <r>
    <n v="1189"/>
    <x v="916"/>
    <x v="727"/>
    <s v="FRE"/>
    <x v="0"/>
    <n v="0"/>
    <n v="500"/>
    <n v="500"/>
    <n v="3829518"/>
    <n v="29500000"/>
  </r>
  <r>
    <n v="1190"/>
    <x v="917"/>
    <x v="4"/>
    <m/>
    <x v="1"/>
    <n v="0"/>
    <n v="500"/>
    <n v="500"/>
    <n v="3829518"/>
    <n v="29500000"/>
  </r>
  <r>
    <n v="1191"/>
    <x v="918"/>
    <x v="728"/>
    <s v="FRE"/>
    <x v="0"/>
    <n v="0"/>
    <n v="300"/>
    <n v="300"/>
    <n v="3037182.0000000009"/>
    <n v="17700000"/>
  </r>
  <r>
    <n v="1192"/>
    <x v="919"/>
    <x v="729"/>
    <s v="FRE"/>
    <x v="0"/>
    <n v="0"/>
    <n v="300"/>
    <n v="300"/>
    <n v="2625540.0000000005"/>
    <n v="16500000"/>
  </r>
  <r>
    <n v="1193"/>
    <x v="920"/>
    <x v="730"/>
    <s v="FRE"/>
    <x v="0"/>
    <n v="0"/>
    <n v="400"/>
    <n v="400"/>
    <n v="3500720.0000000005"/>
    <n v="23600000"/>
  </r>
  <r>
    <n v="1194"/>
    <x v="921"/>
    <x v="731"/>
    <s v="FRE"/>
    <x v="0"/>
    <n v="0"/>
    <n v="400"/>
    <n v="400"/>
    <n v="3333333.333333333"/>
    <n v="22000000"/>
  </r>
  <r>
    <n v="1195"/>
    <x v="922"/>
    <x v="732"/>
    <s v="FRE"/>
    <x v="0"/>
    <n v="0"/>
    <n v="300"/>
    <n v="300"/>
    <n v="3299136.0000000009"/>
    <n v="14700000"/>
  </r>
  <r>
    <n v="1196"/>
    <x v="923"/>
    <x v="4"/>
    <m/>
    <x v="1"/>
    <n v="0"/>
    <n v="1700"/>
    <n v="1700"/>
    <n v="15795911.333333336"/>
    <n v="94500000"/>
  </r>
  <r>
    <n v="1197"/>
    <x v="924"/>
    <x v="655"/>
    <s v="FRE"/>
    <x v="2"/>
    <n v="70"/>
    <n v="0"/>
    <n v="70"/>
    <n v="1403181.8181818181"/>
    <n v="3430000"/>
  </r>
  <r>
    <n v="1198"/>
    <x v="925"/>
    <x v="656"/>
    <s v="FRE"/>
    <x v="2"/>
    <n v="35"/>
    <n v="0"/>
    <n v="35"/>
    <n v="701590.90909090906"/>
    <n v="1715000"/>
  </r>
  <r>
    <n v="1199"/>
    <x v="926"/>
    <x v="733"/>
    <s v="FRE"/>
    <x v="2"/>
    <n v="70"/>
    <n v="0"/>
    <n v="70"/>
    <n v="1403181.8181818181"/>
    <n v="3430000"/>
  </r>
  <r>
    <n v="1200"/>
    <x v="927"/>
    <x v="734"/>
    <s v="FRE"/>
    <x v="2"/>
    <n v="35"/>
    <n v="0"/>
    <n v="35"/>
    <n v="701590.90909090906"/>
    <n v="1715000"/>
  </r>
  <r>
    <n v="1201"/>
    <x v="928"/>
    <x v="735"/>
    <s v="FRE"/>
    <x v="2"/>
    <n v="80"/>
    <n v="0"/>
    <n v="80"/>
    <n v="1603636.3636363635"/>
    <n v="3920000"/>
  </r>
  <r>
    <n v="1202"/>
    <x v="929"/>
    <x v="659"/>
    <s v="FRE"/>
    <x v="2"/>
    <n v="35"/>
    <n v="0"/>
    <n v="35"/>
    <n v="701590.90909090906"/>
    <n v="1715000"/>
  </r>
  <r>
    <n v="1203"/>
    <x v="930"/>
    <x v="662"/>
    <s v="FRE"/>
    <x v="2"/>
    <n v="50"/>
    <n v="0"/>
    <n v="50"/>
    <n v="1002272.7272727272"/>
    <n v="2450000"/>
  </r>
  <r>
    <n v="1204"/>
    <x v="931"/>
    <x v="663"/>
    <s v="FRE"/>
    <x v="2"/>
    <n v="50"/>
    <n v="0"/>
    <n v="50"/>
    <n v="1002272.7272727272"/>
    <n v="2450000"/>
  </r>
  <r>
    <n v="1205"/>
    <x v="932"/>
    <x v="736"/>
    <s v="FRE"/>
    <x v="2"/>
    <n v="190"/>
    <n v="0"/>
    <n v="200"/>
    <n v="4009090.9090909087"/>
    <n v="9800000"/>
  </r>
  <r>
    <n v="1206"/>
    <x v="933"/>
    <x v="737"/>
    <s v="FRE"/>
    <x v="2"/>
    <n v="85"/>
    <n v="0"/>
    <n v="85"/>
    <n v="1703863.6363636362"/>
    <n v="4165000"/>
  </r>
  <r>
    <n v="1207"/>
    <x v="934"/>
    <x v="738"/>
    <s v="FRE"/>
    <x v="2"/>
    <n v="80"/>
    <n v="0"/>
    <n v="80"/>
    <n v="1603636.3636363635"/>
    <n v="3920000"/>
  </r>
  <r>
    <n v="1208"/>
    <x v="935"/>
    <x v="739"/>
    <s v="FRE"/>
    <x v="2"/>
    <n v="80"/>
    <n v="0"/>
    <n v="80"/>
    <n v="1603636.3636363635"/>
    <n v="3920000"/>
  </r>
  <r>
    <n v="1209"/>
    <x v="936"/>
    <x v="664"/>
    <s v="FRE"/>
    <x v="2"/>
    <n v="50"/>
    <n v="0"/>
    <n v="50"/>
    <n v="1206818.1818181819"/>
    <n v="2950000"/>
  </r>
  <r>
    <n v="1210"/>
    <x v="937"/>
    <x v="740"/>
    <s v="FRE"/>
    <x v="2"/>
    <n v="120"/>
    <n v="0"/>
    <n v="120"/>
    <n v="2405454.5454545454"/>
    <n v="5880000"/>
  </r>
  <r>
    <n v="1211"/>
    <x v="938"/>
    <x v="741"/>
    <s v="FRE"/>
    <x v="2"/>
    <n v="135"/>
    <n v="0"/>
    <n v="135"/>
    <n v="2706136.3636363633"/>
    <n v="6615000"/>
  </r>
  <r>
    <n v="1212"/>
    <x v="939"/>
    <x v="742"/>
    <s v="FRE"/>
    <x v="2"/>
    <n v="35"/>
    <n v="0"/>
    <n v="35"/>
    <n v="701590.90909090906"/>
    <n v="1715000"/>
  </r>
  <r>
    <n v="1213"/>
    <x v="940"/>
    <x v="743"/>
    <s v="FRE"/>
    <x v="2"/>
    <n v="15"/>
    <n v="0"/>
    <n v="15"/>
    <n v="300681.81818181818"/>
    <n v="735000"/>
  </r>
  <r>
    <n v="1214"/>
    <x v="941"/>
    <x v="744"/>
    <s v="FRE"/>
    <x v="2"/>
    <n v="50"/>
    <n v="0"/>
    <n v="50"/>
    <n v="1002272.7272727272"/>
    <n v="2450000"/>
  </r>
  <r>
    <n v="1215"/>
    <x v="942"/>
    <x v="745"/>
    <s v="FRE"/>
    <x v="2"/>
    <n v="35"/>
    <n v="0"/>
    <n v="35"/>
    <n v="701590.90909090906"/>
    <n v="1715000"/>
  </r>
  <r>
    <n v="1216"/>
    <x v="943"/>
    <x v="746"/>
    <s v="FRE"/>
    <x v="2"/>
    <n v="85"/>
    <n v="0"/>
    <n v="85"/>
    <n v="1703863.6363636362"/>
    <n v="4165000"/>
  </r>
  <r>
    <n v="1217"/>
    <x v="944"/>
    <x v="747"/>
    <s v="FRE"/>
    <x v="2"/>
    <n v="130"/>
    <n v="0"/>
    <n v="130"/>
    <n v="2393181.8181818179"/>
    <n v="5850000"/>
  </r>
  <r>
    <n v="1218"/>
    <x v="945"/>
    <x v="748"/>
    <s v="FRE"/>
    <x v="2"/>
    <n v="80"/>
    <n v="0"/>
    <n v="80"/>
    <n v="1603636.3636363635"/>
    <n v="3920000"/>
  </r>
  <r>
    <n v="1219"/>
    <x v="946"/>
    <x v="749"/>
    <s v="FRE"/>
    <x v="2"/>
    <n v="80"/>
    <n v="0"/>
    <n v="80"/>
    <n v="1603636.3636363635"/>
    <n v="3920000"/>
  </r>
  <r>
    <n v="1220"/>
    <x v="947"/>
    <x v="750"/>
    <s v="FRE"/>
    <x v="2"/>
    <n v="30"/>
    <n v="0"/>
    <n v="30"/>
    <n v="601363.63636363635"/>
    <n v="1470000"/>
  </r>
  <r>
    <n v="1221"/>
    <x v="948"/>
    <x v="751"/>
    <s v="FRE"/>
    <x v="2"/>
    <n v="30"/>
    <n v="0"/>
    <n v="30"/>
    <n v="601363.63636363635"/>
    <n v="1470000"/>
  </r>
  <r>
    <n v="1222"/>
    <x v="949"/>
    <x v="752"/>
    <s v="FRE"/>
    <x v="2"/>
    <n v="30"/>
    <n v="0"/>
    <n v="30"/>
    <n v="601363.63636363635"/>
    <n v="1470000"/>
  </r>
  <r>
    <n v="1223"/>
    <x v="950"/>
    <x v="753"/>
    <s v="FRE"/>
    <x v="2"/>
    <n v="27"/>
    <n v="0"/>
    <n v="30"/>
    <n v="601363.63636363635"/>
    <n v="1470000"/>
  </r>
  <r>
    <n v="1224"/>
    <x v="951"/>
    <x v="754"/>
    <s v="FRE"/>
    <x v="2"/>
    <n v="30"/>
    <n v="0"/>
    <n v="30"/>
    <n v="601363.63636363635"/>
    <n v="1470000"/>
  </r>
  <r>
    <n v="1225"/>
    <x v="952"/>
    <x v="755"/>
    <s v="FRE"/>
    <x v="2"/>
    <n v="150"/>
    <n v="0"/>
    <n v="150"/>
    <n v="3006818.1818181816"/>
    <n v="7350000"/>
  </r>
  <r>
    <n v="1226"/>
    <x v="953"/>
    <x v="756"/>
    <s v="FRE"/>
    <x v="2"/>
    <n v="150"/>
    <n v="0"/>
    <n v="150"/>
    <n v="3006818.1818181816"/>
    <n v="7350000"/>
  </r>
  <r>
    <n v="1227"/>
    <x v="954"/>
    <x v="757"/>
    <s v="FRE"/>
    <x v="2"/>
    <n v="30"/>
    <n v="0"/>
    <n v="30"/>
    <n v="601363.63636363635"/>
    <n v="1470000"/>
  </r>
  <r>
    <n v="1228"/>
    <x v="955"/>
    <x v="4"/>
    <m/>
    <x v="1"/>
    <n v="2152"/>
    <n v="0"/>
    <n v="2165"/>
    <n v="43390227.272727251"/>
    <n v="106065000"/>
  </r>
  <r>
    <n v="1229"/>
    <x v="956"/>
    <x v="758"/>
    <s v="FRE"/>
    <x v="0"/>
    <n v="0"/>
    <n v="1000"/>
    <n v="1000"/>
    <n v="13500000"/>
    <n v="65000000"/>
  </r>
  <r>
    <n v="1230"/>
    <x v="957"/>
    <x v="4"/>
    <m/>
    <x v="1"/>
    <n v="0"/>
    <n v="1000"/>
    <n v="1000"/>
    <n v="13500000"/>
    <n v="65000000"/>
  </r>
  <r>
    <n v="1231"/>
    <x v="958"/>
    <x v="759"/>
    <s v="FRE"/>
    <x v="0"/>
    <n v="0"/>
    <n v="700"/>
    <n v="700"/>
    <n v="4420325"/>
    <n v="34300000"/>
  </r>
  <r>
    <n v="1232"/>
    <x v="959"/>
    <x v="760"/>
    <s v="OXS"/>
    <x v="0"/>
    <n v="0"/>
    <n v="150"/>
    <n v="150"/>
    <n v="877912.5"/>
    <n v="6450000"/>
  </r>
  <r>
    <n v="1233"/>
    <x v="959"/>
    <x v="760"/>
    <s v="OSM"/>
    <x v="0"/>
    <n v="0"/>
    <n v="250"/>
    <n v="250"/>
    <n v="1463187.5"/>
    <n v="10750000"/>
  </r>
  <r>
    <n v="1234"/>
    <x v="959"/>
    <x v="760"/>
    <s v="OML"/>
    <x v="0"/>
    <n v="0"/>
    <n v="100"/>
    <n v="100"/>
    <n v="585275"/>
    <n v="4300000"/>
  </r>
  <r>
    <n v="1235"/>
    <x v="959"/>
    <x v="760"/>
    <s v="LXL"/>
    <x v="0"/>
    <n v="0"/>
    <n v="200"/>
    <n v="200"/>
    <n v="1170550"/>
    <n v="8600000"/>
  </r>
  <r>
    <n v="1236"/>
    <x v="960"/>
    <x v="761"/>
    <s v="OXS"/>
    <x v="0"/>
    <n v="0"/>
    <n v="100"/>
    <n v="100"/>
    <n v="608375"/>
    <n v="4300000"/>
  </r>
  <r>
    <n v="1237"/>
    <x v="960"/>
    <x v="761"/>
    <s v="OSM"/>
    <x v="0"/>
    <n v="0"/>
    <n v="300"/>
    <n v="300"/>
    <n v="1825125"/>
    <n v="12900000"/>
  </r>
  <r>
    <n v="1238"/>
    <x v="960"/>
    <x v="761"/>
    <s v="OML"/>
    <x v="0"/>
    <n v="0"/>
    <n v="100"/>
    <n v="100"/>
    <n v="608375"/>
    <n v="4300000"/>
  </r>
  <r>
    <n v="1239"/>
    <x v="960"/>
    <x v="761"/>
    <s v="LXL"/>
    <x v="0"/>
    <n v="0"/>
    <n v="200"/>
    <n v="200"/>
    <n v="1216750"/>
    <n v="8600000"/>
  </r>
  <r>
    <n v="1240"/>
    <x v="961"/>
    <x v="762"/>
    <s v="OSM"/>
    <x v="0"/>
    <n v="0"/>
    <n v="100"/>
    <n v="100"/>
    <n v="591049.99999999988"/>
    <n v="4300000"/>
  </r>
  <r>
    <n v="1241"/>
    <x v="961"/>
    <x v="762"/>
    <s v="LXL"/>
    <x v="0"/>
    <n v="0"/>
    <n v="200"/>
    <n v="200"/>
    <n v="1182099.9999999998"/>
    <n v="8600000"/>
  </r>
  <r>
    <n v="1242"/>
    <x v="962"/>
    <x v="763"/>
    <s v="OSM"/>
    <x v="0"/>
    <n v="0"/>
    <n v="200"/>
    <n v="200"/>
    <n v="1124350"/>
    <n v="9000000"/>
  </r>
  <r>
    <n v="1243"/>
    <x v="962"/>
    <x v="763"/>
    <s v="OML"/>
    <x v="0"/>
    <n v="0"/>
    <n v="100"/>
    <n v="100"/>
    <n v="562175"/>
    <n v="4500000"/>
  </r>
  <r>
    <n v="1244"/>
    <x v="962"/>
    <x v="763"/>
    <s v="LXL"/>
    <x v="0"/>
    <n v="0"/>
    <n v="200"/>
    <n v="200"/>
    <n v="1124350"/>
    <n v="9000000"/>
  </r>
  <r>
    <n v="1245"/>
    <x v="963"/>
    <x v="4"/>
    <m/>
    <x v="1"/>
    <n v="0"/>
    <n v="2900"/>
    <n v="2900"/>
    <n v="17359900"/>
    <n v="129900000"/>
  </r>
  <r>
    <n v="1246"/>
    <x v="964"/>
    <x v="764"/>
    <s v="FRE"/>
    <x v="0"/>
    <n v="0"/>
    <n v="1000"/>
    <n v="1000"/>
    <n v="7662337.6623376617"/>
    <n v="59000000"/>
  </r>
  <r>
    <n v="1247"/>
    <x v="965"/>
    <x v="4"/>
    <m/>
    <x v="1"/>
    <n v="0"/>
    <n v="1000"/>
    <n v="1000"/>
    <n v="7662337.6623376617"/>
    <n v="59000000"/>
  </r>
  <r>
    <n v="1248"/>
    <x v="966"/>
    <x v="765"/>
    <s v="FRE"/>
    <x v="0"/>
    <n v="0"/>
    <n v="1000"/>
    <n v="1000"/>
    <n v="5844155.8441558434"/>
    <n v="45000000"/>
  </r>
  <r>
    <n v="1249"/>
    <x v="967"/>
    <x v="4"/>
    <m/>
    <x v="1"/>
    <n v="0"/>
    <n v="1000"/>
    <n v="1000"/>
    <n v="5844155.8441558434"/>
    <n v="45000000"/>
  </r>
  <r>
    <n v="1250"/>
    <x v="968"/>
    <x v="766"/>
    <s v="FRE"/>
    <x v="0"/>
    <n v="0"/>
    <n v="1000"/>
    <n v="1000"/>
    <n v="6818181.8181818174"/>
    <n v="45000000"/>
  </r>
  <r>
    <n v="1251"/>
    <x v="969"/>
    <x v="115"/>
    <s v="FRE"/>
    <x v="0"/>
    <n v="0"/>
    <n v="2000"/>
    <n v="2000"/>
    <n v="10606060.606060605"/>
    <n v="70000000"/>
  </r>
  <r>
    <n v="1252"/>
    <x v="970"/>
    <x v="4"/>
    <m/>
    <x v="1"/>
    <n v="0"/>
    <n v="3000"/>
    <n v="3000"/>
    <n v="17424242.424242422"/>
    <n v="115000000"/>
  </r>
  <r>
    <n v="1253"/>
    <x v="971"/>
    <x v="767"/>
    <s v="FRE"/>
    <x v="0"/>
    <n v="0"/>
    <n v="1000"/>
    <n v="1000"/>
    <n v="6673590"/>
    <n v="45000000"/>
  </r>
  <r>
    <n v="1254"/>
    <x v="972"/>
    <x v="768"/>
    <s v="FRE"/>
    <x v="0"/>
    <n v="0"/>
    <n v="700"/>
    <n v="700"/>
    <n v="4671513"/>
    <n v="31500000"/>
  </r>
  <r>
    <n v="1255"/>
    <x v="973"/>
    <x v="118"/>
    <s v="FRE"/>
    <x v="0"/>
    <n v="0"/>
    <n v="3000"/>
    <n v="3000"/>
    <n v="14285178.000000002"/>
    <n v="87000000"/>
  </r>
  <r>
    <n v="1256"/>
    <x v="974"/>
    <x v="119"/>
    <s v="FRE"/>
    <x v="0"/>
    <n v="0"/>
    <n v="5000"/>
    <n v="5000"/>
    <n v="22658630.000000004"/>
    <n v="145000000"/>
  </r>
  <r>
    <n v="1257"/>
    <x v="975"/>
    <x v="122"/>
    <s v="FRE"/>
    <x v="0"/>
    <n v="0"/>
    <n v="3000"/>
    <n v="3000"/>
    <n v="15302178.000000002"/>
    <n v="87000000"/>
  </r>
  <r>
    <n v="1258"/>
    <x v="976"/>
    <x v="4"/>
    <m/>
    <x v="1"/>
    <n v="0"/>
    <n v="12700"/>
    <n v="12700"/>
    <n v="63591089"/>
    <n v="395500000"/>
  </r>
  <r>
    <n v="1259"/>
    <x v="977"/>
    <x v="124"/>
    <s v="OSM"/>
    <x v="0"/>
    <n v="0"/>
    <n v="2000"/>
    <n v="2000"/>
    <n v="13020980.000000002"/>
    <n v="58000000"/>
  </r>
  <r>
    <n v="1260"/>
    <x v="977"/>
    <x v="124"/>
    <s v="OML"/>
    <x v="0"/>
    <n v="0"/>
    <n v="1500"/>
    <n v="1500"/>
    <n v="9765735.0000000019"/>
    <n v="43500000"/>
  </r>
  <r>
    <n v="1261"/>
    <x v="978"/>
    <x v="4"/>
    <m/>
    <x v="1"/>
    <n v="0"/>
    <n v="3500"/>
    <n v="3500"/>
    <n v="22786715.000000004"/>
    <n v="101500000"/>
  </r>
  <r>
    <n v="1262"/>
    <x v="979"/>
    <x v="231"/>
    <s v="FRE"/>
    <x v="0"/>
    <n v="0"/>
    <n v="1000"/>
    <n v="1000"/>
    <n v="10020000"/>
    <n v="49000000"/>
  </r>
  <r>
    <n v="1263"/>
    <x v="980"/>
    <x v="4"/>
    <m/>
    <x v="1"/>
    <n v="0"/>
    <n v="1000"/>
    <n v="1000"/>
    <n v="10020000"/>
    <n v="49000000"/>
  </r>
  <r>
    <n v="1264"/>
    <x v="981"/>
    <x v="342"/>
    <s v="FRE"/>
    <x v="0"/>
    <n v="0"/>
    <n v="1000"/>
    <n v="1000"/>
    <n v="9000000"/>
    <n v="55000000"/>
  </r>
  <r>
    <n v="1265"/>
    <x v="982"/>
    <x v="343"/>
    <s v="FRE"/>
    <x v="0"/>
    <n v="0"/>
    <n v="2000"/>
    <n v="2000"/>
    <n v="18000000"/>
    <n v="110000000"/>
  </r>
  <r>
    <n v="1266"/>
    <x v="983"/>
    <x v="603"/>
    <s v="FRE"/>
    <x v="0"/>
    <n v="0"/>
    <n v="1000"/>
    <n v="1000"/>
    <n v="9000000"/>
    <n v="55000000"/>
  </r>
  <r>
    <n v="1267"/>
    <x v="984"/>
    <x v="4"/>
    <m/>
    <x v="1"/>
    <n v="0"/>
    <n v="4000"/>
    <n v="4000"/>
    <n v="36000000"/>
    <n v="220000000"/>
  </r>
  <r>
    <n v="1268"/>
    <x v="985"/>
    <x v="769"/>
    <s v="FRE"/>
    <x v="0"/>
    <n v="0"/>
    <n v="1000"/>
    <n v="1000"/>
    <n v="25720000"/>
    <n v="139000000"/>
  </r>
  <r>
    <n v="1269"/>
    <x v="986"/>
    <x v="336"/>
    <s v="OMM"/>
    <x v="0"/>
    <n v="0"/>
    <n v="700"/>
    <n v="700"/>
    <n v="16044000"/>
    <n v="76300000"/>
  </r>
  <r>
    <n v="1270"/>
    <x v="987"/>
    <x v="770"/>
    <s v="FRE"/>
    <x v="0"/>
    <n v="0"/>
    <n v="500"/>
    <n v="500"/>
    <n v="12510000"/>
    <n v="49500000"/>
  </r>
  <r>
    <n v="1271"/>
    <x v="988"/>
    <x v="771"/>
    <s v="OSS"/>
    <x v="0"/>
    <n v="0"/>
    <n v="500"/>
    <n v="500"/>
    <n v="9510000"/>
    <n v="44500000"/>
  </r>
  <r>
    <n v="1272"/>
    <x v="989"/>
    <x v="772"/>
    <s v="OMM"/>
    <x v="0"/>
    <n v="0"/>
    <n v="500"/>
    <n v="500"/>
    <n v="11460000"/>
    <n v="54500000"/>
  </r>
  <r>
    <n v="1273"/>
    <x v="990"/>
    <x v="773"/>
    <s v="FRE"/>
    <x v="0"/>
    <n v="0"/>
    <n v="500"/>
    <n v="500"/>
    <n v="12860000"/>
    <n v="69500000"/>
  </r>
  <r>
    <n v="1274"/>
    <x v="991"/>
    <x v="774"/>
    <s v="OMM"/>
    <x v="0"/>
    <n v="0"/>
    <n v="500"/>
    <n v="500"/>
    <n v="11460000"/>
    <n v="54500000"/>
  </r>
  <r>
    <n v="1275"/>
    <x v="992"/>
    <x v="338"/>
    <s v="OMM"/>
    <x v="0"/>
    <n v="0"/>
    <n v="1000"/>
    <n v="1000"/>
    <n v="22920000"/>
    <n v="109000000"/>
  </r>
  <r>
    <n v="1276"/>
    <x v="993"/>
    <x v="775"/>
    <s v="OSS"/>
    <x v="0"/>
    <n v="0"/>
    <n v="500"/>
    <n v="500"/>
    <n v="10010000"/>
    <n v="49500000"/>
  </r>
  <r>
    <n v="1277"/>
    <x v="994"/>
    <x v="776"/>
    <s v="OSS"/>
    <x v="0"/>
    <n v="0"/>
    <n v="500"/>
    <n v="500"/>
    <n v="11260000"/>
    <n v="49500000"/>
  </r>
  <r>
    <n v="1278"/>
    <x v="995"/>
    <x v="0"/>
    <s v="FRE"/>
    <x v="0"/>
    <n v="0"/>
    <n v="500"/>
    <n v="500"/>
    <n v="5010000"/>
    <n v="22500000"/>
  </r>
  <r>
    <n v="1279"/>
    <x v="996"/>
    <x v="3"/>
    <s v="FRE"/>
    <x v="0"/>
    <n v="0"/>
    <n v="500"/>
    <n v="500"/>
    <n v="5010000"/>
    <n v="22500000"/>
  </r>
  <r>
    <n v="1280"/>
    <x v="997"/>
    <x v="4"/>
    <m/>
    <x v="1"/>
    <n v="0"/>
    <n v="7200"/>
    <n v="7200"/>
    <n v="153774000"/>
    <n v="740800000"/>
  </r>
  <r>
    <n v="1281"/>
    <x v="998"/>
    <x v="777"/>
    <s v="FRE"/>
    <x v="2"/>
    <n v="300"/>
    <n v="0"/>
    <n v="300"/>
    <n v="6013636.3636363633"/>
    <n v="14700000"/>
  </r>
  <r>
    <n v="1282"/>
    <x v="999"/>
    <x v="778"/>
    <s v="FRE"/>
    <x v="2"/>
    <n v="150"/>
    <n v="0"/>
    <n v="150"/>
    <n v="3006818.1818181816"/>
    <n v="7350000"/>
  </r>
  <r>
    <n v="1283"/>
    <x v="1000"/>
    <x v="653"/>
    <s v="FRE"/>
    <x v="2"/>
    <n v="50"/>
    <n v="0"/>
    <n v="50"/>
    <n v="1002272.7272727272"/>
    <n v="2450000"/>
  </r>
  <r>
    <n v="1284"/>
    <x v="1001"/>
    <x v="779"/>
    <s v="FRE"/>
    <x v="2"/>
    <n v="100"/>
    <n v="0"/>
    <n v="100"/>
    <n v="2004545.4545454544"/>
    <n v="4900000"/>
  </r>
  <r>
    <n v="1285"/>
    <x v="1002"/>
    <x v="654"/>
    <s v="FRE"/>
    <x v="2"/>
    <n v="100"/>
    <n v="0"/>
    <n v="100"/>
    <n v="2004545.4545454544"/>
    <n v="4900000"/>
  </r>
  <r>
    <n v="1286"/>
    <x v="1003"/>
    <x v="655"/>
    <s v="FRE"/>
    <x v="2"/>
    <n v="150"/>
    <n v="0"/>
    <n v="150"/>
    <n v="3006818.1818181816"/>
    <n v="7350000"/>
  </r>
  <r>
    <n v="1287"/>
    <x v="1004"/>
    <x v="780"/>
    <s v="FRE"/>
    <x v="2"/>
    <n v="150"/>
    <n v="0"/>
    <n v="150"/>
    <n v="3006818.1818181816"/>
    <n v="7350000"/>
  </r>
  <r>
    <n v="1288"/>
    <x v="1005"/>
    <x v="657"/>
    <s v="FRE"/>
    <x v="2"/>
    <n v="150"/>
    <n v="0"/>
    <n v="150"/>
    <n v="3006818.1818181816"/>
    <n v="7350000"/>
  </r>
  <r>
    <n v="1289"/>
    <x v="1006"/>
    <x v="658"/>
    <s v="FRE"/>
    <x v="2"/>
    <n v="150"/>
    <n v="0"/>
    <n v="150"/>
    <n v="3006818.1818181816"/>
    <n v="7350000"/>
  </r>
  <r>
    <n v="1290"/>
    <x v="1007"/>
    <x v="735"/>
    <s v="FRE"/>
    <x v="2"/>
    <n v="100"/>
    <n v="0"/>
    <n v="100"/>
    <n v="2004545.4545454544"/>
    <n v="4900000"/>
  </r>
  <r>
    <n v="1291"/>
    <x v="1008"/>
    <x v="659"/>
    <s v="FRE"/>
    <x v="2"/>
    <n v="80"/>
    <n v="0"/>
    <n v="80"/>
    <n v="1603636.3636363635"/>
    <n v="3920000"/>
  </r>
  <r>
    <n v="1292"/>
    <x v="1009"/>
    <x v="660"/>
    <s v="FRE"/>
    <x v="2"/>
    <n v="200"/>
    <n v="0"/>
    <n v="200"/>
    <n v="4009090.9090909087"/>
    <n v="9800000"/>
  </r>
  <r>
    <n v="1293"/>
    <x v="1010"/>
    <x v="662"/>
    <s v="FRE"/>
    <x v="2"/>
    <n v="200"/>
    <n v="0"/>
    <n v="200"/>
    <n v="4009090.9090909087"/>
    <n v="9800000"/>
  </r>
  <r>
    <n v="1294"/>
    <x v="1011"/>
    <x v="663"/>
    <s v="FRE"/>
    <x v="2"/>
    <n v="100"/>
    <n v="0"/>
    <n v="100"/>
    <n v="2004545.4545454544"/>
    <n v="4900000"/>
  </r>
  <r>
    <n v="1295"/>
    <x v="1012"/>
    <x v="736"/>
    <s v="FRE"/>
    <x v="2"/>
    <n v="200"/>
    <n v="0"/>
    <n v="200"/>
    <n v="4009090.9090909087"/>
    <n v="9800000"/>
  </r>
  <r>
    <n v="1296"/>
    <x v="1013"/>
    <x v="739"/>
    <s v="FRE"/>
    <x v="2"/>
    <n v="120"/>
    <n v="0"/>
    <n v="150"/>
    <n v="3006818.1818181816"/>
    <n v="7350000"/>
  </r>
  <r>
    <n v="1297"/>
    <x v="1014"/>
    <x v="664"/>
    <s v="FRE"/>
    <x v="2"/>
    <n v="100"/>
    <n v="0"/>
    <n v="100"/>
    <n v="2413636.3636363638"/>
    <n v="5900000"/>
  </r>
  <r>
    <n v="1298"/>
    <x v="1015"/>
    <x v="781"/>
    <s v="FRE"/>
    <x v="2"/>
    <n v="200"/>
    <n v="0"/>
    <n v="200"/>
    <n v="4009090.9090909087"/>
    <n v="9800000"/>
  </r>
  <r>
    <n v="1299"/>
    <x v="1016"/>
    <x v="742"/>
    <s v="FRE"/>
    <x v="2"/>
    <n v="80"/>
    <n v="0"/>
    <n v="80"/>
    <n v="1603636.3636363635"/>
    <n v="3920000"/>
  </r>
  <r>
    <n v="1300"/>
    <x v="1017"/>
    <x v="743"/>
    <s v="FRE"/>
    <x v="2"/>
    <n v="100"/>
    <n v="0"/>
    <n v="100"/>
    <n v="2004545.4545454544"/>
    <n v="4900000"/>
  </r>
  <r>
    <n v="1301"/>
    <x v="1018"/>
    <x v="745"/>
    <s v="FRE"/>
    <x v="2"/>
    <n v="80"/>
    <n v="0"/>
    <n v="80"/>
    <n v="1603636.3636363635"/>
    <n v="3920000"/>
  </r>
  <r>
    <n v="1302"/>
    <x v="1019"/>
    <x v="782"/>
    <s v="FRE"/>
    <x v="2"/>
    <n v="50"/>
    <n v="0"/>
    <n v="50"/>
    <n v="1002272.7272727272"/>
    <n v="2450000"/>
  </r>
  <r>
    <n v="1303"/>
    <x v="1020"/>
    <x v="746"/>
    <s v="FRE"/>
    <x v="2"/>
    <n v="80"/>
    <n v="0"/>
    <n v="80"/>
    <n v="1603636.3636363635"/>
    <n v="3920000"/>
  </r>
  <r>
    <n v="1304"/>
    <x v="1021"/>
    <x v="747"/>
    <s v="FRE"/>
    <x v="2"/>
    <n v="50"/>
    <n v="0"/>
    <n v="50"/>
    <n v="920454.54545454541"/>
    <n v="2250000"/>
  </r>
  <r>
    <n v="1305"/>
    <x v="1022"/>
    <x v="783"/>
    <s v="FRE"/>
    <x v="2"/>
    <n v="150"/>
    <n v="0"/>
    <n v="150"/>
    <n v="3006818.1818181816"/>
    <n v="7350000"/>
  </r>
  <r>
    <n v="1306"/>
    <x v="1023"/>
    <x v="4"/>
    <m/>
    <x v="1"/>
    <n v="3190"/>
    <n v="0"/>
    <n v="3220"/>
    <n v="64873636.36363636"/>
    <n v="158580000"/>
  </r>
  <r>
    <n v="1307"/>
    <x v="1024"/>
    <x v="784"/>
    <s v="FRE"/>
    <x v="0"/>
    <n v="0"/>
    <n v="1000"/>
    <n v="1000"/>
    <n v="6363636.3636363633"/>
    <n v="49000000"/>
  </r>
  <r>
    <n v="1308"/>
    <x v="1025"/>
    <x v="785"/>
    <s v="FRE"/>
    <x v="0"/>
    <n v="0"/>
    <n v="500"/>
    <n v="500"/>
    <n v="3181818.1818181816"/>
    <n v="24500000"/>
  </r>
  <r>
    <n v="1309"/>
    <x v="1026"/>
    <x v="786"/>
    <s v="FRE"/>
    <x v="0"/>
    <n v="0"/>
    <n v="1000"/>
    <n v="1000"/>
    <n v="5584415.5844155839"/>
    <n v="43000000"/>
  </r>
  <r>
    <n v="1310"/>
    <x v="1027"/>
    <x v="787"/>
    <s v="FRE"/>
    <x v="0"/>
    <n v="0"/>
    <n v="700"/>
    <n v="700"/>
    <n v="3909090.9090909087"/>
    <n v="30100000"/>
  </r>
  <r>
    <n v="1311"/>
    <x v="1028"/>
    <x v="4"/>
    <m/>
    <x v="1"/>
    <n v="0"/>
    <n v="3200"/>
    <n v="3200"/>
    <n v="19038961.038961038"/>
    <n v="146600000"/>
  </r>
  <r>
    <n v="1312"/>
    <x v="1029"/>
    <x v="788"/>
    <s v="FRE"/>
    <x v="0"/>
    <n v="0"/>
    <n v="1000"/>
    <n v="1000"/>
    <n v="4949494.9494949495"/>
    <n v="49000000"/>
  </r>
  <r>
    <n v="1313"/>
    <x v="1030"/>
    <x v="789"/>
    <s v="FRE"/>
    <x v="0"/>
    <n v="0"/>
    <n v="1000"/>
    <n v="1000"/>
    <n v="4545454.5454545449"/>
    <n v="45000000"/>
  </r>
  <r>
    <n v="1314"/>
    <x v="1031"/>
    <x v="790"/>
    <s v="FRE"/>
    <x v="0"/>
    <n v="0"/>
    <n v="1000"/>
    <n v="1000"/>
    <n v="5959595.9595959596"/>
    <n v="59000000"/>
  </r>
  <r>
    <n v="1315"/>
    <x v="1032"/>
    <x v="791"/>
    <s v="FRE"/>
    <x v="0"/>
    <n v="0"/>
    <n v="1000"/>
    <n v="1000"/>
    <n v="5555555.555555555"/>
    <n v="55000000"/>
  </r>
  <r>
    <n v="1316"/>
    <x v="1033"/>
    <x v="792"/>
    <s v="FRE"/>
    <x v="0"/>
    <n v="0"/>
    <n v="1000"/>
    <n v="1000"/>
    <n v="4949494.9494949495"/>
    <n v="49000000"/>
  </r>
  <r>
    <n v="1317"/>
    <x v="1034"/>
    <x v="4"/>
    <m/>
    <x v="1"/>
    <n v="0"/>
    <n v="5000"/>
    <n v="5000"/>
    <n v="25959595.95959596"/>
    <n v="257000000"/>
  </r>
  <r>
    <n v="1318"/>
    <x v="1035"/>
    <x v="793"/>
    <s v="FRE"/>
    <x v="0"/>
    <n v="0"/>
    <n v="700"/>
    <n v="700"/>
    <n v="5196969.6969696973"/>
    <n v="34300000"/>
  </r>
  <r>
    <n v="1319"/>
    <x v="1036"/>
    <x v="794"/>
    <s v="FRE"/>
    <x v="0"/>
    <n v="0"/>
    <n v="700"/>
    <n v="700"/>
    <n v="4772727.2727272715"/>
    <n v="31500000"/>
  </r>
  <r>
    <n v="1320"/>
    <x v="1037"/>
    <x v="795"/>
    <s v="FRE"/>
    <x v="0"/>
    <n v="0"/>
    <n v="500"/>
    <n v="500"/>
    <n v="2954545.4545454541"/>
    <n v="19500000"/>
  </r>
  <r>
    <n v="1321"/>
    <x v="1038"/>
    <x v="796"/>
    <s v="FRE"/>
    <x v="0"/>
    <n v="0"/>
    <n v="500"/>
    <n v="500"/>
    <n v="2651515.1515151514"/>
    <n v="17500000"/>
  </r>
  <r>
    <n v="1322"/>
    <x v="1039"/>
    <x v="797"/>
    <s v="FRE"/>
    <x v="0"/>
    <n v="0"/>
    <n v="700"/>
    <n v="700"/>
    <n v="5196969.6969696973"/>
    <n v="34300000"/>
  </r>
  <r>
    <n v="1323"/>
    <x v="1040"/>
    <x v="798"/>
    <s v="FRE"/>
    <x v="0"/>
    <n v="0"/>
    <n v="700"/>
    <n v="700"/>
    <n v="4772727.2727272715"/>
    <n v="31500000"/>
  </r>
  <r>
    <n v="1324"/>
    <x v="1041"/>
    <x v="4"/>
    <m/>
    <x v="1"/>
    <n v="0"/>
    <n v="3800"/>
    <n v="3800"/>
    <n v="25545454.545454547"/>
    <n v="168600000"/>
  </r>
  <r>
    <n v="1325"/>
    <x v="1042"/>
    <x v="799"/>
    <s v="FRE"/>
    <x v="0"/>
    <n v="0"/>
    <n v="500"/>
    <n v="500"/>
    <n v="3181818.1818181816"/>
    <n v="24500000"/>
  </r>
  <r>
    <n v="1326"/>
    <x v="1043"/>
    <x v="800"/>
    <s v="FRE"/>
    <x v="0"/>
    <n v="0"/>
    <n v="700"/>
    <n v="700"/>
    <n v="4090909.0909090904"/>
    <n v="31500000"/>
  </r>
  <r>
    <n v="1327"/>
    <x v="1044"/>
    <x v="4"/>
    <m/>
    <x v="1"/>
    <n v="0"/>
    <n v="1200"/>
    <n v="1200"/>
    <n v="7272727.2727272715"/>
    <n v="56000000"/>
  </r>
  <r>
    <n v="1328"/>
    <x v="1045"/>
    <x v="801"/>
    <s v="OXS"/>
    <x v="0"/>
    <n v="0"/>
    <n v="300"/>
    <n v="300"/>
    <n v="2200274.9999999995"/>
    <n v="13500000"/>
  </r>
  <r>
    <n v="1329"/>
    <x v="1045"/>
    <x v="801"/>
    <s v="OSM"/>
    <x v="0"/>
    <n v="0"/>
    <n v="250"/>
    <n v="250"/>
    <n v="1833562.4999999998"/>
    <n v="11250000"/>
  </r>
  <r>
    <n v="1330"/>
    <x v="1045"/>
    <x v="801"/>
    <s v="OML"/>
    <x v="0"/>
    <n v="0"/>
    <n v="150"/>
    <n v="150"/>
    <n v="1100137.4999999998"/>
    <n v="6750000"/>
  </r>
  <r>
    <n v="1331"/>
    <x v="1046"/>
    <x v="802"/>
    <s v="FRE"/>
    <x v="0"/>
    <n v="0"/>
    <n v="500"/>
    <n v="500"/>
    <n v="3667124.9999999995"/>
    <n v="21500000"/>
  </r>
  <r>
    <n v="1332"/>
    <x v="1047"/>
    <x v="803"/>
    <s v="OXS"/>
    <x v="0"/>
    <n v="0"/>
    <n v="300"/>
    <n v="300"/>
    <n v="2113650"/>
    <n v="13500000"/>
  </r>
  <r>
    <n v="1333"/>
    <x v="1047"/>
    <x v="803"/>
    <s v="OSM"/>
    <x v="0"/>
    <n v="0"/>
    <n v="250"/>
    <n v="250"/>
    <n v="1761375"/>
    <n v="11250000"/>
  </r>
  <r>
    <n v="1334"/>
    <x v="1047"/>
    <x v="803"/>
    <s v="OML"/>
    <x v="0"/>
    <n v="0"/>
    <n v="150"/>
    <n v="150"/>
    <n v="1056825"/>
    <n v="6750000"/>
  </r>
  <r>
    <n v="1335"/>
    <x v="1048"/>
    <x v="804"/>
    <s v="FRE"/>
    <x v="0"/>
    <n v="0"/>
    <n v="500"/>
    <n v="500"/>
    <n v="3522750"/>
    <n v="21500000"/>
  </r>
  <r>
    <n v="1336"/>
    <x v="1049"/>
    <x v="805"/>
    <s v="OXS"/>
    <x v="0"/>
    <n v="0"/>
    <n v="300"/>
    <n v="300"/>
    <n v="1992375.0000000002"/>
    <n v="13500000"/>
  </r>
  <r>
    <n v="1337"/>
    <x v="1049"/>
    <x v="805"/>
    <s v="OSM"/>
    <x v="0"/>
    <n v="0"/>
    <n v="250"/>
    <n v="250"/>
    <n v="1660312.5000000002"/>
    <n v="11250000"/>
  </r>
  <r>
    <n v="1338"/>
    <x v="1049"/>
    <x v="805"/>
    <s v="OML"/>
    <x v="0"/>
    <n v="0"/>
    <n v="150"/>
    <n v="150"/>
    <n v="996187.50000000012"/>
    <n v="6750000"/>
  </r>
  <r>
    <n v="1339"/>
    <x v="1050"/>
    <x v="806"/>
    <s v="FRE"/>
    <x v="0"/>
    <n v="0"/>
    <n v="500"/>
    <n v="500"/>
    <n v="3320625.0000000005"/>
    <n v="21500000"/>
  </r>
  <r>
    <n v="1340"/>
    <x v="1051"/>
    <x v="807"/>
    <s v="OXS"/>
    <x v="0"/>
    <n v="0"/>
    <n v="200"/>
    <n v="200"/>
    <n v="1351350"/>
    <n v="9000000"/>
  </r>
  <r>
    <n v="1341"/>
    <x v="1051"/>
    <x v="807"/>
    <s v="OSM"/>
    <x v="0"/>
    <n v="0"/>
    <n v="300"/>
    <n v="300"/>
    <n v="2027025"/>
    <n v="13500000"/>
  </r>
  <r>
    <n v="1342"/>
    <x v="1051"/>
    <x v="807"/>
    <s v="OML"/>
    <x v="0"/>
    <n v="0"/>
    <n v="200"/>
    <n v="200"/>
    <n v="1351350"/>
    <n v="9000000"/>
  </r>
  <r>
    <n v="1343"/>
    <x v="1052"/>
    <x v="808"/>
    <s v="OXS"/>
    <x v="0"/>
    <n v="0"/>
    <n v="200"/>
    <n v="200"/>
    <n v="1432200.0000000002"/>
    <n v="9000000"/>
  </r>
  <r>
    <n v="1344"/>
    <x v="1052"/>
    <x v="808"/>
    <s v="OSM"/>
    <x v="0"/>
    <n v="0"/>
    <n v="300"/>
    <n v="300"/>
    <n v="2148300.0000000005"/>
    <n v="13500000"/>
  </r>
  <r>
    <n v="1345"/>
    <x v="1052"/>
    <x v="808"/>
    <s v="OML"/>
    <x v="0"/>
    <n v="0"/>
    <n v="200"/>
    <n v="200"/>
    <n v="1432200.0000000002"/>
    <n v="9000000"/>
  </r>
  <r>
    <n v="1346"/>
    <x v="1052"/>
    <x v="808"/>
    <s v="LXL"/>
    <x v="0"/>
    <n v="0"/>
    <n v="100"/>
    <n v="100"/>
    <n v="716100.00000000012"/>
    <n v="4500000"/>
  </r>
  <r>
    <n v="1347"/>
    <x v="1053"/>
    <x v="809"/>
    <s v="OXS"/>
    <x v="0"/>
    <n v="0"/>
    <n v="250"/>
    <n v="250"/>
    <n v="1905750"/>
    <n v="11250000"/>
  </r>
  <r>
    <n v="1348"/>
    <x v="1053"/>
    <x v="809"/>
    <s v="OSM"/>
    <x v="0"/>
    <n v="0"/>
    <n v="300"/>
    <n v="300"/>
    <n v="2286900"/>
    <n v="13500000"/>
  </r>
  <r>
    <n v="1349"/>
    <x v="1053"/>
    <x v="809"/>
    <s v="OML"/>
    <x v="0"/>
    <n v="0"/>
    <n v="150"/>
    <n v="150"/>
    <n v="1143450"/>
    <n v="6750000"/>
  </r>
  <r>
    <n v="1350"/>
    <x v="1053"/>
    <x v="809"/>
    <s v="LXL"/>
    <x v="0"/>
    <n v="0"/>
    <n v="100"/>
    <n v="100"/>
    <n v="762300"/>
    <n v="4500000"/>
  </r>
  <r>
    <n v="1351"/>
    <x v="1054"/>
    <x v="810"/>
    <s v="FRE"/>
    <x v="0"/>
    <n v="0"/>
    <n v="500"/>
    <n v="500"/>
    <n v="3811500"/>
    <n v="21500000"/>
  </r>
  <r>
    <n v="1352"/>
    <x v="1055"/>
    <x v="811"/>
    <s v="OXS"/>
    <x v="0"/>
    <n v="0"/>
    <n v="250"/>
    <n v="250"/>
    <n v="1732500.0000000002"/>
    <n v="11250000"/>
  </r>
  <r>
    <n v="1353"/>
    <x v="1055"/>
    <x v="811"/>
    <s v="OSM"/>
    <x v="0"/>
    <n v="0"/>
    <n v="300"/>
    <n v="300"/>
    <n v="2079000.0000000002"/>
    <n v="13500000"/>
  </r>
  <r>
    <n v="1354"/>
    <x v="1055"/>
    <x v="811"/>
    <s v="OML"/>
    <x v="0"/>
    <n v="0"/>
    <n v="150"/>
    <n v="150"/>
    <n v="1039500.0000000001"/>
    <n v="6750000"/>
  </r>
  <r>
    <n v="1355"/>
    <x v="1056"/>
    <x v="812"/>
    <s v="OXS"/>
    <x v="0"/>
    <n v="0"/>
    <n v="250"/>
    <n v="250"/>
    <n v="1689187.5"/>
    <n v="11250000"/>
  </r>
  <r>
    <n v="1356"/>
    <x v="1056"/>
    <x v="812"/>
    <s v="OSM"/>
    <x v="0"/>
    <n v="0"/>
    <n v="300"/>
    <n v="300"/>
    <n v="2027025"/>
    <n v="13500000"/>
  </r>
  <r>
    <n v="1357"/>
    <x v="1056"/>
    <x v="812"/>
    <s v="OML"/>
    <x v="0"/>
    <n v="0"/>
    <n v="150"/>
    <n v="150"/>
    <n v="1013512.5"/>
    <n v="6750000"/>
  </r>
  <r>
    <n v="1358"/>
    <x v="1056"/>
    <x v="812"/>
    <s v="LXL"/>
    <x v="0"/>
    <n v="0"/>
    <n v="100"/>
    <n v="100"/>
    <n v="675675"/>
    <n v="4500000"/>
  </r>
  <r>
    <n v="1359"/>
    <x v="1057"/>
    <x v="813"/>
    <s v="OXS"/>
    <x v="0"/>
    <n v="0"/>
    <n v="250"/>
    <n v="250"/>
    <n v="1963062.5000000002"/>
    <n v="12250000"/>
  </r>
  <r>
    <n v="1360"/>
    <x v="1057"/>
    <x v="813"/>
    <s v="OSM"/>
    <x v="0"/>
    <n v="0"/>
    <n v="300"/>
    <n v="300"/>
    <n v="2355675.0000000005"/>
    <n v="14700000"/>
  </r>
  <r>
    <n v="1361"/>
    <x v="1057"/>
    <x v="813"/>
    <s v="OML"/>
    <x v="0"/>
    <n v="0"/>
    <n v="150"/>
    <n v="150"/>
    <n v="1177837.5000000002"/>
    <n v="7350000"/>
  </r>
  <r>
    <n v="1362"/>
    <x v="1057"/>
    <x v="813"/>
    <s v="LXL"/>
    <x v="0"/>
    <n v="0"/>
    <n v="100"/>
    <n v="100"/>
    <n v="785225.00000000012"/>
    <n v="4900000"/>
  </r>
  <r>
    <n v="1363"/>
    <x v="1058"/>
    <x v="814"/>
    <s v="FRE"/>
    <x v="0"/>
    <n v="0"/>
    <n v="500"/>
    <n v="500"/>
    <n v="3926125.0000000005"/>
    <n v="22500000"/>
  </r>
  <r>
    <n v="1364"/>
    <x v="1059"/>
    <x v="815"/>
    <s v="OXS"/>
    <x v="0"/>
    <n v="0"/>
    <n v="200"/>
    <n v="200"/>
    <n v="1397550"/>
    <n v="9000000"/>
  </r>
  <r>
    <n v="1365"/>
    <x v="1059"/>
    <x v="815"/>
    <s v="OSM"/>
    <x v="0"/>
    <n v="0"/>
    <n v="300"/>
    <n v="300"/>
    <n v="2096325"/>
    <n v="13500000"/>
  </r>
  <r>
    <n v="1366"/>
    <x v="1059"/>
    <x v="815"/>
    <s v="OML"/>
    <x v="0"/>
    <n v="0"/>
    <n v="200"/>
    <n v="200"/>
    <n v="1397550"/>
    <n v="9000000"/>
  </r>
  <r>
    <n v="1367"/>
    <x v="1059"/>
    <x v="815"/>
    <s v="LXL"/>
    <x v="0"/>
    <n v="0"/>
    <n v="100"/>
    <n v="100"/>
    <n v="698775"/>
    <n v="4500000"/>
  </r>
  <r>
    <n v="1368"/>
    <x v="1060"/>
    <x v="816"/>
    <s v="FRE"/>
    <x v="0"/>
    <n v="0"/>
    <n v="500"/>
    <n v="500"/>
    <n v="4099375"/>
    <n v="24500000"/>
  </r>
  <r>
    <n v="1369"/>
    <x v="1061"/>
    <x v="817"/>
    <s v="FRE"/>
    <x v="0"/>
    <n v="0"/>
    <n v="500"/>
    <n v="500"/>
    <n v="4272625"/>
    <n v="24500000"/>
  </r>
  <r>
    <n v="1370"/>
    <x v="1062"/>
    <x v="818"/>
    <s v="FRE"/>
    <x v="0"/>
    <n v="0"/>
    <n v="700"/>
    <n v="700"/>
    <n v="6062525"/>
    <n v="34300000"/>
  </r>
  <r>
    <n v="1371"/>
    <x v="1063"/>
    <x v="819"/>
    <s v="FRE"/>
    <x v="0"/>
    <n v="0"/>
    <n v="700"/>
    <n v="700"/>
    <n v="5981675"/>
    <n v="34300000"/>
  </r>
  <r>
    <n v="1372"/>
    <x v="1064"/>
    <x v="820"/>
    <s v="OXS"/>
    <x v="0"/>
    <n v="0"/>
    <n v="250"/>
    <n v="250"/>
    <n v="2136312.5"/>
    <n v="12250000"/>
  </r>
  <r>
    <n v="1373"/>
    <x v="1064"/>
    <x v="820"/>
    <s v="OSM"/>
    <x v="0"/>
    <n v="0"/>
    <n v="300"/>
    <n v="300"/>
    <n v="2563575"/>
    <n v="14700000"/>
  </r>
  <r>
    <n v="1374"/>
    <x v="1064"/>
    <x v="820"/>
    <s v="OML"/>
    <x v="0"/>
    <n v="0"/>
    <n v="150"/>
    <n v="150"/>
    <n v="1281787.5"/>
    <n v="7350000"/>
  </r>
  <r>
    <n v="1375"/>
    <x v="1064"/>
    <x v="820"/>
    <s v="LXL"/>
    <x v="0"/>
    <n v="0"/>
    <n v="100"/>
    <n v="100"/>
    <n v="854525"/>
    <n v="4900000"/>
  </r>
  <r>
    <n v="1376"/>
    <x v="1065"/>
    <x v="821"/>
    <s v="FRE"/>
    <x v="0"/>
    <n v="0"/>
    <n v="500"/>
    <n v="500"/>
    <n v="4272625"/>
    <n v="22500000"/>
  </r>
  <r>
    <n v="1377"/>
    <x v="1066"/>
    <x v="822"/>
    <s v="OXS"/>
    <x v="0"/>
    <n v="0"/>
    <n v="200"/>
    <n v="200"/>
    <n v="1305150.0000000002"/>
    <n v="9000000"/>
  </r>
  <r>
    <n v="1378"/>
    <x v="1066"/>
    <x v="822"/>
    <s v="OSM"/>
    <x v="0"/>
    <n v="0"/>
    <n v="250"/>
    <n v="250"/>
    <n v="1631437.5000000002"/>
    <n v="11250000"/>
  </r>
  <r>
    <n v="1379"/>
    <x v="1066"/>
    <x v="822"/>
    <s v="OML"/>
    <x v="0"/>
    <n v="0"/>
    <n v="150"/>
    <n v="150"/>
    <n v="978862.50000000012"/>
    <n v="6750000"/>
  </r>
  <r>
    <n v="1380"/>
    <x v="1067"/>
    <x v="823"/>
    <s v="OXS"/>
    <x v="0"/>
    <n v="0"/>
    <n v="200"/>
    <n v="200"/>
    <n v="1489950.0000000002"/>
    <n v="9000000"/>
  </r>
  <r>
    <n v="1381"/>
    <x v="1067"/>
    <x v="823"/>
    <s v="OSM"/>
    <x v="0"/>
    <n v="0"/>
    <n v="250"/>
    <n v="250"/>
    <n v="1862437.5000000002"/>
    <n v="11250000"/>
  </r>
  <r>
    <n v="1382"/>
    <x v="1067"/>
    <x v="823"/>
    <s v="OML"/>
    <x v="0"/>
    <n v="0"/>
    <n v="150"/>
    <n v="150"/>
    <n v="1117462.5000000002"/>
    <n v="6750000"/>
  </r>
  <r>
    <n v="1383"/>
    <x v="1068"/>
    <x v="824"/>
    <s v="OXS"/>
    <x v="0"/>
    <n v="0"/>
    <n v="200"/>
    <n v="200"/>
    <n v="1432200.0000000002"/>
    <n v="9000000"/>
  </r>
  <r>
    <n v="1384"/>
    <x v="1068"/>
    <x v="824"/>
    <s v="OSM"/>
    <x v="0"/>
    <n v="0"/>
    <n v="250"/>
    <n v="250"/>
    <n v="1790250.0000000002"/>
    <n v="11250000"/>
  </r>
  <r>
    <n v="1385"/>
    <x v="1068"/>
    <x v="824"/>
    <s v="OML"/>
    <x v="0"/>
    <n v="0"/>
    <n v="150"/>
    <n v="150"/>
    <n v="1074150.0000000002"/>
    <n v="6750000"/>
  </r>
  <r>
    <n v="1386"/>
    <x v="1069"/>
    <x v="4"/>
    <m/>
    <x v="1"/>
    <n v="0"/>
    <n v="15500"/>
    <n v="15500"/>
    <n v="115855075"/>
    <n v="709500000"/>
  </r>
  <r>
    <n v="1387"/>
    <x v="1070"/>
    <x v="825"/>
    <s v="FRE"/>
    <x v="0"/>
    <n v="0"/>
    <n v="1000"/>
    <n v="1000"/>
    <n v="12499999.999999998"/>
    <n v="55000000"/>
  </r>
  <r>
    <n v="1388"/>
    <x v="1071"/>
    <x v="826"/>
    <s v="FRE"/>
    <x v="0"/>
    <n v="0"/>
    <n v="1000"/>
    <n v="1000"/>
    <n v="12045454.545454545"/>
    <n v="53000000"/>
  </r>
  <r>
    <n v="1389"/>
    <x v="1072"/>
    <x v="827"/>
    <s v="FRE"/>
    <x v="0"/>
    <n v="0"/>
    <n v="1000"/>
    <n v="1000"/>
    <n v="12499999.999999998"/>
    <n v="55000000"/>
  </r>
  <r>
    <n v="1390"/>
    <x v="1073"/>
    <x v="828"/>
    <s v="FRE"/>
    <x v="0"/>
    <n v="0"/>
    <n v="1000"/>
    <n v="1000"/>
    <n v="12045454.545454545"/>
    <n v="53000000"/>
  </r>
  <r>
    <n v="1391"/>
    <x v="1074"/>
    <x v="4"/>
    <m/>
    <x v="1"/>
    <n v="0"/>
    <n v="4000"/>
    <n v="4000"/>
    <n v="49090909.090909086"/>
    <n v="216000000"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  <r>
    <m/>
    <x v="1075"/>
    <x v="829"/>
    <m/>
    <x v="1"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02">
  <r>
    <x v="0"/>
    <x v="0"/>
    <s v="ELSSBE3801"/>
    <n v="0.33333333333333331"/>
    <s v=""/>
    <n v="0"/>
    <s v="ELSSBE3801BK"/>
    <n v="0.5"/>
    <s v=""/>
    <n v="0"/>
    <s v="E3"/>
    <s v="가방"/>
    <s v="ELS"/>
    <s v="SB"/>
    <x v="0"/>
    <s v="ELSSBE3801"/>
    <s v="ELSSBE3801BK"/>
    <x v="0"/>
    <n v="500"/>
    <n v="22500000"/>
    <n v="5010000"/>
    <n v="4.0827436037016875"/>
    <n v="500"/>
    <n v="0"/>
  </r>
  <r>
    <x v="0"/>
    <x v="0"/>
    <s v="ELSSBE3801"/>
    <n v="0.33333333333333331"/>
    <s v=""/>
    <n v="0"/>
    <s v="ELSSBE3801BL"/>
    <n v="1"/>
    <s v=""/>
    <n v="0"/>
    <s v="E3"/>
    <s v="가방"/>
    <s v="ELS"/>
    <s v="SB"/>
    <x v="0"/>
    <s v="ELSSBE3801"/>
    <s v="ELSSBE3801BL"/>
    <x v="0"/>
    <n v="500"/>
    <n v="22500000"/>
    <n v="5010000"/>
    <n v="4.0827436037016875"/>
    <n v="500"/>
    <n v="0"/>
  </r>
  <r>
    <x v="0"/>
    <x v="0"/>
    <s v="ELSSBE3802"/>
    <n v="1"/>
    <s v=""/>
    <n v="0"/>
    <s v="ELSSBE3802YE"/>
    <n v="1"/>
    <s v=""/>
    <n v="0"/>
    <s v="E3"/>
    <s v="가방"/>
    <s v="ELS"/>
    <s v="SB"/>
    <x v="0"/>
    <s v="ELSSBE3802"/>
    <s v="ELSSBE3802YE"/>
    <x v="0"/>
    <n v="500"/>
    <n v="22500000"/>
    <n v="5010000"/>
    <n v="4.0827436037016875"/>
    <n v="500"/>
    <n v="0"/>
  </r>
  <r>
    <x v="0"/>
    <x v="0"/>
    <s v="ELSSBE3803"/>
    <n v="1"/>
    <s v=""/>
    <n v="0"/>
    <s v="ELSSBE3803PK"/>
    <n v="1"/>
    <s v=""/>
    <n v="0"/>
    <s v="E3"/>
    <s v="가방"/>
    <s v="ELS"/>
    <s v="SB"/>
    <x v="0"/>
    <s v="ELSSBE3803"/>
    <s v="ELSSBE3803PK"/>
    <x v="0"/>
    <n v="500"/>
    <n v="22500000"/>
    <n v="5010000"/>
    <n v="4.0827436037016875"/>
    <n v="500"/>
    <n v="0"/>
  </r>
  <r>
    <x v="0"/>
    <x v="0"/>
    <s v="DAKBEE5301"/>
    <n v="1"/>
    <s v=""/>
    <n v="0"/>
    <s v="DAKBEE5301GY"/>
    <n v="1"/>
    <s v=""/>
    <n v="0"/>
    <s v="E5"/>
    <s v="모자"/>
    <s v="DAK"/>
    <s v="BE"/>
    <x v="1"/>
    <s v="DAKBEE5301"/>
    <s v="DAKBEE5301GY"/>
    <x v="1"/>
    <n v="360"/>
    <n v="12600000"/>
    <n v="3436363.6363636358"/>
    <n v="3.3333333333333339"/>
    <n v="0"/>
    <n v="360"/>
  </r>
  <r>
    <x v="0"/>
    <x v="0"/>
    <s v="DAKBEE5302"/>
    <n v="0.5"/>
    <s v=""/>
    <n v="0"/>
    <s v="DAKBEE5302BK"/>
    <n v="1"/>
    <s v=""/>
    <n v="0"/>
    <s v="E5"/>
    <s v="모자"/>
    <s v="DAK"/>
    <s v="BE"/>
    <x v="1"/>
    <s v="DAKBEE5302"/>
    <s v="DAKBEE5302BK"/>
    <x v="1"/>
    <n v="480"/>
    <n v="13920000"/>
    <n v="3796363.6363636358"/>
    <n v="3.3333333333333339"/>
    <n v="0"/>
    <n v="480"/>
  </r>
  <r>
    <x v="0"/>
    <x v="0"/>
    <s v="DAKBEE5302"/>
    <n v="0.5"/>
    <s v=""/>
    <n v="0"/>
    <s v="DAKBEE5302GY"/>
    <n v="1"/>
    <s v=""/>
    <n v="0"/>
    <s v="E5"/>
    <s v="모자"/>
    <s v="DAK"/>
    <s v="BE"/>
    <x v="1"/>
    <s v="DAKBEE5302"/>
    <s v="DAKBEE5302GY"/>
    <x v="1"/>
    <n v="480"/>
    <n v="13920000"/>
    <n v="3796363.6363636358"/>
    <n v="3.3333333333333339"/>
    <n v="0"/>
    <n v="480"/>
  </r>
  <r>
    <x v="0"/>
    <x v="0"/>
    <s v="DAKTPE5303"/>
    <n v="1"/>
    <s v=""/>
    <n v="0"/>
    <s v="DAKTPE5303RE"/>
    <n v="1"/>
    <s v=""/>
    <n v="0"/>
    <s v="E5"/>
    <s v="모자"/>
    <s v="DAK"/>
    <s v="TP"/>
    <x v="1"/>
    <s v="DAKTPE5303"/>
    <s v="DAKTPE5303RE"/>
    <x v="1"/>
    <n v="240"/>
    <n v="14160000"/>
    <n v="3861818.1818181816"/>
    <n v="3.3333333333333335"/>
    <n v="0"/>
    <n v="240"/>
  </r>
  <r>
    <x v="0"/>
    <x v="0"/>
    <s v="DAKBEE5304"/>
    <n v="1"/>
    <s v=""/>
    <n v="0"/>
    <s v="DAKBEE5304GY"/>
    <n v="1"/>
    <s v=""/>
    <n v="0"/>
    <s v="E5"/>
    <s v="모자"/>
    <s v="DAK"/>
    <s v="BE"/>
    <x v="1"/>
    <s v="DAKBEE5304"/>
    <s v="DAKBEE5304GY"/>
    <x v="1"/>
    <n v="360"/>
    <n v="9000000"/>
    <n v="2454545.4545454546"/>
    <n v="3.3333333333333326"/>
    <n v="0"/>
    <n v="360"/>
  </r>
  <r>
    <x v="1"/>
    <x v="0"/>
    <s v="DAKBEE5004"/>
    <n v="0.5"/>
    <s v=""/>
    <n v="0"/>
    <s v="DAKBEE5004MT"/>
    <n v="1"/>
    <s v=""/>
    <n v="0"/>
    <s v="E5"/>
    <s v="모자"/>
    <s v="DAK"/>
    <s v="BE"/>
    <x v="1"/>
    <s v="DAKBEE5004"/>
    <s v="DAKBEE5004MT"/>
    <x v="1"/>
    <n v="360"/>
    <n v="14040000"/>
    <n v="3829090.9090909092"/>
    <n v="3.3333333333333335"/>
    <n v="0"/>
    <n v="360"/>
  </r>
  <r>
    <x v="1"/>
    <x v="0"/>
    <s v="DAKBEE5004"/>
    <n v="0.5"/>
    <s v=""/>
    <n v="0"/>
    <s v="DAKBEE5004GR"/>
    <n v="1"/>
    <s v=""/>
    <n v="0"/>
    <s v="E5"/>
    <s v="모자"/>
    <s v="DAK"/>
    <s v="BE"/>
    <x v="1"/>
    <s v="DAKBEE5004"/>
    <s v="DAKBEE5004GR"/>
    <x v="1"/>
    <n v="240"/>
    <n v="9360000"/>
    <n v="2552727.2727272725"/>
    <n v="3.3333333333333335"/>
    <n v="0"/>
    <n v="240"/>
  </r>
  <r>
    <x v="0"/>
    <x v="0"/>
    <s v="DAKEBE5305"/>
    <n v="0.5"/>
    <s v=""/>
    <n v="0"/>
    <s v="DAKEBE5305BK"/>
    <n v="1"/>
    <s v=""/>
    <n v="0"/>
    <s v="E5"/>
    <s v="모자"/>
    <s v="DAK"/>
    <s v="EB"/>
    <x v="1"/>
    <s v="DAKEBE5305"/>
    <s v="DAKEBE5305BK"/>
    <x v="1"/>
    <n v="360"/>
    <n v="14040000"/>
    <n v="3829090.9090909092"/>
    <n v="3.3333333333333335"/>
    <n v="0"/>
    <n v="360"/>
  </r>
  <r>
    <x v="0"/>
    <x v="0"/>
    <s v="DAKEBE5305"/>
    <n v="0.5"/>
    <s v=""/>
    <n v="0"/>
    <s v="DAKEBE5305BG"/>
    <n v="1"/>
    <s v=""/>
    <n v="0"/>
    <s v="E5"/>
    <s v="모자"/>
    <s v="DAK"/>
    <s v="EB"/>
    <x v="1"/>
    <s v="DAKEBE5305"/>
    <s v="DAKEBE5305BG"/>
    <x v="1"/>
    <n v="360"/>
    <n v="14040000"/>
    <n v="3829090.9090909092"/>
    <n v="3.3333333333333335"/>
    <n v="0"/>
    <n v="360"/>
  </r>
  <r>
    <x v="0"/>
    <x v="0"/>
    <s v="DAKBEE5306"/>
    <n v="0.5"/>
    <s v=""/>
    <n v="0"/>
    <s v="DAKBEE5306BW"/>
    <n v="1"/>
    <s v=""/>
    <n v="0"/>
    <s v="E5"/>
    <s v="모자"/>
    <s v="DAK"/>
    <s v="BE"/>
    <x v="1"/>
    <s v="DAKBEE5306"/>
    <s v="DAKBEE5306BW"/>
    <x v="1"/>
    <n v="480"/>
    <n v="18720000"/>
    <n v="5105454.5454545449"/>
    <n v="3.3333333333333335"/>
    <n v="0"/>
    <n v="480"/>
  </r>
  <r>
    <x v="0"/>
    <x v="0"/>
    <s v="DAKBEE5306"/>
    <n v="0.5"/>
    <s v=""/>
    <n v="0"/>
    <s v="DAKBEE5306OR"/>
    <n v="1"/>
    <s v=""/>
    <n v="0"/>
    <s v="E5"/>
    <s v="모자"/>
    <s v="DAK"/>
    <s v="BE"/>
    <x v="1"/>
    <s v="DAKBEE5306"/>
    <s v="DAKBEE5306OR"/>
    <x v="1"/>
    <n v="480"/>
    <n v="18720000"/>
    <n v="5105454.5454545449"/>
    <n v="3.3333333333333335"/>
    <n v="0"/>
    <n v="480"/>
  </r>
  <r>
    <x v="0"/>
    <x v="0"/>
    <s v="DAKBEE5307"/>
    <n v="0.5"/>
    <s v=""/>
    <n v="0"/>
    <s v="DAKBEE5307BU"/>
    <n v="1"/>
    <s v=""/>
    <n v="0"/>
    <s v="E5"/>
    <s v="모자"/>
    <s v="DAK"/>
    <s v="BE"/>
    <x v="1"/>
    <s v="DAKBEE5307"/>
    <s v="DAKBEE5307BU"/>
    <x v="1"/>
    <n v="480"/>
    <n v="18720000"/>
    <n v="5105454.5454545449"/>
    <n v="3.3333333333333335"/>
    <n v="0"/>
    <n v="480"/>
  </r>
  <r>
    <x v="0"/>
    <x v="0"/>
    <s v="DAKBEE5307"/>
    <n v="0.5"/>
    <s v=""/>
    <n v="0"/>
    <s v="DAKBEE5307OR"/>
    <n v="1"/>
    <s v=""/>
    <n v="0"/>
    <s v="E5"/>
    <s v="모자"/>
    <s v="DAK"/>
    <s v="BE"/>
    <x v="1"/>
    <s v="DAKBEE5307"/>
    <s v="DAKBEE5307OR"/>
    <x v="1"/>
    <n v="360"/>
    <n v="14040000"/>
    <n v="3829090.9090909092"/>
    <n v="3.3333333333333335"/>
    <n v="0"/>
    <n v="360"/>
  </r>
  <r>
    <x v="0"/>
    <x v="0"/>
    <s v="DAKTPE5308"/>
    <n v="0.5"/>
    <s v=""/>
    <n v="0"/>
    <s v="DAKTPE5308BK"/>
    <n v="1"/>
    <s v=""/>
    <n v="0"/>
    <s v="E5"/>
    <s v="모자"/>
    <s v="DAK"/>
    <s v="TP"/>
    <x v="1"/>
    <s v="DAKTPE5308"/>
    <s v="DAKTPE5308BK"/>
    <x v="1"/>
    <n v="240"/>
    <n v="13200000"/>
    <n v="3599999.9999999995"/>
    <n v="3.3333333333333335"/>
    <n v="0"/>
    <n v="240"/>
  </r>
  <r>
    <x v="0"/>
    <x v="0"/>
    <s v="DAKTPE5308"/>
    <n v="0.5"/>
    <s v=""/>
    <n v="0"/>
    <s v="DAKTPE5308NA"/>
    <n v="1"/>
    <s v=""/>
    <n v="0"/>
    <s v="E5"/>
    <s v="모자"/>
    <s v="DAK"/>
    <s v="TP"/>
    <x v="1"/>
    <s v="DAKTPE5308"/>
    <s v="DAKTPE5308NA"/>
    <x v="1"/>
    <n v="240"/>
    <n v="13200000"/>
    <n v="3599999.9999999995"/>
    <n v="3.3333333333333335"/>
    <n v="0"/>
    <n v="240"/>
  </r>
  <r>
    <x v="0"/>
    <x v="0"/>
    <s v="DAKEBE5801"/>
    <n v="0.5"/>
    <s v=""/>
    <n v="0"/>
    <s v="DAKEBE5801BL"/>
    <n v="1"/>
    <s v=""/>
    <n v="0"/>
    <s v="E5"/>
    <s v="모자"/>
    <s v="DAK"/>
    <s v="EB"/>
    <x v="1"/>
    <s v="DAKEBE5801"/>
    <s v="DAKEBE5801BL"/>
    <x v="1"/>
    <n v="120"/>
    <n v="4200000"/>
    <n v="1145454.5454545454"/>
    <n v="3.3333333333333335"/>
    <n v="0"/>
    <n v="120"/>
  </r>
  <r>
    <x v="0"/>
    <x v="0"/>
    <s v="DAKEBE5801"/>
    <n v="0.5"/>
    <s v=""/>
    <n v="0"/>
    <s v="DAKEBE5801OR"/>
    <n v="1"/>
    <s v=""/>
    <n v="0"/>
    <s v="E5"/>
    <s v="모자"/>
    <s v="DAK"/>
    <s v="EB"/>
    <x v="1"/>
    <s v="DAKEBE5801"/>
    <s v="DAKEBE5801OR"/>
    <x v="1"/>
    <n v="120"/>
    <n v="4200000"/>
    <n v="1145454.5454545454"/>
    <n v="3.3333333333333335"/>
    <n v="0"/>
    <n v="120"/>
  </r>
  <r>
    <x v="1"/>
    <x v="0"/>
    <s v="ELSEDE5102"/>
    <n v="1"/>
    <s v=""/>
    <n v="0"/>
    <s v="ELSEDE5102BK"/>
    <n v="1"/>
    <s v=""/>
    <n v="0"/>
    <s v="E5"/>
    <s v="ACC"/>
    <s v="ELS"/>
    <s v="ED"/>
    <x v="2"/>
    <s v="ELSEDE5102"/>
    <s v="ELSEDE5102BK"/>
    <x v="0"/>
    <n v="500"/>
    <n v="19500000"/>
    <n v="4157605.0000000005"/>
    <n v="4.2638184068165987"/>
    <n v="0"/>
    <n v="500"/>
  </r>
  <r>
    <x v="1"/>
    <x v="0"/>
    <s v="ELSEDE5103"/>
    <n v="1"/>
    <s v=""/>
    <n v="0"/>
    <s v="ELSEDE5103GY"/>
    <n v="1"/>
    <s v=""/>
    <n v="0"/>
    <s v="E5"/>
    <s v="ACC"/>
    <s v="ELS"/>
    <s v="ED"/>
    <x v="2"/>
    <s v="ELSEDE5103"/>
    <s v="ELSEDE5103GY"/>
    <x v="0"/>
    <n v="500"/>
    <n v="19500000"/>
    <n v="4157605.0000000005"/>
    <n v="4.2638184068165987"/>
    <n v="0"/>
    <n v="500"/>
  </r>
  <r>
    <x v="1"/>
    <x v="0"/>
    <s v="ELSERE5104"/>
    <n v="1"/>
    <s v=""/>
    <n v="0"/>
    <s v="ELSERE5104BK"/>
    <n v="1"/>
    <s v=""/>
    <n v="0"/>
    <s v="E5"/>
    <s v="모자"/>
    <s v="ELS"/>
    <s v="ER"/>
    <x v="3"/>
    <s v="ELSERE5104"/>
    <s v="ELSERE5104BK"/>
    <x v="0"/>
    <n v="500"/>
    <n v="14500000"/>
    <n v="2592005"/>
    <n v="5.0855681921208413"/>
    <n v="0"/>
    <n v="500"/>
  </r>
  <r>
    <x v="1"/>
    <x v="0"/>
    <s v="ELSERE5105"/>
    <n v="1"/>
    <s v=""/>
    <n v="0"/>
    <s v="ELSERE5105GY"/>
    <n v="1"/>
    <s v=""/>
    <n v="0"/>
    <s v="E5"/>
    <s v="모자"/>
    <s v="ELS"/>
    <s v="ER"/>
    <x v="3"/>
    <s v="ELSERE5105"/>
    <s v="ELSERE5105GY"/>
    <x v="0"/>
    <n v="500"/>
    <n v="14500000"/>
    <n v="2592005"/>
    <n v="5.0855681921208413"/>
    <n v="0"/>
    <n v="500"/>
  </r>
  <r>
    <x v="1"/>
    <x v="0"/>
    <s v="ELSTPE5108"/>
    <n v="1"/>
    <s v=""/>
    <n v="0"/>
    <s v="ELSTPE5108BU"/>
    <n v="1"/>
    <s v=""/>
    <n v="0"/>
    <s v="E5"/>
    <s v="모자"/>
    <s v="ELS"/>
    <s v="TP"/>
    <x v="3"/>
    <s v="ELSTPE5108"/>
    <s v="ELSTPE5108BU"/>
    <x v="0"/>
    <n v="1000"/>
    <n v="55000000"/>
    <n v="8795510.0000000019"/>
    <n v="5.6847186803266645"/>
    <n v="0"/>
    <n v="1000"/>
  </r>
  <r>
    <x v="1"/>
    <x v="0"/>
    <s v="ELSTPE5608"/>
    <n v="1"/>
    <s v=""/>
    <n v="0"/>
    <s v="ELSTPE5608BU"/>
    <n v="1"/>
    <s v=""/>
    <n v="0"/>
    <s v="E5"/>
    <s v="모자"/>
    <s v="ELS"/>
    <s v="TP"/>
    <x v="3"/>
    <s v="ELSTPE5608"/>
    <s v="ELSTPE5608BU"/>
    <x v="0"/>
    <n v="1000"/>
    <n v="49000000"/>
    <n v="8633510.0000000019"/>
    <n v="5.1595995771655474"/>
    <n v="0"/>
    <n v="1000"/>
  </r>
  <r>
    <x v="1"/>
    <x v="0"/>
    <s v="JILBAE5022"/>
    <n v="0.5"/>
    <s v=""/>
    <n v="0"/>
    <s v="JILBAE5022BG"/>
    <n v="1"/>
    <s v=""/>
    <n v="0"/>
    <s v="E5"/>
    <s v="모자"/>
    <s v="JIL"/>
    <s v="BA"/>
    <x v="4"/>
    <s v="JILBAE5022"/>
    <s v="JILBAE5022BG"/>
    <x v="0"/>
    <n v="1000"/>
    <n v="39000000"/>
    <n v="6186444"/>
    <n v="5.7310056398385649"/>
    <n v="0"/>
    <n v="1000"/>
  </r>
  <r>
    <x v="1"/>
    <x v="0"/>
    <s v="JILBAE5022"/>
    <n v="0.5"/>
    <s v=""/>
    <n v="0"/>
    <s v="JILBAE5022PP"/>
    <n v="1"/>
    <s v=""/>
    <n v="0"/>
    <s v="E5"/>
    <s v="모자"/>
    <s v="JIL"/>
    <s v="BA"/>
    <x v="4"/>
    <s v="JILBAE5022"/>
    <s v="JILBAE5022PP"/>
    <x v="0"/>
    <n v="1000"/>
    <n v="39000000"/>
    <n v="6186444"/>
    <n v="5.7310056398385649"/>
    <n v="0"/>
    <n v="1000"/>
  </r>
  <r>
    <x v="1"/>
    <x v="0"/>
    <s v="JILEBE5036"/>
    <n v="0.2"/>
    <s v=""/>
    <n v="0"/>
    <s v="JILEBE5036BK"/>
    <n v="1"/>
    <s v=""/>
    <n v="0"/>
    <s v="E5"/>
    <s v="모자"/>
    <s v="JIL"/>
    <s v="EB"/>
    <x v="4"/>
    <s v="JILEBE5036"/>
    <s v="JILEBE5036BK"/>
    <x v="0"/>
    <n v="1500"/>
    <n v="64500000"/>
    <n v="10197495.000000002"/>
    <n v="5.7500752524383305"/>
    <n v="0"/>
    <n v="1500"/>
  </r>
  <r>
    <x v="1"/>
    <x v="0"/>
    <s v="JILEBE5036"/>
    <n v="0.2"/>
    <s v=""/>
    <n v="0"/>
    <s v="JILEBE5036GY"/>
    <n v="0.5"/>
    <s v=""/>
    <n v="0"/>
    <s v="E5"/>
    <s v="모자"/>
    <s v="JIL"/>
    <s v="EB"/>
    <x v="4"/>
    <s v="JILEBE5036"/>
    <s v="JILEBE5036GY"/>
    <x v="0"/>
    <n v="1500"/>
    <n v="64500000"/>
    <n v="10197495.000000002"/>
    <n v="5.7500752524383305"/>
    <n v="0"/>
    <n v="1500"/>
  </r>
  <r>
    <x v="1"/>
    <x v="0"/>
    <s v="JILEBE5036"/>
    <n v="0.2"/>
    <s v=""/>
    <n v="0"/>
    <s v="JILEBE5036RE"/>
    <n v="0.5"/>
    <s v=""/>
    <n v="0"/>
    <s v="E5"/>
    <s v="모자"/>
    <s v="JIL"/>
    <s v="EB"/>
    <x v="4"/>
    <s v="JILEBE5036"/>
    <s v="JILEBE5036RE"/>
    <x v="0"/>
    <n v="1000"/>
    <n v="43000000"/>
    <n v="6798330.0000000009"/>
    <n v="5.7500752524383314"/>
    <n v="0"/>
    <n v="1000"/>
  </r>
  <r>
    <x v="1"/>
    <x v="0"/>
    <s v="JILFAE5001"/>
    <n v="1"/>
    <s v=""/>
    <n v="0"/>
    <s v="JILFAE5001GY"/>
    <n v="1"/>
    <s v=""/>
    <n v="0"/>
    <s v="E5"/>
    <s v="모자"/>
    <s v="JIL"/>
    <s v="FA"/>
    <x v="4"/>
    <s v="JILFAE5001"/>
    <s v="JILFAE5001GY"/>
    <x v="0"/>
    <n v="800"/>
    <n v="31200000"/>
    <n v="6160560.0000000009"/>
    <n v="4.6040678710435996"/>
    <n v="0"/>
    <n v="800"/>
  </r>
  <r>
    <x v="1"/>
    <x v="0"/>
    <s v="JILTPE5021"/>
    <n v="0.5"/>
    <s v=""/>
    <n v="0"/>
    <s v="JILTPE5021BK"/>
    <n v="1"/>
    <s v=""/>
    <n v="0"/>
    <s v="E5"/>
    <s v="모자"/>
    <s v="JIL"/>
    <s v="TP"/>
    <x v="4"/>
    <s v="JILTPE5021"/>
    <s v="JILTPE5021BK"/>
    <x v="0"/>
    <n v="1000"/>
    <n v="65000000"/>
    <n v="6752143.9999999991"/>
    <n v="8.7514290410437177"/>
    <n v="0"/>
    <n v="1000"/>
  </r>
  <r>
    <x v="1"/>
    <x v="0"/>
    <s v="JILTPE5021"/>
    <n v="0.5"/>
    <s v=""/>
    <n v="0"/>
    <s v="JILTPE5021RE"/>
    <n v="1"/>
    <s v=""/>
    <n v="0"/>
    <s v="E5"/>
    <s v="모자"/>
    <s v="JIL"/>
    <s v="TP"/>
    <x v="4"/>
    <s v="JILTPE5021"/>
    <s v="JILTPE5021RE"/>
    <x v="0"/>
    <n v="1000"/>
    <n v="65000000"/>
    <n v="6752143.9999999991"/>
    <n v="8.7514290410437177"/>
    <n v="0"/>
    <n v="1000"/>
  </r>
  <r>
    <x v="1"/>
    <x v="0"/>
    <s v="JILBEE5042"/>
    <n v="0.5"/>
    <s v=""/>
    <n v="0"/>
    <s v="JILBEE5042BK"/>
    <n v="1"/>
    <s v=""/>
    <n v="0"/>
    <s v="E5"/>
    <s v="모자"/>
    <s v="JIL"/>
    <s v="BE"/>
    <x v="4"/>
    <s v="JILBEE5042"/>
    <s v="JILBEE5042BK"/>
    <x v="0"/>
    <n v="1000"/>
    <n v="39000000"/>
    <n v="4783750"/>
    <n v="7.4114544979452219"/>
    <n v="0"/>
    <n v="1000"/>
  </r>
  <r>
    <x v="1"/>
    <x v="0"/>
    <s v="JILBEE5042"/>
    <n v="0.5"/>
    <s v=""/>
    <n v="0"/>
    <s v="JILBEE5042KH"/>
    <n v="1"/>
    <s v=""/>
    <n v="0"/>
    <s v="E5"/>
    <s v="모자"/>
    <s v="JIL"/>
    <s v="BE"/>
    <x v="4"/>
    <s v="JILBEE5042"/>
    <s v="JILBEE5042KH"/>
    <x v="0"/>
    <n v="1000"/>
    <n v="39000000"/>
    <n v="4783750"/>
    <n v="7.4114544979452219"/>
    <n v="0"/>
    <n v="1000"/>
  </r>
  <r>
    <x v="1"/>
    <x v="0"/>
    <s v="JILBEE5071"/>
    <n v="0.5"/>
    <s v=""/>
    <n v="0"/>
    <s v="JILBEE5071PK"/>
    <n v="1"/>
    <s v=""/>
    <n v="0"/>
    <s v="E5"/>
    <s v="모자"/>
    <s v="JIL"/>
    <s v="BE"/>
    <x v="4"/>
    <s v="JILBEE5071"/>
    <s v="JILBEE5071PK"/>
    <x v="0"/>
    <n v="1500"/>
    <n v="58500000"/>
    <n v="6710850.0000000009"/>
    <n v="7.9247514371231915"/>
    <n v="0"/>
    <n v="1500"/>
  </r>
  <r>
    <x v="1"/>
    <x v="0"/>
    <s v="JILBEE5071"/>
    <n v="0.5"/>
    <s v=""/>
    <n v="0"/>
    <s v="JILBEE5071RE"/>
    <n v="1"/>
    <s v=""/>
    <n v="0"/>
    <s v="E5"/>
    <s v="모자"/>
    <s v="JIL"/>
    <s v="BE"/>
    <x v="4"/>
    <s v="JILBEE5071"/>
    <s v="JILBEE5071RE"/>
    <x v="0"/>
    <n v="1500"/>
    <n v="58500000"/>
    <n v="6710850.0000000009"/>
    <n v="7.9247514371231915"/>
    <n v="0"/>
    <n v="1500"/>
  </r>
  <r>
    <x v="1"/>
    <x v="0"/>
    <s v="JILEBE5041"/>
    <n v="1"/>
    <s v=""/>
    <n v="0"/>
    <s v="JILEBE5041CL"/>
    <n v="1"/>
    <s v=""/>
    <n v="0"/>
    <s v="E5"/>
    <s v="모자"/>
    <s v="JIL"/>
    <s v="EB"/>
    <x v="4"/>
    <s v="JILEBE5041"/>
    <s v="JILEBE5041CL"/>
    <x v="0"/>
    <n v="1000"/>
    <n v="45000000"/>
    <n v="7216180.0000000009"/>
    <n v="5.6690785026275536"/>
    <n v="0"/>
    <n v="1000"/>
  </r>
  <r>
    <x v="1"/>
    <x v="0"/>
    <s v="JILBEE5007"/>
    <n v="0.5"/>
    <s v=""/>
    <n v="0"/>
    <s v="JILBEE5007GY"/>
    <n v="1"/>
    <s v=""/>
    <n v="0"/>
    <s v="E5"/>
    <s v="모자"/>
    <s v="JIL"/>
    <s v="BE"/>
    <x v="4"/>
    <s v="JILBEE5007"/>
    <s v="JILBEE5007GY"/>
    <x v="0"/>
    <n v="2000"/>
    <n v="78000000"/>
    <n v="9696240"/>
    <n v="7.3130503070356045"/>
    <n v="0"/>
    <n v="2000"/>
  </r>
  <r>
    <x v="1"/>
    <x v="0"/>
    <s v="JILBEE5007"/>
    <n v="0.5"/>
    <s v=""/>
    <n v="0"/>
    <s v="JILBEE5007RE"/>
    <n v="1"/>
    <s v=""/>
    <n v="0"/>
    <s v="E5"/>
    <s v="모자"/>
    <s v="JIL"/>
    <s v="BE"/>
    <x v="4"/>
    <s v="JILBEE5007"/>
    <s v="JILBEE5007RE"/>
    <x v="0"/>
    <n v="1500"/>
    <n v="58500000"/>
    <n v="7272180"/>
    <n v="7.3130503070356037"/>
    <n v="0"/>
    <n v="1500"/>
  </r>
  <r>
    <x v="1"/>
    <x v="0"/>
    <s v="JILBEE5008"/>
    <n v="1"/>
    <s v=""/>
    <n v="0"/>
    <s v="JILBEE5008NY"/>
    <n v="1"/>
    <s v=""/>
    <n v="0"/>
    <s v="E5"/>
    <s v="모자"/>
    <s v="JIL"/>
    <s v="BE"/>
    <x v="4"/>
    <s v="JILBEE5008"/>
    <s v="JILBEE5008NY"/>
    <x v="0"/>
    <n v="1000"/>
    <n v="39000000"/>
    <n v="3848200.0000000009"/>
    <n v="9.2132803530340013"/>
    <n v="0"/>
    <n v="1000"/>
  </r>
  <r>
    <x v="1"/>
    <x v="0"/>
    <s v="JILVBE5150"/>
    <n v="1"/>
    <s v=""/>
    <n v="0"/>
    <s v="JILVBE5150GY"/>
    <n v="1"/>
    <s v=""/>
    <n v="0"/>
    <s v="E5"/>
    <s v="모자"/>
    <s v="JIL"/>
    <s v="VB"/>
    <x v="4"/>
    <s v="JILVBE5150"/>
    <s v="JILVBE5150GY"/>
    <x v="0"/>
    <n v="1000"/>
    <n v="43000000"/>
    <n v="5200542"/>
    <n v="7.5166990461588599"/>
    <n v="0"/>
    <n v="1000"/>
  </r>
  <r>
    <x v="1"/>
    <x v="0"/>
    <s v="JILEDE5147"/>
    <n v="0.5"/>
    <s v=""/>
    <n v="0"/>
    <s v="JILEDE5147BK"/>
    <n v="1"/>
    <s v=""/>
    <n v="0"/>
    <s v="E5"/>
    <s v="ACC"/>
    <s v="JIL"/>
    <s v="ED"/>
    <x v="5"/>
    <s v="JILEDE5147"/>
    <s v="JILEDE5147BK"/>
    <x v="0"/>
    <n v="500"/>
    <n v="14500000"/>
    <n v="2470505"/>
    <n v="5.3356775970168782"/>
    <n v="0"/>
    <n v="500"/>
  </r>
  <r>
    <x v="1"/>
    <x v="0"/>
    <s v="JILEDE5147"/>
    <n v="0.5"/>
    <s v=""/>
    <n v="0"/>
    <s v="JILEDE5147CL"/>
    <n v="1"/>
    <s v=""/>
    <n v="0"/>
    <s v="E5"/>
    <s v="ACC"/>
    <s v="JIL"/>
    <s v="ED"/>
    <x v="5"/>
    <s v="JILEDE5147"/>
    <s v="JILEDE5147CL"/>
    <x v="0"/>
    <n v="500"/>
    <n v="14500000"/>
    <n v="2470505"/>
    <n v="5.3356775970168782"/>
    <n v="0"/>
    <n v="500"/>
  </r>
  <r>
    <x v="1"/>
    <x v="0"/>
    <s v="JILFAE5104"/>
    <n v="1"/>
    <s v=""/>
    <n v="0"/>
    <s v="JILFAE5104BK"/>
    <n v="1"/>
    <s v=""/>
    <n v="0"/>
    <s v="E5"/>
    <s v="모자"/>
    <s v="JIL"/>
    <s v="FA"/>
    <x v="4"/>
    <s v="JILFAE5104"/>
    <s v="JILFAE5104BK"/>
    <x v="0"/>
    <n v="500"/>
    <n v="29500000"/>
    <n v="3657535.0000000005"/>
    <n v="7.3323103724726657"/>
    <n v="0"/>
    <n v="500"/>
  </r>
  <r>
    <x v="1"/>
    <x v="0"/>
    <s v="JILFAE5604"/>
    <n v="1"/>
    <s v=""/>
    <n v="0"/>
    <s v="JILFAE5604BK"/>
    <n v="1"/>
    <s v=""/>
    <n v="0"/>
    <s v="E5"/>
    <s v="모자"/>
    <s v="JIL"/>
    <s v="FA"/>
    <x v="4"/>
    <s v="JILFAE5604"/>
    <s v="JILFAE5604BK"/>
    <x v="0"/>
    <n v="200"/>
    <n v="9800000"/>
    <n v="1451866.0000000002"/>
    <n v="6.13630383870888"/>
    <n v="0"/>
    <n v="200"/>
  </r>
  <r>
    <x v="1"/>
    <x v="0"/>
    <s v="JOIEBE5106"/>
    <n v="1"/>
    <s v=""/>
    <n v="0"/>
    <s v="JOIEBE5106BW"/>
    <n v="1"/>
    <s v=""/>
    <n v="0"/>
    <s v="E5"/>
    <s v="모자"/>
    <s v="JOI"/>
    <s v="EB"/>
    <x v="6"/>
    <s v="JOIEBE5106"/>
    <s v="JOIEBE5106BW"/>
    <x v="0"/>
    <n v="500"/>
    <n v="29500000"/>
    <n v="4095235"/>
    <n v="6.5486307423583305"/>
    <n v="0"/>
    <n v="500"/>
  </r>
  <r>
    <x v="1"/>
    <x v="0"/>
    <s v="JOIEBE5111"/>
    <n v="1"/>
    <s v=""/>
    <n v="0"/>
    <s v="JOIEBE5111GY"/>
    <n v="1"/>
    <s v=""/>
    <n v="0"/>
    <s v="E5"/>
    <s v="모자"/>
    <s v="JOI"/>
    <s v="EB"/>
    <x v="6"/>
    <s v="JOIEBE5111"/>
    <s v="JOIEBE5111GY"/>
    <x v="0"/>
    <n v="500"/>
    <n v="27500000"/>
    <n v="4349395"/>
    <n v="5.7479258609530754"/>
    <n v="0"/>
    <n v="500"/>
  </r>
  <r>
    <x v="1"/>
    <x v="0"/>
    <s v="JOIEBE5604"/>
    <n v="1"/>
    <s v=""/>
    <n v="0"/>
    <s v="JOIEBE5604YE"/>
    <n v="1"/>
    <s v=""/>
    <n v="0"/>
    <s v="E5"/>
    <s v="모자"/>
    <s v="JOI"/>
    <s v="EB"/>
    <x v="6"/>
    <s v="JOIEBE5604"/>
    <s v="JOIEBE5604YE"/>
    <x v="0"/>
    <n v="500"/>
    <n v="26500000"/>
    <n v="3752200.0000000009"/>
    <n v="6.4204757451386074"/>
    <n v="0"/>
    <n v="500"/>
  </r>
  <r>
    <x v="1"/>
    <x v="0"/>
    <s v="JOIEBE5606"/>
    <n v="1"/>
    <s v=""/>
    <n v="0"/>
    <s v="JOIEBE5606BW"/>
    <n v="1"/>
    <s v=""/>
    <n v="0"/>
    <s v="E5"/>
    <s v="모자"/>
    <s v="JOI"/>
    <s v="EB"/>
    <x v="6"/>
    <s v="JOIEBE5606"/>
    <s v="JOIEBE5606BW"/>
    <x v="0"/>
    <n v="500"/>
    <n v="26500000"/>
    <n v="3970495"/>
    <n v="6.0674825408189887"/>
    <n v="0"/>
    <n v="500"/>
  </r>
  <r>
    <x v="1"/>
    <x v="0"/>
    <s v="BROERE5105"/>
    <n v="1"/>
    <s v=""/>
    <n v="0"/>
    <s v="BROERE5105RE"/>
    <n v="1"/>
    <s v=""/>
    <n v="0"/>
    <s v="E5"/>
    <s v="모자"/>
    <s v="BRO"/>
    <s v="ER"/>
    <x v="7"/>
    <s v="BROERE5105"/>
    <s v="BROERE5105RE"/>
    <x v="0"/>
    <n v="500"/>
    <n v="29500000"/>
    <n v="4970570"/>
    <n v="5.3953936506641726"/>
    <n v="0"/>
    <n v="500"/>
  </r>
  <r>
    <x v="1"/>
    <x v="0"/>
    <s v="BROERE5106"/>
    <n v="1"/>
    <s v=""/>
    <n v="0"/>
    <s v="BROERE5106OR"/>
    <n v="1"/>
    <s v=""/>
    <n v="0"/>
    <s v="E5"/>
    <s v="모자"/>
    <s v="BRO"/>
    <s v="ER"/>
    <x v="7"/>
    <s v="BROERE5106"/>
    <s v="BROERE5106OR"/>
    <x v="0"/>
    <n v="500"/>
    <n v="29500000"/>
    <n v="4699330"/>
    <n v="5.7068096554576542"/>
    <n v="0"/>
    <n v="500"/>
  </r>
  <r>
    <x v="1"/>
    <x v="0"/>
    <s v="BROERE5107"/>
    <n v="1"/>
    <s v=""/>
    <n v="0"/>
    <s v="BROERE5107PK"/>
    <n v="1"/>
    <s v=""/>
    <n v="0"/>
    <s v="E5"/>
    <s v="모자"/>
    <s v="BRO"/>
    <s v="ER"/>
    <x v="7"/>
    <s v="BROERE5107"/>
    <s v="BROERE5107PK"/>
    <x v="0"/>
    <n v="500"/>
    <n v="29500000"/>
    <n v="4919660"/>
    <n v="5.4512266738314876"/>
    <n v="0"/>
    <n v="500"/>
  </r>
  <r>
    <x v="1"/>
    <x v="0"/>
    <s v="BROMIE5111"/>
    <n v="1"/>
    <s v=""/>
    <n v="0"/>
    <s v="BROMIE5111KH"/>
    <n v="1"/>
    <s v=""/>
    <n v="0"/>
    <s v="E5"/>
    <s v="모자"/>
    <s v="BRO"/>
    <s v="MI"/>
    <x v="7"/>
    <s v="BROMIE5111"/>
    <s v="BROMIE5111KH"/>
    <x v="0"/>
    <n v="800"/>
    <n v="47200000"/>
    <n v="6529064.0000000009"/>
    <n v="6.5720126053429562"/>
    <n v="0"/>
    <n v="800"/>
  </r>
  <r>
    <x v="1"/>
    <x v="0"/>
    <s v="BROERE5117"/>
    <n v="1"/>
    <s v=""/>
    <n v="0"/>
    <s v="BROERE5117KH"/>
    <n v="1"/>
    <s v=""/>
    <n v="0"/>
    <s v="E5"/>
    <s v="모자"/>
    <s v="BRO"/>
    <s v="ER"/>
    <x v="7"/>
    <s v="BROERE5117"/>
    <s v="BROERE5117KH"/>
    <x v="0"/>
    <n v="500"/>
    <n v="27500000"/>
    <n v="5555330"/>
    <n v="4.5001827074179204"/>
    <n v="0"/>
    <n v="500"/>
  </r>
  <r>
    <x v="1"/>
    <x v="0"/>
    <s v="WTRTPE5109"/>
    <n v="1"/>
    <s v=""/>
    <n v="0"/>
    <s v="WTRTPE5109BL"/>
    <n v="1"/>
    <s v=""/>
    <n v="0"/>
    <s v="E5"/>
    <s v="모자"/>
    <s v="WTR"/>
    <s v="TP"/>
    <x v="8"/>
    <s v="WTRTPE5109"/>
    <s v="WTRTPE5109BL"/>
    <x v="0"/>
    <n v="800"/>
    <n v="63200000"/>
    <n v="12774622.4"/>
    <n v="4.4975533252979316"/>
    <n v="0"/>
    <n v="800"/>
  </r>
  <r>
    <x v="0"/>
    <x v="0"/>
    <s v="TRUBAE3301"/>
    <n v="1"/>
    <s v=""/>
    <n v="0"/>
    <s v="TRUBAE3301RE"/>
    <n v="1"/>
    <s v=""/>
    <n v="0"/>
    <s v="E3"/>
    <s v="모자"/>
    <s v="TRU"/>
    <s v="BA"/>
    <x v="9"/>
    <s v="TRUBAE3301"/>
    <s v="TRUBAE3301RE"/>
    <x v="1"/>
    <n v="168"/>
    <n v="28392000"/>
    <n v="7470096.8160000015"/>
    <n v="3.455230866034479"/>
    <n v="0"/>
    <n v="168"/>
  </r>
  <r>
    <x v="0"/>
    <x v="0"/>
    <s v="TRUBAE3302"/>
    <n v="0.5"/>
    <s v=""/>
    <n v="0"/>
    <s v="TRUBAE3302RE"/>
    <n v="1"/>
    <s v=""/>
    <n v="0"/>
    <s v="E3"/>
    <s v="모자"/>
    <s v="TRU"/>
    <s v="BA"/>
    <x v="9"/>
    <s v="TRUBAE3302"/>
    <s v="TRUBAE3302RE"/>
    <x v="1"/>
    <n v="168"/>
    <n v="23352000"/>
    <n v="5898372.8160000006"/>
    <n v="3.5991436233912864"/>
    <n v="0"/>
    <n v="168"/>
  </r>
  <r>
    <x v="0"/>
    <x v="0"/>
    <s v="TRUBAE3302"/>
    <n v="0.5"/>
    <s v=""/>
    <n v="0"/>
    <s v="TRUBAE3302BK"/>
    <n v="1"/>
    <s v=""/>
    <n v="0"/>
    <s v="E3"/>
    <s v="모자"/>
    <s v="TRU"/>
    <s v="BA"/>
    <x v="9"/>
    <s v="TRUBAE3302"/>
    <s v="TRUBAE3302BK"/>
    <x v="1"/>
    <n v="144"/>
    <n v="20016000"/>
    <n v="5055748.1280000005"/>
    <n v="3.5991436233912864"/>
    <n v="0"/>
    <n v="144"/>
  </r>
  <r>
    <x v="0"/>
    <x v="0"/>
    <s v="TRUBAE3303"/>
    <n v="0.25"/>
    <s v=""/>
    <n v="0"/>
    <s v="TRUBAE3303BL"/>
    <n v="0.5"/>
    <s v=""/>
    <n v="0"/>
    <s v="E3"/>
    <s v="모자"/>
    <s v="TRU"/>
    <s v="BA"/>
    <x v="9"/>
    <s v="TRUBAE3303"/>
    <s v="TRUBAE3303BL"/>
    <x v="1"/>
    <n v="108"/>
    <n v="18252000"/>
    <n v="4802205.0960000008"/>
    <n v="3.455230866034479"/>
    <n v="0"/>
    <n v="108"/>
  </r>
  <r>
    <x v="0"/>
    <x v="0"/>
    <s v="TRUBAE3303"/>
    <n v="0.25"/>
    <s v=""/>
    <n v="0"/>
    <s v="TRUBAE3303RE"/>
    <n v="1"/>
    <s v=""/>
    <n v="0"/>
    <s v="E3"/>
    <s v="모자"/>
    <s v="TRU"/>
    <s v="BA"/>
    <x v="9"/>
    <s v="TRUBAE3303"/>
    <s v="TRUBAE3303RE"/>
    <x v="1"/>
    <n v="168"/>
    <n v="28392000"/>
    <n v="7470096.8160000015"/>
    <n v="3.455230866034479"/>
    <n v="0"/>
    <n v="168"/>
  </r>
  <r>
    <x v="0"/>
    <x v="0"/>
    <s v="TRUBAE3303"/>
    <n v="0.25"/>
    <s v=""/>
    <n v="0"/>
    <s v="TRUBAE3303PK"/>
    <n v="1"/>
    <s v=""/>
    <n v="0"/>
    <s v="E3"/>
    <s v="모자"/>
    <s v="TRU"/>
    <s v="BA"/>
    <x v="9"/>
    <s v="TRUBAE3303"/>
    <s v="TRUBAE3303PK"/>
    <x v="1"/>
    <n v="108"/>
    <n v="18252000"/>
    <n v="4802205.0960000008"/>
    <n v="3.455230866034479"/>
    <n v="0"/>
    <n v="108"/>
  </r>
  <r>
    <x v="0"/>
    <x v="0"/>
    <s v="TRUBAE3303"/>
    <n v="0.25"/>
    <s v=""/>
    <n v="0"/>
    <s v="TRUBAE3303BL"/>
    <n v="0.5"/>
    <s v=""/>
    <n v="0"/>
    <s v="E3"/>
    <s v="모자"/>
    <s v="TRU"/>
    <s v="BA"/>
    <x v="9"/>
    <s v="TRUBAE3303"/>
    <s v="TRUBAE3303BL"/>
    <x v="1"/>
    <n v="108"/>
    <n v="18252000"/>
    <n v="4802205.0960000008"/>
    <n v="3.455230866034479"/>
    <n v="0"/>
    <n v="108"/>
  </r>
  <r>
    <x v="0"/>
    <x v="0"/>
    <s v="TRUBAE3304"/>
    <n v="0.33333333333333331"/>
    <s v=""/>
    <n v="0"/>
    <s v="TRUBAE3304CL"/>
    <n v="1"/>
    <s v=""/>
    <n v="0"/>
    <s v="E3"/>
    <s v="모자"/>
    <s v="TRU"/>
    <s v="BA"/>
    <x v="9"/>
    <s v="TRUBAE3304"/>
    <s v="TRUBAE3304CL"/>
    <x v="1"/>
    <n v="108"/>
    <n v="12420000"/>
    <n v="3286614.0959999999"/>
    <n v="3.4354228275996204"/>
    <n v="0"/>
    <n v="108"/>
  </r>
  <r>
    <x v="0"/>
    <x v="0"/>
    <s v="TRUBAE3304"/>
    <n v="0.33333333333333331"/>
    <s v=""/>
    <n v="0"/>
    <s v="TRUBAE3304NY"/>
    <n v="1"/>
    <s v=""/>
    <n v="0"/>
    <s v="E3"/>
    <s v="모자"/>
    <s v="TRU"/>
    <s v="BA"/>
    <x v="9"/>
    <s v="TRUBAE3304"/>
    <s v="TRUBAE3304NY"/>
    <x v="1"/>
    <n v="144"/>
    <n v="16560000"/>
    <n v="4382152.1280000005"/>
    <n v="3.4354228275996195"/>
    <n v="0"/>
    <n v="144"/>
  </r>
  <r>
    <x v="0"/>
    <x v="0"/>
    <s v="TRUBAE3304"/>
    <n v="0.33333333333333331"/>
    <s v=""/>
    <n v="0"/>
    <s v="TRUBAE3304RE"/>
    <n v="1"/>
    <s v=""/>
    <n v="0"/>
    <s v="E3"/>
    <s v="모자"/>
    <s v="TRU"/>
    <s v="BA"/>
    <x v="9"/>
    <s v="TRUBAE3304"/>
    <s v="TRUBAE3304RE"/>
    <x v="1"/>
    <n v="168"/>
    <n v="19320000"/>
    <n v="5112510.8160000006"/>
    <n v="3.4354228275996204"/>
    <n v="0"/>
    <n v="168"/>
  </r>
  <r>
    <x v="0"/>
    <x v="0"/>
    <s v="TRUFIE3305"/>
    <n v="0.25"/>
    <s v=""/>
    <n v="0"/>
    <s v="TRUFIE3305NY"/>
    <n v="1"/>
    <s v=""/>
    <n v="0"/>
    <s v="E3"/>
    <s v="모자"/>
    <s v="TRU"/>
    <s v="FI"/>
    <x v="9"/>
    <s v="TRUFIE3305"/>
    <s v="TRUFIE3305NY"/>
    <x v="1"/>
    <n v="96"/>
    <n v="9504000"/>
    <n v="2472370.7520000003"/>
    <n v="3.4946215056988339"/>
    <n v="0"/>
    <n v="96"/>
  </r>
  <r>
    <x v="0"/>
    <x v="0"/>
    <s v="TRUFIE3305"/>
    <n v="0.25"/>
    <s v=""/>
    <n v="0"/>
    <s v="TRUFIE3305RE"/>
    <n v="1"/>
    <s v=""/>
    <n v="0"/>
    <s v="E3"/>
    <s v="모자"/>
    <s v="TRU"/>
    <s v="FI"/>
    <x v="9"/>
    <s v="TRUFIE3305"/>
    <s v="TRUFIE3305RE"/>
    <x v="1"/>
    <n v="96"/>
    <n v="9504000"/>
    <n v="2472370.7520000003"/>
    <n v="3.4946215056988339"/>
    <n v="0"/>
    <n v="96"/>
  </r>
  <r>
    <x v="0"/>
    <x v="0"/>
    <s v="TRUFIE3305"/>
    <n v="0.25"/>
    <s v=""/>
    <n v="0"/>
    <s v="TRUFIE3305YE"/>
    <n v="1"/>
    <s v=""/>
    <n v="0"/>
    <s v="E3"/>
    <s v="모자"/>
    <s v="TRU"/>
    <s v="FI"/>
    <x v="9"/>
    <s v="TRUFIE3305"/>
    <s v="TRUFIE3305YE"/>
    <x v="1"/>
    <n v="72"/>
    <n v="7128000"/>
    <n v="1854278.064"/>
    <n v="3.4946215056988343"/>
    <n v="0"/>
    <n v="72"/>
  </r>
  <r>
    <x v="0"/>
    <x v="0"/>
    <s v="TRUFIE3305"/>
    <n v="0.25"/>
    <s v=""/>
    <n v="0"/>
    <s v="TRUFIE3305BK"/>
    <n v="1"/>
    <s v=""/>
    <n v="0"/>
    <s v="E3"/>
    <s v="모자"/>
    <s v="TRU"/>
    <s v="FI"/>
    <x v="9"/>
    <s v="TRUFIE3305"/>
    <s v="TRUFIE3305BK"/>
    <x v="1"/>
    <n v="96"/>
    <n v="9504000"/>
    <n v="2472370.7520000003"/>
    <n v="3.4946215056988339"/>
    <n v="0"/>
    <n v="96"/>
  </r>
  <r>
    <x v="0"/>
    <x v="0"/>
    <s v="TRUFIE3306"/>
    <n v="0.33333333333333331"/>
    <s v=""/>
    <n v="0"/>
    <s v="TRUFIE3306NY"/>
    <n v="1"/>
    <s v=""/>
    <n v="0"/>
    <s v="E3"/>
    <s v="모자"/>
    <s v="TRU"/>
    <s v="FI"/>
    <x v="9"/>
    <s v="TRUFIE3306"/>
    <s v="TRUFIE3306NY"/>
    <x v="1"/>
    <n v="96"/>
    <n v="11040000"/>
    <n v="2921434.7520000003"/>
    <n v="3.4354228275996199"/>
    <n v="0"/>
    <n v="96"/>
  </r>
  <r>
    <x v="0"/>
    <x v="0"/>
    <s v="TRUFIE3306"/>
    <n v="0.33333333333333331"/>
    <s v=""/>
    <n v="0"/>
    <s v="TRUFIE3306RE"/>
    <n v="1"/>
    <s v=""/>
    <n v="0"/>
    <s v="E3"/>
    <s v="모자"/>
    <s v="TRU"/>
    <s v="FI"/>
    <x v="9"/>
    <s v="TRUFIE3306"/>
    <s v="TRUFIE3306RE"/>
    <x v="1"/>
    <n v="96"/>
    <n v="11040000"/>
    <n v="2921434.7520000003"/>
    <n v="3.4354228275996199"/>
    <n v="0"/>
    <n v="96"/>
  </r>
  <r>
    <x v="0"/>
    <x v="0"/>
    <s v="TRUFIE3306"/>
    <n v="0.33333333333333331"/>
    <s v=""/>
    <n v="0"/>
    <s v="TRUFIE3306OR"/>
    <n v="1"/>
    <s v=""/>
    <n v="0"/>
    <s v="E3"/>
    <s v="모자"/>
    <s v="TRU"/>
    <s v="FI"/>
    <x v="9"/>
    <s v="TRUFIE3306"/>
    <s v="TRUFIE3306OR"/>
    <x v="1"/>
    <n v="72"/>
    <n v="8280000"/>
    <n v="2191076.0640000002"/>
    <n v="3.4354228275996195"/>
    <n v="0"/>
    <n v="72"/>
  </r>
  <r>
    <x v="0"/>
    <x v="0"/>
    <s v="JILMIE3301"/>
    <n v="1"/>
    <s v=""/>
    <n v="0"/>
    <s v="JILMIE3301BK"/>
    <n v="1"/>
    <s v=""/>
    <n v="0"/>
    <s v="E3"/>
    <s v="모자"/>
    <s v="JIL"/>
    <s v="MI"/>
    <x v="4"/>
    <s v="JILMIE3301"/>
    <s v="JILMIE3301BK"/>
    <x v="0"/>
    <n v="500"/>
    <n v="24500000"/>
    <n v="3580970.0000000005"/>
    <n v="6.2197469603842723"/>
    <n v="0"/>
    <n v="500"/>
  </r>
  <r>
    <x v="0"/>
    <x v="0"/>
    <s v="JILMIE5303"/>
    <n v="0.5"/>
    <s v=""/>
    <n v="0"/>
    <s v="JILMIE5303GY"/>
    <n v="1"/>
    <s v=""/>
    <n v="0"/>
    <s v="E5"/>
    <s v="모자"/>
    <s v="JIL"/>
    <s v="MI"/>
    <x v="4"/>
    <s v="JILMIE5303"/>
    <s v="JILMIE5303GY"/>
    <x v="0"/>
    <n v="500"/>
    <n v="24500000"/>
    <n v="3205070"/>
    <n v="6.9492171068735686"/>
    <n v="0"/>
    <n v="500"/>
  </r>
  <r>
    <x v="0"/>
    <x v="0"/>
    <s v="JILMIE5303"/>
    <n v="0.5"/>
    <s v=""/>
    <n v="0"/>
    <s v="JILMIE5303GR"/>
    <n v="1"/>
    <s v=""/>
    <n v="0"/>
    <s v="E5"/>
    <s v="모자"/>
    <s v="JIL"/>
    <s v="MI"/>
    <x v="4"/>
    <s v="JILMIE5303"/>
    <s v="JILMIE5303GR"/>
    <x v="0"/>
    <n v="500"/>
    <n v="24500000"/>
    <n v="3347245.0000000009"/>
    <n v="6.6540475145163454"/>
    <n v="0"/>
    <n v="500"/>
  </r>
  <r>
    <x v="0"/>
    <x v="0"/>
    <s v="JILERE5304"/>
    <n v="1"/>
    <s v=""/>
    <n v="0"/>
    <s v="JILERE5304NY"/>
    <n v="1"/>
    <s v=""/>
    <n v="0"/>
    <s v="E5"/>
    <s v="모자"/>
    <s v="JIL"/>
    <s v="ER"/>
    <x v="4"/>
    <s v="JILERE5304"/>
    <s v="JILERE5304NY"/>
    <x v="0"/>
    <n v="500"/>
    <n v="29500000"/>
    <n v="4475250"/>
    <n v="5.992555012162855"/>
    <n v="0"/>
    <n v="500"/>
  </r>
  <r>
    <x v="0"/>
    <x v="0"/>
    <s v="JILERE5305"/>
    <n v="1"/>
    <s v=""/>
    <n v="0"/>
    <s v="JILERE5305BK"/>
    <n v="1"/>
    <s v=""/>
    <n v="0"/>
    <s v="E5"/>
    <s v="모자"/>
    <s v="JIL"/>
    <s v="ER"/>
    <x v="4"/>
    <s v="JILERE5305"/>
    <s v="JILERE5305BK"/>
    <x v="0"/>
    <n v="500"/>
    <n v="27500000"/>
    <n v="3348510"/>
    <n v="7.4660072689046757"/>
    <n v="0"/>
    <n v="500"/>
  </r>
  <r>
    <x v="0"/>
    <x v="0"/>
    <s v="JILERE5306"/>
    <n v="0.5"/>
    <s v=""/>
    <n v="0"/>
    <s v="JILERE5306MT"/>
    <n v="1"/>
    <s v=""/>
    <n v="0"/>
    <s v="E5"/>
    <s v="모자"/>
    <s v="JIL"/>
    <s v="ER"/>
    <x v="4"/>
    <s v="JILERE5306"/>
    <s v="JILERE5306MT"/>
    <x v="0"/>
    <n v="700"/>
    <n v="41300000"/>
    <n v="5856582.4000000004"/>
    <n v="6.4108129931638187"/>
    <n v="0"/>
    <n v="700"/>
  </r>
  <r>
    <x v="0"/>
    <x v="0"/>
    <s v="JILERE5806"/>
    <n v="0.5"/>
    <s v=""/>
    <n v="0"/>
    <s v="JILERE5806MT"/>
    <n v="1"/>
    <s v=""/>
    <n v="0"/>
    <s v="E5"/>
    <s v="모자"/>
    <s v="JIL"/>
    <s v="ER"/>
    <x v="4"/>
    <s v="JILERE5806"/>
    <s v="JILERE5806MT"/>
    <x v="0"/>
    <n v="500"/>
    <n v="27500000"/>
    <n v="4172226.0000000005"/>
    <n v="5.9920052269459987"/>
    <n v="0"/>
    <n v="500"/>
  </r>
  <r>
    <x v="0"/>
    <x v="0"/>
    <s v="JILERE5306"/>
    <n v="0.5"/>
    <s v=""/>
    <n v="0"/>
    <s v="JILERE5306YE"/>
    <n v="1"/>
    <s v=""/>
    <n v="0"/>
    <s v="E5"/>
    <s v="모자"/>
    <s v="JIL"/>
    <s v="ER"/>
    <x v="4"/>
    <s v="JILERE5306"/>
    <s v="JILERE5306YE"/>
    <x v="0"/>
    <n v="700"/>
    <n v="41300000"/>
    <n v="5524974"/>
    <n v="6.795589363036739"/>
    <n v="0"/>
    <n v="700"/>
  </r>
  <r>
    <x v="0"/>
    <x v="0"/>
    <s v="JILERE5806"/>
    <n v="0.5"/>
    <s v=""/>
    <n v="0"/>
    <s v="JILERE5806YE"/>
    <n v="1"/>
    <s v=""/>
    <n v="0"/>
    <s v="E5"/>
    <s v="모자"/>
    <s v="JIL"/>
    <s v="ER"/>
    <x v="4"/>
    <s v="JILERE5806"/>
    <s v="JILERE5806YE"/>
    <x v="0"/>
    <n v="500"/>
    <n v="27500000"/>
    <n v="4067540.0000000005"/>
    <n v="6.1462210574450395"/>
    <n v="0"/>
    <n v="500"/>
  </r>
  <r>
    <x v="0"/>
    <x v="0"/>
    <s v="JILHUE5307"/>
    <n v="1"/>
    <s v=""/>
    <n v="0"/>
    <s v="JILHUE5307KH"/>
    <n v="1"/>
    <s v=""/>
    <n v="0"/>
    <s v="E5"/>
    <s v="모자"/>
    <s v="JIL"/>
    <s v="HU"/>
    <x v="4"/>
    <s v="JILHUE5307"/>
    <s v="JILHUE5307KH"/>
    <x v="0"/>
    <n v="400"/>
    <n v="19600000"/>
    <n v="2762672"/>
    <n v="6.4496189986295214"/>
    <n v="0"/>
    <n v="400"/>
  </r>
  <r>
    <x v="0"/>
    <x v="0"/>
    <s v="JILBAE5308"/>
    <n v="1"/>
    <s v=""/>
    <n v="0"/>
    <s v="JILBAE5308KH"/>
    <n v="1"/>
    <s v=""/>
    <n v="0"/>
    <s v="E5"/>
    <s v="모자"/>
    <s v="JIL"/>
    <s v="BA"/>
    <x v="4"/>
    <s v="JILBAE5308"/>
    <s v="JILBAE5308KH"/>
    <x v="0"/>
    <n v="700"/>
    <n v="34300000"/>
    <n v="5555862"/>
    <n v="5.6124176917673942"/>
    <n v="0"/>
    <n v="700"/>
  </r>
  <r>
    <x v="0"/>
    <x v="0"/>
    <s v="JILBAE5808"/>
    <n v="1"/>
    <s v=""/>
    <n v="0"/>
    <s v="JILBAE5808KH"/>
    <n v="1"/>
    <s v=""/>
    <n v="0"/>
    <s v="E5"/>
    <s v="모자"/>
    <s v="JIL"/>
    <s v="BA"/>
    <x v="4"/>
    <s v="JILBAE5808"/>
    <s v="JILBAE5808KH"/>
    <x v="0"/>
    <n v="500"/>
    <n v="22500000"/>
    <n v="4106899.9999999995"/>
    <n v="4.980531655152415"/>
    <n v="0"/>
    <n v="500"/>
  </r>
  <r>
    <x v="0"/>
    <x v="0"/>
    <s v="JILBAE5309"/>
    <n v="1"/>
    <s v=""/>
    <n v="0"/>
    <s v="JILBAE5309BW"/>
    <n v="1"/>
    <s v=""/>
    <n v="0"/>
    <s v="E5"/>
    <s v="모자"/>
    <s v="JIL"/>
    <s v="BA"/>
    <x v="4"/>
    <s v="JILBAE5309"/>
    <s v="JILBAE5309BW"/>
    <x v="0"/>
    <n v="500"/>
    <n v="24500000"/>
    <n v="3755110.0000000005"/>
    <n v="5.9313115388703039"/>
    <n v="0"/>
    <n v="500"/>
  </r>
  <r>
    <x v="0"/>
    <x v="0"/>
    <s v="JILFAE5310"/>
    <n v="1"/>
    <s v=""/>
    <n v="0"/>
    <s v="JILFAE5310BU"/>
    <n v="1"/>
    <s v=""/>
    <n v="0"/>
    <s v="E5"/>
    <s v="모자"/>
    <s v="JIL"/>
    <s v="FA"/>
    <x v="4"/>
    <s v="JILFAE5310"/>
    <s v="JILFAE5310BU"/>
    <x v="0"/>
    <n v="400"/>
    <n v="23600000"/>
    <n v="3135896.0000000005"/>
    <n v="6.8415998025908547"/>
    <n v="0"/>
    <n v="400"/>
  </r>
  <r>
    <x v="0"/>
    <x v="0"/>
    <s v="VBLERE5301"/>
    <n v="0.5"/>
    <s v=""/>
    <n v="0"/>
    <s v="VBLERE5301OR"/>
    <n v="0.5"/>
    <s v=""/>
    <n v="0"/>
    <s v="E5"/>
    <s v="모자"/>
    <s v="VBL"/>
    <s v="ER"/>
    <x v="10"/>
    <s v="VBLERE5301"/>
    <s v="VBLERE5301OR"/>
    <x v="0"/>
    <n v="700"/>
    <n v="41300000"/>
    <n v="11214000"/>
    <n v="3.3480876177505388"/>
    <n v="0"/>
    <n v="700"/>
  </r>
  <r>
    <x v="0"/>
    <x v="0"/>
    <s v="VBLERE5801"/>
    <n v="0.5"/>
    <s v=""/>
    <n v="0"/>
    <s v="VBLERE5801OR"/>
    <n v="0.5"/>
    <s v=""/>
    <n v="0"/>
    <s v="E5"/>
    <s v="모자"/>
    <s v="VBL"/>
    <s v="ER"/>
    <x v="10"/>
    <s v="VBLERE5801"/>
    <s v="VBLERE5801OR"/>
    <x v="0"/>
    <n v="500"/>
    <n v="27500000"/>
    <n v="7760000"/>
    <n v="3.2216494845360826"/>
    <n v="0"/>
    <n v="500"/>
  </r>
  <r>
    <x v="0"/>
    <x v="0"/>
    <s v="VBLBAE5302"/>
    <n v="1"/>
    <s v=""/>
    <n v="0"/>
    <s v="VBLBAE5302BK"/>
    <n v="1"/>
    <s v=""/>
    <n v="0"/>
    <s v="E5"/>
    <s v="모자"/>
    <s v="VBL"/>
    <s v="BA"/>
    <x v="10"/>
    <s v="VBLBAE5302"/>
    <s v="VBLBAE5302BK"/>
    <x v="0"/>
    <n v="700"/>
    <n v="38500000"/>
    <n v="3191622"/>
    <n v="10.966210910941207"/>
    <n v="0"/>
    <n v="700"/>
  </r>
  <r>
    <x v="0"/>
    <x v="0"/>
    <s v="VBLBAE5802"/>
    <n v="1"/>
    <s v=""/>
    <n v="0"/>
    <s v="VBLBAE5802BK"/>
    <n v="1"/>
    <s v=""/>
    <n v="0"/>
    <s v="E5"/>
    <s v="모자"/>
    <s v="VBL"/>
    <s v="BA"/>
    <x v="10"/>
    <s v="VBLBAE5802"/>
    <s v="VBLBAE5802BK"/>
    <x v="0"/>
    <n v="500"/>
    <n v="24500000"/>
    <n v="2312230"/>
    <n v="9.6325742995840695"/>
    <n v="0"/>
    <n v="500"/>
  </r>
  <r>
    <x v="0"/>
    <x v="0"/>
    <s v="VBLBAE5303"/>
    <n v="1"/>
    <s v=""/>
    <n v="0"/>
    <s v="VBLBAE5303RE"/>
    <n v="1"/>
    <s v=""/>
    <n v="0"/>
    <s v="E5"/>
    <s v="모자"/>
    <s v="VBL"/>
    <s v="BA"/>
    <x v="10"/>
    <s v="VBLBAE5303"/>
    <s v="VBLBAE5303RE"/>
    <x v="0"/>
    <n v="700"/>
    <n v="38500000"/>
    <n v="3277022"/>
    <n v="10.680428755131945"/>
    <n v="0"/>
    <n v="700"/>
  </r>
  <r>
    <x v="0"/>
    <x v="0"/>
    <s v="VBLBAE5304"/>
    <n v="1"/>
    <s v=""/>
    <n v="0"/>
    <s v="VBLBAE5304BL"/>
    <n v="1"/>
    <s v=""/>
    <n v="0"/>
    <s v="E5"/>
    <s v="모자"/>
    <s v="VBL"/>
    <s v="BA"/>
    <x v="10"/>
    <s v="VBLBAE5304"/>
    <s v="VBLBAE5304BL"/>
    <x v="0"/>
    <n v="400"/>
    <n v="22000000"/>
    <n v="1988984"/>
    <n v="10.055385060915521"/>
    <n v="0"/>
    <n v="400"/>
  </r>
  <r>
    <x v="0"/>
    <x v="0"/>
    <s v="NOVMIE5301"/>
    <n v="1"/>
    <s v=""/>
    <n v="0"/>
    <s v="NOVMIE5301BK"/>
    <n v="1"/>
    <s v=""/>
    <n v="0"/>
    <s v="E5"/>
    <s v="모자"/>
    <s v="NOV"/>
    <s v="MI"/>
    <x v="11"/>
    <s v="NOVMIE5301"/>
    <s v="NOVMIE5301BK"/>
    <x v="0"/>
    <n v="500"/>
    <n v="24500000"/>
    <n v="2351045"/>
    <n v="9.4735435828439147"/>
    <n v="0"/>
    <n v="500"/>
  </r>
  <r>
    <x v="0"/>
    <x v="0"/>
    <s v="NOVMIE3302"/>
    <n v="1"/>
    <s v=""/>
    <n v="0"/>
    <s v="NOVMIE3302GY"/>
    <n v="1"/>
    <s v=""/>
    <n v="0"/>
    <s v="E3"/>
    <s v="모자"/>
    <s v="NOV"/>
    <s v="MI"/>
    <x v="11"/>
    <s v="NOVMIE3302"/>
    <s v="NOVMIE3302GY"/>
    <x v="0"/>
    <n v="500"/>
    <n v="24500000"/>
    <n v="2295545"/>
    <n v="9.7025879574250435"/>
    <n v="0"/>
    <n v="500"/>
  </r>
  <r>
    <x v="0"/>
    <x v="0"/>
    <s v="NOVBAE5303"/>
    <n v="1"/>
    <s v=""/>
    <n v="0"/>
    <s v="NOVBAE5303OR"/>
    <n v="1"/>
    <s v=""/>
    <n v="0"/>
    <s v="E5"/>
    <s v="모자"/>
    <s v="NOV"/>
    <s v="BA"/>
    <x v="11"/>
    <s v="NOVBAE5303"/>
    <s v="NOVBAE5303OR"/>
    <x v="0"/>
    <n v="700"/>
    <n v="34300000"/>
    <n v="3292604"/>
    <n v="9.4702606756895698"/>
    <n v="0"/>
    <n v="700"/>
  </r>
  <r>
    <x v="0"/>
    <x v="0"/>
    <s v="NOVBAE5304"/>
    <n v="1"/>
    <s v=""/>
    <n v="0"/>
    <s v="NOVBAE5304BL"/>
    <n v="1"/>
    <s v=""/>
    <n v="0"/>
    <s v="E5"/>
    <s v="모자"/>
    <s v="NOV"/>
    <s v="BA"/>
    <x v="11"/>
    <s v="NOVBAE5304"/>
    <s v="NOVBAE5304BL"/>
    <x v="0"/>
    <n v="700"/>
    <n v="34300000"/>
    <n v="3239404"/>
    <n v="9.625788627111092"/>
    <n v="0"/>
    <n v="700"/>
  </r>
  <r>
    <x v="0"/>
    <x v="0"/>
    <s v="NOVBAE3305"/>
    <n v="1"/>
    <s v=""/>
    <n v="0"/>
    <s v="NOVBAE3305KH"/>
    <n v="1"/>
    <s v=""/>
    <n v="0"/>
    <s v="E3"/>
    <s v="모자"/>
    <s v="NOV"/>
    <s v="BA"/>
    <x v="11"/>
    <s v="NOVBAE3305"/>
    <s v="NOVBAE3305KH"/>
    <x v="0"/>
    <n v="500"/>
    <n v="22500000"/>
    <n v="2339360"/>
    <n v="8.743650166945427"/>
    <n v="0"/>
    <n v="500"/>
  </r>
  <r>
    <x v="0"/>
    <x v="0"/>
    <s v="NOVTPE5306"/>
    <n v="0.5"/>
    <s v=""/>
    <n v="0"/>
    <s v="NOVTPE5306NY"/>
    <n v="1"/>
    <s v=""/>
    <n v="0"/>
    <s v="E5"/>
    <s v="모자"/>
    <s v="NOV"/>
    <s v="TP"/>
    <x v="11"/>
    <s v="NOVTPE5306"/>
    <s v="NOVTPE5306NY"/>
    <x v="0"/>
    <n v="400"/>
    <n v="27600000"/>
    <n v="4073320.0000000005"/>
    <n v="6.1598178122291118"/>
    <n v="0"/>
    <n v="400"/>
  </r>
  <r>
    <x v="0"/>
    <x v="0"/>
    <s v="NOVTPE5306"/>
    <n v="0.5"/>
    <s v=""/>
    <n v="0"/>
    <s v="NOVTPE5306GY"/>
    <n v="1"/>
    <s v=""/>
    <n v="0"/>
    <s v="E5"/>
    <s v="모자"/>
    <s v="NOV"/>
    <s v="TP"/>
    <x v="11"/>
    <s v="NOVTPE5306"/>
    <s v="NOVTPE5306GY"/>
    <x v="0"/>
    <n v="400"/>
    <n v="27600000"/>
    <n v="3822520.0000000005"/>
    <n v="6.5639706504894901"/>
    <n v="0"/>
    <n v="400"/>
  </r>
  <r>
    <x v="0"/>
    <x v="0"/>
    <s v="NOVTPE5307"/>
    <n v="1"/>
    <s v=""/>
    <n v="0"/>
    <s v="NOVTPE5307PP"/>
    <n v="1"/>
    <s v=""/>
    <n v="0"/>
    <s v="E5"/>
    <s v="모자"/>
    <s v="NOV"/>
    <s v="TP"/>
    <x v="11"/>
    <s v="NOVTPE5307"/>
    <s v="NOVTPE5307PP"/>
    <x v="0"/>
    <n v="400"/>
    <n v="27600000"/>
    <n v="3542520.0000000005"/>
    <n v="7.0827854439520692"/>
    <n v="0"/>
    <n v="400"/>
  </r>
  <r>
    <x v="0"/>
    <x v="0"/>
    <s v="NOVTPE5807"/>
    <n v="1"/>
    <s v=""/>
    <n v="0"/>
    <s v="NOVTPE5807PP"/>
    <n v="1"/>
    <s v=""/>
    <n v="0"/>
    <s v="E5"/>
    <s v="모자"/>
    <s v="NOV"/>
    <s v="TP"/>
    <x v="11"/>
    <s v="NOVTPE5807"/>
    <s v="NOVTPE5807PP"/>
    <x v="0"/>
    <n v="300"/>
    <n v="19500000"/>
    <n v="2658279"/>
    <n v="6.668702843935014"/>
    <n v="0"/>
    <n v="300"/>
  </r>
  <r>
    <x v="0"/>
    <x v="0"/>
    <s v="NOVTPE5308"/>
    <n v="0.5"/>
    <s v=""/>
    <n v="0"/>
    <s v="NOVTPE5308NY"/>
    <n v="1"/>
    <s v=""/>
    <n v="0"/>
    <s v="E5"/>
    <s v="모자"/>
    <s v="NOV"/>
    <s v="TP"/>
    <x v="11"/>
    <s v="NOVTPE5308"/>
    <s v="NOVTPE5308NY"/>
    <x v="0"/>
    <n v="600"/>
    <n v="41400000"/>
    <n v="5415780.0000000009"/>
    <n v="6.949389309824924"/>
    <n v="0"/>
    <n v="600"/>
  </r>
  <r>
    <x v="0"/>
    <x v="0"/>
    <s v="NOVTPE5308"/>
    <n v="0.5"/>
    <s v=""/>
    <n v="0"/>
    <s v="NOVTPE5308BK"/>
    <n v="1"/>
    <s v=""/>
    <n v="0"/>
    <s v="E5"/>
    <s v="모자"/>
    <s v="NOV"/>
    <s v="TP"/>
    <x v="11"/>
    <s v="NOVTPE5308"/>
    <s v="NOVTPE5308BK"/>
    <x v="0"/>
    <n v="600"/>
    <n v="41400000"/>
    <n v="5415780.0000000009"/>
    <n v="6.949389309824924"/>
    <n v="0"/>
    <n v="600"/>
  </r>
  <r>
    <x v="0"/>
    <x v="0"/>
    <s v="NOVTPE5309"/>
    <n v="0.25"/>
    <s v=""/>
    <n v="0"/>
    <s v="NOVTPE5309OR"/>
    <n v="1"/>
    <s v=""/>
    <n v="0"/>
    <s v="E5"/>
    <s v="모자"/>
    <s v="NOV"/>
    <s v="TP"/>
    <x v="11"/>
    <s v="NOVTPE5309"/>
    <s v="NOVTPE5309OR"/>
    <x v="0"/>
    <n v="600"/>
    <n v="41400000"/>
    <n v="5350380.0000000009"/>
    <n v="7.0343346895666521"/>
    <n v="0"/>
    <n v="600"/>
  </r>
  <r>
    <x v="0"/>
    <x v="0"/>
    <s v="NOVTPE5809"/>
    <n v="0.5"/>
    <s v=""/>
    <n v="0"/>
    <s v="NOVTPE5809OR"/>
    <n v="1"/>
    <s v=""/>
    <n v="0"/>
    <s v="E5"/>
    <s v="모자"/>
    <s v="NOV"/>
    <s v="TP"/>
    <x v="11"/>
    <s v="NOVTPE5809"/>
    <s v="NOVTPE5809OR"/>
    <x v="0"/>
    <n v="400"/>
    <n v="26000000"/>
    <n v="3229172"/>
    <n v="7.3196360046363695"/>
    <n v="0"/>
    <n v="400"/>
  </r>
  <r>
    <x v="0"/>
    <x v="0"/>
    <s v="NOVTPE5309"/>
    <n v="0.25"/>
    <s v=""/>
    <n v="0"/>
    <s v="NOVTPE5309RE"/>
    <n v="1"/>
    <s v=""/>
    <n v="0"/>
    <s v="E5"/>
    <s v="모자"/>
    <s v="NOV"/>
    <s v="TP"/>
    <x v="11"/>
    <s v="NOVTPE5309"/>
    <s v="NOVTPE5309RE"/>
    <x v="0"/>
    <n v="600"/>
    <n v="41400000"/>
    <n v="5462580.0000000009"/>
    <n v="6.889851249110059"/>
    <n v="0"/>
    <n v="600"/>
  </r>
  <r>
    <x v="0"/>
    <x v="0"/>
    <s v="NOVTPE5309"/>
    <n v="0.25"/>
    <s v=""/>
    <n v="0"/>
    <s v="NOVTPE5309PK"/>
    <n v="1"/>
    <s v=""/>
    <n v="0"/>
    <s v="E5"/>
    <s v="모자"/>
    <s v="NOV"/>
    <s v="TP"/>
    <x v="11"/>
    <s v="NOVTPE5309"/>
    <s v="NOVTPE5309PK"/>
    <x v="0"/>
    <n v="400"/>
    <n v="27600000"/>
    <n v="4189320.0000000005"/>
    <n v="5.9892557959069936"/>
    <n v="0"/>
    <n v="400"/>
  </r>
  <r>
    <x v="0"/>
    <x v="0"/>
    <s v="NOVTPE5809"/>
    <n v="0.5"/>
    <s v=""/>
    <n v="0"/>
    <s v="NOVTPE5809PK"/>
    <n v="1"/>
    <s v=""/>
    <n v="0"/>
    <s v="E5"/>
    <s v="모자"/>
    <s v="NOV"/>
    <s v="TP"/>
    <x v="11"/>
    <s v="NOVTPE5809"/>
    <s v="NOVTPE5809PK"/>
    <x v="0"/>
    <n v="300"/>
    <n v="19500000"/>
    <n v="2655279"/>
    <n v="6.6762373096283758"/>
    <n v="0"/>
    <n v="300"/>
  </r>
  <r>
    <x v="0"/>
    <x v="0"/>
    <s v="NOVTPE5309"/>
    <n v="0.25"/>
    <s v=""/>
    <n v="0"/>
    <s v="NOVTPE5309GR"/>
    <n v="1"/>
    <s v=""/>
    <n v="0"/>
    <s v="E5"/>
    <s v="모자"/>
    <s v="NOV"/>
    <s v="TP"/>
    <x v="11"/>
    <s v="NOVTPE5309"/>
    <s v="NOVTPE5309GR"/>
    <x v="0"/>
    <n v="600"/>
    <n v="41400000"/>
    <n v="5350380.0000000009"/>
    <n v="7.0343346895666521"/>
    <n v="0"/>
    <n v="600"/>
  </r>
  <r>
    <x v="0"/>
    <x v="0"/>
    <s v="HCUMIE3301"/>
    <n v="0.5"/>
    <s v=""/>
    <n v="0"/>
    <s v="HCUMIE3301BK"/>
    <n v="1"/>
    <s v=""/>
    <n v="0"/>
    <s v="E3"/>
    <s v="모자"/>
    <s v="HCU"/>
    <s v="MI"/>
    <x v="12"/>
    <s v="HCUMIE3301"/>
    <s v="HCUMIE3301BK"/>
    <x v="0"/>
    <n v="3000"/>
    <n v="105000000"/>
    <n v="17000700"/>
    <n v="5.6147420667705124"/>
    <n v="2999"/>
    <n v="0"/>
  </r>
  <r>
    <x v="0"/>
    <x v="0"/>
    <s v="HCUMIE3301"/>
    <n v="0.5"/>
    <s v=""/>
    <n v="0"/>
    <s v="HCUMIE3301KH"/>
    <n v="1"/>
    <s v=""/>
    <n v="0"/>
    <s v="E3"/>
    <s v="모자"/>
    <s v="HCU"/>
    <s v="MI"/>
    <x v="12"/>
    <s v="HCUMIE3301"/>
    <s v="HCUMIE3301KH"/>
    <x v="0"/>
    <n v="2000"/>
    <n v="70000000"/>
    <n v="11345360"/>
    <n v="5.6090211008168653"/>
    <n v="2000"/>
    <n v="0"/>
  </r>
  <r>
    <x v="0"/>
    <x v="0"/>
    <s v="HCUMIE3302"/>
    <n v="0.5"/>
    <s v=""/>
    <n v="0"/>
    <s v="HCUMIE3302BK"/>
    <n v="1"/>
    <s v=""/>
    <n v="0"/>
    <s v="E3"/>
    <s v="모자"/>
    <s v="HCU"/>
    <s v="MI"/>
    <x v="12"/>
    <s v="HCUMIE3302"/>
    <s v="HCUMIE3302BK"/>
    <x v="0"/>
    <n v="3000"/>
    <n v="105000000"/>
    <n v="22047360"/>
    <n v="4.3295226936261502"/>
    <n v="1200"/>
    <n v="0"/>
  </r>
  <r>
    <x v="0"/>
    <x v="0"/>
    <s v="HCUMIE3302"/>
    <n v="0.5"/>
    <s v=""/>
    <n v="0"/>
    <s v="HCUMIE3302GY"/>
    <n v="1"/>
    <s v=""/>
    <n v="0"/>
    <s v="E3"/>
    <s v="모자"/>
    <s v="HCU"/>
    <s v="MI"/>
    <x v="12"/>
    <s v="HCUMIE3302"/>
    <s v="HCUMIE3302GY"/>
    <x v="0"/>
    <n v="1000"/>
    <n v="35000000"/>
    <n v="7358210.0000000009"/>
    <n v="4.3241741970101168"/>
    <n v="500"/>
    <n v="0"/>
  </r>
  <r>
    <x v="0"/>
    <x v="0"/>
    <s v="HCUMIE3303"/>
    <n v="0.5"/>
    <s v=""/>
    <n v="0"/>
    <s v="HCUMIE3303BK"/>
    <n v="1"/>
    <s v=""/>
    <n v="0"/>
    <s v="E3"/>
    <s v="모자"/>
    <s v="HCU"/>
    <s v="MI"/>
    <x v="12"/>
    <s v="HCUMIE3303"/>
    <s v="HCUMIE3303BK"/>
    <x v="0"/>
    <n v="3000"/>
    <n v="135000000"/>
    <n v="22513200.000000007"/>
    <n v="5.451347330778062"/>
    <n v="3000"/>
    <n v="0"/>
  </r>
  <r>
    <x v="0"/>
    <x v="0"/>
    <s v="HCUMIE3303"/>
    <n v="0.5"/>
    <s v=""/>
    <n v="0"/>
    <s v="HCUMIE3303KH"/>
    <n v="1"/>
    <s v=""/>
    <n v="0"/>
    <s v="E3"/>
    <s v="모자"/>
    <s v="HCU"/>
    <s v="MI"/>
    <x v="12"/>
    <s v="HCUMIE3303"/>
    <s v="HCUMIE3303KH"/>
    <x v="0"/>
    <n v="2000"/>
    <n v="90000000"/>
    <n v="15008800.000000004"/>
    <n v="5.4513473307780629"/>
    <n v="1998"/>
    <n v="0"/>
  </r>
  <r>
    <x v="0"/>
    <x v="0"/>
    <s v="JILMIE3311"/>
    <n v="0.5"/>
    <s v=""/>
    <n v="0"/>
    <s v="JILMIE3311BK"/>
    <n v="1"/>
    <s v=""/>
    <n v="0"/>
    <s v="E3"/>
    <s v="모자"/>
    <s v="JIL"/>
    <s v="MI"/>
    <x v="4"/>
    <s v="JILMIE3311"/>
    <s v="JILMIE3311BK"/>
    <x v="0"/>
    <n v="3000"/>
    <n v="87000000"/>
    <n v="16363550.332458442"/>
    <n v="4.8333587445278177"/>
    <n v="3059"/>
    <n v="0"/>
  </r>
  <r>
    <x v="0"/>
    <x v="0"/>
    <s v="JILMIE3311"/>
    <n v="0.5"/>
    <s v=""/>
    <n v="0"/>
    <s v="JILMIE3311NY"/>
    <n v="1"/>
    <s v=""/>
    <n v="0"/>
    <s v="E3"/>
    <s v="모자"/>
    <s v="JIL"/>
    <s v="MI"/>
    <x v="4"/>
    <s v="JILMIE3311"/>
    <s v="JILMIE3311NY"/>
    <x v="0"/>
    <n v="1000"/>
    <n v="29000000"/>
    <n v="5337578.748906387"/>
    <n v="4.939250098940084"/>
    <n v="999"/>
    <n v="0"/>
  </r>
  <r>
    <x v="0"/>
    <x v="0"/>
    <s v="JILMIE3312"/>
    <n v="0.5"/>
    <s v=""/>
    <n v="0"/>
    <s v="JILMIE3312BK"/>
    <n v="1"/>
    <s v=""/>
    <n v="0"/>
    <s v="E3"/>
    <s v="모자"/>
    <s v="JIL"/>
    <s v="MI"/>
    <x v="4"/>
    <s v="JILMIE3312"/>
    <s v="JILMIE3312BK"/>
    <x v="0"/>
    <n v="3000"/>
    <n v="87000000"/>
    <n v="16035089.798775153"/>
    <n v="4.9323645881266263"/>
    <n v="2998"/>
    <n v="0"/>
  </r>
  <r>
    <x v="0"/>
    <x v="0"/>
    <s v="JILMIE3312"/>
    <n v="0.5"/>
    <s v=""/>
    <n v="0"/>
    <s v="JILMIE3312KH"/>
    <n v="1"/>
    <s v=""/>
    <n v="0"/>
    <s v="E3"/>
    <s v="모자"/>
    <s v="JIL"/>
    <s v="MI"/>
    <x v="4"/>
    <s v="JILMIE3312"/>
    <s v="JILMIE3312KH"/>
    <x v="0"/>
    <n v="2000"/>
    <n v="58000000"/>
    <n v="10697678.705161856"/>
    <n v="4.9288517799502332"/>
    <n v="1999"/>
    <n v="0"/>
  </r>
  <r>
    <x v="0"/>
    <x v="0"/>
    <s v="JILMIE3314"/>
    <n v="0.5"/>
    <s v=""/>
    <n v="0"/>
    <s v="JILMIE3314BK"/>
    <n v="1"/>
    <s v=""/>
    <n v="0"/>
    <s v="E3"/>
    <s v="모자"/>
    <s v="JIL"/>
    <s v="MI"/>
    <x v="4"/>
    <s v="JILMIE3314"/>
    <s v="JILMIE3314BK"/>
    <x v="0"/>
    <n v="3000"/>
    <n v="87000000"/>
    <n v="17600982.528433945"/>
    <n v="4.4935507982659324"/>
    <n v="2999"/>
    <n v="0"/>
  </r>
  <r>
    <x v="0"/>
    <x v="0"/>
    <s v="JILMIE3314"/>
    <n v="0.5"/>
    <s v=""/>
    <n v="0"/>
    <s v="JILMIE3314KH"/>
    <n v="1"/>
    <s v=""/>
    <n v="0"/>
    <s v="E3"/>
    <s v="모자"/>
    <s v="JIL"/>
    <s v="MI"/>
    <x v="4"/>
    <s v="JILMIE3314"/>
    <s v="JILMIE3314KH"/>
    <x v="0"/>
    <n v="2000"/>
    <n v="58000000"/>
    <n v="10986644.374453193"/>
    <n v="4.7992153864447777"/>
    <n v="2000"/>
    <n v="0"/>
  </r>
  <r>
    <x v="0"/>
    <x v="0"/>
    <s v="JILMIE3313"/>
    <n v="0.5"/>
    <s v=""/>
    <n v="0"/>
    <s v="JILMIE3313BK"/>
    <n v="1"/>
    <s v=""/>
    <n v="0"/>
    <s v="E3"/>
    <s v="모자"/>
    <s v="JIL"/>
    <s v="MI"/>
    <x v="4"/>
    <s v="JILMIE3313"/>
    <s v="JILMIE3313BK"/>
    <x v="0"/>
    <n v="3000"/>
    <n v="87000000"/>
    <n v="19573470.000000004"/>
    <n v="4.0407198667844311"/>
    <n v="3015"/>
    <n v="0"/>
  </r>
  <r>
    <x v="0"/>
    <x v="0"/>
    <s v="JILMIE3313"/>
    <n v="0.5"/>
    <s v=""/>
    <n v="0"/>
    <s v="JILMIE3313KH"/>
    <n v="1"/>
    <s v=""/>
    <n v="0"/>
    <s v="E3"/>
    <s v="모자"/>
    <s v="JIL"/>
    <s v="MI"/>
    <x v="4"/>
    <s v="JILMIE3313"/>
    <s v="JILMIE3313KH"/>
    <x v="0"/>
    <n v="2000"/>
    <n v="58000000"/>
    <n v="13040980"/>
    <n v="4.0431986497389554"/>
    <n v="2009"/>
    <n v="0"/>
  </r>
  <r>
    <x v="1"/>
    <x v="0"/>
    <s v="VBLBAE3216"/>
    <n v="0.2"/>
    <s v=""/>
    <n v="0"/>
    <s v="VBLBAE3216BK"/>
    <n v="1"/>
    <s v=""/>
    <n v="0"/>
    <s v="E3"/>
    <s v="모자"/>
    <s v="VBL"/>
    <s v="BA"/>
    <x v="10"/>
    <s v="VBLBAE3216"/>
    <s v="VBLBAE3216BK"/>
    <x v="0"/>
    <n v="3000"/>
    <n v="147000000"/>
    <n v="30060000"/>
    <n v="4.4456541462529477"/>
    <n v="2967"/>
    <n v="0"/>
  </r>
  <r>
    <x v="1"/>
    <x v="0"/>
    <s v="VBLBAE3003"/>
    <n v="1"/>
    <s v=""/>
    <n v="0"/>
    <s v="VBLBAE3003BK"/>
    <n v="1"/>
    <s v=""/>
    <n v="0"/>
    <s v="E3"/>
    <s v="모자"/>
    <s v="VBL"/>
    <s v="BA"/>
    <x v="10"/>
    <s v="VBLBAE3003"/>
    <s v="VBLBAE3003BK"/>
    <x v="0"/>
    <n v="700"/>
    <n v="30100000"/>
    <n v="6664000"/>
    <n v="4.1061879297173407"/>
    <n v="700"/>
    <n v="0"/>
  </r>
  <r>
    <x v="1"/>
    <x v="0"/>
    <s v="WTRBAE3003"/>
    <n v="1"/>
    <s v=""/>
    <n v="0"/>
    <s v="WTRBAE3003RE"/>
    <n v="1"/>
    <s v=""/>
    <n v="0"/>
    <s v="E3"/>
    <s v="모자"/>
    <s v="WTR"/>
    <s v="BA"/>
    <x v="8"/>
    <s v="WTRBAE3003"/>
    <s v="WTRBAE3003RE"/>
    <x v="0"/>
    <n v="500"/>
    <n v="27500000"/>
    <n v="5510000"/>
    <n v="4.5372050816696907"/>
    <n v="0"/>
    <n v="500"/>
  </r>
  <r>
    <x v="1"/>
    <x v="0"/>
    <s v="WTRBAE3201"/>
    <n v="1"/>
    <s v=""/>
    <n v="0"/>
    <s v="WTRBAE3201GR"/>
    <n v="1"/>
    <s v=""/>
    <n v="0"/>
    <s v="E3"/>
    <s v="모자"/>
    <s v="WTR"/>
    <s v="BA"/>
    <x v="8"/>
    <s v="WTRBAE3201"/>
    <s v="WTRBAE3201GR"/>
    <x v="0"/>
    <n v="400"/>
    <n v="22000000"/>
    <n v="5008000"/>
    <n v="3.9936102236421727"/>
    <n v="0"/>
    <n v="400"/>
  </r>
  <r>
    <x v="1"/>
    <x v="0"/>
    <s v="WTRBAE3701"/>
    <n v="1"/>
    <s v=""/>
    <n v="0"/>
    <s v="WTRBAE3701GR"/>
    <n v="1"/>
    <s v=""/>
    <n v="0"/>
    <s v="E3"/>
    <s v="모자"/>
    <s v="WTR"/>
    <s v="BA"/>
    <x v="8"/>
    <s v="WTRBAE3701"/>
    <s v="WTRBAE3701GR"/>
    <x v="0"/>
    <n v="400"/>
    <n v="19600000"/>
    <n v="4808000"/>
    <n v="3.7059446377250036"/>
    <n v="0"/>
    <n v="400"/>
  </r>
  <r>
    <x v="1"/>
    <x v="0"/>
    <s v="SMBFIE3202"/>
    <n v="1"/>
    <s v=""/>
    <n v="0"/>
    <s v="SMBFIE3202RE"/>
    <n v="1"/>
    <s v=""/>
    <n v="0"/>
    <s v="E3"/>
    <s v="모자"/>
    <s v="SMB"/>
    <s v="FI"/>
    <x v="13"/>
    <s v="SMBFIE3202"/>
    <s v="SMBFIE3202RE"/>
    <x v="0"/>
    <n v="500"/>
    <n v="24500000"/>
    <n v="3513000.0000000005"/>
    <n v="6.3400874673291394"/>
    <n v="500"/>
    <n v="0"/>
  </r>
  <r>
    <x v="1"/>
    <x v="0"/>
    <s v="SMBFLE3201"/>
    <n v="1"/>
    <s v=""/>
    <n v="0"/>
    <s v="SMBFLE3201BL"/>
    <n v="1"/>
    <s v=""/>
    <n v="0"/>
    <s v="E3"/>
    <s v="모자"/>
    <s v="SMB"/>
    <s v="FL"/>
    <x v="13"/>
    <s v="SMBFLE3201"/>
    <s v="SMBFLE3201BL"/>
    <x v="0"/>
    <n v="500"/>
    <n v="24500000"/>
    <n v="3484125.0000000005"/>
    <n v="6.3926315137164327"/>
    <n v="500"/>
    <n v="0"/>
  </r>
  <r>
    <x v="1"/>
    <x v="0"/>
    <s v="SMBFLE3701"/>
    <n v="1"/>
    <s v=""/>
    <n v="0"/>
    <s v="SMBFLE3701BL"/>
    <n v="1"/>
    <s v=""/>
    <n v="0"/>
    <s v="E3"/>
    <s v="모자"/>
    <s v="SMB"/>
    <s v="FL"/>
    <x v="13"/>
    <s v="SMBFLE3701"/>
    <s v="SMBFLE3701BL"/>
    <x v="0"/>
    <n v="1000"/>
    <n v="43000000"/>
    <n v="6852750"/>
    <n v="5.7044119646724436"/>
    <n v="999"/>
    <n v="0"/>
  </r>
  <r>
    <x v="1"/>
    <x v="0"/>
    <s v="SMBFLE3206"/>
    <n v="1"/>
    <s v=""/>
    <n v="0"/>
    <s v="SMBFLE3206GY"/>
    <n v="1"/>
    <s v=""/>
    <n v="0"/>
    <s v="E3"/>
    <s v="모자"/>
    <s v="SMB"/>
    <s v="FL"/>
    <x v="13"/>
    <s v="SMBFLE3206"/>
    <s v="SMBFLE3206GY"/>
    <x v="0"/>
    <n v="500"/>
    <n v="24500000"/>
    <n v="3426375"/>
    <n v="6.5003764248592955"/>
    <n v="500"/>
    <n v="0"/>
  </r>
  <r>
    <x v="1"/>
    <x v="0"/>
    <s v="SMBFLE3740"/>
    <n v="1"/>
    <s v=""/>
    <n v="0"/>
    <s v="SMBFLE3740KH"/>
    <n v="1"/>
    <s v=""/>
    <n v="0"/>
    <s v="E3"/>
    <s v="모자"/>
    <s v="SMB"/>
    <s v="FL"/>
    <x v="13"/>
    <s v="SMBFLE3740"/>
    <s v="SMBFLE3740KH"/>
    <x v="0"/>
    <n v="300"/>
    <n v="12900000"/>
    <n v="1934550.0000000002"/>
    <n v="6.0620158317297177"/>
    <n v="300"/>
    <n v="0"/>
  </r>
  <r>
    <x v="1"/>
    <x v="0"/>
    <s v="SMBFLE3744"/>
    <n v="0.5"/>
    <s v=""/>
    <n v="0"/>
    <s v="SMBFLE3744GR"/>
    <n v="1"/>
    <s v=""/>
    <n v="0"/>
    <s v="E3"/>
    <s v="모자"/>
    <s v="SMB"/>
    <s v="FL"/>
    <x v="13"/>
    <s v="SMBFLE3744"/>
    <s v="SMBFLE3744GR"/>
    <x v="0"/>
    <n v="300"/>
    <n v="12900000"/>
    <n v="1969200"/>
    <n v="5.9553487341421532"/>
    <n v="300"/>
    <n v="0"/>
  </r>
  <r>
    <x v="0"/>
    <x v="0"/>
    <s v="JILFEE3815"/>
    <n v="1"/>
    <s v=""/>
    <n v="0"/>
    <s v="JILFEE3815OR"/>
    <n v="1"/>
    <s v=""/>
    <n v="0"/>
    <s v="E3"/>
    <s v="모자"/>
    <s v="JIL"/>
    <s v="FE"/>
    <x v="4"/>
    <s v="JILFEE3815"/>
    <s v="JILFEE3815OR"/>
    <x v="0"/>
    <n v="200"/>
    <n v="9000000"/>
    <n v="1330640.0000000002"/>
    <n v="6.1487841804080583"/>
    <n v="0"/>
    <n v="200"/>
  </r>
  <r>
    <x v="0"/>
    <x v="0"/>
    <s v="JILFEE3816"/>
    <n v="1"/>
    <s v=""/>
    <n v="0"/>
    <s v="JILFEE3816RE"/>
    <n v="1"/>
    <s v=""/>
    <n v="0"/>
    <s v="E3"/>
    <s v="모자"/>
    <s v="JIL"/>
    <s v="FE"/>
    <x v="4"/>
    <s v="JILFEE3816"/>
    <s v="JILFEE3816RE"/>
    <x v="0"/>
    <n v="200"/>
    <n v="9000000"/>
    <n v="1335040.0000000002"/>
    <n v="6.1285191318748344"/>
    <n v="0"/>
    <n v="200"/>
  </r>
  <r>
    <x v="0"/>
    <x v="0"/>
    <s v="ELSJPE5301"/>
    <n v="1"/>
    <s v=""/>
    <n v="0"/>
    <s v="ELSJPE5301BU"/>
    <n v="1"/>
    <s v=""/>
    <n v="0"/>
    <s v="E5"/>
    <s v="의류"/>
    <s v="ELS"/>
    <s v="JP"/>
    <x v="14"/>
    <s v="ELSJPE5301"/>
    <s v="ELSJPE5301BU"/>
    <x v="0"/>
    <n v="1000"/>
    <n v="179000000"/>
    <n v="39079000"/>
    <n v="4.1640592831769681"/>
    <n v="0"/>
    <n v="1000"/>
  </r>
  <r>
    <x v="0"/>
    <x v="0"/>
    <s v="ELSJPE5801"/>
    <n v="1"/>
    <s v=""/>
    <n v="0"/>
    <s v="ELSJPE5801BU"/>
    <n v="1"/>
    <s v=""/>
    <n v="0"/>
    <s v="E5"/>
    <s v="의류"/>
    <s v="ELS"/>
    <s v="JP"/>
    <x v="14"/>
    <s v="ELSJPE5801"/>
    <s v="ELSJPE5801BU"/>
    <x v="0"/>
    <n v="800"/>
    <n v="135200000"/>
    <n v="27752000"/>
    <n v="4.4288372336801274"/>
    <n v="0"/>
    <n v="800"/>
  </r>
  <r>
    <x v="0"/>
    <x v="0"/>
    <s v="ELSJPE5302"/>
    <n v="1"/>
    <s v=""/>
    <n v="0"/>
    <s v="ELSJPE5302BK"/>
    <n v="1"/>
    <s v=""/>
    <n v="0"/>
    <s v="E5"/>
    <s v="의류"/>
    <s v="ELS"/>
    <s v="JP"/>
    <x v="14"/>
    <s v="ELSJPE5302"/>
    <s v="ELSJPE5302BK"/>
    <x v="0"/>
    <n v="1200"/>
    <n v="190800000"/>
    <n v="40519200"/>
    <n v="4.2807988670690795"/>
    <n v="0"/>
    <n v="1200"/>
  </r>
  <r>
    <x v="0"/>
    <x v="0"/>
    <s v="ELSHPE5303"/>
    <n v="1"/>
    <s v=""/>
    <n v="0"/>
    <s v="ELSHPE5303OR"/>
    <n v="1"/>
    <s v=""/>
    <n v="0"/>
    <s v="E5"/>
    <s v="의류"/>
    <s v="ELS"/>
    <s v="HP"/>
    <x v="14"/>
    <s v="ELSHPE5303"/>
    <s v="ELSHPE5303OR"/>
    <x v="0"/>
    <n v="1000"/>
    <n v="139000000"/>
    <n v="27760000.000000004"/>
    <n v="4.5520041917736433"/>
    <n v="0"/>
    <n v="1000"/>
  </r>
  <r>
    <x v="0"/>
    <x v="0"/>
    <s v="ELSHPE5304"/>
    <n v="1"/>
    <s v=""/>
    <n v="0"/>
    <s v="ELSHPE5304BK"/>
    <n v="1"/>
    <s v=""/>
    <n v="0"/>
    <s v="E5"/>
    <s v="의류"/>
    <s v="ELS"/>
    <s v="HP"/>
    <x v="14"/>
    <s v="ELSHPE5304"/>
    <s v="ELSHPE5304BK"/>
    <x v="0"/>
    <n v="1500"/>
    <n v="208500000"/>
    <n v="41640000.000000007"/>
    <n v="4.5520041917736425"/>
    <n v="0"/>
    <n v="1500"/>
  </r>
  <r>
    <x v="0"/>
    <x v="0"/>
    <s v="ELSHPE5804"/>
    <n v="1"/>
    <s v=""/>
    <n v="0"/>
    <s v="ELSHPE5804BK"/>
    <n v="1"/>
    <s v=""/>
    <n v="0"/>
    <s v="E5"/>
    <s v="의류"/>
    <s v="ELS"/>
    <s v="HP"/>
    <x v="14"/>
    <s v="ELSHPE5804"/>
    <s v="ELSHPE5804BK"/>
    <x v="0"/>
    <n v="1200"/>
    <n v="154800000"/>
    <n v="30540000"/>
    <n v="4.6079657081621717"/>
    <n v="0"/>
    <n v="1200"/>
  </r>
  <r>
    <x v="0"/>
    <x v="0"/>
    <s v="ELSTLE5305"/>
    <n v="1"/>
    <s v=""/>
    <n v="0"/>
    <s v="ELSTLE5305KH"/>
    <n v="1"/>
    <s v=""/>
    <n v="0"/>
    <s v="E5"/>
    <s v="의류"/>
    <s v="ELS"/>
    <s v="TL"/>
    <x v="14"/>
    <s v="ELSTLE5305"/>
    <s v="ELSTLE5305KH"/>
    <x v="0"/>
    <n v="1200"/>
    <n v="94800000"/>
    <n v="20838000"/>
    <n v="4.135800853336125"/>
    <n v="0"/>
    <n v="1200"/>
  </r>
  <r>
    <x v="0"/>
    <x v="0"/>
    <s v="ELSTHE5306"/>
    <n v="0.5"/>
    <s v=""/>
    <n v="0"/>
    <s v="ELSTHE5306LI"/>
    <n v="1"/>
    <s v=""/>
    <n v="0"/>
    <s v="E5"/>
    <s v="의류"/>
    <s v="ELS"/>
    <s v="TH"/>
    <x v="14"/>
    <s v="ELSTHE5306"/>
    <s v="ELSTHE5306LI"/>
    <x v="0"/>
    <n v="1000"/>
    <n v="99000000"/>
    <n v="20830000.000000004"/>
    <n v="4.3206913106096962"/>
    <n v="0"/>
    <n v="1000"/>
  </r>
  <r>
    <x v="0"/>
    <x v="0"/>
    <s v="ELSTHE5806"/>
    <n v="0.5"/>
    <s v=""/>
    <n v="0"/>
    <s v="ELSTHE5806LI"/>
    <n v="1"/>
    <s v=""/>
    <n v="0"/>
    <s v="E5"/>
    <s v="의류"/>
    <s v="ELS"/>
    <s v="TH"/>
    <x v="14"/>
    <s v="ELSTHE5806"/>
    <s v="ELSTHE5806LI"/>
    <x v="0"/>
    <n v="800"/>
    <n v="71200000"/>
    <n v="14354000.000000004"/>
    <n v="4.5093543769870914"/>
    <n v="0"/>
    <n v="800"/>
  </r>
  <r>
    <x v="0"/>
    <x v="0"/>
    <s v="ELSTHE5306"/>
    <n v="0.5"/>
    <s v=""/>
    <n v="0"/>
    <s v="ELSTHE5306MT"/>
    <n v="1"/>
    <s v=""/>
    <n v="0"/>
    <s v="E5"/>
    <s v="의류"/>
    <s v="ELS"/>
    <s v="TH"/>
    <x v="14"/>
    <s v="ELSTHE5306"/>
    <s v="ELSTHE5306MT"/>
    <x v="0"/>
    <n v="1000"/>
    <n v="99000000"/>
    <n v="20830000.000000004"/>
    <n v="4.3206913106096962"/>
    <n v="0"/>
    <n v="1000"/>
  </r>
  <r>
    <x v="0"/>
    <x v="0"/>
    <s v="ELSTHE5806"/>
    <n v="0.5"/>
    <s v=""/>
    <n v="0"/>
    <s v="ELSTHE5806MT"/>
    <n v="1"/>
    <s v=""/>
    <n v="0"/>
    <s v="E5"/>
    <s v="의류"/>
    <s v="ELS"/>
    <s v="TH"/>
    <x v="14"/>
    <s v="ELSTHE5806"/>
    <s v="ELSTHE5806MT"/>
    <x v="0"/>
    <n v="800"/>
    <n v="71200000"/>
    <n v="14354000.000000002"/>
    <n v="4.5093543769870914"/>
    <n v="0"/>
    <n v="800"/>
  </r>
  <r>
    <x v="0"/>
    <x v="0"/>
    <s v="GRAMIE5301"/>
    <n v="0.5"/>
    <s v=""/>
    <n v="0"/>
    <s v="GRAMIE5301NY"/>
    <n v="1"/>
    <s v=""/>
    <n v="0"/>
    <s v="E5"/>
    <s v="모자"/>
    <s v="GRA"/>
    <s v="MI"/>
    <x v="15"/>
    <s v="GRAMIE5301"/>
    <s v="GRAMIE5301NY"/>
    <x v="1"/>
    <n v="200"/>
    <n v="13000000"/>
    <n v="3184272"/>
    <n v="3.7114234645098843"/>
    <n v="0"/>
    <n v="200"/>
  </r>
  <r>
    <x v="0"/>
    <x v="0"/>
    <s v="GRAMIE5301"/>
    <n v="0.5"/>
    <s v=""/>
    <n v="0"/>
    <s v="GRAMIE5301RE"/>
    <n v="1"/>
    <s v=""/>
    <n v="0"/>
    <s v="E5"/>
    <s v="모자"/>
    <s v="GRA"/>
    <s v="MI"/>
    <x v="15"/>
    <s v="GRAMIE5301"/>
    <s v="GRAMIE5301RE"/>
    <x v="1"/>
    <n v="200"/>
    <n v="13000000"/>
    <n v="3184272"/>
    <n v="3.7114234645098843"/>
    <n v="0"/>
    <n v="200"/>
  </r>
  <r>
    <x v="0"/>
    <x v="0"/>
    <s v="GRATPE5302"/>
    <n v="0.5"/>
    <s v=""/>
    <n v="0"/>
    <s v="GRATPE5302RE"/>
    <n v="1"/>
    <s v=""/>
    <n v="0"/>
    <s v="E5"/>
    <s v="모자"/>
    <s v="GRA"/>
    <s v="TP"/>
    <x v="15"/>
    <s v="GRATPE5302"/>
    <s v="GRATPE5302RE"/>
    <x v="1"/>
    <n v="200"/>
    <n v="14600000"/>
    <n v="3449628.0000000005"/>
    <n v="3.847582195160542"/>
    <n v="0"/>
    <n v="200"/>
  </r>
  <r>
    <x v="0"/>
    <x v="0"/>
    <s v="GRATPE5302"/>
    <n v="0.5"/>
    <s v=""/>
    <n v="0"/>
    <s v="GRATPE5302GY"/>
    <n v="1"/>
    <s v=""/>
    <n v="0"/>
    <s v="E5"/>
    <s v="모자"/>
    <s v="GRA"/>
    <s v="TP"/>
    <x v="15"/>
    <s v="GRATPE5302"/>
    <s v="GRATPE5302GY"/>
    <x v="1"/>
    <n v="200"/>
    <n v="14600000"/>
    <n v="3449628.0000000005"/>
    <n v="3.847582195160542"/>
    <n v="0"/>
    <n v="200"/>
  </r>
  <r>
    <x v="0"/>
    <x v="0"/>
    <s v="GRAERE5303"/>
    <n v="0.5"/>
    <s v=""/>
    <n v="0"/>
    <s v="GRAERE5303KH"/>
    <n v="1"/>
    <s v=""/>
    <n v="0"/>
    <s v="E5"/>
    <s v="모자"/>
    <s v="GRA"/>
    <s v="ER"/>
    <x v="15"/>
    <s v="GRAERE5303"/>
    <s v="GRAERE5303KH"/>
    <x v="1"/>
    <n v="200"/>
    <n v="14600000"/>
    <n v="3449628.0000000005"/>
    <n v="3.847582195160542"/>
    <n v="0"/>
    <n v="200"/>
  </r>
  <r>
    <x v="0"/>
    <x v="0"/>
    <s v="GRAERE5303"/>
    <n v="0.5"/>
    <s v=""/>
    <n v="0"/>
    <s v="GRAERE5303BG"/>
    <n v="1"/>
    <s v=""/>
    <n v="0"/>
    <s v="E5"/>
    <s v="모자"/>
    <s v="GRA"/>
    <s v="ER"/>
    <x v="15"/>
    <s v="GRAERE5303"/>
    <s v="GRAERE5303BG"/>
    <x v="1"/>
    <n v="200"/>
    <n v="14600000"/>
    <n v="3449628.0000000005"/>
    <n v="3.847582195160542"/>
    <n v="0"/>
    <n v="200"/>
  </r>
  <r>
    <x v="0"/>
    <x v="0"/>
    <s v="GRABAE3304"/>
    <n v="0.33333333333333331"/>
    <s v=""/>
    <n v="0"/>
    <s v="GRABAE3304NY"/>
    <n v="1"/>
    <s v=""/>
    <n v="0"/>
    <s v="E3"/>
    <s v="모자"/>
    <s v="GRA"/>
    <s v="BA"/>
    <x v="15"/>
    <s v="GRABAE3304"/>
    <s v="GRABAE3304NY"/>
    <x v="1"/>
    <n v="200"/>
    <n v="14600000"/>
    <n v="3449628.0000000005"/>
    <n v="3.847582195160542"/>
    <n v="0"/>
    <n v="200"/>
  </r>
  <r>
    <x v="0"/>
    <x v="0"/>
    <s v="GRABAE3304"/>
    <n v="0.33333333333333331"/>
    <s v=""/>
    <n v="0"/>
    <s v="GRABAE3304NA"/>
    <n v="1"/>
    <s v=""/>
    <n v="0"/>
    <s v="E3"/>
    <s v="모자"/>
    <s v="GRA"/>
    <s v="BA"/>
    <x v="15"/>
    <s v="GRABAE3304"/>
    <s v="GRABAE3304NA"/>
    <x v="1"/>
    <n v="300"/>
    <n v="21900000"/>
    <n v="5174442.0000000009"/>
    <n v="3.847582195160542"/>
    <n v="0"/>
    <n v="300"/>
  </r>
  <r>
    <x v="0"/>
    <x v="0"/>
    <s v="GRABAE3304"/>
    <n v="0.33333333333333331"/>
    <s v=""/>
    <n v="0"/>
    <s v="GRABAE3304BW"/>
    <n v="1"/>
    <s v=""/>
    <n v="0"/>
    <s v="E3"/>
    <s v="모자"/>
    <s v="GRA"/>
    <s v="BA"/>
    <x v="15"/>
    <s v="GRABAE3304"/>
    <s v="GRABAE3304BW"/>
    <x v="1"/>
    <n v="300"/>
    <n v="21900000"/>
    <n v="5174442.0000000009"/>
    <n v="3.847582195160542"/>
    <n v="0"/>
    <n v="300"/>
  </r>
  <r>
    <x v="0"/>
    <x v="0"/>
    <s v="GRAFAE5305"/>
    <n v="0.5"/>
    <s v=""/>
    <n v="0"/>
    <s v="GRAFAE5305BG"/>
    <n v="1"/>
    <s v=""/>
    <n v="0"/>
    <s v="E5"/>
    <s v="모자"/>
    <s v="GRA"/>
    <s v="FA"/>
    <x v="15"/>
    <s v="GRAFAE5305"/>
    <s v="GRAFAE5305BG"/>
    <x v="1"/>
    <n v="150"/>
    <n v="9750000"/>
    <n v="2388204"/>
    <n v="3.7114234645098838"/>
    <n v="0"/>
    <n v="150"/>
  </r>
  <r>
    <x v="0"/>
    <x v="0"/>
    <s v="GRAFAE5305"/>
    <n v="0.5"/>
    <s v=""/>
    <n v="0"/>
    <s v="GRAFAE5305BK"/>
    <n v="1"/>
    <s v=""/>
    <n v="0"/>
    <s v="E5"/>
    <s v="모자"/>
    <s v="GRA"/>
    <s v="FA"/>
    <x v="15"/>
    <s v="GRAFAE5305"/>
    <s v="GRAFAE5305BK"/>
    <x v="1"/>
    <n v="150"/>
    <n v="9750000"/>
    <n v="2388204"/>
    <n v="3.7114234645098838"/>
    <n v="0"/>
    <n v="150"/>
  </r>
  <r>
    <x v="0"/>
    <x v="0"/>
    <s v="GRAMIE3306"/>
    <n v="0.33333333333333331"/>
    <s v=""/>
    <n v="0"/>
    <s v="GRAMIE3306NY"/>
    <n v="1"/>
    <s v=""/>
    <n v="0"/>
    <s v="E3"/>
    <s v="모자"/>
    <s v="GRA"/>
    <s v="MI"/>
    <x v="15"/>
    <s v="GRAMIE3306"/>
    <s v="GRAMIE3306NY"/>
    <x v="1"/>
    <n v="300"/>
    <n v="21900000"/>
    <n v="5174442.0000000009"/>
    <n v="3.847582195160542"/>
    <n v="0"/>
    <n v="300"/>
  </r>
  <r>
    <x v="0"/>
    <x v="0"/>
    <s v="GRAMIE3306"/>
    <n v="0.33333333333333331"/>
    <s v=""/>
    <n v="0"/>
    <s v="GRAMIE3306GY"/>
    <n v="1"/>
    <s v=""/>
    <n v="0"/>
    <s v="E3"/>
    <s v="모자"/>
    <s v="GRA"/>
    <s v="MI"/>
    <x v="15"/>
    <s v="GRAMIE3306"/>
    <s v="GRAMIE3306GY"/>
    <x v="1"/>
    <n v="300"/>
    <n v="21900000"/>
    <n v="5174442.0000000009"/>
    <n v="3.847582195160542"/>
    <n v="0"/>
    <n v="300"/>
  </r>
  <r>
    <x v="0"/>
    <x v="0"/>
    <s v="GRAMIE3306"/>
    <n v="0.33333333333333331"/>
    <s v=""/>
    <n v="0"/>
    <s v="GRAMIE3306BK"/>
    <n v="1"/>
    <s v=""/>
    <n v="0"/>
    <s v="E3"/>
    <s v="모자"/>
    <s v="GRA"/>
    <s v="MI"/>
    <x v="15"/>
    <s v="GRAMIE3306"/>
    <s v="GRAMIE3306BK"/>
    <x v="1"/>
    <n v="300"/>
    <n v="21900000"/>
    <n v="5174442.0000000009"/>
    <n v="3.847582195160542"/>
    <n v="0"/>
    <n v="300"/>
  </r>
  <r>
    <x v="0"/>
    <x v="0"/>
    <s v="GRAFAE5307"/>
    <n v="0.5"/>
    <s v=""/>
    <n v="0"/>
    <s v="GRAFAE5307BK"/>
    <n v="1"/>
    <s v=""/>
    <n v="0"/>
    <s v="E5"/>
    <s v="모자"/>
    <s v="GRA"/>
    <s v="FA"/>
    <x v="15"/>
    <s v="GRAFAE5307"/>
    <s v="GRAFAE5307BK"/>
    <x v="1"/>
    <n v="50"/>
    <n v="4950000"/>
    <n v="1171989.0000000002"/>
    <n v="3.8396264811359142"/>
    <n v="0"/>
    <n v="50"/>
  </r>
  <r>
    <x v="0"/>
    <x v="0"/>
    <s v="GRAFAE5307"/>
    <n v="0.5"/>
    <s v=""/>
    <n v="0"/>
    <s v="GRAFAE5307RE"/>
    <n v="1"/>
    <s v=""/>
    <n v="0"/>
    <s v="E5"/>
    <s v="모자"/>
    <s v="GRA"/>
    <s v="FA"/>
    <x v="15"/>
    <s v="GRAFAE5307"/>
    <s v="GRAFAE5307RE"/>
    <x v="1"/>
    <n v="50"/>
    <n v="4950000"/>
    <n v="1171989.0000000002"/>
    <n v="3.8396264811359142"/>
    <n v="0"/>
    <n v="50"/>
  </r>
  <r>
    <x v="0"/>
    <x v="0"/>
    <s v="GRAFAE3308"/>
    <n v="0.5"/>
    <s v=""/>
    <n v="0"/>
    <s v="GRAFAE3308BG"/>
    <n v="1"/>
    <s v=""/>
    <n v="0"/>
    <s v="E3"/>
    <s v="모자"/>
    <s v="GRA"/>
    <s v="FA"/>
    <x v="15"/>
    <s v="GRAFAE3308"/>
    <s v="GRAFAE3308BG"/>
    <x v="1"/>
    <n v="100"/>
    <n v="8500000"/>
    <n v="2034396"/>
    <n v="3.7983129770569382"/>
    <n v="0"/>
    <n v="100"/>
  </r>
  <r>
    <x v="0"/>
    <x v="0"/>
    <s v="GRAFAE3308"/>
    <n v="0.5"/>
    <s v=""/>
    <n v="0"/>
    <s v="GRAFAE3308KH"/>
    <n v="1"/>
    <s v=""/>
    <n v="0"/>
    <s v="E3"/>
    <s v="모자"/>
    <s v="GRA"/>
    <s v="FA"/>
    <x v="15"/>
    <s v="GRAFAE3308"/>
    <s v="GRAFAE3308KH"/>
    <x v="1"/>
    <n v="100"/>
    <n v="8500000"/>
    <n v="2034396"/>
    <n v="3.7983129770569382"/>
    <n v="0"/>
    <n v="100"/>
  </r>
  <r>
    <x v="0"/>
    <x v="0"/>
    <s v="GRAFEE3309"/>
    <n v="0.5"/>
    <s v=""/>
    <n v="0"/>
    <s v="GRAFEE3309BK"/>
    <n v="1"/>
    <s v=""/>
    <n v="0"/>
    <s v="E3"/>
    <s v="모자"/>
    <s v="GRA"/>
    <s v="FE"/>
    <x v="15"/>
    <s v="GRAFEE3309"/>
    <s v="GRAFEE3309BK"/>
    <x v="1"/>
    <n v="200"/>
    <n v="17000000"/>
    <n v="4068792"/>
    <n v="3.7983129770569382"/>
    <n v="0"/>
    <n v="200"/>
  </r>
  <r>
    <x v="0"/>
    <x v="0"/>
    <s v="GRAFEE3309"/>
    <n v="0.5"/>
    <s v=""/>
    <n v="0"/>
    <s v="GRAFEE3309BU"/>
    <n v="1"/>
    <s v=""/>
    <n v="0"/>
    <s v="E3"/>
    <s v="모자"/>
    <s v="GRA"/>
    <s v="FE"/>
    <x v="15"/>
    <s v="GRAFEE3309"/>
    <s v="GRAFEE3309BU"/>
    <x v="1"/>
    <n v="150"/>
    <n v="12750000"/>
    <n v="3051594"/>
    <n v="3.7983129770569382"/>
    <n v="0"/>
    <n v="150"/>
  </r>
  <r>
    <x v="0"/>
    <x v="0"/>
    <s v="GRAFEE3310"/>
    <n v="1"/>
    <s v=""/>
    <n v="0"/>
    <s v="GRAFEE3310GY"/>
    <n v="1"/>
    <s v=""/>
    <n v="0"/>
    <s v="E3"/>
    <s v="모자"/>
    <s v="GRA"/>
    <s v="FE"/>
    <x v="15"/>
    <s v="GRAFEE3310"/>
    <s v="GRAFEE3310GY"/>
    <x v="1"/>
    <n v="200"/>
    <n v="17000000"/>
    <n v="4068792"/>
    <n v="3.7983129770569382"/>
    <n v="0"/>
    <n v="200"/>
  </r>
  <r>
    <x v="0"/>
    <x v="0"/>
    <s v="GRAEBE5311"/>
    <n v="0.5"/>
    <s v=""/>
    <n v="0"/>
    <s v="GRAEBE5311GR"/>
    <n v="1"/>
    <s v=""/>
    <n v="0"/>
    <s v="E5"/>
    <s v="모자"/>
    <s v="GRA"/>
    <s v="EB"/>
    <x v="15"/>
    <s v="GRAEBE5311"/>
    <s v="GRAEBE5311GR"/>
    <x v="1"/>
    <n v="300"/>
    <n v="21900000"/>
    <n v="5174442.0000000009"/>
    <n v="3.847582195160542"/>
    <n v="0"/>
    <n v="300"/>
  </r>
  <r>
    <x v="0"/>
    <x v="0"/>
    <s v="GRAEBE5311"/>
    <n v="0.5"/>
    <s v=""/>
    <n v="0"/>
    <s v="GRAEBE5311NY"/>
    <n v="1"/>
    <s v=""/>
    <n v="0"/>
    <s v="E5"/>
    <s v="모자"/>
    <s v="GRA"/>
    <s v="EB"/>
    <x v="15"/>
    <s v="GRAEBE5311"/>
    <s v="GRAEBE5311NY"/>
    <x v="1"/>
    <n v="300"/>
    <n v="21900000"/>
    <n v="5174442.0000000009"/>
    <n v="3.847582195160542"/>
    <n v="0"/>
    <n v="300"/>
  </r>
  <r>
    <x v="0"/>
    <x v="0"/>
    <s v="GRABEE3312"/>
    <n v="0.5"/>
    <s v=""/>
    <n v="0"/>
    <s v="GRABEE3312BG"/>
    <n v="1"/>
    <s v=""/>
    <n v="0"/>
    <s v="E3"/>
    <s v="모자"/>
    <s v="GRA"/>
    <s v="BE"/>
    <x v="15"/>
    <s v="GRABEE3312"/>
    <s v="GRABEE3312BG"/>
    <x v="1"/>
    <n v="20"/>
    <n v="2980000"/>
    <n v="689925.60000000009"/>
    <n v="3.9266421032802792"/>
    <n v="0"/>
    <n v="20"/>
  </r>
  <r>
    <x v="0"/>
    <x v="0"/>
    <s v="GRABEE3312"/>
    <n v="0.5"/>
    <s v=""/>
    <n v="0"/>
    <s v="GRABEE3312ZZ"/>
    <n v="1"/>
    <s v=""/>
    <n v="0"/>
    <s v="E3"/>
    <s v="모자"/>
    <s v="GRA"/>
    <s v="BE"/>
    <x v="15"/>
    <s v="GRABEE3312"/>
    <s v="GRABEE3312ZZ"/>
    <x v="1"/>
    <n v="20"/>
    <n v="2980000"/>
    <n v="689925.60000000009"/>
    <n v="3.9266421032802792"/>
    <n v="0"/>
    <n v="20"/>
  </r>
  <r>
    <x v="0"/>
    <x v="0"/>
    <s v="GRABEE3313"/>
    <n v="0.33333333333333331"/>
    <s v=""/>
    <n v="0"/>
    <s v="GRABEE3313PK"/>
    <n v="1"/>
    <s v=""/>
    <n v="0"/>
    <s v="E3"/>
    <s v="모자"/>
    <s v="GRA"/>
    <s v="BE"/>
    <x v="15"/>
    <s v="GRABEE3313"/>
    <s v="GRABEE3313PK"/>
    <x v="1"/>
    <n v="20"/>
    <n v="1460000"/>
    <n v="344962.80000000005"/>
    <n v="3.847582195160542"/>
    <n v="0"/>
    <n v="20"/>
  </r>
  <r>
    <x v="0"/>
    <x v="0"/>
    <s v="GRABEE3313"/>
    <n v="0.33333333333333331"/>
    <s v=""/>
    <n v="0"/>
    <s v="GRABEE3313GY"/>
    <n v="1"/>
    <s v=""/>
    <n v="0"/>
    <s v="E3"/>
    <s v="모자"/>
    <s v="GRA"/>
    <s v="BE"/>
    <x v="15"/>
    <s v="GRABEE3313"/>
    <s v="GRABEE3313GY"/>
    <x v="1"/>
    <n v="20"/>
    <n v="1460000"/>
    <n v="344962.80000000005"/>
    <n v="3.847582195160542"/>
    <n v="0"/>
    <n v="20"/>
  </r>
  <r>
    <x v="0"/>
    <x v="0"/>
    <s v="GRABEE3313"/>
    <n v="0.33333333333333331"/>
    <s v=""/>
    <n v="0"/>
    <s v="GRABEE3313BW"/>
    <n v="1"/>
    <s v=""/>
    <n v="0"/>
    <s v="E3"/>
    <s v="모자"/>
    <s v="GRA"/>
    <s v="BE"/>
    <x v="15"/>
    <s v="GRABEE3313"/>
    <s v="GRABEE3313BW"/>
    <x v="1"/>
    <n v="20"/>
    <n v="1460000"/>
    <n v="344962.80000000005"/>
    <n v="3.847582195160542"/>
    <n v="0"/>
    <n v="20"/>
  </r>
  <r>
    <x v="1"/>
    <x v="0"/>
    <s v="ELSFIE3620"/>
    <n v="0.33333333333333331"/>
    <s v=""/>
    <n v="0"/>
    <s v="ELSFIE3620BK"/>
    <n v="1"/>
    <s v=""/>
    <n v="0"/>
    <s v="E3"/>
    <s v="모자"/>
    <s v="ELS"/>
    <s v="FI"/>
    <x v="3"/>
    <s v="ELSFIE3620"/>
    <s v="ELSFIE3620BK"/>
    <x v="0"/>
    <n v="1000"/>
    <n v="43000000"/>
    <n v="4524500"/>
    <n v="8.6398296145229505"/>
    <n v="1000"/>
    <n v="0"/>
  </r>
  <r>
    <x v="1"/>
    <x v="0"/>
    <s v="ELSFIE3642"/>
    <n v="1"/>
    <s v=""/>
    <n v="0"/>
    <s v="ELSFIE3642BL"/>
    <n v="1"/>
    <s v=""/>
    <n v="0"/>
    <s v="E3"/>
    <s v="모자"/>
    <s v="ELS"/>
    <s v="FI"/>
    <x v="3"/>
    <s v="ELSFIE3642"/>
    <s v="ELSFIE3642BL"/>
    <x v="0"/>
    <n v="800"/>
    <n v="34400000"/>
    <n v="5554456.0000000009"/>
    <n v="5.6302052393118727"/>
    <n v="700"/>
    <n v="0"/>
  </r>
  <r>
    <x v="1"/>
    <x v="0"/>
    <s v="ELSBAE3007"/>
    <n v="1"/>
    <s v=""/>
    <n v="0"/>
    <s v="ELSBAE3007PK"/>
    <n v="1"/>
    <s v=""/>
    <n v="0"/>
    <s v="E3"/>
    <s v="모자"/>
    <s v="ELS"/>
    <s v="BA"/>
    <x v="3"/>
    <s v="ELSBAE3007"/>
    <s v="ELSBAE3007PK"/>
    <x v="0"/>
    <n v="700"/>
    <n v="34300000"/>
    <n v="5460000"/>
    <n v="5.7109557109557096"/>
    <n v="700"/>
    <n v="0"/>
  </r>
  <r>
    <x v="0"/>
    <x v="0"/>
    <s v="WTRMIE5301"/>
    <n v="1"/>
    <s v=""/>
    <n v="0"/>
    <s v="WTRMIE5301GY"/>
    <n v="1"/>
    <s v=""/>
    <n v="0"/>
    <s v="E5"/>
    <s v="모자"/>
    <s v="WTR"/>
    <s v="MI"/>
    <x v="8"/>
    <s v="WTRMIE5301"/>
    <s v="WTRMIE5301GY"/>
    <x v="0"/>
    <n v="800"/>
    <n v="44000000"/>
    <n v="5638792.0000000009"/>
    <n v="7.0937179452620338"/>
    <n v="0"/>
    <n v="800"/>
  </r>
  <r>
    <x v="0"/>
    <x v="0"/>
    <s v="WTRMIE5302"/>
    <n v="1"/>
    <s v=""/>
    <n v="0"/>
    <s v="WTRMIE5302GY"/>
    <n v="1"/>
    <s v=""/>
    <n v="0"/>
    <s v="E5"/>
    <s v="모자"/>
    <s v="WTR"/>
    <s v="MI"/>
    <x v="8"/>
    <s v="WTRMIE5302"/>
    <s v="WTRMIE5302GY"/>
    <x v="0"/>
    <n v="800"/>
    <n v="44000000"/>
    <n v="6349160.0000000009"/>
    <n v="6.300045990335728"/>
    <n v="0"/>
    <n v="800"/>
  </r>
  <r>
    <x v="0"/>
    <x v="0"/>
    <s v="WTRMIE3303"/>
    <n v="1"/>
    <s v=""/>
    <n v="0"/>
    <s v="WTRMIE3303GY"/>
    <n v="1"/>
    <s v=""/>
    <n v="0"/>
    <s v="E3"/>
    <s v="모자"/>
    <s v="WTR"/>
    <s v="MI"/>
    <x v="8"/>
    <s v="WTRMIE3303"/>
    <s v="WTRMIE3303GY"/>
    <x v="0"/>
    <n v="800"/>
    <n v="44000000"/>
    <n v="5921292.0000000009"/>
    <n v="6.7552824620032235"/>
    <n v="0"/>
    <n v="800"/>
  </r>
  <r>
    <x v="0"/>
    <x v="0"/>
    <s v="WTRMIE3304"/>
    <n v="1"/>
    <s v=""/>
    <n v="0"/>
    <s v="WTRMIE3304RE"/>
    <n v="1"/>
    <s v=""/>
    <n v="0"/>
    <s v="E3"/>
    <s v="모자"/>
    <s v="WTR"/>
    <s v="MI"/>
    <x v="8"/>
    <s v="WTRMIE3304"/>
    <s v="WTRMIE3304RE"/>
    <x v="0"/>
    <n v="600"/>
    <n v="33000000"/>
    <n v="3117540.0000000005"/>
    <n v="9.6229719586597096"/>
    <n v="0"/>
    <n v="600"/>
  </r>
  <r>
    <x v="0"/>
    <x v="0"/>
    <s v="WTRTPE5305"/>
    <n v="1"/>
    <s v=""/>
    <n v="0"/>
    <s v="WTRTPE5305GY"/>
    <n v="1"/>
    <s v=""/>
    <n v="0"/>
    <s v="E5"/>
    <s v="모자"/>
    <s v="WTR"/>
    <s v="TP"/>
    <x v="8"/>
    <s v="WTRTPE5305"/>
    <s v="WTRTPE5305GY"/>
    <x v="0"/>
    <n v="400"/>
    <n v="31600000"/>
    <n v="5948280"/>
    <n v="4.8295091568104933"/>
    <n v="0"/>
    <n v="400"/>
  </r>
  <r>
    <x v="0"/>
    <x v="0"/>
    <s v="WTRERE5306"/>
    <n v="1"/>
    <s v=""/>
    <n v="0"/>
    <s v="WTRERE5306OR"/>
    <n v="1"/>
    <s v=""/>
    <n v="0"/>
    <s v="E5"/>
    <s v="모자"/>
    <s v="WTR"/>
    <s v="ER"/>
    <x v="8"/>
    <s v="WTRERE5306"/>
    <s v="WTRERE5306OR"/>
    <x v="0"/>
    <n v="500"/>
    <n v="32500000"/>
    <n v="7950000"/>
    <n v="3.7164093767867352"/>
    <n v="0"/>
    <n v="500"/>
  </r>
  <r>
    <x v="0"/>
    <x v="0"/>
    <s v="WTRERE5806"/>
    <n v="1"/>
    <s v=""/>
    <n v="0"/>
    <s v="WTRERE5806OR"/>
    <n v="1"/>
    <s v=""/>
    <n v="0"/>
    <s v="E5"/>
    <s v="모자"/>
    <s v="WTR"/>
    <s v="ER"/>
    <x v="8"/>
    <s v="WTRERE5806"/>
    <s v="WTRERE5806OR"/>
    <x v="0"/>
    <n v="300"/>
    <n v="17700000"/>
    <n v="4620000"/>
    <n v="3.4828807556080283"/>
    <n v="0"/>
    <n v="300"/>
  </r>
  <r>
    <x v="0"/>
    <x v="0"/>
    <s v="WTRBAE3307"/>
    <n v="1"/>
    <s v=""/>
    <n v="0"/>
    <s v="WTRBAE3307BL"/>
    <n v="1"/>
    <s v=""/>
    <n v="0"/>
    <s v="E3"/>
    <s v="모자"/>
    <s v="WTR"/>
    <s v="BA"/>
    <x v="8"/>
    <s v="WTRBAE3307"/>
    <s v="WTRBAE3307BL"/>
    <x v="0"/>
    <n v="600"/>
    <n v="39000000"/>
    <n v="9420000"/>
    <n v="3.7637521713954833"/>
    <n v="0"/>
    <n v="600"/>
  </r>
  <r>
    <x v="0"/>
    <x v="0"/>
    <s v="WTRERE5308"/>
    <n v="1"/>
    <s v=""/>
    <n v="0"/>
    <s v="WTRERE5308GR"/>
    <n v="1"/>
    <s v=""/>
    <n v="0"/>
    <s v="E5"/>
    <s v="모자"/>
    <s v="WTR"/>
    <s v="ER"/>
    <x v="8"/>
    <s v="WTRERE5308"/>
    <s v="WTRERE5308GR"/>
    <x v="0"/>
    <n v="500"/>
    <n v="34500000"/>
    <n v="8350000"/>
    <n v="3.7561241154055525"/>
    <n v="0"/>
    <n v="500"/>
  </r>
  <r>
    <x v="0"/>
    <x v="0"/>
    <s v="WTRERE5309"/>
    <n v="1"/>
    <s v=""/>
    <n v="0"/>
    <s v="WTRERE5309BL"/>
    <n v="1"/>
    <s v=""/>
    <n v="0"/>
    <s v="E5"/>
    <s v="모자"/>
    <s v="WTR"/>
    <s v="ER"/>
    <x v="8"/>
    <s v="WTRERE5309"/>
    <s v="WTRERE5309BL"/>
    <x v="0"/>
    <n v="600"/>
    <n v="41400000"/>
    <n v="10020000"/>
    <n v="3.7561241154055525"/>
    <n v="0"/>
    <n v="600"/>
  </r>
  <r>
    <x v="0"/>
    <x v="0"/>
    <s v="WTRMIE3310"/>
    <n v="1"/>
    <s v=""/>
    <n v="0"/>
    <s v="WTRMIE3310NY"/>
    <n v="1"/>
    <s v=""/>
    <n v="0"/>
    <s v="E3"/>
    <s v="모자"/>
    <s v="WTR"/>
    <s v="MI"/>
    <x v="8"/>
    <s v="WTRMIE3310"/>
    <s v="WTRMIE3310NY"/>
    <x v="0"/>
    <n v="600"/>
    <n v="35400000"/>
    <n v="7680000"/>
    <n v="4.1903409090909092"/>
    <n v="0"/>
    <n v="600"/>
  </r>
  <r>
    <x v="0"/>
    <x v="0"/>
    <s v="WTRERE5311"/>
    <n v="1"/>
    <s v=""/>
    <n v="0"/>
    <s v="WTRERE5311KH"/>
    <n v="1"/>
    <s v=""/>
    <n v="0"/>
    <s v="E5"/>
    <s v="모자"/>
    <s v="WTR"/>
    <s v="ER"/>
    <x v="8"/>
    <s v="WTRERE5311"/>
    <s v="WTRERE5311KH"/>
    <x v="0"/>
    <n v="400"/>
    <n v="27600000"/>
    <n v="6880000"/>
    <n v="3.6469344608879486"/>
    <n v="0"/>
    <n v="400"/>
  </r>
  <r>
    <x v="0"/>
    <x v="0"/>
    <s v="NOVBAE3310"/>
    <n v="1"/>
    <s v=""/>
    <n v="0"/>
    <s v="NOVBAE3310MT"/>
    <n v="1"/>
    <s v=""/>
    <n v="0"/>
    <s v="E3"/>
    <s v="모자"/>
    <s v="NOV"/>
    <s v="BA"/>
    <x v="11"/>
    <s v="NOVBAE3310"/>
    <s v="NOVBAE3310MT"/>
    <x v="0"/>
    <n v="500"/>
    <n v="24500000"/>
    <n v="3471535.0000000005"/>
    <n v="6.4158152727042266"/>
    <n v="500"/>
    <n v="0"/>
  </r>
  <r>
    <x v="0"/>
    <x v="0"/>
    <s v="NOVBAE3311"/>
    <n v="1"/>
    <s v=""/>
    <n v="0"/>
    <s v="NOVBAE3311BL"/>
    <n v="1"/>
    <s v=""/>
    <n v="0"/>
    <s v="E3"/>
    <s v="모자"/>
    <s v="NOV"/>
    <s v="BA"/>
    <x v="11"/>
    <s v="NOVBAE3311"/>
    <s v="NOVBAE3311BL"/>
    <x v="0"/>
    <n v="500"/>
    <n v="24500000"/>
    <n v="3471535.0000000005"/>
    <n v="6.4158152727042266"/>
    <n v="500"/>
    <n v="0"/>
  </r>
  <r>
    <x v="0"/>
    <x v="0"/>
    <s v="NOVBAE3312"/>
    <n v="1"/>
    <s v=""/>
    <n v="0"/>
    <s v="NOVBAE3312NY"/>
    <n v="1"/>
    <s v=""/>
    <n v="0"/>
    <s v="E3"/>
    <s v="모자"/>
    <s v="NOV"/>
    <s v="BA"/>
    <x v="11"/>
    <s v="NOVBAE3312"/>
    <s v="NOVBAE3312NY"/>
    <x v="0"/>
    <n v="500"/>
    <n v="24500000"/>
    <n v="3502720.0000000005"/>
    <n v="6.3586947494310904"/>
    <n v="460"/>
    <n v="0"/>
  </r>
  <r>
    <x v="0"/>
    <x v="0"/>
    <s v="NOVBAE3313"/>
    <n v="1"/>
    <s v=""/>
    <n v="0"/>
    <s v="NOVBAE3313GY"/>
    <n v="1"/>
    <s v=""/>
    <n v="0"/>
    <s v="E3"/>
    <s v="모자"/>
    <s v="NOV"/>
    <s v="BA"/>
    <x v="11"/>
    <s v="NOVBAE3313"/>
    <s v="NOVBAE3313GY"/>
    <x v="0"/>
    <n v="500"/>
    <n v="24500000"/>
    <n v="3596275.0000000005"/>
    <n v="6.193277008217466"/>
    <n v="500"/>
    <n v="0"/>
  </r>
  <r>
    <x v="0"/>
    <x v="0"/>
    <s v="NOVBAE3314"/>
    <n v="0.5"/>
    <s v=""/>
    <n v="0"/>
    <s v="NOVBAE3314GY"/>
    <n v="1"/>
    <s v=""/>
    <n v="0"/>
    <s v="E3"/>
    <s v="모자"/>
    <s v="NOV"/>
    <s v="BA"/>
    <x v="11"/>
    <s v="NOVBAE3314"/>
    <s v="NOVBAE3314GY"/>
    <x v="0"/>
    <n v="500"/>
    <n v="24500000"/>
    <n v="3471535.0000000005"/>
    <n v="6.4158152727042266"/>
    <n v="500"/>
    <n v="0"/>
  </r>
  <r>
    <x v="0"/>
    <x v="0"/>
    <s v="NOVBAE3314"/>
    <n v="0.5"/>
    <s v=""/>
    <n v="0"/>
    <s v="NOVBAE3314NY"/>
    <n v="1"/>
    <s v=""/>
    <n v="0"/>
    <s v="E3"/>
    <s v="모자"/>
    <s v="NOV"/>
    <s v="BA"/>
    <x v="11"/>
    <s v="NOVBAE3314"/>
    <s v="NOVBAE3314NY"/>
    <x v="0"/>
    <n v="500"/>
    <n v="24500000"/>
    <n v="3377980.0000000009"/>
    <n v="6.5935047788107877"/>
    <n v="500"/>
    <n v="0"/>
  </r>
  <r>
    <x v="0"/>
    <x v="0"/>
    <s v="NOVBAE3315"/>
    <n v="1"/>
    <s v=""/>
    <n v="0"/>
    <s v="NOVBAE3315NY"/>
    <n v="1"/>
    <s v=""/>
    <n v="0"/>
    <s v="E3"/>
    <s v="모자"/>
    <s v="NOV"/>
    <s v="BA"/>
    <x v="11"/>
    <s v="NOVBAE3315"/>
    <s v="NOVBAE3315NY"/>
    <x v="0"/>
    <n v="500"/>
    <n v="24500000"/>
    <n v="3533905.0000000005"/>
    <n v="6.3025823480617804"/>
    <n v="500"/>
    <n v="0"/>
  </r>
  <r>
    <x v="0"/>
    <x v="0"/>
    <s v="NOVBAE3316"/>
    <n v="1"/>
    <s v=""/>
    <n v="0"/>
    <s v="NOVBAE3316OR"/>
    <n v="1"/>
    <s v=""/>
    <n v="0"/>
    <s v="E3"/>
    <s v="모자"/>
    <s v="NOV"/>
    <s v="BA"/>
    <x v="11"/>
    <s v="NOVBAE3316"/>
    <s v="NOVBAE3316OR"/>
    <x v="0"/>
    <n v="500"/>
    <n v="24500000"/>
    <n v="3565090.0000000005"/>
    <n v="6.247451613487252"/>
    <n v="500"/>
    <n v="0"/>
  </r>
  <r>
    <x v="0"/>
    <x v="0"/>
    <s v="NOVBAE3317"/>
    <n v="1"/>
    <s v=""/>
    <n v="0"/>
    <s v="NOVBAE3317RE"/>
    <n v="1"/>
    <s v=""/>
    <n v="0"/>
    <s v="E3"/>
    <s v="모자"/>
    <s v="NOV"/>
    <s v="BA"/>
    <x v="11"/>
    <s v="NOVBAE3317"/>
    <s v="NOVBAE3317RE"/>
    <x v="0"/>
    <n v="500"/>
    <n v="24500000"/>
    <n v="3471535.0000000005"/>
    <n v="6.4158152727042266"/>
    <n v="485"/>
    <n v="0"/>
  </r>
  <r>
    <x v="1"/>
    <x v="0"/>
    <s v="VBLBAE3103"/>
    <n v="0.5"/>
    <s v=""/>
    <n v="0"/>
    <s v="VBLBAE3103RE"/>
    <n v="1"/>
    <s v=""/>
    <n v="0"/>
    <s v="E3"/>
    <s v="모자"/>
    <s v="VBL"/>
    <s v="BA"/>
    <x v="10"/>
    <s v="VBLBAE3103"/>
    <s v="VBLBAE3103RE"/>
    <x v="0"/>
    <n v="4000"/>
    <n v="220000000"/>
    <n v="17347320"/>
    <n v="11.529158394495518"/>
    <n v="4000"/>
    <n v="0"/>
  </r>
  <r>
    <x v="1"/>
    <x v="0"/>
    <s v="VBLBAE3103"/>
    <n v="0.5"/>
    <s v=""/>
    <n v="0"/>
    <s v="VBLBAE3103GR"/>
    <n v="1"/>
    <s v=""/>
    <n v="0"/>
    <s v="E3"/>
    <s v="모자"/>
    <s v="VBL"/>
    <s v="BA"/>
    <x v="10"/>
    <s v="VBLBAE3103"/>
    <s v="VBLBAE3103GR"/>
    <x v="0"/>
    <n v="2000"/>
    <n v="110000000"/>
    <n v="9187660"/>
    <n v="10.884164194147367"/>
    <n v="1975"/>
    <n v="0"/>
  </r>
  <r>
    <x v="1"/>
    <x v="0"/>
    <s v="VBLBAE3201"/>
    <n v="1"/>
    <s v=""/>
    <n v="0"/>
    <s v="VBLBAE3201GY"/>
    <n v="1"/>
    <s v=""/>
    <n v="0"/>
    <s v="E3"/>
    <s v="모자"/>
    <s v="VBL"/>
    <s v="BA"/>
    <x v="10"/>
    <s v="VBLBAE3201"/>
    <s v="VBLBAE3201GY"/>
    <x v="0"/>
    <n v="2000"/>
    <n v="90000000"/>
    <n v="20440000"/>
    <n v="4.002846468599893"/>
    <n v="1983"/>
    <n v="0"/>
  </r>
  <r>
    <x v="1"/>
    <x v="0"/>
    <s v="PLAUME3204"/>
    <n v="1"/>
    <s v=""/>
    <n v="0"/>
    <s v="PLAUME3204YE"/>
    <n v="1"/>
    <s v=""/>
    <n v="0"/>
    <s v="E3"/>
    <s v="모자"/>
    <s v="PLA"/>
    <s v="UM"/>
    <x v="16"/>
    <s v="PLAUME3204"/>
    <s v="PLAUME3204YE"/>
    <x v="0"/>
    <n v="1500"/>
    <n v="88500000"/>
    <n v="12162150"/>
    <n v="6.6151581303096449"/>
    <n v="1500"/>
    <n v="0"/>
  </r>
  <r>
    <x v="0"/>
    <x v="0"/>
    <s v="ELSACE3301"/>
    <n v="1"/>
    <s v=""/>
    <n v="0"/>
    <s v="ELSACE3301NY"/>
    <n v="1"/>
    <s v=""/>
    <n v="0"/>
    <s v="E3"/>
    <s v="ACC"/>
    <s v="ELS"/>
    <s v="AC"/>
    <x v="3"/>
    <s v="ELSACE3301"/>
    <s v="ELSACE3301NY"/>
    <x v="0"/>
    <n v="1200"/>
    <n v="5880000"/>
    <n v="811346.40000000014"/>
    <n v="6.5883752555684527"/>
    <n v="0"/>
    <n v="1200"/>
  </r>
  <r>
    <x v="0"/>
    <x v="0"/>
    <s v="ELSACE3302"/>
    <n v="1"/>
    <s v=""/>
    <n v="0"/>
    <s v="ELSACE3302BL"/>
    <n v="1"/>
    <s v=""/>
    <n v="0"/>
    <s v="E3"/>
    <s v="ACC"/>
    <s v="ELS"/>
    <s v="AC"/>
    <x v="3"/>
    <s v="ELSACE3302"/>
    <s v="ELSACE3302BL"/>
    <x v="0"/>
    <n v="1200"/>
    <n v="5880000"/>
    <n v="811346.40000000014"/>
    <n v="6.5883752555684527"/>
    <n v="0"/>
    <n v="1200"/>
  </r>
  <r>
    <x v="0"/>
    <x v="0"/>
    <s v="ELSACE3303"/>
    <n v="1"/>
    <s v=""/>
    <n v="0"/>
    <s v="ELSACE3303OR"/>
    <n v="1"/>
    <s v=""/>
    <n v="0"/>
    <s v="E3"/>
    <s v="ACC"/>
    <s v="ELS"/>
    <s v="AC"/>
    <x v="3"/>
    <s v="ELSACE3303"/>
    <s v="ELSACE3303OR"/>
    <x v="0"/>
    <n v="1200"/>
    <n v="5880000"/>
    <n v="811346.40000000014"/>
    <n v="6.5883752555684527"/>
    <n v="0"/>
    <n v="1200"/>
  </r>
  <r>
    <x v="0"/>
    <x v="0"/>
    <s v="ELSACE3304"/>
    <n v="1"/>
    <s v=""/>
    <n v="0"/>
    <s v="ELSACE3304BL"/>
    <n v="1"/>
    <s v=""/>
    <n v="0"/>
    <s v="E3"/>
    <s v="ACC"/>
    <s v="ELS"/>
    <s v="AC"/>
    <x v="3"/>
    <s v="ELSACE3304"/>
    <s v="ELSACE3304BL"/>
    <x v="0"/>
    <n v="1200"/>
    <n v="5880000"/>
    <n v="811346.40000000014"/>
    <n v="6.5883752555684527"/>
    <n v="0"/>
    <n v="1200"/>
  </r>
  <r>
    <x v="0"/>
    <x v="0"/>
    <s v="NIXBEE5301"/>
    <n v="0.5"/>
    <s v=""/>
    <n v="0"/>
    <s v="NIXBEE5301GY"/>
    <n v="1"/>
    <s v=""/>
    <n v="0"/>
    <s v="E5"/>
    <s v="모자"/>
    <s v="NIX"/>
    <s v="BE"/>
    <x v="17"/>
    <s v="NIXBEE5301"/>
    <s v="NIXBEE5301GY"/>
    <x v="1"/>
    <n v="300"/>
    <n v="9900000"/>
    <n v="3599999.9999999995"/>
    <n v="2.5"/>
    <n v="0"/>
    <n v="300"/>
  </r>
  <r>
    <x v="0"/>
    <x v="0"/>
    <s v="NIXBEE5301"/>
    <n v="0.5"/>
    <s v=""/>
    <n v="0"/>
    <s v="NIXBEE5301NY"/>
    <n v="1"/>
    <s v=""/>
    <n v="0"/>
    <s v="E5"/>
    <s v="모자"/>
    <s v="NIX"/>
    <s v="BE"/>
    <x v="17"/>
    <s v="NIXBEE5301"/>
    <s v="NIXBEE5301NY"/>
    <x v="1"/>
    <n v="400"/>
    <n v="13200000"/>
    <n v="4799999.9999999991"/>
    <n v="2.5000000000000004"/>
    <n v="0"/>
    <n v="400"/>
  </r>
  <r>
    <x v="0"/>
    <x v="0"/>
    <s v="NIXFIE3302"/>
    <n v="1"/>
    <s v=""/>
    <n v="0"/>
    <s v="NIXFIE3302BK"/>
    <n v="1"/>
    <s v=""/>
    <n v="0"/>
    <s v="E3"/>
    <s v="모자"/>
    <s v="NIX"/>
    <s v="FI"/>
    <x v="17"/>
    <s v="NIXFIE3302"/>
    <s v="NIXFIE3302BK"/>
    <x v="1"/>
    <n v="300"/>
    <n v="11700000"/>
    <n v="4254545.4545454541"/>
    <n v="2.5"/>
    <n v="0"/>
    <n v="300"/>
  </r>
  <r>
    <x v="0"/>
    <x v="0"/>
    <s v="NIXFIE3303"/>
    <n v="0.5"/>
    <s v=""/>
    <n v="0"/>
    <s v="NIXFIE3303BW"/>
    <n v="1"/>
    <s v=""/>
    <n v="0"/>
    <s v="E3"/>
    <s v="모자"/>
    <s v="NIX"/>
    <s v="FI"/>
    <x v="17"/>
    <s v="NIXFIE3303"/>
    <s v="NIXFIE3303BW"/>
    <x v="1"/>
    <n v="400"/>
    <n v="15600000"/>
    <n v="5672727.2727272725"/>
    <n v="2.5"/>
    <n v="0"/>
    <n v="400"/>
  </r>
  <r>
    <x v="0"/>
    <x v="0"/>
    <s v="NIXFIE3303"/>
    <n v="0.5"/>
    <s v=""/>
    <n v="0"/>
    <s v="NIXFIE3303RE"/>
    <n v="1"/>
    <s v=""/>
    <n v="0"/>
    <s v="E3"/>
    <s v="모자"/>
    <s v="NIX"/>
    <s v="FI"/>
    <x v="17"/>
    <s v="NIXFIE3303"/>
    <s v="NIXFIE3303RE"/>
    <x v="1"/>
    <n v="400"/>
    <n v="15600000"/>
    <n v="5672727.2727272725"/>
    <n v="2.5"/>
    <n v="0"/>
    <n v="400"/>
  </r>
  <r>
    <x v="0"/>
    <x v="0"/>
    <s v="NIXFIE3304"/>
    <n v="1"/>
    <s v=""/>
    <n v="0"/>
    <s v="NIXFIE3304GY"/>
    <n v="1"/>
    <s v=""/>
    <n v="0"/>
    <s v="E3"/>
    <s v="모자"/>
    <s v="NIX"/>
    <s v="FI"/>
    <x v="17"/>
    <s v="NIXFIE3304"/>
    <s v="NIXFIE3304GY"/>
    <x v="1"/>
    <n v="400"/>
    <n v="13200000"/>
    <n v="4799999.9999999991"/>
    <n v="2.5000000000000004"/>
    <n v="0"/>
    <n v="400"/>
  </r>
  <r>
    <x v="0"/>
    <x v="0"/>
    <s v="NIXFIE3305"/>
    <n v="0.5"/>
    <s v=""/>
    <n v="0"/>
    <s v="NIXFIE3305NY"/>
    <n v="1"/>
    <s v=""/>
    <n v="0"/>
    <s v="E3"/>
    <s v="모자"/>
    <s v="NIX"/>
    <s v="FI"/>
    <x v="17"/>
    <s v="NIXFIE3305"/>
    <s v="NIXFIE3305NY"/>
    <x v="1"/>
    <n v="400"/>
    <n v="15600000"/>
    <n v="5672727.2727272725"/>
    <n v="2.5"/>
    <n v="0"/>
    <n v="400"/>
  </r>
  <r>
    <x v="0"/>
    <x v="0"/>
    <s v="NIXFIE3305"/>
    <n v="0.5"/>
    <s v=""/>
    <n v="0"/>
    <s v="NIXFIE3305IV"/>
    <n v="1"/>
    <s v=""/>
    <n v="0"/>
    <s v="E3"/>
    <s v="모자"/>
    <s v="NIX"/>
    <s v="FI"/>
    <x v="17"/>
    <s v="NIXFIE3305"/>
    <s v="NIXFIE3305IV"/>
    <x v="1"/>
    <n v="300"/>
    <n v="11700000"/>
    <n v="4254545.4545454541"/>
    <n v="2.5"/>
    <n v="0"/>
    <n v="300"/>
  </r>
  <r>
    <x v="0"/>
    <x v="0"/>
    <s v="ELSTPE5301"/>
    <n v="0.5"/>
    <s v=""/>
    <n v="0"/>
    <s v="ELSTPE5301NY"/>
    <n v="0.5"/>
    <s v=""/>
    <n v="0"/>
    <s v="E5"/>
    <s v="모자"/>
    <s v="ELS"/>
    <s v="TP"/>
    <x v="3"/>
    <s v="ELSTPE5301"/>
    <s v="ELSTPE5301NY"/>
    <x v="0"/>
    <n v="800"/>
    <n v="47200000"/>
    <n v="7812384.0000000009"/>
    <n v="5.4924451881897891"/>
    <n v="0"/>
    <n v="800"/>
  </r>
  <r>
    <x v="0"/>
    <x v="0"/>
    <s v="ELSTPE5801"/>
    <n v="0.5"/>
    <s v=""/>
    <n v="0"/>
    <s v="ELSTPE5801NY"/>
    <n v="0.5"/>
    <s v=""/>
    <n v="0"/>
    <s v="E5"/>
    <s v="모자"/>
    <s v="ELS"/>
    <s v="TP"/>
    <x v="3"/>
    <s v="ELSTPE5801"/>
    <s v="ELSTPE5801NY"/>
    <x v="0"/>
    <n v="600"/>
    <n v="33000000"/>
    <n v="5858688.0000000009"/>
    <n v="5.1206003801533706"/>
    <n v="0"/>
    <n v="600"/>
  </r>
  <r>
    <x v="0"/>
    <x v="0"/>
    <s v="ELSBEE5302"/>
    <n v="1"/>
    <s v=""/>
    <n v="0"/>
    <s v="ELSBEE5302GR"/>
    <n v="1"/>
    <s v=""/>
    <n v="0"/>
    <s v="E5"/>
    <s v="모자"/>
    <s v="ELS"/>
    <s v="BE"/>
    <x v="3"/>
    <s v="ELSBEE5302"/>
    <s v="ELSBEE5302GR"/>
    <x v="0"/>
    <n v="500"/>
    <n v="24500000"/>
    <n v="3120260"/>
    <n v="7.1380997970448838"/>
    <n v="0"/>
    <n v="500"/>
  </r>
  <r>
    <x v="0"/>
    <x v="0"/>
    <s v="ELSBEE5802"/>
    <n v="1"/>
    <s v=""/>
    <n v="0"/>
    <s v="ELSBEE5802GR"/>
    <n v="1"/>
    <s v=""/>
    <n v="0"/>
    <s v="E5"/>
    <s v="모자"/>
    <s v="ELS"/>
    <s v="BE"/>
    <x v="3"/>
    <s v="ELSBEE5802"/>
    <s v="ELSBEE5802GR"/>
    <x v="0"/>
    <n v="500"/>
    <n v="22500000"/>
    <n v="3057890.0000000005"/>
    <n v="6.6891044002712485"/>
    <n v="0"/>
    <n v="500"/>
  </r>
  <r>
    <x v="0"/>
    <x v="0"/>
    <s v="ELSBEE5303"/>
    <n v="1"/>
    <s v=""/>
    <n v="0"/>
    <s v="ELSBEE5303BL"/>
    <n v="1"/>
    <s v=""/>
    <n v="0"/>
    <s v="E5"/>
    <s v="모자"/>
    <s v="ELS"/>
    <s v="BE"/>
    <x v="3"/>
    <s v="ELSBEE5303"/>
    <s v="ELSBEE5303BL"/>
    <x v="0"/>
    <n v="500"/>
    <n v="24500000"/>
    <n v="3120260"/>
    <n v="7.1380997970448838"/>
    <n v="0"/>
    <n v="500"/>
  </r>
  <r>
    <x v="0"/>
    <x v="0"/>
    <s v="ELSBEE5803"/>
    <n v="1"/>
    <s v=""/>
    <n v="0"/>
    <s v="ELSBEE5803BL"/>
    <n v="1"/>
    <s v=""/>
    <n v="0"/>
    <s v="E5"/>
    <s v="모자"/>
    <s v="ELS"/>
    <s v="BE"/>
    <x v="3"/>
    <s v="ELSBEE5803"/>
    <s v="ELSBEE5803BL"/>
    <x v="0"/>
    <n v="500"/>
    <n v="22500000"/>
    <n v="3057890.0000000005"/>
    <n v="6.6891044002712485"/>
    <n v="0"/>
    <n v="500"/>
  </r>
  <r>
    <x v="0"/>
    <x v="0"/>
    <s v="ELSBEE5304"/>
    <n v="0.33333333333333331"/>
    <s v=""/>
    <n v="0"/>
    <s v="ELSBEE5304BK"/>
    <n v="1"/>
    <s v=""/>
    <n v="0"/>
    <s v="E5"/>
    <s v="모자"/>
    <s v="ELS"/>
    <s v="BE"/>
    <x v="3"/>
    <s v="ELSBEE5304"/>
    <s v="ELSBEE5304BK"/>
    <x v="0"/>
    <n v="500"/>
    <n v="19500000"/>
    <n v="3222055.0000000009"/>
    <n v="5.5018529253140374"/>
    <n v="0"/>
    <n v="500"/>
  </r>
  <r>
    <x v="0"/>
    <x v="0"/>
    <s v="ELSBEE5304"/>
    <n v="0.33333333333333331"/>
    <s v=""/>
    <n v="0"/>
    <s v="ELSBEE5304GR"/>
    <n v="1"/>
    <s v=""/>
    <n v="0"/>
    <s v="E5"/>
    <s v="모자"/>
    <s v="ELS"/>
    <s v="BE"/>
    <x v="3"/>
    <s v="ELSBEE5304"/>
    <s v="ELSBEE5304GR"/>
    <x v="0"/>
    <n v="500"/>
    <n v="19500000"/>
    <n v="3222055.0000000009"/>
    <n v="5.5018529253140374"/>
    <n v="0"/>
    <n v="500"/>
  </r>
  <r>
    <x v="0"/>
    <x v="0"/>
    <s v="ELSBEE5304"/>
    <n v="0.33333333333333331"/>
    <s v=""/>
    <n v="0"/>
    <s v="ELSBEE5304PK"/>
    <n v="1"/>
    <s v=""/>
    <n v="0"/>
    <s v="E5"/>
    <s v="모자"/>
    <s v="ELS"/>
    <s v="BE"/>
    <x v="3"/>
    <s v="ELSBEE5304"/>
    <s v="ELSBEE5304PK"/>
    <x v="0"/>
    <n v="500"/>
    <n v="19500000"/>
    <n v="3222055.0000000009"/>
    <n v="5.5018529253140374"/>
    <n v="0"/>
    <n v="500"/>
  </r>
  <r>
    <x v="0"/>
    <x v="0"/>
    <s v="JOIERE5801"/>
    <n v="1"/>
    <s v=""/>
    <n v="0"/>
    <s v="JOIERE5801PK"/>
    <n v="1"/>
    <s v=""/>
    <n v="0"/>
    <s v="E5"/>
    <s v="모자"/>
    <s v="JOI"/>
    <s v="ER"/>
    <x v="6"/>
    <s v="JOIERE5801"/>
    <s v="JOIERE5801PK"/>
    <x v="0"/>
    <n v="500"/>
    <n v="29500000"/>
    <n v="5541790"/>
    <n v="4.8392634542596911"/>
    <n v="0"/>
    <n v="500"/>
  </r>
  <r>
    <x v="0"/>
    <x v="0"/>
    <s v="JOIERE5802"/>
    <n v="1"/>
    <s v=""/>
    <n v="0"/>
    <s v="JOIERE5802OR"/>
    <n v="1"/>
    <s v=""/>
    <n v="0"/>
    <s v="E5"/>
    <s v="모자"/>
    <s v="JOI"/>
    <s v="ER"/>
    <x v="6"/>
    <s v="JOIERE5802"/>
    <s v="JOIERE5802OR"/>
    <x v="0"/>
    <n v="500"/>
    <n v="29500000"/>
    <n v="5036790"/>
    <n v="5.3244589943558926"/>
    <n v="0"/>
    <n v="500"/>
  </r>
  <r>
    <x v="1"/>
    <x v="0"/>
    <s v="VBLBAE3216"/>
    <n v="0.2"/>
    <s v=""/>
    <n v="0"/>
    <s v="VBLBAE3216GR"/>
    <n v="1"/>
    <s v=""/>
    <n v="0"/>
    <s v="E3"/>
    <s v="모자"/>
    <s v="VBL"/>
    <s v="BA"/>
    <x v="10"/>
    <s v="VBLBAE3216"/>
    <s v="VBLBAE3216GR"/>
    <x v="0"/>
    <n v="1000"/>
    <n v="49000000"/>
    <n v="10020000"/>
    <n v="4.4456541462529486"/>
    <n v="1014"/>
    <n v="0"/>
  </r>
  <r>
    <x v="1"/>
    <x v="0"/>
    <s v="VBLBAE3216"/>
    <n v="0.2"/>
    <s v=""/>
    <n v="0"/>
    <s v="VBLBAE3216LI"/>
    <n v="1"/>
    <s v=""/>
    <n v="0"/>
    <s v="E3"/>
    <s v="모자"/>
    <s v="VBL"/>
    <s v="BA"/>
    <x v="10"/>
    <s v="VBLBAE3216"/>
    <s v="VBLBAE3216LI"/>
    <x v="0"/>
    <n v="1000"/>
    <n v="49000000"/>
    <n v="10020000"/>
    <n v="4.4456541462529486"/>
    <n v="704"/>
    <n v="0"/>
  </r>
  <r>
    <x v="1"/>
    <x v="0"/>
    <s v="VBLBAE3216"/>
    <n v="0.2"/>
    <s v=""/>
    <n v="0"/>
    <s v="VBLBAE3216BL"/>
    <n v="1"/>
    <s v=""/>
    <n v="0"/>
    <s v="E3"/>
    <s v="모자"/>
    <s v="VBL"/>
    <s v="BA"/>
    <x v="10"/>
    <s v="VBLBAE3216"/>
    <s v="VBLBAE3216BL"/>
    <x v="0"/>
    <n v="1000"/>
    <n v="49000000"/>
    <n v="10020000"/>
    <n v="4.4456541462529486"/>
    <n v="1000"/>
    <n v="0"/>
  </r>
  <r>
    <x v="1"/>
    <x v="0"/>
    <s v="VBLBAE3216"/>
    <n v="0.2"/>
    <s v=""/>
    <n v="0"/>
    <s v="VBLBAE3216RE"/>
    <n v="1"/>
    <s v=""/>
    <n v="0"/>
    <s v="E3"/>
    <s v="모자"/>
    <s v="VBL"/>
    <s v="BA"/>
    <x v="10"/>
    <s v="VBLBAE3216"/>
    <s v="VBLBAE3216RE"/>
    <x v="0"/>
    <n v="1000"/>
    <n v="49000000"/>
    <n v="10020000"/>
    <n v="4.4456541462529486"/>
    <n v="1000"/>
    <n v="0"/>
  </r>
  <r>
    <x v="0"/>
    <x v="0"/>
    <s v="BMDMIE3301"/>
    <n v="0.25"/>
    <s v=""/>
    <n v="0"/>
    <s v="BMDMIE3301BK"/>
    <n v="1"/>
    <s v=""/>
    <n v="0"/>
    <s v="E3"/>
    <s v="모자"/>
    <s v="BMD"/>
    <s v="MI"/>
    <x v="18"/>
    <s v="BMDMIE3301"/>
    <s v="BMDMIE3301BK"/>
    <x v="0"/>
    <n v="700"/>
    <n v="34300000"/>
    <n v="4562040.0000000009"/>
    <n v="6.8350602322246559"/>
    <n v="0"/>
    <n v="700"/>
  </r>
  <r>
    <x v="0"/>
    <x v="0"/>
    <s v="BMDMIE3301"/>
    <n v="0.25"/>
    <s v=""/>
    <n v="0"/>
    <s v="BMDMIE3301KH"/>
    <n v="1"/>
    <s v=""/>
    <n v="0"/>
    <s v="E3"/>
    <s v="모자"/>
    <s v="BMD"/>
    <s v="MI"/>
    <x v="18"/>
    <s v="BMDMIE3301"/>
    <s v="BMDMIE3301KH"/>
    <x v="0"/>
    <n v="700"/>
    <n v="34300000"/>
    <n v="4389140.0000000009"/>
    <n v="7.1043115922067122"/>
    <n v="0"/>
    <n v="700"/>
  </r>
  <r>
    <x v="0"/>
    <x v="0"/>
    <s v="BMDMIE3301"/>
    <n v="0.25"/>
    <s v=""/>
    <n v="0"/>
    <s v="BMDMIE3301GY"/>
    <n v="1"/>
    <s v=""/>
    <n v="0"/>
    <s v="E3"/>
    <s v="모자"/>
    <s v="BMD"/>
    <s v="MI"/>
    <x v="18"/>
    <s v="BMDMIE3301"/>
    <s v="BMDMIE3301GY"/>
    <x v="0"/>
    <n v="700"/>
    <n v="34300000"/>
    <n v="4774840.0000000009"/>
    <n v="6.5304425241093256"/>
    <n v="0"/>
    <n v="700"/>
  </r>
  <r>
    <x v="0"/>
    <x v="0"/>
    <s v="BMDERE5302"/>
    <n v="0.33333333333333331"/>
    <s v=""/>
    <n v="0"/>
    <s v="BMDERE5302BK"/>
    <n v="1"/>
    <s v=""/>
    <n v="0"/>
    <s v="E5"/>
    <s v="모자"/>
    <s v="BMD"/>
    <s v="ER"/>
    <x v="18"/>
    <s v="BMDERE5302"/>
    <s v="BMDERE5302BK"/>
    <x v="0"/>
    <n v="700"/>
    <n v="45500000"/>
    <n v="9114000"/>
    <n v="4.5384722804077642"/>
    <n v="0"/>
    <n v="700"/>
  </r>
  <r>
    <x v="0"/>
    <x v="0"/>
    <s v="BMDERE5302"/>
    <n v="0.33333333333333331"/>
    <s v=""/>
    <n v="0"/>
    <s v="BMDERE5302GY"/>
    <n v="1"/>
    <s v=""/>
    <n v="0"/>
    <s v="E5"/>
    <s v="모자"/>
    <s v="BMD"/>
    <s v="ER"/>
    <x v="18"/>
    <s v="BMDERE5302"/>
    <s v="BMDERE5302GY"/>
    <x v="0"/>
    <n v="700"/>
    <n v="45500000"/>
    <n v="9114000"/>
    <n v="4.5384722804077642"/>
    <n v="0"/>
    <n v="700"/>
  </r>
  <r>
    <x v="0"/>
    <x v="0"/>
    <s v="BMDERE5302"/>
    <n v="0.33333333333333331"/>
    <s v=""/>
    <n v="0"/>
    <s v="BMDERE5302RE"/>
    <n v="1"/>
    <s v=""/>
    <n v="0"/>
    <s v="E5"/>
    <s v="모자"/>
    <s v="BMD"/>
    <s v="ER"/>
    <x v="18"/>
    <s v="BMDERE5302"/>
    <s v="BMDERE5302RE"/>
    <x v="0"/>
    <n v="700"/>
    <n v="45500000"/>
    <n v="9114000"/>
    <n v="4.5384722804077642"/>
    <n v="0"/>
    <n v="700"/>
  </r>
  <r>
    <x v="0"/>
    <x v="0"/>
    <s v="BMDERE5303"/>
    <n v="0.5"/>
    <s v=""/>
    <n v="0"/>
    <s v="BMDERE5303BU"/>
    <n v="1"/>
    <s v=""/>
    <n v="0"/>
    <s v="E5"/>
    <s v="모자"/>
    <s v="BMD"/>
    <s v="ER"/>
    <x v="18"/>
    <s v="BMDERE5303"/>
    <s v="BMDERE5303BU"/>
    <x v="0"/>
    <n v="400"/>
    <n v="23600000"/>
    <n v="4605196"/>
    <n v="4.6587692368675411"/>
    <n v="0"/>
    <n v="400"/>
  </r>
  <r>
    <x v="0"/>
    <x v="0"/>
    <s v="BMDERE5303"/>
    <n v="0.5"/>
    <s v=""/>
    <n v="0"/>
    <s v="BMDERE5303GY"/>
    <n v="1"/>
    <s v=""/>
    <n v="0"/>
    <s v="E5"/>
    <s v="모자"/>
    <s v="BMD"/>
    <s v="ER"/>
    <x v="18"/>
    <s v="BMDERE5303"/>
    <s v="BMDERE5303GY"/>
    <x v="0"/>
    <n v="400"/>
    <n v="23600000"/>
    <n v="4584796"/>
    <n v="4.679498379981454"/>
    <n v="0"/>
    <n v="400"/>
  </r>
  <r>
    <x v="1"/>
    <x v="0"/>
    <s v="ELSFIE3211"/>
    <n v="1"/>
    <s v=""/>
    <n v="0"/>
    <s v="ELSFIE3211PK"/>
    <n v="1"/>
    <s v=""/>
    <n v="0"/>
    <s v="E3"/>
    <s v="모자"/>
    <s v="ELS"/>
    <s v="FI"/>
    <x v="3"/>
    <s v="ELSFIE3211"/>
    <s v="ELSFIE3211PK"/>
    <x v="0"/>
    <n v="800"/>
    <n v="44000000"/>
    <n v="5654248.0000000009"/>
    <n v="7.0743271253754676"/>
    <n v="700"/>
    <n v="0"/>
  </r>
  <r>
    <x v="1"/>
    <x v="0"/>
    <s v="ELSFIE3711"/>
    <n v="1"/>
    <s v=""/>
    <n v="0"/>
    <s v="ELSFIE3711PK"/>
    <n v="1"/>
    <s v=""/>
    <n v="0"/>
    <s v="E3"/>
    <s v="모자"/>
    <s v="ELS"/>
    <s v="FI"/>
    <x v="3"/>
    <s v="ELSFIE3711"/>
    <s v="ELSFIE3711PK"/>
    <x v="0"/>
    <n v="2000"/>
    <n v="98000000"/>
    <n v="13886140.000000002"/>
    <n v="6.4158152727042266"/>
    <n v="0"/>
    <n v="2000"/>
  </r>
  <r>
    <x v="1"/>
    <x v="0"/>
    <s v="ELSFIE3712"/>
    <n v="1"/>
    <s v=""/>
    <n v="0"/>
    <s v="ELSFIE3712BL"/>
    <n v="1"/>
    <s v=""/>
    <n v="0"/>
    <s v="E3"/>
    <s v="모자"/>
    <s v="ELS"/>
    <s v="FI"/>
    <x v="3"/>
    <s v="ELSFIE3712"/>
    <s v="ELSFIE3712BL"/>
    <x v="0"/>
    <n v="1000"/>
    <n v="49000000"/>
    <n v="6693590"/>
    <n v="6.6549421977525576"/>
    <n v="900"/>
    <n v="0"/>
  </r>
  <r>
    <x v="1"/>
    <x v="0"/>
    <s v="ELSFIE3713"/>
    <n v="1"/>
    <s v=""/>
    <n v="0"/>
    <s v="ELSFIE3713PK"/>
    <n v="1"/>
    <s v=""/>
    <n v="0"/>
    <s v="E3"/>
    <s v="모자"/>
    <s v="ELS"/>
    <s v="FI"/>
    <x v="3"/>
    <s v="ELSFIE3713"/>
    <s v="ELSFIE3713PK"/>
    <x v="0"/>
    <n v="2500"/>
    <n v="122500000"/>
    <n v="17045825.000000004"/>
    <n v="6.5331913453080928"/>
    <n v="0"/>
    <n v="2500"/>
  </r>
  <r>
    <x v="1"/>
    <x v="0"/>
    <s v="ELSBAE3008"/>
    <n v="0.33333333333333331"/>
    <s v=""/>
    <n v="0"/>
    <s v="ELSBAE3008BK"/>
    <n v="1"/>
    <s v=""/>
    <n v="0"/>
    <s v="E3"/>
    <s v="모자"/>
    <s v="ELS"/>
    <s v="BA"/>
    <x v="3"/>
    <s v="ELSBAE3008"/>
    <s v="ELSBAE3008BK"/>
    <x v="0"/>
    <n v="5000"/>
    <n v="245000000"/>
    <n v="29552499.999999996"/>
    <n v="7.5366643338896111"/>
    <n v="0"/>
    <n v="5000"/>
  </r>
  <r>
    <x v="1"/>
    <x v="0"/>
    <s v="JILMIE3152"/>
    <n v="0.2"/>
    <s v=""/>
    <n v="0"/>
    <s v="JILMIE3152BK"/>
    <n v="0.5"/>
    <s v=""/>
    <n v="0"/>
    <s v="E3"/>
    <s v="모자"/>
    <s v="JIL"/>
    <s v="MI"/>
    <x v="4"/>
    <s v="JILMIE3152"/>
    <s v="JILMIE3152BK"/>
    <x v="0"/>
    <n v="2000"/>
    <n v="90000000"/>
    <n v="12474000"/>
    <n v="6.5590974681883765"/>
    <n v="2000"/>
    <n v="0"/>
  </r>
  <r>
    <x v="0"/>
    <x v="0"/>
    <s v="ELSFIE5305"/>
    <n v="0.5"/>
    <s v=""/>
    <n v="0"/>
    <s v="ELSFIE5305OR"/>
    <n v="1"/>
    <s v=""/>
    <n v="0"/>
    <s v="E5"/>
    <s v="모자"/>
    <s v="ELS"/>
    <s v="FI"/>
    <x v="3"/>
    <s v="ELSFIE5305"/>
    <s v="ELSFIE5305OR"/>
    <x v="0"/>
    <n v="800"/>
    <n v="44000000"/>
    <n v="6302896.0000000009"/>
    <n v="6.3462890709286635"/>
    <n v="0"/>
    <n v="800"/>
  </r>
  <r>
    <x v="0"/>
    <x v="0"/>
    <s v="ELSFIE5305"/>
    <n v="0.5"/>
    <s v=""/>
    <n v="0"/>
    <s v="ELSFIE5305GR"/>
    <n v="1"/>
    <s v=""/>
    <n v="0"/>
    <s v="E5"/>
    <s v="모자"/>
    <s v="ELS"/>
    <s v="FI"/>
    <x v="3"/>
    <s v="ELSFIE5305"/>
    <s v="ELSFIE5305GR"/>
    <x v="0"/>
    <n v="800"/>
    <n v="44000000"/>
    <n v="6302896.0000000009"/>
    <n v="6.3462890709286635"/>
    <n v="0"/>
    <n v="800"/>
  </r>
  <r>
    <x v="0"/>
    <x v="0"/>
    <s v="ELSBAE5306"/>
    <n v="0.5"/>
    <s v=""/>
    <n v="0"/>
    <s v="ELSBAE5306GR"/>
    <n v="1"/>
    <s v=""/>
    <n v="0"/>
    <s v="E5"/>
    <s v="모자"/>
    <s v="ELS"/>
    <s v="BA"/>
    <x v="3"/>
    <s v="ELSBAE5306"/>
    <s v="ELSBAE5306GR"/>
    <x v="0"/>
    <n v="600"/>
    <n v="33000000"/>
    <n v="4652328.0000000009"/>
    <n v="6.4483845507023556"/>
    <n v="0"/>
    <n v="600"/>
  </r>
  <r>
    <x v="0"/>
    <x v="0"/>
    <s v="ELSBAE5306"/>
    <n v="0.5"/>
    <s v=""/>
    <n v="0"/>
    <s v="ELSBAE5306PK"/>
    <n v="1"/>
    <s v=""/>
    <n v="0"/>
    <s v="E5"/>
    <s v="모자"/>
    <s v="ELS"/>
    <s v="BA"/>
    <x v="3"/>
    <s v="ELSBAE5306"/>
    <s v="ELSBAE5306PK"/>
    <x v="0"/>
    <n v="600"/>
    <n v="33000000"/>
    <n v="4652328.0000000009"/>
    <n v="6.4483845507023556"/>
    <n v="0"/>
    <n v="600"/>
  </r>
  <r>
    <x v="0"/>
    <x v="0"/>
    <s v="ELSERE5309"/>
    <n v="1"/>
    <s v=""/>
    <n v="0"/>
    <s v="ELSERE5309PK"/>
    <n v="1"/>
    <s v=""/>
    <n v="0"/>
    <s v="E5"/>
    <s v="모자"/>
    <s v="ELS"/>
    <s v="ER"/>
    <x v="3"/>
    <s v="ELSERE5309"/>
    <s v="ELSERE5309PK"/>
    <x v="0"/>
    <n v="1000"/>
    <n v="59000000"/>
    <n v="8751800.0000000019"/>
    <n v="6.1286093873675833"/>
    <n v="0"/>
    <n v="1000"/>
  </r>
  <r>
    <x v="0"/>
    <x v="0"/>
    <s v="ELSBAE3311"/>
    <n v="0.25"/>
    <s v=""/>
    <n v="0"/>
    <s v="ELSBAE3311LI"/>
    <n v="0.5"/>
    <s v=""/>
    <n v="0"/>
    <s v="E3"/>
    <s v="모자"/>
    <s v="ELS"/>
    <s v="BA"/>
    <x v="3"/>
    <s v="ELSBAE3311"/>
    <s v="ELSBAE3311LI"/>
    <x v="0"/>
    <n v="600"/>
    <n v="29400000"/>
    <n v="4577484"/>
    <n v="5.8388566136490541"/>
    <n v="0"/>
    <n v="600"/>
  </r>
  <r>
    <x v="0"/>
    <x v="0"/>
    <s v="ELSBAE3811"/>
    <n v="0.25"/>
    <s v=""/>
    <n v="0"/>
    <s v="ELSBAE3811LI"/>
    <n v="0.5"/>
    <s v=""/>
    <n v="0"/>
    <s v="E3"/>
    <s v="모자"/>
    <s v="ELS"/>
    <s v="BA"/>
    <x v="3"/>
    <s v="ELSBAE3811"/>
    <s v="ELSBAE3811LI"/>
    <x v="0"/>
    <n v="600"/>
    <n v="25800000"/>
    <n v="4502640.0000000009"/>
    <n v="5.209065227187927"/>
    <n v="0"/>
    <n v="600"/>
  </r>
  <r>
    <x v="0"/>
    <x v="0"/>
    <s v="ELSBAE3311"/>
    <n v="0.25"/>
    <s v=""/>
    <n v="0"/>
    <s v="ELSBAE3311PK"/>
    <n v="0.5"/>
    <s v=""/>
    <n v="0"/>
    <s v="E3"/>
    <s v="모자"/>
    <s v="ELS"/>
    <s v="BA"/>
    <x v="3"/>
    <s v="ELSBAE3311"/>
    <s v="ELSBAE3311PK"/>
    <x v="0"/>
    <n v="600"/>
    <n v="29400000"/>
    <n v="4577484"/>
    <n v="5.8388566136490541"/>
    <n v="0"/>
    <n v="600"/>
  </r>
  <r>
    <x v="0"/>
    <x v="0"/>
    <s v="ELSBAE3811"/>
    <n v="0.25"/>
    <s v=""/>
    <n v="0"/>
    <s v="ELSBAE3811PK"/>
    <n v="0.5"/>
    <s v=""/>
    <n v="0"/>
    <s v="E3"/>
    <s v="모자"/>
    <s v="ELS"/>
    <s v="BA"/>
    <x v="3"/>
    <s v="ELSBAE3811"/>
    <s v="ELSBAE3811PK"/>
    <x v="0"/>
    <n v="600"/>
    <n v="25800000"/>
    <n v="4502640.0000000009"/>
    <n v="5.209065227187927"/>
    <n v="0"/>
    <n v="600"/>
  </r>
  <r>
    <x v="0"/>
    <x v="0"/>
    <s v="ELSBAE3312"/>
    <n v="0.5"/>
    <s v=""/>
    <n v="0"/>
    <s v="ELSBAE3312NY"/>
    <n v="0.5"/>
    <s v=""/>
    <n v="0"/>
    <s v="E3"/>
    <s v="모자"/>
    <s v="ELS"/>
    <s v="BA"/>
    <x v="3"/>
    <s v="ELSBAE3312"/>
    <s v="ELSBAE3312NY"/>
    <x v="0"/>
    <n v="600"/>
    <n v="29400000"/>
    <n v="4727172.0000000009"/>
    <n v="5.653966626827355"/>
    <n v="0"/>
    <n v="600"/>
  </r>
  <r>
    <x v="0"/>
    <x v="0"/>
    <s v="ELSBAE3812"/>
    <n v="0.5"/>
    <s v=""/>
    <n v="0"/>
    <s v="ELSBAE3812NY"/>
    <n v="0.5"/>
    <s v=""/>
    <n v="0"/>
    <s v="E3"/>
    <s v="모자"/>
    <s v="ELS"/>
    <s v="BA"/>
    <x v="3"/>
    <s v="ELSBAE3812"/>
    <s v="ELSBAE3812NY"/>
    <x v="0"/>
    <n v="600"/>
    <n v="25800000"/>
    <n v="4652328.0000000009"/>
    <n v="5.0414642850945688"/>
    <n v="0"/>
    <n v="600"/>
  </r>
  <r>
    <x v="0"/>
    <x v="0"/>
    <s v="ELSBAE3307"/>
    <n v="0.5"/>
    <s v=""/>
    <n v="0"/>
    <s v="ELSBAE3307OR"/>
    <n v="0.5"/>
    <s v=""/>
    <n v="0"/>
    <s v="E3"/>
    <s v="모자"/>
    <s v="ELS"/>
    <s v="BA"/>
    <x v="3"/>
    <s v="ELSBAE3307"/>
    <s v="ELSBAE3307OR"/>
    <x v="0"/>
    <n v="600"/>
    <n v="29400000"/>
    <n v="5700144"/>
    <n v="4.6888767594770808"/>
    <n v="0"/>
    <n v="600"/>
  </r>
  <r>
    <x v="0"/>
    <x v="0"/>
    <s v="ELSERE5308"/>
    <n v="1"/>
    <s v=""/>
    <n v="0"/>
    <s v="ELSERE5308OR"/>
    <n v="1"/>
    <s v=""/>
    <n v="0"/>
    <s v="E5"/>
    <s v="모자"/>
    <s v="ELS"/>
    <s v="ER"/>
    <x v="3"/>
    <s v="ELSERE5308"/>
    <s v="ELSERE5308OR"/>
    <x v="0"/>
    <n v="1000"/>
    <n v="59000000"/>
    <n v="9126020"/>
    <n v="5.8773006892778712"/>
    <n v="0"/>
    <n v="1000"/>
  </r>
  <r>
    <x v="0"/>
    <x v="0"/>
    <s v="ELSERE5310"/>
    <n v="0.5"/>
    <s v=""/>
    <n v="0"/>
    <s v="ELSERE5310YE"/>
    <n v="1"/>
    <s v=""/>
    <n v="0"/>
    <s v="E5"/>
    <s v="모자"/>
    <s v="ELS"/>
    <s v="ER"/>
    <x v="3"/>
    <s v="ELSERE5310"/>
    <s v="ELSERE5310YE"/>
    <x v="0"/>
    <n v="800"/>
    <n v="47200000"/>
    <n v="7600192"/>
    <n v="5.6457903838601577"/>
    <n v="0"/>
    <n v="800"/>
  </r>
  <r>
    <x v="0"/>
    <x v="0"/>
    <s v="ELSERE5810"/>
    <n v="0.5"/>
    <s v=""/>
    <n v="0"/>
    <s v="ELSERE5810YE"/>
    <n v="1"/>
    <s v=""/>
    <n v="0"/>
    <s v="E5"/>
    <s v="모자"/>
    <s v="ELS"/>
    <s v="ER"/>
    <x v="3"/>
    <s v="ELSERE5810"/>
    <s v="ELSERE5810YE"/>
    <x v="0"/>
    <n v="800"/>
    <n v="44000000"/>
    <n v="7500400"/>
    <n v="5.3330489040584492"/>
    <n v="0"/>
    <n v="800"/>
  </r>
  <r>
    <x v="0"/>
    <x v="0"/>
    <s v="ELSERE5310"/>
    <n v="0.5"/>
    <s v=""/>
    <n v="0"/>
    <s v="ELSERE5310PK"/>
    <n v="1"/>
    <s v=""/>
    <n v="0"/>
    <s v="E5"/>
    <s v="모자"/>
    <s v="ELS"/>
    <s v="ER"/>
    <x v="3"/>
    <s v="ELSERE5310"/>
    <s v="ELSERE5310PK"/>
    <x v="0"/>
    <n v="800"/>
    <n v="47200000"/>
    <n v="7699984.0000000009"/>
    <n v="5.5726207884446124"/>
    <n v="0"/>
    <n v="800"/>
  </r>
  <r>
    <x v="0"/>
    <x v="0"/>
    <s v="ELSERE5810"/>
    <n v="0.5"/>
    <s v=""/>
    <n v="0"/>
    <s v="ELSERE5810PK"/>
    <n v="1"/>
    <s v=""/>
    <n v="0"/>
    <s v="E5"/>
    <s v="모자"/>
    <s v="ELS"/>
    <s v="ER"/>
    <x v="3"/>
    <s v="ELSERE5810"/>
    <s v="ELSERE5810PK"/>
    <x v="0"/>
    <n v="800"/>
    <n v="44000000"/>
    <n v="7500400"/>
    <n v="5.3330489040584492"/>
    <n v="0"/>
    <n v="800"/>
  </r>
  <r>
    <x v="0"/>
    <x v="0"/>
    <s v="ELSERE5313"/>
    <n v="1"/>
    <s v=""/>
    <n v="0"/>
    <s v="ELSERE5313NY"/>
    <n v="1"/>
    <s v=""/>
    <n v="0"/>
    <s v="E5"/>
    <s v="모자"/>
    <s v="ELS"/>
    <s v="ER"/>
    <x v="3"/>
    <s v="ELSERE5313"/>
    <s v="ELSERE5313NY"/>
    <x v="0"/>
    <n v="1000"/>
    <n v="69000000"/>
    <n v="14500000"/>
    <n v="4.3260188087774294"/>
    <n v="0"/>
    <n v="1000"/>
  </r>
  <r>
    <x v="0"/>
    <x v="0"/>
    <s v="ELSERE5316"/>
    <n v="1"/>
    <s v=""/>
    <n v="0"/>
    <s v="ELSERE5316BL"/>
    <n v="1"/>
    <s v=""/>
    <n v="0"/>
    <s v="E5"/>
    <s v="모자"/>
    <s v="ELS"/>
    <s v="ER"/>
    <x v="3"/>
    <s v="ELSERE5316"/>
    <s v="ELSERE5316BL"/>
    <x v="0"/>
    <n v="800"/>
    <n v="55200000"/>
    <n v="12400000"/>
    <n v="4.0469208211143686"/>
    <n v="0"/>
    <n v="800"/>
  </r>
  <r>
    <x v="0"/>
    <x v="0"/>
    <s v="ELSERE5816"/>
    <n v="1"/>
    <s v=""/>
    <n v="0"/>
    <s v="ELSERE5816BL"/>
    <n v="1"/>
    <s v=""/>
    <n v="0"/>
    <s v="E5"/>
    <s v="모자"/>
    <s v="ELS"/>
    <s v="ER"/>
    <x v="3"/>
    <s v="ELSERE5816"/>
    <s v="ELSERE5816BL"/>
    <x v="0"/>
    <n v="1000"/>
    <n v="65000000"/>
    <n v="15000000"/>
    <n v="3.939393939393939"/>
    <n v="0"/>
    <n v="1000"/>
  </r>
  <r>
    <x v="0"/>
    <x v="0"/>
    <s v="ELSFAE3818"/>
    <n v="1"/>
    <s v=""/>
    <n v="0"/>
    <s v="ELSFAE3818BL"/>
    <n v="1"/>
    <s v=""/>
    <n v="0"/>
    <s v="E3"/>
    <s v="모자"/>
    <s v="ELS"/>
    <s v="FA"/>
    <x v="3"/>
    <s v="ELSFAE3818"/>
    <s v="ELSFAE3818BL"/>
    <x v="0"/>
    <n v="400"/>
    <n v="23600000"/>
    <n v="3992396"/>
    <n v="5.3738520563955712"/>
    <n v="0"/>
    <n v="400"/>
  </r>
  <r>
    <x v="0"/>
    <x v="0"/>
    <s v="BMDMIE3301"/>
    <n v="0.25"/>
    <s v=""/>
    <n v="0"/>
    <s v="BMDMIE3301BL"/>
    <n v="1"/>
    <s v=""/>
    <n v="0"/>
    <s v="E3"/>
    <s v="모자"/>
    <s v="BMD"/>
    <s v="MI"/>
    <x v="18"/>
    <s v="BMDMIE3301"/>
    <s v="BMDMIE3301BL"/>
    <x v="0"/>
    <n v="700"/>
    <n v="34300000"/>
    <n v="4700640.0000000009"/>
    <n v="6.633526111724823"/>
    <n v="0"/>
    <n v="700"/>
  </r>
  <r>
    <x v="1"/>
    <x v="0"/>
    <s v="ELSBAE3008"/>
    <n v="0.33333333333333331"/>
    <s v=""/>
    <n v="0"/>
    <s v="ELSBAE3008BW"/>
    <n v="1"/>
    <s v=""/>
    <n v="0"/>
    <s v="E3"/>
    <s v="모자"/>
    <s v="ELS"/>
    <s v="BA"/>
    <x v="3"/>
    <s v="ELSBAE3008"/>
    <s v="ELSBAE3008BW"/>
    <x v="0"/>
    <n v="2000"/>
    <n v="98000000"/>
    <n v="13091500.000000002"/>
    <n v="6.8052483742053296"/>
    <n v="0"/>
    <n v="2000"/>
  </r>
  <r>
    <x v="1"/>
    <x v="0"/>
    <s v="ELSFIE3620"/>
    <n v="0.33333333333333331"/>
    <s v=""/>
    <n v="0"/>
    <s v="ELSFIE3620RE"/>
    <n v="1"/>
    <s v=""/>
    <n v="0"/>
    <s v="E3"/>
    <s v="모자"/>
    <s v="ELS"/>
    <s v="FI"/>
    <x v="3"/>
    <s v="ELSFIE3620"/>
    <s v="ELSFIE3620RE"/>
    <x v="0"/>
    <n v="3000"/>
    <n v="129000000"/>
    <n v="13573500"/>
    <n v="8.6398296145229505"/>
    <n v="0"/>
    <n v="3000"/>
  </r>
  <r>
    <x v="1"/>
    <x v="0"/>
    <s v="ELSFIE3620"/>
    <n v="0.33333333333333331"/>
    <s v=""/>
    <n v="0"/>
    <s v="ELSFIE3620YE"/>
    <n v="1"/>
    <s v=""/>
    <n v="0"/>
    <s v="E3"/>
    <s v="모자"/>
    <s v="ELS"/>
    <s v="FI"/>
    <x v="3"/>
    <s v="ELSFIE3620"/>
    <s v="ELSFIE3620YE"/>
    <x v="0"/>
    <n v="2000"/>
    <n v="86000000"/>
    <n v="9049000"/>
    <n v="8.6398296145229505"/>
    <n v="0"/>
    <n v="2000"/>
  </r>
  <r>
    <x v="1"/>
    <x v="0"/>
    <s v="ELSFIE3640"/>
    <n v="1"/>
    <s v=""/>
    <n v="0"/>
    <s v="ELSFIE3640GR"/>
    <n v="1"/>
    <s v=""/>
    <n v="0"/>
    <s v="E3"/>
    <s v="모자"/>
    <s v="ELS"/>
    <s v="FI"/>
    <x v="3"/>
    <s v="ELSFIE3640"/>
    <s v="ELSFIE3640GR"/>
    <x v="0"/>
    <n v="1000"/>
    <n v="43000000"/>
    <n v="5506250"/>
    <n v="7.0993705499948394"/>
    <n v="0"/>
    <n v="1000"/>
  </r>
  <r>
    <x v="1"/>
    <x v="0"/>
    <s v="SMBFIE3205"/>
    <n v="1"/>
    <s v=""/>
    <n v="0"/>
    <s v="SMBFIE3205BK"/>
    <n v="1"/>
    <s v=""/>
    <n v="0"/>
    <s v="E3"/>
    <s v="모자"/>
    <s v="SMB"/>
    <s v="FI"/>
    <x v="13"/>
    <s v="SMBFIE3205"/>
    <s v="SMBFIE3205BK"/>
    <x v="0"/>
    <n v="1000"/>
    <n v="49000000"/>
    <n v="7179250"/>
    <n v="6.2047504329079697"/>
    <n v="1000"/>
    <n v="0"/>
  </r>
  <r>
    <x v="1"/>
    <x v="0"/>
    <s v="SMBFIE3702"/>
    <n v="1"/>
    <s v=""/>
    <n v="0"/>
    <s v="SMBFIE3702RE"/>
    <n v="1"/>
    <s v=""/>
    <n v="0"/>
    <s v="E3"/>
    <s v="모자"/>
    <s v="SMB"/>
    <s v="FI"/>
    <x v="13"/>
    <s v="SMBFIE3702"/>
    <s v="SMBFIE3702RE"/>
    <x v="0"/>
    <n v="1000"/>
    <n v="43000000"/>
    <n v="6832750"/>
    <n v="5.7211092299453492"/>
    <n v="0"/>
    <n v="1000"/>
  </r>
  <r>
    <x v="1"/>
    <x v="0"/>
    <s v="SMBFIE3705"/>
    <n v="1"/>
    <s v=""/>
    <n v="0"/>
    <s v="SMBFIE3705BK"/>
    <n v="1"/>
    <s v=""/>
    <n v="0"/>
    <s v="E3"/>
    <s v="모자"/>
    <s v="SMB"/>
    <s v="FI"/>
    <x v="13"/>
    <s v="SMBFIE3705"/>
    <s v="SMBFIE3705BK"/>
    <x v="0"/>
    <n v="2000"/>
    <n v="86000000"/>
    <n v="14012000.000000002"/>
    <n v="5.5796330418083189"/>
    <n v="1300"/>
    <n v="700"/>
  </r>
  <r>
    <x v="1"/>
    <x v="0"/>
    <s v="SMBFLE3742"/>
    <n v="1"/>
    <s v=""/>
    <n v="0"/>
    <s v="SMBFLE3742NY"/>
    <n v="1"/>
    <s v=""/>
    <n v="0"/>
    <s v="E3"/>
    <s v="모자"/>
    <s v="SMB"/>
    <s v="FL"/>
    <x v="13"/>
    <s v="SMBFLE3742"/>
    <s v="SMBFLE3742NY"/>
    <x v="0"/>
    <n v="1000"/>
    <n v="43000000"/>
    <n v="6544000"/>
    <n v="5.9735496777061563"/>
    <n v="0"/>
    <n v="1000"/>
  </r>
  <r>
    <x v="1"/>
    <x v="0"/>
    <s v="SMBFLE3757"/>
    <n v="1"/>
    <s v=""/>
    <n v="0"/>
    <s v="SMBFLE3757PK"/>
    <n v="1"/>
    <s v=""/>
    <n v="0"/>
    <s v="E3"/>
    <s v="모자"/>
    <s v="SMB"/>
    <s v="FL"/>
    <x v="13"/>
    <s v="SMBFLE3757"/>
    <s v="SMBFLE3757PK"/>
    <x v="0"/>
    <n v="1000"/>
    <n v="43000000"/>
    <n v="6890499.9999999991"/>
    <n v="5.6731600160959426"/>
    <n v="0"/>
    <n v="1000"/>
  </r>
  <r>
    <x v="0"/>
    <x v="0"/>
    <s v="NOVERE5318"/>
    <n v="1"/>
    <s v=""/>
    <n v="0"/>
    <s v="NOVERE5318RE"/>
    <n v="1"/>
    <s v=""/>
    <n v="0"/>
    <s v="E5"/>
    <s v="모자"/>
    <s v="NOV"/>
    <s v="ER"/>
    <x v="11"/>
    <s v="NOVERE5318"/>
    <s v="NOVERE5318RE"/>
    <x v="0"/>
    <n v="500"/>
    <n v="29500000"/>
    <n v="2856450.0000000005"/>
    <n v="9.3886403816561845"/>
    <n v="0"/>
    <n v="500"/>
  </r>
  <r>
    <x v="0"/>
    <x v="0"/>
    <s v="NOVBAE5319"/>
    <n v="1"/>
    <s v=""/>
    <n v="0"/>
    <s v="NOVBAE5319NY"/>
    <n v="1"/>
    <s v=""/>
    <n v="0"/>
    <s v="E5"/>
    <s v="모자"/>
    <s v="NOV"/>
    <s v="BA"/>
    <x v="11"/>
    <s v="NOVBAE5319"/>
    <s v="NOVBAE5319NY"/>
    <x v="0"/>
    <n v="700"/>
    <n v="34300000"/>
    <n v="3258381"/>
    <n v="9.5697274756445552"/>
    <n v="0"/>
    <n v="700"/>
  </r>
  <r>
    <x v="0"/>
    <x v="0"/>
    <s v="NOVBAE5819"/>
    <n v="1"/>
    <s v=""/>
    <n v="0"/>
    <s v="NOVBAE5819NY"/>
    <n v="1"/>
    <s v=""/>
    <n v="0"/>
    <s v="E5"/>
    <s v="모자"/>
    <s v="NOV"/>
    <s v="BA"/>
    <x v="11"/>
    <s v="NOVBAE5819"/>
    <s v="NOVBAE5819NY"/>
    <x v="0"/>
    <n v="500"/>
    <n v="22500000"/>
    <n v="2267230"/>
    <n v="9.0218219830125115"/>
    <n v="0"/>
    <n v="500"/>
  </r>
  <r>
    <x v="0"/>
    <x v="0"/>
    <s v="NOVMIE5320"/>
    <n v="1"/>
    <s v=""/>
    <n v="0"/>
    <s v="NOVMIE5320KH"/>
    <n v="1"/>
    <s v=""/>
    <n v="0"/>
    <s v="E5"/>
    <s v="모자"/>
    <s v="NOV"/>
    <s v="MI"/>
    <x v="11"/>
    <s v="NOVMIE5320"/>
    <s v="NOVMIE5320KH"/>
    <x v="0"/>
    <n v="700"/>
    <n v="34300000"/>
    <n v="3140081"/>
    <n v="9.9302591817912287"/>
    <n v="0"/>
    <n v="700"/>
  </r>
  <r>
    <x v="0"/>
    <x v="0"/>
    <s v="NOVMIE5820"/>
    <n v="1"/>
    <s v=""/>
    <n v="0"/>
    <s v="NOVMIE5820KH"/>
    <n v="1"/>
    <s v=""/>
    <n v="0"/>
    <s v="E5"/>
    <s v="모자"/>
    <s v="NOV"/>
    <s v="MI"/>
    <x v="11"/>
    <s v="NOVMIE5820"/>
    <s v="NOVMIE5820KH"/>
    <x v="0"/>
    <n v="500"/>
    <n v="22500000"/>
    <n v="2190730"/>
    <n v="9.3368628057978178"/>
    <n v="0"/>
    <n v="500"/>
  </r>
  <r>
    <x v="0"/>
    <x v="0"/>
    <s v="NOVBAE3321"/>
    <n v="1"/>
    <s v=""/>
    <n v="0"/>
    <s v="NOVBAE3321NY"/>
    <n v="1"/>
    <s v=""/>
    <n v="0"/>
    <s v="E3"/>
    <s v="모자"/>
    <s v="NOV"/>
    <s v="BA"/>
    <x v="11"/>
    <s v="NOVBAE3321"/>
    <s v="NOVBAE3321NY"/>
    <x v="0"/>
    <n v="500"/>
    <n v="22500000"/>
    <n v="2777600.0000000005"/>
    <n v="7.3641076665270191"/>
    <n v="0"/>
    <n v="500"/>
  </r>
  <r>
    <x v="0"/>
    <x v="0"/>
    <s v="VBLBAE3306"/>
    <n v="1"/>
    <s v=""/>
    <n v="0"/>
    <s v="VBLBAE3306NY"/>
    <n v="1"/>
    <s v=""/>
    <n v="0"/>
    <s v="E3"/>
    <s v="모자"/>
    <s v="VBL"/>
    <s v="BA"/>
    <x v="10"/>
    <s v="VBLBAE3306"/>
    <s v="VBLBAE3306NY"/>
    <x v="0"/>
    <n v="700"/>
    <n v="34300000"/>
    <n v="3180081.0000000005"/>
    <n v="9.8053534428268243"/>
    <n v="0"/>
    <n v="700"/>
  </r>
  <r>
    <x v="0"/>
    <x v="0"/>
    <s v="VBLBAE3309"/>
    <n v="1"/>
    <s v=""/>
    <n v="0"/>
    <s v="VBLBAE3309GR"/>
    <n v="1"/>
    <s v=""/>
    <n v="0"/>
    <s v="E3"/>
    <s v="모자"/>
    <s v="VBL"/>
    <s v="BA"/>
    <x v="10"/>
    <s v="VBLBAE3309"/>
    <s v="VBLBAE3309GR"/>
    <x v="0"/>
    <n v="500"/>
    <n v="24500000"/>
    <n v="2297715"/>
    <n v="9.6934246730892522"/>
    <n v="0"/>
    <n v="500"/>
  </r>
  <r>
    <x v="0"/>
    <x v="0"/>
    <s v="VBLBAE3310"/>
    <n v="1"/>
    <s v=""/>
    <n v="0"/>
    <s v="VBLBAE3310RE"/>
    <n v="1"/>
    <s v=""/>
    <n v="0"/>
    <s v="E3"/>
    <s v="모자"/>
    <s v="VBL"/>
    <s v="BA"/>
    <x v="10"/>
    <s v="VBLBAE3310"/>
    <s v="VBLBAE3310RE"/>
    <x v="0"/>
    <n v="500"/>
    <n v="24500000"/>
    <n v="2296830"/>
    <n v="9.6971596821389792"/>
    <n v="0"/>
    <n v="500"/>
  </r>
  <r>
    <x v="0"/>
    <x v="0"/>
    <s v="VBLBAE3311"/>
    <n v="1"/>
    <s v=""/>
    <n v="0"/>
    <s v="VBLBAE3311NY"/>
    <n v="1"/>
    <s v=""/>
    <n v="0"/>
    <s v="E3"/>
    <s v="모자"/>
    <s v="VBL"/>
    <s v="BA"/>
    <x v="10"/>
    <s v="VBLBAE3311"/>
    <s v="VBLBAE3311NY"/>
    <x v="0"/>
    <n v="700"/>
    <n v="34300000"/>
    <n v="3408681.0000000005"/>
    <n v="9.1477665941219417"/>
    <n v="0"/>
    <n v="700"/>
  </r>
  <r>
    <x v="0"/>
    <x v="0"/>
    <s v="VBLBAE3811"/>
    <n v="1"/>
    <s v=""/>
    <n v="0"/>
    <s v="VBLBAE3811NY"/>
    <n v="1"/>
    <s v=""/>
    <n v="0"/>
    <s v="E3"/>
    <s v="모자"/>
    <s v="VBL"/>
    <s v="BA"/>
    <x v="10"/>
    <s v="VBLBAE3811"/>
    <s v="VBLBAE3811NY"/>
    <x v="0"/>
    <n v="500"/>
    <n v="22500000"/>
    <n v="2411315"/>
    <n v="8.4827347130281421"/>
    <n v="0"/>
    <n v="500"/>
  </r>
  <r>
    <x v="0"/>
    <x v="0"/>
    <s v="VBLBAE3312"/>
    <n v="0.5"/>
    <s v=""/>
    <n v="0"/>
    <s v="VBLBAE3312BK"/>
    <n v="0.5"/>
    <s v=""/>
    <n v="0"/>
    <s v="E3"/>
    <s v="모자"/>
    <s v="VBL"/>
    <s v="BA"/>
    <x v="10"/>
    <s v="VBLBAE3312"/>
    <s v="VBLBAE3312BK"/>
    <x v="0"/>
    <n v="700"/>
    <n v="38500000"/>
    <n v="3613676.0000000005"/>
    <n v="9.6854283560562688"/>
    <n v="0"/>
    <n v="700"/>
  </r>
  <r>
    <x v="0"/>
    <x v="0"/>
    <s v="VBLBAE3812"/>
    <n v="0.5"/>
    <s v=""/>
    <n v="0"/>
    <s v="VBLBAE3812BK"/>
    <n v="0.5"/>
    <s v=""/>
    <n v="0"/>
    <s v="E3"/>
    <s v="모자"/>
    <s v="VBL"/>
    <s v="BA"/>
    <x v="10"/>
    <s v="VBLBAE3812"/>
    <s v="VBLBAE3812BK"/>
    <x v="0"/>
    <n v="500"/>
    <n v="26500000"/>
    <n v="2568640.0000000005"/>
    <n v="9.3788577188352917"/>
    <n v="0"/>
    <n v="500"/>
  </r>
  <r>
    <x v="0"/>
    <x v="0"/>
    <s v="VBLBAE3313"/>
    <n v="1"/>
    <s v=""/>
    <n v="0"/>
    <s v="VBLBAE3313BL"/>
    <n v="1"/>
    <s v=""/>
    <n v="0"/>
    <s v="E3"/>
    <s v="모자"/>
    <s v="VBL"/>
    <s v="BA"/>
    <x v="10"/>
    <s v="VBLBAE3313"/>
    <s v="VBLBAE3313BL"/>
    <x v="0"/>
    <n v="700"/>
    <n v="41300000"/>
    <n v="3807271.0000000005"/>
    <n v="9.861513547487041"/>
    <n v="0"/>
    <n v="700"/>
  </r>
  <r>
    <x v="0"/>
    <x v="0"/>
    <s v="VBLBAE3813"/>
    <n v="1"/>
    <s v=""/>
    <n v="0"/>
    <s v="VBLBAE3813BL"/>
    <n v="1"/>
    <s v=""/>
    <n v="0"/>
    <s v="E3"/>
    <s v="모자"/>
    <s v="VBL"/>
    <s v="BA"/>
    <x v="10"/>
    <s v="VBLBAE3813"/>
    <s v="VBLBAE3813BL"/>
    <x v="0"/>
    <n v="500"/>
    <n v="27500000"/>
    <n v="2747365.0000000005"/>
    <n v="9.0996281891921864"/>
    <n v="0"/>
    <n v="500"/>
  </r>
  <r>
    <x v="0"/>
    <x v="0"/>
    <s v="VBLBAE3305"/>
    <n v="1"/>
    <s v=""/>
    <n v="0"/>
    <s v="VBLBAE3305GY"/>
    <n v="1"/>
    <s v=""/>
    <n v="0"/>
    <s v="E3"/>
    <s v="모자"/>
    <s v="VBL"/>
    <s v="BA"/>
    <x v="10"/>
    <s v="VBLBAE3305"/>
    <s v="VBLBAE3305GY"/>
    <x v="0"/>
    <n v="700"/>
    <n v="38500000"/>
    <n v="3994425"/>
    <n v="8.7622123334397308"/>
    <n v="0"/>
    <n v="700"/>
  </r>
  <r>
    <x v="0"/>
    <x v="0"/>
    <s v="VBLBAE3307"/>
    <n v="1"/>
    <s v=""/>
    <n v="0"/>
    <s v="VBLBAE3307OR"/>
    <n v="1"/>
    <s v=""/>
    <n v="0"/>
    <s v="E3"/>
    <s v="모자"/>
    <s v="VBL"/>
    <s v="BA"/>
    <x v="10"/>
    <s v="VBLBAE3307"/>
    <s v="VBLBAE3307OR"/>
    <x v="0"/>
    <n v="500"/>
    <n v="24500000"/>
    <n v="2406915"/>
    <n v="9.2536409772373656"/>
    <n v="0"/>
    <n v="500"/>
  </r>
  <r>
    <x v="0"/>
    <x v="0"/>
    <s v="VBLBAE3308"/>
    <n v="1"/>
    <s v=""/>
    <n v="0"/>
    <s v="VBLBAE3308OR"/>
    <n v="1"/>
    <s v=""/>
    <n v="0"/>
    <s v="E3"/>
    <s v="모자"/>
    <s v="VBL"/>
    <s v="BA"/>
    <x v="10"/>
    <s v="VBLBAE3308"/>
    <s v="VBLBAE3308OR"/>
    <x v="0"/>
    <n v="700"/>
    <n v="38500000"/>
    <n v="3237022"/>
    <n v="10.812407206376724"/>
    <n v="0"/>
    <n v="700"/>
  </r>
  <r>
    <x v="0"/>
    <x v="0"/>
    <s v="VBLERE5314"/>
    <n v="1"/>
    <s v=""/>
    <n v="0"/>
    <s v="VBLERE5314BK"/>
    <n v="1"/>
    <s v=""/>
    <n v="0"/>
    <s v="E5"/>
    <s v="모자"/>
    <s v="VBL"/>
    <s v="ER"/>
    <x v="10"/>
    <s v="VBLERE5314"/>
    <s v="VBLERE5314BK"/>
    <x v="0"/>
    <n v="450"/>
    <n v="26550000"/>
    <n v="2441556"/>
    <n v="9.885648183520523"/>
    <n v="0"/>
    <n v="450"/>
  </r>
  <r>
    <x v="0"/>
    <x v="0"/>
    <s v="VBLERE5814"/>
    <n v="1"/>
    <s v=""/>
    <n v="0"/>
    <s v="VBLERE5814BK"/>
    <n v="1"/>
    <s v=""/>
    <n v="0"/>
    <s v="E5"/>
    <s v="모자"/>
    <s v="VBL"/>
    <s v="ER"/>
    <x v="10"/>
    <s v="VBLERE5814"/>
    <s v="VBLERE5814BK"/>
    <x v="0"/>
    <n v="400"/>
    <n v="22000000"/>
    <n v="2170272"/>
    <n v="9.2154347473496401"/>
    <n v="0"/>
    <n v="400"/>
  </r>
  <r>
    <x v="0"/>
    <x v="0"/>
    <s v="VBLERE5315"/>
    <n v="0.5"/>
    <s v=""/>
    <n v="0"/>
    <s v="VBLERE5315GY"/>
    <n v="0.5"/>
    <s v=""/>
    <n v="0"/>
    <s v="E5"/>
    <s v="모자"/>
    <s v="VBL"/>
    <s v="ER"/>
    <x v="10"/>
    <s v="VBLERE5315"/>
    <s v="VBLERE5315GY"/>
    <x v="0"/>
    <n v="700"/>
    <n v="45500000"/>
    <n v="4147276"/>
    <n v="9.9736878769670394"/>
    <n v="0"/>
    <n v="700"/>
  </r>
  <r>
    <x v="0"/>
    <x v="0"/>
    <s v="JILMIE5317"/>
    <n v="0.33333333333333331"/>
    <s v=""/>
    <n v="0"/>
    <s v="JILMIE5317BL"/>
    <n v="1"/>
    <s v=""/>
    <n v="0"/>
    <s v="E5"/>
    <s v="모자"/>
    <s v="JIL"/>
    <s v="MI"/>
    <x v="4"/>
    <s v="JILMIE5317"/>
    <s v="JILMIE5317BL"/>
    <x v="0"/>
    <n v="500"/>
    <n v="22500000"/>
    <n v="3246505"/>
    <n v="6.3004817348334443"/>
    <n v="0"/>
    <n v="500"/>
  </r>
  <r>
    <x v="0"/>
    <x v="0"/>
    <s v="JILMIE5317"/>
    <n v="0.33333333333333331"/>
    <s v=""/>
    <n v="0"/>
    <s v="JILMIE5317GY"/>
    <n v="1"/>
    <s v=""/>
    <n v="0"/>
    <s v="E5"/>
    <s v="모자"/>
    <s v="JIL"/>
    <s v="MI"/>
    <x v="4"/>
    <s v="JILMIE5317"/>
    <s v="JILMIE5317GY"/>
    <x v="0"/>
    <n v="700"/>
    <n v="31500000"/>
    <n v="4501707"/>
    <n v="6.3612233395828817"/>
    <n v="0"/>
    <n v="700"/>
  </r>
  <r>
    <x v="0"/>
    <x v="0"/>
    <s v="JILMIE5317"/>
    <n v="0.33333333333333331"/>
    <s v=""/>
    <n v="0"/>
    <s v="JILMIE5317KH"/>
    <n v="1"/>
    <s v=""/>
    <n v="0"/>
    <s v="E5"/>
    <s v="모자"/>
    <s v="JIL"/>
    <s v="MI"/>
    <x v="4"/>
    <s v="JILMIE5317"/>
    <s v="JILMIE5317KH"/>
    <x v="0"/>
    <n v="700"/>
    <n v="31500000"/>
    <n v="4679507"/>
    <n v="6.119525761231607"/>
    <n v="0"/>
    <n v="700"/>
  </r>
  <r>
    <x v="0"/>
    <x v="0"/>
    <s v="JILMIE5318"/>
    <n v="1"/>
    <s v=""/>
    <n v="0"/>
    <s v="JILMIE5318KH"/>
    <n v="1"/>
    <s v=""/>
    <n v="0"/>
    <s v="E5"/>
    <s v="모자"/>
    <s v="JIL"/>
    <s v="MI"/>
    <x v="4"/>
    <s v="JILMIE5318"/>
    <s v="JILMIE5318KH"/>
    <x v="0"/>
    <n v="500"/>
    <n v="19500000"/>
    <n v="2876450.0000000005"/>
    <n v="6.1628996600923784"/>
    <n v="0"/>
    <n v="500"/>
  </r>
  <r>
    <x v="0"/>
    <x v="0"/>
    <s v="JILMIE5319"/>
    <n v="1"/>
    <s v=""/>
    <n v="0"/>
    <s v="JILMIE5319GY"/>
    <n v="1"/>
    <s v=""/>
    <n v="0"/>
    <s v="E5"/>
    <s v="모자"/>
    <s v="JIL"/>
    <s v="MI"/>
    <x v="4"/>
    <s v="JILMIE5319"/>
    <s v="JILMIE5319GY"/>
    <x v="0"/>
    <n v="500"/>
    <n v="19500000"/>
    <n v="2767745.0000000005"/>
    <n v="6.4049515859563373"/>
    <n v="0"/>
    <n v="500"/>
  </r>
  <r>
    <x v="0"/>
    <x v="0"/>
    <s v="JILMIE3320"/>
    <n v="1"/>
    <s v=""/>
    <n v="0"/>
    <s v="JILMIE3320BK"/>
    <n v="1"/>
    <s v=""/>
    <n v="0"/>
    <s v="E3"/>
    <s v="모자"/>
    <s v="JIL"/>
    <s v="MI"/>
    <x v="4"/>
    <s v="JILMIE3320"/>
    <s v="JILMIE3320BK"/>
    <x v="0"/>
    <n v="500"/>
    <n v="19500000"/>
    <n v="2562820"/>
    <n v="6.9170962952032244"/>
    <n v="0"/>
    <n v="500"/>
  </r>
  <r>
    <x v="0"/>
    <x v="0"/>
    <s v="JILMIE5321"/>
    <n v="1"/>
    <s v=""/>
    <n v="0"/>
    <s v="JILMIE5321OR"/>
    <n v="1"/>
    <s v=""/>
    <n v="0"/>
    <s v="E5"/>
    <s v="모자"/>
    <s v="JIL"/>
    <s v="MI"/>
    <x v="4"/>
    <s v="JILMIE5321"/>
    <s v="JILMIE5321OR"/>
    <x v="0"/>
    <n v="500"/>
    <n v="24500000"/>
    <n v="3276890.0000000005"/>
    <n v="6.7969102633067537"/>
    <n v="0"/>
    <n v="500"/>
  </r>
  <r>
    <x v="0"/>
    <x v="0"/>
    <s v="JILMIE3322"/>
    <n v="1"/>
    <s v=""/>
    <n v="0"/>
    <s v="JILMIE3322OR"/>
    <n v="1"/>
    <s v=""/>
    <n v="0"/>
    <s v="E3"/>
    <s v="모자"/>
    <s v="JIL"/>
    <s v="MI"/>
    <x v="4"/>
    <s v="JILMIE3322"/>
    <s v="JILMIE3322OR"/>
    <x v="0"/>
    <n v="400"/>
    <n v="18000000"/>
    <n v="2626684.0000000005"/>
    <n v="6.2297696881834126"/>
    <n v="0"/>
    <n v="400"/>
  </r>
  <r>
    <x v="0"/>
    <x v="0"/>
    <s v="JILMIE3323"/>
    <n v="1"/>
    <s v=""/>
    <n v="0"/>
    <s v="JILMIE3323BL"/>
    <n v="1"/>
    <s v=""/>
    <n v="0"/>
    <s v="E3"/>
    <s v="모자"/>
    <s v="JIL"/>
    <s v="MI"/>
    <x v="4"/>
    <s v="JILMIE3323"/>
    <s v="JILMIE3323BL"/>
    <x v="0"/>
    <n v="500"/>
    <n v="22500000"/>
    <n v="2574970.0000000005"/>
    <n v="7.9436053447401127"/>
    <n v="0"/>
    <n v="500"/>
  </r>
  <r>
    <x v="0"/>
    <x v="0"/>
    <s v="JILMIE3324"/>
    <n v="1"/>
    <s v=""/>
    <n v="0"/>
    <s v="JILMIE3324YE"/>
    <n v="1"/>
    <s v=""/>
    <n v="0"/>
    <s v="E3"/>
    <s v="모자"/>
    <s v="JIL"/>
    <s v="MI"/>
    <x v="4"/>
    <s v="JILMIE3324"/>
    <s v="JILMIE3324YE"/>
    <x v="0"/>
    <n v="500"/>
    <n v="22500000"/>
    <n v="2358470.0000000005"/>
    <n v="8.6728028995685538"/>
    <n v="0"/>
    <n v="500"/>
  </r>
  <r>
    <x v="0"/>
    <x v="0"/>
    <s v="JILMIE3325"/>
    <n v="1"/>
    <s v=""/>
    <n v="0"/>
    <s v="JILMIE3325RE"/>
    <n v="1"/>
    <s v=""/>
    <n v="0"/>
    <s v="E3"/>
    <s v="모자"/>
    <s v="JIL"/>
    <s v="MI"/>
    <x v="4"/>
    <s v="JILMIE3325"/>
    <s v="JILMIE3325RE"/>
    <x v="0"/>
    <n v="500"/>
    <n v="22500000"/>
    <n v="2362470.0000000005"/>
    <n v="8.658118602371859"/>
    <n v="0"/>
    <n v="500"/>
  </r>
  <r>
    <x v="0"/>
    <x v="0"/>
    <s v="JILMIE3326"/>
    <n v="1"/>
    <s v=""/>
    <n v="0"/>
    <s v="JILMIE3326BK"/>
    <n v="1"/>
    <s v=""/>
    <n v="0"/>
    <s v="E3"/>
    <s v="모자"/>
    <s v="JIL"/>
    <s v="MI"/>
    <x v="4"/>
    <s v="JILMIE3326"/>
    <s v="JILMIE3326BK"/>
    <x v="0"/>
    <n v="400"/>
    <n v="18000000"/>
    <n v="2334376"/>
    <n v="7.0098546093844192"/>
    <n v="0"/>
    <n v="400"/>
  </r>
  <r>
    <x v="0"/>
    <x v="0"/>
    <s v="JILMIE3327"/>
    <n v="1"/>
    <s v=""/>
    <n v="0"/>
    <s v="JILMIE3327BW"/>
    <n v="1"/>
    <s v=""/>
    <n v="0"/>
    <s v="E3"/>
    <s v="모자"/>
    <s v="JIL"/>
    <s v="MI"/>
    <x v="4"/>
    <s v="JILMIE3327"/>
    <s v="JILMIE3327BW"/>
    <x v="0"/>
    <n v="500"/>
    <n v="22500000"/>
    <n v="2383470.0000000005"/>
    <n v="8.5818346589407231"/>
    <n v="0"/>
    <n v="500"/>
  </r>
  <r>
    <x v="0"/>
    <x v="0"/>
    <s v="JILMIE3339"/>
    <n v="1"/>
    <s v=""/>
    <n v="0"/>
    <s v="JILMIE3339YE"/>
    <n v="1"/>
    <s v=""/>
    <n v="0"/>
    <s v="E3"/>
    <s v="모자"/>
    <s v="JIL"/>
    <s v="MI"/>
    <x v="4"/>
    <s v="JILMIE3339"/>
    <s v="JILMIE3339YE"/>
    <x v="0"/>
    <n v="500"/>
    <n v="22500000"/>
    <n v="2452285"/>
    <n v="8.3410147901020704"/>
    <n v="0"/>
    <n v="500"/>
  </r>
  <r>
    <x v="0"/>
    <x v="0"/>
    <s v="JILERE5328"/>
    <n v="1"/>
    <s v=""/>
    <n v="0"/>
    <s v="JILERE5328KH"/>
    <n v="1"/>
    <s v=""/>
    <n v="0"/>
    <s v="E5"/>
    <s v="모자"/>
    <s v="JIL"/>
    <s v="ER"/>
    <x v="4"/>
    <s v="JILERE5328"/>
    <s v="JILERE5328KH"/>
    <x v="0"/>
    <n v="400"/>
    <n v="22000000"/>
    <n v="2418568"/>
    <n v="8.2693560817806233"/>
    <n v="0"/>
    <n v="400"/>
  </r>
  <r>
    <x v="0"/>
    <x v="0"/>
    <s v="JILERE5329"/>
    <n v="1"/>
    <s v=""/>
    <n v="0"/>
    <s v="JILERE5329NY"/>
    <n v="1"/>
    <s v=""/>
    <n v="0"/>
    <s v="E5"/>
    <s v="모자"/>
    <s v="JIL"/>
    <s v="ER"/>
    <x v="4"/>
    <s v="JILERE5329"/>
    <s v="JILERE5329NY"/>
    <x v="0"/>
    <n v="400"/>
    <n v="22000000"/>
    <n v="2403568"/>
    <n v="8.3209628352515921"/>
    <n v="0"/>
    <n v="400"/>
  </r>
  <r>
    <x v="0"/>
    <x v="0"/>
    <s v="JILERE5330"/>
    <n v="1"/>
    <s v=""/>
    <n v="0"/>
    <s v="JILERE5330NY"/>
    <n v="1"/>
    <s v=""/>
    <n v="0"/>
    <s v="E5"/>
    <s v="모자"/>
    <s v="JIL"/>
    <s v="ER"/>
    <x v="4"/>
    <s v="JILERE5330"/>
    <s v="JILERE5330NY"/>
    <x v="0"/>
    <n v="500"/>
    <n v="27500000"/>
    <n v="2967050"/>
    <n v="8.4258775551473679"/>
    <n v="0"/>
    <n v="500"/>
  </r>
  <r>
    <x v="0"/>
    <x v="0"/>
    <s v="JILERE5331"/>
    <n v="1"/>
    <s v=""/>
    <n v="0"/>
    <s v="JILERE5331BK"/>
    <n v="1"/>
    <s v=""/>
    <n v="0"/>
    <s v="E5"/>
    <s v="모자"/>
    <s v="JIL"/>
    <s v="ER"/>
    <x v="4"/>
    <s v="JILERE5331"/>
    <s v="JILERE5331BK"/>
    <x v="0"/>
    <n v="500"/>
    <n v="27500000"/>
    <n v="3255950.0000000005"/>
    <n v="7.6782505873861675"/>
    <n v="0"/>
    <n v="500"/>
  </r>
  <r>
    <x v="0"/>
    <x v="0"/>
    <s v="JILERE5332"/>
    <n v="0.5"/>
    <s v=""/>
    <n v="0"/>
    <s v="JILERE5332NY"/>
    <n v="1"/>
    <s v=""/>
    <n v="0"/>
    <s v="E5"/>
    <s v="모자"/>
    <s v="JIL"/>
    <s v="ER"/>
    <x v="4"/>
    <s v="JILERE5332"/>
    <s v="JILERE5332NY"/>
    <x v="0"/>
    <n v="400"/>
    <n v="19600000"/>
    <n v="2608992"/>
    <n v="6.8295271960135624"/>
    <n v="0"/>
    <n v="400"/>
  </r>
  <r>
    <x v="0"/>
    <x v="0"/>
    <s v="JILERE5332"/>
    <n v="0.5"/>
    <s v=""/>
    <n v="0"/>
    <s v="JILERE5332OR"/>
    <n v="1"/>
    <s v=""/>
    <n v="0"/>
    <s v="E5"/>
    <s v="모자"/>
    <s v="JIL"/>
    <s v="ER"/>
    <x v="4"/>
    <s v="JILERE5332"/>
    <s v="JILERE5332OR"/>
    <x v="0"/>
    <n v="400"/>
    <n v="19600000"/>
    <n v="2576992"/>
    <n v="6.9143333848850972"/>
    <n v="0"/>
    <n v="400"/>
  </r>
  <r>
    <x v="0"/>
    <x v="0"/>
    <s v="JILTPE5333"/>
    <n v="0.5"/>
    <s v=""/>
    <n v="0"/>
    <s v="JILTPE5333GR"/>
    <n v="1"/>
    <s v=""/>
    <n v="0"/>
    <s v="E5"/>
    <s v="모자"/>
    <s v="JIL"/>
    <s v="TP"/>
    <x v="4"/>
    <s v="JILTPE5333"/>
    <s v="JILTPE5333GR"/>
    <x v="0"/>
    <n v="500"/>
    <n v="34500000"/>
    <n v="4998385"/>
    <n v="6.2747540182751758"/>
    <n v="0"/>
    <n v="500"/>
  </r>
  <r>
    <x v="0"/>
    <x v="0"/>
    <s v="JILTPE5833"/>
    <n v="0.5"/>
    <s v=""/>
    <n v="0"/>
    <s v="JILTPE5833GR"/>
    <n v="1"/>
    <s v=""/>
    <n v="0"/>
    <s v="E5"/>
    <s v="모자"/>
    <s v="JIL"/>
    <s v="TP"/>
    <x v="4"/>
    <s v="JILTPE5833"/>
    <s v="JILTPE5833GR"/>
    <x v="0"/>
    <n v="500"/>
    <n v="32500000"/>
    <n v="4923000"/>
    <n v="6.00151422820527"/>
    <n v="0"/>
    <n v="500"/>
  </r>
  <r>
    <x v="0"/>
    <x v="0"/>
    <s v="JILTPE5333"/>
    <n v="0.5"/>
    <s v=""/>
    <n v="0"/>
    <s v="JILTPE5333RE"/>
    <n v="1"/>
    <s v=""/>
    <n v="0"/>
    <s v="E5"/>
    <s v="모자"/>
    <s v="JIL"/>
    <s v="TP"/>
    <x v="4"/>
    <s v="JILTPE5333"/>
    <s v="JILTPE5333RE"/>
    <x v="0"/>
    <n v="500"/>
    <n v="34500000"/>
    <n v="4692885"/>
    <n v="6.6832313946828794"/>
    <n v="0"/>
    <n v="500"/>
  </r>
  <r>
    <x v="0"/>
    <x v="0"/>
    <s v="JILTPE5833"/>
    <n v="0.5"/>
    <s v=""/>
    <n v="0"/>
    <s v="JILTPE5833RE"/>
    <n v="1"/>
    <s v=""/>
    <n v="0"/>
    <s v="E5"/>
    <s v="모자"/>
    <s v="JIL"/>
    <s v="TP"/>
    <x v="4"/>
    <s v="JILTPE5833"/>
    <s v="JILTPE5833RE"/>
    <x v="0"/>
    <n v="500"/>
    <n v="32500000"/>
    <n v="4630500"/>
    <n v="6.3806186255165844"/>
    <n v="0"/>
    <n v="500"/>
  </r>
  <r>
    <x v="0"/>
    <x v="0"/>
    <s v="JILTPE5334"/>
    <n v="1"/>
    <s v=""/>
    <n v="0"/>
    <s v="JILTPE5334BK"/>
    <n v="1"/>
    <s v=""/>
    <n v="0"/>
    <s v="E5"/>
    <s v="모자"/>
    <s v="JIL"/>
    <s v="TP"/>
    <x v="4"/>
    <s v="JILTPE5334"/>
    <s v="JILTPE5334BK"/>
    <x v="0"/>
    <n v="500"/>
    <n v="29500000"/>
    <n v="3921495.0000000005"/>
    <n v="6.8387647614447582"/>
    <n v="0"/>
    <n v="500"/>
  </r>
  <r>
    <x v="0"/>
    <x v="0"/>
    <s v="JILTPE5834"/>
    <n v="1"/>
    <s v=""/>
    <n v="0"/>
    <s v="JILTPE5834BK"/>
    <n v="1"/>
    <s v=""/>
    <n v="0"/>
    <s v="E5"/>
    <s v="모자"/>
    <s v="JIL"/>
    <s v="TP"/>
    <x v="4"/>
    <s v="JILTPE5834"/>
    <s v="JILTPE5834BK"/>
    <x v="0"/>
    <n v="500"/>
    <n v="27500000"/>
    <n v="3861509.9999999995"/>
    <n v="6.4741513035056233"/>
    <n v="0"/>
    <n v="500"/>
  </r>
  <r>
    <x v="0"/>
    <x v="0"/>
    <s v="JILTPE5335"/>
    <n v="1"/>
    <s v=""/>
    <n v="0"/>
    <s v="JILTPE5335KH"/>
    <n v="1"/>
    <s v=""/>
    <n v="0"/>
    <s v="E5"/>
    <s v="모자"/>
    <s v="JIL"/>
    <s v="TP"/>
    <x v="4"/>
    <s v="JILTPE5335"/>
    <s v="JILTPE5335KH"/>
    <x v="0"/>
    <n v="500"/>
    <n v="34500000"/>
    <n v="4958885"/>
    <n v="6.3247355733469046"/>
    <n v="0"/>
    <n v="500"/>
  </r>
  <r>
    <x v="0"/>
    <x v="0"/>
    <s v="JILTPE5336"/>
    <n v="1"/>
    <s v=""/>
    <n v="0"/>
    <s v="JILTPE5336GY"/>
    <n v="1"/>
    <s v=""/>
    <n v="0"/>
    <s v="E5"/>
    <s v="모자"/>
    <s v="JIL"/>
    <s v="TP"/>
    <x v="4"/>
    <s v="JILTPE5336"/>
    <s v="JILTPE5336GY"/>
    <x v="0"/>
    <n v="500"/>
    <n v="34500000"/>
    <n v="4937900"/>
    <n v="6.3516143226141404"/>
    <n v="0"/>
    <n v="500"/>
  </r>
  <r>
    <x v="0"/>
    <x v="0"/>
    <s v="JILTPE5337"/>
    <n v="1"/>
    <s v=""/>
    <n v="0"/>
    <s v="JILTPE5337BK"/>
    <n v="1"/>
    <s v=""/>
    <n v="0"/>
    <s v="E5"/>
    <s v="모자"/>
    <s v="JIL"/>
    <s v="TP"/>
    <x v="4"/>
    <s v="JILTPE5337"/>
    <s v="JILTPE5337BK"/>
    <x v="0"/>
    <n v="500"/>
    <n v="32500000"/>
    <n v="4303205"/>
    <n v="6.8659184364803778"/>
    <n v="0"/>
    <n v="500"/>
  </r>
  <r>
    <x v="0"/>
    <x v="0"/>
    <s v="JILTPE5338"/>
    <n v="1"/>
    <s v=""/>
    <n v="0"/>
    <s v="JILTPE5338BL"/>
    <n v="1"/>
    <s v=""/>
    <n v="0"/>
    <s v="E5"/>
    <s v="모자"/>
    <s v="JIL"/>
    <s v="TP"/>
    <x v="4"/>
    <s v="JILTPE5338"/>
    <s v="JILTPE5338BL"/>
    <x v="0"/>
    <n v="500"/>
    <n v="34500000"/>
    <n v="4750875"/>
    <n v="6.6016547191067678"/>
    <n v="0"/>
    <n v="500"/>
  </r>
  <r>
    <x v="0"/>
    <x v="0"/>
    <s v="NOVBAE5803"/>
    <n v="1"/>
    <s v=""/>
    <n v="0"/>
    <s v="NOVBAE5803OR"/>
    <n v="1"/>
    <s v=""/>
    <n v="0"/>
    <s v="E5"/>
    <s v="모자"/>
    <s v="NOV"/>
    <s v="BA"/>
    <x v="11"/>
    <s v="NOVBAE5803"/>
    <s v="NOVBAE5803OR"/>
    <x v="0"/>
    <n v="500"/>
    <n v="22500000"/>
    <n v="2331045"/>
    <n v="8.7748393765652128"/>
    <n v="0"/>
    <n v="500"/>
  </r>
  <r>
    <x v="0"/>
    <x v="0"/>
    <s v="NOVBAE5804"/>
    <n v="1"/>
    <s v=""/>
    <n v="0"/>
    <s v="NOVBAE5804BL"/>
    <n v="1"/>
    <s v=""/>
    <n v="0"/>
    <s v="E5"/>
    <s v="모자"/>
    <s v="NOV"/>
    <s v="BA"/>
    <x v="11"/>
    <s v="NOVBAE5804"/>
    <s v="NOVBAE5804BL"/>
    <x v="0"/>
    <n v="500"/>
    <n v="22500000"/>
    <n v="2243675"/>
    <n v="9.1165366884889547"/>
    <n v="0"/>
    <n v="500"/>
  </r>
  <r>
    <x v="1"/>
    <x v="0"/>
    <s v="ELSFIE3001"/>
    <n v="1"/>
    <s v=""/>
    <n v="0"/>
    <s v="ELSFIE3001BK"/>
    <n v="1"/>
    <s v=""/>
    <n v="0"/>
    <s v="E3"/>
    <s v="모자"/>
    <s v="ELS"/>
    <s v="FI"/>
    <x v="3"/>
    <s v="ELSFIE3001"/>
    <s v="ELSFIE3001BK"/>
    <x v="0"/>
    <n v="5000"/>
    <n v="245000000"/>
    <n v="27820000"/>
    <n v="8.0060126789098742"/>
    <n v="0"/>
    <n v="5000"/>
  </r>
  <r>
    <x v="1"/>
    <x v="0"/>
    <s v="ELSFIE3661"/>
    <n v="1"/>
    <s v=""/>
    <n v="0"/>
    <s v="ELSFIE3661BK"/>
    <n v="1"/>
    <s v=""/>
    <n v="0"/>
    <s v="E3"/>
    <s v="모자"/>
    <s v="ELS"/>
    <s v="FI"/>
    <x v="3"/>
    <s v="ELSFIE3661"/>
    <s v="ELSFIE3661BK"/>
    <x v="0"/>
    <n v="3000"/>
    <n v="129000000"/>
    <n v="14613000"/>
    <n v="8.0252328250685867"/>
    <n v="0"/>
    <n v="3000"/>
  </r>
  <r>
    <x v="1"/>
    <x v="0"/>
    <s v="ELSUME3014"/>
    <n v="0.5"/>
    <s v=""/>
    <n v="0"/>
    <s v="ELSUME3014PK"/>
    <n v="1"/>
    <s v=""/>
    <n v="0"/>
    <s v="E3"/>
    <s v="모자"/>
    <s v="ELS"/>
    <s v="UM"/>
    <x v="3"/>
    <s v="ELSUME3014"/>
    <s v="ELSUME3014PK"/>
    <x v="0"/>
    <n v="1500"/>
    <n v="67500000"/>
    <n v="8086125"/>
    <n v="7.5887568351511216"/>
    <n v="0"/>
    <n v="1500"/>
  </r>
  <r>
    <x v="1"/>
    <x v="0"/>
    <s v="NOVMIE3102"/>
    <n v="0.33333333333333331"/>
    <s v=""/>
    <n v="0"/>
    <s v="NOVMIE3102GR"/>
    <n v="1"/>
    <s v=""/>
    <n v="0"/>
    <s v="E3"/>
    <s v="모자"/>
    <s v="NOV"/>
    <s v="MI"/>
    <x v="11"/>
    <s v="NOVMIE3102"/>
    <s v="NOVMIE3102GR"/>
    <x v="0"/>
    <n v="700"/>
    <n v="34300000"/>
    <n v="4772831.0000000009"/>
    <n v="6.5331913453080936"/>
    <n v="0"/>
    <n v="700"/>
  </r>
  <r>
    <x v="1"/>
    <x v="0"/>
    <s v="PLAUME3003"/>
    <n v="1"/>
    <s v=""/>
    <n v="0"/>
    <s v="PLAUME3003BW"/>
    <n v="1"/>
    <s v=""/>
    <n v="0"/>
    <s v="E3"/>
    <s v="모자"/>
    <s v="PLA"/>
    <s v="UM"/>
    <x v="16"/>
    <s v="PLAUME3003"/>
    <s v="PLAUME3003BW"/>
    <x v="0"/>
    <n v="700"/>
    <n v="41300000"/>
    <n v="5151762.0000000009"/>
    <n v="7.2878860757648622"/>
    <n v="700"/>
    <n v="0"/>
  </r>
  <r>
    <x v="1"/>
    <x v="0"/>
    <s v="ELSBPE3601"/>
    <n v="0.5"/>
    <s v=""/>
    <n v="0"/>
    <s v="ELSBPE3601BK"/>
    <n v="1"/>
    <s v=""/>
    <n v="0"/>
    <s v="E3"/>
    <s v="가방"/>
    <s v="ELS"/>
    <s v="BP"/>
    <x v="0"/>
    <s v="ELSBPE3601"/>
    <s v="ELSBPE3601BK"/>
    <x v="0"/>
    <n v="1000"/>
    <n v="109000000"/>
    <n v="22920000"/>
    <n v="4.3233380929715999"/>
    <n v="990"/>
    <n v="0"/>
  </r>
  <r>
    <x v="1"/>
    <x v="0"/>
    <s v="ELSBPE3601"/>
    <n v="0.5"/>
    <s v=""/>
    <n v="0"/>
    <s v="ELSBPE3601BL"/>
    <n v="1"/>
    <s v=""/>
    <n v="0"/>
    <s v="E3"/>
    <s v="가방"/>
    <s v="ELS"/>
    <s v="BP"/>
    <x v="0"/>
    <s v="ELSBPE3601"/>
    <s v="ELSBPE3601BL"/>
    <x v="0"/>
    <n v="500"/>
    <n v="54500000"/>
    <n v="11460000"/>
    <n v="4.3233380929715999"/>
    <n v="510"/>
    <n v="0"/>
  </r>
  <r>
    <x v="1"/>
    <x v="0"/>
    <s v="ELSBPE3603"/>
    <n v="0.5"/>
    <s v=""/>
    <n v="0"/>
    <s v="ELSBPE3603PK"/>
    <n v="1"/>
    <s v=""/>
    <n v="0"/>
    <s v="E3"/>
    <s v="가방"/>
    <s v="ELS"/>
    <s v="BP"/>
    <x v="0"/>
    <s v="ELSBPE3603"/>
    <s v="ELSBPE3603PK"/>
    <x v="0"/>
    <n v="500"/>
    <n v="54500000"/>
    <n v="11460000"/>
    <n v="4.3233380929715999"/>
    <n v="500"/>
    <n v="0"/>
  </r>
  <r>
    <x v="1"/>
    <x v="0"/>
    <s v="ELSBPE3611"/>
    <n v="0.33333333333333331"/>
    <s v=""/>
    <n v="0"/>
    <s v="ELSBPE3611BK"/>
    <n v="1"/>
    <s v=""/>
    <n v="0"/>
    <s v="E3"/>
    <s v="가방"/>
    <s v="ELS"/>
    <s v="BP"/>
    <x v="0"/>
    <s v="ELSBPE3611"/>
    <s v="ELSBPE3611BK"/>
    <x v="0"/>
    <n v="500"/>
    <n v="49500000"/>
    <n v="10010000"/>
    <n v="4.4955044955044956"/>
    <n v="500"/>
    <n v="0"/>
  </r>
  <r>
    <x v="1"/>
    <x v="0"/>
    <s v="ELSBPE3611"/>
    <n v="0.33333333333333331"/>
    <s v=""/>
    <n v="0"/>
    <s v="ELSBPE3611BL"/>
    <n v="1"/>
    <s v=""/>
    <n v="0"/>
    <s v="E3"/>
    <s v="가방"/>
    <s v="ELS"/>
    <s v="BP"/>
    <x v="0"/>
    <s v="ELSBPE3611"/>
    <s v="ELSBPE3611BL"/>
    <x v="0"/>
    <n v="500"/>
    <n v="49500000"/>
    <n v="10010000"/>
    <n v="4.4955044955044956"/>
    <n v="500"/>
    <n v="0"/>
  </r>
  <r>
    <x v="1"/>
    <x v="0"/>
    <s v="ELSBPE3613"/>
    <n v="1"/>
    <s v=""/>
    <n v="0"/>
    <s v="ELSBPE3613GR"/>
    <n v="1"/>
    <s v=""/>
    <n v="0"/>
    <s v="E3"/>
    <s v="가방"/>
    <s v="ELS"/>
    <s v="BP"/>
    <x v="0"/>
    <s v="ELSBPE3613"/>
    <s v="ELSBPE3613GR"/>
    <x v="0"/>
    <n v="500"/>
    <n v="49500000"/>
    <n v="10460000"/>
    <n v="4.3021032504780115"/>
    <n v="500"/>
    <n v="0"/>
  </r>
  <r>
    <x v="0"/>
    <x v="0"/>
    <s v="ELSSBE3801"/>
    <n v="0.33333333333333331"/>
    <s v=""/>
    <n v="0"/>
    <s v="ELSSBE3801BK"/>
    <n v="0.5"/>
    <s v=""/>
    <n v="0"/>
    <s v="E3"/>
    <s v="가방"/>
    <s v="ELS"/>
    <s v="SB"/>
    <x v="0"/>
    <s v="ELSSBE3801"/>
    <s v="ELSSBE3801BK"/>
    <x v="0"/>
    <n v="500"/>
    <n v="22500000"/>
    <n v="5010000"/>
    <n v="4.0827436037016875"/>
    <n v="500"/>
    <n v="0"/>
  </r>
  <r>
    <x v="1"/>
    <x v="1"/>
    <s v=""/>
    <n v="0"/>
    <s v="VBLBAE3216"/>
    <n v="0.25"/>
    <s v=""/>
    <n v="0"/>
    <s v="VBLBAE3216BK"/>
    <n v="0.5"/>
    <s v="E3"/>
    <s v="모자"/>
    <s v="VBL"/>
    <s v="BA"/>
    <x v="10"/>
    <s v="VBLBAE3216"/>
    <s v="VBLBAE3216BK"/>
    <x v="0"/>
    <n v="3000"/>
    <n v="147000000"/>
    <n v="25560000"/>
    <n v="5.2283397353819883"/>
    <n v="3000"/>
    <n v="0"/>
  </r>
  <r>
    <x v="1"/>
    <x v="0"/>
    <s v="BMDBAE3202"/>
    <n v="0.25"/>
    <s v=""/>
    <n v="0"/>
    <s v="BMDBAE3202BK"/>
    <n v="1"/>
    <s v=""/>
    <n v="0"/>
    <s v="E3"/>
    <s v="모자"/>
    <s v="BMD"/>
    <s v="BA"/>
    <x v="18"/>
    <s v="BMDBAE3202"/>
    <s v="BMDBAE3202BK"/>
    <x v="0"/>
    <n v="1000"/>
    <n v="55000000"/>
    <n v="9020000"/>
    <n v="5.5432372505543235"/>
    <n v="497"/>
    <n v="503"/>
  </r>
  <r>
    <x v="1"/>
    <x v="0"/>
    <s v="BMDBAE3202"/>
    <n v="0.25"/>
    <s v=""/>
    <n v="0"/>
    <s v="BMDBAE3202PK"/>
    <n v="1"/>
    <s v=""/>
    <n v="0"/>
    <s v="E3"/>
    <s v="모자"/>
    <s v="BMD"/>
    <s v="BA"/>
    <x v="18"/>
    <s v="BMDBAE3202"/>
    <s v="BMDBAE3202PK"/>
    <x v="0"/>
    <n v="1000"/>
    <n v="55000000"/>
    <n v="9020000"/>
    <n v="5.5432372505543235"/>
    <n v="499"/>
    <n v="501"/>
  </r>
  <r>
    <x v="0"/>
    <x v="0"/>
    <s v="HCUMIE3304"/>
    <n v="1"/>
    <s v=""/>
    <n v="0"/>
    <s v="HCUMIE3304BK"/>
    <n v="1"/>
    <s v=""/>
    <n v="0"/>
    <s v="E3"/>
    <s v="모자"/>
    <s v="HCU"/>
    <s v="MI"/>
    <x v="12"/>
    <s v="HCUMIE3304"/>
    <s v="HCUMIE3304BK"/>
    <x v="0"/>
    <n v="1000"/>
    <n v="49000000"/>
    <n v="5938470"/>
    <n v="7.5011668907066191"/>
    <n v="0"/>
    <n v="1000"/>
  </r>
  <r>
    <x v="0"/>
    <x v="0"/>
    <s v="HCUMIE3305"/>
    <n v="1"/>
    <s v=""/>
    <n v="0"/>
    <s v="HCUMIE3305NY"/>
    <n v="1"/>
    <s v=""/>
    <n v="0"/>
    <s v="E3"/>
    <s v="모자"/>
    <s v="HCU"/>
    <s v="MI"/>
    <x v="12"/>
    <s v="HCUMIE3305"/>
    <s v="HCUMIE3305NY"/>
    <x v="0"/>
    <n v="800"/>
    <n v="44000000"/>
    <n v="7126060.0000000009"/>
    <n v="5.6132000011226388"/>
    <n v="0"/>
    <n v="800"/>
  </r>
  <r>
    <x v="0"/>
    <x v="0"/>
    <s v="HCUMIE3306"/>
    <n v="0.5"/>
    <s v=""/>
    <n v="0"/>
    <s v="HCUMIE3306KH"/>
    <n v="1"/>
    <s v=""/>
    <n v="0"/>
    <s v="E3"/>
    <s v="모자"/>
    <s v="HCU"/>
    <s v="MI"/>
    <x v="12"/>
    <s v="HCUMIE3306"/>
    <s v="HCUMIE3306KH"/>
    <x v="0"/>
    <n v="800"/>
    <n v="44000000"/>
    <n v="7517256.0000000009"/>
    <n v="5.3210905681541236"/>
    <n v="0"/>
    <n v="800"/>
  </r>
  <r>
    <x v="0"/>
    <x v="0"/>
    <s v="HCUMIE3306"/>
    <n v="0.5"/>
    <s v=""/>
    <n v="0"/>
    <s v="HCUMIE3306BK"/>
    <n v="1"/>
    <s v=""/>
    <n v="0"/>
    <s v="E3"/>
    <s v="모자"/>
    <s v="HCU"/>
    <s v="MI"/>
    <x v="12"/>
    <s v="HCUMIE3306"/>
    <s v="HCUMIE3306BK"/>
    <x v="0"/>
    <n v="800"/>
    <n v="44000000"/>
    <n v="7517256.0000000009"/>
    <n v="5.3210905681541236"/>
    <n v="0"/>
    <n v="800"/>
  </r>
  <r>
    <x v="0"/>
    <x v="0"/>
    <s v="HCUMIE3307"/>
    <n v="1"/>
    <s v=""/>
    <n v="0"/>
    <s v="HCUMIE3307GY"/>
    <n v="1"/>
    <s v=""/>
    <n v="0"/>
    <s v="E3"/>
    <s v="모자"/>
    <s v="HCU"/>
    <s v="MI"/>
    <x v="12"/>
    <s v="HCUMIE3307"/>
    <s v="HCUMIE3307GY"/>
    <x v="0"/>
    <n v="800"/>
    <n v="44000000"/>
    <n v="7236176.0000000009"/>
    <n v="5.5277815243852544"/>
    <n v="0"/>
    <n v="800"/>
  </r>
  <r>
    <x v="0"/>
    <x v="0"/>
    <s v="HCUERE5308"/>
    <n v="0.5"/>
    <s v=""/>
    <n v="0"/>
    <s v="HCUERE5308KH"/>
    <n v="1"/>
    <s v=""/>
    <n v="0"/>
    <s v="E5"/>
    <s v="모자"/>
    <s v="HCU"/>
    <s v="ER"/>
    <x v="12"/>
    <s v="HCUERE5308"/>
    <s v="HCUERE5308KH"/>
    <x v="0"/>
    <n v="800"/>
    <n v="47200000"/>
    <n v="6631792.0000000009"/>
    <n v="6.4702106020651575"/>
    <n v="0"/>
    <n v="800"/>
  </r>
  <r>
    <x v="0"/>
    <x v="0"/>
    <s v="HCUERE5308"/>
    <n v="0.5"/>
    <s v=""/>
    <n v="0"/>
    <s v="HCUERE5308BK"/>
    <n v="1"/>
    <s v=""/>
    <n v="0"/>
    <s v="E5"/>
    <s v="모자"/>
    <s v="HCU"/>
    <s v="ER"/>
    <x v="12"/>
    <s v="HCUERE5308"/>
    <s v="HCUERE5308BK"/>
    <x v="0"/>
    <n v="800"/>
    <n v="47200000"/>
    <n v="6813792.0000000009"/>
    <n v="6.2973878435225048"/>
    <n v="0"/>
    <n v="800"/>
  </r>
  <r>
    <x v="0"/>
    <x v="0"/>
    <s v="PLAUME3301"/>
    <n v="1"/>
    <s v=""/>
    <n v="0"/>
    <s v="PLAUME3301BL"/>
    <n v="1"/>
    <s v=""/>
    <n v="0"/>
    <s v="E3"/>
    <s v="모자"/>
    <s v="PLA"/>
    <s v="UM"/>
    <x v="16"/>
    <s v="PLAUME3301"/>
    <s v="PLAUME3301BL"/>
    <x v="0"/>
    <n v="700"/>
    <n v="45500000"/>
    <n v="6112260.0000000009"/>
    <n v="6.7673227846388002"/>
    <n v="0"/>
    <n v="700"/>
  </r>
  <r>
    <x v="0"/>
    <x v="0"/>
    <s v="PLAUME3302"/>
    <n v="1"/>
    <s v=""/>
    <n v="0"/>
    <s v="PLAUME3302PK"/>
    <n v="1"/>
    <s v=""/>
    <n v="0"/>
    <s v="E3"/>
    <s v="모자"/>
    <s v="PLA"/>
    <s v="UM"/>
    <x v="16"/>
    <s v="PLAUME3302"/>
    <s v="PLAUME3302PK"/>
    <x v="0"/>
    <n v="700"/>
    <n v="45500000"/>
    <n v="6112260.0000000009"/>
    <n v="6.7673227846388002"/>
    <n v="0"/>
    <n v="700"/>
  </r>
  <r>
    <x v="1"/>
    <x v="0"/>
    <s v="VBLBAE5113"/>
    <n v="1"/>
    <s v=""/>
    <n v="0"/>
    <s v="VBLBAE5113RE"/>
    <n v="1"/>
    <s v=""/>
    <n v="0"/>
    <s v="E5"/>
    <s v="모자"/>
    <s v="VBL"/>
    <s v="BA"/>
    <x v="10"/>
    <s v="VBLBAE5113"/>
    <s v="VBLBAE5113RE"/>
    <x v="0"/>
    <n v="1500"/>
    <n v="82500000"/>
    <n v="5549745.0000000009"/>
    <n v="13.514134433203683"/>
    <n v="0"/>
    <n v="1500"/>
  </r>
  <r>
    <x v="1"/>
    <x v="0"/>
    <s v="VBLBAE5106"/>
    <n v="1"/>
    <s v=""/>
    <n v="0"/>
    <s v="VBLBAE5106BK"/>
    <n v="1"/>
    <s v=""/>
    <n v="0"/>
    <s v="E5"/>
    <s v="모자"/>
    <s v="VBL"/>
    <s v="BA"/>
    <x v="10"/>
    <s v="VBLBAE5106"/>
    <s v="VBLBAE5106BK"/>
    <x v="0"/>
    <n v="1000"/>
    <n v="55000000"/>
    <n v="3824570"/>
    <n v="13.073365110326128"/>
    <n v="0"/>
    <n v="1000"/>
  </r>
  <r>
    <x v="1"/>
    <x v="0"/>
    <s v="ELSTPE5148"/>
    <n v="1"/>
    <s v=""/>
    <n v="0"/>
    <s v="ELSTPE5148NY"/>
    <n v="1"/>
    <s v=""/>
    <n v="0"/>
    <s v="E5"/>
    <s v="모자"/>
    <s v="ELS"/>
    <s v="TP"/>
    <x v="3"/>
    <s v="ELSTPE5148"/>
    <s v="ELSTPE5148NY"/>
    <x v="0"/>
    <n v="1200"/>
    <n v="78000000"/>
    <n v="5861832"/>
    <n v="12.096745677646664"/>
    <n v="0"/>
    <n v="1200"/>
  </r>
  <r>
    <x v="1"/>
    <x v="0"/>
    <s v="ELSTPE5648"/>
    <n v="0.5"/>
    <s v=""/>
    <n v="0"/>
    <s v="ELSTPE5648NY"/>
    <n v="1"/>
    <s v=""/>
    <n v="0"/>
    <s v="E5"/>
    <s v="모자"/>
    <s v="ELS"/>
    <s v="TP"/>
    <x v="3"/>
    <s v="ELSTPE5648"/>
    <s v="ELSTPE5648NY"/>
    <x v="0"/>
    <n v="1200"/>
    <n v="70800000"/>
    <n v="5861832"/>
    <n v="10.98012299971005"/>
    <n v="0"/>
    <n v="1200"/>
  </r>
  <r>
    <x v="1"/>
    <x v="0"/>
    <s v="ELSTPE5648"/>
    <n v="0.5"/>
    <s v=""/>
    <n v="0"/>
    <s v="ELSTPE5648PK"/>
    <n v="1"/>
    <s v=""/>
    <n v="0"/>
    <s v="E5"/>
    <s v="모자"/>
    <s v="ELS"/>
    <s v="TP"/>
    <x v="3"/>
    <s v="ELSTPE5648"/>
    <s v="ELSTPE5648PK"/>
    <x v="0"/>
    <n v="1200"/>
    <n v="70800000"/>
    <n v="5861832"/>
    <n v="10.98012299971005"/>
    <n v="0"/>
    <n v="1200"/>
  </r>
  <r>
    <x v="1"/>
    <x v="0"/>
    <s v="ELSFIE5647"/>
    <n v="1"/>
    <s v=""/>
    <n v="0"/>
    <s v="ELSFIE5647BK"/>
    <n v="1"/>
    <s v=""/>
    <n v="0"/>
    <s v="E5"/>
    <s v="모자"/>
    <s v="ELS"/>
    <s v="FI"/>
    <x v="3"/>
    <s v="ELSFIE5647"/>
    <s v="ELSFIE5647BK"/>
    <x v="0"/>
    <n v="700"/>
    <n v="37100000"/>
    <n v="9100000"/>
    <n v="3.7062937062937062"/>
    <n v="0"/>
    <n v="700"/>
  </r>
  <r>
    <x v="0"/>
    <x v="0"/>
    <s v="PLATLE5301"/>
    <n v="1"/>
    <s v=""/>
    <n v="0"/>
    <s v="PLATLE5301BK"/>
    <n v="1"/>
    <s v=""/>
    <n v="0"/>
    <s v="E5"/>
    <s v="의류"/>
    <s v="PLA"/>
    <s v="TL"/>
    <x v="19"/>
    <s v="PLATLE5301"/>
    <s v="PLATLE5301BK"/>
    <x v="0"/>
    <n v="1200"/>
    <n v="118800000"/>
    <n v="29130000"/>
    <n v="3.7075180226570543"/>
    <n v="0"/>
    <n v="1200"/>
  </r>
  <r>
    <x v="0"/>
    <x v="0"/>
    <s v="PLATLE5801"/>
    <n v="1"/>
    <s v=""/>
    <n v="0"/>
    <s v="PLATLE5801BK"/>
    <n v="1"/>
    <s v=""/>
    <n v="0"/>
    <s v="E5"/>
    <s v="의류"/>
    <s v="PLA"/>
    <s v="TL"/>
    <x v="19"/>
    <s v="PLATLE5801"/>
    <s v="PLATLE5801BK"/>
    <x v="0"/>
    <n v="1000"/>
    <n v="89000000"/>
    <n v="20579000"/>
    <n v="3.9316337484372861"/>
    <n v="0"/>
    <n v="1000"/>
  </r>
  <r>
    <x v="0"/>
    <x v="0"/>
    <s v="PLATLE5302"/>
    <n v="1"/>
    <s v=""/>
    <n v="0"/>
    <s v="PLATLE5302BK"/>
    <n v="1"/>
    <s v=""/>
    <n v="0"/>
    <s v="E5"/>
    <s v="의류"/>
    <s v="PLA"/>
    <s v="TL"/>
    <x v="19"/>
    <s v="PLATLE5302"/>
    <s v="PLATLE5302BK"/>
    <x v="0"/>
    <n v="1200"/>
    <n v="106800000"/>
    <n v="20814000"/>
    <n v="4.6646924709767026"/>
    <n v="0"/>
    <n v="1200"/>
  </r>
  <r>
    <x v="0"/>
    <x v="0"/>
    <s v="PLATLE5802"/>
    <n v="1"/>
    <s v=""/>
    <n v="0"/>
    <s v="PLATLE5802BK"/>
    <n v="1"/>
    <s v=""/>
    <n v="0"/>
    <s v="E5"/>
    <s v="의류"/>
    <s v="PLA"/>
    <s v="TL"/>
    <x v="19"/>
    <s v="PLATLE5802"/>
    <s v="PLATLE5802BK"/>
    <x v="0"/>
    <n v="1000"/>
    <n v="79000000"/>
    <n v="15843500"/>
    <n v="4.5329745206666345"/>
    <n v="0"/>
    <n v="1000"/>
  </r>
  <r>
    <x v="0"/>
    <x v="0"/>
    <s v="PLAJPE5305"/>
    <n v="1"/>
    <s v=""/>
    <n v="0"/>
    <s v="PLAJPE5305BK"/>
    <n v="1"/>
    <s v=""/>
    <n v="0"/>
    <s v="E5"/>
    <s v="의류"/>
    <s v="PLA"/>
    <s v="JP"/>
    <x v="19"/>
    <s v="PLAJPE5305"/>
    <s v="PLAJPE5305BK"/>
    <x v="0"/>
    <n v="1000"/>
    <n v="199000000"/>
    <n v="40445000"/>
    <n v="4.4729655311927532"/>
    <n v="0"/>
    <n v="1000"/>
  </r>
  <r>
    <x v="0"/>
    <x v="0"/>
    <s v="PLAJPE5306"/>
    <n v="1"/>
    <s v=""/>
    <n v="0"/>
    <s v="PLAJPE5306BK"/>
    <n v="1"/>
    <s v=""/>
    <n v="0"/>
    <s v="E5"/>
    <s v="의류"/>
    <s v="PLA"/>
    <s v="JP"/>
    <x v="19"/>
    <s v="PLAJPE5306"/>
    <s v="PLAJPE5306BK"/>
    <x v="0"/>
    <n v="1200"/>
    <n v="226800000"/>
    <n v="45623400"/>
    <n v="4.5192120311466955"/>
    <n v="0"/>
    <n v="1200"/>
  </r>
  <r>
    <x v="0"/>
    <x v="0"/>
    <s v="PLAJPE5806"/>
    <n v="1"/>
    <s v=""/>
    <n v="0"/>
    <s v="PLAJPE5806BK"/>
    <n v="1"/>
    <s v=""/>
    <n v="0"/>
    <s v="E5"/>
    <s v="의류"/>
    <s v="PLA"/>
    <s v="JP"/>
    <x v="19"/>
    <s v="PLAJPE5806"/>
    <s v="PLAJPE5806BK"/>
    <x v="0"/>
    <n v="800"/>
    <n v="143200000"/>
    <n v="28198000"/>
    <n v="4.6167039570827066"/>
    <n v="0"/>
    <n v="800"/>
  </r>
  <r>
    <x v="0"/>
    <x v="0"/>
    <s v="PLATLE5303"/>
    <n v="1"/>
    <s v=""/>
    <n v="0"/>
    <s v="PLATLE5303BK"/>
    <n v="1"/>
    <s v=""/>
    <n v="0"/>
    <s v="E5"/>
    <s v="의류"/>
    <s v="PLA"/>
    <s v="TL"/>
    <x v="19"/>
    <s v="PLATLE5303"/>
    <s v="PLATLE5303BK"/>
    <x v="0"/>
    <n v="1200"/>
    <n v="118800000"/>
    <n v="26064000"/>
    <n v="4.1436464088397784"/>
    <n v="0"/>
    <n v="1200"/>
  </r>
  <r>
    <x v="0"/>
    <x v="0"/>
    <s v="PLATLE5304"/>
    <n v="1"/>
    <s v=""/>
    <n v="0"/>
    <s v="PLATLE5304RE"/>
    <n v="1"/>
    <s v=""/>
    <n v="0"/>
    <s v="E5"/>
    <s v="의류"/>
    <s v="PLA"/>
    <s v="TL"/>
    <x v="19"/>
    <s v="PLATLE5304"/>
    <s v="PLATLE5304RE"/>
    <x v="0"/>
    <n v="1000"/>
    <n v="99000000"/>
    <n v="23320000"/>
    <n v="3.85934819897084"/>
    <n v="0"/>
    <n v="1000"/>
  </r>
  <r>
    <x v="0"/>
    <x v="0"/>
    <s v="PLATLE5804"/>
    <n v="1"/>
    <s v=""/>
    <n v="0"/>
    <s v="PLATLE5804RE"/>
    <n v="1"/>
    <s v=""/>
    <n v="0"/>
    <s v="E5"/>
    <s v="의류"/>
    <s v="PLA"/>
    <s v="TL"/>
    <x v="19"/>
    <s v="PLATLE5804"/>
    <s v="PLATLE5804RE"/>
    <x v="0"/>
    <n v="1000"/>
    <n v="89000000"/>
    <n v="21320000"/>
    <n v="3.7949855023025747"/>
    <n v="0"/>
    <n v="1000"/>
  </r>
  <r>
    <x v="0"/>
    <x v="0"/>
    <s v="PLAJPE5307"/>
    <n v="1"/>
    <s v=""/>
    <n v="0"/>
    <s v="PLAJPE5307BL"/>
    <n v="1"/>
    <s v=""/>
    <n v="0"/>
    <s v="E5"/>
    <s v="의류"/>
    <s v="PLA"/>
    <s v="JP"/>
    <x v="19"/>
    <s v="PLAJPE5307"/>
    <s v="PLAJPE5307BL"/>
    <x v="0"/>
    <n v="1000"/>
    <n v="189000000"/>
    <n v="41820000"/>
    <n v="4.1085170209990869"/>
    <n v="0"/>
    <n v="1000"/>
  </r>
  <r>
    <x v="0"/>
    <x v="0"/>
    <s v="PLAJPE5807"/>
    <n v="1"/>
    <s v=""/>
    <n v="0"/>
    <s v="PLAJPE5807BL"/>
    <n v="1"/>
    <s v=""/>
    <n v="0"/>
    <s v="E5"/>
    <s v="의류"/>
    <s v="PLA"/>
    <s v="JP"/>
    <x v="19"/>
    <s v="PLAJPE5807"/>
    <s v="PLAJPE5807BL"/>
    <x v="0"/>
    <n v="800"/>
    <n v="143200000"/>
    <n v="31776000"/>
    <n v="4.096859837041106"/>
    <n v="0"/>
    <n v="800"/>
  </r>
  <r>
    <x v="0"/>
    <x v="0"/>
    <s v="ELSTLE5307"/>
    <n v="1"/>
    <s v=""/>
    <n v="0"/>
    <s v="ELSTLE5307RE"/>
    <n v="1"/>
    <s v=""/>
    <n v="0"/>
    <s v="E5"/>
    <s v="의류"/>
    <s v="ELS"/>
    <s v="TL"/>
    <x v="14"/>
    <s v="ELSTLE5307"/>
    <s v="ELSTLE5307RE"/>
    <x v="0"/>
    <n v="1200"/>
    <n v="94800000"/>
    <n v="22167137.999999996"/>
    <n v="3.8878189048048597"/>
    <n v="0"/>
    <n v="1200"/>
  </r>
  <r>
    <x v="0"/>
    <x v="0"/>
    <s v="ELSTLE5807"/>
    <n v="1"/>
    <s v=""/>
    <n v="0"/>
    <s v="ELSTLE5807RE"/>
    <n v="1"/>
    <s v=""/>
    <n v="0"/>
    <s v="E5"/>
    <s v="의류"/>
    <s v="ELS"/>
    <s v="TL"/>
    <x v="14"/>
    <s v="ELSTLE5807"/>
    <s v="ELSTLE5807RE"/>
    <x v="0"/>
    <n v="1200"/>
    <n v="82800000"/>
    <n v="19348014"/>
    <n v="3.8904627251524246"/>
    <n v="0"/>
    <n v="1200"/>
  </r>
  <r>
    <x v="0"/>
    <x v="0"/>
    <s v="ELSTLE5308"/>
    <n v="1"/>
    <s v=""/>
    <n v="0"/>
    <s v="ELSTLE5308BK"/>
    <n v="1"/>
    <s v=""/>
    <n v="0"/>
    <s v="E5"/>
    <s v="의류"/>
    <s v="ELS"/>
    <s v="TL"/>
    <x v="14"/>
    <s v="ELSTLE5308"/>
    <s v="ELSTLE5308BK"/>
    <x v="0"/>
    <n v="1200"/>
    <n v="94800000"/>
    <n v="20914194"/>
    <n v="4.1207334206528916"/>
    <n v="0"/>
    <n v="1200"/>
  </r>
  <r>
    <x v="0"/>
    <x v="0"/>
    <s v="ELSTLE5808"/>
    <n v="1"/>
    <s v=""/>
    <n v="0"/>
    <s v="ELSTLE5808BK"/>
    <n v="1"/>
    <s v=""/>
    <n v="0"/>
    <s v="E5"/>
    <s v="의류"/>
    <s v="ELS"/>
    <s v="TL"/>
    <x v="14"/>
    <s v="ELSTLE5808"/>
    <s v="ELSTLE5808BK"/>
    <x v="0"/>
    <n v="1500"/>
    <n v="103500000"/>
    <n v="22618837.5"/>
    <n v="4.1598472552317984"/>
    <n v="0"/>
    <n v="1500"/>
  </r>
  <r>
    <x v="0"/>
    <x v="0"/>
    <s v="ELSTLE5309"/>
    <n v="1"/>
    <s v=""/>
    <n v="0"/>
    <s v="ELSTLE5309YE"/>
    <n v="1"/>
    <s v=""/>
    <n v="0"/>
    <s v="E5"/>
    <s v="의류"/>
    <s v="ELS"/>
    <s v="TL"/>
    <x v="14"/>
    <s v="ELSTLE5309"/>
    <s v="ELSTLE5309YE"/>
    <x v="0"/>
    <n v="1200"/>
    <n v="94800000"/>
    <n v="20906804.999999996"/>
    <n v="4.1221897933145781"/>
    <n v="0"/>
    <n v="1200"/>
  </r>
  <r>
    <x v="0"/>
    <x v="0"/>
    <s v="ELSTLE5809"/>
    <n v="1"/>
    <s v=""/>
    <n v="0"/>
    <s v="ELSTLE5809YE"/>
    <n v="1"/>
    <s v=""/>
    <n v="0"/>
    <s v="E5"/>
    <s v="의류"/>
    <s v="ELS"/>
    <s v="TL"/>
    <x v="14"/>
    <s v="ELSTLE5809"/>
    <s v="ELSTLE5809YE"/>
    <x v="0"/>
    <n v="1500"/>
    <n v="103500000"/>
    <n v="22590024"/>
    <n v="4.1651531264822506"/>
    <n v="0"/>
    <n v="1500"/>
  </r>
  <r>
    <x v="0"/>
    <x v="0"/>
    <s v="ELSTHE5312"/>
    <n v="1"/>
    <s v=""/>
    <n v="0"/>
    <s v="ELSTHE5312PK"/>
    <n v="1"/>
    <s v=""/>
    <n v="0"/>
    <s v="E5"/>
    <s v="의류"/>
    <s v="ELS"/>
    <s v="TH"/>
    <x v="14"/>
    <s v="ELSTHE5312"/>
    <s v="ELSTHE5312PK"/>
    <x v="0"/>
    <n v="1000"/>
    <n v="109000000"/>
    <n v="20401070"/>
    <n v="4.8571427425575759"/>
    <n v="0"/>
    <n v="1000"/>
  </r>
  <r>
    <x v="0"/>
    <x v="0"/>
    <s v="ELSTHE5314"/>
    <n v="1"/>
    <s v=""/>
    <n v="0"/>
    <s v="ELSTHE5314BK"/>
    <n v="1"/>
    <s v=""/>
    <n v="0"/>
    <s v="E5"/>
    <s v="의류"/>
    <s v="ELS"/>
    <s v="TH"/>
    <x v="14"/>
    <s v="ELSTHE5314"/>
    <s v="ELSTHE5314BK"/>
    <x v="0"/>
    <n v="1500"/>
    <n v="148500000"/>
    <n v="32994780"/>
    <n v="4.0915563007239326"/>
    <n v="0"/>
    <n v="1500"/>
  </r>
  <r>
    <x v="0"/>
    <x v="0"/>
    <s v="ELSTHE5814"/>
    <n v="1"/>
    <s v=""/>
    <n v="0"/>
    <s v="ELSTHE5814BK"/>
    <n v="1"/>
    <s v=""/>
    <n v="0"/>
    <s v="E5"/>
    <s v="의류"/>
    <s v="ELS"/>
    <s v="TH"/>
    <x v="14"/>
    <s v="ELSTHE5814"/>
    <s v="ELSTHE5814BK"/>
    <x v="0"/>
    <n v="1500"/>
    <n v="133500000"/>
    <n v="29079329.999999993"/>
    <n v="4.1735361978297432"/>
    <n v="0"/>
    <n v="1500"/>
  </r>
  <r>
    <x v="0"/>
    <x v="0"/>
    <s v="ELSTHE5318"/>
    <n v="1"/>
    <s v=""/>
    <n v="0"/>
    <s v="ELSTHE5318NY"/>
    <n v="1"/>
    <s v=""/>
    <n v="0"/>
    <s v="E5"/>
    <s v="의류"/>
    <s v="ELS"/>
    <s v="TH"/>
    <x v="14"/>
    <s v="ELSTHE5318"/>
    <s v="ELSTHE5318NY"/>
    <x v="0"/>
    <n v="1200"/>
    <n v="118800000"/>
    <n v="24359790"/>
    <n v="4.4335357570816489"/>
    <n v="0"/>
    <n v="1200"/>
  </r>
  <r>
    <x v="0"/>
    <x v="0"/>
    <s v="ELSTHE5818"/>
    <n v="1"/>
    <s v=""/>
    <n v="0"/>
    <s v="ELSTHE5818NY"/>
    <n v="1"/>
    <s v=""/>
    <n v="0"/>
    <s v="E5"/>
    <s v="의류"/>
    <s v="ELS"/>
    <s v="TH"/>
    <x v="14"/>
    <s v="ELSTHE5818"/>
    <s v="ELSTHE5818NY"/>
    <x v="0"/>
    <n v="1500"/>
    <n v="133500000"/>
    <n v="26925832.499999993"/>
    <n v="4.5073308824763876"/>
    <n v="0"/>
    <n v="1500"/>
  </r>
  <r>
    <x v="0"/>
    <x v="0"/>
    <s v="ELSTHE5316"/>
    <n v="1"/>
    <s v=""/>
    <n v="0"/>
    <s v="ELSTHE5316RE"/>
    <n v="1"/>
    <s v=""/>
    <n v="0"/>
    <s v="E5"/>
    <s v="의류"/>
    <s v="ELS"/>
    <s v="TH"/>
    <x v="14"/>
    <s v="ELSTHE5316"/>
    <s v="ELSTHE5316RE"/>
    <x v="0"/>
    <n v="800"/>
    <n v="79200000"/>
    <n v="16553095.999999996"/>
    <n v="4.3496394873804878"/>
    <n v="0"/>
    <n v="800"/>
  </r>
  <r>
    <x v="0"/>
    <x v="0"/>
    <s v="ELSTHE5317"/>
    <n v="1"/>
    <s v=""/>
    <n v="0"/>
    <s v="ELSTHE5317YE"/>
    <n v="1"/>
    <s v=""/>
    <n v="0"/>
    <s v="E5"/>
    <s v="의류"/>
    <s v="ELS"/>
    <s v="TH"/>
    <x v="14"/>
    <s v="ELSTHE5317"/>
    <s v="ELSTHE5317YE"/>
    <x v="0"/>
    <n v="800"/>
    <n v="79200000"/>
    <n v="16553095.999999996"/>
    <n v="4.3496394873804878"/>
    <n v="0"/>
    <n v="800"/>
  </r>
  <r>
    <x v="0"/>
    <x v="0"/>
    <s v="ELSTLE5310"/>
    <n v="0.5"/>
    <s v=""/>
    <n v="0"/>
    <s v="ELSTLE5310BL"/>
    <n v="1"/>
    <s v=""/>
    <n v="0"/>
    <s v="E5"/>
    <s v="의류"/>
    <s v="ELS"/>
    <s v="TL"/>
    <x v="14"/>
    <s v="ELSTLE5310"/>
    <s v="ELSTLE5310BL"/>
    <x v="0"/>
    <n v="1500"/>
    <n v="133500000"/>
    <n v="30058192.5"/>
    <n v="4.0376225670800512"/>
    <n v="0"/>
    <n v="1500"/>
  </r>
  <r>
    <x v="0"/>
    <x v="0"/>
    <s v="ELSTLE5810"/>
    <n v="0.5"/>
    <s v=""/>
    <n v="0"/>
    <s v="ELSTLE5810BL"/>
    <n v="1"/>
    <s v=""/>
    <n v="0"/>
    <s v="E5"/>
    <s v="의류"/>
    <s v="ELS"/>
    <s v="TL"/>
    <x v="14"/>
    <s v="ELSTLE5810"/>
    <s v="ELSTLE5810BL"/>
    <x v="0"/>
    <n v="1500"/>
    <n v="118500000"/>
    <n v="23206155"/>
    <n v="4.6421853481230606"/>
    <n v="0"/>
    <n v="1500"/>
  </r>
  <r>
    <x v="0"/>
    <x v="0"/>
    <s v="ELSTLE5310"/>
    <n v="0.5"/>
    <s v=""/>
    <n v="0"/>
    <s v="ELSTLE5310RE"/>
    <n v="1"/>
    <s v=""/>
    <n v="0"/>
    <s v="E5"/>
    <s v="의류"/>
    <s v="ELS"/>
    <s v="TL"/>
    <x v="14"/>
    <s v="ELSTLE5310"/>
    <s v="ELSTLE5310RE"/>
    <x v="0"/>
    <n v="1500"/>
    <n v="133500000"/>
    <n v="30058192.5"/>
    <n v="4.0376225670800512"/>
    <n v="0"/>
    <n v="1500"/>
  </r>
  <r>
    <x v="0"/>
    <x v="0"/>
    <s v="ELSTLE5810"/>
    <n v="0.5"/>
    <s v=""/>
    <n v="0"/>
    <s v="ELSTLE5810RE"/>
    <n v="1"/>
    <s v=""/>
    <n v="0"/>
    <s v="E5"/>
    <s v="의류"/>
    <s v="ELS"/>
    <s v="TL"/>
    <x v="14"/>
    <s v="ELSTLE5810"/>
    <s v="ELSTLE5810RE"/>
    <x v="0"/>
    <n v="1500"/>
    <n v="118500000"/>
    <n v="23206155"/>
    <n v="4.6421853481230606"/>
    <n v="0"/>
    <n v="1500"/>
  </r>
  <r>
    <x v="0"/>
    <x v="0"/>
    <s v="ELSTLE5311"/>
    <n v="1"/>
    <s v=""/>
    <n v="0"/>
    <s v="ELSTLE5311BK"/>
    <n v="1"/>
    <s v=""/>
    <n v="0"/>
    <s v="E5"/>
    <s v="의류"/>
    <s v="ELS"/>
    <s v="TL"/>
    <x v="14"/>
    <s v="ELSTLE5311"/>
    <s v="ELSTLE5311BK"/>
    <x v="0"/>
    <n v="1000"/>
    <n v="89000000"/>
    <n v="18929417.499999996"/>
    <n v="4.2742514876166116"/>
    <n v="0"/>
    <n v="1000"/>
  </r>
  <r>
    <x v="0"/>
    <x v="0"/>
    <s v="ELSHPE5321"/>
    <n v="1"/>
    <s v=""/>
    <n v="0"/>
    <s v="ELSHPE5321BW"/>
    <n v="1"/>
    <s v=""/>
    <n v="0"/>
    <s v="E5"/>
    <s v="의류"/>
    <s v="ELS"/>
    <s v="HP"/>
    <x v="14"/>
    <s v="ELSHPE5321"/>
    <s v="ELSHPE5321BW"/>
    <x v="0"/>
    <n v="1000"/>
    <n v="129000000"/>
    <n v="25921225"/>
    <n v="4.5241969572320464"/>
    <n v="0"/>
    <n v="1000"/>
  </r>
  <r>
    <x v="0"/>
    <x v="0"/>
    <s v="ELSHPE5821"/>
    <n v="1"/>
    <s v=""/>
    <n v="0"/>
    <s v="ELSHPE5821BW"/>
    <n v="1"/>
    <s v=""/>
    <n v="0"/>
    <s v="E5"/>
    <s v="의류"/>
    <s v="ELS"/>
    <s v="HP"/>
    <x v="14"/>
    <s v="ELSHPE5821"/>
    <s v="ELSHPE5821BW"/>
    <x v="0"/>
    <n v="800"/>
    <n v="95200000"/>
    <n v="18335503.999999996"/>
    <n v="4.720102296912839"/>
    <n v="0"/>
    <n v="800"/>
  </r>
  <r>
    <x v="0"/>
    <x v="0"/>
    <s v="ELSHPE5322"/>
    <n v="1"/>
    <s v=""/>
    <n v="0"/>
    <s v="ELSHPE5322RE"/>
    <n v="1"/>
    <s v=""/>
    <n v="0"/>
    <s v="E5"/>
    <s v="의류"/>
    <s v="ELS"/>
    <s v="HP"/>
    <x v="14"/>
    <s v="ELSHPE5322"/>
    <s v="ELSHPE5322RE"/>
    <x v="0"/>
    <n v="1000"/>
    <n v="129000000"/>
    <n v="25921225"/>
    <n v="4.5241969572320464"/>
    <n v="0"/>
    <n v="1000"/>
  </r>
  <r>
    <x v="0"/>
    <x v="0"/>
    <s v="ELSHPE5822"/>
    <n v="1"/>
    <s v=""/>
    <n v="0"/>
    <s v="ELSHPE5822RE"/>
    <n v="1"/>
    <s v=""/>
    <n v="0"/>
    <s v="E5"/>
    <s v="의류"/>
    <s v="ELS"/>
    <s v="HP"/>
    <x v="14"/>
    <s v="ELSHPE5822"/>
    <s v="ELSHPE5822RE"/>
    <x v="0"/>
    <n v="800"/>
    <n v="95200000"/>
    <n v="18335503.999999996"/>
    <n v="4.720102296912839"/>
    <n v="0"/>
    <n v="800"/>
  </r>
  <r>
    <x v="0"/>
    <x v="0"/>
    <s v="ELSTHE5313"/>
    <n v="1"/>
    <s v=""/>
    <n v="0"/>
    <s v="ELSTHE5313NY"/>
    <n v="1"/>
    <s v=""/>
    <n v="0"/>
    <s v="E5"/>
    <s v="의류"/>
    <s v="ELS"/>
    <s v="TH"/>
    <x v="14"/>
    <s v="ELSTHE5313"/>
    <s v="ELSTHE5313NY"/>
    <x v="0"/>
    <n v="1000"/>
    <n v="109000000"/>
    <n v="26120000"/>
    <n v="3.7936795210914656"/>
    <n v="0"/>
    <n v="1000"/>
  </r>
  <r>
    <x v="0"/>
    <x v="0"/>
    <s v="ELSTHE5813"/>
    <n v="1"/>
    <s v=""/>
    <n v="0"/>
    <s v="ELSTHE5813NY"/>
    <n v="1"/>
    <s v=""/>
    <n v="0"/>
    <s v="E5"/>
    <s v="의류"/>
    <s v="ELS"/>
    <s v="TH"/>
    <x v="14"/>
    <s v="ELSTHE5813"/>
    <s v="ELSTHE5813NY"/>
    <x v="0"/>
    <n v="1000"/>
    <n v="99000000"/>
    <n v="24220000"/>
    <n v="3.7159372419488021"/>
    <n v="0"/>
    <n v="1000"/>
  </r>
  <r>
    <x v="0"/>
    <x v="0"/>
    <s v="ELSTHE5319"/>
    <n v="1"/>
    <s v=""/>
    <n v="0"/>
    <s v="ELSTHE5319BU"/>
    <n v="1"/>
    <s v=""/>
    <n v="0"/>
    <s v="E5"/>
    <s v="의류"/>
    <s v="ELS"/>
    <s v="TH"/>
    <x v="14"/>
    <s v="ELSTHE5319"/>
    <s v="ELSTHE5319BU"/>
    <x v="0"/>
    <n v="1500"/>
    <n v="163500000"/>
    <n v="40080000"/>
    <n v="3.7084921066956995"/>
    <n v="0"/>
    <n v="1500"/>
  </r>
  <r>
    <x v="0"/>
    <x v="0"/>
    <s v="ELSHPE5320"/>
    <n v="1"/>
    <s v=""/>
    <n v="0"/>
    <s v="ELSHPE5320BK"/>
    <n v="1"/>
    <s v=""/>
    <n v="0"/>
    <s v="E5"/>
    <s v="의류"/>
    <s v="ELS"/>
    <s v="HP"/>
    <x v="14"/>
    <s v="ELSHPE5320"/>
    <s v="ELSHPE5320BK"/>
    <x v="0"/>
    <n v="1500"/>
    <n v="193500000"/>
    <n v="46680000"/>
    <n v="3.7684038326711842"/>
    <n v="0"/>
    <n v="1500"/>
  </r>
  <r>
    <x v="0"/>
    <x v="0"/>
    <s v="ELSTHE5315"/>
    <n v="1"/>
    <s v=""/>
    <n v="0"/>
    <s v="ELSTHE5315BW"/>
    <n v="1"/>
    <s v=""/>
    <n v="0"/>
    <s v="E5"/>
    <s v="의류"/>
    <s v="ELS"/>
    <s v="TH"/>
    <x v="14"/>
    <s v="ELSTHE5315"/>
    <s v="ELSTHE5315BW"/>
    <x v="0"/>
    <n v="1500"/>
    <n v="148500000"/>
    <n v="29252625.000000004"/>
    <n v="4.6149704513697474"/>
    <n v="0"/>
    <n v="1500"/>
  </r>
  <r>
    <x v="0"/>
    <x v="0"/>
    <s v="ELSTHE5815"/>
    <n v="1"/>
    <s v=""/>
    <n v="0"/>
    <s v="ELSTHE5815BW"/>
    <n v="1"/>
    <s v=""/>
    <n v="0"/>
    <s v="E5"/>
    <s v="의류"/>
    <s v="ELS"/>
    <s v="TH"/>
    <x v="14"/>
    <s v="ELSTHE5815"/>
    <s v="ELSTHE5815BW"/>
    <x v="0"/>
    <n v="1500"/>
    <n v="133500000"/>
    <n v="25701000"/>
    <n v="4.7221367403461478"/>
    <n v="0"/>
    <n v="1500"/>
  </r>
  <r>
    <x v="0"/>
    <x v="0"/>
    <s v="ELSHPE5323"/>
    <n v="1"/>
    <s v=""/>
    <n v="0"/>
    <s v="ELSHPE5323BK"/>
    <n v="1"/>
    <s v=""/>
    <n v="0"/>
    <s v="E5"/>
    <s v="의류"/>
    <s v="ELS"/>
    <s v="HP"/>
    <x v="14"/>
    <s v="ELSHPE5323"/>
    <s v="ELSHPE5323BK"/>
    <x v="0"/>
    <n v="1500"/>
    <n v="193500000"/>
    <n v="38781375"/>
    <n v="4.5359168133953709"/>
    <n v="0"/>
    <n v="1500"/>
  </r>
  <r>
    <x v="0"/>
    <x v="0"/>
    <s v="ELSHPE5823"/>
    <n v="1"/>
    <s v=""/>
    <n v="0"/>
    <s v="ELSHPE5823BK"/>
    <n v="1"/>
    <s v=""/>
    <n v="0"/>
    <s v="E5"/>
    <s v="의류"/>
    <s v="ELS"/>
    <s v="HP"/>
    <x v="14"/>
    <s v="ELSHPE5823"/>
    <s v="ELSHPE5823BK"/>
    <x v="0"/>
    <n v="1200"/>
    <n v="142800000"/>
    <n v="28668900"/>
    <n v="4.5281884487434745"/>
    <n v="0"/>
    <n v="1200"/>
  </r>
  <r>
    <x v="0"/>
    <x v="0"/>
    <s v="ELSHPE5324"/>
    <n v="1"/>
    <s v=""/>
    <n v="0"/>
    <s v="ELSHPE5324GY"/>
    <n v="1"/>
    <s v=""/>
    <n v="0"/>
    <s v="E5"/>
    <s v="의류"/>
    <s v="ELS"/>
    <s v="HP"/>
    <x v="14"/>
    <s v="ELSHPE5324"/>
    <s v="ELSHPE5324GY"/>
    <x v="0"/>
    <n v="800"/>
    <n v="111200000"/>
    <n v="21746000"/>
    <n v="4.6487128249291398"/>
    <n v="0"/>
    <n v="800"/>
  </r>
  <r>
    <x v="0"/>
    <x v="0"/>
    <s v="ELSHPE5325"/>
    <n v="1"/>
    <s v=""/>
    <n v="0"/>
    <s v="ELSHPE5325BK"/>
    <n v="1"/>
    <s v=""/>
    <n v="0"/>
    <s v="E5"/>
    <s v="의류"/>
    <s v="ELS"/>
    <s v="HP"/>
    <x v="14"/>
    <s v="ELSHPE5325"/>
    <s v="ELSHPE5325BK"/>
    <x v="0"/>
    <n v="1000"/>
    <n v="139000000"/>
    <n v="27182500"/>
    <n v="4.6487128249291398"/>
    <n v="0"/>
    <n v="1000"/>
  </r>
  <r>
    <x v="0"/>
    <x v="0"/>
    <s v="ELSJPE5326"/>
    <n v="1"/>
    <s v=""/>
    <n v="0"/>
    <s v="ELSJPE5326GR"/>
    <n v="1"/>
    <s v=""/>
    <n v="0"/>
    <s v="E5"/>
    <s v="의류"/>
    <s v="ELS"/>
    <s v="JP"/>
    <x v="14"/>
    <s v="ELSJPE5326"/>
    <s v="ELSJPE5326GR"/>
    <x v="0"/>
    <n v="1200"/>
    <n v="214800000"/>
    <n v="45093000"/>
    <n v="4.3304443543948556"/>
    <n v="0"/>
    <n v="1200"/>
  </r>
  <r>
    <x v="0"/>
    <x v="0"/>
    <s v="ELSJPE5826"/>
    <n v="1"/>
    <s v=""/>
    <n v="0"/>
    <s v="ELSJPE5826GR"/>
    <n v="1"/>
    <s v=""/>
    <n v="0"/>
    <s v="E5"/>
    <s v="의류"/>
    <s v="ELS"/>
    <s v="JP"/>
    <x v="14"/>
    <s v="ELSJPE5826"/>
    <s v="ELSJPE5826GR"/>
    <x v="0"/>
    <n v="800"/>
    <n v="135200000"/>
    <n v="27752000"/>
    <n v="4.4288372336801274"/>
    <n v="0"/>
    <n v="800"/>
  </r>
  <r>
    <x v="0"/>
    <x v="0"/>
    <s v="ELSEDE5319"/>
    <n v="1"/>
    <s v=""/>
    <n v="0"/>
    <s v="ELSEDE5319BW"/>
    <n v="1"/>
    <s v=""/>
    <n v="0"/>
    <s v="E5"/>
    <s v="ACC"/>
    <s v="ELS"/>
    <s v="ED"/>
    <x v="2"/>
    <s v="ELSEDE5319"/>
    <s v="ELSEDE5319BW"/>
    <x v="0"/>
    <n v="500"/>
    <n v="21500000"/>
    <n v="4001680.0000000005"/>
    <n v="4.8843122252290394"/>
    <n v="0"/>
    <n v="500"/>
  </r>
  <r>
    <x v="0"/>
    <x v="0"/>
    <s v="ELSEDE5320"/>
    <n v="1"/>
    <s v=""/>
    <n v="0"/>
    <s v="ELSEDE5320BU"/>
    <n v="1"/>
    <s v=""/>
    <n v="0"/>
    <s v="E5"/>
    <s v="ACC"/>
    <s v="ELS"/>
    <s v="ED"/>
    <x v="2"/>
    <s v="ELSEDE5320"/>
    <s v="ELSEDE5320BU"/>
    <x v="0"/>
    <n v="500"/>
    <n v="21500000"/>
    <n v="4001680.0000000005"/>
    <n v="4.8843122252290394"/>
    <n v="0"/>
    <n v="500"/>
  </r>
  <r>
    <x v="0"/>
    <x v="0"/>
    <s v="ELSTPE5321"/>
    <n v="1"/>
    <s v=""/>
    <n v="0"/>
    <s v="ELSTPE5321MT"/>
    <n v="1"/>
    <s v=""/>
    <n v="0"/>
    <s v="E5"/>
    <s v="모자"/>
    <s v="ELS"/>
    <s v="TP"/>
    <x v="3"/>
    <s v="ELSTPE5321"/>
    <s v="ELSTPE5321MT"/>
    <x v="0"/>
    <n v="300"/>
    <n v="14700000"/>
    <n v="2424768.0000000005"/>
    <n v="5.511305149043686"/>
    <n v="0"/>
    <n v="300"/>
  </r>
  <r>
    <x v="0"/>
    <x v="0"/>
    <s v="ELSTPE5821"/>
    <n v="1"/>
    <s v=""/>
    <n v="0"/>
    <s v="ELSTPE5821MT"/>
    <n v="1"/>
    <s v=""/>
    <n v="0"/>
    <s v="E5"/>
    <s v="모자"/>
    <s v="ELS"/>
    <s v="TP"/>
    <x v="3"/>
    <s v="ELSTPE5821"/>
    <s v="ELSTPE5821MT"/>
    <x v="0"/>
    <n v="800"/>
    <n v="36000000"/>
    <n v="5125248.0000000009"/>
    <n v="6.3855003167208135"/>
    <n v="0"/>
    <n v="800"/>
  </r>
  <r>
    <x v="0"/>
    <x v="0"/>
    <s v="ELSVBE5322"/>
    <n v="1"/>
    <s v=""/>
    <n v="0"/>
    <s v="ELSVBE5322OR"/>
    <n v="1"/>
    <s v=""/>
    <n v="0"/>
    <s v="E5"/>
    <s v="모자"/>
    <s v="ELS"/>
    <s v="VB"/>
    <x v="3"/>
    <s v="ELSVBE5322"/>
    <s v="ELSVBE5322OR"/>
    <x v="0"/>
    <n v="700"/>
    <n v="34300000"/>
    <n v="4674236.0000000009"/>
    <n v="6.6709978233487082"/>
    <n v="0"/>
    <n v="700"/>
  </r>
  <r>
    <x v="0"/>
    <x v="0"/>
    <s v="ELSVBE5822"/>
    <n v="1"/>
    <s v=""/>
    <n v="0"/>
    <s v="ELSVBE5822OR"/>
    <n v="1"/>
    <s v=""/>
    <n v="0"/>
    <s v="E5"/>
    <s v="모자"/>
    <s v="ELS"/>
    <s v="VB"/>
    <x v="3"/>
    <s v="ELSVBE5822"/>
    <s v="ELSVBE5822OR"/>
    <x v="0"/>
    <n v="700"/>
    <n v="31500000"/>
    <n v="4499600"/>
    <n v="6.3642020704870736"/>
    <n v="0"/>
    <n v="700"/>
  </r>
  <r>
    <x v="0"/>
    <x v="0"/>
    <s v="ELSBEE5323"/>
    <n v="1"/>
    <s v=""/>
    <n v="0"/>
    <s v="ELSBEE5323BW"/>
    <n v="1"/>
    <s v=""/>
    <n v="0"/>
    <s v="E5"/>
    <s v="모자"/>
    <s v="ELS"/>
    <s v="BE"/>
    <x v="3"/>
    <s v="ELSBEE5323"/>
    <s v="ELSBEE5323BW"/>
    <x v="0"/>
    <n v="200"/>
    <n v="15800000"/>
    <n v="2782864"/>
    <n v="5.1614582543869778"/>
    <n v="0"/>
    <n v="200"/>
  </r>
  <r>
    <x v="0"/>
    <x v="0"/>
    <s v="ELSTPE5824"/>
    <n v="1"/>
    <s v=""/>
    <n v="0"/>
    <s v="ELSTPE5824NY"/>
    <n v="1"/>
    <s v=""/>
    <n v="0"/>
    <s v="E5"/>
    <s v="모자"/>
    <s v="ELS"/>
    <s v="TP"/>
    <x v="3"/>
    <s v="ELSTPE5824"/>
    <s v="ELSTPE5824NY"/>
    <x v="0"/>
    <n v="300"/>
    <n v="16500000"/>
    <n v="2706678"/>
    <n v="5.5418487163969994"/>
    <n v="0"/>
    <n v="300"/>
  </r>
  <r>
    <x v="0"/>
    <x v="0"/>
    <s v="JOIEBE5803"/>
    <n v="1"/>
    <s v=""/>
    <n v="0"/>
    <s v="JOIEBE5803BL"/>
    <n v="1"/>
    <s v=""/>
    <n v="0"/>
    <s v="E5"/>
    <s v="모자"/>
    <s v="JOI"/>
    <s v="EB"/>
    <x v="6"/>
    <s v="JOIEBE5803"/>
    <s v="JOIEBE5803BL"/>
    <x v="0"/>
    <n v="400"/>
    <n v="22000000"/>
    <n v="3932648.0000000005"/>
    <n v="5.0856318694172469"/>
    <n v="0"/>
    <n v="400"/>
  </r>
  <r>
    <x v="0"/>
    <x v="0"/>
    <s v="JOIEBE5804"/>
    <n v="1"/>
    <s v=""/>
    <n v="0"/>
    <s v="JOIEBE5804RE"/>
    <n v="1"/>
    <s v=""/>
    <n v="0"/>
    <s v="E5"/>
    <s v="모자"/>
    <s v="JOI"/>
    <s v="EB"/>
    <x v="6"/>
    <s v="JOIEBE5804"/>
    <s v="JOIEBE5804RE"/>
    <x v="0"/>
    <n v="400"/>
    <n v="22000000"/>
    <n v="3414936"/>
    <n v="5.8566251314812341"/>
    <n v="0"/>
    <n v="400"/>
  </r>
  <r>
    <x v="0"/>
    <x v="0"/>
    <s v="JOIEBE5305"/>
    <n v="1"/>
    <s v=""/>
    <n v="0"/>
    <s v="JOIEBE5305GY"/>
    <n v="1"/>
    <s v=""/>
    <n v="0"/>
    <s v="E5"/>
    <s v="모자"/>
    <s v="JOI"/>
    <s v="EB"/>
    <x v="6"/>
    <s v="JOIEBE5305"/>
    <s v="JOIEBE5305GY"/>
    <x v="0"/>
    <n v="500"/>
    <n v="32500000"/>
    <n v="4390525"/>
    <n v="6.7293671133758597"/>
    <n v="0"/>
    <n v="500"/>
  </r>
  <r>
    <x v="0"/>
    <x v="0"/>
    <s v="JOIEBE5805"/>
    <n v="1"/>
    <s v=""/>
    <n v="0"/>
    <s v="JOIEBE5805GY"/>
    <n v="1"/>
    <s v=""/>
    <n v="0"/>
    <s v="E5"/>
    <s v="모자"/>
    <s v="JOI"/>
    <s v="EB"/>
    <x v="6"/>
    <s v="JOIEBE5805"/>
    <s v="JOIEBE5805GY"/>
    <x v="0"/>
    <n v="500"/>
    <n v="29500000"/>
    <n v="4308025"/>
    <n v="6.2251685675412327"/>
    <n v="0"/>
    <n v="500"/>
  </r>
  <r>
    <x v="0"/>
    <x v="0"/>
    <s v="JOIVBE5806"/>
    <n v="0.5"/>
    <s v=""/>
    <n v="0"/>
    <s v="JOIVBE5806NY"/>
    <n v="1"/>
    <s v=""/>
    <n v="0"/>
    <s v="E5"/>
    <s v="모자"/>
    <s v="JOI"/>
    <s v="VB"/>
    <x v="6"/>
    <s v="JOIVBE5806"/>
    <s v="JOIVBE5806NY"/>
    <x v="0"/>
    <n v="400"/>
    <n v="22000000"/>
    <n v="4215224.0000000009"/>
    <n v="4.7447063311463387"/>
    <n v="0"/>
    <n v="400"/>
  </r>
  <r>
    <x v="0"/>
    <x v="0"/>
    <s v="JOIVBE5806"/>
    <n v="0.5"/>
    <s v=""/>
    <n v="0"/>
    <s v="JOIVBE5806PK"/>
    <n v="1"/>
    <s v=""/>
    <n v="0"/>
    <s v="E5"/>
    <s v="모자"/>
    <s v="JOI"/>
    <s v="VB"/>
    <x v="6"/>
    <s v="JOIVBE5806"/>
    <s v="JOIVBE5806PK"/>
    <x v="0"/>
    <n v="400"/>
    <n v="22000000"/>
    <n v="4258024.0000000009"/>
    <n v="4.6970143897732832"/>
    <n v="0"/>
    <n v="400"/>
  </r>
  <r>
    <x v="0"/>
    <x v="0"/>
    <s v="JOIVBE5306"/>
    <n v="0.5"/>
    <s v=""/>
    <n v="0"/>
    <s v="JOIVBE5306NY"/>
    <n v="1"/>
    <s v=""/>
    <n v="0"/>
    <s v="E5"/>
    <s v="모자"/>
    <s v="JOI"/>
    <s v="VB"/>
    <x v="6"/>
    <s v="JOIVBE5306"/>
    <s v="JOIVBE5306NY"/>
    <x v="0"/>
    <n v="400"/>
    <n v="23600000"/>
    <n v="4389964"/>
    <n v="4.8871802717620128"/>
    <n v="0"/>
    <n v="400"/>
  </r>
  <r>
    <x v="0"/>
    <x v="0"/>
    <s v="JOIVBE5306"/>
    <n v="0.5"/>
    <s v=""/>
    <n v="0"/>
    <s v="JOIVBE5306PK"/>
    <n v="1"/>
    <s v=""/>
    <n v="0"/>
    <s v="E5"/>
    <s v="모자"/>
    <s v="JOI"/>
    <s v="VB"/>
    <x v="6"/>
    <s v="JOIVBE5306"/>
    <s v="JOIVBE5306PK"/>
    <x v="0"/>
    <n v="400"/>
    <n v="23600000"/>
    <n v="4439164"/>
    <n v="4.8330148321948574"/>
    <n v="0"/>
    <n v="400"/>
  </r>
  <r>
    <x v="0"/>
    <x v="0"/>
    <s v="JOIEBE5807"/>
    <n v="1"/>
    <s v=""/>
    <n v="0"/>
    <s v="JOIEBE5807BL"/>
    <n v="1"/>
    <s v=""/>
    <n v="0"/>
    <s v="E5"/>
    <s v="모자"/>
    <s v="JOI"/>
    <s v="EB"/>
    <x v="6"/>
    <s v="JOIEBE5807"/>
    <s v="JOIEBE5807BL"/>
    <x v="0"/>
    <n v="400"/>
    <n v="22000000"/>
    <n v="3678844"/>
    <n v="5.4364903757810872"/>
    <n v="0"/>
    <n v="400"/>
  </r>
  <r>
    <x v="0"/>
    <x v="0"/>
    <s v="JOIEBE5310"/>
    <n v="1"/>
    <s v=""/>
    <n v="0"/>
    <s v="JOIEBE5310KH"/>
    <n v="1"/>
    <s v=""/>
    <n v="0"/>
    <s v="E5"/>
    <s v="모자"/>
    <s v="JOI"/>
    <s v="EB"/>
    <x v="6"/>
    <s v="JOIEBE5310"/>
    <s v="JOIEBE5310KH"/>
    <x v="0"/>
    <n v="200"/>
    <n v="11800000"/>
    <n v="2074460.0000000002"/>
    <n v="5.1711157251876267"/>
    <n v="0"/>
    <n v="200"/>
  </r>
  <r>
    <x v="0"/>
    <x v="0"/>
    <s v="JOIEBE5808"/>
    <n v="1"/>
    <s v=""/>
    <n v="0"/>
    <s v="JOIEBE5808IV"/>
    <n v="1"/>
    <s v=""/>
    <n v="0"/>
    <s v="E5"/>
    <s v="모자"/>
    <s v="JOI"/>
    <s v="EB"/>
    <x v="6"/>
    <s v="JOIEBE5808"/>
    <s v="JOIEBE5808IV"/>
    <x v="0"/>
    <n v="500"/>
    <n v="24500000"/>
    <n v="3101820"/>
    <n v="7.1805350641646744"/>
    <n v="0"/>
    <n v="500"/>
  </r>
  <r>
    <x v="0"/>
    <x v="0"/>
    <s v="JOIEBE5809"/>
    <n v="1"/>
    <s v=""/>
    <n v="0"/>
    <s v="JOIEBE5809BL"/>
    <n v="1"/>
    <s v=""/>
    <n v="0"/>
    <s v="E5"/>
    <s v="모자"/>
    <s v="JOI"/>
    <s v="EB"/>
    <x v="6"/>
    <s v="JOIEBE5809"/>
    <s v="JOIEBE5809BL"/>
    <x v="0"/>
    <n v="500"/>
    <n v="24500000"/>
    <n v="3529370.0000000005"/>
    <n v="6.3106807369947804"/>
    <n v="0"/>
    <n v="500"/>
  </r>
  <r>
    <x v="0"/>
    <x v="0"/>
    <s v="JOIEDE5311"/>
    <n v="1"/>
    <s v=""/>
    <n v="0"/>
    <s v="JOIEDE5311BL"/>
    <n v="1"/>
    <s v=""/>
    <n v="0"/>
    <s v="E5"/>
    <s v="ACC"/>
    <s v="JOI"/>
    <s v="ED"/>
    <x v="20"/>
    <s v="JOIEDE5311"/>
    <s v="JOIEDE5311BL"/>
    <x v="0"/>
    <n v="500"/>
    <n v="22500000"/>
    <n v="3197815.0000000009"/>
    <n v="6.3964130053006336"/>
    <n v="0"/>
    <n v="500"/>
  </r>
  <r>
    <x v="0"/>
    <x v="0"/>
    <s v="JOIEBE5812"/>
    <n v="1"/>
    <s v=""/>
    <n v="0"/>
    <s v="JOIEBE5812YE"/>
    <n v="1"/>
    <s v=""/>
    <n v="0"/>
    <s v="E5"/>
    <s v="모자"/>
    <s v="JOI"/>
    <s v="EB"/>
    <x v="6"/>
    <s v="JOIEBE5812"/>
    <s v="JOIEBE5812YE"/>
    <x v="0"/>
    <n v="500"/>
    <n v="24500000"/>
    <n v="3565450.0000000005"/>
    <n v="6.2468208144069521"/>
    <n v="0"/>
    <n v="500"/>
  </r>
  <r>
    <x v="1"/>
    <x v="0"/>
    <s v="JOIEDE5102"/>
    <n v="1"/>
    <s v=""/>
    <n v="0"/>
    <s v="JOIEDE5102IV"/>
    <n v="1"/>
    <s v=""/>
    <n v="0"/>
    <s v="E5"/>
    <s v="ACC"/>
    <s v="JOI"/>
    <s v="ED"/>
    <x v="20"/>
    <s v="JOIEDE5102"/>
    <s v="JOIEDE5102IV"/>
    <x v="0"/>
    <n v="500"/>
    <n v="19500000"/>
    <n v="3970495"/>
    <n v="4.4647513036215196"/>
    <n v="0"/>
    <n v="500"/>
  </r>
  <r>
    <x v="1"/>
    <x v="0"/>
    <s v="JOIEDE5110"/>
    <n v="1"/>
    <s v=""/>
    <n v="0"/>
    <s v="JOIEDE5110IV"/>
    <n v="1"/>
    <s v=""/>
    <n v="0"/>
    <s v="E5"/>
    <s v="ACC"/>
    <s v="JOI"/>
    <s v="ED"/>
    <x v="20"/>
    <s v="JOIEDE5110"/>
    <s v="JOIEDE5110IV"/>
    <x v="0"/>
    <n v="500"/>
    <n v="19500000"/>
    <n v="3970495"/>
    <n v="4.4647513036215196"/>
    <n v="0"/>
    <n v="500"/>
  </r>
  <r>
    <x v="0"/>
    <x v="0"/>
    <s v="PLABPE3301"/>
    <n v="1"/>
    <s v=""/>
    <n v="0"/>
    <s v="PLABPE3301BW"/>
    <n v="1"/>
    <s v=""/>
    <n v="0"/>
    <s v="E3"/>
    <s v="가방"/>
    <s v="PLA"/>
    <s v="BP"/>
    <x v="21"/>
    <s v="PLABPE3301"/>
    <s v="PLABPE3301BW"/>
    <x v="0"/>
    <n v="500"/>
    <n v="59500000"/>
    <n v="12000000"/>
    <n v="4.5075757575757569"/>
    <n v="0"/>
    <n v="500"/>
  </r>
  <r>
    <x v="0"/>
    <x v="0"/>
    <s v="PLABPE3302"/>
    <n v="1"/>
    <s v=""/>
    <n v="0"/>
    <s v="PLABPE3302BK"/>
    <n v="1"/>
    <s v=""/>
    <n v="0"/>
    <s v="E3"/>
    <s v="가방"/>
    <s v="PLA"/>
    <s v="BP"/>
    <x v="21"/>
    <s v="PLABPE3302"/>
    <s v="PLABPE3302BK"/>
    <x v="0"/>
    <n v="500"/>
    <n v="59500000"/>
    <n v="12000000"/>
    <n v="4.5075757575757569"/>
    <n v="0"/>
    <n v="500"/>
  </r>
  <r>
    <x v="0"/>
    <x v="0"/>
    <s v="PLABPE3303"/>
    <n v="1"/>
    <s v=""/>
    <n v="0"/>
    <s v="PLABPE3303OR"/>
    <n v="1"/>
    <s v=""/>
    <n v="0"/>
    <s v="E3"/>
    <s v="가방"/>
    <s v="PLA"/>
    <s v="BP"/>
    <x v="21"/>
    <s v="PLABPE3303"/>
    <s v="PLABPE3303OR"/>
    <x v="0"/>
    <n v="500"/>
    <n v="59500000"/>
    <n v="12000000"/>
    <n v="4.5075757575757569"/>
    <n v="0"/>
    <n v="500"/>
  </r>
  <r>
    <x v="0"/>
    <x v="0"/>
    <s v="PLABPE3304"/>
    <n v="1"/>
    <s v=""/>
    <n v="0"/>
    <s v="PLABPE3304BK"/>
    <n v="1"/>
    <s v=""/>
    <n v="0"/>
    <s v="E3"/>
    <s v="가방"/>
    <s v="PLA"/>
    <s v="BP"/>
    <x v="21"/>
    <s v="PLABPE3304"/>
    <s v="PLABPE3304BK"/>
    <x v="0"/>
    <n v="500"/>
    <n v="59500000"/>
    <n v="12000000"/>
    <n v="4.5075757575757569"/>
    <n v="0"/>
    <n v="500"/>
  </r>
  <r>
    <x v="0"/>
    <x v="0"/>
    <s v="ELSBPE3301"/>
    <n v="1"/>
    <s v=""/>
    <n v="0"/>
    <s v="ELSBPE3301BW"/>
    <n v="1"/>
    <s v=""/>
    <n v="0"/>
    <s v="E3"/>
    <s v="가방"/>
    <s v="ELS"/>
    <s v="BP"/>
    <x v="0"/>
    <s v="ELSBPE3301"/>
    <s v="ELSBPE3301BW"/>
    <x v="0"/>
    <n v="500"/>
    <n v="64500000"/>
    <n v="12510000"/>
    <n v="4.6871593634183553"/>
    <n v="0"/>
    <n v="500"/>
  </r>
  <r>
    <x v="0"/>
    <x v="0"/>
    <s v="ELSBPE3801"/>
    <n v="1"/>
    <s v=""/>
    <n v="0"/>
    <s v="ELSBPE3801BW"/>
    <n v="1"/>
    <s v=""/>
    <n v="0"/>
    <s v="E3"/>
    <s v="가방"/>
    <s v="ELS"/>
    <s v="BP"/>
    <x v="0"/>
    <s v="ELSBPE3801"/>
    <s v="ELSBPE3801BW"/>
    <x v="0"/>
    <n v="500"/>
    <n v="49500000"/>
    <n v="11260000"/>
    <n v="3.9964476021314379"/>
    <n v="0"/>
    <n v="500"/>
  </r>
  <r>
    <x v="0"/>
    <x v="0"/>
    <s v="ELSBPE3811"/>
    <n v="1"/>
    <s v=""/>
    <n v="0"/>
    <s v="ELSBPE3811BW"/>
    <n v="1"/>
    <s v=""/>
    <n v="0"/>
    <s v="E3"/>
    <s v="가방"/>
    <s v="ELS"/>
    <s v="BP"/>
    <x v="0"/>
    <s v="ELSBPE3811"/>
    <s v="ELSBPE3811BW"/>
    <x v="0"/>
    <n v="500"/>
    <n v="44500000"/>
    <n v="10010000"/>
    <n v="4.0414131323222229"/>
    <n v="0"/>
    <n v="500"/>
  </r>
  <r>
    <x v="1"/>
    <x v="0"/>
    <s v="NOVFAE3105"/>
    <n v="1"/>
    <s v=""/>
    <n v="0"/>
    <s v="NOVFAE3105BG"/>
    <n v="1"/>
    <s v=""/>
    <n v="0"/>
    <s v="E3"/>
    <s v="모자"/>
    <s v="NOV"/>
    <s v="FA"/>
    <x v="11"/>
    <s v="NOVFAE3105"/>
    <s v="NOVFAE3105BG"/>
    <x v="0"/>
    <n v="700"/>
    <n v="41300000"/>
    <n v="4656456.0000000009"/>
    <n v="8.063096600817131"/>
    <n v="0"/>
    <n v="700"/>
  </r>
  <r>
    <x v="1"/>
    <x v="0"/>
    <s v="NOVFAE3605"/>
    <n v="1"/>
    <s v=""/>
    <n v="0"/>
    <s v="NOVFAE3605BG"/>
    <n v="1"/>
    <s v=""/>
    <n v="0"/>
    <s v="E3"/>
    <s v="모자"/>
    <s v="NOV"/>
    <s v="FA"/>
    <x v="11"/>
    <s v="NOVFAE3605"/>
    <s v="NOVFAE3605BG"/>
    <x v="0"/>
    <n v="500"/>
    <n v="27500000"/>
    <n v="3297855.0000000005"/>
    <n v="7.580685021021238"/>
    <n v="0"/>
    <n v="500"/>
  </r>
  <r>
    <x v="1"/>
    <x v="0"/>
    <s v="NOVMIE3101"/>
    <n v="1"/>
    <s v=""/>
    <n v="0"/>
    <s v="NOVMIE3101BG"/>
    <n v="1"/>
    <s v=""/>
    <n v="0"/>
    <s v="E3"/>
    <s v="모자"/>
    <s v="NOV"/>
    <s v="MI"/>
    <x v="11"/>
    <s v="NOVMIE3101"/>
    <s v="NOVMIE3101BG"/>
    <x v="0"/>
    <n v="700"/>
    <n v="34300000"/>
    <n v="3479707"/>
    <n v="8.961047059944466"/>
    <n v="0"/>
    <n v="700"/>
  </r>
  <r>
    <x v="1"/>
    <x v="0"/>
    <s v="NOVMIE3102"/>
    <n v="0.33333333333333331"/>
    <s v=""/>
    <n v="0"/>
    <s v="NOVMIE3102BK"/>
    <n v="1"/>
    <s v=""/>
    <n v="0"/>
    <s v="E3"/>
    <s v="모자"/>
    <s v="NOV"/>
    <s v="MI"/>
    <x v="11"/>
    <s v="NOVMIE3102"/>
    <s v="NOVMIE3102BK"/>
    <x v="0"/>
    <n v="1000"/>
    <n v="49000000"/>
    <n v="6818330.0000000009"/>
    <n v="6.5331913453080936"/>
    <n v="0"/>
    <n v="1000"/>
  </r>
  <r>
    <x v="1"/>
    <x v="0"/>
    <s v="NOVMIE3102"/>
    <n v="0.33333333333333331"/>
    <s v=""/>
    <n v="0"/>
    <s v="NOVMIE3102RE"/>
    <n v="1"/>
    <s v=""/>
    <n v="0"/>
    <s v="E3"/>
    <s v="모자"/>
    <s v="NOV"/>
    <s v="MI"/>
    <x v="11"/>
    <s v="NOVMIE3102"/>
    <s v="NOVMIE3102RE"/>
    <x v="0"/>
    <n v="1000"/>
    <n v="49000000"/>
    <n v="6818330.0000000009"/>
    <n v="6.5331913453080936"/>
    <n v="0"/>
    <n v="1000"/>
  </r>
  <r>
    <x v="1"/>
    <x v="0"/>
    <s v="NOVMIE3602"/>
    <n v="1"/>
    <s v=""/>
    <n v="0"/>
    <s v="NOVMIE3602RE"/>
    <n v="1"/>
    <s v=""/>
    <n v="0"/>
    <s v="E3"/>
    <s v="모자"/>
    <s v="NOV"/>
    <s v="MI"/>
    <x v="11"/>
    <s v="NOVMIE3602"/>
    <s v="NOVMIE3602RE"/>
    <x v="0"/>
    <n v="500"/>
    <n v="22500000"/>
    <n v="3377980.0000000009"/>
    <n v="6.0552594907446009"/>
    <n v="0"/>
    <n v="500"/>
  </r>
  <r>
    <x v="1"/>
    <x v="0"/>
    <s v="HCUMIE3001"/>
    <n v="1"/>
    <s v=""/>
    <n v="0"/>
    <s v="HCUMIE3001GY"/>
    <n v="1"/>
    <s v=""/>
    <n v="0"/>
    <s v="E3"/>
    <s v="모자"/>
    <s v="HCU"/>
    <s v="MI"/>
    <x v="12"/>
    <s v="HCUMIE3001"/>
    <s v="HCUMIE3001GY"/>
    <x v="0"/>
    <n v="700"/>
    <n v="31500000"/>
    <n v="4017153"/>
    <n v="7.1285220245192633"/>
    <n v="0"/>
    <n v="700"/>
  </r>
  <r>
    <x v="1"/>
    <x v="0"/>
    <s v="HCUMIE3010"/>
    <n v="1"/>
    <s v=""/>
    <n v="0"/>
    <s v="HCUMIE3010BK"/>
    <n v="1"/>
    <s v=""/>
    <n v="0"/>
    <s v="E3"/>
    <s v="모자"/>
    <s v="HCU"/>
    <s v="MI"/>
    <x v="12"/>
    <s v="HCUMIE3010"/>
    <s v="HCUMIE3010BK"/>
    <x v="0"/>
    <n v="1200"/>
    <n v="54000000"/>
    <n v="7032456"/>
    <n v="6.9806208657272917"/>
    <n v="0"/>
    <n v="1200"/>
  </r>
  <r>
    <x v="1"/>
    <x v="1"/>
    <s v=""/>
    <n v="0"/>
    <s v="VBLBAE3003"/>
    <n v="1"/>
    <s v=""/>
    <n v="0"/>
    <s v="VBLBAE3003BK"/>
    <n v="1"/>
    <s v="E3"/>
    <s v="모자"/>
    <s v="VBL"/>
    <s v="BA"/>
    <x v="10"/>
    <s v="VBLBAE3003"/>
    <s v="VBLBAE3003BK"/>
    <x v="0"/>
    <n v="700"/>
    <n v="30100000"/>
    <n v="6664000"/>
    <n v="4.1061879297173407"/>
    <n v="700"/>
    <n v="0"/>
  </r>
  <r>
    <x v="1"/>
    <x v="0"/>
    <s v="BMDBAE3202"/>
    <n v="0.25"/>
    <s v=""/>
    <n v="0"/>
    <s v="BMDBAE3202OR"/>
    <n v="1"/>
    <s v=""/>
    <n v="0"/>
    <s v="E3"/>
    <s v="모자"/>
    <s v="BMD"/>
    <s v="BA"/>
    <x v="18"/>
    <s v="BMDBAE3202"/>
    <s v="BMDBAE3202OR"/>
    <x v="0"/>
    <n v="500"/>
    <n v="27500000"/>
    <n v="4510000"/>
    <n v="5.5432372505543235"/>
    <n v="0"/>
    <n v="500"/>
  </r>
  <r>
    <x v="1"/>
    <x v="0"/>
    <s v="PLAUME3203"/>
    <n v="1"/>
    <s v=""/>
    <n v="0"/>
    <s v="PLAUME3203BK"/>
    <n v="1"/>
    <s v=""/>
    <n v="0"/>
    <s v="E3"/>
    <s v="모자"/>
    <s v="PLA"/>
    <s v="UM"/>
    <x v="16"/>
    <s v="PLAUME3203"/>
    <s v="PLAUME3203BK"/>
    <x v="0"/>
    <n v="1500"/>
    <n v="88500000"/>
    <n v="11600820.000000002"/>
    <n v="6.9352464269375291"/>
    <n v="0"/>
    <n v="1500"/>
  </r>
  <r>
    <x v="1"/>
    <x v="0"/>
    <s v="PLAUME3208"/>
    <n v="1"/>
    <s v=""/>
    <n v="0"/>
    <s v="PLAUME3208GR"/>
    <n v="1"/>
    <s v=""/>
    <n v="0"/>
    <s v="E3"/>
    <s v="모자"/>
    <s v="PLA"/>
    <s v="UM"/>
    <x v="16"/>
    <s v="PLAUME3208"/>
    <s v="PLAUME3208GR"/>
    <x v="0"/>
    <n v="500"/>
    <n v="29500000"/>
    <n v="3866940.0000000005"/>
    <n v="6.93524642693753"/>
    <n v="0"/>
    <n v="500"/>
  </r>
  <r>
    <x v="1"/>
    <x v="0"/>
    <s v="HCUMIE3008"/>
    <n v="0.5"/>
    <s v=""/>
    <n v="0"/>
    <s v="HCUMIE3008BK"/>
    <n v="1"/>
    <s v=""/>
    <n v="0"/>
    <s v="E3"/>
    <s v="모자"/>
    <s v="HCU"/>
    <s v="MI"/>
    <x v="12"/>
    <s v="HCUMIE3008"/>
    <s v="HCUMIE3008BK"/>
    <x v="0"/>
    <n v="1000"/>
    <n v="49000000"/>
    <n v="9520000"/>
    <n v="4.6791443850267376"/>
    <n v="0"/>
    <n v="1000"/>
  </r>
  <r>
    <x v="1"/>
    <x v="0"/>
    <s v="HCUMIE3008"/>
    <n v="0.5"/>
    <s v=""/>
    <n v="0"/>
    <s v="HCUMIE3008KH"/>
    <n v="1"/>
    <s v=""/>
    <n v="0"/>
    <s v="E3"/>
    <s v="모자"/>
    <s v="HCU"/>
    <s v="MI"/>
    <x v="12"/>
    <s v="HCUMIE3008"/>
    <s v="HCUMIE3008KH"/>
    <x v="0"/>
    <n v="1000"/>
    <n v="49000000"/>
    <n v="9520000"/>
    <n v="4.6791443850267376"/>
    <n v="0"/>
    <n v="1000"/>
  </r>
  <r>
    <x v="1"/>
    <x v="0"/>
    <s v="HCUMIE3109"/>
    <n v="1"/>
    <s v=""/>
    <n v="0"/>
    <s v="HCUMIE3109GY"/>
    <n v="1"/>
    <s v=""/>
    <n v="0"/>
    <s v="E3"/>
    <s v="모자"/>
    <s v="HCU"/>
    <s v="MI"/>
    <x v="12"/>
    <s v="HCUMIE3109"/>
    <s v="HCUMIE3109GY"/>
    <x v="0"/>
    <n v="800"/>
    <n v="44000000"/>
    <n v="7229600"/>
    <n v="5.5328095606949201"/>
    <n v="0"/>
    <n v="800"/>
  </r>
  <r>
    <x v="1"/>
    <x v="0"/>
    <s v="HCUMIE3110"/>
    <n v="1"/>
    <s v=""/>
    <n v="0"/>
    <s v="HCUMIE3110GY"/>
    <n v="1"/>
    <s v=""/>
    <n v="0"/>
    <s v="E3"/>
    <s v="모자"/>
    <s v="HCU"/>
    <s v="MI"/>
    <x v="12"/>
    <s v="HCUMIE3110"/>
    <s v="HCUMIE3110GY"/>
    <x v="0"/>
    <n v="800"/>
    <n v="47200000"/>
    <n v="6253040.0000000009"/>
    <n v="6.8621168118372662"/>
    <n v="0"/>
    <n v="800"/>
  </r>
  <r>
    <x v="1"/>
    <x v="0"/>
    <s v="VBLBAE3101"/>
    <n v="1"/>
    <s v=""/>
    <n v="0"/>
    <s v="VBLBAE3101GY"/>
    <n v="1"/>
    <s v=""/>
    <n v="0"/>
    <s v="E3"/>
    <s v="모자"/>
    <s v="VBL"/>
    <s v="BA"/>
    <x v="10"/>
    <s v="VBLBAE3101"/>
    <s v="VBLBAE3101GY"/>
    <x v="0"/>
    <n v="1000"/>
    <n v="59000000"/>
    <n v="12520000"/>
    <n v="4.2840546035434208"/>
    <n v="0"/>
    <n v="1000"/>
  </r>
  <r>
    <x v="1"/>
    <x v="0"/>
    <s v="VBLBAE3107"/>
    <n v="1"/>
    <s v=""/>
    <n v="0"/>
    <s v="VBLBAE3107NY"/>
    <n v="1"/>
    <s v=""/>
    <n v="0"/>
    <s v="E3"/>
    <s v="모자"/>
    <s v="VBL"/>
    <s v="BA"/>
    <x v="10"/>
    <s v="VBLBAE3107"/>
    <s v="VBLBAE3107NY"/>
    <x v="0"/>
    <n v="1000"/>
    <n v="55000000"/>
    <n v="11020000"/>
    <n v="4.5372050816696907"/>
    <n v="0"/>
    <n v="1000"/>
  </r>
  <r>
    <x v="1"/>
    <x v="0"/>
    <s v="ELSERE5022"/>
    <n v="1"/>
    <s v=""/>
    <n v="0"/>
    <s v="ELSERE5022NY"/>
    <n v="1"/>
    <s v=""/>
    <n v="0"/>
    <s v="E5"/>
    <s v="모자"/>
    <s v="ELS"/>
    <s v="ER"/>
    <x v="3"/>
    <s v="ELSERE5022"/>
    <s v="ELSERE5022NY"/>
    <x v="0"/>
    <n v="1200"/>
    <n v="70800000"/>
    <n v="11400288"/>
    <n v="5.6457903838601586"/>
    <n v="0"/>
    <n v="1200"/>
  </r>
  <r>
    <x v="1"/>
    <x v="0"/>
    <s v="ELSERE5144"/>
    <n v="1"/>
    <s v=""/>
    <n v="0"/>
    <s v="ELSERE5144RE"/>
    <n v="1"/>
    <s v=""/>
    <n v="0"/>
    <s v="E5"/>
    <s v="모자"/>
    <s v="ELS"/>
    <s v="ER"/>
    <x v="3"/>
    <s v="ELSERE5144"/>
    <s v="ELSERE5144RE"/>
    <x v="0"/>
    <n v="3000"/>
    <n v="207000000"/>
    <n v="31386270"/>
    <n v="5.9956732093943685"/>
    <n v="0"/>
    <n v="3000"/>
  </r>
  <r>
    <x v="1"/>
    <x v="0"/>
    <s v="ELSERE5644"/>
    <n v="1"/>
    <s v=""/>
    <n v="0"/>
    <s v="ELSERE5644RE"/>
    <n v="1"/>
    <s v=""/>
    <n v="0"/>
    <s v="E5"/>
    <s v="모자"/>
    <s v="ELS"/>
    <s v="ER"/>
    <x v="3"/>
    <s v="ELSERE5644"/>
    <s v="ELSERE5644RE"/>
    <x v="0"/>
    <n v="2000"/>
    <n v="126000000"/>
    <n v="19955989.999999996"/>
    <n v="5.7399033846706962"/>
    <n v="0"/>
    <n v="2000"/>
  </r>
  <r>
    <x v="1"/>
    <x v="0"/>
    <s v="ELSERE5145"/>
    <n v="1"/>
    <s v=""/>
    <n v="0"/>
    <s v="ELSERE5145BK"/>
    <n v="1"/>
    <s v=""/>
    <n v="0"/>
    <s v="E5"/>
    <s v="모자"/>
    <s v="ELS"/>
    <s v="ER"/>
    <x v="3"/>
    <s v="ELSERE5145"/>
    <s v="ELSERE5145BK"/>
    <x v="0"/>
    <n v="2500"/>
    <n v="172500000"/>
    <n v="26277600.000000004"/>
    <n v="5.9677513097916774"/>
    <n v="0"/>
    <n v="2500"/>
  </r>
  <r>
    <x v="0"/>
    <x v="0"/>
    <s v="ELSFIE3325"/>
    <n v="1"/>
    <s v=""/>
    <n v="0"/>
    <s v="ELSFIE3325LI"/>
    <n v="1"/>
    <s v=""/>
    <n v="0"/>
    <s v="E3"/>
    <s v="모자"/>
    <s v="ELS"/>
    <s v="FI"/>
    <x v="3"/>
    <s v="ELSFIE3325"/>
    <s v="ELSFIE3325LI"/>
    <x v="0"/>
    <n v="1000"/>
    <n v="49000000"/>
    <n v="6488000"/>
    <n v="6.8658222172402192"/>
    <n v="0"/>
    <n v="1000"/>
  </r>
  <r>
    <x v="0"/>
    <x v="0"/>
    <s v="ELSFIE3825"/>
    <n v="1"/>
    <s v=""/>
    <n v="0"/>
    <s v="ELSFIE3825LI"/>
    <n v="1"/>
    <s v=""/>
    <n v="0"/>
    <s v="E3"/>
    <s v="모자"/>
    <s v="ELS"/>
    <s v="FI"/>
    <x v="3"/>
    <s v="ELSFIE3825"/>
    <s v="ELSFIE3825LI"/>
    <x v="0"/>
    <n v="1000"/>
    <n v="43000000"/>
    <n v="6372500"/>
    <n v="6.1343129212882053"/>
    <n v="0"/>
    <n v="1000"/>
  </r>
  <r>
    <x v="0"/>
    <x v="0"/>
    <s v="ELSFIE3326"/>
    <n v="0.5"/>
    <s v=""/>
    <n v="0"/>
    <s v="ELSFIE3326KH"/>
    <n v="1"/>
    <s v=""/>
    <n v="0"/>
    <s v="E3"/>
    <s v="모자"/>
    <s v="ELS"/>
    <s v="FI"/>
    <x v="3"/>
    <s v="ELSFIE3326"/>
    <s v="ELSFIE3326KH"/>
    <x v="0"/>
    <n v="1200"/>
    <n v="58800000"/>
    <n v="6954000"/>
    <n v="7.6868774021491868"/>
    <n v="0"/>
    <n v="1200"/>
  </r>
  <r>
    <x v="0"/>
    <x v="0"/>
    <s v="ELSFIE3826"/>
    <n v="0.5"/>
    <s v=""/>
    <n v="0"/>
    <s v="ELSFIE3826KH"/>
    <n v="1"/>
    <s v=""/>
    <n v="0"/>
    <s v="E3"/>
    <s v="모자"/>
    <s v="ELS"/>
    <s v="FI"/>
    <x v="3"/>
    <s v="ELSFIE3826"/>
    <s v="ELSFIE3826KH"/>
    <x v="0"/>
    <n v="1200"/>
    <n v="51600000"/>
    <n v="6815400.0000000009"/>
    <n v="6.8828081857397798"/>
    <n v="0"/>
    <n v="1200"/>
  </r>
  <r>
    <x v="0"/>
    <x v="0"/>
    <s v="ELSFIE3326"/>
    <n v="0.5"/>
    <s v=""/>
    <n v="0"/>
    <s v="ELSFIE3326RE"/>
    <n v="1"/>
    <s v=""/>
    <n v="0"/>
    <s v="E3"/>
    <s v="모자"/>
    <s v="ELS"/>
    <s v="FI"/>
    <x v="3"/>
    <s v="ELSFIE3326"/>
    <s v="ELSFIE3326RE"/>
    <x v="0"/>
    <n v="1200"/>
    <n v="58800000"/>
    <n v="6954000"/>
    <n v="7.6868774021491868"/>
    <n v="0"/>
    <n v="1200"/>
  </r>
  <r>
    <x v="0"/>
    <x v="0"/>
    <s v="ELSFIE3826"/>
    <n v="0.5"/>
    <s v=""/>
    <n v="0"/>
    <s v="ELSFIE3826RE"/>
    <n v="1"/>
    <s v=""/>
    <n v="0"/>
    <s v="E3"/>
    <s v="모자"/>
    <s v="ELS"/>
    <s v="FI"/>
    <x v="3"/>
    <s v="ELSFIE3826"/>
    <s v="ELSFIE3826RE"/>
    <x v="0"/>
    <n v="1200"/>
    <n v="51600000"/>
    <n v="6815400.0000000009"/>
    <n v="6.8828081857397798"/>
    <n v="0"/>
    <n v="1200"/>
  </r>
  <r>
    <x v="0"/>
    <x v="0"/>
    <s v="ELSMIE3327"/>
    <n v="1"/>
    <s v=""/>
    <n v="0"/>
    <s v="ELSMIE3327BK"/>
    <n v="1"/>
    <s v=""/>
    <n v="0"/>
    <s v="E3"/>
    <s v="모자"/>
    <s v="ELS"/>
    <s v="MI"/>
    <x v="3"/>
    <s v="ELSMIE3327"/>
    <s v="ELSMIE3327BK"/>
    <x v="0"/>
    <n v="800"/>
    <n v="39200000"/>
    <n v="7188080"/>
    <n v="4.9577027017456166"/>
    <n v="0"/>
    <n v="800"/>
  </r>
  <r>
    <x v="1"/>
    <x v="0"/>
    <s v="ELSBEE5149"/>
    <n v="1"/>
    <s v=""/>
    <n v="0"/>
    <s v="ELSBEE5149BK"/>
    <n v="1"/>
    <s v=""/>
    <n v="0"/>
    <s v="E5"/>
    <s v="모자"/>
    <s v="ELS"/>
    <s v="BE"/>
    <x v="3"/>
    <s v="ELSBEE5149"/>
    <s v="ELSBEE5149BK"/>
    <x v="0"/>
    <n v="700"/>
    <n v="30100000"/>
    <n v="3943310.0000000009"/>
    <n v="6.939255692206892"/>
    <n v="0"/>
    <n v="700"/>
  </r>
  <r>
    <x v="0"/>
    <x v="0"/>
    <s v="ELSEBE5328"/>
    <n v="0.5"/>
    <s v=""/>
    <n v="0"/>
    <s v="ELSEBE5328GY"/>
    <n v="1"/>
    <s v=""/>
    <n v="0"/>
    <s v="E5"/>
    <s v="모자"/>
    <s v="ELS"/>
    <s v="EB"/>
    <x v="3"/>
    <s v="ELSEBE5328"/>
    <s v="ELSEBE5328GY"/>
    <x v="0"/>
    <n v="700"/>
    <n v="34300000"/>
    <n v="5929562.0000000009"/>
    <n v="5.2587051424402302"/>
    <n v="0"/>
    <n v="700"/>
  </r>
  <r>
    <x v="0"/>
    <x v="0"/>
    <s v="ELSEBE5828"/>
    <n v="0.5"/>
    <s v=""/>
    <n v="0"/>
    <s v="ELSEBE5828GY"/>
    <n v="1"/>
    <s v=""/>
    <n v="0"/>
    <s v="E5"/>
    <s v="모자"/>
    <s v="ELS"/>
    <s v="EB"/>
    <x v="3"/>
    <s v="ELSEBE5828"/>
    <s v="ELSEBE5828GY"/>
    <x v="0"/>
    <n v="700"/>
    <n v="31500000"/>
    <n v="5623826.0000000009"/>
    <n v="5.0919718420099818"/>
    <n v="0"/>
    <n v="700"/>
  </r>
  <r>
    <x v="0"/>
    <x v="0"/>
    <s v="ELSEBE5328"/>
    <n v="0.5"/>
    <s v=""/>
    <n v="0"/>
    <s v="ELSEBE5328MT"/>
    <n v="1"/>
    <s v=""/>
    <n v="0"/>
    <s v="E5"/>
    <s v="모자"/>
    <s v="ELS"/>
    <s v="EB"/>
    <x v="3"/>
    <s v="ELSEBE5328"/>
    <s v="ELSEBE5328MT"/>
    <x v="0"/>
    <n v="700"/>
    <n v="34300000"/>
    <n v="5929562.0000000009"/>
    <n v="5.2587051424402302"/>
    <n v="0"/>
    <n v="700"/>
  </r>
  <r>
    <x v="0"/>
    <x v="0"/>
    <s v="ELSEBE5828"/>
    <n v="0.5"/>
    <s v=""/>
    <n v="0"/>
    <s v="ELSEBE5828MT"/>
    <n v="1"/>
    <s v=""/>
    <n v="0"/>
    <s v="E5"/>
    <s v="모자"/>
    <s v="ELS"/>
    <s v="EB"/>
    <x v="3"/>
    <s v="ELSEBE5828"/>
    <s v="ELSEBE5828MT"/>
    <x v="0"/>
    <n v="700"/>
    <n v="31500000"/>
    <n v="5623826.0000000009"/>
    <n v="5.0919718420099818"/>
    <n v="0"/>
    <n v="700"/>
  </r>
  <r>
    <x v="0"/>
    <x v="0"/>
    <s v="ELSEBE5329"/>
    <n v="0.33333333333333331"/>
    <s v=""/>
    <n v="0"/>
    <s v="ELSEBE5329NY"/>
    <n v="1"/>
    <s v=""/>
    <n v="0"/>
    <s v="E5"/>
    <s v="모자"/>
    <s v="ELS"/>
    <s v="EB"/>
    <x v="3"/>
    <s v="ELSEBE5329"/>
    <s v="ELSEBE5329NY"/>
    <x v="0"/>
    <n v="500"/>
    <n v="22500000"/>
    <n v="3382315.0000000009"/>
    <n v="6.0474986671984858"/>
    <n v="0"/>
    <n v="500"/>
  </r>
  <r>
    <x v="0"/>
    <x v="0"/>
    <s v="ELSEBE5829"/>
    <n v="0.33333333333333331"/>
    <s v=""/>
    <n v="0"/>
    <s v="ELSEBE5829NY"/>
    <n v="1"/>
    <s v=""/>
    <n v="0"/>
    <s v="E5"/>
    <s v="모자"/>
    <s v="ELS"/>
    <s v="EB"/>
    <x v="3"/>
    <s v="ELSEBE5829"/>
    <s v="ELSEBE5829NY"/>
    <x v="0"/>
    <n v="500"/>
    <n v="21500000"/>
    <n v="3178390.0000000005"/>
    <n v="6.1494827712944415"/>
    <n v="0"/>
    <n v="500"/>
  </r>
  <r>
    <x v="0"/>
    <x v="0"/>
    <s v="ELSEBE5329"/>
    <n v="0.33333333333333331"/>
    <s v=""/>
    <n v="0"/>
    <s v="ELSEBE5329MT"/>
    <n v="1"/>
    <s v=""/>
    <n v="0"/>
    <s v="E5"/>
    <s v="모자"/>
    <s v="ELS"/>
    <s v="EB"/>
    <x v="3"/>
    <s v="ELSEBE5329"/>
    <s v="ELSEBE5329MT"/>
    <x v="0"/>
    <n v="500"/>
    <n v="22500000"/>
    <n v="3382315.0000000009"/>
    <n v="6.0474986671984858"/>
    <n v="0"/>
    <n v="500"/>
  </r>
  <r>
    <x v="0"/>
    <x v="0"/>
    <s v="ELSEBE5829"/>
    <n v="0.33333333333333331"/>
    <s v=""/>
    <n v="0"/>
    <s v="ELSEBE5829MT"/>
    <n v="1"/>
    <s v=""/>
    <n v="0"/>
    <s v="E5"/>
    <s v="모자"/>
    <s v="ELS"/>
    <s v="EB"/>
    <x v="3"/>
    <s v="ELSEBE5829"/>
    <s v="ELSEBE5829MT"/>
    <x v="0"/>
    <n v="500"/>
    <n v="21500000"/>
    <n v="3178390.0000000005"/>
    <n v="6.1494827712944415"/>
    <n v="0"/>
    <n v="500"/>
  </r>
  <r>
    <x v="0"/>
    <x v="0"/>
    <s v="ELSEBE5329"/>
    <n v="0.33333333333333331"/>
    <s v=""/>
    <n v="0"/>
    <s v="ELSEBE5329BL"/>
    <n v="1"/>
    <s v=""/>
    <n v="0"/>
    <s v="E5"/>
    <s v="모자"/>
    <s v="ELS"/>
    <s v="EB"/>
    <x v="3"/>
    <s v="ELSEBE5329"/>
    <s v="ELSEBE5329BL"/>
    <x v="0"/>
    <n v="500"/>
    <n v="22500000"/>
    <n v="3429815.0000000009"/>
    <n v="5.9637459905404366"/>
    <n v="0"/>
    <n v="500"/>
  </r>
  <r>
    <x v="0"/>
    <x v="0"/>
    <s v="ELSEBE5829"/>
    <n v="0.33333333333333331"/>
    <s v=""/>
    <n v="0"/>
    <s v="ELSEBE5829BL"/>
    <n v="1"/>
    <s v=""/>
    <n v="0"/>
    <s v="E5"/>
    <s v="모자"/>
    <s v="ELS"/>
    <s v="EB"/>
    <x v="3"/>
    <s v="ELSEBE5829"/>
    <s v="ELSEBE5829BL"/>
    <x v="0"/>
    <n v="500"/>
    <n v="21500000"/>
    <n v="3217890.0000000005"/>
    <n v="6.0739971053872379"/>
    <n v="0"/>
    <n v="500"/>
  </r>
  <r>
    <x v="0"/>
    <x v="0"/>
    <s v="ELSEBE5330"/>
    <n v="1"/>
    <s v=""/>
    <n v="0"/>
    <s v="ELSEBE5330BL"/>
    <n v="1"/>
    <s v=""/>
    <n v="0"/>
    <s v="E5"/>
    <s v="모자"/>
    <s v="ELS"/>
    <s v="EB"/>
    <x v="3"/>
    <s v="ELSEBE5330"/>
    <s v="ELSEBE5330BL"/>
    <x v="0"/>
    <n v="700"/>
    <n v="34300000"/>
    <n v="5876444"/>
    <n v="5.3062393144252171"/>
    <n v="0"/>
    <n v="700"/>
  </r>
  <r>
    <x v="0"/>
    <x v="0"/>
    <s v="ELSEBE5830"/>
    <n v="1"/>
    <s v=""/>
    <n v="0"/>
    <s v="ELSEBE5830BL"/>
    <n v="1"/>
    <s v=""/>
    <n v="0"/>
    <s v="E5"/>
    <s v="모자"/>
    <s v="ELS"/>
    <s v="EB"/>
    <x v="3"/>
    <s v="ELSEBE5830"/>
    <s v="ELSEBE5830BL"/>
    <x v="0"/>
    <n v="700"/>
    <n v="31500000"/>
    <n v="5587808"/>
    <n v="5.124793771790948"/>
    <n v="0"/>
    <n v="700"/>
  </r>
  <r>
    <x v="0"/>
    <x v="0"/>
    <s v="ELSBEE5804"/>
    <n v="0.33333333333333331"/>
    <s v=""/>
    <n v="0"/>
    <s v="ELSBEE5804BK"/>
    <n v="1"/>
    <s v=""/>
    <n v="0"/>
    <s v="E5"/>
    <s v="모자"/>
    <s v="ELS"/>
    <s v="BE"/>
    <x v="3"/>
    <s v="ELSBEE5804"/>
    <s v="ELSBEE5804BK"/>
    <x v="0"/>
    <n v="500"/>
    <n v="17500000"/>
    <n v="3222055.0000000009"/>
    <n v="4.9375603175895204"/>
    <n v="0"/>
    <n v="500"/>
  </r>
  <r>
    <x v="0"/>
    <x v="0"/>
    <s v="ELSBEE5804"/>
    <n v="0.33333333333333331"/>
    <s v=""/>
    <n v="0"/>
    <s v="ELSBEE5804GR"/>
    <n v="1"/>
    <s v=""/>
    <n v="0"/>
    <s v="E5"/>
    <s v="모자"/>
    <s v="ELS"/>
    <s v="BE"/>
    <x v="3"/>
    <s v="ELSBEE5804"/>
    <s v="ELSBEE5804GR"/>
    <x v="0"/>
    <n v="500"/>
    <n v="17500000"/>
    <n v="3222055.0000000009"/>
    <n v="4.9375603175895204"/>
    <n v="0"/>
    <n v="500"/>
  </r>
  <r>
    <x v="0"/>
    <x v="0"/>
    <s v="ELSBEE5804"/>
    <n v="0.33333333333333331"/>
    <s v=""/>
    <n v="0"/>
    <s v="ELSBEE5804PK"/>
    <n v="1"/>
    <s v=""/>
    <n v="0"/>
    <s v="E5"/>
    <s v="모자"/>
    <s v="ELS"/>
    <s v="BE"/>
    <x v="3"/>
    <s v="ELSBEE5804"/>
    <s v="ELSBEE5804PK"/>
    <x v="0"/>
    <n v="500"/>
    <n v="17500000"/>
    <n v="3222055.0000000009"/>
    <n v="4.9375603175895204"/>
    <n v="0"/>
    <n v="500"/>
  </r>
  <r>
    <x v="0"/>
    <x v="0"/>
    <s v="JILBEE5341"/>
    <n v="1"/>
    <s v=""/>
    <n v="0"/>
    <s v="JILBEE5341ZZ"/>
    <n v="1"/>
    <s v=""/>
    <n v="0"/>
    <s v="E5"/>
    <s v="모자"/>
    <s v="JIL"/>
    <s v="BE"/>
    <x v="4"/>
    <s v="JILBEE5341"/>
    <s v="JILBEE5341ZZ"/>
    <x v="0"/>
    <n v="700"/>
    <n v="30100000"/>
    <n v="3120299"/>
    <n v="8.7695558546268675"/>
    <n v="0"/>
    <n v="700"/>
  </r>
  <r>
    <x v="0"/>
    <x v="0"/>
    <s v="JILBEE5342"/>
    <n v="0.5"/>
    <s v=""/>
    <n v="0"/>
    <s v="JILBEE5342NY"/>
    <n v="1"/>
    <s v=""/>
    <n v="0"/>
    <s v="E5"/>
    <s v="모자"/>
    <s v="JIL"/>
    <s v="BE"/>
    <x v="4"/>
    <s v="JILBEE5342"/>
    <s v="JILBEE5342NY"/>
    <x v="0"/>
    <n v="500"/>
    <n v="14500000"/>
    <n v="1646010"/>
    <n v="8.0083463537999044"/>
    <n v="0"/>
    <n v="500"/>
  </r>
  <r>
    <x v="0"/>
    <x v="0"/>
    <s v="JILBEE5842"/>
    <n v="0.5"/>
    <s v=""/>
    <n v="0"/>
    <s v="JILBEE5842NY"/>
    <n v="1"/>
    <s v=""/>
    <n v="0"/>
    <s v="E5"/>
    <s v="모자"/>
    <s v="JIL"/>
    <s v="BE"/>
    <x v="4"/>
    <s v="JILBEE5842"/>
    <s v="JILBEE5842NY"/>
    <x v="0"/>
    <n v="700"/>
    <n v="17500000"/>
    <n v="2307914"/>
    <n v="6.8932771797783223"/>
    <n v="0"/>
    <n v="700"/>
  </r>
  <r>
    <x v="0"/>
    <x v="0"/>
    <s v="JILBEE5342"/>
    <n v="0.5"/>
    <s v=""/>
    <n v="0"/>
    <s v="JILBEE5342GR"/>
    <n v="1"/>
    <s v=""/>
    <n v="0"/>
    <s v="E5"/>
    <s v="모자"/>
    <s v="JIL"/>
    <s v="BE"/>
    <x v="4"/>
    <s v="JILBEE5342"/>
    <s v="JILBEE5342GR"/>
    <x v="0"/>
    <n v="500"/>
    <n v="14500000"/>
    <n v="1646010"/>
    <n v="8.0083463537999044"/>
    <n v="0"/>
    <n v="500"/>
  </r>
  <r>
    <x v="0"/>
    <x v="0"/>
    <s v="JILBEE5842"/>
    <n v="0.5"/>
    <s v=""/>
    <n v="0"/>
    <s v="JILBEE5842GR"/>
    <n v="1"/>
    <s v=""/>
    <n v="0"/>
    <s v="E5"/>
    <s v="모자"/>
    <s v="JIL"/>
    <s v="BE"/>
    <x v="4"/>
    <s v="JILBEE5842"/>
    <s v="JILBEE5842GR"/>
    <x v="0"/>
    <n v="700"/>
    <n v="17500000"/>
    <n v="2307914"/>
    <n v="6.8932771797783223"/>
    <n v="0"/>
    <n v="700"/>
  </r>
  <r>
    <x v="0"/>
    <x v="0"/>
    <s v="JILEBE5343"/>
    <n v="1"/>
    <s v=""/>
    <n v="0"/>
    <s v="JILEBE5343RE"/>
    <n v="1"/>
    <s v=""/>
    <n v="0"/>
    <s v="E5"/>
    <s v="모자"/>
    <s v="JIL"/>
    <s v="EB"/>
    <x v="4"/>
    <s v="JILEBE5343"/>
    <s v="JILEBE5343RE"/>
    <x v="0"/>
    <n v="1200"/>
    <n v="51600000"/>
    <n v="6656184"/>
    <n v="7.04744503894287"/>
    <n v="0"/>
    <n v="1200"/>
  </r>
  <r>
    <x v="0"/>
    <x v="0"/>
    <s v="JILEBE5843"/>
    <n v="1"/>
    <s v=""/>
    <n v="0"/>
    <s v="JILEBE5843RE"/>
    <n v="1"/>
    <s v=""/>
    <n v="0"/>
    <s v="E5"/>
    <s v="모자"/>
    <s v="JIL"/>
    <s v="EB"/>
    <x v="4"/>
    <s v="JILEBE5843"/>
    <s v="JILEBE5843RE"/>
    <x v="0"/>
    <n v="1200"/>
    <n v="46800000"/>
    <n v="6617277.6000000006"/>
    <n v="6.4294498609903474"/>
    <n v="0"/>
    <n v="1200"/>
  </r>
  <r>
    <x v="0"/>
    <x v="0"/>
    <s v="JILBEE5344"/>
    <n v="0.5"/>
    <s v=""/>
    <n v="0"/>
    <s v="JILBEE5344RE"/>
    <n v="1"/>
    <s v=""/>
    <n v="0"/>
    <s v="E5"/>
    <s v="모자"/>
    <s v="JIL"/>
    <s v="BE"/>
    <x v="4"/>
    <s v="JILBEE5344"/>
    <s v="JILBEE5344RE"/>
    <x v="0"/>
    <n v="1200"/>
    <n v="46800000"/>
    <n v="5417366.3999999994"/>
    <n v="7.8535309233384227"/>
    <n v="0"/>
    <n v="1200"/>
  </r>
  <r>
    <x v="0"/>
    <x v="0"/>
    <s v="JILBEE5844"/>
    <n v="0.5"/>
    <s v=""/>
    <n v="0"/>
    <s v="JILBEE5844RE"/>
    <n v="1"/>
    <s v=""/>
    <n v="0"/>
    <s v="E5"/>
    <s v="모자"/>
    <s v="JIL"/>
    <s v="BE"/>
    <x v="4"/>
    <s v="JILBEE5844"/>
    <s v="JILBEE5844RE"/>
    <x v="0"/>
    <n v="1000"/>
    <n v="35000000"/>
    <n v="4519472"/>
    <n v="7.0402431563204324"/>
    <n v="0"/>
    <n v="1000"/>
  </r>
  <r>
    <x v="0"/>
    <x v="0"/>
    <s v="JILBEE5344"/>
    <n v="0.5"/>
    <s v=""/>
    <n v="0"/>
    <s v="JILBEE5344MT"/>
    <n v="1"/>
    <s v=""/>
    <n v="0"/>
    <s v="E5"/>
    <s v="모자"/>
    <s v="JIL"/>
    <s v="BE"/>
    <x v="4"/>
    <s v="JILBEE5344"/>
    <s v="JILBEE5344MT"/>
    <x v="0"/>
    <n v="1200"/>
    <n v="46800000"/>
    <n v="5417366.3999999994"/>
    <n v="7.8535309233384227"/>
    <n v="0"/>
    <n v="1200"/>
  </r>
  <r>
    <x v="0"/>
    <x v="0"/>
    <s v="JILBEE5844"/>
    <n v="0.5"/>
    <s v=""/>
    <n v="0"/>
    <s v="JILBEE5844MT"/>
    <n v="1"/>
    <s v=""/>
    <n v="0"/>
    <s v="E5"/>
    <s v="모자"/>
    <s v="JIL"/>
    <s v="BE"/>
    <x v="4"/>
    <s v="JILBEE5844"/>
    <s v="JILBEE5844MT"/>
    <x v="0"/>
    <n v="1000"/>
    <n v="35000000"/>
    <n v="4519472"/>
    <n v="7.0402431563204324"/>
    <n v="0"/>
    <n v="1000"/>
  </r>
  <r>
    <x v="0"/>
    <x v="0"/>
    <s v="JILBEE5345"/>
    <n v="0.25"/>
    <s v=""/>
    <n v="0"/>
    <s v="JILBEE5345BK"/>
    <n v="1"/>
    <s v=""/>
    <n v="0"/>
    <s v="E5"/>
    <s v="모자"/>
    <s v="JIL"/>
    <s v="BE"/>
    <x v="4"/>
    <s v="JILBEE5345"/>
    <s v="JILBEE5345BK"/>
    <x v="0"/>
    <n v="700"/>
    <n v="20300000"/>
    <n v="2814686.0000000005"/>
    <n v="6.5565201427603119"/>
    <n v="0"/>
    <n v="700"/>
  </r>
  <r>
    <x v="0"/>
    <x v="0"/>
    <s v="JILBEE5345"/>
    <n v="0.25"/>
    <s v=""/>
    <n v="0"/>
    <s v="JILBEE5345NY"/>
    <n v="1"/>
    <s v=""/>
    <n v="0"/>
    <s v="E5"/>
    <s v="모자"/>
    <s v="JIL"/>
    <s v="BE"/>
    <x v="4"/>
    <s v="JILBEE5345"/>
    <s v="JILBEE5345NY"/>
    <x v="0"/>
    <n v="700"/>
    <n v="20300000"/>
    <n v="2814686.0000000005"/>
    <n v="6.5565201427603119"/>
    <n v="0"/>
    <n v="700"/>
  </r>
  <r>
    <x v="0"/>
    <x v="0"/>
    <s v="JILBEE5345"/>
    <n v="0.25"/>
    <s v=""/>
    <n v="0"/>
    <s v="JILBEE5345GY"/>
    <n v="1"/>
    <s v=""/>
    <n v="0"/>
    <s v="E5"/>
    <s v="모자"/>
    <s v="JIL"/>
    <s v="BE"/>
    <x v="4"/>
    <s v="JILBEE5345"/>
    <s v="JILBEE5345GY"/>
    <x v="0"/>
    <n v="500"/>
    <n v="14500000"/>
    <n v="2010490.0000000005"/>
    <n v="6.5565201427603119"/>
    <n v="0"/>
    <n v="500"/>
  </r>
  <r>
    <x v="0"/>
    <x v="0"/>
    <s v="JILBEE5345"/>
    <n v="0.25"/>
    <s v=""/>
    <n v="0"/>
    <s v="JILBEE5345PK"/>
    <n v="1"/>
    <s v=""/>
    <n v="0"/>
    <s v="E5"/>
    <s v="모자"/>
    <s v="JIL"/>
    <s v="BE"/>
    <x v="4"/>
    <s v="JILBEE5345"/>
    <s v="JILBEE5345PK"/>
    <x v="0"/>
    <n v="500"/>
    <n v="14500000"/>
    <n v="2010490.0000000005"/>
    <n v="6.5565201427603119"/>
    <n v="0"/>
    <n v="500"/>
  </r>
  <r>
    <x v="0"/>
    <x v="0"/>
    <s v="JILEBE5346"/>
    <n v="0.33333333333333331"/>
    <s v=""/>
    <n v="0"/>
    <s v="JILEBE5346BU"/>
    <n v="1"/>
    <s v=""/>
    <n v="0"/>
    <s v="E5"/>
    <s v="모자"/>
    <s v="JIL"/>
    <s v="EB"/>
    <x v="4"/>
    <s v="JILEBE5346"/>
    <s v="JILEBE5346BU"/>
    <x v="0"/>
    <n v="700"/>
    <n v="30100000"/>
    <n v="3657843.0000000005"/>
    <n v="7.4808121517616692"/>
    <n v="0"/>
    <n v="700"/>
  </r>
  <r>
    <x v="0"/>
    <x v="0"/>
    <s v="JILEBE5346"/>
    <n v="0.33333333333333331"/>
    <s v=""/>
    <n v="0"/>
    <s v="JILEBE5346BK"/>
    <n v="1"/>
    <s v=""/>
    <n v="0"/>
    <s v="E5"/>
    <s v="모자"/>
    <s v="JIL"/>
    <s v="EB"/>
    <x v="4"/>
    <s v="JILEBE5346"/>
    <s v="JILEBE5346BK"/>
    <x v="0"/>
    <n v="700"/>
    <n v="30100000"/>
    <n v="3657843.0000000005"/>
    <n v="7.4808121517616692"/>
    <n v="0"/>
    <n v="700"/>
  </r>
  <r>
    <x v="0"/>
    <x v="0"/>
    <s v="JILEBE5346"/>
    <n v="0.33333333333333331"/>
    <s v=""/>
    <n v="0"/>
    <s v="JILEBE5346YE"/>
    <n v="1"/>
    <s v=""/>
    <n v="0"/>
    <s v="E5"/>
    <s v="모자"/>
    <s v="JIL"/>
    <s v="EB"/>
    <x v="4"/>
    <s v="JILEBE5346"/>
    <s v="JILEBE5346YE"/>
    <x v="0"/>
    <n v="700"/>
    <n v="30100000"/>
    <n v="3657843.0000000005"/>
    <n v="7.4808121517616692"/>
    <n v="0"/>
    <n v="700"/>
  </r>
  <r>
    <x v="0"/>
    <x v="0"/>
    <s v="JILVBE5347"/>
    <n v="0.5"/>
    <s v=""/>
    <n v="0"/>
    <s v="JILVBE5347BW"/>
    <n v="1"/>
    <s v=""/>
    <n v="0"/>
    <s v="E5"/>
    <s v="모자"/>
    <s v="JIL"/>
    <s v="VB"/>
    <x v="4"/>
    <s v="JILVBE5347"/>
    <s v="JILVBE5347BW"/>
    <x v="0"/>
    <n v="500"/>
    <n v="22500000"/>
    <n v="3248919.0000000005"/>
    <n v="6.2958003737690751"/>
    <n v="0"/>
    <n v="500"/>
  </r>
  <r>
    <x v="0"/>
    <x v="0"/>
    <s v="JILVBE5347"/>
    <n v="0.5"/>
    <s v=""/>
    <n v="0"/>
    <s v="JILVBE5347BK"/>
    <n v="1"/>
    <s v=""/>
    <n v="0"/>
    <s v="E5"/>
    <s v="모자"/>
    <s v="JIL"/>
    <s v="VB"/>
    <x v="4"/>
    <s v="JILVBE5347"/>
    <s v="JILVBE5347BK"/>
    <x v="0"/>
    <n v="500"/>
    <n v="22500000"/>
    <n v="3248919.0000000005"/>
    <n v="6.2958003737690751"/>
    <n v="0"/>
    <n v="500"/>
  </r>
  <r>
    <x v="0"/>
    <x v="0"/>
    <s v="JILBEE5348"/>
    <n v="0.16666666666666666"/>
    <s v=""/>
    <n v="0"/>
    <s v="JILBEE5348GR"/>
    <n v="1"/>
    <s v=""/>
    <n v="0"/>
    <s v="E5"/>
    <s v="모자"/>
    <s v="JIL"/>
    <s v="BE"/>
    <x v="4"/>
    <s v="JILBEE5348"/>
    <s v="JILBEE5348GR"/>
    <x v="0"/>
    <n v="1500"/>
    <n v="58500000"/>
    <n v="6677685"/>
    <n v="7.9641100443968496"/>
    <n v="0"/>
    <n v="1500"/>
  </r>
  <r>
    <x v="0"/>
    <x v="0"/>
    <s v="JILBEE5348"/>
    <n v="0.16666666666666666"/>
    <s v=""/>
    <n v="0"/>
    <s v="JILBEE5348GY"/>
    <n v="1"/>
    <s v=""/>
    <n v="0"/>
    <s v="E5"/>
    <s v="모자"/>
    <s v="JIL"/>
    <s v="BE"/>
    <x v="4"/>
    <s v="JILBEE5348"/>
    <s v="JILBEE5348GY"/>
    <x v="0"/>
    <n v="1000"/>
    <n v="39000000"/>
    <n v="4451790"/>
    <n v="7.9641100443968504"/>
    <n v="0"/>
    <n v="1000"/>
  </r>
  <r>
    <x v="0"/>
    <x v="0"/>
    <s v="JILBEE5348"/>
    <n v="0.16666666666666666"/>
    <s v=""/>
    <n v="0"/>
    <s v="JILBEE5348BL"/>
    <n v="1"/>
    <s v=""/>
    <n v="0"/>
    <s v="E5"/>
    <s v="모자"/>
    <s v="JIL"/>
    <s v="BE"/>
    <x v="4"/>
    <s v="JILBEE5348"/>
    <s v="JILBEE5348BL"/>
    <x v="0"/>
    <n v="1500"/>
    <n v="58500000"/>
    <n v="6677685"/>
    <n v="7.9641100443968496"/>
    <n v="0"/>
    <n v="1500"/>
  </r>
  <r>
    <x v="0"/>
    <x v="0"/>
    <s v="JILBEE5348"/>
    <n v="0.16666666666666666"/>
    <s v=""/>
    <n v="0"/>
    <s v="JILBEE5348BK"/>
    <n v="1"/>
    <s v=""/>
    <n v="0"/>
    <s v="E5"/>
    <s v="모자"/>
    <s v="JIL"/>
    <s v="BE"/>
    <x v="4"/>
    <s v="JILBEE5348"/>
    <s v="JILBEE5348BK"/>
    <x v="0"/>
    <n v="2000"/>
    <n v="78000000"/>
    <n v="8903580"/>
    <n v="7.9641100443968504"/>
    <n v="0"/>
    <n v="2000"/>
  </r>
  <r>
    <x v="0"/>
    <x v="0"/>
    <s v="JILBEE5348"/>
    <n v="0.16666666666666666"/>
    <s v=""/>
    <n v="0"/>
    <s v="JILBEE5348RE"/>
    <n v="1"/>
    <s v=""/>
    <n v="0"/>
    <s v="E5"/>
    <s v="모자"/>
    <s v="JIL"/>
    <s v="BE"/>
    <x v="4"/>
    <s v="JILBEE5348"/>
    <s v="JILBEE5348RE"/>
    <x v="0"/>
    <n v="2000"/>
    <n v="78000000"/>
    <n v="8903580"/>
    <n v="7.9641100443968504"/>
    <n v="0"/>
    <n v="2000"/>
  </r>
  <r>
    <x v="0"/>
    <x v="0"/>
    <s v="JILBEE5348"/>
    <n v="0.16666666666666666"/>
    <s v=""/>
    <n v="0"/>
    <s v="JILBEE5348CL"/>
    <n v="1"/>
    <s v=""/>
    <n v="0"/>
    <s v="E5"/>
    <s v="모자"/>
    <s v="JIL"/>
    <s v="BE"/>
    <x v="4"/>
    <s v="JILBEE5348"/>
    <s v="JILBEE5348CL"/>
    <x v="0"/>
    <n v="1000"/>
    <n v="39000000"/>
    <n v="4451790"/>
    <n v="7.9641100443968504"/>
    <n v="0"/>
    <n v="1000"/>
  </r>
  <r>
    <x v="0"/>
    <x v="0"/>
    <s v="JILBEE5349"/>
    <n v="1"/>
    <s v=""/>
    <n v="0"/>
    <s v="JILBEE5349BK"/>
    <n v="1"/>
    <s v=""/>
    <n v="0"/>
    <s v="E5"/>
    <s v="모자"/>
    <s v="JIL"/>
    <s v="BE"/>
    <x v="4"/>
    <s v="JILBEE5349"/>
    <s v="JILBEE5349BK"/>
    <x v="0"/>
    <n v="500"/>
    <n v="21500000"/>
    <n v="1785411.9999999998"/>
    <n v="10.947307705702967"/>
    <n v="0"/>
    <n v="500"/>
  </r>
  <r>
    <x v="0"/>
    <x v="0"/>
    <s v="JILBEE5849"/>
    <n v="1"/>
    <s v=""/>
    <n v="0"/>
    <s v="JILBEE5849BK"/>
    <n v="1"/>
    <s v=""/>
    <n v="0"/>
    <s v="E5"/>
    <s v="모자"/>
    <s v="JIL"/>
    <s v="BE"/>
    <x v="4"/>
    <s v="JILBEE5849"/>
    <s v="JILBEE5849BK"/>
    <x v="0"/>
    <n v="500"/>
    <n v="19500000"/>
    <n v="1787911.9999999998"/>
    <n v="9.9150700522580131"/>
    <n v="0"/>
    <n v="500"/>
  </r>
  <r>
    <x v="0"/>
    <x v="0"/>
    <s v="JILEBE5350"/>
    <n v="0.5"/>
    <s v=""/>
    <n v="0"/>
    <s v="JILEBE5350BW"/>
    <n v="1"/>
    <s v=""/>
    <n v="0"/>
    <s v="E5"/>
    <s v="모자"/>
    <s v="JIL"/>
    <s v="EB"/>
    <x v="4"/>
    <s v="JILEBE5350"/>
    <s v="JILEBE5350BW"/>
    <x v="0"/>
    <n v="1000"/>
    <n v="43000000"/>
    <n v="6237000"/>
    <n v="6.2675820251577816"/>
    <n v="0"/>
    <n v="1000"/>
  </r>
  <r>
    <x v="0"/>
    <x v="0"/>
    <s v="JILEBE5850"/>
    <n v="0.5"/>
    <s v=""/>
    <n v="0"/>
    <s v="JILEBE5850BW"/>
    <n v="1"/>
    <s v=""/>
    <n v="0"/>
    <s v="E5"/>
    <s v="모자"/>
    <s v="JIL"/>
    <s v="EB"/>
    <x v="4"/>
    <s v="JILEBE5850"/>
    <s v="JILEBE5850BW"/>
    <x v="0"/>
    <n v="800"/>
    <n v="31200000"/>
    <n v="4989600"/>
    <n v="5.6845511390965937"/>
    <n v="0"/>
    <n v="800"/>
  </r>
  <r>
    <x v="0"/>
    <x v="0"/>
    <s v="JILEBE5350"/>
    <n v="0.5"/>
    <s v=""/>
    <n v="0"/>
    <s v="JILEBE5350NY"/>
    <n v="1"/>
    <s v=""/>
    <n v="0"/>
    <s v="E5"/>
    <s v="모자"/>
    <s v="JIL"/>
    <s v="EB"/>
    <x v="4"/>
    <s v="JILEBE5350"/>
    <s v="JILEBE5350NY"/>
    <x v="0"/>
    <n v="800"/>
    <n v="34400000"/>
    <n v="4989600"/>
    <n v="6.2675820251577825"/>
    <n v="0"/>
    <n v="800"/>
  </r>
  <r>
    <x v="0"/>
    <x v="0"/>
    <s v="JILEBE5850"/>
    <n v="0.5"/>
    <s v=""/>
    <n v="0"/>
    <s v="JILEBE5850NY"/>
    <n v="1"/>
    <s v=""/>
    <n v="0"/>
    <s v="E5"/>
    <s v="모자"/>
    <s v="JIL"/>
    <s v="EB"/>
    <x v="4"/>
    <s v="JILEBE5850"/>
    <s v="JILEBE5850NY"/>
    <x v="0"/>
    <n v="600"/>
    <n v="23400000"/>
    <n v="3742200"/>
    <n v="5.6845511390965928"/>
    <n v="0"/>
    <n v="600"/>
  </r>
  <r>
    <x v="0"/>
    <x v="0"/>
    <s v="JILBEE5352"/>
    <n v="0.5"/>
    <s v=""/>
    <n v="0"/>
    <s v="JILBEE5352BK"/>
    <n v="1"/>
    <s v=""/>
    <n v="0"/>
    <s v="E5"/>
    <s v="모자"/>
    <s v="JIL"/>
    <s v="BE"/>
    <x v="4"/>
    <s v="JILBEE5352"/>
    <s v="JILBEE5352BK"/>
    <x v="0"/>
    <n v="500"/>
    <n v="19500000"/>
    <n v="2089395"/>
    <n v="8.4844046852187969"/>
    <n v="0"/>
    <n v="500"/>
  </r>
  <r>
    <x v="0"/>
    <x v="0"/>
    <s v="JILBEE5352"/>
    <n v="0.5"/>
    <s v=""/>
    <n v="0"/>
    <s v="JILBEE5352GY"/>
    <n v="1"/>
    <s v=""/>
    <n v="0"/>
    <s v="E5"/>
    <s v="모자"/>
    <s v="JIL"/>
    <s v="BE"/>
    <x v="4"/>
    <s v="JILBEE5352"/>
    <s v="JILBEE5352GY"/>
    <x v="0"/>
    <n v="500"/>
    <n v="19500000"/>
    <n v="2089395"/>
    <n v="8.4844046852187969"/>
    <n v="0"/>
    <n v="500"/>
  </r>
  <r>
    <x v="0"/>
    <x v="0"/>
    <s v="JILBEE5353"/>
    <n v="0.5"/>
    <s v=""/>
    <n v="0"/>
    <s v="JILBEE5353OR"/>
    <n v="1"/>
    <s v=""/>
    <n v="0"/>
    <s v="E5"/>
    <s v="모자"/>
    <s v="JIL"/>
    <s v="BE"/>
    <x v="4"/>
    <s v="JILBEE5353"/>
    <s v="JILBEE5353OR"/>
    <x v="0"/>
    <n v="500"/>
    <n v="21500000"/>
    <n v="2120580"/>
    <n v="9.2170323899379163"/>
    <n v="0"/>
    <n v="500"/>
  </r>
  <r>
    <x v="0"/>
    <x v="0"/>
    <s v="JILBEE5353"/>
    <n v="0.5"/>
    <s v=""/>
    <n v="0"/>
    <s v="JILBEE5353GR"/>
    <n v="1"/>
    <s v=""/>
    <n v="0"/>
    <s v="E5"/>
    <s v="모자"/>
    <s v="JIL"/>
    <s v="BE"/>
    <x v="4"/>
    <s v="JILBEE5353"/>
    <s v="JILBEE5353GR"/>
    <x v="0"/>
    <n v="500"/>
    <n v="21500000"/>
    <n v="2120580"/>
    <n v="9.2170323899379163"/>
    <n v="0"/>
    <n v="500"/>
  </r>
  <r>
    <x v="0"/>
    <x v="0"/>
    <s v="JILEBE5354"/>
    <n v="1"/>
    <s v=""/>
    <n v="0"/>
    <s v="JILEBE5354NY"/>
    <n v="1"/>
    <s v=""/>
    <n v="0"/>
    <s v="E5"/>
    <s v="모자"/>
    <s v="JIL"/>
    <s v="EB"/>
    <x v="4"/>
    <s v="JILEBE5354"/>
    <s v="JILEBE5354NY"/>
    <x v="0"/>
    <n v="500"/>
    <n v="22500000"/>
    <n v="2744280.0000000005"/>
    <n v="7.4535198502140627"/>
    <n v="0"/>
    <n v="500"/>
  </r>
  <r>
    <x v="0"/>
    <x v="0"/>
    <s v="JILBEE5355"/>
    <n v="0.5"/>
    <s v=""/>
    <n v="0"/>
    <s v="JILBEE5355RE"/>
    <n v="1"/>
    <s v=""/>
    <n v="0"/>
    <s v="E5"/>
    <s v="모자"/>
    <s v="JIL"/>
    <s v="BE"/>
    <x v="4"/>
    <s v="JILBEE5355"/>
    <s v="JILBEE5355RE"/>
    <x v="0"/>
    <n v="700"/>
    <n v="27300000"/>
    <n v="2794176"/>
    <n v="8.8821111548384266"/>
    <n v="0"/>
    <n v="700"/>
  </r>
  <r>
    <x v="0"/>
    <x v="0"/>
    <s v="JILBEE5855"/>
    <n v="0.5"/>
    <s v=""/>
    <n v="0"/>
    <s v="JILBEE5855RE"/>
    <n v="1"/>
    <s v=""/>
    <n v="0"/>
    <s v="E5"/>
    <s v="모자"/>
    <s v="JIL"/>
    <s v="BE"/>
    <x v="4"/>
    <s v="JILBEE5855"/>
    <s v="JILBEE5855RE"/>
    <x v="0"/>
    <n v="700"/>
    <n v="24500000"/>
    <n v="2794176"/>
    <n v="7.9711253953678192"/>
    <n v="0"/>
    <n v="700"/>
  </r>
  <r>
    <x v="0"/>
    <x v="0"/>
    <s v="JILBEE5355"/>
    <n v="0.5"/>
    <s v=""/>
    <n v="0"/>
    <s v="JILBEE5355KH"/>
    <n v="1"/>
    <s v=""/>
    <n v="0"/>
    <s v="E5"/>
    <s v="모자"/>
    <s v="JIL"/>
    <s v="BE"/>
    <x v="4"/>
    <s v="JILBEE5355"/>
    <s v="JILBEE5355KH"/>
    <x v="0"/>
    <n v="700"/>
    <n v="27300000"/>
    <n v="2794176"/>
    <n v="8.8821111548384266"/>
    <n v="0"/>
    <n v="700"/>
  </r>
  <r>
    <x v="0"/>
    <x v="0"/>
    <s v="JILBEE5855"/>
    <n v="0.5"/>
    <s v=""/>
    <n v="0"/>
    <s v="JILBEE5855KH"/>
    <n v="1"/>
    <s v=""/>
    <n v="0"/>
    <s v="E5"/>
    <s v="모자"/>
    <s v="JIL"/>
    <s v="BE"/>
    <x v="4"/>
    <s v="JILBEE5855"/>
    <s v="JILBEE5855KH"/>
    <x v="0"/>
    <n v="700"/>
    <n v="24500000"/>
    <n v="2794176"/>
    <n v="7.9711253953678192"/>
    <n v="0"/>
    <n v="700"/>
  </r>
  <r>
    <x v="0"/>
    <x v="0"/>
    <s v="JILBEE5356"/>
    <n v="0.33333333333333331"/>
    <s v=""/>
    <n v="0"/>
    <s v="JILBEE5356BK"/>
    <n v="1"/>
    <s v=""/>
    <n v="0"/>
    <s v="E5"/>
    <s v="모자"/>
    <s v="JIL"/>
    <s v="BE"/>
    <x v="4"/>
    <s v="JILBEE5356"/>
    <s v="JILBEE5356BK"/>
    <x v="0"/>
    <n v="800"/>
    <n v="31200000"/>
    <n v="4390848.0000000009"/>
    <n v="6.4597172035188546"/>
    <n v="0"/>
    <n v="800"/>
  </r>
  <r>
    <x v="0"/>
    <x v="0"/>
    <s v="JILBEE5856"/>
    <n v="0.33333333333333331"/>
    <s v=""/>
    <n v="0"/>
    <s v="JILBEE5856BK"/>
    <n v="1"/>
    <s v=""/>
    <n v="0"/>
    <s v="E5"/>
    <s v="모자"/>
    <s v="JIL"/>
    <s v="BE"/>
    <x v="4"/>
    <s v="JILBEE5856"/>
    <s v="JILBEE5856BK"/>
    <x v="0"/>
    <n v="800"/>
    <n v="28000000"/>
    <n v="4390848.0000000009"/>
    <n v="5.7971821057220483"/>
    <n v="0"/>
    <n v="800"/>
  </r>
  <r>
    <x v="0"/>
    <x v="0"/>
    <s v="JILBEE5356"/>
    <n v="0.33333333333333331"/>
    <s v=""/>
    <n v="0"/>
    <s v="JILBEE5356NY"/>
    <n v="1"/>
    <s v=""/>
    <n v="0"/>
    <s v="E5"/>
    <s v="모자"/>
    <s v="JIL"/>
    <s v="BE"/>
    <x v="4"/>
    <s v="JILBEE5356"/>
    <s v="JILBEE5356NY"/>
    <x v="0"/>
    <n v="1000"/>
    <n v="39000000"/>
    <n v="5488560.0000000009"/>
    <n v="6.4597172035188546"/>
    <n v="0"/>
    <n v="1000"/>
  </r>
  <r>
    <x v="0"/>
    <x v="0"/>
    <s v="JILBEE5856"/>
    <n v="0.33333333333333331"/>
    <s v=""/>
    <n v="0"/>
    <s v="JILBEE5856NY"/>
    <n v="1"/>
    <s v=""/>
    <n v="0"/>
    <s v="E5"/>
    <s v="모자"/>
    <s v="JIL"/>
    <s v="BE"/>
    <x v="4"/>
    <s v="JILBEE5856"/>
    <s v="JILBEE5856NY"/>
    <x v="0"/>
    <n v="1000"/>
    <n v="35000000"/>
    <n v="5488560.0000000009"/>
    <n v="5.7971821057220492"/>
    <n v="0"/>
    <n v="1000"/>
  </r>
  <r>
    <x v="0"/>
    <x v="0"/>
    <s v="JILBEE5356"/>
    <n v="0.33333333333333331"/>
    <s v=""/>
    <n v="0"/>
    <s v="JILBEE5356MT"/>
    <n v="1"/>
    <s v=""/>
    <n v="0"/>
    <s v="E5"/>
    <s v="모자"/>
    <s v="JIL"/>
    <s v="BE"/>
    <x v="4"/>
    <s v="JILBEE5356"/>
    <s v="JILBEE5356MT"/>
    <x v="0"/>
    <n v="1000"/>
    <n v="39000000"/>
    <n v="5488560.0000000009"/>
    <n v="6.4597172035188546"/>
    <n v="0"/>
    <n v="1000"/>
  </r>
  <r>
    <x v="0"/>
    <x v="0"/>
    <s v="JILBEE5856"/>
    <n v="0.33333333333333331"/>
    <s v=""/>
    <n v="0"/>
    <s v="JILBEE5856MT"/>
    <n v="1"/>
    <s v=""/>
    <n v="0"/>
    <s v="E5"/>
    <s v="모자"/>
    <s v="JIL"/>
    <s v="BE"/>
    <x v="4"/>
    <s v="JILBEE5856"/>
    <s v="JILBEE5856MT"/>
    <x v="0"/>
    <n v="1000"/>
    <n v="35000000"/>
    <n v="5488560.0000000009"/>
    <n v="5.7971821057220492"/>
    <n v="0"/>
    <n v="1000"/>
  </r>
  <r>
    <x v="0"/>
    <x v="0"/>
    <s v="JILVBE5357"/>
    <n v="0.5"/>
    <s v=""/>
    <n v="0"/>
    <s v="JILVBE5357YE"/>
    <n v="1"/>
    <s v=""/>
    <n v="0"/>
    <s v="E5"/>
    <s v="모자"/>
    <s v="JIL"/>
    <s v="VB"/>
    <x v="4"/>
    <s v="JILVBE5357"/>
    <s v="JILVBE5357YE"/>
    <x v="0"/>
    <n v="1000"/>
    <n v="45000000"/>
    <n v="5239080.0000000009"/>
    <n v="7.8084493668909225"/>
    <n v="0"/>
    <n v="1000"/>
  </r>
  <r>
    <x v="0"/>
    <x v="0"/>
    <s v="JILVBE5357"/>
    <n v="0.5"/>
    <s v=""/>
    <n v="0"/>
    <s v="JILVBE5357RE"/>
    <n v="1"/>
    <s v=""/>
    <n v="0"/>
    <s v="E5"/>
    <s v="모자"/>
    <s v="JIL"/>
    <s v="VB"/>
    <x v="4"/>
    <s v="JILVBE5357"/>
    <s v="JILVBE5357RE"/>
    <x v="0"/>
    <n v="1000"/>
    <n v="45000000"/>
    <n v="5239080.0000000009"/>
    <n v="7.8084493668909225"/>
    <n v="0"/>
    <n v="1000"/>
  </r>
  <r>
    <x v="0"/>
    <x v="0"/>
    <s v="JILEBE5358"/>
    <n v="1"/>
    <s v=""/>
    <n v="0"/>
    <s v="JILEBE5358BK"/>
    <n v="1"/>
    <s v=""/>
    <n v="0"/>
    <s v="E5"/>
    <s v="모자"/>
    <s v="JIL"/>
    <s v="EB"/>
    <x v="4"/>
    <s v="JILEBE5358"/>
    <s v="JILEBE5358BK"/>
    <x v="0"/>
    <n v="700"/>
    <n v="38500000"/>
    <n v="5239080.0000000009"/>
    <n v="6.6805622361177894"/>
    <n v="0"/>
    <n v="700"/>
  </r>
  <r>
    <x v="0"/>
    <x v="0"/>
    <s v="JILBEE5359"/>
    <n v="0.5"/>
    <s v=""/>
    <n v="0"/>
    <s v="JILBEE5359RE"/>
    <n v="1"/>
    <s v=""/>
    <n v="0"/>
    <s v="E5"/>
    <s v="모자"/>
    <s v="JIL"/>
    <s v="BE"/>
    <x v="4"/>
    <s v="JILBEE5359"/>
    <s v="JILBEE5359RE"/>
    <x v="0"/>
    <n v="1000"/>
    <n v="39000000"/>
    <n v="6486480.0000000009"/>
    <n v="5.4659145568236465"/>
    <n v="0"/>
    <n v="1000"/>
  </r>
  <r>
    <x v="0"/>
    <x v="0"/>
    <s v="JILBEE5359"/>
    <n v="0.5"/>
    <s v=""/>
    <n v="0"/>
    <s v="JILBEE5359BW"/>
    <n v="1"/>
    <s v=""/>
    <n v="0"/>
    <s v="E5"/>
    <s v="모자"/>
    <s v="JIL"/>
    <s v="BE"/>
    <x v="4"/>
    <s v="JILBEE5359"/>
    <s v="JILBEE5359BW"/>
    <x v="0"/>
    <n v="1000"/>
    <n v="39000000"/>
    <n v="6486480.0000000009"/>
    <n v="5.4659145568236465"/>
    <n v="0"/>
    <n v="1000"/>
  </r>
  <r>
    <x v="0"/>
    <x v="0"/>
    <s v="JILEBE5360"/>
    <n v="1"/>
    <s v=""/>
    <n v="0"/>
    <s v="JILEBE5360GY"/>
    <n v="1"/>
    <s v=""/>
    <n v="0"/>
    <s v="E5"/>
    <s v="모자"/>
    <s v="JIL"/>
    <s v="EB"/>
    <x v="4"/>
    <s v="JILEBE5360"/>
    <s v="JILEBE5360GY"/>
    <x v="0"/>
    <n v="700"/>
    <n v="30100000"/>
    <n v="4103946.0000000005"/>
    <n v="6.6676404522955126"/>
    <n v="0"/>
    <n v="700"/>
  </r>
  <r>
    <x v="0"/>
    <x v="0"/>
    <s v="URBFIE5301"/>
    <n v="1"/>
    <s v=""/>
    <n v="0"/>
    <s v="URBFIE5301BK"/>
    <n v="1"/>
    <s v=""/>
    <n v="0"/>
    <s v="E5"/>
    <s v="모자"/>
    <s v="URB"/>
    <s v="FI"/>
    <x v="22"/>
    <s v="URBFIE5301"/>
    <s v="URBFIE5301BK"/>
    <x v="0"/>
    <n v="500"/>
    <n v="24500000"/>
    <n v="2264915"/>
    <n v="9.8338027134472039"/>
    <n v="0"/>
    <n v="500"/>
  </r>
  <r>
    <x v="0"/>
    <x v="0"/>
    <s v="URBFIE3303"/>
    <n v="1"/>
    <s v=""/>
    <n v="0"/>
    <s v="URBFIE3303NY"/>
    <n v="1"/>
    <s v=""/>
    <n v="0"/>
    <s v="E3"/>
    <s v="모자"/>
    <s v="URB"/>
    <s v="FI"/>
    <x v="22"/>
    <s v="URBFIE3303"/>
    <s v="URBFIE3303NY"/>
    <x v="0"/>
    <n v="500"/>
    <n v="24500000"/>
    <n v="2190071.0000000005"/>
    <n v="10.16986539373713"/>
    <n v="0"/>
    <n v="500"/>
  </r>
  <r>
    <x v="0"/>
    <x v="0"/>
    <s v="URBFIE3304"/>
    <n v="0.5"/>
    <s v=""/>
    <n v="0"/>
    <s v="URBFIE3304RE"/>
    <n v="1"/>
    <s v=""/>
    <n v="0"/>
    <s v="E3"/>
    <s v="모자"/>
    <s v="URB"/>
    <s v="FI"/>
    <x v="22"/>
    <s v="URBFIE3304"/>
    <s v="URBFIE3304RE"/>
    <x v="0"/>
    <n v="600"/>
    <n v="29400000"/>
    <n v="3077149.2"/>
    <n v="8.6857253224096915"/>
    <n v="0"/>
    <n v="600"/>
  </r>
  <r>
    <x v="0"/>
    <x v="0"/>
    <s v="URBFIE3305"/>
    <n v="1"/>
    <s v=""/>
    <n v="0"/>
    <s v="URBFIE3305RE"/>
    <n v="1"/>
    <s v=""/>
    <n v="0"/>
    <s v="E3"/>
    <s v="모자"/>
    <s v="URB"/>
    <s v="FI"/>
    <x v="22"/>
    <s v="URBFIE3305"/>
    <s v="URBFIE3305RE"/>
    <x v="0"/>
    <n v="400"/>
    <n v="18000000"/>
    <n v="1392431.2000000002"/>
    <n v="11.751845522878517"/>
    <n v="0"/>
    <n v="400"/>
  </r>
  <r>
    <x v="0"/>
    <x v="0"/>
    <s v="URBFIE3306"/>
    <n v="1"/>
    <s v=""/>
    <n v="0"/>
    <s v="URBFIE3306BK"/>
    <n v="1"/>
    <s v=""/>
    <n v="0"/>
    <s v="E3"/>
    <s v="모자"/>
    <s v="URB"/>
    <s v="FI"/>
    <x v="22"/>
    <s v="URBFIE3306"/>
    <s v="URBFIE3306BK"/>
    <x v="0"/>
    <n v="800"/>
    <n v="39200000"/>
    <n v="3962408"/>
    <n v="8.9936128829650119"/>
    <n v="0"/>
    <n v="800"/>
  </r>
  <r>
    <x v="0"/>
    <x v="0"/>
    <s v="URBFIE3307"/>
    <n v="0.33333333333333331"/>
    <s v=""/>
    <n v="0"/>
    <s v="URBFIE3307RE"/>
    <n v="1"/>
    <s v=""/>
    <n v="0"/>
    <s v="E3"/>
    <s v="모자"/>
    <s v="URB"/>
    <s v="FI"/>
    <x v="22"/>
    <s v="URBFIE3307"/>
    <s v="URBFIE3307RE"/>
    <x v="0"/>
    <n v="600"/>
    <n v="29400000"/>
    <n v="2447898"/>
    <n v="10.918458500833255"/>
    <n v="0"/>
    <n v="600"/>
  </r>
  <r>
    <x v="0"/>
    <x v="0"/>
    <s v="URBFIE3307"/>
    <n v="0.33333333333333331"/>
    <s v=""/>
    <n v="0"/>
    <s v="URBFIE3307BL"/>
    <n v="1"/>
    <s v=""/>
    <n v="0"/>
    <s v="E3"/>
    <s v="모자"/>
    <s v="URB"/>
    <s v="FI"/>
    <x v="22"/>
    <s v="URBFIE3307"/>
    <s v="URBFIE3307BL"/>
    <x v="0"/>
    <n v="600"/>
    <n v="29400000"/>
    <n v="2358085.2000000007"/>
    <n v="11.334311723457963"/>
    <n v="0"/>
    <n v="600"/>
  </r>
  <r>
    <x v="0"/>
    <x v="0"/>
    <s v="URBFIE5308"/>
    <n v="1"/>
    <s v=""/>
    <n v="0"/>
    <s v="URBFIE5308GY"/>
    <n v="1"/>
    <s v=""/>
    <n v="0"/>
    <s v="E5"/>
    <s v="모자"/>
    <s v="URB"/>
    <s v="FI"/>
    <x v="22"/>
    <s v="URBFIE5308"/>
    <s v="URBFIE5308GY"/>
    <x v="0"/>
    <n v="500"/>
    <n v="24500000"/>
    <n v="1890695.0000000002"/>
    <n v="11.780179919409141"/>
    <n v="0"/>
    <n v="500"/>
  </r>
  <r>
    <x v="0"/>
    <x v="0"/>
    <s v="URBFIE3309"/>
    <n v="1"/>
    <s v=""/>
    <n v="0"/>
    <s v="URBFIE3309GY"/>
    <n v="1"/>
    <s v=""/>
    <n v="0"/>
    <s v="E3"/>
    <s v="모자"/>
    <s v="URB"/>
    <s v="FI"/>
    <x v="22"/>
    <s v="URBFIE3309"/>
    <s v="URBFIE3309GY"/>
    <x v="0"/>
    <n v="400"/>
    <n v="18000000"/>
    <n v="1691807.2"/>
    <n v="9.6722820210461116"/>
    <n v="0"/>
    <n v="400"/>
  </r>
  <r>
    <x v="0"/>
    <x v="0"/>
    <s v="URBFIE3311"/>
    <n v="1"/>
    <s v=""/>
    <n v="0"/>
    <s v="URBFIE3311OR"/>
    <n v="1"/>
    <s v=""/>
    <n v="0"/>
    <s v="E3"/>
    <s v="모자"/>
    <s v="URB"/>
    <s v="FI"/>
    <x v="22"/>
    <s v="URBFIE3311"/>
    <s v="URBFIE3311OR"/>
    <x v="0"/>
    <n v="600"/>
    <n v="29400000"/>
    <n v="2447898"/>
    <n v="10.918458500833255"/>
    <n v="0"/>
    <n v="600"/>
  </r>
  <r>
    <x v="0"/>
    <x v="0"/>
    <s v="URBFIE3302"/>
    <n v="1"/>
    <s v=""/>
    <n v="0"/>
    <s v="URBFIE3302NY"/>
    <n v="1"/>
    <s v=""/>
    <n v="0"/>
    <s v="E3"/>
    <s v="모자"/>
    <s v="URB"/>
    <s v="FI"/>
    <x v="22"/>
    <s v="URBFIE3302"/>
    <s v="URBFIE3302NY"/>
    <x v="0"/>
    <n v="500"/>
    <n v="24500000"/>
    <n v="2546100.0000000005"/>
    <n v="8.747781812468979"/>
    <n v="0"/>
    <n v="500"/>
  </r>
  <r>
    <x v="0"/>
    <x v="0"/>
    <s v="URBFIE3304"/>
    <n v="0.5"/>
    <s v=""/>
    <n v="0"/>
    <s v="URBFIE3304BK"/>
    <n v="1"/>
    <s v=""/>
    <n v="0"/>
    <s v="E3"/>
    <s v="모자"/>
    <s v="URB"/>
    <s v="FI"/>
    <x v="22"/>
    <s v="URBFIE3304"/>
    <s v="URBFIE3304BK"/>
    <x v="0"/>
    <n v="600"/>
    <n v="29400000"/>
    <n v="3055320.0000000005"/>
    <n v="8.747781812468979"/>
    <n v="0"/>
    <n v="600"/>
  </r>
  <r>
    <x v="0"/>
    <x v="0"/>
    <s v="URBFIE3307"/>
    <n v="0.33333333333333331"/>
    <s v=""/>
    <n v="0"/>
    <s v="URBFIE3307BK"/>
    <n v="1"/>
    <s v=""/>
    <n v="0"/>
    <s v="E3"/>
    <s v="모자"/>
    <s v="URB"/>
    <s v="FI"/>
    <x v="22"/>
    <s v="URBFIE3307"/>
    <s v="URBFIE3307BK"/>
    <x v="0"/>
    <n v="600"/>
    <n v="29400000"/>
    <n v="2845320.0000000005"/>
    <n v="9.3934154075016938"/>
    <n v="0"/>
    <n v="600"/>
  </r>
  <r>
    <x v="0"/>
    <x v="0"/>
    <s v="URBFIE3310"/>
    <n v="1"/>
    <s v=""/>
    <n v="0"/>
    <s v="URBFIE3310BL"/>
    <n v="1"/>
    <s v=""/>
    <n v="0"/>
    <s v="E3"/>
    <s v="모자"/>
    <s v="URB"/>
    <s v="FI"/>
    <x v="22"/>
    <s v="URBFIE3310"/>
    <s v="URBFIE3310BL"/>
    <x v="0"/>
    <n v="400"/>
    <n v="18000000"/>
    <n v="1896880.0000000002"/>
    <n v="8.6266059864811488"/>
    <n v="0"/>
    <n v="400"/>
  </r>
  <r>
    <x v="0"/>
    <x v="0"/>
    <s v="URBFIE3312"/>
    <n v="1"/>
    <s v=""/>
    <n v="0"/>
    <s v="URBFIE3312PP"/>
    <n v="1"/>
    <s v=""/>
    <n v="0"/>
    <s v="E3"/>
    <s v="모자"/>
    <s v="URB"/>
    <s v="FI"/>
    <x v="22"/>
    <s v="URBFIE3312"/>
    <s v="URBFIE3312PP"/>
    <x v="0"/>
    <n v="400"/>
    <n v="19600000"/>
    <n v="1896880.0000000002"/>
    <n v="9.3934154075016938"/>
    <n v="0"/>
    <n v="400"/>
  </r>
  <r>
    <x v="0"/>
    <x v="0"/>
    <s v="URBFIE3313"/>
    <n v="1"/>
    <s v=""/>
    <n v="0"/>
    <s v="URBFIE3313BW"/>
    <n v="1"/>
    <s v=""/>
    <n v="0"/>
    <s v="E3"/>
    <s v="모자"/>
    <s v="URB"/>
    <s v="FI"/>
    <x v="22"/>
    <s v="URBFIE3313"/>
    <s v="URBFIE3313BW"/>
    <x v="0"/>
    <n v="600"/>
    <n v="29400000"/>
    <n v="2845320.0000000005"/>
    <n v="9.3934154075016938"/>
    <n v="0"/>
    <n v="600"/>
  </r>
  <r>
    <x v="0"/>
    <x v="0"/>
    <s v="URBFIE3314"/>
    <n v="1"/>
    <s v=""/>
    <n v="0"/>
    <s v="URBFIE3314BK"/>
    <n v="1"/>
    <s v=""/>
    <n v="0"/>
    <s v="E3"/>
    <s v="모자"/>
    <s v="URB"/>
    <s v="FI"/>
    <x v="22"/>
    <s v="URBFIE3314"/>
    <s v="URBFIE3314BK"/>
    <x v="0"/>
    <n v="800"/>
    <n v="39200000"/>
    <n v="4073760.0000000005"/>
    <n v="8.747781812468979"/>
    <n v="0"/>
    <n v="800"/>
  </r>
  <r>
    <x v="0"/>
    <x v="0"/>
    <s v="URBFIE3315"/>
    <n v="1"/>
    <s v=""/>
    <n v="0"/>
    <s v="URBFIE3315BK"/>
    <n v="1"/>
    <s v=""/>
    <n v="0"/>
    <s v="E3"/>
    <s v="모자"/>
    <s v="URB"/>
    <s v="FI"/>
    <x v="22"/>
    <s v="URBFIE3315"/>
    <s v="URBFIE3315BK"/>
    <x v="0"/>
    <n v="600"/>
    <n v="29400000"/>
    <n v="3055320.0000000005"/>
    <n v="8.747781812468979"/>
    <n v="0"/>
    <n v="600"/>
  </r>
  <r>
    <x v="0"/>
    <x v="0"/>
    <s v="URBFIE3322"/>
    <n v="1"/>
    <s v=""/>
    <n v="0"/>
    <s v="URBFIE3322NY"/>
    <n v="1"/>
    <s v=""/>
    <n v="0"/>
    <s v="E3"/>
    <s v="모자"/>
    <s v="URB"/>
    <s v="FI"/>
    <x v="22"/>
    <s v="URBFIE3322"/>
    <s v="URBFIE3322NY"/>
    <x v="0"/>
    <n v="600"/>
    <n v="29400000"/>
    <n v="3055320.0000000005"/>
    <n v="8.747781812468979"/>
    <n v="0"/>
    <n v="600"/>
  </r>
  <r>
    <x v="0"/>
    <x v="0"/>
    <s v="URBFIE3316"/>
    <n v="1"/>
    <s v=""/>
    <n v="0"/>
    <s v="URBFIE3316BK"/>
    <n v="1"/>
    <s v=""/>
    <n v="0"/>
    <s v="E3"/>
    <s v="모자"/>
    <s v="URB"/>
    <s v="FI"/>
    <x v="22"/>
    <s v="URBFIE3316"/>
    <s v="URBFIE3316BK"/>
    <x v="0"/>
    <n v="600"/>
    <n v="27000000"/>
    <n v="5387369.3527500005"/>
    <n v="4.5561113297207356"/>
    <n v="0"/>
    <n v="600"/>
  </r>
  <r>
    <x v="0"/>
    <x v="0"/>
    <s v="URBFIE3317"/>
    <n v="1"/>
    <s v=""/>
    <n v="0"/>
    <s v="URBFIE3317BK"/>
    <n v="1"/>
    <s v=""/>
    <n v="0"/>
    <s v="E3"/>
    <s v="모자"/>
    <s v="URB"/>
    <s v="FI"/>
    <x v="22"/>
    <s v="URBFIE3317"/>
    <s v="URBFIE3317BK"/>
    <x v="0"/>
    <n v="600"/>
    <n v="27000000"/>
    <n v="5252977.5952500002"/>
    <n v="4.6726745165731804"/>
    <n v="0"/>
    <n v="600"/>
  </r>
  <r>
    <x v="0"/>
    <x v="0"/>
    <s v="URBFIE3318"/>
    <n v="1"/>
    <s v=""/>
    <n v="0"/>
    <s v="URBFIE3318BK"/>
    <n v="1"/>
    <s v=""/>
    <n v="0"/>
    <s v="E3"/>
    <s v="모자"/>
    <s v="URB"/>
    <s v="FI"/>
    <x v="22"/>
    <s v="URBFIE3318"/>
    <s v="URBFIE3318BK"/>
    <x v="0"/>
    <n v="800"/>
    <n v="36000000"/>
    <n v="6809512.9410000006"/>
    <n v="4.8061106588434814"/>
    <n v="0"/>
    <n v="800"/>
  </r>
  <r>
    <x v="0"/>
    <x v="0"/>
    <s v="URBFIE3319"/>
    <n v="1"/>
    <s v=""/>
    <n v="0"/>
    <s v="URBFIE3319YE"/>
    <n v="1"/>
    <s v=""/>
    <n v="0"/>
    <s v="E3"/>
    <s v="모자"/>
    <s v="URB"/>
    <s v="FI"/>
    <x v="22"/>
    <s v="URBFIE3319"/>
    <s v="URBFIE3319YE"/>
    <x v="0"/>
    <n v="600"/>
    <n v="27000000"/>
    <n v="5107134.7057500007"/>
    <n v="4.8061106588434814"/>
    <n v="0"/>
    <n v="600"/>
  </r>
  <r>
    <x v="0"/>
    <x v="0"/>
    <s v="URBFIE3320"/>
    <n v="1"/>
    <s v=""/>
    <n v="0"/>
    <s v="URBFIE3320YE"/>
    <n v="1"/>
    <s v=""/>
    <n v="0"/>
    <s v="E3"/>
    <s v="모자"/>
    <s v="URB"/>
    <s v="FI"/>
    <x v="22"/>
    <s v="URBFIE3320"/>
    <s v="URBFIE3320YE"/>
    <x v="0"/>
    <n v="600"/>
    <n v="29400000"/>
    <n v="5512124.9452499999"/>
    <n v="4.8488147479865447"/>
    <n v="0"/>
    <n v="600"/>
  </r>
  <r>
    <x v="0"/>
    <x v="0"/>
    <s v="URBFIE3321"/>
    <n v="1"/>
    <s v=""/>
    <n v="0"/>
    <s v="URBFIE3321BK"/>
    <n v="1"/>
    <s v=""/>
    <n v="0"/>
    <s v="E3"/>
    <s v="모자"/>
    <s v="URB"/>
    <s v="FI"/>
    <x v="22"/>
    <s v="URBFIE3321"/>
    <s v="URBFIE3321BK"/>
    <x v="0"/>
    <n v="600"/>
    <n v="29400000"/>
    <n v="5957630.5140000032"/>
    <n v="4.4862252978706136"/>
    <n v="0"/>
    <n v="600"/>
  </r>
  <r>
    <x v="1"/>
    <x v="0"/>
    <s v="ELSERE5645"/>
    <n v="1"/>
    <s v=""/>
    <n v="0"/>
    <s v="ELSERE5645BK"/>
    <n v="1"/>
    <s v=""/>
    <n v="0"/>
    <s v="E5"/>
    <s v="모자"/>
    <s v="ELS"/>
    <s v="ER"/>
    <x v="3"/>
    <s v="ELSERE5645"/>
    <s v="ELSERE5645BK"/>
    <x v="0"/>
    <n v="1200"/>
    <n v="75600000"/>
    <n v="12037033.999999998"/>
    <n v="5.709651790239417"/>
    <n v="0"/>
    <n v="1200"/>
  </r>
  <r>
    <x v="0"/>
    <x v="0"/>
    <s v="ELSTPE5301"/>
    <n v="0.5"/>
    <s v=""/>
    <n v="0"/>
    <s v="ELSTPE5301NY"/>
    <n v="0.5"/>
    <s v=""/>
    <n v="0"/>
    <s v="E5"/>
    <s v="모자"/>
    <s v="ELS"/>
    <s v="TP"/>
    <x v="3"/>
    <s v="ELSTPE5301"/>
    <s v="ELSTPE5301NY"/>
    <x v="0"/>
    <n v="200"/>
    <n v="11800000"/>
    <n v="1970896.0000000002"/>
    <n v="5.4428405797529269"/>
    <n v="0"/>
    <n v="200"/>
  </r>
  <r>
    <x v="0"/>
    <x v="0"/>
    <s v="ELSTPE5801"/>
    <n v="0.5"/>
    <s v=""/>
    <n v="0"/>
    <s v="ELSTPE5801NY"/>
    <n v="0.5"/>
    <s v=""/>
    <n v="0"/>
    <s v="E5"/>
    <s v="모자"/>
    <s v="ELS"/>
    <s v="TP"/>
    <x v="3"/>
    <s v="ELSTPE5801"/>
    <s v="ELSTPE5801NY"/>
    <x v="0"/>
    <n v="200"/>
    <n v="11000000"/>
    <n v="1958896.0000000002"/>
    <n v="5.1049162385343569"/>
    <n v="0"/>
    <n v="200"/>
  </r>
  <r>
    <x v="0"/>
    <x v="0"/>
    <s v="ELSBAE3311"/>
    <n v="0.25"/>
    <s v=""/>
    <n v="0"/>
    <s v="ELSBAE3311LI"/>
    <n v="0.5"/>
    <s v=""/>
    <n v="0"/>
    <s v="E3"/>
    <s v="모자"/>
    <s v="ELS"/>
    <s v="BA"/>
    <x v="3"/>
    <s v="ELSBAE3311"/>
    <s v="ELSBAE3311LI"/>
    <x v="0"/>
    <n v="400"/>
    <n v="19600000"/>
    <n v="3051656"/>
    <n v="5.8388566136490541"/>
    <n v="0"/>
    <n v="400"/>
  </r>
  <r>
    <x v="0"/>
    <x v="0"/>
    <s v="ELSBAE3811"/>
    <n v="0.25"/>
    <s v=""/>
    <n v="0"/>
    <s v="ELSBAE3811LI"/>
    <n v="0.5"/>
    <s v=""/>
    <n v="0"/>
    <s v="E3"/>
    <s v="모자"/>
    <s v="ELS"/>
    <s v="BA"/>
    <x v="3"/>
    <s v="ELSBAE3811"/>
    <s v="ELSBAE3811LI"/>
    <x v="0"/>
    <n v="400"/>
    <n v="17200000"/>
    <n v="3001760.0000000005"/>
    <n v="5.209065227187927"/>
    <n v="0"/>
    <n v="400"/>
  </r>
  <r>
    <x v="0"/>
    <x v="0"/>
    <s v="ELSBAE3311"/>
    <n v="0.25"/>
    <s v=""/>
    <n v="0"/>
    <s v="ELSBAE3311PK"/>
    <n v="0.5"/>
    <s v=""/>
    <n v="0"/>
    <s v="E3"/>
    <s v="모자"/>
    <s v="ELS"/>
    <s v="BA"/>
    <x v="3"/>
    <s v="ELSBAE3311"/>
    <s v="ELSBAE3311PK"/>
    <x v="0"/>
    <n v="400"/>
    <n v="19600000"/>
    <n v="3051656"/>
    <n v="5.8388566136490541"/>
    <n v="0"/>
    <n v="400"/>
  </r>
  <r>
    <x v="0"/>
    <x v="0"/>
    <s v="ELSBAE3811"/>
    <n v="0.25"/>
    <s v=""/>
    <n v="0"/>
    <s v="ELSBAE3811PK"/>
    <n v="0.5"/>
    <s v=""/>
    <n v="0"/>
    <s v="E3"/>
    <s v="모자"/>
    <s v="ELS"/>
    <s v="BA"/>
    <x v="3"/>
    <s v="ELSBAE3811"/>
    <s v="ELSBAE3811PK"/>
    <x v="0"/>
    <n v="400"/>
    <n v="17200000"/>
    <n v="3001760.0000000005"/>
    <n v="5.209065227187927"/>
    <n v="0"/>
    <n v="400"/>
  </r>
  <r>
    <x v="0"/>
    <x v="0"/>
    <s v="ELSBAE3312"/>
    <n v="0.5"/>
    <s v=""/>
    <n v="0"/>
    <s v="ELSBAE3312NY"/>
    <n v="0.5"/>
    <s v=""/>
    <n v="0"/>
    <s v="E3"/>
    <s v="모자"/>
    <s v="ELS"/>
    <s v="BA"/>
    <x v="3"/>
    <s v="ELSBAE3312"/>
    <s v="ELSBAE3312NY"/>
    <x v="0"/>
    <n v="400"/>
    <n v="19600000"/>
    <n v="3151448.0000000005"/>
    <n v="5.653966626827355"/>
    <n v="0"/>
    <n v="400"/>
  </r>
  <r>
    <x v="0"/>
    <x v="0"/>
    <s v="ELSBAE3812"/>
    <n v="0.5"/>
    <s v=""/>
    <n v="0"/>
    <s v="ELSBAE3812NY"/>
    <n v="0.5"/>
    <s v=""/>
    <n v="0"/>
    <s v="E3"/>
    <s v="모자"/>
    <s v="ELS"/>
    <s v="BA"/>
    <x v="3"/>
    <s v="ELSBAE3812"/>
    <s v="ELSBAE3812NY"/>
    <x v="0"/>
    <n v="400"/>
    <n v="17200000"/>
    <n v="3101552.0000000005"/>
    <n v="5.0414642850945697"/>
    <n v="0"/>
    <n v="400"/>
  </r>
  <r>
    <x v="0"/>
    <x v="0"/>
    <s v="ELSBAE3307"/>
    <n v="0.5"/>
    <s v=""/>
    <n v="0"/>
    <s v="ELSBAE3307OR"/>
    <n v="0.5"/>
    <s v=""/>
    <n v="0"/>
    <s v="E3"/>
    <s v="모자"/>
    <s v="ELS"/>
    <s v="BA"/>
    <x v="3"/>
    <s v="ELSBAE3307"/>
    <s v="ELSBAE3307OR"/>
    <x v="0"/>
    <n v="200"/>
    <n v="9800000"/>
    <n v="1900048"/>
    <n v="4.6888767594770808"/>
    <n v="0"/>
    <n v="200"/>
  </r>
  <r>
    <x v="0"/>
    <x v="0"/>
    <s v="VBLBAE3312"/>
    <n v="0.5"/>
    <s v=""/>
    <n v="0"/>
    <s v="VBLBAE3312BK"/>
    <n v="0.5"/>
    <s v=""/>
    <n v="0"/>
    <s v="E3"/>
    <s v="모자"/>
    <s v="VBL"/>
    <s v="BA"/>
    <x v="10"/>
    <s v="VBLBAE3312"/>
    <s v="VBLBAE3312BK"/>
    <x v="0"/>
    <n v="500"/>
    <n v="27500000"/>
    <n v="4166666.666666666"/>
    <n v="6"/>
    <n v="0"/>
    <n v="500"/>
  </r>
  <r>
    <x v="0"/>
    <x v="0"/>
    <s v="VBLBAE3812"/>
    <n v="0.5"/>
    <s v=""/>
    <n v="0"/>
    <s v="VBLBAE3812BK"/>
    <n v="0.5"/>
    <s v=""/>
    <n v="0"/>
    <s v="E3"/>
    <s v="모자"/>
    <s v="VBL"/>
    <s v="BA"/>
    <x v="10"/>
    <s v="VBLBAE3812"/>
    <s v="VBLBAE3812BK"/>
    <x v="0"/>
    <n v="300"/>
    <n v="15900000"/>
    <n v="2409090.9090909087"/>
    <n v="6"/>
    <n v="0"/>
    <n v="300"/>
  </r>
  <r>
    <x v="0"/>
    <x v="0"/>
    <s v="VBLERE5315"/>
    <n v="0.5"/>
    <s v=""/>
    <n v="0"/>
    <s v="VBLERE5315GY"/>
    <n v="0.5"/>
    <s v=""/>
    <n v="0"/>
    <s v="E5"/>
    <s v="모자"/>
    <s v="VBL"/>
    <s v="ER"/>
    <x v="10"/>
    <s v="VBLERE5315"/>
    <s v="VBLERE5315GY"/>
    <x v="0"/>
    <n v="300"/>
    <n v="19500000"/>
    <n v="2954545.4545454546"/>
    <n v="5.9999999999999991"/>
    <n v="0"/>
    <n v="300"/>
  </r>
  <r>
    <x v="0"/>
    <x v="0"/>
    <s v="VBLERE5301"/>
    <n v="0.5"/>
    <s v=""/>
    <n v="0"/>
    <s v="VBLERE5301OR"/>
    <n v="0.5"/>
    <s v=""/>
    <n v="0"/>
    <s v="E5"/>
    <s v="모자"/>
    <s v="VBL"/>
    <s v="ER"/>
    <x v="10"/>
    <s v="VBLERE5301"/>
    <s v="VBLERE5301OR"/>
    <x v="0"/>
    <n v="300"/>
    <n v="17700000"/>
    <n v="4022727.2727272725"/>
    <n v="4"/>
    <n v="0"/>
    <n v="300"/>
  </r>
  <r>
    <x v="0"/>
    <x v="0"/>
    <s v="VBLERE5801"/>
    <n v="0.5"/>
    <s v=""/>
    <n v="0"/>
    <s v="VBLERE5801OR"/>
    <n v="0.5"/>
    <s v=""/>
    <n v="0"/>
    <s v="E5"/>
    <s v="모자"/>
    <s v="VBL"/>
    <s v="ER"/>
    <x v="10"/>
    <s v="VBLERE5801"/>
    <s v="VBLERE5801OR"/>
    <x v="0"/>
    <n v="200"/>
    <n v="11000000"/>
    <n v="2499999.9999999995"/>
    <n v="4.0000000000000009"/>
    <n v="0"/>
    <n v="200"/>
  </r>
  <r>
    <x v="1"/>
    <x v="0"/>
    <s v="JILEBE5036"/>
    <n v="0.2"/>
    <s v=""/>
    <n v="0"/>
    <s v="JILEBE5036GY"/>
    <n v="0.5"/>
    <s v=""/>
    <n v="0"/>
    <s v="E5"/>
    <s v="모자"/>
    <s v="JIL"/>
    <s v="EB"/>
    <x v="4"/>
    <s v="JILEBE5036"/>
    <s v="JILEBE5036GY"/>
    <x v="0"/>
    <n v="500"/>
    <n v="21500000"/>
    <n v="3399165.0000000005"/>
    <n v="5.7500752524383314"/>
    <n v="0"/>
    <n v="500"/>
  </r>
  <r>
    <x v="1"/>
    <x v="0"/>
    <s v="JILEBE5036"/>
    <n v="0.2"/>
    <s v=""/>
    <n v="0"/>
    <s v="JILEBE5036RE"/>
    <n v="0.5"/>
    <s v=""/>
    <n v="0"/>
    <s v="E5"/>
    <s v="모자"/>
    <s v="JIL"/>
    <s v="EB"/>
    <x v="4"/>
    <s v="JILEBE5036"/>
    <s v="JILEBE5036RE"/>
    <x v="0"/>
    <n v="500"/>
    <n v="21500000"/>
    <n v="3399165.0000000005"/>
    <n v="5.7500752524383314"/>
    <n v="0"/>
    <n v="500"/>
  </r>
  <r>
    <x v="1"/>
    <x v="0"/>
    <s v="JILMIE3215"/>
    <n v="1"/>
    <s v=""/>
    <n v="0"/>
    <s v="JILMIE3215NY"/>
    <n v="1"/>
    <s v=""/>
    <n v="0"/>
    <s v="E3"/>
    <s v="모자"/>
    <s v="JIL"/>
    <s v="MI"/>
    <x v="4"/>
    <s v="JILMIE3215"/>
    <s v="JILMIE3215NY"/>
    <x v="0"/>
    <n v="700"/>
    <n v="30100000"/>
    <n v="4307799.0000000009"/>
    <n v="6.3521153989859682"/>
    <n v="0"/>
    <n v="700"/>
  </r>
  <r>
    <x v="1"/>
    <x v="0"/>
    <s v="JILMIE3218"/>
    <n v="1"/>
    <s v=""/>
    <n v="0"/>
    <s v="JILMIE3218BW"/>
    <n v="1"/>
    <s v=""/>
    <n v="0"/>
    <s v="E3"/>
    <s v="모자"/>
    <s v="JIL"/>
    <s v="MI"/>
    <x v="4"/>
    <s v="JILMIE3218"/>
    <s v="JILMIE3218BW"/>
    <x v="0"/>
    <n v="700"/>
    <n v="30100000"/>
    <n v="3723799.0000000005"/>
    <n v="7.3483118620624683"/>
    <n v="0"/>
    <n v="700"/>
  </r>
  <r>
    <x v="1"/>
    <x v="0"/>
    <s v="JILMIE3219"/>
    <n v="1"/>
    <s v=""/>
    <n v="0"/>
    <s v="JILMIE3219IV"/>
    <n v="1"/>
    <s v=""/>
    <n v="0"/>
    <s v="E3"/>
    <s v="모자"/>
    <s v="JIL"/>
    <s v="MI"/>
    <x v="4"/>
    <s v="JILMIE3219"/>
    <s v="JILMIE3219IV"/>
    <x v="0"/>
    <n v="500"/>
    <n v="22500000"/>
    <n v="3234915"/>
    <n v="6.3230549966677492"/>
    <n v="0"/>
    <n v="500"/>
  </r>
  <r>
    <x v="0"/>
    <x v="0"/>
    <s v="ELSTPE5831"/>
    <n v="0.5"/>
    <s v=""/>
    <n v="0"/>
    <s v="ELSTPE5831NY"/>
    <n v="1"/>
    <s v=""/>
    <n v="0"/>
    <s v="E5"/>
    <s v="모자"/>
    <s v="ELS"/>
    <s v="TP"/>
    <x v="3"/>
    <s v="ELSTPE5831"/>
    <s v="ELSTPE5831NY"/>
    <x v="0"/>
    <n v="800"/>
    <n v="39200000"/>
    <n v="6381588.0000000009"/>
    <n v="5.5842469987663925"/>
    <n v="0"/>
    <n v="800"/>
  </r>
  <r>
    <x v="0"/>
    <x v="0"/>
    <s v="ELSTPE5831"/>
    <n v="0.5"/>
    <s v=""/>
    <n v="0"/>
    <s v="ELSTPE5831OR"/>
    <n v="1"/>
    <s v=""/>
    <n v="0"/>
    <s v="E5"/>
    <s v="모자"/>
    <s v="ELS"/>
    <s v="TP"/>
    <x v="3"/>
    <s v="ELSTPE5831"/>
    <s v="ELSTPE5831OR"/>
    <x v="0"/>
    <n v="800"/>
    <n v="39200000"/>
    <n v="6380188.0000000009"/>
    <n v="5.585472346012943"/>
    <n v="0"/>
    <n v="800"/>
  </r>
  <r>
    <x v="0"/>
    <x v="0"/>
    <s v="ELSERE5332"/>
    <n v="1"/>
    <s v=""/>
    <n v="0"/>
    <s v="ELSERE5332GY"/>
    <n v="1"/>
    <s v=""/>
    <n v="0"/>
    <s v="E5"/>
    <s v="모자"/>
    <s v="ELS"/>
    <s v="ER"/>
    <x v="3"/>
    <s v="ELSERE5332"/>
    <s v="ELSERE5332GY"/>
    <x v="0"/>
    <n v="1000"/>
    <n v="69000000"/>
    <n v="11598260"/>
    <n v="5.408334761185964"/>
    <n v="0"/>
    <n v="1000"/>
  </r>
  <r>
    <x v="0"/>
    <x v="0"/>
    <s v="ELSERE5832"/>
    <n v="1"/>
    <s v=""/>
    <n v="0"/>
    <s v="ELSERE5832GY"/>
    <n v="1"/>
    <s v=""/>
    <n v="0"/>
    <s v="E5"/>
    <s v="모자"/>
    <s v="ELS"/>
    <s v="ER"/>
    <x v="3"/>
    <s v="ELSERE5832"/>
    <s v="ELSERE5832GY"/>
    <x v="0"/>
    <n v="1000"/>
    <n v="65000000"/>
    <n v="11182780"/>
    <n v="5.2840983271520212"/>
    <n v="0"/>
    <n v="1000"/>
  </r>
  <r>
    <x v="0"/>
    <x v="0"/>
    <s v="ELSERE5333"/>
    <n v="1"/>
    <s v=""/>
    <n v="0"/>
    <s v="ELSERE5333NY"/>
    <n v="1"/>
    <s v=""/>
    <n v="0"/>
    <s v="E5"/>
    <s v="모자"/>
    <s v="ELS"/>
    <s v="ER"/>
    <x v="3"/>
    <s v="ELSERE5333"/>
    <s v="ELSERE5333NY"/>
    <x v="0"/>
    <n v="1500"/>
    <n v="88500000"/>
    <n v="16401170.000000002"/>
    <n v="4.9054150072553018"/>
    <n v="0"/>
    <n v="1500"/>
  </r>
  <r>
    <x v="0"/>
    <x v="0"/>
    <s v="ELSERE5833"/>
    <n v="1"/>
    <s v=""/>
    <n v="0"/>
    <s v="ELSERE5833NY"/>
    <n v="1"/>
    <s v=""/>
    <n v="0"/>
    <s v="E5"/>
    <s v="모자"/>
    <s v="ELS"/>
    <s v="ER"/>
    <x v="3"/>
    <s v="ELSERE5833"/>
    <s v="ELSERE5833NY"/>
    <x v="0"/>
    <n v="1500"/>
    <n v="82500000"/>
    <n v="15473140.000000002"/>
    <n v="4.847109248672214"/>
    <n v="0"/>
    <n v="1500"/>
  </r>
  <r>
    <x v="0"/>
    <x v="0"/>
    <s v="ELSERE5334"/>
    <n v="1"/>
    <s v=""/>
    <n v="0"/>
    <s v="ELSERE5334YE"/>
    <n v="1"/>
    <s v=""/>
    <n v="0"/>
    <s v="E5"/>
    <s v="모자"/>
    <s v="ELS"/>
    <s v="ER"/>
    <x v="3"/>
    <s v="ELSERE5334"/>
    <s v="ELSERE5334YE"/>
    <x v="0"/>
    <n v="800"/>
    <n v="47200000"/>
    <n v="8870646"/>
    <n v="4.8372002342434701"/>
    <n v="0"/>
    <n v="800"/>
  </r>
  <r>
    <x v="0"/>
    <x v="0"/>
    <s v="ELSERE5834"/>
    <n v="1"/>
    <s v=""/>
    <n v="0"/>
    <s v="ELSERE5834YE"/>
    <n v="1"/>
    <s v=""/>
    <n v="0"/>
    <s v="E5"/>
    <s v="모자"/>
    <s v="ELS"/>
    <s v="ER"/>
    <x v="3"/>
    <s v="ELSERE5834"/>
    <s v="ELSERE5834YE"/>
    <x v="0"/>
    <n v="800"/>
    <n v="44000000"/>
    <n v="8440758"/>
    <n v="4.7389108892826917"/>
    <n v="0"/>
    <n v="800"/>
  </r>
  <r>
    <x v="0"/>
    <x v="0"/>
    <s v="ELSFIE3335"/>
    <n v="1"/>
    <s v=""/>
    <n v="0"/>
    <s v="ELSFIE3335BL"/>
    <n v="1"/>
    <s v=""/>
    <n v="0"/>
    <s v="E3"/>
    <s v="모자"/>
    <s v="ELS"/>
    <s v="FI"/>
    <x v="3"/>
    <s v="ELSFIE3335"/>
    <s v="ELSFIE3335BL"/>
    <x v="0"/>
    <n v="1000"/>
    <n v="49000000"/>
    <n v="9001280"/>
    <n v="4.948791121424347"/>
    <n v="0"/>
    <n v="1000"/>
  </r>
  <r>
    <x v="0"/>
    <x v="0"/>
    <s v="ELSFIE3835"/>
    <n v="1"/>
    <s v=""/>
    <n v="0"/>
    <s v="ELSFIE3835BL"/>
    <n v="1"/>
    <s v=""/>
    <n v="0"/>
    <s v="E3"/>
    <s v="모자"/>
    <s v="ELS"/>
    <s v="FI"/>
    <x v="3"/>
    <s v="ELSFIE3835"/>
    <s v="ELSFIE3835BL"/>
    <x v="0"/>
    <n v="1000"/>
    <n v="43000000"/>
    <n v="9001280"/>
    <n v="4.3428166983927943"/>
    <n v="0"/>
    <n v="1000"/>
  </r>
  <r>
    <x v="1"/>
    <x v="1"/>
    <s v=""/>
    <n v="0"/>
    <s v="ELSBAE3007"/>
    <n v="1"/>
    <s v=""/>
    <n v="0"/>
    <s v="ELSBAE3007PK"/>
    <n v="1"/>
    <s v="E3"/>
    <s v="모자"/>
    <s v="ELS"/>
    <s v="BA"/>
    <x v="3"/>
    <s v="ELSBAE3007"/>
    <s v="ELSBAE3007PK"/>
    <x v="0"/>
    <n v="2000"/>
    <n v="98000000"/>
    <n v="12518380.000000002"/>
    <n v="7.116808172535829"/>
    <n v="0"/>
    <n v="2000"/>
  </r>
  <r>
    <x v="1"/>
    <x v="0"/>
    <s v="ELSBAE3649"/>
    <n v="1"/>
    <s v=""/>
    <n v="0"/>
    <s v="ELSBAE3649PK"/>
    <n v="1"/>
    <s v=""/>
    <n v="0"/>
    <s v="E3"/>
    <s v="모자"/>
    <s v="ELS"/>
    <s v="BA"/>
    <x v="3"/>
    <s v="ELSBAE3649"/>
    <s v="ELSBAE3649PK"/>
    <x v="0"/>
    <n v="2000"/>
    <n v="86000000"/>
    <n v="12144160.000000002"/>
    <n v="6.4378119344457057"/>
    <n v="0"/>
    <n v="2000"/>
  </r>
  <r>
    <x v="1"/>
    <x v="0"/>
    <s v="JILMIE3152"/>
    <n v="0.2"/>
    <s v=""/>
    <n v="0"/>
    <s v="JILMIE3152PK"/>
    <n v="1"/>
    <s v=""/>
    <n v="0"/>
    <s v="E3"/>
    <s v="모자"/>
    <s v="JIL"/>
    <s v="MI"/>
    <x v="4"/>
    <s v="JILMIE3152"/>
    <s v="JILMIE3152PK"/>
    <x v="0"/>
    <n v="1000"/>
    <n v="45000000"/>
    <n v="6673590"/>
    <n v="6.1299976338209126"/>
    <n v="0"/>
    <n v="1000"/>
  </r>
  <r>
    <x v="1"/>
    <x v="0"/>
    <s v="WTRBAE3603"/>
    <n v="1"/>
    <s v=""/>
    <n v="0"/>
    <s v="WTRBAE3603RE"/>
    <n v="1"/>
    <s v=""/>
    <n v="0"/>
    <s v="E3"/>
    <s v="모자"/>
    <s v="WTR"/>
    <s v="BA"/>
    <x v="8"/>
    <s v="WTRBAE3603"/>
    <s v="WTRBAE3603RE"/>
    <x v="0"/>
    <n v="700"/>
    <n v="34300000"/>
    <n v="7795454.5454545449"/>
    <n v="4"/>
    <n v="0"/>
    <n v="700"/>
  </r>
  <r>
    <x v="0"/>
    <x v="0"/>
    <s v="ELSJSE5327"/>
    <n v="1"/>
    <s v=""/>
    <n v="0"/>
    <s v="ELSJSE5327BW"/>
    <n v="1"/>
    <s v=""/>
    <n v="0"/>
    <s v="E5"/>
    <s v="의류"/>
    <s v="ELS"/>
    <s v="JS"/>
    <x v="14"/>
    <s v="ELSJSE5327"/>
    <s v="ELSJSE5327BW"/>
    <x v="0"/>
    <n v="800"/>
    <n v="127200000"/>
    <n v="27251800"/>
    <n v="4.2432559917643466"/>
    <n v="0"/>
    <n v="800"/>
  </r>
  <r>
    <x v="0"/>
    <x v="0"/>
    <s v="ELSJSE5827"/>
    <n v="1"/>
    <s v=""/>
    <n v="0"/>
    <s v="ELSJSE5827BW"/>
    <n v="1"/>
    <s v=""/>
    <n v="0"/>
    <s v="E5"/>
    <s v="의류"/>
    <s v="ELS"/>
    <s v="JS"/>
    <x v="14"/>
    <s v="ELSJSE5827"/>
    <s v="ELSJSE5827BW"/>
    <x v="0"/>
    <n v="800"/>
    <n v="111200000"/>
    <n v="21754000"/>
    <n v="4.6470032679465421"/>
    <n v="0"/>
    <n v="800"/>
  </r>
  <r>
    <x v="0"/>
    <x v="0"/>
    <s v="ELSPTE5330"/>
    <n v="1"/>
    <s v=""/>
    <n v="0"/>
    <s v="ELSPTE5330BK"/>
    <n v="1"/>
    <s v=""/>
    <n v="0"/>
    <s v="E5"/>
    <s v="의류"/>
    <s v="ELS"/>
    <s v="PT"/>
    <x v="14"/>
    <s v="ELSPTE5330"/>
    <s v="ELSPTE5330BK"/>
    <x v="0"/>
    <n v="1000"/>
    <n v="89000000"/>
    <n v="22020000"/>
    <n v="3.6743456361984967"/>
    <n v="0"/>
    <n v="1000"/>
  </r>
  <r>
    <x v="0"/>
    <x v="0"/>
    <s v="ELSPTE5830"/>
    <n v="1"/>
    <s v=""/>
    <n v="0"/>
    <s v="ELSPTE5830BK"/>
    <n v="1"/>
    <s v=""/>
    <n v="0"/>
    <s v="E5"/>
    <s v="의류"/>
    <s v="ELS"/>
    <s v="PT"/>
    <x v="14"/>
    <s v="ELSPTE5830"/>
    <s v="ELSPTE5830BK"/>
    <x v="0"/>
    <n v="1000"/>
    <n v="79000000"/>
    <n v="19120000"/>
    <n v="3.7561810574362875"/>
    <n v="0"/>
    <n v="1000"/>
  </r>
  <r>
    <x v="0"/>
    <x v="0"/>
    <s v="ELSPTE5331"/>
    <n v="1"/>
    <s v=""/>
    <n v="0"/>
    <s v="ELSPTE5331BW"/>
    <n v="1"/>
    <s v=""/>
    <n v="0"/>
    <s v="E5"/>
    <s v="의류"/>
    <s v="ELS"/>
    <s v="PT"/>
    <x v="14"/>
    <s v="ELSPTE5331"/>
    <s v="ELSPTE5331BW"/>
    <x v="0"/>
    <n v="1000"/>
    <n v="89000000"/>
    <n v="23020000"/>
    <n v="3.514730274069978"/>
    <n v="0"/>
    <n v="1000"/>
  </r>
  <r>
    <x v="0"/>
    <x v="0"/>
    <s v="ELSPTE5831"/>
    <n v="1"/>
    <s v=""/>
    <n v="0"/>
    <s v="ELSPTE5831BW"/>
    <n v="1"/>
    <s v=""/>
    <n v="0"/>
    <s v="E5"/>
    <s v="의류"/>
    <s v="ELS"/>
    <s v="PT"/>
    <x v="14"/>
    <s v="ELSPTE5831"/>
    <s v="ELSPTE5831BW"/>
    <x v="0"/>
    <n v="1000"/>
    <n v="79000000"/>
    <n v="20020000"/>
    <n v="3.587321769139951"/>
    <n v="0"/>
    <n v="1000"/>
  </r>
  <r>
    <x v="0"/>
    <x v="0"/>
    <s v="VBLBAE5316"/>
    <n v="1"/>
    <s v=""/>
    <n v="0"/>
    <s v="VBLBAE5316GY"/>
    <n v="1"/>
    <s v=""/>
    <n v="0"/>
    <s v="E5"/>
    <s v="모자"/>
    <s v="VBL"/>
    <s v="BA"/>
    <x v="10"/>
    <s v="VBLBAE5316"/>
    <s v="VBLBAE5316GY"/>
    <x v="0"/>
    <n v="1000"/>
    <n v="59000000"/>
    <n v="13409090.909090908"/>
    <n v="4"/>
    <n v="0"/>
    <n v="1000"/>
  </r>
  <r>
    <x v="1"/>
    <x v="0"/>
    <s v="ELSBAE3008"/>
    <n v="0.33333333333333331"/>
    <s v=""/>
    <n v="0"/>
    <s v="ELSBAE3008NY"/>
    <n v="1"/>
    <s v=""/>
    <n v="0"/>
    <s v="E3"/>
    <s v="모자"/>
    <s v="ELS"/>
    <s v="BA"/>
    <x v="3"/>
    <s v="ELSBAE3008"/>
    <s v="ELSBAE3008NY"/>
    <x v="0"/>
    <n v="3000"/>
    <n v="147000000"/>
    <n v="12215040"/>
    <n v="10.940313223400301"/>
    <n v="0"/>
    <n v="3000"/>
  </r>
  <r>
    <x v="1"/>
    <x v="0"/>
    <s v="ELSFIE3013"/>
    <n v="0.33333333333333331"/>
    <s v=""/>
    <n v="0"/>
    <s v="ELSFIE3013RE"/>
    <n v="1"/>
    <s v=""/>
    <n v="0"/>
    <s v="E3"/>
    <s v="모자"/>
    <s v="ELS"/>
    <s v="FI"/>
    <x v="3"/>
    <s v="ELSFIE3013"/>
    <s v="ELSFIE3013RE"/>
    <x v="0"/>
    <n v="3500"/>
    <n v="171500000"/>
    <n v="13237700.000000002"/>
    <n v="11.777657063469551"/>
    <n v="0"/>
    <n v="3500"/>
  </r>
  <r>
    <x v="1"/>
    <x v="0"/>
    <s v="ELSFIE3013"/>
    <n v="0.33333333333333331"/>
    <s v=""/>
    <n v="0"/>
    <s v="ELSFIE3013BK"/>
    <n v="1"/>
    <s v=""/>
    <n v="0"/>
    <s v="E3"/>
    <s v="모자"/>
    <s v="ELS"/>
    <s v="FI"/>
    <x v="3"/>
    <s v="ELSFIE3013"/>
    <s v="ELSFIE3013BK"/>
    <x v="0"/>
    <n v="1500"/>
    <n v="73500000"/>
    <n v="5673300.0000000009"/>
    <n v="11.777657063469549"/>
    <n v="0"/>
    <n v="1500"/>
  </r>
  <r>
    <x v="1"/>
    <x v="0"/>
    <s v="ELSFIE3013"/>
    <n v="0.33333333333333331"/>
    <s v=""/>
    <n v="0"/>
    <s v="ELSFIE3013YE"/>
    <n v="1"/>
    <s v=""/>
    <n v="0"/>
    <s v="E3"/>
    <s v="모자"/>
    <s v="ELS"/>
    <s v="FI"/>
    <x v="3"/>
    <s v="ELSFIE3013"/>
    <s v="ELSFIE3013YE"/>
    <x v="0"/>
    <n v="1800"/>
    <n v="88200000"/>
    <n v="6807960.0000000019"/>
    <n v="11.777657063469549"/>
    <n v="0"/>
    <n v="1800"/>
  </r>
  <r>
    <x v="1"/>
    <x v="0"/>
    <s v="ELSFIE3031"/>
    <n v="1"/>
    <s v=""/>
    <n v="0"/>
    <s v="ELSFIE3031GR"/>
    <n v="1"/>
    <s v=""/>
    <n v="0"/>
    <s v="E3"/>
    <s v="모자"/>
    <s v="ELS"/>
    <s v="FI"/>
    <x v="3"/>
    <s v="ELSFIE3031"/>
    <s v="ELSFIE3031GR"/>
    <x v="0"/>
    <n v="1500"/>
    <n v="73500000"/>
    <n v="4984860.0000000009"/>
    <n v="13.404224354983249"/>
    <n v="0"/>
    <n v="1500"/>
  </r>
  <r>
    <x v="1"/>
    <x v="0"/>
    <s v="ELSFIE3210"/>
    <n v="1"/>
    <s v=""/>
    <n v="0"/>
    <s v="ELSFIE3210GY"/>
    <n v="1"/>
    <s v=""/>
    <n v="0"/>
    <s v="E3"/>
    <s v="모자"/>
    <s v="ELS"/>
    <s v="FI"/>
    <x v="3"/>
    <s v="ELSFIE3210"/>
    <s v="ELSFIE3210GY"/>
    <x v="0"/>
    <n v="3000"/>
    <n v="147000000"/>
    <n v="18944250"/>
    <n v="7.0541913053493088"/>
    <n v="0"/>
    <n v="3000"/>
  </r>
  <r>
    <x v="1"/>
    <x v="0"/>
    <s v="ELSFIE3710"/>
    <n v="1"/>
    <s v=""/>
    <n v="0"/>
    <s v="ELSFIE3710GY"/>
    <n v="1"/>
    <s v=""/>
    <n v="0"/>
    <s v="E3"/>
    <s v="모자"/>
    <s v="ELS"/>
    <s v="FI"/>
    <x v="3"/>
    <s v="ELSFIE3710"/>
    <s v="ELSFIE3710GY"/>
    <x v="0"/>
    <n v="3000"/>
    <n v="129000000"/>
    <n v="18597750"/>
    <n v="6.3057481293558242"/>
    <n v="0"/>
    <n v="3000"/>
  </r>
  <r>
    <x v="1"/>
    <x v="0"/>
    <s v="ELSFIE3714"/>
    <n v="1"/>
    <s v=""/>
    <n v="0"/>
    <s v="ELSFIE3714GR"/>
    <n v="1"/>
    <s v=""/>
    <n v="0"/>
    <s v="E3"/>
    <s v="모자"/>
    <s v="ELS"/>
    <s v="FI"/>
    <x v="3"/>
    <s v="ELSFIE3714"/>
    <s v="ELSFIE3714GR"/>
    <x v="0"/>
    <n v="3000"/>
    <n v="129000000"/>
    <n v="16518750"/>
    <n v="7.0993705499948403"/>
    <n v="0"/>
    <n v="3000"/>
  </r>
  <r>
    <x v="1"/>
    <x v="1"/>
    <s v=""/>
    <n v="0"/>
    <s v="ELSFIE3211"/>
    <n v="1"/>
    <s v=""/>
    <n v="0"/>
    <s v="ELSFIE3211PK"/>
    <n v="1"/>
    <s v="E3"/>
    <s v="모자"/>
    <s v="ELS"/>
    <s v="FI"/>
    <x v="3"/>
    <s v="ELSFIE3211"/>
    <s v="ELSFIE3211PK"/>
    <x v="0"/>
    <n v="1200"/>
    <n v="66000000"/>
    <n v="7854900.0000000009"/>
    <n v="7.6385440934957778"/>
    <n v="0"/>
    <n v="1200"/>
  </r>
  <r>
    <x v="1"/>
    <x v="0"/>
    <s v="ELSFIE3226"/>
    <n v="1"/>
    <s v=""/>
    <n v="0"/>
    <s v="ELSFIE3226BL"/>
    <n v="1"/>
    <s v=""/>
    <n v="0"/>
    <s v="E3"/>
    <s v="모자"/>
    <s v="ELS"/>
    <s v="FI"/>
    <x v="3"/>
    <s v="ELSFIE3226"/>
    <s v="ELSFIE3226BL"/>
    <x v="0"/>
    <n v="1600"/>
    <n v="94400000"/>
    <n v="20800000"/>
    <n v="4.1258741258741258"/>
    <n v="0"/>
    <n v="1600"/>
  </r>
  <r>
    <x v="1"/>
    <x v="0"/>
    <s v="ELSFIE3721"/>
    <n v="0.5"/>
    <s v=""/>
    <n v="0"/>
    <s v="ELSFIE3721OR"/>
    <n v="1"/>
    <s v=""/>
    <n v="0"/>
    <s v="E3"/>
    <s v="모자"/>
    <s v="ELS"/>
    <s v="FI"/>
    <x v="3"/>
    <s v="ELSFIE3721"/>
    <s v="ELSFIE3721OR"/>
    <x v="0"/>
    <n v="1000"/>
    <n v="55000000"/>
    <n v="12500000"/>
    <n v="3.9999999999999996"/>
    <n v="0"/>
    <n v="1000"/>
  </r>
  <r>
    <x v="1"/>
    <x v="0"/>
    <s v="ELSFIE3721"/>
    <n v="0.5"/>
    <s v=""/>
    <n v="0"/>
    <s v="ELSFIE3721MT"/>
    <n v="1"/>
    <s v=""/>
    <n v="0"/>
    <s v="E3"/>
    <s v="모자"/>
    <s v="ELS"/>
    <s v="FI"/>
    <x v="3"/>
    <s v="ELSFIE3721"/>
    <s v="ELSFIE3721MT"/>
    <x v="0"/>
    <n v="1000"/>
    <n v="55000000"/>
    <n v="12500000"/>
    <n v="3.9999999999999996"/>
    <n v="0"/>
    <n v="1000"/>
  </r>
  <r>
    <x v="1"/>
    <x v="0"/>
    <s v="ELSFIE3221"/>
    <n v="0.5"/>
    <s v=""/>
    <n v="0"/>
    <s v="ELSFIE3221OR"/>
    <n v="1"/>
    <s v=""/>
    <n v="0"/>
    <s v="E3"/>
    <s v="모자"/>
    <s v="ELS"/>
    <s v="FI"/>
    <x v="3"/>
    <s v="ELSFIE3221"/>
    <s v="ELSFIE3221OR"/>
    <x v="0"/>
    <n v="1000"/>
    <n v="59000000"/>
    <n v="12500000"/>
    <n v="4.2909090909090901"/>
    <n v="0"/>
    <n v="1000"/>
  </r>
  <r>
    <x v="1"/>
    <x v="0"/>
    <s v="ELSFIE3726"/>
    <n v="1"/>
    <s v=""/>
    <n v="0"/>
    <s v="ELSFIE3726BL"/>
    <n v="1"/>
    <s v=""/>
    <n v="0"/>
    <s v="E3"/>
    <s v="모자"/>
    <s v="ELS"/>
    <s v="FI"/>
    <x v="3"/>
    <s v="ELSFIE3726"/>
    <s v="ELSFIE3726BL"/>
    <x v="0"/>
    <n v="1000"/>
    <n v="55000000"/>
    <n v="13000000"/>
    <n v="3.8461538461538458"/>
    <n v="0"/>
    <n v="1000"/>
  </r>
  <r>
    <x v="1"/>
    <x v="0"/>
    <s v="SMBBAE3223"/>
    <n v="1"/>
    <s v=""/>
    <n v="0"/>
    <s v="SMBBAE3223GY"/>
    <n v="1"/>
    <s v=""/>
    <n v="0"/>
    <s v="E3"/>
    <s v="모자"/>
    <s v="SMB"/>
    <s v="BA"/>
    <x v="13"/>
    <s v="SMBBAE3223"/>
    <s v="SMBBAE3223GY"/>
    <x v="0"/>
    <n v="1000"/>
    <n v="45000000"/>
    <n v="6314750"/>
    <n v="6.4783389538922211"/>
    <n v="0"/>
    <n v="1000"/>
  </r>
  <r>
    <x v="1"/>
    <x v="0"/>
    <s v="SMBBAE3226"/>
    <n v="1"/>
    <s v=""/>
    <n v="0"/>
    <s v="SMBBAE3226PK"/>
    <n v="1"/>
    <s v=""/>
    <n v="0"/>
    <s v="E3"/>
    <s v="모자"/>
    <s v="SMB"/>
    <s v="BA"/>
    <x v="13"/>
    <s v="SMBBAE3226"/>
    <s v="SMBBAE3226PK"/>
    <x v="0"/>
    <n v="700"/>
    <n v="34300000"/>
    <n v="4904199.9999999991"/>
    <n v="6.3581864895025051"/>
    <n v="0"/>
    <n v="700"/>
  </r>
  <r>
    <x v="1"/>
    <x v="0"/>
    <s v="SMBBAE3235"/>
    <n v="1"/>
    <s v=""/>
    <n v="0"/>
    <s v="SMBBAE3235BK"/>
    <n v="1"/>
    <s v=""/>
    <n v="0"/>
    <s v="E3"/>
    <s v="모자"/>
    <s v="SMB"/>
    <s v="BA"/>
    <x v="13"/>
    <s v="SMBBAE3235"/>
    <s v="SMBBAE3235BK"/>
    <x v="0"/>
    <n v="500"/>
    <n v="24500000"/>
    <n v="3300875"/>
    <n v="6.7475221790365492"/>
    <n v="0"/>
    <n v="500"/>
  </r>
  <r>
    <x v="1"/>
    <x v="0"/>
    <s v="SMBFIE3203"/>
    <n v="1"/>
    <s v=""/>
    <n v="0"/>
    <s v="SMBFIE3203BL"/>
    <n v="1"/>
    <s v=""/>
    <n v="0"/>
    <s v="E3"/>
    <s v="모자"/>
    <s v="SMB"/>
    <s v="FI"/>
    <x v="13"/>
    <s v="SMBFIE3203"/>
    <s v="SMBFIE3203BL"/>
    <x v="0"/>
    <n v="1500"/>
    <n v="73500000"/>
    <n v="8692500"/>
    <n v="7.6868774021491886"/>
    <n v="0"/>
    <n v="1500"/>
  </r>
  <r>
    <x v="1"/>
    <x v="0"/>
    <s v="SMBFIE3703"/>
    <n v="1"/>
    <s v=""/>
    <n v="0"/>
    <s v="SMBFIE3703BL"/>
    <n v="1"/>
    <s v=""/>
    <n v="0"/>
    <s v="E3"/>
    <s v="모자"/>
    <s v="SMB"/>
    <s v="FI"/>
    <x v="13"/>
    <s v="SMBFIE3703"/>
    <s v="SMBFIE3703BL"/>
    <x v="0"/>
    <n v="1500"/>
    <n v="64500000"/>
    <n v="9902625"/>
    <n v="5.9212949734402383"/>
    <n v="0"/>
    <n v="1500"/>
  </r>
  <r>
    <x v="1"/>
    <x v="0"/>
    <s v="SMBFIE3213"/>
    <n v="1"/>
    <s v=""/>
    <n v="0"/>
    <s v="SMBFIE3213BK"/>
    <n v="1"/>
    <s v=""/>
    <n v="0"/>
    <s v="E3"/>
    <s v="모자"/>
    <s v="SMB"/>
    <s v="FI"/>
    <x v="13"/>
    <s v="SMBFIE3213"/>
    <s v="SMBFIE3213BK"/>
    <x v="0"/>
    <n v="1500"/>
    <n v="67500000"/>
    <n v="6960000"/>
    <n v="8.8166144200626952"/>
    <n v="0"/>
    <n v="1500"/>
  </r>
  <r>
    <x v="1"/>
    <x v="0"/>
    <s v="SMBFIE3218"/>
    <n v="1"/>
    <s v=""/>
    <n v="0"/>
    <s v="SMBFIE3218NY"/>
    <n v="1"/>
    <s v=""/>
    <n v="0"/>
    <s v="E3"/>
    <s v="모자"/>
    <s v="SMB"/>
    <s v="FI"/>
    <x v="13"/>
    <s v="SMBFIE3218"/>
    <s v="SMBFIE3218NY"/>
    <x v="0"/>
    <n v="1500"/>
    <n v="73500000"/>
    <n v="9296250.0000000019"/>
    <n v="7.1876489786937521"/>
    <n v="0"/>
    <n v="1500"/>
  </r>
  <r>
    <x v="1"/>
    <x v="0"/>
    <s v="SMBFLE3744"/>
    <n v="0.5"/>
    <s v=""/>
    <n v="0"/>
    <s v="SMBFLE3744RE"/>
    <n v="1"/>
    <s v=""/>
    <n v="0"/>
    <s v="E3"/>
    <s v="모자"/>
    <s v="SMB"/>
    <s v="FL"/>
    <x v="13"/>
    <s v="SMBFLE3744"/>
    <s v="SMBFLE3744RE"/>
    <x v="0"/>
    <n v="500"/>
    <n v="21500000"/>
    <n v="3271999.9999999995"/>
    <n v="5.9735496777061572"/>
    <n v="0"/>
    <n v="500"/>
  </r>
  <r>
    <x v="1"/>
    <x v="0"/>
    <s v="BMDBAE3202"/>
    <n v="0.25"/>
    <s v=""/>
    <n v="0"/>
    <s v="BMDBAE3202RE"/>
    <n v="1"/>
    <s v=""/>
    <n v="0"/>
    <s v="E3"/>
    <s v="모자"/>
    <s v="BMD"/>
    <s v="BA"/>
    <x v="18"/>
    <s v="BMDBAE3202"/>
    <s v="BMDBAE3202RE"/>
    <x v="0"/>
    <n v="1000"/>
    <n v="55000000"/>
    <n v="9020000"/>
    <n v="5.5432372505543235"/>
    <n v="0"/>
    <n v="1000"/>
  </r>
  <r>
    <x v="1"/>
    <x v="0"/>
    <s v="BMDMIE3201"/>
    <n v="0.5"/>
    <s v=""/>
    <n v="0"/>
    <s v="BMDMIE3201BL"/>
    <n v="1"/>
    <s v=""/>
    <n v="0"/>
    <s v="E3"/>
    <s v="모자"/>
    <s v="BMD"/>
    <s v="MI"/>
    <x v="18"/>
    <s v="BMDMIE3201"/>
    <s v="BMDMIE3201BL"/>
    <x v="0"/>
    <n v="500"/>
    <n v="24500000"/>
    <n v="4910000"/>
    <n v="4.5361970005554531"/>
    <n v="0"/>
    <n v="500"/>
  </r>
  <r>
    <x v="1"/>
    <x v="0"/>
    <s v="BMDMIE3201"/>
    <n v="0.5"/>
    <s v=""/>
    <n v="0"/>
    <s v="BMDMIE3201BK"/>
    <n v="1"/>
    <s v=""/>
    <n v="0"/>
    <s v="E3"/>
    <s v="모자"/>
    <s v="BMD"/>
    <s v="MI"/>
    <x v="18"/>
    <s v="BMDMIE3201"/>
    <s v="BMDMIE3201BK"/>
    <x v="0"/>
    <n v="500"/>
    <n v="24500000"/>
    <n v="4910000"/>
    <n v="4.5361970005554531"/>
    <n v="0"/>
    <n v="500"/>
  </r>
  <r>
    <x v="0"/>
    <x v="0"/>
    <s v="NAABAE3301"/>
    <n v="1"/>
    <s v=""/>
    <n v="0"/>
    <s v="NAABAE3301NY"/>
    <n v="1"/>
    <s v=""/>
    <n v="0"/>
    <s v="E3"/>
    <s v="모자"/>
    <s v="NAA"/>
    <s v="BA"/>
    <x v="23"/>
    <s v="NAABAE3301"/>
    <s v="NAABAE3301NY"/>
    <x v="0"/>
    <n v="700"/>
    <n v="30100000"/>
    <n v="4810575.0000000009"/>
    <n v="5.68822570350454"/>
    <n v="0"/>
    <n v="700"/>
  </r>
  <r>
    <x v="0"/>
    <x v="0"/>
    <s v="NAABAE3302"/>
    <n v="1"/>
    <s v=""/>
    <n v="0"/>
    <s v="NAABAE3302BU"/>
    <n v="1"/>
    <s v=""/>
    <n v="0"/>
    <s v="E3"/>
    <s v="모자"/>
    <s v="NAA"/>
    <s v="BA"/>
    <x v="23"/>
    <s v="NAABAE3302"/>
    <s v="NAABAE3302BU"/>
    <x v="0"/>
    <n v="700"/>
    <n v="30100000"/>
    <n v="4931850.0000000009"/>
    <n v="5.5483513009593466"/>
    <n v="0"/>
    <n v="700"/>
  </r>
  <r>
    <x v="0"/>
    <x v="0"/>
    <s v="NAABAE3303"/>
    <n v="1"/>
    <s v=""/>
    <n v="0"/>
    <s v="NAABAE3303PK"/>
    <n v="1"/>
    <s v=""/>
    <n v="0"/>
    <s v="E3"/>
    <s v="모자"/>
    <s v="NAA"/>
    <s v="BA"/>
    <x v="23"/>
    <s v="NAABAE3303"/>
    <s v="NAABAE3303PK"/>
    <x v="0"/>
    <n v="500"/>
    <n v="21500000"/>
    <n v="3436125.0000000005"/>
    <n v="5.6882257035045409"/>
    <n v="0"/>
    <n v="500"/>
  </r>
  <r>
    <x v="0"/>
    <x v="0"/>
    <s v="NAABAE3304"/>
    <n v="1"/>
    <s v=""/>
    <n v="0"/>
    <s v="NAABAE3304GY"/>
    <n v="1"/>
    <s v=""/>
    <n v="0"/>
    <s v="E3"/>
    <s v="모자"/>
    <s v="NAA"/>
    <s v="BA"/>
    <x v="23"/>
    <s v="NAABAE3304"/>
    <s v="NAABAE3304GY"/>
    <x v="0"/>
    <n v="500"/>
    <n v="21500000"/>
    <n v="3436125.0000000005"/>
    <n v="5.6882257035045409"/>
    <n v="0"/>
    <n v="500"/>
  </r>
  <r>
    <x v="0"/>
    <x v="0"/>
    <s v="NAABAE3305"/>
    <n v="1"/>
    <s v=""/>
    <n v="0"/>
    <s v="NAABAE3305GR"/>
    <n v="1"/>
    <s v=""/>
    <n v="0"/>
    <s v="E3"/>
    <s v="모자"/>
    <s v="NAA"/>
    <s v="BA"/>
    <x v="23"/>
    <s v="NAABAE3305"/>
    <s v="NAABAE3305GR"/>
    <x v="0"/>
    <n v="500"/>
    <n v="21500000"/>
    <n v="3436125.0000000005"/>
    <n v="5.6882257035045409"/>
    <n v="0"/>
    <n v="500"/>
  </r>
  <r>
    <x v="0"/>
    <x v="0"/>
    <s v="NAABAE3306"/>
    <n v="1"/>
    <s v=""/>
    <n v="0"/>
    <s v="NAABAE3306NY"/>
    <n v="1"/>
    <s v=""/>
    <n v="0"/>
    <s v="E3"/>
    <s v="모자"/>
    <s v="NAA"/>
    <s v="BA"/>
    <x v="23"/>
    <s v="NAABAE3306"/>
    <s v="NAABAE3306NY"/>
    <x v="0"/>
    <n v="700"/>
    <n v="31500000"/>
    <n v="5619075"/>
    <n v="5.0962771695276592"/>
    <n v="0"/>
    <n v="700"/>
  </r>
  <r>
    <x v="0"/>
    <x v="0"/>
    <s v="NAABAE3307"/>
    <n v="1"/>
    <s v=""/>
    <n v="0"/>
    <s v="NAABAE3307NY"/>
    <n v="1"/>
    <s v=""/>
    <n v="0"/>
    <s v="E3"/>
    <s v="모자"/>
    <s v="NAA"/>
    <s v="BA"/>
    <x v="23"/>
    <s v="NAABAE3307"/>
    <s v="NAABAE3307NY"/>
    <x v="0"/>
    <n v="700"/>
    <n v="31500000"/>
    <n v="5174400.0000000009"/>
    <n v="5.5342384887839415"/>
    <n v="0"/>
    <n v="700"/>
  </r>
  <r>
    <x v="0"/>
    <x v="0"/>
    <s v="NAABAE3308"/>
    <n v="1"/>
    <s v=""/>
    <n v="0"/>
    <s v="NAABAE3308GR"/>
    <n v="1"/>
    <s v=""/>
    <n v="0"/>
    <s v="E3"/>
    <s v="모자"/>
    <s v="NAA"/>
    <s v="BA"/>
    <x v="23"/>
    <s v="NAABAE3308"/>
    <s v="NAABAE3308GR"/>
    <x v="0"/>
    <n v="700"/>
    <n v="31500000"/>
    <n v="5012700.0000000009"/>
    <n v="5.7127623110027779"/>
    <n v="0"/>
    <n v="700"/>
  </r>
  <r>
    <x v="0"/>
    <x v="0"/>
    <s v="NAAFLE3309"/>
    <n v="1"/>
    <s v=""/>
    <n v="0"/>
    <s v="NAAFLE3309NY"/>
    <n v="1"/>
    <s v=""/>
    <n v="0"/>
    <s v="E3"/>
    <s v="모자"/>
    <s v="NAA"/>
    <s v="FL"/>
    <x v="23"/>
    <s v="NAAFLE3309"/>
    <s v="NAAFLE3309NY"/>
    <x v="0"/>
    <n v="500"/>
    <n v="22500000"/>
    <n v="3407250"/>
    <n v="6.0032417505452935"/>
    <n v="0"/>
    <n v="500"/>
  </r>
  <r>
    <x v="0"/>
    <x v="0"/>
    <s v="NAAFLE3310"/>
    <n v="1"/>
    <s v=""/>
    <n v="0"/>
    <s v="NAAFLE3310PP"/>
    <n v="1"/>
    <s v=""/>
    <n v="0"/>
    <s v="E3"/>
    <s v="모자"/>
    <s v="NAA"/>
    <s v="FL"/>
    <x v="23"/>
    <s v="NAAFLE3310"/>
    <s v="NAAFLE3310PP"/>
    <x v="0"/>
    <n v="500"/>
    <n v="22500000"/>
    <n v="3436125.0000000005"/>
    <n v="5.9527943408768449"/>
    <n v="0"/>
    <n v="500"/>
  </r>
  <r>
    <x v="0"/>
    <x v="0"/>
    <s v="NAAFIE3311"/>
    <n v="1"/>
    <s v=""/>
    <n v="0"/>
    <s v="NAAFIE3311PP"/>
    <n v="1"/>
    <s v=""/>
    <n v="0"/>
    <s v="E3"/>
    <s v="모자"/>
    <s v="NAA"/>
    <s v="FI"/>
    <x v="23"/>
    <s v="NAAFIE3311"/>
    <s v="NAAFIE3311PP"/>
    <x v="0"/>
    <n v="700"/>
    <n v="34300000"/>
    <n v="4689300"/>
    <n v="6.6495677780944238"/>
    <n v="0"/>
    <n v="700"/>
  </r>
  <r>
    <x v="0"/>
    <x v="0"/>
    <s v="NAAFIE3312"/>
    <n v="1"/>
    <s v=""/>
    <n v="0"/>
    <s v="NAAFIE3312KH"/>
    <n v="1"/>
    <s v=""/>
    <n v="0"/>
    <s v="E3"/>
    <s v="모자"/>
    <s v="NAA"/>
    <s v="FI"/>
    <x v="23"/>
    <s v="NAAFIE3312"/>
    <s v="NAAFIE3312KH"/>
    <x v="0"/>
    <n v="700"/>
    <n v="34300000"/>
    <n v="5174400.0000000009"/>
    <n v="6.0261707988980699"/>
    <n v="0"/>
    <n v="700"/>
  </r>
  <r>
    <x v="0"/>
    <x v="0"/>
    <s v="NAAFIE3313"/>
    <n v="1"/>
    <s v=""/>
    <n v="0"/>
    <s v="NAAFIE3313BU"/>
    <n v="1"/>
    <s v=""/>
    <n v="0"/>
    <s v="E3"/>
    <s v="모자"/>
    <s v="NAA"/>
    <s v="FI"/>
    <x v="23"/>
    <s v="NAAFIE3313"/>
    <s v="NAAFIE3313BU"/>
    <x v="0"/>
    <n v="700"/>
    <n v="34300000"/>
    <n v="4851000.0000000009"/>
    <n v="6.4279155188246078"/>
    <n v="0"/>
    <n v="700"/>
  </r>
  <r>
    <x v="0"/>
    <x v="0"/>
    <s v="NAAFIE3314"/>
    <n v="1"/>
    <s v=""/>
    <n v="0"/>
    <s v="NAAFIE3314BG"/>
    <n v="1"/>
    <s v=""/>
    <n v="0"/>
    <s v="E3"/>
    <s v="모자"/>
    <s v="NAA"/>
    <s v="FI"/>
    <x v="23"/>
    <s v="NAAFIE3314"/>
    <s v="NAAFIE3314BG"/>
    <x v="0"/>
    <n v="700"/>
    <n v="34300000"/>
    <n v="4851000.0000000009"/>
    <n v="6.4279155188246078"/>
    <n v="0"/>
    <n v="700"/>
  </r>
  <r>
    <x v="0"/>
    <x v="0"/>
    <s v="NAAFIE3315"/>
    <n v="1"/>
    <s v=""/>
    <n v="0"/>
    <s v="NAAFIE3315BK"/>
    <n v="1"/>
    <s v=""/>
    <n v="0"/>
    <s v="E3"/>
    <s v="모자"/>
    <s v="NAA"/>
    <s v="FI"/>
    <x v="23"/>
    <s v="NAAFIE3315"/>
    <s v="NAAFIE3315BK"/>
    <x v="0"/>
    <n v="700"/>
    <n v="34300000"/>
    <n v="5012700.0000000009"/>
    <n v="6.2205634053141363"/>
    <n v="0"/>
    <n v="700"/>
  </r>
  <r>
    <x v="0"/>
    <x v="0"/>
    <s v="NAAFIE3316"/>
    <n v="1"/>
    <s v=""/>
    <n v="0"/>
    <s v="NAAFIE3316NY"/>
    <n v="1"/>
    <s v=""/>
    <n v="0"/>
    <s v="E3"/>
    <s v="모자"/>
    <s v="NAA"/>
    <s v="FI"/>
    <x v="23"/>
    <s v="NAAFIE3316"/>
    <s v="NAAFIE3316NY"/>
    <x v="0"/>
    <n v="700"/>
    <n v="34300000"/>
    <n v="4972275.0000000009"/>
    <n v="6.2711370915362021"/>
    <n v="0"/>
    <n v="700"/>
  </r>
  <r>
    <x v="0"/>
    <x v="0"/>
    <s v="NAAFIE3317"/>
    <n v="1"/>
    <s v=""/>
    <n v="0"/>
    <s v="NAAFIE3317GR"/>
    <n v="1"/>
    <s v=""/>
    <n v="0"/>
    <s v="E3"/>
    <s v="모자"/>
    <s v="NAA"/>
    <s v="FI"/>
    <x v="23"/>
    <s v="NAAFIE3317"/>
    <s v="NAAFIE3317GR"/>
    <x v="0"/>
    <n v="700"/>
    <n v="34300000"/>
    <n v="4851000.0000000009"/>
    <n v="6.4279155188246078"/>
    <n v="0"/>
    <n v="700"/>
  </r>
  <r>
    <x v="0"/>
    <x v="0"/>
    <s v="NAAFIE3318"/>
    <n v="1"/>
    <s v=""/>
    <n v="0"/>
    <s v="NAAFIE3318GY"/>
    <n v="1"/>
    <s v=""/>
    <n v="0"/>
    <s v="E3"/>
    <s v="모자"/>
    <s v="NAA"/>
    <s v="FI"/>
    <x v="23"/>
    <s v="NAAFIE3318"/>
    <s v="NAAFIE3318GY"/>
    <x v="0"/>
    <n v="700"/>
    <n v="34300000"/>
    <n v="4972275.0000000009"/>
    <n v="6.2711370915362021"/>
    <n v="0"/>
    <n v="700"/>
  </r>
  <r>
    <x v="0"/>
    <x v="0"/>
    <s v="GOOFAE3301"/>
    <n v="0.5"/>
    <s v=""/>
    <n v="0"/>
    <s v="GOOFAE3301BK"/>
    <n v="1"/>
    <s v=""/>
    <n v="0"/>
    <s v="E3"/>
    <s v="모자"/>
    <s v="GOO"/>
    <s v="FA"/>
    <x v="24"/>
    <s v="GOOFAE3301"/>
    <s v="GOOFAE3301BK"/>
    <x v="1"/>
    <n v="96"/>
    <n v="6624000"/>
    <n v="1672727.2727272725"/>
    <n v="3.6000000000000005"/>
    <n v="0"/>
    <n v="96"/>
  </r>
  <r>
    <x v="0"/>
    <x v="0"/>
    <s v="GOOFAE3301"/>
    <n v="0.5"/>
    <s v=""/>
    <n v="0"/>
    <s v="GOOFAE3301BU"/>
    <n v="1"/>
    <s v=""/>
    <n v="0"/>
    <s v="E3"/>
    <s v="모자"/>
    <s v="GOO"/>
    <s v="FA"/>
    <x v="24"/>
    <s v="GOOFAE3301"/>
    <s v="GOOFAE3301BU"/>
    <x v="1"/>
    <n v="72"/>
    <n v="4968000"/>
    <n v="1254545.4545454541"/>
    <n v="3.6000000000000014"/>
    <n v="0"/>
    <n v="72"/>
  </r>
  <r>
    <x v="0"/>
    <x v="0"/>
    <s v="GOOFEE3302"/>
    <n v="1"/>
    <s v=""/>
    <n v="0"/>
    <s v="GOOFEE3302BK"/>
    <n v="1"/>
    <s v=""/>
    <n v="0"/>
    <s v="E3"/>
    <s v="모자"/>
    <s v="GOO"/>
    <s v="FE"/>
    <x v="24"/>
    <s v="GOOFEE3302"/>
    <s v="GOOFEE3302BK"/>
    <x v="1"/>
    <n v="144"/>
    <n v="9360000"/>
    <n v="2363636.3636363633"/>
    <n v="3.6"/>
    <n v="0"/>
    <n v="144"/>
  </r>
  <r>
    <x v="0"/>
    <x v="0"/>
    <s v="GOOFEE3303"/>
    <n v="1"/>
    <s v=""/>
    <n v="0"/>
    <s v="GOOFEE3303BK"/>
    <n v="1"/>
    <s v=""/>
    <n v="0"/>
    <s v="E3"/>
    <s v="모자"/>
    <s v="GOO"/>
    <s v="FE"/>
    <x v="24"/>
    <s v="GOOFEE3303"/>
    <s v="GOOFEE3303BK"/>
    <x v="1"/>
    <n v="144"/>
    <n v="9360000"/>
    <n v="2363636.3636363633"/>
    <n v="3.6"/>
    <n v="0"/>
    <n v="144"/>
  </r>
  <r>
    <x v="0"/>
    <x v="0"/>
    <s v="GOOFAE3304"/>
    <n v="0.5"/>
    <s v=""/>
    <n v="0"/>
    <s v="GOOFAE3304BK"/>
    <n v="1"/>
    <s v=""/>
    <n v="0"/>
    <s v="E3"/>
    <s v="모자"/>
    <s v="GOO"/>
    <s v="FA"/>
    <x v="24"/>
    <s v="GOOFAE3304"/>
    <s v="GOOFAE3304BK"/>
    <x v="1"/>
    <n v="144"/>
    <n v="7920000"/>
    <n v="1999999.9999999998"/>
    <n v="3.6"/>
    <n v="0"/>
    <n v="144"/>
  </r>
  <r>
    <x v="0"/>
    <x v="0"/>
    <s v="GOOFAE3304"/>
    <n v="0.5"/>
    <s v=""/>
    <n v="0"/>
    <s v="GOOFAE3304CL"/>
    <n v="1"/>
    <s v=""/>
    <n v="0"/>
    <s v="E3"/>
    <s v="모자"/>
    <s v="GOO"/>
    <s v="FA"/>
    <x v="24"/>
    <s v="GOOFAE3304"/>
    <s v="GOOFAE3304CL"/>
    <x v="1"/>
    <n v="144"/>
    <n v="7920000"/>
    <n v="1999999.9999999998"/>
    <n v="3.6"/>
    <n v="0"/>
    <n v="144"/>
  </r>
  <r>
    <x v="0"/>
    <x v="0"/>
    <s v="GOOMIE3305"/>
    <n v="0.33333333333333331"/>
    <s v=""/>
    <n v="0"/>
    <s v="GOOMIE3305BK"/>
    <n v="1"/>
    <s v=""/>
    <n v="0"/>
    <s v="E3"/>
    <s v="모자"/>
    <s v="GOO"/>
    <s v="MI"/>
    <x v="24"/>
    <s v="GOOMIE3305"/>
    <s v="GOOMIE3305BK"/>
    <x v="1"/>
    <n v="360"/>
    <n v="19800000"/>
    <n v="4999999.9999999991"/>
    <n v="3.6000000000000005"/>
    <n v="0"/>
    <n v="360"/>
  </r>
  <r>
    <x v="0"/>
    <x v="0"/>
    <s v="GOOMIE3305"/>
    <n v="0.33333333333333331"/>
    <s v=""/>
    <n v="0"/>
    <s v="GOOMIE3305GY"/>
    <n v="1"/>
    <s v=""/>
    <n v="0"/>
    <s v="E3"/>
    <s v="모자"/>
    <s v="GOO"/>
    <s v="MI"/>
    <x v="24"/>
    <s v="GOOMIE3305"/>
    <s v="GOOMIE3305GY"/>
    <x v="1"/>
    <n v="240"/>
    <n v="13200000"/>
    <n v="3333333.333333333"/>
    <n v="3.6"/>
    <n v="0"/>
    <n v="240"/>
  </r>
  <r>
    <x v="0"/>
    <x v="0"/>
    <s v="GOOMIE3305"/>
    <n v="0.33333333333333331"/>
    <s v=""/>
    <n v="0"/>
    <s v="GOOMIE3305KH"/>
    <n v="1"/>
    <s v=""/>
    <n v="0"/>
    <s v="E3"/>
    <s v="모자"/>
    <s v="GOO"/>
    <s v="MI"/>
    <x v="24"/>
    <s v="GOOMIE3305"/>
    <s v="GOOMIE3305KH"/>
    <x v="1"/>
    <n v="240"/>
    <n v="13200000"/>
    <n v="3333333.333333333"/>
    <n v="3.6"/>
    <n v="0"/>
    <n v="240"/>
  </r>
  <r>
    <x v="0"/>
    <x v="0"/>
    <s v="GOOMIE3306"/>
    <n v="1"/>
    <s v=""/>
    <n v="0"/>
    <s v="GOOMIE3306BK"/>
    <n v="1"/>
    <s v=""/>
    <n v="0"/>
    <s v="E3"/>
    <s v="모자"/>
    <s v="GOO"/>
    <s v="MI"/>
    <x v="24"/>
    <s v="GOOMIE3306"/>
    <s v="GOOMIE3306BK"/>
    <x v="1"/>
    <n v="240"/>
    <n v="14160000"/>
    <n v="3575757.5757575752"/>
    <n v="3.6"/>
    <n v="0"/>
    <n v="240"/>
  </r>
  <r>
    <x v="0"/>
    <x v="0"/>
    <s v="GOOFEE5307"/>
    <n v="1"/>
    <s v=""/>
    <n v="0"/>
    <s v="GOOFEE5307BK"/>
    <n v="1"/>
    <s v=""/>
    <n v="0"/>
    <s v="E5"/>
    <s v="모자"/>
    <s v="GOO"/>
    <s v="FE"/>
    <x v="24"/>
    <s v="GOOFEE5307"/>
    <s v="GOOFEE5307BK"/>
    <x v="1"/>
    <n v="144"/>
    <n v="9360000"/>
    <n v="2363636.3636363633"/>
    <n v="3.6"/>
    <n v="0"/>
    <n v="144"/>
  </r>
  <r>
    <x v="0"/>
    <x v="0"/>
    <s v="GOOMIE5308"/>
    <n v="1"/>
    <s v=""/>
    <n v="0"/>
    <s v="GOOMIE5308GY"/>
    <n v="1"/>
    <s v=""/>
    <n v="0"/>
    <s v="E5"/>
    <s v="모자"/>
    <s v="GOO"/>
    <s v="MI"/>
    <x v="24"/>
    <s v="GOOMIE5308"/>
    <s v="GOOMIE5308GY"/>
    <x v="1"/>
    <n v="240"/>
    <n v="14160000"/>
    <n v="3575757.5757575752"/>
    <n v="3.6"/>
    <n v="0"/>
    <n v="240"/>
  </r>
  <r>
    <x v="0"/>
    <x v="0"/>
    <s v="GOOMIE5309"/>
    <n v="0.5"/>
    <s v=""/>
    <n v="0"/>
    <s v="GOOMIE5309BK"/>
    <n v="1"/>
    <s v=""/>
    <n v="0"/>
    <s v="E5"/>
    <s v="모자"/>
    <s v="GOO"/>
    <s v="MI"/>
    <x v="24"/>
    <s v="GOOMIE5309"/>
    <s v="GOOMIE5309BK"/>
    <x v="1"/>
    <n v="360"/>
    <n v="19800000"/>
    <n v="4999999.9999999991"/>
    <n v="3.6000000000000005"/>
    <n v="0"/>
    <n v="360"/>
  </r>
  <r>
    <x v="0"/>
    <x v="0"/>
    <s v="GOOMIE5309"/>
    <n v="0.5"/>
    <s v=""/>
    <n v="0"/>
    <s v="GOOMIE5309BW"/>
    <n v="1"/>
    <s v=""/>
    <n v="0"/>
    <s v="E5"/>
    <s v="모자"/>
    <s v="GOO"/>
    <s v="MI"/>
    <x v="24"/>
    <s v="GOOMIE5309"/>
    <s v="GOOMIE5309BW"/>
    <x v="1"/>
    <n v="360"/>
    <n v="19800000"/>
    <n v="4999999.9999999991"/>
    <n v="3.6000000000000005"/>
    <n v="0"/>
    <n v="360"/>
  </r>
  <r>
    <x v="1"/>
    <x v="0"/>
    <s v="GOOMIE3043"/>
    <n v="0.25"/>
    <s v=""/>
    <n v="0"/>
    <s v="GOOMIE3043BK"/>
    <n v="1"/>
    <s v=""/>
    <n v="0"/>
    <s v="E3"/>
    <s v="모자"/>
    <s v="GOO"/>
    <s v="MI"/>
    <x v="24"/>
    <s v="GOOMIE3043"/>
    <s v="GOOMIE3043BK"/>
    <x v="1"/>
    <n v="360"/>
    <n v="17640000"/>
    <n v="4454545.4545454541"/>
    <n v="3.6"/>
    <n v="0"/>
    <n v="360"/>
  </r>
  <r>
    <x v="1"/>
    <x v="0"/>
    <s v="GOOMIE3043"/>
    <n v="0.25"/>
    <s v=""/>
    <n v="0"/>
    <s v="GOOMIE3043NY"/>
    <n v="1"/>
    <s v=""/>
    <n v="0"/>
    <s v="E3"/>
    <s v="모자"/>
    <s v="GOO"/>
    <s v="MI"/>
    <x v="24"/>
    <s v="GOOMIE3043"/>
    <s v="GOOMIE3043NY"/>
    <x v="1"/>
    <n v="360"/>
    <n v="17640000"/>
    <n v="4454545.4545454541"/>
    <n v="3.6"/>
    <n v="0"/>
    <n v="360"/>
  </r>
  <r>
    <x v="1"/>
    <x v="0"/>
    <s v="GOOMIE3043"/>
    <n v="0.25"/>
    <s v=""/>
    <n v="0"/>
    <s v="GOOMIE3043KH"/>
    <n v="1"/>
    <s v=""/>
    <n v="0"/>
    <s v="E3"/>
    <s v="모자"/>
    <s v="GOO"/>
    <s v="MI"/>
    <x v="24"/>
    <s v="GOOMIE3043"/>
    <s v="GOOMIE3043KH"/>
    <x v="1"/>
    <n v="360"/>
    <n v="17640000"/>
    <n v="4454545.4545454541"/>
    <n v="3.6"/>
    <n v="0"/>
    <n v="360"/>
  </r>
  <r>
    <x v="1"/>
    <x v="0"/>
    <s v="GOOMIE3043"/>
    <n v="0.25"/>
    <s v=""/>
    <n v="0"/>
    <s v="GOOMIE3043GY"/>
    <n v="1"/>
    <s v=""/>
    <n v="0"/>
    <s v="E3"/>
    <s v="모자"/>
    <s v="GOO"/>
    <s v="MI"/>
    <x v="24"/>
    <s v="GOOMIE3043"/>
    <s v="GOOMIE3043GY"/>
    <x v="1"/>
    <n v="240"/>
    <n v="11760000"/>
    <n v="2969696.9696969697"/>
    <n v="3.5999999999999996"/>
    <n v="0"/>
    <n v="240"/>
  </r>
  <r>
    <x v="0"/>
    <x v="0"/>
    <s v="JILBEE5361"/>
    <n v="0.33333333333333331"/>
    <s v=""/>
    <n v="0"/>
    <s v="JILBEE5361YE"/>
    <n v="1"/>
    <s v=""/>
    <n v="0"/>
    <s v="E5"/>
    <s v="모자"/>
    <s v="JIL"/>
    <s v="BE"/>
    <x v="4"/>
    <s v="JILBEE5361"/>
    <s v="JILBEE5361YE"/>
    <x v="0"/>
    <n v="700"/>
    <n v="27300000"/>
    <n v="3388448"/>
    <n v="7.3243507995937422"/>
    <n v="0"/>
    <n v="700"/>
  </r>
  <r>
    <x v="0"/>
    <x v="0"/>
    <s v="JILBEE5361"/>
    <n v="0.33333333333333331"/>
    <s v=""/>
    <n v="0"/>
    <s v="JILBEE5361PK"/>
    <n v="1"/>
    <s v=""/>
    <n v="0"/>
    <s v="E5"/>
    <s v="모자"/>
    <s v="JIL"/>
    <s v="BE"/>
    <x v="4"/>
    <s v="JILBEE5361"/>
    <s v="JILBEE5361PK"/>
    <x v="0"/>
    <n v="700"/>
    <n v="27300000"/>
    <n v="3388448"/>
    <n v="7.3243507995937422"/>
    <n v="0"/>
    <n v="700"/>
  </r>
  <r>
    <x v="0"/>
    <x v="0"/>
    <s v="JILBEE5361"/>
    <n v="0.33333333333333331"/>
    <s v=""/>
    <n v="0"/>
    <s v="JILBEE5361BW"/>
    <n v="1"/>
    <s v=""/>
    <n v="0"/>
    <s v="E5"/>
    <s v="모자"/>
    <s v="JIL"/>
    <s v="BE"/>
    <x v="4"/>
    <s v="JILBEE5361"/>
    <s v="JILBEE5361BW"/>
    <x v="0"/>
    <n v="700"/>
    <n v="27300000"/>
    <n v="3388448"/>
    <n v="7.3243507995937422"/>
    <n v="0"/>
    <n v="700"/>
  </r>
  <r>
    <x v="0"/>
    <x v="0"/>
    <s v="JILWAE5362"/>
    <n v="1"/>
    <s v=""/>
    <n v="0"/>
    <s v="JILWAE5362MT"/>
    <n v="1"/>
    <s v=""/>
    <n v="0"/>
    <s v="E5"/>
    <s v="ACC"/>
    <s v="JIL"/>
    <s v="WA"/>
    <x v="5"/>
    <s v="JILWAE5362"/>
    <s v="JILWAE5362MT"/>
    <x v="0"/>
    <n v="400"/>
    <n v="26000000"/>
    <n v="5135808"/>
    <n v="4.6022677709843576"/>
    <n v="0"/>
    <n v="400"/>
  </r>
  <r>
    <x v="0"/>
    <x v="0"/>
    <s v="JILWAE5363"/>
    <n v="1"/>
    <s v=""/>
    <n v="0"/>
    <s v="JILWAE5363BK"/>
    <n v="1"/>
    <s v=""/>
    <n v="0"/>
    <s v="E5"/>
    <s v="ACC"/>
    <s v="JIL"/>
    <s v="WA"/>
    <x v="5"/>
    <s v="JILWAE5363"/>
    <s v="JILWAE5363BK"/>
    <x v="0"/>
    <n v="400"/>
    <n v="26000000"/>
    <n v="5135808"/>
    <n v="4.6022677709843576"/>
    <n v="0"/>
    <n v="400"/>
  </r>
  <r>
    <x v="0"/>
    <x v="0"/>
    <s v="JILCME5364"/>
    <n v="0.5"/>
    <s v=""/>
    <n v="0"/>
    <s v="JILCME5364PK"/>
    <n v="1"/>
    <s v=""/>
    <n v="0"/>
    <s v="E5"/>
    <s v="모자"/>
    <s v="JIL"/>
    <s v="CM"/>
    <x v="4"/>
    <s v="JILCME5364"/>
    <s v="JILCME5364PK"/>
    <x v="0"/>
    <n v="700"/>
    <n v="31500000"/>
    <n v="4434827.6000000015"/>
    <n v="6.4571537428791199"/>
    <n v="0"/>
    <n v="700"/>
  </r>
  <r>
    <x v="0"/>
    <x v="0"/>
    <s v="JILCME5364"/>
    <n v="0.5"/>
    <s v=""/>
    <n v="0"/>
    <s v="JILCME5364BK"/>
    <n v="1"/>
    <s v=""/>
    <n v="0"/>
    <s v="E5"/>
    <s v="모자"/>
    <s v="JIL"/>
    <s v="CM"/>
    <x v="4"/>
    <s v="JILCME5364"/>
    <s v="JILCME5364BK"/>
    <x v="0"/>
    <n v="700"/>
    <n v="31500000"/>
    <n v="4434827.6000000015"/>
    <n v="6.4571537428791199"/>
    <n v="0"/>
    <n v="700"/>
  </r>
  <r>
    <x v="0"/>
    <x v="0"/>
    <s v="JILEBE5365"/>
    <n v="1"/>
    <s v=""/>
    <n v="0"/>
    <s v="JILEBE5365IV"/>
    <n v="1"/>
    <s v=""/>
    <n v="0"/>
    <s v="E5"/>
    <s v="모자"/>
    <s v="JIL"/>
    <s v="EB"/>
    <x v="4"/>
    <s v="JILEBE5365"/>
    <s v="JILEBE5365IV"/>
    <x v="0"/>
    <n v="700"/>
    <n v="31500000"/>
    <n v="3006021.2000000007"/>
    <n v="9.5263345569098554"/>
    <n v="0"/>
    <n v="700"/>
  </r>
  <r>
    <x v="0"/>
    <x v="0"/>
    <s v="JOIEDE5313"/>
    <n v="1"/>
    <s v=""/>
    <n v="0"/>
    <s v="JOIEDE5313MT"/>
    <n v="1"/>
    <s v=""/>
    <n v="0"/>
    <s v="E5"/>
    <s v="ACC"/>
    <s v="JOI"/>
    <s v="ED"/>
    <x v="20"/>
    <s v="JOIEDE5313"/>
    <s v="JOIEDE5313MT"/>
    <x v="0"/>
    <n v="500"/>
    <n v="22500000"/>
    <n v="3970495"/>
    <n v="5.1516361195632925"/>
    <n v="0"/>
    <n v="500"/>
  </r>
  <r>
    <x v="0"/>
    <x v="0"/>
    <s v="JOIMUE5814"/>
    <n v="1"/>
    <s v=""/>
    <n v="0"/>
    <s v="JOIMUE5814KH"/>
    <n v="1"/>
    <s v=""/>
    <n v="0"/>
    <s v="E5"/>
    <s v="ACC"/>
    <s v="JOI"/>
    <s v="MU"/>
    <x v="20"/>
    <s v="JOIMUE5814"/>
    <s v="JOIMUE5814KH"/>
    <x v="0"/>
    <n v="300"/>
    <n v="14700000"/>
    <n v="2384913.0000000005"/>
    <n v="5.6034062305989192"/>
    <n v="0"/>
    <n v="300"/>
  </r>
  <r>
    <x v="1"/>
    <x v="0"/>
    <s v="FFTFIE3213"/>
    <n v="1"/>
    <s v=""/>
    <n v="0"/>
    <s v="FFTFIE3213BK"/>
    <n v="1"/>
    <s v=""/>
    <n v="0"/>
    <s v="E3"/>
    <s v="모자"/>
    <s v="FFT"/>
    <s v="FI"/>
    <x v="25"/>
    <s v="FFTFIE3213"/>
    <s v="FFTFIE3213BK"/>
    <x v="1"/>
    <n v="70"/>
    <n v="3430000"/>
    <n v="1403181.8181818181"/>
    <n v="2.2222222222222223"/>
    <n v="70"/>
    <n v="0"/>
  </r>
  <r>
    <x v="0"/>
    <x v="0"/>
    <s v="FFTFIE3313"/>
    <n v="1"/>
    <s v=""/>
    <n v="0"/>
    <s v="FFTFIE3313WH"/>
    <n v="1"/>
    <s v=""/>
    <n v="0"/>
    <s v="E3"/>
    <s v="모자"/>
    <s v="FFT"/>
    <s v="FI"/>
    <x v="25"/>
    <s v="FFTFIE3313"/>
    <s v="FFTFIE3313WH"/>
    <x v="1"/>
    <n v="20"/>
    <n v="980000"/>
    <n v="400909.09090909088"/>
    <n v="2.2222222222222223"/>
    <n v="20"/>
    <n v="0"/>
  </r>
  <r>
    <x v="1"/>
    <x v="0"/>
    <s v="FFTFIE3208"/>
    <n v="0.33333333333333331"/>
    <s v=""/>
    <n v="0"/>
    <s v="FFTFIE3208WH"/>
    <n v="1"/>
    <s v=""/>
    <n v="0"/>
    <s v="E3"/>
    <s v="모자"/>
    <s v="FFT"/>
    <s v="FI"/>
    <x v="25"/>
    <s v="FFTFIE3208"/>
    <s v="FFTFIE3208WH"/>
    <x v="1"/>
    <n v="50"/>
    <n v="2450000"/>
    <n v="1002272.7272727272"/>
    <n v="2.2222222222222223"/>
    <n v="50"/>
    <n v="0"/>
  </r>
  <r>
    <x v="1"/>
    <x v="0"/>
    <s v="FFTFIE3208"/>
    <n v="0.33333333333333331"/>
    <s v=""/>
    <n v="0"/>
    <s v="FFTFIE3208BK"/>
    <n v="1"/>
    <s v=""/>
    <n v="0"/>
    <s v="E3"/>
    <s v="모자"/>
    <s v="FFT"/>
    <s v="FI"/>
    <x v="25"/>
    <s v="FFTFIE3208"/>
    <s v="FFTFIE3208BK"/>
    <x v="1"/>
    <n v="35"/>
    <n v="1715000"/>
    <n v="701590.90909090906"/>
    <n v="2.2222222222222223"/>
    <n v="35"/>
    <n v="0"/>
  </r>
  <r>
    <x v="1"/>
    <x v="0"/>
    <s v="FFTFIE3208"/>
    <n v="0.33333333333333331"/>
    <s v=""/>
    <n v="0"/>
    <s v="FFTFIE3208KH"/>
    <n v="1"/>
    <s v=""/>
    <n v="0"/>
    <s v="E3"/>
    <s v="모자"/>
    <s v="FFT"/>
    <s v="FI"/>
    <x v="25"/>
    <s v="FFTFIE3208"/>
    <s v="FFTFIE3208KH"/>
    <x v="1"/>
    <n v="37"/>
    <n v="1813000"/>
    <n v="741681.81818181812"/>
    <n v="2.2222222222222223"/>
    <n v="37"/>
    <n v="0"/>
  </r>
  <r>
    <x v="1"/>
    <x v="0"/>
    <s v="FFTFIE3209"/>
    <n v="0.5"/>
    <s v=""/>
    <n v="0"/>
    <s v="FFTFIE3209WH"/>
    <n v="1"/>
    <s v=""/>
    <n v="0"/>
    <s v="E3"/>
    <s v="모자"/>
    <s v="FFT"/>
    <s v="FI"/>
    <x v="25"/>
    <s v="FFTFIE3209"/>
    <s v="FFTFIE3209WH"/>
    <x v="1"/>
    <n v="10"/>
    <n v="490000"/>
    <n v="200454.54545454544"/>
    <n v="2.2222222222222223"/>
    <n v="10"/>
    <n v="0"/>
  </r>
  <r>
    <x v="1"/>
    <x v="0"/>
    <s v="FFTFIE3209"/>
    <n v="0.5"/>
    <s v=""/>
    <n v="0"/>
    <s v="FFTFIE3209BK"/>
    <n v="1"/>
    <s v=""/>
    <n v="0"/>
    <s v="E3"/>
    <s v="모자"/>
    <s v="FFT"/>
    <s v="FI"/>
    <x v="25"/>
    <s v="FFTFIE3209"/>
    <s v="FFTFIE3209BK"/>
    <x v="1"/>
    <n v="62"/>
    <n v="3038000"/>
    <n v="1242818.1818181816"/>
    <n v="2.2222222222222223"/>
    <n v="62"/>
    <n v="0"/>
  </r>
  <r>
    <x v="1"/>
    <x v="0"/>
    <s v="FFTFIE3211"/>
    <n v="1"/>
    <s v=""/>
    <n v="0"/>
    <s v="FFTFIE3211RE"/>
    <n v="1"/>
    <s v=""/>
    <n v="0"/>
    <s v="E3"/>
    <s v="모자"/>
    <s v="FFT"/>
    <s v="FI"/>
    <x v="25"/>
    <s v="FFTFIE3211"/>
    <s v="FFTFIE3211RE"/>
    <x v="1"/>
    <n v="13"/>
    <n v="637000"/>
    <n v="260590.90909090906"/>
    <n v="2.2222222222222223"/>
    <n v="13"/>
    <n v="0"/>
  </r>
  <r>
    <x v="0"/>
    <x v="0"/>
    <s v="FFTFIE3311"/>
    <n v="1"/>
    <s v=""/>
    <n v="0"/>
    <s v="FFTFIE3311BL"/>
    <n v="1"/>
    <s v=""/>
    <n v="0"/>
    <s v="E3"/>
    <s v="모자"/>
    <s v="FFT"/>
    <s v="FI"/>
    <x v="25"/>
    <s v="FFTFIE3311"/>
    <s v="FFTFIE3311BL"/>
    <x v="1"/>
    <n v="10"/>
    <n v="490000"/>
    <n v="200454.54545454544"/>
    <n v="2.2222222222222223"/>
    <n v="10"/>
    <n v="0"/>
  </r>
  <r>
    <x v="0"/>
    <x v="0"/>
    <s v="FFTFIE3301"/>
    <n v="1"/>
    <s v=""/>
    <n v="0"/>
    <s v="FFTFIE3301BK"/>
    <n v="1"/>
    <s v=""/>
    <n v="0"/>
    <s v="E3"/>
    <s v="모자"/>
    <s v="FFT"/>
    <s v="FI"/>
    <x v="25"/>
    <s v="FFTFIE3301"/>
    <s v="FFTFIE3301BK"/>
    <x v="1"/>
    <n v="14"/>
    <n v="686000"/>
    <n v="280636.36363636365"/>
    <n v="2.2222222222222219"/>
    <n v="14"/>
    <n v="0"/>
  </r>
  <r>
    <x v="1"/>
    <x v="0"/>
    <s v="FFTFIE3235"/>
    <n v="1"/>
    <s v=""/>
    <n v="0"/>
    <s v="FFTFIE3235NY"/>
    <n v="1"/>
    <s v=""/>
    <n v="0"/>
    <s v="E3"/>
    <s v="모자"/>
    <s v="FFT"/>
    <s v="FI"/>
    <x v="25"/>
    <s v="FFTFIE3235"/>
    <s v="FFTFIE3235NY"/>
    <x v="1"/>
    <n v="70"/>
    <n v="3430000"/>
    <n v="1403181.8181818181"/>
    <n v="2.2222222222222223"/>
    <n v="70"/>
    <n v="0"/>
  </r>
  <r>
    <x v="1"/>
    <x v="0"/>
    <s v="FFTFIE3234"/>
    <n v="1"/>
    <s v=""/>
    <n v="0"/>
    <s v="FFTFIE3234RE"/>
    <n v="1"/>
    <s v=""/>
    <n v="0"/>
    <s v="E3"/>
    <s v="모자"/>
    <s v="FFT"/>
    <s v="FI"/>
    <x v="25"/>
    <s v="FFTFIE3234"/>
    <s v="FFTFIE3234RE"/>
    <x v="1"/>
    <n v="50"/>
    <n v="2450000"/>
    <n v="1002272.7272727272"/>
    <n v="2.2222222222222223"/>
    <n v="50"/>
    <n v="0"/>
  </r>
  <r>
    <x v="1"/>
    <x v="0"/>
    <s v="FFTFIE3243"/>
    <n v="1"/>
    <s v=""/>
    <n v="0"/>
    <s v="FFTFIE3243BK"/>
    <n v="1"/>
    <s v=""/>
    <n v="0"/>
    <s v="E3"/>
    <s v="모자"/>
    <s v="FFT"/>
    <s v="FI"/>
    <x v="25"/>
    <s v="FFTFIE3243"/>
    <s v="FFTFIE3243BK"/>
    <x v="1"/>
    <n v="50"/>
    <n v="2950000"/>
    <n v="1206818.1818181819"/>
    <n v="2.2222222222222219"/>
    <n v="50"/>
    <n v="0"/>
  </r>
  <r>
    <x v="0"/>
    <x v="0"/>
    <s v="FFTFIE3302"/>
    <n v="1"/>
    <s v=""/>
    <n v="0"/>
    <s v="FFTFIE3302BK"/>
    <n v="1"/>
    <s v=""/>
    <n v="0"/>
    <s v="E3"/>
    <s v="모자"/>
    <s v="FFT"/>
    <s v="FI"/>
    <x v="25"/>
    <s v="FFTFIE3302"/>
    <s v="FFTFIE3302BK"/>
    <x v="1"/>
    <n v="12"/>
    <n v="588000"/>
    <n v="240545.45454545453"/>
    <n v="2.2222222222222223"/>
    <n v="12"/>
    <n v="0"/>
  </r>
  <r>
    <x v="0"/>
    <x v="0"/>
    <s v="ELSBEE5336"/>
    <n v="1"/>
    <s v=""/>
    <n v="0"/>
    <s v="ELSBEE5336BK"/>
    <n v="1"/>
    <s v=""/>
    <n v="0"/>
    <s v="E5"/>
    <s v="모자"/>
    <s v="ELS"/>
    <s v="BE"/>
    <x v="3"/>
    <s v="ELSBEE5336"/>
    <s v="ELSBEE5336BK"/>
    <x v="0"/>
    <n v="700"/>
    <n v="27300000"/>
    <n v="3332084"/>
    <n v="7.4482461481108571"/>
    <n v="0"/>
    <n v="700"/>
  </r>
  <r>
    <x v="0"/>
    <x v="0"/>
    <s v="ELSBEE5337"/>
    <n v="1"/>
    <s v=""/>
    <n v="0"/>
    <s v="ELSBEE5337BL"/>
    <n v="1"/>
    <s v=""/>
    <n v="0"/>
    <s v="E5"/>
    <s v="모자"/>
    <s v="ELS"/>
    <s v="BE"/>
    <x v="3"/>
    <s v="ELSBEE5337"/>
    <s v="ELSBEE5337BL"/>
    <x v="0"/>
    <n v="700"/>
    <n v="27300000"/>
    <n v="3332084"/>
    <n v="7.4482461481108571"/>
    <n v="0"/>
    <n v="700"/>
  </r>
  <r>
    <x v="0"/>
    <x v="0"/>
    <s v="PLAUME3303"/>
    <n v="1"/>
    <s v=""/>
    <n v="0"/>
    <s v="PLAUME3303BK"/>
    <n v="1"/>
    <s v=""/>
    <n v="0"/>
    <s v="E3"/>
    <s v="모자"/>
    <s v="PLA"/>
    <s v="UM"/>
    <x v="16"/>
    <s v="PLAUME3303"/>
    <s v="PLAUME3303BK"/>
    <x v="0"/>
    <n v="1000"/>
    <n v="59000000"/>
    <n v="7733880.0000000009"/>
    <n v="6.93524642693753"/>
    <n v="0"/>
    <n v="1000"/>
  </r>
  <r>
    <x v="0"/>
    <x v="0"/>
    <s v="PLAUME3304"/>
    <n v="1"/>
    <s v=""/>
    <n v="0"/>
    <s v="PLAUME3304OR"/>
    <n v="1"/>
    <s v=""/>
    <n v="0"/>
    <s v="E3"/>
    <s v="모자"/>
    <s v="PLA"/>
    <s v="UM"/>
    <x v="16"/>
    <s v="PLAUME3304"/>
    <s v="PLAUME3304OR"/>
    <x v="0"/>
    <n v="500"/>
    <n v="29500000"/>
    <n v="3866940.0000000005"/>
    <n v="6.93524642693753"/>
    <n v="0"/>
    <n v="500"/>
  </r>
  <r>
    <x v="0"/>
    <x v="0"/>
    <s v="PLAUME3305"/>
    <n v="1"/>
    <s v=""/>
    <n v="0"/>
    <s v="PLAUME3305BW"/>
    <n v="1"/>
    <s v=""/>
    <n v="0"/>
    <s v="E3"/>
    <s v="모자"/>
    <s v="PLA"/>
    <s v="UM"/>
    <x v="16"/>
    <s v="PLAUME3305"/>
    <s v="PLAUME3305BW"/>
    <x v="0"/>
    <n v="1000"/>
    <n v="59000000"/>
    <n v="7733880.0000000009"/>
    <n v="6.93524642693753"/>
    <n v="0"/>
    <n v="1000"/>
  </r>
  <r>
    <x v="0"/>
    <x v="0"/>
    <s v="PLAUME3306"/>
    <n v="0.5"/>
    <s v=""/>
    <n v="0"/>
    <s v="PLAUME3306WH"/>
    <n v="1"/>
    <s v=""/>
    <n v="0"/>
    <s v="E3"/>
    <s v="모자"/>
    <s v="PLA"/>
    <s v="UM"/>
    <x v="16"/>
    <s v="PLAUME3306"/>
    <s v="PLAUME3306WH"/>
    <x v="0"/>
    <n v="500"/>
    <n v="29500000"/>
    <n v="3866940.0000000005"/>
    <n v="6.93524642693753"/>
    <n v="0"/>
    <n v="500"/>
  </r>
  <r>
    <x v="0"/>
    <x v="0"/>
    <s v="PLAUME3306"/>
    <n v="0.5"/>
    <s v=""/>
    <n v="0"/>
    <s v="PLAUME3306BK"/>
    <n v="1"/>
    <s v=""/>
    <n v="0"/>
    <s v="E3"/>
    <s v="모자"/>
    <s v="PLA"/>
    <s v="UM"/>
    <x v="16"/>
    <s v="PLAUME3306"/>
    <s v="PLAUME3306BK"/>
    <x v="0"/>
    <n v="700"/>
    <n v="41300000"/>
    <n v="5413716.0000000009"/>
    <n v="6.93524642693753"/>
    <n v="0"/>
    <n v="700"/>
  </r>
  <r>
    <x v="0"/>
    <x v="0"/>
    <s v="ELSJPE4328"/>
    <n v="0.25"/>
    <s v=""/>
    <n v="0"/>
    <s v="ELSJPE4328PK"/>
    <n v="1"/>
    <s v=""/>
    <n v="0"/>
    <s v="E4"/>
    <s v="의류"/>
    <s v="ELS"/>
    <s v="JP"/>
    <x v="14"/>
    <s v="ELSJPE4328"/>
    <s v="ELSJPE4328PK"/>
    <x v="0"/>
    <n v="1000"/>
    <n v="99000000"/>
    <n v="24000000"/>
    <n v="3.7499999999999996"/>
    <n v="0"/>
    <n v="1000"/>
  </r>
  <r>
    <x v="0"/>
    <x v="0"/>
    <s v="ELSPTE4329"/>
    <n v="0.25"/>
    <s v=""/>
    <n v="0"/>
    <s v="ELSPTE4329PK"/>
    <n v="1"/>
    <s v=""/>
    <n v="0"/>
    <s v="E4"/>
    <s v="의류"/>
    <s v="ELS"/>
    <s v="PT"/>
    <x v="14"/>
    <s v="ELSPTE4329"/>
    <s v="ELSPTE4329PK"/>
    <x v="0"/>
    <n v="800"/>
    <n v="55200000"/>
    <n v="12480000"/>
    <n v="4.0209790209790208"/>
    <n v="0"/>
    <n v="800"/>
  </r>
  <r>
    <x v="0"/>
    <x v="0"/>
    <s v="ELSJPE4328"/>
    <n v="0.25"/>
    <s v=""/>
    <n v="0"/>
    <s v="ELSJPE4328BL"/>
    <n v="1"/>
    <s v=""/>
    <n v="0"/>
    <s v="E4"/>
    <s v="의류"/>
    <s v="ELS"/>
    <s v="JP"/>
    <x v="14"/>
    <s v="ELSJPE4328"/>
    <s v="ELSJPE4328BL"/>
    <x v="0"/>
    <n v="1500"/>
    <n v="148500000"/>
    <n v="36000000"/>
    <n v="3.75"/>
    <n v="0"/>
    <n v="1500"/>
  </r>
  <r>
    <x v="0"/>
    <x v="0"/>
    <s v="ELSPTE4329"/>
    <n v="0.25"/>
    <s v=""/>
    <n v="0"/>
    <s v="ELSPTE4329BL"/>
    <n v="1"/>
    <s v=""/>
    <n v="0"/>
    <s v="E4"/>
    <s v="의류"/>
    <s v="ELS"/>
    <s v="PT"/>
    <x v="14"/>
    <s v="ELSPTE4329"/>
    <s v="ELSPTE4329BL"/>
    <x v="0"/>
    <n v="1200"/>
    <n v="82800000"/>
    <n v="18720000"/>
    <n v="4.0209790209790208"/>
    <n v="0"/>
    <n v="1200"/>
  </r>
  <r>
    <x v="0"/>
    <x v="0"/>
    <s v="ELSJPE4328"/>
    <n v="0.25"/>
    <s v=""/>
    <n v="0"/>
    <s v="ELSJPE4328RE"/>
    <n v="1"/>
    <s v=""/>
    <n v="0"/>
    <s v="E4"/>
    <s v="의류"/>
    <s v="ELS"/>
    <s v="JP"/>
    <x v="14"/>
    <s v="ELSJPE4328"/>
    <s v="ELSJPE4328RE"/>
    <x v="0"/>
    <n v="1500"/>
    <n v="148500000"/>
    <n v="36000000"/>
    <n v="3.75"/>
    <n v="0"/>
    <n v="1500"/>
  </r>
  <r>
    <x v="0"/>
    <x v="0"/>
    <s v="ELSPTE4329"/>
    <n v="0.25"/>
    <s v=""/>
    <n v="0"/>
    <s v="ELSPTE4329RE"/>
    <n v="1"/>
    <s v=""/>
    <n v="0"/>
    <s v="E4"/>
    <s v="의류"/>
    <s v="ELS"/>
    <s v="PT"/>
    <x v="14"/>
    <s v="ELSPTE4329"/>
    <s v="ELSPTE4329RE"/>
    <x v="0"/>
    <n v="1200"/>
    <n v="82800000"/>
    <n v="18720000"/>
    <n v="4.0209790209790208"/>
    <n v="0"/>
    <n v="1200"/>
  </r>
  <r>
    <x v="0"/>
    <x v="0"/>
    <s v="ELSJPE4328"/>
    <n v="0.25"/>
    <s v=""/>
    <n v="0"/>
    <s v="ELSJPE4328BK"/>
    <n v="1"/>
    <s v=""/>
    <n v="0"/>
    <s v="E4"/>
    <s v="의류"/>
    <s v="ELS"/>
    <s v="JP"/>
    <x v="14"/>
    <s v="ELSJPE4328"/>
    <s v="ELSJPE4328BK"/>
    <x v="0"/>
    <n v="2000"/>
    <n v="198000000"/>
    <n v="48000000"/>
    <n v="3.7499999999999996"/>
    <n v="0"/>
    <n v="2000"/>
  </r>
  <r>
    <x v="0"/>
    <x v="0"/>
    <s v="ELSPTE4329"/>
    <n v="0.25"/>
    <s v=""/>
    <n v="0"/>
    <s v="ELSPTE4329BK"/>
    <n v="1"/>
    <s v=""/>
    <n v="0"/>
    <s v="E4"/>
    <s v="의류"/>
    <s v="ELS"/>
    <s v="PT"/>
    <x v="14"/>
    <s v="ELSPTE4329"/>
    <s v="ELSPTE4329BK"/>
    <x v="0"/>
    <n v="1500"/>
    <n v="103500000"/>
    <n v="23400000"/>
    <n v="4.0209790209790208"/>
    <n v="0"/>
    <n v="1500"/>
  </r>
  <r>
    <x v="0"/>
    <x v="0"/>
    <s v="ELSJPE4832"/>
    <n v="0.33333333333333331"/>
    <s v=""/>
    <n v="0"/>
    <s v="ELSJPE4832RE"/>
    <n v="1"/>
    <s v=""/>
    <n v="0"/>
    <s v="E4"/>
    <s v="의류"/>
    <s v="ELS"/>
    <s v="JP"/>
    <x v="14"/>
    <s v="ELSJPE4832"/>
    <s v="ELSJPE4832RE"/>
    <x v="0"/>
    <n v="1500"/>
    <n v="133500000"/>
    <n v="30000000"/>
    <n v="4.045454545454545"/>
    <n v="0"/>
    <n v="1500"/>
  </r>
  <r>
    <x v="0"/>
    <x v="0"/>
    <s v="ELSPTE4833"/>
    <n v="0.33333333333333331"/>
    <s v=""/>
    <n v="0"/>
    <s v="ELSPTE4833RE"/>
    <n v="1"/>
    <s v=""/>
    <n v="0"/>
    <s v="E4"/>
    <s v="의류"/>
    <s v="ELS"/>
    <s v="PT"/>
    <x v="14"/>
    <s v="ELSPTE4833"/>
    <s v="ELSPTE4833RE"/>
    <x v="0"/>
    <n v="1200"/>
    <n v="70800000"/>
    <n v="14640000"/>
    <n v="4.3964232488822645"/>
    <n v="0"/>
    <n v="1200"/>
  </r>
  <r>
    <x v="0"/>
    <x v="0"/>
    <s v="ELSJPE4832"/>
    <n v="0.33333333333333331"/>
    <s v=""/>
    <n v="0"/>
    <s v="ELSJPE4832BK"/>
    <n v="1"/>
    <s v=""/>
    <n v="0"/>
    <s v="E4"/>
    <s v="의류"/>
    <s v="ELS"/>
    <s v="JP"/>
    <x v="14"/>
    <s v="ELSJPE4832"/>
    <s v="ELSJPE4832BK"/>
    <x v="0"/>
    <n v="1500"/>
    <n v="133500000"/>
    <n v="31500000"/>
    <n v="3.8528138528138527"/>
    <n v="0"/>
    <n v="1500"/>
  </r>
  <r>
    <x v="0"/>
    <x v="0"/>
    <s v="ELSPTE4833"/>
    <n v="0.33333333333333331"/>
    <s v=""/>
    <n v="0"/>
    <s v="ELSPTE4833BK"/>
    <n v="1"/>
    <s v=""/>
    <n v="0"/>
    <s v="E4"/>
    <s v="의류"/>
    <s v="ELS"/>
    <s v="PT"/>
    <x v="14"/>
    <s v="ELSPTE4833"/>
    <s v="ELSPTE4833BK"/>
    <x v="0"/>
    <n v="1200"/>
    <n v="70800000"/>
    <n v="15000000"/>
    <n v="4.2909090909090901"/>
    <n v="0"/>
    <n v="1200"/>
  </r>
  <r>
    <x v="0"/>
    <x v="0"/>
    <s v="ELSJPE4832"/>
    <n v="0.33333333333333331"/>
    <s v=""/>
    <n v="0"/>
    <s v="ELSJPE4832BW"/>
    <n v="1"/>
    <s v=""/>
    <n v="0"/>
    <s v="E4"/>
    <s v="의류"/>
    <s v="ELS"/>
    <s v="JP"/>
    <x v="14"/>
    <s v="ELSJPE4832"/>
    <s v="ELSJPE4832BW"/>
    <x v="0"/>
    <n v="1500"/>
    <n v="133500000"/>
    <n v="31500000"/>
    <n v="3.8528138528138527"/>
    <n v="0"/>
    <n v="1500"/>
  </r>
  <r>
    <x v="0"/>
    <x v="0"/>
    <s v="ELSPTE4833"/>
    <n v="0.33333333333333331"/>
    <s v=""/>
    <n v="0"/>
    <s v="ELSPTE4833BW"/>
    <n v="1"/>
    <s v=""/>
    <n v="0"/>
    <s v="E4"/>
    <s v="의류"/>
    <s v="ELS"/>
    <s v="PT"/>
    <x v="14"/>
    <s v="ELSPTE4833"/>
    <s v="ELSPTE4833BW"/>
    <x v="0"/>
    <n v="1200"/>
    <n v="70800000"/>
    <n v="15000000"/>
    <n v="4.2909090909090901"/>
    <n v="0"/>
    <n v="1200"/>
  </r>
  <r>
    <x v="1"/>
    <x v="0"/>
    <s v="SMBFIE3134"/>
    <n v="1"/>
    <s v=""/>
    <n v="0"/>
    <s v="SMBFIE3134RE"/>
    <n v="1"/>
    <s v=""/>
    <n v="0"/>
    <s v="E3"/>
    <s v="모자"/>
    <s v="SMB"/>
    <s v="FI"/>
    <x v="13"/>
    <s v="SMBFIE3134"/>
    <s v="SMBFIE3134RE"/>
    <x v="0"/>
    <n v="2000"/>
    <n v="118000000"/>
    <n v="18220000"/>
    <n v="5.8876359644746037"/>
    <n v="0"/>
    <n v="2000"/>
  </r>
  <r>
    <x v="1"/>
    <x v="0"/>
    <s v="SMBFIE3634"/>
    <n v="1"/>
    <s v=""/>
    <n v="0"/>
    <s v="SMBFIE3634RE"/>
    <n v="1"/>
    <s v=""/>
    <n v="0"/>
    <s v="E3"/>
    <s v="모자"/>
    <s v="SMB"/>
    <s v="FI"/>
    <x v="13"/>
    <s v="SMBFIE3634"/>
    <s v="SMBFIE3634RE"/>
    <x v="0"/>
    <n v="2000"/>
    <n v="110000000"/>
    <n v="17873500"/>
    <n v="5.594875094413517"/>
    <n v="0"/>
    <n v="2000"/>
  </r>
  <r>
    <x v="1"/>
    <x v="0"/>
    <s v="SMBFIE3135"/>
    <n v="1"/>
    <s v=""/>
    <n v="0"/>
    <s v="SMBFIE3135BK"/>
    <n v="1"/>
    <s v=""/>
    <n v="0"/>
    <s v="E3"/>
    <s v="모자"/>
    <s v="SMB"/>
    <s v="FI"/>
    <x v="13"/>
    <s v="SMBFIE3135"/>
    <s v="SMBFIE3135BK"/>
    <x v="0"/>
    <n v="1200"/>
    <n v="70800000"/>
    <n v="9583200.0000000019"/>
    <n v="6.7162989777565265"/>
    <n v="0"/>
    <n v="1200"/>
  </r>
  <r>
    <x v="1"/>
    <x v="0"/>
    <s v="SMBFIE3635"/>
    <n v="1"/>
    <s v=""/>
    <n v="0"/>
    <s v="SMBFIE3635BK"/>
    <n v="1"/>
    <s v=""/>
    <n v="0"/>
    <s v="E3"/>
    <s v="모자"/>
    <s v="SMB"/>
    <s v="FI"/>
    <x v="13"/>
    <s v="SMBFIE3635"/>
    <s v="SMBFIE3635BK"/>
    <x v="0"/>
    <n v="800"/>
    <n v="44000000"/>
    <n v="6250200"/>
    <n v="6.3997952065533896"/>
    <n v="0"/>
    <n v="800"/>
  </r>
  <r>
    <x v="1"/>
    <x v="0"/>
    <s v="SMBFIE3206"/>
    <n v="1"/>
    <s v=""/>
    <n v="0"/>
    <s v="SMBFIE3206BK"/>
    <n v="1"/>
    <s v=""/>
    <n v="0"/>
    <s v="E3"/>
    <s v="모자"/>
    <s v="SMB"/>
    <s v="FI"/>
    <x v="13"/>
    <s v="SMBFIE3206"/>
    <s v="SMBFIE3206BK"/>
    <x v="0"/>
    <n v="1000"/>
    <n v="45000000"/>
    <n v="6199250"/>
    <n v="6.599038740023536"/>
    <n v="0"/>
    <n v="1000"/>
  </r>
  <r>
    <x v="1"/>
    <x v="0"/>
    <s v="SMBFIE3215"/>
    <n v="1"/>
    <s v=""/>
    <n v="0"/>
    <s v="SMBFIE3215BK"/>
    <n v="1"/>
    <s v=""/>
    <n v="0"/>
    <s v="E3"/>
    <s v="모자"/>
    <s v="SMB"/>
    <s v="FI"/>
    <x v="13"/>
    <s v="SMBFIE3215"/>
    <s v="SMBFIE3215BK"/>
    <x v="0"/>
    <n v="1200"/>
    <n v="54000000"/>
    <n v="5568000"/>
    <n v="8.8166144200626952"/>
    <n v="0"/>
    <n v="1200"/>
  </r>
  <r>
    <x v="1"/>
    <x v="1"/>
    <s v=""/>
    <n v="0"/>
    <s v="VBLBAE3103"/>
    <n v="0.5"/>
    <s v=""/>
    <n v="0"/>
    <s v="VBLBAE3103RE"/>
    <n v="1"/>
    <s v="E3"/>
    <s v="모자"/>
    <s v="VBL"/>
    <s v="BA"/>
    <x v="10"/>
    <s v="VBLBAE3103"/>
    <s v="VBLBAE3103RE"/>
    <x v="0"/>
    <n v="6000"/>
    <n v="330000000"/>
    <n v="25120080"/>
    <n v="11.942637125359472"/>
    <n v="0"/>
    <n v="6000"/>
  </r>
  <r>
    <x v="1"/>
    <x v="1"/>
    <s v=""/>
    <n v="0"/>
    <s v="VBLBAE3103"/>
    <n v="0.5"/>
    <s v=""/>
    <n v="0"/>
    <s v="VBLBAE3103GR"/>
    <n v="1"/>
    <s v="E3"/>
    <s v="모자"/>
    <s v="VBL"/>
    <s v="BA"/>
    <x v="10"/>
    <s v="VBLBAE3103"/>
    <s v="VBLBAE3103GR"/>
    <x v="0"/>
    <n v="3000"/>
    <n v="165000000"/>
    <n v="13635090.000000002"/>
    <n v="11.00102749596812"/>
    <n v="0"/>
    <n v="3000"/>
  </r>
  <r>
    <x v="1"/>
    <x v="1"/>
    <s v=""/>
    <n v="0"/>
    <s v="VBLBAE3201"/>
    <n v="1"/>
    <s v=""/>
    <n v="0"/>
    <s v="VBLBAE3201GY"/>
    <n v="1"/>
    <s v="E3"/>
    <s v="모자"/>
    <s v="VBL"/>
    <s v="BA"/>
    <x v="10"/>
    <s v="VBLBAE3201"/>
    <s v="VBLBAE3201GY"/>
    <x v="0"/>
    <n v="3000"/>
    <n v="135000000"/>
    <n v="30681818.18181818"/>
    <n v="4"/>
    <n v="0"/>
    <n v="3000"/>
  </r>
  <r>
    <x v="1"/>
    <x v="1"/>
    <s v=""/>
    <n v="0"/>
    <s v="PLAUME3204"/>
    <n v="0.5"/>
    <s v=""/>
    <n v="0"/>
    <s v="PLAUME3204YE"/>
    <n v="0.5"/>
    <s v="E3"/>
    <s v="모자"/>
    <s v="PLA"/>
    <s v="UM"/>
    <x v="16"/>
    <s v="PLAUME3204"/>
    <s v="PLAUME3204YE"/>
    <x v="0"/>
    <n v="1200"/>
    <n v="70800000"/>
    <n v="9729720"/>
    <n v="6.6151581303096458"/>
    <n v="0"/>
    <n v="1200"/>
  </r>
  <r>
    <x v="1"/>
    <x v="1"/>
    <s v=""/>
    <n v="0"/>
    <s v="SMBFIE3134"/>
    <n v="1"/>
    <s v=""/>
    <n v="0"/>
    <s v="SMBFIE3134RE"/>
    <n v="1"/>
    <s v="E3"/>
    <s v="모자"/>
    <s v="SMB"/>
    <s v="FI"/>
    <x v="13"/>
    <s v="SMBFIE3134"/>
    <s v="SMBFIE3134RE"/>
    <x v="0"/>
    <n v="3000"/>
    <n v="177000000"/>
    <n v="22987012.987012986"/>
    <n v="7"/>
    <n v="0"/>
    <n v="3000"/>
  </r>
  <r>
    <x v="1"/>
    <x v="1"/>
    <s v=""/>
    <n v="0"/>
    <s v="SMBFIE3634"/>
    <n v="1"/>
    <s v=""/>
    <n v="0"/>
    <s v="SMBFIE3634RE"/>
    <n v="1"/>
    <s v="E3"/>
    <s v="모자"/>
    <s v="SMB"/>
    <s v="FI"/>
    <x v="13"/>
    <s v="SMBFIE3634"/>
    <s v="SMBFIE3634RE"/>
    <x v="0"/>
    <n v="3000"/>
    <n v="165000000"/>
    <n v="21428571.428571425"/>
    <n v="7"/>
    <n v="0"/>
    <n v="3000"/>
  </r>
  <r>
    <x v="1"/>
    <x v="1"/>
    <s v=""/>
    <n v="0"/>
    <s v="SMBFIE3135"/>
    <n v="1"/>
    <s v=""/>
    <n v="0"/>
    <s v="SMBFIE3135BK"/>
    <n v="1"/>
    <s v="E3"/>
    <s v="모자"/>
    <s v="SMB"/>
    <s v="FI"/>
    <x v="13"/>
    <s v="SMBFIE3135"/>
    <s v="SMBFIE3135BK"/>
    <x v="0"/>
    <n v="1800"/>
    <n v="106200000"/>
    <n v="13792207.792207791"/>
    <n v="7"/>
    <n v="0"/>
    <n v="1800"/>
  </r>
  <r>
    <x v="1"/>
    <x v="1"/>
    <s v=""/>
    <n v="0"/>
    <s v="SMBFIE3635"/>
    <n v="1"/>
    <s v=""/>
    <n v="0"/>
    <s v="SMBFIE3635BK"/>
    <n v="1"/>
    <s v="E3"/>
    <s v="모자"/>
    <s v="SMB"/>
    <s v="FI"/>
    <x v="13"/>
    <s v="SMBFIE3635"/>
    <s v="SMBFIE3635BK"/>
    <x v="0"/>
    <n v="1200"/>
    <n v="66000000"/>
    <n v="8571428.5714285709"/>
    <n v="7"/>
    <n v="0"/>
    <n v="1200"/>
  </r>
  <r>
    <x v="1"/>
    <x v="1"/>
    <s v=""/>
    <n v="0"/>
    <s v="SMBFIE3206"/>
    <n v="1"/>
    <s v=""/>
    <n v="0"/>
    <s v="SMBFIE3206BK"/>
    <n v="1"/>
    <s v="E3"/>
    <s v="모자"/>
    <s v="SMB"/>
    <s v="FI"/>
    <x v="13"/>
    <s v="SMBFIE3206"/>
    <s v="SMBFIE3206BK"/>
    <x v="0"/>
    <n v="1500"/>
    <n v="67500000"/>
    <n v="8766233.7662337646"/>
    <n v="7.0000000000000009"/>
    <n v="0"/>
    <n v="1500"/>
  </r>
  <r>
    <x v="1"/>
    <x v="1"/>
    <s v=""/>
    <n v="0"/>
    <s v="SMBFIE3215"/>
    <n v="1"/>
    <s v=""/>
    <n v="0"/>
    <s v="SMBFIE3215BK"/>
    <n v="1"/>
    <s v="E3"/>
    <s v="모자"/>
    <s v="SMB"/>
    <s v="FI"/>
    <x v="13"/>
    <s v="SMBFIE3215"/>
    <s v="SMBFIE3215BK"/>
    <x v="0"/>
    <n v="1800"/>
    <n v="81000000"/>
    <n v="10519480.519480519"/>
    <n v="6.9999999999999991"/>
    <n v="0"/>
    <n v="1800"/>
  </r>
  <r>
    <x v="1"/>
    <x v="1"/>
    <s v=""/>
    <n v="0"/>
    <s v="PLAUME3204"/>
    <n v="0.5"/>
    <s v=""/>
    <n v="0"/>
    <s v="PLAUME3204YE"/>
    <n v="0.5"/>
    <s v="E3"/>
    <s v="모자"/>
    <s v="PLA"/>
    <s v="UM"/>
    <x v="16"/>
    <s v="PLAUME3204"/>
    <s v="PLAUME3204YE"/>
    <x v="0"/>
    <n v="1800"/>
    <n v="106200000"/>
    <n v="14594580"/>
    <n v="6.6151581303096449"/>
    <n v="0"/>
    <n v="1800"/>
  </r>
  <r>
    <x v="0"/>
    <x v="0"/>
    <s v="SMBBEE5301"/>
    <n v="0.5"/>
    <s v=""/>
    <n v="0"/>
    <s v="SMBBEE5301NY"/>
    <n v="1"/>
    <s v=""/>
    <n v="0"/>
    <s v="E5"/>
    <s v="모자"/>
    <s v="SMB"/>
    <s v="BE"/>
    <x v="13"/>
    <s v="SMBBEE5301"/>
    <s v="SMBBEE5301NY"/>
    <x v="0"/>
    <n v="700"/>
    <n v="27300000"/>
    <n v="2458904"/>
    <n v="10.093188598734157"/>
    <n v="0"/>
    <n v="700"/>
  </r>
  <r>
    <x v="0"/>
    <x v="0"/>
    <s v="SMBBEE5301"/>
    <n v="0.5"/>
    <s v=""/>
    <n v="0"/>
    <s v="SMBBEE5301RE"/>
    <n v="1"/>
    <s v=""/>
    <n v="0"/>
    <s v="E5"/>
    <s v="모자"/>
    <s v="SMB"/>
    <s v="BE"/>
    <x v="13"/>
    <s v="SMBBEE5301"/>
    <s v="SMBBEE5301RE"/>
    <x v="0"/>
    <n v="700"/>
    <n v="27300000"/>
    <n v="2458904"/>
    <n v="10.093188598734157"/>
    <n v="0"/>
    <n v="700"/>
  </r>
  <r>
    <x v="0"/>
    <x v="0"/>
    <s v="FFTFIE3330"/>
    <n v="1"/>
    <s v=""/>
    <n v="0"/>
    <s v="FFTFIE3330GR"/>
    <n v="1"/>
    <s v=""/>
    <n v="0"/>
    <s v="E3"/>
    <s v="모자"/>
    <s v="FFT"/>
    <s v="FI"/>
    <x v="25"/>
    <s v="FFTFIE3330"/>
    <s v="FFTFIE3330GR"/>
    <x v="1"/>
    <n v="20"/>
    <n v="980000"/>
    <n v="400909.09090909088"/>
    <n v="2.2222222222222223"/>
    <n v="20"/>
    <n v="0"/>
  </r>
  <r>
    <x v="0"/>
    <x v="0"/>
    <s v="FFTFIE3331"/>
    <n v="1"/>
    <s v=""/>
    <n v="0"/>
    <s v="FFTFIE3331PP"/>
    <n v="1"/>
    <s v=""/>
    <n v="0"/>
    <s v="E3"/>
    <s v="모자"/>
    <s v="FFT"/>
    <s v="FI"/>
    <x v="25"/>
    <s v="FFTFIE3331"/>
    <s v="FFTFIE3331PP"/>
    <x v="1"/>
    <n v="30"/>
    <n v="1470000"/>
    <n v="601363.63636363635"/>
    <n v="2.2222222222222223"/>
    <n v="28"/>
    <n v="0"/>
  </r>
  <r>
    <x v="0"/>
    <x v="0"/>
    <s v="FFTFIE3332"/>
    <n v="1"/>
    <s v=""/>
    <n v="0"/>
    <s v="FFTFIE3332WH"/>
    <n v="1"/>
    <s v=""/>
    <n v="0"/>
    <s v="E3"/>
    <s v="모자"/>
    <s v="FFT"/>
    <s v="FI"/>
    <x v="25"/>
    <s v="FFTFIE3332"/>
    <s v="FFTFIE3332WH"/>
    <x v="1"/>
    <n v="30"/>
    <n v="1470000"/>
    <n v="601363.63636363635"/>
    <n v="2.2222222222222223"/>
    <n v="30"/>
    <n v="0"/>
  </r>
  <r>
    <x v="0"/>
    <x v="0"/>
    <s v="FFTFIE3333"/>
    <n v="1"/>
    <s v=""/>
    <n v="0"/>
    <s v="FFTFIE3333BL"/>
    <n v="1"/>
    <s v=""/>
    <n v="0"/>
    <s v="E3"/>
    <s v="모자"/>
    <s v="FFT"/>
    <s v="FI"/>
    <x v="25"/>
    <s v="FFTFIE3333"/>
    <s v="FFTFIE3333BL"/>
    <x v="1"/>
    <n v="25"/>
    <n v="1225000"/>
    <n v="501136.36363636359"/>
    <n v="2.2222222222222223"/>
    <n v="25"/>
    <n v="0"/>
  </r>
  <r>
    <x v="0"/>
    <x v="0"/>
    <s v="FFTFIE3334"/>
    <n v="1"/>
    <s v=""/>
    <n v="0"/>
    <s v="FFTFIE3334PP"/>
    <n v="1"/>
    <s v=""/>
    <n v="0"/>
    <s v="E3"/>
    <s v="모자"/>
    <s v="FFT"/>
    <s v="FI"/>
    <x v="25"/>
    <s v="FFTFIE3334"/>
    <s v="FFTFIE3334PP"/>
    <x v="1"/>
    <n v="25"/>
    <n v="1225000"/>
    <n v="501136.36363636359"/>
    <n v="2.2222222222222223"/>
    <n v="25"/>
    <n v="0"/>
  </r>
  <r>
    <x v="0"/>
    <x v="0"/>
    <s v="FFTFIE3335"/>
    <n v="1"/>
    <s v=""/>
    <n v="0"/>
    <s v="FFTFIE3335BL"/>
    <n v="1"/>
    <s v=""/>
    <n v="0"/>
    <s v="E3"/>
    <s v="모자"/>
    <s v="FFT"/>
    <s v="FI"/>
    <x v="25"/>
    <s v="FFTFIE3335"/>
    <s v="FFTFIE3335BL"/>
    <x v="1"/>
    <n v="20"/>
    <n v="980000"/>
    <n v="400909.09090909088"/>
    <n v="2.2222222222222223"/>
    <n v="20"/>
    <n v="0"/>
  </r>
  <r>
    <x v="0"/>
    <x v="0"/>
    <s v="FFTFIE3336"/>
    <n v="1"/>
    <s v=""/>
    <n v="0"/>
    <s v="FFTFIE3336KH"/>
    <n v="1"/>
    <s v=""/>
    <n v="0"/>
    <s v="E3"/>
    <s v="모자"/>
    <s v="FFT"/>
    <s v="FI"/>
    <x v="25"/>
    <s v="FFTFIE3336"/>
    <s v="FFTFIE3336KH"/>
    <x v="1"/>
    <n v="25"/>
    <n v="1225000"/>
    <n v="501136.36363636359"/>
    <n v="2.2222222222222223"/>
    <n v="25"/>
    <n v="0"/>
  </r>
  <r>
    <x v="0"/>
    <x v="0"/>
    <s v="FFTFIE3337"/>
    <n v="1"/>
    <s v=""/>
    <n v="0"/>
    <s v="FFTFIE3337BL"/>
    <n v="1"/>
    <s v=""/>
    <n v="0"/>
    <s v="E3"/>
    <s v="모자"/>
    <s v="FFT"/>
    <s v="FI"/>
    <x v="25"/>
    <s v="FFTFIE3337"/>
    <s v="FFTFIE3337BL"/>
    <x v="1"/>
    <n v="15"/>
    <n v="735000"/>
    <n v="300681.81818181818"/>
    <n v="2.2222222222222223"/>
    <n v="15"/>
    <n v="0"/>
  </r>
  <r>
    <x v="0"/>
    <x v="0"/>
    <s v="FFTFIE3338"/>
    <n v="1"/>
    <s v=""/>
    <n v="0"/>
    <s v="FFTFIE3338PP"/>
    <n v="1"/>
    <s v=""/>
    <n v="0"/>
    <s v="E3"/>
    <s v="모자"/>
    <s v="FFT"/>
    <s v="FI"/>
    <x v="25"/>
    <s v="FFTFIE3338"/>
    <s v="FFTFIE3338PP"/>
    <x v="1"/>
    <n v="20"/>
    <n v="980000"/>
    <n v="400909.09090909088"/>
    <n v="2.2222222222222223"/>
    <n v="20"/>
    <n v="0"/>
  </r>
  <r>
    <x v="0"/>
    <x v="0"/>
    <s v="FFTFIE3340"/>
    <n v="1"/>
    <s v=""/>
    <n v="0"/>
    <s v="FFTFIE3340KH"/>
    <n v="1"/>
    <s v=""/>
    <n v="0"/>
    <s v="E3"/>
    <s v="모자"/>
    <s v="FFT"/>
    <s v="FI"/>
    <x v="25"/>
    <s v="FFTFIE3340"/>
    <s v="FFTFIE3340KH"/>
    <x v="1"/>
    <n v="25"/>
    <n v="1225000"/>
    <n v="501136.36363636359"/>
    <n v="2.2222222222222223"/>
    <n v="25"/>
    <n v="0"/>
  </r>
  <r>
    <x v="0"/>
    <x v="0"/>
    <s v="FFTFIE3339"/>
    <n v="1"/>
    <s v=""/>
    <n v="0"/>
    <s v="FFTFIE3339BK"/>
    <n v="1"/>
    <s v=""/>
    <n v="0"/>
    <s v="E3"/>
    <s v="모자"/>
    <s v="FFT"/>
    <s v="FI"/>
    <x v="25"/>
    <s v="FFTFIE3339"/>
    <s v="FFTFIE3339BK"/>
    <x v="1"/>
    <n v="20"/>
    <n v="980000"/>
    <n v="400909.09090909088"/>
    <n v="2.2222222222222223"/>
    <n v="20"/>
    <n v="0"/>
  </r>
  <r>
    <x v="0"/>
    <x v="0"/>
    <s v="JILMUE5366"/>
    <n v="1"/>
    <s v=""/>
    <n v="0"/>
    <s v="JILMUE5366NY"/>
    <n v="1"/>
    <s v=""/>
    <n v="0"/>
    <s v="E5"/>
    <s v="ACC"/>
    <s v="JIL"/>
    <s v="MU"/>
    <x v="5"/>
    <s v="JILMUE5366"/>
    <s v="JILMUE5366NY"/>
    <x v="0"/>
    <n v="300"/>
    <n v="16500000"/>
    <n v="2499999.9999999995"/>
    <n v="6.0000000000000009"/>
    <n v="0"/>
    <n v="300"/>
  </r>
  <r>
    <x v="0"/>
    <x v="0"/>
    <s v="JILMUE5367"/>
    <n v="0.5"/>
    <s v=""/>
    <n v="0"/>
    <s v="JILMUE5367RE"/>
    <n v="1"/>
    <s v=""/>
    <n v="0"/>
    <s v="E5"/>
    <s v="ACC"/>
    <s v="JIL"/>
    <s v="MU"/>
    <x v="5"/>
    <s v="JILMUE5367"/>
    <s v="JILMUE5367RE"/>
    <x v="0"/>
    <n v="500"/>
    <n v="24500000"/>
    <n v="3712121.2121212119"/>
    <n v="6"/>
    <n v="0"/>
    <n v="500"/>
  </r>
  <r>
    <x v="0"/>
    <x v="0"/>
    <s v="JILMUE5367"/>
    <n v="0.5"/>
    <s v=""/>
    <n v="0"/>
    <s v="JILMUE5367YE"/>
    <n v="1"/>
    <s v=""/>
    <n v="0"/>
    <s v="E5"/>
    <s v="ACC"/>
    <s v="JIL"/>
    <s v="MU"/>
    <x v="5"/>
    <s v="JILMUE5367"/>
    <s v="JILMUE5367YE"/>
    <x v="0"/>
    <n v="500"/>
    <n v="24500000"/>
    <n v="3712121.2121212119"/>
    <n v="6"/>
    <n v="0"/>
    <n v="500"/>
  </r>
  <r>
    <x v="0"/>
    <x v="0"/>
    <s v="JILBEE5368"/>
    <n v="0.5"/>
    <s v=""/>
    <n v="0"/>
    <s v="JILBEE5368BK"/>
    <n v="1"/>
    <s v=""/>
    <n v="0"/>
    <s v="E5"/>
    <s v="모자"/>
    <s v="JIL"/>
    <s v="BE"/>
    <x v="4"/>
    <s v="JILBEE5368"/>
    <s v="JILBEE5368BK"/>
    <x v="0"/>
    <n v="800"/>
    <n v="31200000"/>
    <n v="4727272.7272727266"/>
    <n v="6"/>
    <n v="0"/>
    <n v="800"/>
  </r>
  <r>
    <x v="0"/>
    <x v="0"/>
    <s v="JILBEE5368"/>
    <n v="0.5"/>
    <s v=""/>
    <n v="0"/>
    <s v="JILBEE5368NY"/>
    <n v="1"/>
    <s v=""/>
    <n v="0"/>
    <s v="E5"/>
    <s v="모자"/>
    <s v="JIL"/>
    <s v="BE"/>
    <x v="4"/>
    <s v="JILBEE5368"/>
    <s v="JILBEE5368NY"/>
    <x v="0"/>
    <n v="800"/>
    <n v="31200000"/>
    <n v="4727272.7272727266"/>
    <n v="6"/>
    <n v="0"/>
    <n v="800"/>
  </r>
  <r>
    <x v="0"/>
    <x v="0"/>
    <s v="JILEBE5369"/>
    <n v="0.33333333333333331"/>
    <s v=""/>
    <n v="0"/>
    <s v="JILEBE5369KH"/>
    <n v="1"/>
    <s v=""/>
    <n v="0"/>
    <s v="E5"/>
    <s v="모자"/>
    <s v="JIL"/>
    <s v="EB"/>
    <x v="4"/>
    <s v="JILEBE5369"/>
    <s v="JILEBE5369KH"/>
    <x v="0"/>
    <n v="700"/>
    <n v="31500000"/>
    <n v="4772727.2727272715"/>
    <n v="6.0000000000000009"/>
    <n v="0"/>
    <n v="700"/>
  </r>
  <r>
    <x v="0"/>
    <x v="0"/>
    <s v="JILEBE5369"/>
    <n v="0.33333333333333331"/>
    <s v=""/>
    <n v="0"/>
    <s v="JILEBE5369GY"/>
    <n v="1"/>
    <s v=""/>
    <n v="0"/>
    <s v="E5"/>
    <s v="모자"/>
    <s v="JIL"/>
    <s v="EB"/>
    <x v="4"/>
    <s v="JILEBE5369"/>
    <s v="JILEBE5369GY"/>
    <x v="0"/>
    <n v="700"/>
    <n v="31500000"/>
    <n v="4772727.2727272715"/>
    <n v="6.0000000000000009"/>
    <n v="0"/>
    <n v="700"/>
  </r>
  <r>
    <x v="0"/>
    <x v="0"/>
    <s v="JILEBE5369"/>
    <n v="0.33333333333333331"/>
    <s v=""/>
    <n v="0"/>
    <s v="JILEBE5369NY"/>
    <n v="1"/>
    <s v=""/>
    <n v="0"/>
    <s v="E5"/>
    <s v="모자"/>
    <s v="JIL"/>
    <s v="EB"/>
    <x v="4"/>
    <s v="JILEBE5369"/>
    <s v="JILEBE5369NY"/>
    <x v="0"/>
    <n v="700"/>
    <n v="31500000"/>
    <n v="4772727.2727272715"/>
    <n v="6.0000000000000009"/>
    <n v="0"/>
    <n v="700"/>
  </r>
  <r>
    <x v="0"/>
    <x v="0"/>
    <s v="SMBFIE5352"/>
    <n v="1"/>
    <s v=""/>
    <n v="0"/>
    <s v="SMBFIE5352GY"/>
    <n v="1"/>
    <s v=""/>
    <n v="0"/>
    <s v="E5"/>
    <s v="모자"/>
    <s v="SMB"/>
    <s v="FI"/>
    <x v="13"/>
    <s v="SMBFIE5352"/>
    <s v="SMBFIE5352GY"/>
    <x v="0"/>
    <n v="700"/>
    <n v="31500000"/>
    <n v="4232103.2"/>
    <n v="6.7664615636886252"/>
    <n v="0"/>
    <n v="700"/>
  </r>
  <r>
    <x v="0"/>
    <x v="0"/>
    <s v="SMBFIE3353"/>
    <n v="1"/>
    <s v=""/>
    <n v="0"/>
    <s v="SMBFIE3353RE"/>
    <n v="1"/>
    <s v=""/>
    <n v="0"/>
    <s v="E3"/>
    <s v="모자"/>
    <s v="SMB"/>
    <s v="FI"/>
    <x v="13"/>
    <s v="SMBFIE3353"/>
    <s v="SMBFIE3353RE"/>
    <x v="0"/>
    <n v="500"/>
    <n v="24500000"/>
    <n v="2834944.0000000005"/>
    <n v="7.8564963797264662"/>
    <n v="0"/>
    <n v="500"/>
  </r>
  <r>
    <x v="0"/>
    <x v="0"/>
    <s v="SMBFIE3354"/>
    <n v="1"/>
    <s v=""/>
    <n v="0"/>
    <s v="SMBFIE3354BK"/>
    <n v="1"/>
    <s v=""/>
    <n v="0"/>
    <s v="E3"/>
    <s v="모자"/>
    <s v="SMB"/>
    <s v="FI"/>
    <x v="13"/>
    <s v="SMBFIE3354"/>
    <s v="SMBFIE3354BK"/>
    <x v="0"/>
    <n v="1000"/>
    <n v="49000000"/>
    <n v="8091200.0000000009"/>
    <n v="5.5054200298416225"/>
    <n v="0"/>
    <n v="1000"/>
  </r>
  <r>
    <x v="0"/>
    <x v="0"/>
    <s v="SMBFIE3854"/>
    <n v="1"/>
    <s v=""/>
    <n v="0"/>
    <s v="SMBFIE3854BK"/>
    <n v="1"/>
    <s v=""/>
    <n v="0"/>
    <s v="E3"/>
    <s v="모자"/>
    <s v="SMB"/>
    <s v="FI"/>
    <x v="13"/>
    <s v="SMBFIE3854"/>
    <s v="SMBFIE3854BK"/>
    <x v="0"/>
    <n v="1000"/>
    <n v="45000000"/>
    <n v="8091200.0000000009"/>
    <n v="5.0559979865892455"/>
    <n v="0"/>
    <n v="1000"/>
  </r>
  <r>
    <x v="0"/>
    <x v="0"/>
    <s v="SMBFIE5306"/>
    <n v="1"/>
    <s v=""/>
    <n v="0"/>
    <s v="SMBFIE5306CL"/>
    <n v="1"/>
    <s v=""/>
    <n v="0"/>
    <s v="E5"/>
    <s v="모자"/>
    <s v="SMB"/>
    <s v="FI"/>
    <x v="13"/>
    <s v="SMBFIE5306"/>
    <s v="SMBFIE5306CL"/>
    <x v="0"/>
    <n v="700"/>
    <n v="31500000"/>
    <n v="3141195.1999999997"/>
    <n v="9.116390995492301"/>
    <n v="0"/>
    <n v="700"/>
  </r>
  <r>
    <x v="0"/>
    <x v="0"/>
    <s v="SMBFIE5307"/>
    <n v="1"/>
    <s v=""/>
    <n v="0"/>
    <s v="SMBFIE5307PK"/>
    <n v="1"/>
    <s v=""/>
    <n v="0"/>
    <s v="E5"/>
    <s v="모자"/>
    <s v="SMB"/>
    <s v="FI"/>
    <x v="13"/>
    <s v="SMBFIE5307"/>
    <s v="SMBFIE5307PK"/>
    <x v="0"/>
    <n v="700"/>
    <n v="31500000"/>
    <n v="5338821.6000000006"/>
    <n v="5.3637985649049655"/>
    <n v="0"/>
    <n v="700"/>
  </r>
  <r>
    <x v="0"/>
    <x v="0"/>
    <s v="SMBERE5308"/>
    <n v="1"/>
    <s v=""/>
    <n v="0"/>
    <s v="SMBERE5308BW"/>
    <n v="1"/>
    <s v=""/>
    <n v="0"/>
    <s v="E5"/>
    <s v="모자"/>
    <s v="SMB"/>
    <s v="ER"/>
    <x v="13"/>
    <s v="SMBERE5308"/>
    <s v="SMBERE5308BW"/>
    <x v="0"/>
    <n v="500"/>
    <n v="29500000"/>
    <n v="3319944.0000000005"/>
    <n v="8.0779018616524283"/>
    <n v="0"/>
    <n v="500"/>
  </r>
  <r>
    <x v="0"/>
    <x v="0"/>
    <s v="SMBFIE5355"/>
    <n v="1"/>
    <s v=""/>
    <n v="0"/>
    <s v="SMBFIE5355OR"/>
    <n v="1"/>
    <s v=""/>
    <n v="0"/>
    <s v="E5"/>
    <s v="모자"/>
    <s v="SMB"/>
    <s v="FI"/>
    <x v="13"/>
    <s v="SMBFIE5355"/>
    <s v="SMBFIE5355OR"/>
    <x v="0"/>
    <n v="700"/>
    <n v="41300000"/>
    <n v="4488994"/>
    <n v="8.3638905611044567"/>
    <n v="0"/>
    <n v="700"/>
  </r>
  <r>
    <x v="0"/>
    <x v="0"/>
    <s v="SMBFIE5855"/>
    <n v="1"/>
    <s v=""/>
    <n v="0"/>
    <s v="SMBFIE5855OR"/>
    <n v="1"/>
    <s v=""/>
    <n v="0"/>
    <s v="E5"/>
    <s v="모자"/>
    <s v="SMB"/>
    <s v="FI"/>
    <x v="13"/>
    <s v="SMBFIE5855"/>
    <s v="SMBFIE5855OR"/>
    <x v="0"/>
    <n v="700"/>
    <n v="38500000"/>
    <n v="4488994"/>
    <n v="7.7968471332329692"/>
    <n v="0"/>
    <n v="700"/>
  </r>
  <r>
    <x v="1"/>
    <x v="1"/>
    <s v=""/>
    <n v="0"/>
    <s v="VBLBAE3216"/>
    <n v="0.25"/>
    <s v=""/>
    <n v="0"/>
    <s v="VBLBAE3216BK"/>
    <n v="0.5"/>
    <s v="E3"/>
    <s v="모자"/>
    <s v="VBL"/>
    <s v="BA"/>
    <x v="10"/>
    <s v="VBLBAE3216"/>
    <s v="VBLBAE3216BK"/>
    <x v="0"/>
    <n v="3000"/>
    <n v="147000000"/>
    <n v="33409090.909090906"/>
    <n v="4"/>
    <n v="0"/>
    <n v="3000"/>
  </r>
  <r>
    <x v="1"/>
    <x v="1"/>
    <s v=""/>
    <n v="0"/>
    <s v="VBLBAE3216"/>
    <n v="0.25"/>
    <s v=""/>
    <n v="0"/>
    <s v="VBLBAE3216GR"/>
    <n v="1"/>
    <s v="E3"/>
    <s v="모자"/>
    <s v="VBL"/>
    <s v="BA"/>
    <x v="10"/>
    <s v="VBLBAE3216"/>
    <s v="VBLBAE3216GR"/>
    <x v="0"/>
    <n v="1000"/>
    <n v="49000000"/>
    <n v="11136363.636363637"/>
    <n v="3.9999999999999996"/>
    <n v="0"/>
    <n v="1000"/>
  </r>
  <r>
    <x v="1"/>
    <x v="0"/>
    <s v="JILMIE3216"/>
    <n v="1"/>
    <s v=""/>
    <n v="0"/>
    <s v="JILMIE3216NY"/>
    <n v="1"/>
    <s v=""/>
    <n v="0"/>
    <s v="E3"/>
    <s v="모자"/>
    <s v="JIL"/>
    <s v="MI"/>
    <x v="4"/>
    <s v="JILMIE3216"/>
    <s v="JILMIE3216NY"/>
    <x v="0"/>
    <n v="1500"/>
    <n v="64500000"/>
    <n v="7596855"/>
    <n v="7.7185050440430452"/>
    <n v="0"/>
    <n v="1500"/>
  </r>
  <r>
    <x v="1"/>
    <x v="0"/>
    <s v="ELSFIE3214"/>
    <n v="1"/>
    <s v=""/>
    <n v="0"/>
    <s v="ELSFIE3214GR"/>
    <n v="1"/>
    <s v=""/>
    <n v="0"/>
    <s v="E3"/>
    <s v="모자"/>
    <s v="ELS"/>
    <s v="FI"/>
    <x v="3"/>
    <s v="ELSFIE3214"/>
    <s v="ELSFIE3214GR"/>
    <x v="0"/>
    <n v="1000"/>
    <n v="49000000"/>
    <n v="5737250.0000000009"/>
    <n v="7.7642519578987379"/>
    <n v="0"/>
    <n v="1000"/>
  </r>
  <r>
    <x v="1"/>
    <x v="0"/>
    <s v="ELSFIE3221"/>
    <n v="0.5"/>
    <s v=""/>
    <n v="0"/>
    <s v="ELSFIE3221MT"/>
    <n v="1"/>
    <s v=""/>
    <n v="0"/>
    <s v="E3"/>
    <s v="모자"/>
    <s v="ELS"/>
    <s v="FI"/>
    <x v="3"/>
    <s v="ELSFIE3221"/>
    <s v="ELSFIE3221MT"/>
    <x v="0"/>
    <n v="700"/>
    <n v="41300000"/>
    <n v="8750000"/>
    <n v="4.290909090909091"/>
    <n v="0"/>
    <n v="700"/>
  </r>
  <r>
    <x v="1"/>
    <x v="0"/>
    <s v="JILMIE3011"/>
    <n v="1"/>
    <s v=""/>
    <n v="0"/>
    <s v="JILMIE3011BK"/>
    <n v="1"/>
    <s v=""/>
    <n v="0"/>
    <s v="E3"/>
    <s v="모자"/>
    <s v="JIL"/>
    <s v="MI"/>
    <x v="4"/>
    <s v="JILMIE3011"/>
    <s v="JILMIE3011BK"/>
    <x v="0"/>
    <n v="1000"/>
    <n v="45000000"/>
    <n v="5955670"/>
    <n v="6.8689317757852439"/>
    <n v="0"/>
    <n v="1000"/>
  </r>
  <r>
    <x v="1"/>
    <x v="0"/>
    <s v="JILMIE3152"/>
    <n v="0.2"/>
    <s v=""/>
    <n v="0"/>
    <s v="JILMIE3152BK"/>
    <n v="0.5"/>
    <s v=""/>
    <n v="0"/>
    <s v="E3"/>
    <s v="모자"/>
    <s v="JIL"/>
    <s v="MI"/>
    <x v="4"/>
    <s v="JILMIE3152"/>
    <s v="JILMIE3152BK"/>
    <x v="0"/>
    <n v="1000"/>
    <n v="45000000"/>
    <n v="6673590"/>
    <n v="6.1299976338209126"/>
    <n v="0"/>
    <n v="1000"/>
  </r>
  <r>
    <x v="1"/>
    <x v="0"/>
    <s v="PLAUME3004"/>
    <n v="1"/>
    <s v=""/>
    <n v="0"/>
    <s v="PLAUME3004BL"/>
    <n v="1"/>
    <s v=""/>
    <n v="0"/>
    <s v="E3"/>
    <s v="모자"/>
    <s v="PLA"/>
    <s v="UM"/>
    <x v="16"/>
    <s v="PLAUME3004"/>
    <s v="PLAUME3004BL"/>
    <x v="0"/>
    <n v="500"/>
    <n v="29500000"/>
    <n v="3829518"/>
    <n v="7.0030175646600465"/>
    <n v="0"/>
    <n v="500"/>
  </r>
  <r>
    <x v="0"/>
    <x v="0"/>
    <s v="JOIMUE5316"/>
    <n v="1"/>
    <s v=""/>
    <n v="0"/>
    <s v="JOIMUE5316MT"/>
    <n v="1"/>
    <s v=""/>
    <n v="0"/>
    <s v="E5"/>
    <s v="ACC"/>
    <s v="JOI"/>
    <s v="MU"/>
    <x v="20"/>
    <s v="JOIMUE5316"/>
    <s v="JOIMUE5316MT"/>
    <x v="0"/>
    <n v="300"/>
    <n v="17700000"/>
    <n v="3037182.0000000009"/>
    <n v="5.2979732827697141"/>
    <n v="0"/>
    <n v="300"/>
  </r>
  <r>
    <x v="0"/>
    <x v="0"/>
    <s v="JOIMUE5816"/>
    <n v="1"/>
    <s v=""/>
    <n v="0"/>
    <s v="JOIMUE5816MT"/>
    <n v="1"/>
    <s v=""/>
    <n v="0"/>
    <s v="E5"/>
    <s v="ACC"/>
    <s v="JOI"/>
    <s v="MU"/>
    <x v="20"/>
    <s v="JOIMUE5816"/>
    <s v="JOIMUE5816MT"/>
    <x v="0"/>
    <n v="300"/>
    <n v="16500000"/>
    <n v="2625540.0000000005"/>
    <n v="5.7131104458511377"/>
    <n v="0"/>
    <n v="300"/>
  </r>
  <r>
    <x v="0"/>
    <x v="0"/>
    <s v="JOIEBE5317"/>
    <n v="1"/>
    <s v=""/>
    <n v="0"/>
    <s v="JOIEBE5317MT"/>
    <n v="1"/>
    <s v=""/>
    <n v="0"/>
    <s v="E5"/>
    <s v="모자"/>
    <s v="JOI"/>
    <s v="EB"/>
    <x v="6"/>
    <s v="JOIEBE5317"/>
    <s v="JOIEBE5317MT"/>
    <x v="0"/>
    <n v="400"/>
    <n v="23600000"/>
    <n v="3500720.0000000005"/>
    <n v="6.1286093873675842"/>
    <n v="0"/>
    <n v="400"/>
  </r>
  <r>
    <x v="0"/>
    <x v="0"/>
    <s v="JOIEBE5817"/>
    <n v="1"/>
    <s v=""/>
    <n v="0"/>
    <s v="JOIEBE5817MT"/>
    <n v="1"/>
    <s v=""/>
    <n v="0"/>
    <s v="E5"/>
    <s v="모자"/>
    <s v="JOI"/>
    <s v="EB"/>
    <x v="6"/>
    <s v="JOIEBE5817"/>
    <s v="JOIEBE5817MT"/>
    <x v="0"/>
    <n v="400"/>
    <n v="22000000"/>
    <n v="3333333.333333333"/>
    <n v="6"/>
    <n v="0"/>
    <n v="400"/>
  </r>
  <r>
    <x v="0"/>
    <x v="0"/>
    <s v="JOIMUE5818"/>
    <n v="1"/>
    <s v=""/>
    <n v="0"/>
    <s v="JOIMUE5818BL"/>
    <n v="1"/>
    <s v=""/>
    <n v="0"/>
    <s v="E5"/>
    <s v="ACC"/>
    <s v="JOI"/>
    <s v="MU"/>
    <x v="20"/>
    <s v="JOIMUE5818"/>
    <s v="JOIMUE5818BL"/>
    <x v="0"/>
    <n v="300"/>
    <n v="14700000"/>
    <n v="3299136.0000000009"/>
    <n v="4.0506473099733862"/>
    <n v="0"/>
    <n v="300"/>
  </r>
  <r>
    <x v="1"/>
    <x v="1"/>
    <s v=""/>
    <n v="0"/>
    <s v="FFTFIE3208"/>
    <n v="0.25"/>
    <s v=""/>
    <n v="0"/>
    <s v="FFTFIE3208BK"/>
    <n v="0.5"/>
    <s v="E3"/>
    <s v="모자"/>
    <s v="FFT"/>
    <s v="FI"/>
    <x v="25"/>
    <s v="FFTFIE3208"/>
    <s v="FFTFIE3208BK"/>
    <x v="1"/>
    <n v="70"/>
    <n v="3430000"/>
    <n v="1403181.8181818181"/>
    <n v="2.2222222222222223"/>
    <n v="70"/>
    <n v="0"/>
  </r>
  <r>
    <x v="1"/>
    <x v="1"/>
    <s v=""/>
    <n v="0"/>
    <s v="FFTFIE3208"/>
    <n v="0.25"/>
    <s v=""/>
    <n v="0"/>
    <s v="FFTFIE3208KH"/>
    <n v="1"/>
    <s v="E3"/>
    <s v="모자"/>
    <s v="FFT"/>
    <s v="FI"/>
    <x v="25"/>
    <s v="FFTFIE3208"/>
    <s v="FFTFIE3208KH"/>
    <x v="1"/>
    <n v="35"/>
    <n v="1715000"/>
    <n v="701590.90909090906"/>
    <n v="2.2222222222222223"/>
    <n v="35"/>
    <n v="0"/>
  </r>
  <r>
    <x v="1"/>
    <x v="0"/>
    <s v="FFTFIE3210"/>
    <n v="1"/>
    <s v=""/>
    <n v="0"/>
    <s v="FFTFIE3210BK"/>
    <n v="1"/>
    <s v=""/>
    <n v="0"/>
    <s v="E3"/>
    <s v="모자"/>
    <s v="FFT"/>
    <s v="FI"/>
    <x v="25"/>
    <s v="FFTFIE3210"/>
    <s v="FFTFIE3210BK"/>
    <x v="1"/>
    <n v="70"/>
    <n v="3430000"/>
    <n v="1403181.8181818181"/>
    <n v="2.2222222222222223"/>
    <n v="70"/>
    <n v="0"/>
  </r>
  <r>
    <x v="1"/>
    <x v="0"/>
    <s v="FFTFIE3239"/>
    <n v="1"/>
    <s v=""/>
    <n v="0"/>
    <s v="FFTFIE3239RE"/>
    <n v="1"/>
    <s v=""/>
    <n v="0"/>
    <s v="E3"/>
    <s v="모자"/>
    <s v="FFT"/>
    <s v="FI"/>
    <x v="25"/>
    <s v="FFTFIE3239"/>
    <s v="FFTFIE3239RE"/>
    <x v="1"/>
    <n v="35"/>
    <n v="1715000"/>
    <n v="701590.90909090906"/>
    <n v="2.2222222222222223"/>
    <n v="35"/>
    <n v="0"/>
  </r>
  <r>
    <x v="1"/>
    <x v="0"/>
    <s v="FFTFIE3225"/>
    <n v="1"/>
    <s v=""/>
    <n v="0"/>
    <s v="FFTFIE3225AR"/>
    <n v="1"/>
    <s v=""/>
    <n v="0"/>
    <s v="E3"/>
    <s v="모자"/>
    <s v="FFT"/>
    <s v="FI"/>
    <x v="25"/>
    <s v="FFTFIE3225"/>
    <s v="FFTFIE3225AR"/>
    <x v="1"/>
    <n v="80"/>
    <n v="3920000"/>
    <n v="1603636.3636363635"/>
    <n v="2.2222222222222223"/>
    <n v="80"/>
    <n v="0"/>
  </r>
  <r>
    <x v="1"/>
    <x v="1"/>
    <s v=""/>
    <n v="0"/>
    <s v="FFTFIE3211"/>
    <n v="0.5"/>
    <s v=""/>
    <n v="0"/>
    <s v="FFTFIE3211RE"/>
    <n v="0.5"/>
    <s v="E3"/>
    <s v="모자"/>
    <s v="FFT"/>
    <s v="FI"/>
    <x v="25"/>
    <s v="FFTFIE3211"/>
    <s v="FFTFIE3211RE"/>
    <x v="1"/>
    <n v="35"/>
    <n v="1715000"/>
    <n v="701590.90909090906"/>
    <n v="2.2222222222222223"/>
    <n v="35"/>
    <n v="0"/>
  </r>
  <r>
    <x v="1"/>
    <x v="1"/>
    <s v=""/>
    <n v="0"/>
    <s v="FFTFIE3235"/>
    <n v="0.5"/>
    <s v=""/>
    <n v="0"/>
    <s v="FFTFIE3235NY"/>
    <n v="0.5"/>
    <s v="E3"/>
    <s v="모자"/>
    <s v="FFT"/>
    <s v="FI"/>
    <x v="25"/>
    <s v="FFTFIE3235"/>
    <s v="FFTFIE3235NY"/>
    <x v="1"/>
    <n v="50"/>
    <n v="2450000"/>
    <n v="1002272.7272727272"/>
    <n v="2.2222222222222223"/>
    <n v="50"/>
    <n v="0"/>
  </r>
  <r>
    <x v="1"/>
    <x v="1"/>
    <s v=""/>
    <n v="0"/>
    <s v="FFTFIE3234"/>
    <n v="0.5"/>
    <s v=""/>
    <n v="0"/>
    <s v="FFTFIE3234RE"/>
    <n v="0.5"/>
    <s v="E3"/>
    <s v="모자"/>
    <s v="FFT"/>
    <s v="FI"/>
    <x v="25"/>
    <s v="FFTFIE3234"/>
    <s v="FFTFIE3234RE"/>
    <x v="1"/>
    <n v="50"/>
    <n v="2450000"/>
    <n v="1002272.7272727272"/>
    <n v="2.2222222222222223"/>
    <n v="50"/>
    <n v="0"/>
  </r>
  <r>
    <x v="1"/>
    <x v="0"/>
    <s v="FFTFIE3228"/>
    <n v="1"/>
    <s v=""/>
    <n v="0"/>
    <s v="FFTFIE3228BK"/>
    <n v="1"/>
    <s v=""/>
    <n v="0"/>
    <s v="E3"/>
    <s v="모자"/>
    <s v="FFT"/>
    <s v="FI"/>
    <x v="25"/>
    <s v="FFTFIE3228"/>
    <s v="FFTFIE3228BK"/>
    <x v="1"/>
    <n v="200"/>
    <n v="9800000"/>
    <n v="4009090.9090909087"/>
    <n v="2.2222222222222223"/>
    <n v="190"/>
    <n v="0"/>
  </r>
  <r>
    <x v="1"/>
    <x v="0"/>
    <s v="FFTFIE3232"/>
    <n v="1"/>
    <s v=""/>
    <n v="0"/>
    <s v="FFTFIE3232RE"/>
    <n v="1"/>
    <s v=""/>
    <n v="0"/>
    <s v="E3"/>
    <s v="모자"/>
    <s v="FFT"/>
    <s v="FI"/>
    <x v="25"/>
    <s v="FFTFIE3232"/>
    <s v="FFTFIE3232RE"/>
    <x v="1"/>
    <n v="85"/>
    <n v="4165000"/>
    <n v="1703863.6363636362"/>
    <n v="2.2222222222222223"/>
    <n v="85"/>
    <n v="0"/>
  </r>
  <r>
    <x v="1"/>
    <x v="0"/>
    <s v="FFTFIE3230"/>
    <n v="1"/>
    <s v=""/>
    <n v="0"/>
    <s v="FFTFIE3230BL"/>
    <n v="1"/>
    <s v=""/>
    <n v="0"/>
    <s v="E3"/>
    <s v="모자"/>
    <s v="FFT"/>
    <s v="FI"/>
    <x v="25"/>
    <s v="FFTFIE3230"/>
    <s v="FFTFIE3230BL"/>
    <x v="1"/>
    <n v="80"/>
    <n v="3920000"/>
    <n v="1603636.3636363635"/>
    <n v="2.2222222222222223"/>
    <n v="80"/>
    <n v="0"/>
  </r>
  <r>
    <x v="1"/>
    <x v="0"/>
    <s v="FFTFIE3229"/>
    <n v="1"/>
    <s v=""/>
    <n v="0"/>
    <s v="FFTFIE3229WH"/>
    <n v="1"/>
    <s v=""/>
    <n v="0"/>
    <s v="E3"/>
    <s v="모자"/>
    <s v="FFT"/>
    <s v="FI"/>
    <x v="25"/>
    <s v="FFTFIE3229"/>
    <s v="FFTFIE3229WH"/>
    <x v="1"/>
    <n v="80"/>
    <n v="3920000"/>
    <n v="1603636.3636363635"/>
    <n v="2.2222222222222223"/>
    <n v="80"/>
    <n v="0"/>
  </r>
  <r>
    <x v="1"/>
    <x v="1"/>
    <s v=""/>
    <n v="0"/>
    <s v="FFTFIE3243"/>
    <n v="0.5"/>
    <s v=""/>
    <n v="0"/>
    <s v="FFTFIE3243BK"/>
    <n v="0.5"/>
    <s v="E3"/>
    <s v="모자"/>
    <s v="FFT"/>
    <s v="FI"/>
    <x v="25"/>
    <s v="FFTFIE3243"/>
    <s v="FFTFIE3243BK"/>
    <x v="1"/>
    <n v="50"/>
    <n v="2950000"/>
    <n v="1206818.1818181819"/>
    <n v="2.2222222222222219"/>
    <n v="50"/>
    <n v="0"/>
  </r>
  <r>
    <x v="1"/>
    <x v="0"/>
    <s v="FFTFIE3245"/>
    <n v="1"/>
    <s v=""/>
    <n v="0"/>
    <s v="FFTFIE3245BK"/>
    <n v="1"/>
    <s v=""/>
    <n v="0"/>
    <s v="E3"/>
    <s v="모자"/>
    <s v="FFT"/>
    <s v="FI"/>
    <x v="25"/>
    <s v="FFTFIE3245"/>
    <s v="FFTFIE3245BK"/>
    <x v="1"/>
    <n v="120"/>
    <n v="5880000"/>
    <n v="2405454.5454545454"/>
    <n v="2.2222222222222223"/>
    <n v="120"/>
    <n v="0"/>
  </r>
  <r>
    <x v="1"/>
    <x v="0"/>
    <s v="FFTFIE3250"/>
    <n v="1"/>
    <s v=""/>
    <n v="0"/>
    <s v="FFTFIE3250RE"/>
    <n v="1"/>
    <s v=""/>
    <n v="0"/>
    <s v="E3"/>
    <s v="모자"/>
    <s v="FFT"/>
    <s v="FI"/>
    <x v="25"/>
    <s v="FFTFIE3250"/>
    <s v="FFTFIE3250RE"/>
    <x v="1"/>
    <n v="135"/>
    <n v="6615000"/>
    <n v="2706136.3636363633"/>
    <n v="2.2222222222222223"/>
    <n v="135"/>
    <n v="0"/>
  </r>
  <r>
    <x v="1"/>
    <x v="0"/>
    <s v="FFTFIE3240"/>
    <n v="1"/>
    <s v=""/>
    <n v="0"/>
    <s v="FFTFIE3240BK"/>
    <n v="1"/>
    <s v=""/>
    <n v="0"/>
    <s v="E3"/>
    <s v="모자"/>
    <s v="FFT"/>
    <s v="FI"/>
    <x v="25"/>
    <s v="FFTFIE3240"/>
    <s v="FFTFIE3240BK"/>
    <x v="1"/>
    <n v="35"/>
    <n v="1715000"/>
    <n v="701590.90909090906"/>
    <n v="2.2222222222222223"/>
    <n v="35"/>
    <n v="0"/>
  </r>
  <r>
    <x v="1"/>
    <x v="0"/>
    <s v="FFTFIE3251"/>
    <n v="1"/>
    <s v=""/>
    <n v="0"/>
    <s v="FFTFIE3251WH"/>
    <n v="1"/>
    <s v=""/>
    <n v="0"/>
    <s v="E3"/>
    <s v="모자"/>
    <s v="FFT"/>
    <s v="FI"/>
    <x v="25"/>
    <s v="FFTFIE3251"/>
    <s v="FFTFIE3251WH"/>
    <x v="1"/>
    <n v="15"/>
    <n v="735000"/>
    <n v="300681.81818181818"/>
    <n v="2.2222222222222223"/>
    <n v="15"/>
    <n v="0"/>
  </r>
  <r>
    <x v="0"/>
    <x v="0"/>
    <s v="FFTFIE3303"/>
    <n v="1"/>
    <s v=""/>
    <n v="0"/>
    <s v="FFTFIE3303RE"/>
    <n v="1"/>
    <s v=""/>
    <n v="0"/>
    <s v="E3"/>
    <s v="모자"/>
    <s v="FFT"/>
    <s v="FI"/>
    <x v="25"/>
    <s v="FFTFIE3303"/>
    <s v="FFTFIE3303RE"/>
    <x v="1"/>
    <n v="50"/>
    <n v="2450000"/>
    <n v="1002272.7272727272"/>
    <n v="2.2222222222222223"/>
    <n v="50"/>
    <n v="0"/>
  </r>
  <r>
    <x v="1"/>
    <x v="0"/>
    <s v="FFTFIE3241"/>
    <n v="1"/>
    <s v=""/>
    <n v="0"/>
    <s v="FFTFIE3241GY"/>
    <n v="1"/>
    <s v=""/>
    <n v="0"/>
    <s v="E3"/>
    <s v="모자"/>
    <s v="FFT"/>
    <s v="FI"/>
    <x v="25"/>
    <s v="FFTFIE3241"/>
    <s v="FFTFIE3241GY"/>
    <x v="1"/>
    <n v="35"/>
    <n v="1715000"/>
    <n v="701590.90909090906"/>
    <n v="2.2222222222222223"/>
    <n v="35"/>
    <n v="0"/>
  </r>
  <r>
    <x v="1"/>
    <x v="0"/>
    <s v="FFTFIE3231"/>
    <n v="1"/>
    <s v=""/>
    <n v="0"/>
    <s v="FFTFIE3231YE"/>
    <n v="1"/>
    <s v=""/>
    <n v="0"/>
    <s v="E3"/>
    <s v="모자"/>
    <s v="FFT"/>
    <s v="FI"/>
    <x v="25"/>
    <s v="FFTFIE3231"/>
    <s v="FFTFIE3231YE"/>
    <x v="1"/>
    <n v="85"/>
    <n v="4165000"/>
    <n v="1703863.6363636362"/>
    <n v="2.2222222222222223"/>
    <n v="85"/>
    <n v="0"/>
  </r>
  <r>
    <x v="1"/>
    <x v="0"/>
    <s v="FFTFIE3205"/>
    <n v="1"/>
    <s v=""/>
    <n v="0"/>
    <s v="FFTFIE3205RE"/>
    <n v="1"/>
    <s v=""/>
    <n v="0"/>
    <s v="E3"/>
    <s v="모자"/>
    <s v="FFT"/>
    <s v="FI"/>
    <x v="25"/>
    <s v="FFTFIE3205"/>
    <s v="FFTFIE3205RE"/>
    <x v="1"/>
    <n v="130"/>
    <n v="5850000"/>
    <n v="2393181.8181818179"/>
    <n v="2.2222222222222223"/>
    <n v="130"/>
    <n v="0"/>
  </r>
  <r>
    <x v="0"/>
    <x v="0"/>
    <s v="FFTFIE3304"/>
    <n v="1"/>
    <s v=""/>
    <n v="0"/>
    <s v="FFTFIE3304RE"/>
    <n v="1"/>
    <s v=""/>
    <n v="0"/>
    <s v="E3"/>
    <s v="모자"/>
    <s v="FFT"/>
    <s v="FI"/>
    <x v="25"/>
    <s v="FFTFIE3304"/>
    <s v="FFTFIE3304RE"/>
    <x v="1"/>
    <n v="80"/>
    <n v="3920000"/>
    <n v="1603636.3636363635"/>
    <n v="2.2222222222222223"/>
    <n v="80"/>
    <n v="0"/>
  </r>
  <r>
    <x v="0"/>
    <x v="0"/>
    <s v="FFTFIE3305"/>
    <n v="1"/>
    <s v=""/>
    <n v="0"/>
    <s v="FFTFIE3305BL"/>
    <n v="1"/>
    <s v=""/>
    <n v="0"/>
    <s v="E3"/>
    <s v="모자"/>
    <s v="FFT"/>
    <s v="FI"/>
    <x v="25"/>
    <s v="FFTFIE3305"/>
    <s v="FFTFIE3305BL"/>
    <x v="1"/>
    <n v="80"/>
    <n v="3920000"/>
    <n v="1603636.3636363635"/>
    <n v="2.2222222222222223"/>
    <n v="80"/>
    <n v="0"/>
  </r>
  <r>
    <x v="0"/>
    <x v="0"/>
    <s v="FFTFIE3306"/>
    <n v="1"/>
    <s v=""/>
    <n v="0"/>
    <s v="FFTFIE3306BK"/>
    <n v="1"/>
    <s v=""/>
    <n v="0"/>
    <s v="E3"/>
    <s v="모자"/>
    <s v="FFT"/>
    <s v="FI"/>
    <x v="25"/>
    <s v="FFTFIE3306"/>
    <s v="FFTFIE3306BK"/>
    <x v="1"/>
    <n v="30"/>
    <n v="1470000"/>
    <n v="601363.63636363635"/>
    <n v="2.2222222222222223"/>
    <n v="30"/>
    <n v="0"/>
  </r>
  <r>
    <x v="0"/>
    <x v="0"/>
    <s v="FFTFIE3307"/>
    <n v="1"/>
    <s v=""/>
    <n v="0"/>
    <s v="FFTFIE3307RE"/>
    <n v="1"/>
    <s v=""/>
    <n v="0"/>
    <s v="E3"/>
    <s v="모자"/>
    <s v="FFT"/>
    <s v="FI"/>
    <x v="25"/>
    <s v="FFTFIE3307"/>
    <s v="FFTFIE3307RE"/>
    <x v="1"/>
    <n v="30"/>
    <n v="1470000"/>
    <n v="601363.63636363635"/>
    <n v="2.2222222222222223"/>
    <n v="30"/>
    <n v="0"/>
  </r>
  <r>
    <x v="0"/>
    <x v="0"/>
    <s v="FFTFIE3308"/>
    <n v="1"/>
    <s v=""/>
    <n v="0"/>
    <s v="FFTFIE3308WH"/>
    <n v="1"/>
    <s v=""/>
    <n v="0"/>
    <s v="E3"/>
    <s v="모자"/>
    <s v="FFT"/>
    <s v="FI"/>
    <x v="25"/>
    <s v="FFTFIE3308"/>
    <s v="FFTFIE3308WH"/>
    <x v="1"/>
    <n v="30"/>
    <n v="1470000"/>
    <n v="601363.63636363635"/>
    <n v="2.2222222222222223"/>
    <n v="30"/>
    <n v="0"/>
  </r>
  <r>
    <x v="0"/>
    <x v="0"/>
    <s v="FFTFIE3309"/>
    <n v="1"/>
    <s v=""/>
    <n v="0"/>
    <s v="FFTFIE3309BK"/>
    <n v="1"/>
    <s v=""/>
    <n v="0"/>
    <s v="E3"/>
    <s v="모자"/>
    <s v="FFT"/>
    <s v="FI"/>
    <x v="25"/>
    <s v="FFTFIE3309"/>
    <s v="FFTFIE3309BK"/>
    <x v="1"/>
    <n v="30"/>
    <n v="1470000"/>
    <n v="601363.63636363635"/>
    <n v="2.2222222222222223"/>
    <n v="27"/>
    <n v="0"/>
  </r>
  <r>
    <x v="0"/>
    <x v="0"/>
    <s v="FFTFIE3310"/>
    <n v="1"/>
    <s v=""/>
    <n v="0"/>
    <s v="FFTFIE3310WH"/>
    <n v="1"/>
    <s v=""/>
    <n v="0"/>
    <s v="E3"/>
    <s v="모자"/>
    <s v="FFT"/>
    <s v="FI"/>
    <x v="25"/>
    <s v="FFTFIE3310"/>
    <s v="FFTFIE3310WH"/>
    <x v="1"/>
    <n v="30"/>
    <n v="1470000"/>
    <n v="601363.63636363635"/>
    <n v="2.2222222222222223"/>
    <n v="30"/>
    <n v="0"/>
  </r>
  <r>
    <x v="0"/>
    <x v="0"/>
    <s v="FFTFIE3312"/>
    <n v="1"/>
    <s v=""/>
    <n v="0"/>
    <s v="FFTFIE3312BK"/>
    <n v="1"/>
    <s v=""/>
    <n v="0"/>
    <s v="E3"/>
    <s v="모자"/>
    <s v="FFT"/>
    <s v="FI"/>
    <x v="25"/>
    <s v="FFTFIE3312"/>
    <s v="FFTFIE3312BK"/>
    <x v="1"/>
    <n v="150"/>
    <n v="7350000"/>
    <n v="3006818.1818181816"/>
    <n v="2.2222222222222223"/>
    <n v="150"/>
    <n v="0"/>
  </r>
  <r>
    <x v="0"/>
    <x v="0"/>
    <s v="FFTFIE3314"/>
    <n v="1"/>
    <s v=""/>
    <n v="0"/>
    <s v="FFTFIE3314NY"/>
    <n v="1"/>
    <s v=""/>
    <n v="0"/>
    <s v="E3"/>
    <s v="모자"/>
    <s v="FFT"/>
    <s v="FI"/>
    <x v="25"/>
    <s v="FFTFIE3314"/>
    <s v="FFTFIE3314NY"/>
    <x v="1"/>
    <n v="150"/>
    <n v="7350000"/>
    <n v="3006818.1818181816"/>
    <n v="2.2222222222222223"/>
    <n v="150"/>
    <n v="0"/>
  </r>
  <r>
    <x v="0"/>
    <x v="0"/>
    <s v="FFTFIE3315"/>
    <n v="1"/>
    <s v=""/>
    <n v="0"/>
    <s v="FFTFIE3315BK"/>
    <n v="1"/>
    <s v=""/>
    <n v="0"/>
    <s v="E3"/>
    <s v="모자"/>
    <s v="FFT"/>
    <s v="FI"/>
    <x v="25"/>
    <s v="FFTFIE3315"/>
    <s v="FFTFIE3315BK"/>
    <x v="1"/>
    <n v="30"/>
    <n v="1470000"/>
    <n v="601363.63636363635"/>
    <n v="2.2222222222222223"/>
    <n v="30"/>
    <n v="0"/>
  </r>
  <r>
    <x v="0"/>
    <x v="0"/>
    <s v="SMBBAE3359"/>
    <n v="1"/>
    <s v=""/>
    <n v="0"/>
    <s v="SMBBAE3359BK"/>
    <n v="1"/>
    <s v=""/>
    <n v="0"/>
    <s v="E3"/>
    <s v="모자"/>
    <s v="SMB"/>
    <s v="BA"/>
    <x v="13"/>
    <s v="SMBBAE3359"/>
    <s v="SMBBAE3359BK"/>
    <x v="0"/>
    <n v="1000"/>
    <n v="65000000"/>
    <n v="13500000"/>
    <n v="4.3771043771043763"/>
    <n v="0"/>
    <n v="1000"/>
  </r>
  <r>
    <x v="1"/>
    <x v="0"/>
    <s v="SMBBAE3222"/>
    <n v="1"/>
    <s v=""/>
    <n v="0"/>
    <s v="SMBBAE3222GY"/>
    <n v="1"/>
    <s v=""/>
    <n v="0"/>
    <s v="E3"/>
    <s v="모자"/>
    <s v="SMB"/>
    <s v="BA"/>
    <x v="13"/>
    <s v="SMBBAE3222"/>
    <s v="SMBBAE3222GY"/>
    <x v="0"/>
    <n v="700"/>
    <n v="34300000"/>
    <n v="4420325"/>
    <n v="7.0541913053493088"/>
    <n v="0"/>
    <n v="700"/>
  </r>
  <r>
    <x v="1"/>
    <x v="0"/>
    <s v="SMBFLE3203"/>
    <n v="1"/>
    <s v=""/>
    <n v="0"/>
    <s v="SMBFLE3203NY"/>
    <n v="1"/>
    <s v=""/>
    <n v="0"/>
    <s v="E3"/>
    <s v="모자"/>
    <s v="SMB"/>
    <s v="FL"/>
    <x v="13"/>
    <s v="SMBFLE3203"/>
    <s v="SMBFLE3203NY"/>
    <x v="0"/>
    <n v="700"/>
    <n v="30100000"/>
    <n v="4096925"/>
    <n v="6.6790669498798154"/>
    <n v="0"/>
    <n v="700"/>
  </r>
  <r>
    <x v="1"/>
    <x v="0"/>
    <s v="SMBFLE3205"/>
    <n v="1"/>
    <s v=""/>
    <n v="0"/>
    <s v="SMBFLE3205NY"/>
    <n v="1"/>
    <s v=""/>
    <n v="0"/>
    <s v="E3"/>
    <s v="모자"/>
    <s v="SMB"/>
    <s v="FL"/>
    <x v="13"/>
    <s v="SMBFLE3205"/>
    <s v="SMBFLE3205NY"/>
    <x v="0"/>
    <n v="700"/>
    <n v="30100000"/>
    <n v="4258625"/>
    <n v="6.4254627640697084"/>
    <n v="0"/>
    <n v="700"/>
  </r>
  <r>
    <x v="1"/>
    <x v="0"/>
    <s v="SMBFLE3208"/>
    <n v="1"/>
    <s v=""/>
    <n v="0"/>
    <s v="SMBFLE3208BK"/>
    <n v="1"/>
    <s v=""/>
    <n v="0"/>
    <s v="E3"/>
    <s v="모자"/>
    <s v="SMB"/>
    <s v="FL"/>
    <x v="13"/>
    <s v="SMBFLE3208"/>
    <s v="SMBFLE3208BK"/>
    <x v="0"/>
    <n v="300"/>
    <n v="12900000"/>
    <n v="1773149.9999999995"/>
    <n v="6.6138074766786401"/>
    <n v="0"/>
    <n v="300"/>
  </r>
  <r>
    <x v="1"/>
    <x v="0"/>
    <s v="SMBFLE3241"/>
    <n v="1"/>
    <s v=""/>
    <n v="0"/>
    <s v="SMBFLE3241BK"/>
    <n v="1"/>
    <s v=""/>
    <n v="0"/>
    <s v="E3"/>
    <s v="모자"/>
    <s v="SMB"/>
    <s v="FL"/>
    <x v="13"/>
    <s v="SMBFLE3241"/>
    <s v="SMBFLE3241BK"/>
    <x v="0"/>
    <n v="500"/>
    <n v="22500000"/>
    <n v="2810875"/>
    <n v="7.2769317221667453"/>
    <n v="0"/>
    <n v="500"/>
  </r>
  <r>
    <x v="1"/>
    <x v="0"/>
    <s v="ELSFIE3220"/>
    <n v="1"/>
    <s v=""/>
    <n v="0"/>
    <s v="ELSFIE3220GY"/>
    <n v="1"/>
    <s v=""/>
    <n v="0"/>
    <s v="E3"/>
    <s v="모자"/>
    <s v="ELS"/>
    <s v="FI"/>
    <x v="3"/>
    <s v="ELSFIE3220"/>
    <s v="ELSFIE3220GY"/>
    <x v="0"/>
    <n v="1000"/>
    <n v="59000000"/>
    <n v="7662337.6623376617"/>
    <n v="7"/>
    <n v="0"/>
    <n v="1000"/>
  </r>
  <r>
    <x v="1"/>
    <x v="0"/>
    <s v="ELSUME3014"/>
    <n v="0.5"/>
    <s v=""/>
    <n v="0"/>
    <s v="ELSUME3014YE"/>
    <n v="1"/>
    <s v=""/>
    <n v="0"/>
    <s v="E3"/>
    <s v="모자"/>
    <s v="ELS"/>
    <s v="UM"/>
    <x v="3"/>
    <s v="ELSUME3014"/>
    <s v="ELSUME3014YE"/>
    <x v="0"/>
    <n v="1000"/>
    <n v="45000000"/>
    <n v="5844155.8441558434"/>
    <n v="7"/>
    <n v="0"/>
    <n v="1000"/>
  </r>
  <r>
    <x v="1"/>
    <x v="0"/>
    <s v="HCUMIE3002"/>
    <n v="1"/>
    <s v=""/>
    <n v="0"/>
    <s v="HCUMIE3002KH"/>
    <n v="1"/>
    <s v=""/>
    <n v="0"/>
    <s v="E3"/>
    <s v="모자"/>
    <s v="HCU"/>
    <s v="MI"/>
    <x v="12"/>
    <s v="HCUMIE3002"/>
    <s v="HCUMIE3002KH"/>
    <x v="0"/>
    <n v="1000"/>
    <n v="45000000"/>
    <n v="6818181.8181818174"/>
    <n v="6"/>
    <n v="0"/>
    <n v="1000"/>
  </r>
  <r>
    <x v="0"/>
    <x v="1"/>
    <s v=""/>
    <n v="0"/>
    <s v="HCUMIE3302"/>
    <n v="1"/>
    <s v=""/>
    <n v="0"/>
    <s v="HCUMIE3302GY"/>
    <n v="1"/>
    <s v="E3"/>
    <s v="모자"/>
    <s v="HCU"/>
    <s v="MI"/>
    <x v="12"/>
    <s v="HCUMIE3302"/>
    <s v="HCUMIE3302GY"/>
    <x v="0"/>
    <n v="2000"/>
    <n v="70000000"/>
    <n v="10606060.606060605"/>
    <n v="5.9999999999999991"/>
    <n v="0"/>
    <n v="2000"/>
  </r>
  <r>
    <x v="1"/>
    <x v="0"/>
    <s v="JILMIE3152"/>
    <n v="0.2"/>
    <s v=""/>
    <n v="0"/>
    <s v="JILMIE3152KH"/>
    <n v="1"/>
    <s v=""/>
    <n v="0"/>
    <s v="E3"/>
    <s v="모자"/>
    <s v="JIL"/>
    <s v="MI"/>
    <x v="4"/>
    <s v="JILMIE3152"/>
    <s v="JILMIE3152KH"/>
    <x v="0"/>
    <n v="1000"/>
    <n v="45000000"/>
    <n v="6673590"/>
    <n v="6.1299976338209126"/>
    <n v="0"/>
    <n v="1000"/>
  </r>
  <r>
    <x v="1"/>
    <x v="0"/>
    <s v="JILMIE3152"/>
    <n v="0.2"/>
    <s v=""/>
    <n v="0"/>
    <s v="JILMIE3152NY"/>
    <n v="1"/>
    <s v=""/>
    <n v="0"/>
    <s v="E3"/>
    <s v="모자"/>
    <s v="JIL"/>
    <s v="MI"/>
    <x v="4"/>
    <s v="JILMIE3152"/>
    <s v="JILMIE3152NY"/>
    <x v="0"/>
    <n v="700"/>
    <n v="31500000"/>
    <n v="4671513"/>
    <n v="6.1299976338209126"/>
    <n v="0"/>
    <n v="700"/>
  </r>
  <r>
    <x v="0"/>
    <x v="1"/>
    <s v=""/>
    <n v="0"/>
    <s v="JILMIE3311"/>
    <n v="0.5"/>
    <s v=""/>
    <n v="0"/>
    <s v="JILMIE3311BK"/>
    <n v="1"/>
    <s v="E3"/>
    <s v="모자"/>
    <s v="JIL"/>
    <s v="MI"/>
    <x v="4"/>
    <s v="JILMIE3311"/>
    <s v="JILMIE3311BK"/>
    <x v="0"/>
    <n v="3000"/>
    <n v="87000000"/>
    <n v="14285178.000000002"/>
    <n v="5.5365714792569669"/>
    <n v="0"/>
    <n v="3000"/>
  </r>
  <r>
    <x v="0"/>
    <x v="1"/>
    <s v=""/>
    <n v="0"/>
    <s v="JILMIE3311"/>
    <n v="0.5"/>
    <s v=""/>
    <n v="0"/>
    <s v="JILMIE3311NY"/>
    <n v="1"/>
    <s v="E3"/>
    <s v="모자"/>
    <s v="JIL"/>
    <s v="MI"/>
    <x v="4"/>
    <s v="JILMIE3311"/>
    <s v="JILMIE3311NY"/>
    <x v="0"/>
    <n v="5000"/>
    <n v="145000000"/>
    <n v="22658630.000000004"/>
    <n v="5.8175706924108725"/>
    <n v="0"/>
    <n v="5000"/>
  </r>
  <r>
    <x v="0"/>
    <x v="1"/>
    <s v=""/>
    <n v="0"/>
    <s v="JILMIE3314"/>
    <n v="1"/>
    <s v=""/>
    <n v="0"/>
    <s v="JILMIE3314BK"/>
    <n v="1"/>
    <s v="E3"/>
    <s v="모자"/>
    <s v="JIL"/>
    <s v="MI"/>
    <x v="4"/>
    <s v="JILMIE3314"/>
    <s v="JILMIE3314BK"/>
    <x v="0"/>
    <n v="3000"/>
    <n v="87000000"/>
    <n v="15302178.000000002"/>
    <n v="5.1686046973776589"/>
    <n v="0"/>
    <n v="3000"/>
  </r>
  <r>
    <x v="0"/>
    <x v="1"/>
    <s v=""/>
    <n v="0"/>
    <s v="JILMIE3313"/>
    <n v="1"/>
    <s v=""/>
    <n v="0"/>
    <s v="JILMIE3313BK"/>
    <n v="1"/>
    <s v="E3"/>
    <s v="모자"/>
    <s v="JIL"/>
    <s v="MI"/>
    <x v="4"/>
    <s v="JILMIE3313"/>
    <s v="JILMIE3313BK"/>
    <x v="0"/>
    <n v="3500"/>
    <n v="101500000"/>
    <n v="22786715.000000004"/>
    <n v="4.049408932912324"/>
    <n v="0"/>
    <n v="3500"/>
  </r>
  <r>
    <x v="1"/>
    <x v="1"/>
    <s v=""/>
    <n v="0"/>
    <s v="VBLBAE3216"/>
    <n v="0.25"/>
    <s v=""/>
    <n v="0"/>
    <s v="VBLBAE3216BL"/>
    <n v="1"/>
    <s v="E3"/>
    <s v="모자"/>
    <s v="VBL"/>
    <s v="BA"/>
    <x v="10"/>
    <s v="VBLBAE3216"/>
    <s v="VBLBAE3216BL"/>
    <x v="0"/>
    <n v="1000"/>
    <n v="49000000"/>
    <n v="10020000"/>
    <n v="4.4456541462529486"/>
    <n v="0"/>
    <n v="1000"/>
  </r>
  <r>
    <x v="1"/>
    <x v="1"/>
    <s v=""/>
    <n v="0"/>
    <s v="BMDBAE3202"/>
    <n v="0.33333333333333331"/>
    <s v=""/>
    <n v="0"/>
    <s v="BMDBAE3202BK"/>
    <n v="1"/>
    <s v="E3"/>
    <s v="모자"/>
    <s v="BMD"/>
    <s v="BA"/>
    <x v="18"/>
    <s v="BMDBAE3202"/>
    <s v="BMDBAE3202BK"/>
    <x v="0"/>
    <n v="1000"/>
    <n v="55000000"/>
    <n v="9000000"/>
    <n v="5.5555555555555554"/>
    <n v="0"/>
    <n v="1000"/>
  </r>
  <r>
    <x v="1"/>
    <x v="1"/>
    <s v=""/>
    <n v="0"/>
    <s v="BMDBAE3202"/>
    <n v="0.33333333333333331"/>
    <s v=""/>
    <n v="0"/>
    <s v="BMDBAE3202PK"/>
    <n v="1"/>
    <s v="E3"/>
    <s v="모자"/>
    <s v="BMD"/>
    <s v="BA"/>
    <x v="18"/>
    <s v="BMDBAE3202"/>
    <s v="BMDBAE3202PK"/>
    <x v="0"/>
    <n v="2000"/>
    <n v="110000000"/>
    <n v="18000000"/>
    <n v="5.5555555555555554"/>
    <n v="0"/>
    <n v="2000"/>
  </r>
  <r>
    <x v="1"/>
    <x v="1"/>
    <s v=""/>
    <n v="0"/>
    <s v="BMDBAE3202"/>
    <n v="0.33333333333333331"/>
    <s v=""/>
    <n v="0"/>
    <s v="BMDBAE3202RE"/>
    <n v="1"/>
    <s v="E3"/>
    <s v="모자"/>
    <s v="BMD"/>
    <s v="BA"/>
    <x v="18"/>
    <s v="BMDBAE3202"/>
    <s v="BMDBAE3202RE"/>
    <x v="0"/>
    <n v="1000"/>
    <n v="55000000"/>
    <n v="9000000"/>
    <n v="5.5555555555555554"/>
    <n v="0"/>
    <n v="1000"/>
  </r>
  <r>
    <x v="1"/>
    <x v="0"/>
    <s v="ELSBPE3101"/>
    <n v="1"/>
    <s v=""/>
    <n v="0"/>
    <s v="ELSBPE3101BK"/>
    <n v="1"/>
    <s v=""/>
    <n v="0"/>
    <s v="E3"/>
    <s v="가방"/>
    <s v="ELS"/>
    <s v="BP"/>
    <x v="0"/>
    <s v="ELSBPE3101"/>
    <s v="ELSBPE3101BK"/>
    <x v="0"/>
    <n v="1000"/>
    <n v="139000000"/>
    <n v="25720000"/>
    <n v="4.9130496253357832"/>
    <n v="0"/>
    <n v="1000"/>
  </r>
  <r>
    <x v="1"/>
    <x v="1"/>
    <s v=""/>
    <n v="0"/>
    <s v="ELSBPE3601"/>
    <n v="1"/>
    <s v=""/>
    <n v="0"/>
    <s v="ELSBPE3601BK"/>
    <n v="1"/>
    <s v="E3"/>
    <s v="가방"/>
    <s v="ELS"/>
    <s v="BP"/>
    <x v="0"/>
    <s v="ELSBPE3601"/>
    <s v="ELSBPE3601BK"/>
    <x v="0"/>
    <n v="700"/>
    <n v="76300000"/>
    <n v="16044000"/>
    <n v="4.3233380929716008"/>
    <n v="0"/>
    <n v="700"/>
  </r>
  <r>
    <x v="1"/>
    <x v="0"/>
    <s v="ELSBPE3104"/>
    <n v="1"/>
    <s v=""/>
    <n v="0"/>
    <s v="ELSBPE3104BK"/>
    <n v="1"/>
    <s v=""/>
    <n v="0"/>
    <s v="E3"/>
    <s v="가방"/>
    <s v="ELS"/>
    <s v="BP"/>
    <x v="0"/>
    <s v="ELSBPE3104"/>
    <s v="ELSBPE3104BK"/>
    <x v="0"/>
    <n v="500"/>
    <n v="49500000"/>
    <n v="12510000"/>
    <n v="3.5971223021582728"/>
    <n v="0"/>
    <n v="500"/>
  </r>
  <r>
    <x v="1"/>
    <x v="0"/>
    <s v="ELSBPE3604"/>
    <n v="1"/>
    <s v=""/>
    <n v="0"/>
    <s v="ELSBPE3604BK"/>
    <n v="1"/>
    <s v=""/>
    <n v="0"/>
    <s v="E3"/>
    <s v="가방"/>
    <s v="ELS"/>
    <s v="BP"/>
    <x v="0"/>
    <s v="ELSBPE3604"/>
    <s v="ELSBPE3604BK"/>
    <x v="0"/>
    <n v="500"/>
    <n v="44500000"/>
    <n v="9510000"/>
    <n v="4.2538954210878499"/>
    <n v="0"/>
    <n v="500"/>
  </r>
  <r>
    <x v="1"/>
    <x v="0"/>
    <s v="ELSBPE3602"/>
    <n v="1"/>
    <s v=""/>
    <n v="0"/>
    <s v="ELSBPE3602YE"/>
    <n v="1"/>
    <s v=""/>
    <n v="0"/>
    <s v="E3"/>
    <s v="가방"/>
    <s v="ELS"/>
    <s v="BP"/>
    <x v="0"/>
    <s v="ELSBPE3602"/>
    <s v="ELSBPE3602YE"/>
    <x v="0"/>
    <n v="500"/>
    <n v="54500000"/>
    <n v="11460000"/>
    <n v="4.3233380929715999"/>
    <n v="0"/>
    <n v="500"/>
  </r>
  <r>
    <x v="1"/>
    <x v="0"/>
    <s v="ELSBPE3103"/>
    <n v="1"/>
    <s v=""/>
    <n v="0"/>
    <s v="ELSBPE3103GR"/>
    <n v="1"/>
    <s v=""/>
    <n v="0"/>
    <s v="E3"/>
    <s v="가방"/>
    <s v="ELS"/>
    <s v="BP"/>
    <x v="0"/>
    <s v="ELSBPE3103"/>
    <s v="ELSBPE3103GR"/>
    <x v="0"/>
    <n v="500"/>
    <n v="69500000"/>
    <n v="12860000"/>
    <n v="4.9130496253357832"/>
    <n v="0"/>
    <n v="500"/>
  </r>
  <r>
    <x v="1"/>
    <x v="0"/>
    <s v="ELSBPE3603"/>
    <n v="0.5"/>
    <s v=""/>
    <n v="0"/>
    <s v="ELSBPE3603GR"/>
    <n v="1"/>
    <s v=""/>
    <n v="0"/>
    <s v="E3"/>
    <s v="가방"/>
    <s v="ELS"/>
    <s v="BP"/>
    <x v="0"/>
    <s v="ELSBPE3603"/>
    <s v="ELSBPE3603GR"/>
    <x v="0"/>
    <n v="500"/>
    <n v="54500000"/>
    <n v="11460000"/>
    <n v="4.3233380929715999"/>
    <n v="0"/>
    <n v="500"/>
  </r>
  <r>
    <x v="1"/>
    <x v="1"/>
    <s v=""/>
    <n v="0"/>
    <s v="ELSBPE3603"/>
    <n v="1"/>
    <s v=""/>
    <n v="0"/>
    <s v="ELSBPE3603PK"/>
    <n v="1"/>
    <s v="E3"/>
    <s v="가방"/>
    <s v="ELS"/>
    <s v="BP"/>
    <x v="0"/>
    <s v="ELSBPE3603"/>
    <s v="ELSBPE3603PK"/>
    <x v="0"/>
    <n v="1000"/>
    <n v="109000000"/>
    <n v="22920000"/>
    <n v="4.3233380929715999"/>
    <n v="0"/>
    <n v="1000"/>
  </r>
  <r>
    <x v="1"/>
    <x v="0"/>
    <s v="ELSBPE3611"/>
    <n v="0.33333333333333331"/>
    <s v=""/>
    <n v="0"/>
    <s v="ELSBPE3611PK"/>
    <n v="1"/>
    <s v=""/>
    <n v="0"/>
    <s v="E3"/>
    <s v="가방"/>
    <s v="ELS"/>
    <s v="BP"/>
    <x v="0"/>
    <s v="ELSBPE3611"/>
    <s v="ELSBPE3611PK"/>
    <x v="0"/>
    <n v="500"/>
    <n v="49500000"/>
    <n v="10010000"/>
    <n v="4.4955044955044956"/>
    <n v="0"/>
    <n v="500"/>
  </r>
  <r>
    <x v="1"/>
    <x v="0"/>
    <s v="ELSBPE3704"/>
    <n v="1"/>
    <s v=""/>
    <n v="0"/>
    <s v="ELSBPE3704PK"/>
    <n v="1"/>
    <s v=""/>
    <n v="0"/>
    <s v="E3"/>
    <s v="가방"/>
    <s v="ELS"/>
    <s v="BP"/>
    <x v="0"/>
    <s v="ELSBPE3704"/>
    <s v="ELSBPE3704PK"/>
    <x v="0"/>
    <n v="500"/>
    <n v="49500000"/>
    <n v="11260000"/>
    <n v="3.9964476021314379"/>
    <n v="0"/>
    <n v="500"/>
  </r>
  <r>
    <x v="0"/>
    <x v="1"/>
    <s v=""/>
    <n v="0"/>
    <s v="ELSSBE3801"/>
    <n v="1"/>
    <s v=""/>
    <n v="0"/>
    <s v="ELSSBE3801BK"/>
    <n v="1"/>
    <s v="E3"/>
    <s v="가방"/>
    <s v="ELS"/>
    <s v="SB"/>
    <x v="0"/>
    <s v="ELSSBE3801"/>
    <s v="ELSSBE3801BK"/>
    <x v="0"/>
    <n v="500"/>
    <n v="22500000"/>
    <n v="5010000"/>
    <n v="4.0827436037016875"/>
    <n v="0"/>
    <n v="500"/>
  </r>
  <r>
    <x v="0"/>
    <x v="1"/>
    <s v=""/>
    <n v="0"/>
    <s v="ELSSBE3803"/>
    <n v="1"/>
    <s v=""/>
    <n v="0"/>
    <s v="ELSSBE3803PK"/>
    <n v="1"/>
    <s v="E3"/>
    <s v="가방"/>
    <s v="ELS"/>
    <s v="SB"/>
    <x v="0"/>
    <s v="ELSSBE3803"/>
    <s v="ELSSBE3803PK"/>
    <x v="0"/>
    <n v="500"/>
    <n v="22500000"/>
    <n v="5010000"/>
    <n v="4.0827436037016875"/>
    <n v="0"/>
    <n v="500"/>
  </r>
  <r>
    <x v="0"/>
    <x v="0"/>
    <s v="FFTFIE3319"/>
    <n v="1"/>
    <s v=""/>
    <n v="0"/>
    <s v="FFTFIE3319BL"/>
    <n v="1"/>
    <s v=""/>
    <n v="0"/>
    <s v="E3"/>
    <s v="모자"/>
    <s v="FFT"/>
    <s v="FI"/>
    <x v="25"/>
    <s v="FFTFIE3319"/>
    <s v="FFTFIE3319BL"/>
    <x v="1"/>
    <n v="300"/>
    <n v="14700000"/>
    <n v="6013636.3636363633"/>
    <n v="2.2222222222222223"/>
    <n v="300"/>
    <n v="0"/>
  </r>
  <r>
    <x v="0"/>
    <x v="0"/>
    <s v="FFTFIE3316"/>
    <n v="1"/>
    <s v=""/>
    <n v="0"/>
    <s v="FFTFIE3316BK"/>
    <n v="1"/>
    <s v=""/>
    <n v="0"/>
    <s v="E3"/>
    <s v="모자"/>
    <s v="FFT"/>
    <s v="FI"/>
    <x v="25"/>
    <s v="FFTFIE3316"/>
    <s v="FFTFIE3316BK"/>
    <x v="1"/>
    <n v="150"/>
    <n v="7350000"/>
    <n v="3006818.1818181816"/>
    <n v="2.2222222222222223"/>
    <n v="150"/>
    <n v="0"/>
  </r>
  <r>
    <x v="0"/>
    <x v="1"/>
    <s v=""/>
    <n v="0"/>
    <s v="FFTFIE3313"/>
    <n v="1"/>
    <s v=""/>
    <n v="0"/>
    <s v="FFTFIE3313WH"/>
    <n v="1"/>
    <s v="E3"/>
    <s v="모자"/>
    <s v="FFT"/>
    <s v="FI"/>
    <x v="25"/>
    <s v="FFTFIE3313"/>
    <s v="FFTFIE3313WH"/>
    <x v="1"/>
    <n v="50"/>
    <n v="2450000"/>
    <n v="1002272.7272727272"/>
    <n v="2.2222222222222223"/>
    <n v="50"/>
    <n v="0"/>
  </r>
  <r>
    <x v="0"/>
    <x v="0"/>
    <s v="FFTFIE3317"/>
    <n v="1"/>
    <s v=""/>
    <n v="0"/>
    <s v="FFTFIE3317BK"/>
    <n v="1"/>
    <s v=""/>
    <n v="0"/>
    <s v="E3"/>
    <s v="모자"/>
    <s v="FFT"/>
    <s v="FI"/>
    <x v="25"/>
    <s v="FFTFIE3317"/>
    <s v="FFTFIE3317BK"/>
    <x v="1"/>
    <n v="100"/>
    <n v="4900000"/>
    <n v="2004545.4545454544"/>
    <n v="2.2222222222222223"/>
    <n v="100"/>
    <n v="0"/>
  </r>
  <r>
    <x v="1"/>
    <x v="1"/>
    <s v=""/>
    <n v="0"/>
    <s v="FFTFIE3208"/>
    <n v="0.25"/>
    <s v=""/>
    <n v="0"/>
    <s v="FFTFIE3208WH"/>
    <n v="1"/>
    <s v="E3"/>
    <s v="모자"/>
    <s v="FFT"/>
    <s v="FI"/>
    <x v="25"/>
    <s v="FFTFIE3208"/>
    <s v="FFTFIE3208WH"/>
    <x v="1"/>
    <n v="100"/>
    <n v="4900000"/>
    <n v="2004545.4545454544"/>
    <n v="2.2222222222222223"/>
    <n v="100"/>
    <n v="0"/>
  </r>
  <r>
    <x v="1"/>
    <x v="1"/>
    <s v=""/>
    <n v="0"/>
    <s v="FFTFIE3208"/>
    <n v="0.25"/>
    <s v=""/>
    <n v="0"/>
    <s v="FFTFIE3208BK"/>
    <n v="0.5"/>
    <s v="E3"/>
    <s v="모자"/>
    <s v="FFT"/>
    <s v="FI"/>
    <x v="25"/>
    <s v="FFTFIE3208"/>
    <s v="FFTFIE3208BK"/>
    <x v="1"/>
    <n v="150"/>
    <n v="7350000"/>
    <n v="3006818.1818181816"/>
    <n v="2.2222222222222223"/>
    <n v="150"/>
    <n v="0"/>
  </r>
  <r>
    <x v="1"/>
    <x v="0"/>
    <s v="FFTFIE3238"/>
    <n v="1"/>
    <s v=""/>
    <n v="0"/>
    <s v="FFTFIE3238BK"/>
    <n v="1"/>
    <s v=""/>
    <n v="0"/>
    <s v="E3"/>
    <s v="모자"/>
    <s v="FFT"/>
    <s v="FI"/>
    <x v="25"/>
    <s v="FFTFIE3238"/>
    <s v="FFTFIE3238BK"/>
    <x v="1"/>
    <n v="150"/>
    <n v="7350000"/>
    <n v="3006818.1818181816"/>
    <n v="2.2222222222222223"/>
    <n v="150"/>
    <n v="0"/>
  </r>
  <r>
    <x v="1"/>
    <x v="1"/>
    <s v=""/>
    <n v="0"/>
    <s v="FFTFIE3209"/>
    <n v="0.5"/>
    <s v=""/>
    <n v="0"/>
    <s v="FFTFIE3209WH"/>
    <n v="1"/>
    <s v="E3"/>
    <s v="모자"/>
    <s v="FFT"/>
    <s v="FI"/>
    <x v="25"/>
    <s v="FFTFIE3209"/>
    <s v="FFTFIE3209WH"/>
    <x v="1"/>
    <n v="150"/>
    <n v="7350000"/>
    <n v="3006818.1818181816"/>
    <n v="2.2222222222222223"/>
    <n v="150"/>
    <n v="0"/>
  </r>
  <r>
    <x v="1"/>
    <x v="1"/>
    <s v=""/>
    <n v="0"/>
    <s v="FFTFIE3209"/>
    <n v="0.5"/>
    <s v=""/>
    <n v="0"/>
    <s v="FFTFIE3209BK"/>
    <n v="1"/>
    <s v="E3"/>
    <s v="모자"/>
    <s v="FFT"/>
    <s v="FI"/>
    <x v="25"/>
    <s v="FFTFIE3209"/>
    <s v="FFTFIE3209BK"/>
    <x v="1"/>
    <n v="150"/>
    <n v="7350000"/>
    <n v="3006818.1818181816"/>
    <n v="2.2222222222222223"/>
    <n v="150"/>
    <n v="0"/>
  </r>
  <r>
    <x v="1"/>
    <x v="1"/>
    <s v=""/>
    <n v="0"/>
    <s v="FFTFIE3225"/>
    <n v="1"/>
    <s v=""/>
    <n v="0"/>
    <s v="FFTFIE3225AR"/>
    <n v="1"/>
    <s v="E3"/>
    <s v="모자"/>
    <s v="FFT"/>
    <s v="FI"/>
    <x v="25"/>
    <s v="FFTFIE3225"/>
    <s v="FFTFIE3225AR"/>
    <x v="1"/>
    <n v="100"/>
    <n v="4900000"/>
    <n v="2004545.4545454544"/>
    <n v="2.2222222222222223"/>
    <n v="100"/>
    <n v="0"/>
  </r>
  <r>
    <x v="1"/>
    <x v="1"/>
    <s v=""/>
    <n v="0"/>
    <s v="FFTFIE3211"/>
    <n v="0.5"/>
    <s v=""/>
    <n v="0"/>
    <s v="FFTFIE3211RE"/>
    <n v="0.5"/>
    <s v="E3"/>
    <s v="모자"/>
    <s v="FFT"/>
    <s v="FI"/>
    <x v="25"/>
    <s v="FFTFIE3211"/>
    <s v="FFTFIE3211RE"/>
    <x v="1"/>
    <n v="80"/>
    <n v="3920000"/>
    <n v="1603636.3636363635"/>
    <n v="2.2222222222222223"/>
    <n v="80"/>
    <n v="0"/>
  </r>
  <r>
    <x v="0"/>
    <x v="1"/>
    <s v=""/>
    <n v="0"/>
    <s v="FFTFIE3311"/>
    <n v="1"/>
    <s v=""/>
    <n v="0"/>
    <s v="FFTFIE3311BL"/>
    <n v="1"/>
    <s v="E3"/>
    <s v="모자"/>
    <s v="FFT"/>
    <s v="FI"/>
    <x v="25"/>
    <s v="FFTFIE3311"/>
    <s v="FFTFIE3311BL"/>
    <x v="1"/>
    <n v="200"/>
    <n v="9800000"/>
    <n v="4009090.9090909087"/>
    <n v="2.2222222222222223"/>
    <n v="200"/>
    <n v="0"/>
  </r>
  <r>
    <x v="1"/>
    <x v="1"/>
    <s v=""/>
    <n v="0"/>
    <s v="FFTFIE3235"/>
    <n v="0.5"/>
    <s v=""/>
    <n v="0"/>
    <s v="FFTFIE3235NY"/>
    <n v="0.5"/>
    <s v="E3"/>
    <s v="모자"/>
    <s v="FFT"/>
    <s v="FI"/>
    <x v="25"/>
    <s v="FFTFIE3235"/>
    <s v="FFTFIE3235NY"/>
    <x v="1"/>
    <n v="200"/>
    <n v="9800000"/>
    <n v="4009090.9090909087"/>
    <n v="2.2222222222222223"/>
    <n v="200"/>
    <n v="0"/>
  </r>
  <r>
    <x v="1"/>
    <x v="1"/>
    <s v=""/>
    <n v="0"/>
    <s v="FFTFIE3234"/>
    <n v="0.5"/>
    <s v=""/>
    <n v="0"/>
    <s v="FFTFIE3234RE"/>
    <n v="0.5"/>
    <s v="E3"/>
    <s v="모자"/>
    <s v="FFT"/>
    <s v="FI"/>
    <x v="25"/>
    <s v="FFTFIE3234"/>
    <s v="FFTFIE3234RE"/>
    <x v="1"/>
    <n v="100"/>
    <n v="4900000"/>
    <n v="2004545.4545454544"/>
    <n v="2.2222222222222223"/>
    <n v="100"/>
    <n v="0"/>
  </r>
  <r>
    <x v="1"/>
    <x v="1"/>
    <s v=""/>
    <n v="0"/>
    <s v="FFTFIE3228"/>
    <n v="1"/>
    <s v=""/>
    <n v="0"/>
    <s v="FFTFIE3228BK"/>
    <n v="1"/>
    <s v="E3"/>
    <s v="모자"/>
    <s v="FFT"/>
    <s v="FI"/>
    <x v="25"/>
    <s v="FFTFIE3228"/>
    <s v="FFTFIE3228BK"/>
    <x v="1"/>
    <n v="200"/>
    <n v="9800000"/>
    <n v="4009090.9090909087"/>
    <n v="2.2222222222222223"/>
    <n v="200"/>
    <n v="0"/>
  </r>
  <r>
    <x v="1"/>
    <x v="1"/>
    <s v=""/>
    <n v="0"/>
    <s v="FFTFIE3229"/>
    <n v="1"/>
    <s v=""/>
    <n v="0"/>
    <s v="FFTFIE3229WH"/>
    <n v="1"/>
    <s v="E3"/>
    <s v="모자"/>
    <s v="FFT"/>
    <s v="FI"/>
    <x v="25"/>
    <s v="FFTFIE3229"/>
    <s v="FFTFIE3229WH"/>
    <x v="1"/>
    <n v="150"/>
    <n v="7350000"/>
    <n v="3006818.1818181816"/>
    <n v="2.2222222222222223"/>
    <n v="120"/>
    <n v="0"/>
  </r>
  <r>
    <x v="1"/>
    <x v="1"/>
    <s v=""/>
    <n v="0"/>
    <s v="FFTFIE3243"/>
    <n v="0.5"/>
    <s v=""/>
    <n v="0"/>
    <s v="FFTFIE3243BK"/>
    <n v="0.5"/>
    <s v="E3"/>
    <s v="모자"/>
    <s v="FFT"/>
    <s v="FI"/>
    <x v="25"/>
    <s v="FFTFIE3243"/>
    <s v="FFTFIE3243BK"/>
    <x v="1"/>
    <n v="100"/>
    <n v="5900000"/>
    <n v="2413636.3636363638"/>
    <n v="2.2222222222222219"/>
    <n v="100"/>
    <n v="0"/>
  </r>
  <r>
    <x v="1"/>
    <x v="0"/>
    <s v="FFTFIE3244"/>
    <n v="1"/>
    <s v=""/>
    <n v="0"/>
    <s v="FFTFIE3244BK"/>
    <n v="1"/>
    <s v=""/>
    <n v="0"/>
    <s v="E3"/>
    <s v="모자"/>
    <s v="FFT"/>
    <s v="FI"/>
    <x v="25"/>
    <s v="FFTFIE3244"/>
    <s v="FFTFIE3244BK"/>
    <x v="1"/>
    <n v="200"/>
    <n v="9800000"/>
    <n v="4009090.9090909087"/>
    <n v="2.2222222222222223"/>
    <n v="200"/>
    <n v="0"/>
  </r>
  <r>
    <x v="1"/>
    <x v="1"/>
    <s v=""/>
    <n v="0"/>
    <s v="FFTFIE3240"/>
    <n v="1"/>
    <s v=""/>
    <n v="0"/>
    <s v="FFTFIE3240BK"/>
    <n v="1"/>
    <s v="E3"/>
    <s v="모자"/>
    <s v="FFT"/>
    <s v="FI"/>
    <x v="25"/>
    <s v="FFTFIE3240"/>
    <s v="FFTFIE3240BK"/>
    <x v="1"/>
    <n v="80"/>
    <n v="3920000"/>
    <n v="1603636.3636363635"/>
    <n v="2.2222222222222223"/>
    <n v="80"/>
    <n v="0"/>
  </r>
  <r>
    <x v="1"/>
    <x v="1"/>
    <s v=""/>
    <n v="0"/>
    <s v="FFTFIE3251"/>
    <n v="1"/>
    <s v=""/>
    <n v="0"/>
    <s v="FFTFIE3251WH"/>
    <n v="1"/>
    <s v="E3"/>
    <s v="모자"/>
    <s v="FFT"/>
    <s v="FI"/>
    <x v="25"/>
    <s v="FFTFIE3251"/>
    <s v="FFTFIE3251WH"/>
    <x v="1"/>
    <n v="100"/>
    <n v="4900000"/>
    <n v="2004545.4545454544"/>
    <n v="2.2222222222222223"/>
    <n v="100"/>
    <n v="0"/>
  </r>
  <r>
    <x v="1"/>
    <x v="1"/>
    <s v=""/>
    <n v="0"/>
    <s v="FFTFIE3241"/>
    <n v="1"/>
    <s v=""/>
    <n v="0"/>
    <s v="FFTFIE3241GY"/>
    <n v="1"/>
    <s v="E3"/>
    <s v="모자"/>
    <s v="FFT"/>
    <s v="FI"/>
    <x v="25"/>
    <s v="FFTFIE3241"/>
    <s v="FFTFIE3241GY"/>
    <x v="1"/>
    <n v="80"/>
    <n v="3920000"/>
    <n v="1603636.3636363635"/>
    <n v="2.2222222222222223"/>
    <n v="80"/>
    <n v="0"/>
  </r>
  <r>
    <x v="0"/>
    <x v="0"/>
    <s v="FFTFIE3318"/>
    <n v="1"/>
    <s v=""/>
    <n v="0"/>
    <s v="FFTFIE3318BL"/>
    <n v="1"/>
    <s v=""/>
    <n v="0"/>
    <s v="E3"/>
    <s v="모자"/>
    <s v="FFT"/>
    <s v="FI"/>
    <x v="25"/>
    <s v="FFTFIE3318"/>
    <s v="FFTFIE3318BL"/>
    <x v="1"/>
    <n v="50"/>
    <n v="2450000"/>
    <n v="1002272.7272727272"/>
    <n v="2.2222222222222223"/>
    <n v="50"/>
    <n v="0"/>
  </r>
  <r>
    <x v="1"/>
    <x v="1"/>
    <s v=""/>
    <n v="0"/>
    <s v="FFTFIE3231"/>
    <n v="1"/>
    <s v=""/>
    <n v="0"/>
    <s v="FFTFIE3231YE"/>
    <n v="1"/>
    <s v="E3"/>
    <s v="모자"/>
    <s v="FFT"/>
    <s v="FI"/>
    <x v="25"/>
    <s v="FFTFIE3231"/>
    <s v="FFTFIE3231YE"/>
    <x v="1"/>
    <n v="80"/>
    <n v="3920000"/>
    <n v="1603636.3636363635"/>
    <n v="2.2222222222222223"/>
    <n v="80"/>
    <n v="0"/>
  </r>
  <r>
    <x v="1"/>
    <x v="1"/>
    <s v=""/>
    <n v="0"/>
    <s v="FFTFIE3205"/>
    <n v="1"/>
    <s v=""/>
    <n v="0"/>
    <s v="FFTFIE3205RE"/>
    <n v="1"/>
    <s v="E3"/>
    <s v="모자"/>
    <s v="FFT"/>
    <s v="FI"/>
    <x v="25"/>
    <s v="FFTFIE3205"/>
    <s v="FFTFIE3205RE"/>
    <x v="1"/>
    <n v="50"/>
    <n v="2250000"/>
    <n v="920454.54545454541"/>
    <n v="2.2222222222222223"/>
    <n v="50"/>
    <n v="0"/>
  </r>
  <r>
    <x v="0"/>
    <x v="0"/>
    <s v="FFTFIE3320"/>
    <n v="1"/>
    <s v=""/>
    <n v="0"/>
    <s v="FFTFIE3320GY"/>
    <n v="1"/>
    <s v=""/>
    <n v="0"/>
    <s v="E3"/>
    <s v="모자"/>
    <s v="FFT"/>
    <s v="FI"/>
    <x v="25"/>
    <s v="FFTFIE3320"/>
    <s v="FFTFIE3320GY"/>
    <x v="1"/>
    <n v="150"/>
    <n v="7350000"/>
    <n v="3006818.1818181816"/>
    <n v="2.2222222222222223"/>
    <n v="150"/>
    <n v="0"/>
  </r>
  <r>
    <x v="1"/>
    <x v="0"/>
    <s v="SMBBAE3229"/>
    <n v="1"/>
    <s v=""/>
    <n v="0"/>
    <s v="SMBBAE3229NY"/>
    <n v="1"/>
    <s v=""/>
    <n v="0"/>
    <s v="E3"/>
    <s v="모자"/>
    <s v="SMB"/>
    <s v="BA"/>
    <x v="13"/>
    <s v="SMBBAE3229"/>
    <s v="SMBBAE3229NY"/>
    <x v="0"/>
    <n v="1000"/>
    <n v="49000000"/>
    <n v="6363636.3636363633"/>
    <n v="7"/>
    <n v="0"/>
    <n v="1000"/>
  </r>
  <r>
    <x v="1"/>
    <x v="0"/>
    <s v="SMBBAE3230"/>
    <n v="1"/>
    <s v=""/>
    <n v="0"/>
    <s v="SMBBAE3230PK"/>
    <n v="1"/>
    <s v=""/>
    <n v="0"/>
    <s v="E3"/>
    <s v="모자"/>
    <s v="SMB"/>
    <s v="BA"/>
    <x v="13"/>
    <s v="SMBBAE3230"/>
    <s v="SMBBAE3230PK"/>
    <x v="0"/>
    <n v="500"/>
    <n v="24500000"/>
    <n v="3181818.1818181816"/>
    <n v="7"/>
    <n v="0"/>
    <n v="500"/>
  </r>
  <r>
    <x v="1"/>
    <x v="0"/>
    <s v="SMBFIE3708"/>
    <n v="1"/>
    <s v=""/>
    <n v="0"/>
    <s v="SMBFIE3708NY"/>
    <n v="1"/>
    <s v=""/>
    <n v="0"/>
    <s v="E3"/>
    <s v="모자"/>
    <s v="SMB"/>
    <s v="FI"/>
    <x v="13"/>
    <s v="SMBFIE3708"/>
    <s v="SMBFIE3708NY"/>
    <x v="0"/>
    <n v="1000"/>
    <n v="43000000"/>
    <n v="5584415.5844155839"/>
    <n v="7"/>
    <n v="0"/>
    <n v="1000"/>
  </r>
  <r>
    <x v="1"/>
    <x v="0"/>
    <s v="SMBFIE3709"/>
    <n v="1"/>
    <s v=""/>
    <n v="0"/>
    <s v="SMBFIE3709PK"/>
    <n v="1"/>
    <s v=""/>
    <n v="0"/>
    <s v="E3"/>
    <s v="모자"/>
    <s v="SMB"/>
    <s v="FI"/>
    <x v="13"/>
    <s v="SMBFIE3709"/>
    <s v="SMBFIE3709PK"/>
    <x v="0"/>
    <n v="700"/>
    <n v="30100000"/>
    <n v="3909090.9090909087"/>
    <n v="7"/>
    <n v="0"/>
    <n v="700"/>
  </r>
  <r>
    <x v="0"/>
    <x v="0"/>
    <s v="SMBFIE5360"/>
    <n v="1"/>
    <s v=""/>
    <n v="0"/>
    <s v="SMBFIE5360YE"/>
    <n v="1"/>
    <s v=""/>
    <n v="0"/>
    <s v="E5"/>
    <s v="모자"/>
    <s v="SMB"/>
    <s v="FI"/>
    <x v="13"/>
    <s v="SMBFIE5360"/>
    <s v="SMBFIE5360YE"/>
    <x v="0"/>
    <n v="1000"/>
    <n v="49000000"/>
    <n v="4949494.9494949495"/>
    <n v="9"/>
    <n v="0"/>
    <n v="1000"/>
  </r>
  <r>
    <x v="0"/>
    <x v="0"/>
    <s v="SMBFIE5860"/>
    <n v="1"/>
    <s v=""/>
    <n v="0"/>
    <s v="SMBFIE5860YE"/>
    <n v="1"/>
    <s v=""/>
    <n v="0"/>
    <s v="E5"/>
    <s v="모자"/>
    <s v="SMB"/>
    <s v="FI"/>
    <x v="13"/>
    <s v="SMBFIE5860"/>
    <s v="SMBFIE5860YE"/>
    <x v="0"/>
    <n v="1000"/>
    <n v="45000000"/>
    <n v="4545454.5454545449"/>
    <n v="9"/>
    <n v="0"/>
    <n v="1000"/>
  </r>
  <r>
    <x v="0"/>
    <x v="0"/>
    <s v="SMBFIE3361"/>
    <n v="1"/>
    <s v=""/>
    <n v="0"/>
    <s v="SMBFIE3361NY"/>
    <n v="1"/>
    <s v=""/>
    <n v="0"/>
    <s v="E3"/>
    <s v="모자"/>
    <s v="SMB"/>
    <s v="FI"/>
    <x v="13"/>
    <s v="SMBFIE3361"/>
    <s v="SMBFIE3361NY"/>
    <x v="0"/>
    <n v="1000"/>
    <n v="59000000"/>
    <n v="5959595.9595959596"/>
    <n v="9"/>
    <n v="0"/>
    <n v="1000"/>
  </r>
  <r>
    <x v="0"/>
    <x v="0"/>
    <s v="SMBFIE3861"/>
    <n v="1"/>
    <s v=""/>
    <n v="0"/>
    <s v="SMBFIE3861NY"/>
    <n v="1"/>
    <s v=""/>
    <n v="0"/>
    <s v="E3"/>
    <s v="모자"/>
    <s v="SMB"/>
    <s v="FI"/>
    <x v="13"/>
    <s v="SMBFIE3861"/>
    <s v="SMBFIE3861NY"/>
    <x v="0"/>
    <n v="1000"/>
    <n v="55000000"/>
    <n v="5555555.555555555"/>
    <n v="9"/>
    <n v="0"/>
    <n v="1000"/>
  </r>
  <r>
    <x v="0"/>
    <x v="0"/>
    <s v="SMBFIE3362"/>
    <n v="1"/>
    <s v=""/>
    <n v="0"/>
    <s v="SMBFIE3362NY"/>
    <n v="1"/>
    <s v=""/>
    <n v="0"/>
    <s v="E3"/>
    <s v="모자"/>
    <s v="SMB"/>
    <s v="FI"/>
    <x v="13"/>
    <s v="SMBFIE3362"/>
    <s v="SMBFIE3362NY"/>
    <x v="0"/>
    <n v="1000"/>
    <n v="49000000"/>
    <n v="4949494.9494949495"/>
    <n v="9"/>
    <n v="0"/>
    <n v="1000"/>
  </r>
  <r>
    <x v="0"/>
    <x v="0"/>
    <s v="ELSBEE5338"/>
    <n v="1"/>
    <s v=""/>
    <n v="0"/>
    <s v="ELSBEE5338MT"/>
    <n v="1"/>
    <s v=""/>
    <n v="0"/>
    <s v="E5"/>
    <s v="모자"/>
    <s v="ELS"/>
    <s v="BE"/>
    <x v="3"/>
    <s v="ELSBEE5338"/>
    <s v="ELSBEE5338MT"/>
    <x v="0"/>
    <n v="700"/>
    <n v="34300000"/>
    <n v="5196969.6969696973"/>
    <n v="6"/>
    <n v="0"/>
    <n v="700"/>
  </r>
  <r>
    <x v="0"/>
    <x v="0"/>
    <s v="ELSBEE5838"/>
    <n v="1"/>
    <s v=""/>
    <n v="0"/>
    <s v="ELSBEE5838MT"/>
    <n v="1"/>
    <s v=""/>
    <n v="0"/>
    <s v="E5"/>
    <s v="모자"/>
    <s v="ELS"/>
    <s v="BE"/>
    <x v="3"/>
    <s v="ELSBEE5838"/>
    <s v="ELSBEE5838MT"/>
    <x v="0"/>
    <n v="700"/>
    <n v="31500000"/>
    <n v="4772727.2727272715"/>
    <n v="6.0000000000000009"/>
    <n v="0"/>
    <n v="700"/>
  </r>
  <r>
    <x v="0"/>
    <x v="0"/>
    <s v="ELSBEE5339"/>
    <n v="1"/>
    <s v=""/>
    <n v="0"/>
    <s v="ELSBEE5339BL"/>
    <n v="1"/>
    <s v=""/>
    <n v="0"/>
    <s v="E5"/>
    <s v="모자"/>
    <s v="ELS"/>
    <s v="BE"/>
    <x v="3"/>
    <s v="ELSBEE5339"/>
    <s v="ELSBEE5339BL"/>
    <x v="0"/>
    <n v="500"/>
    <n v="19500000"/>
    <n v="2954545.4545454541"/>
    <n v="6"/>
    <n v="0"/>
    <n v="500"/>
  </r>
  <r>
    <x v="0"/>
    <x v="0"/>
    <s v="ELSBEE5839"/>
    <n v="1"/>
    <s v=""/>
    <n v="0"/>
    <s v="ELSBEE5839BL"/>
    <n v="1"/>
    <s v=""/>
    <n v="0"/>
    <s v="E5"/>
    <s v="모자"/>
    <s v="ELS"/>
    <s v="BE"/>
    <x v="3"/>
    <s v="ELSBEE5839"/>
    <s v="ELSBEE5839BL"/>
    <x v="0"/>
    <n v="500"/>
    <n v="17500000"/>
    <n v="2651515.1515151514"/>
    <n v="5.9999999999999991"/>
    <n v="0"/>
    <n v="500"/>
  </r>
  <r>
    <x v="0"/>
    <x v="0"/>
    <s v="ELSEBE5340"/>
    <n v="1"/>
    <s v=""/>
    <n v="0"/>
    <s v="ELSEBE5340PK"/>
    <n v="1"/>
    <s v=""/>
    <n v="0"/>
    <s v="E5"/>
    <s v="모자"/>
    <s v="ELS"/>
    <s v="EB"/>
    <x v="3"/>
    <s v="ELSEBE5340"/>
    <s v="ELSEBE5340PK"/>
    <x v="0"/>
    <n v="700"/>
    <n v="34300000"/>
    <n v="5196969.6969696973"/>
    <n v="6"/>
    <n v="0"/>
    <n v="700"/>
  </r>
  <r>
    <x v="0"/>
    <x v="0"/>
    <s v="ELSEBE5840"/>
    <n v="1"/>
    <s v=""/>
    <n v="0"/>
    <s v="ELSEBE5840PK"/>
    <n v="1"/>
    <s v=""/>
    <n v="0"/>
    <s v="E5"/>
    <s v="모자"/>
    <s v="ELS"/>
    <s v="EB"/>
    <x v="3"/>
    <s v="ELSEBE5840"/>
    <s v="ELSEBE5840PK"/>
    <x v="0"/>
    <n v="700"/>
    <n v="31500000"/>
    <n v="4772727.2727272715"/>
    <n v="6.0000000000000009"/>
    <n v="0"/>
    <n v="700"/>
  </r>
  <r>
    <x v="0"/>
    <x v="0"/>
    <s v="SMBBEE5363"/>
    <n v="1"/>
    <s v=""/>
    <n v="0"/>
    <s v="SMBBEE5363RE"/>
    <n v="1"/>
    <s v=""/>
    <n v="0"/>
    <s v="E5"/>
    <s v="모자"/>
    <s v="SMB"/>
    <s v="BE"/>
    <x v="13"/>
    <s v="SMBBEE5363"/>
    <s v="SMBBEE5363RE"/>
    <x v="0"/>
    <n v="500"/>
    <n v="24500000"/>
    <n v="3181818.1818181816"/>
    <n v="7"/>
    <n v="0"/>
    <n v="500"/>
  </r>
  <r>
    <x v="0"/>
    <x v="0"/>
    <s v="SMBBEE5863"/>
    <n v="1"/>
    <s v=""/>
    <n v="0"/>
    <s v="SMBBEE5863RE"/>
    <n v="1"/>
    <s v=""/>
    <n v="0"/>
    <s v="E5"/>
    <s v="모자"/>
    <s v="SMB"/>
    <s v="BE"/>
    <x v="13"/>
    <s v="SMBBEE5863"/>
    <s v="SMBBEE5863RE"/>
    <x v="0"/>
    <n v="700"/>
    <n v="31500000"/>
    <n v="4090909.0909090904"/>
    <n v="7"/>
    <n v="0"/>
    <n v="700"/>
  </r>
  <r>
    <x v="0"/>
    <x v="0"/>
    <s v="SMBFLE3314"/>
    <n v="1"/>
    <s v=""/>
    <n v="0"/>
    <s v="SMBFLE3314BU"/>
    <n v="1"/>
    <s v=""/>
    <n v="0"/>
    <s v="E3"/>
    <s v="모자"/>
    <s v="SMB"/>
    <s v="FL"/>
    <x v="13"/>
    <s v="SMBFLE3314"/>
    <s v="SMBFLE3314BU"/>
    <x v="0"/>
    <n v="700"/>
    <n v="31500000"/>
    <n v="5133974.9999999991"/>
    <n v="5.577815169797991"/>
    <n v="0"/>
    <n v="700"/>
  </r>
  <r>
    <x v="0"/>
    <x v="0"/>
    <s v="SMBFLE3814"/>
    <n v="1"/>
    <s v=""/>
    <n v="0"/>
    <s v="SMBFLE3814BU"/>
    <n v="1"/>
    <s v=""/>
    <n v="0"/>
    <s v="E3"/>
    <s v="모자"/>
    <s v="SMB"/>
    <s v="FL"/>
    <x v="13"/>
    <s v="SMBFLE3814"/>
    <s v="SMBFLE3814BU"/>
    <x v="0"/>
    <n v="500"/>
    <n v="21500000"/>
    <n v="3667124.9999999995"/>
    <n v="5.3299122733625239"/>
    <n v="0"/>
    <n v="500"/>
  </r>
  <r>
    <x v="0"/>
    <x v="0"/>
    <s v="SMBFLE3315"/>
    <n v="1"/>
    <s v=""/>
    <n v="0"/>
    <s v="SMBFLE3315RE"/>
    <n v="1"/>
    <s v=""/>
    <n v="0"/>
    <s v="E3"/>
    <s v="모자"/>
    <s v="SMB"/>
    <s v="FL"/>
    <x v="13"/>
    <s v="SMBFLE3315"/>
    <s v="SMBFLE3315RE"/>
    <x v="0"/>
    <n v="700"/>
    <n v="31500000"/>
    <n v="4931850"/>
    <n v="5.8064141521667603"/>
    <n v="0"/>
    <n v="700"/>
  </r>
  <r>
    <x v="0"/>
    <x v="0"/>
    <s v="SMBFLE3815"/>
    <n v="1"/>
    <s v=""/>
    <n v="0"/>
    <s v="SMBFLE3815RE"/>
    <n v="1"/>
    <s v=""/>
    <n v="0"/>
    <s v="E3"/>
    <s v="모자"/>
    <s v="SMB"/>
    <s v="FL"/>
    <x v="13"/>
    <s v="SMBFLE3815"/>
    <s v="SMBFLE3815RE"/>
    <x v="0"/>
    <n v="500"/>
    <n v="21500000"/>
    <n v="3522750"/>
    <n v="5.5483513009593484"/>
    <n v="0"/>
    <n v="500"/>
  </r>
  <r>
    <x v="0"/>
    <x v="0"/>
    <s v="SMBFLE3316"/>
    <n v="1"/>
    <s v=""/>
    <n v="0"/>
    <s v="SMBFLE3316BU"/>
    <n v="1"/>
    <s v=""/>
    <n v="0"/>
    <s v="E3"/>
    <s v="모자"/>
    <s v="SMB"/>
    <s v="FL"/>
    <x v="13"/>
    <s v="SMBFLE3316"/>
    <s v="SMBFLE3316BU"/>
    <x v="0"/>
    <n v="700"/>
    <n v="31500000"/>
    <n v="4648875.0000000009"/>
    <n v="6.1598480570812564"/>
    <n v="0"/>
    <n v="700"/>
  </r>
  <r>
    <x v="0"/>
    <x v="0"/>
    <s v="SMBFLE3816"/>
    <n v="1"/>
    <s v=""/>
    <n v="0"/>
    <s v="SMBFLE3816BU"/>
    <n v="1"/>
    <s v=""/>
    <n v="0"/>
    <s v="E3"/>
    <s v="모자"/>
    <s v="SMB"/>
    <s v="FL"/>
    <x v="13"/>
    <s v="SMBFLE3816"/>
    <s v="SMBFLE3816BU"/>
    <x v="0"/>
    <n v="500"/>
    <n v="21500000"/>
    <n v="3320625.0000000005"/>
    <n v="5.8860770323220901"/>
    <n v="0"/>
    <n v="500"/>
  </r>
  <r>
    <x v="0"/>
    <x v="0"/>
    <s v="SMBFLE3317"/>
    <n v="1"/>
    <s v=""/>
    <n v="0"/>
    <s v="SMBFLE3317BL"/>
    <n v="1"/>
    <s v=""/>
    <n v="0"/>
    <s v="E3"/>
    <s v="모자"/>
    <s v="SMB"/>
    <s v="FL"/>
    <x v="13"/>
    <s v="SMBFLE3317"/>
    <s v="SMBFLE3317BL"/>
    <x v="0"/>
    <n v="700"/>
    <n v="31500000"/>
    <n v="4729725"/>
    <n v="6.0545515090969637"/>
    <n v="0"/>
    <n v="700"/>
  </r>
  <r>
    <x v="0"/>
    <x v="0"/>
    <s v="SMBFLE3318"/>
    <n v="1"/>
    <s v=""/>
    <n v="0"/>
    <s v="SMBFLE3318BK"/>
    <n v="1"/>
    <s v=""/>
    <n v="0"/>
    <s v="E3"/>
    <s v="모자"/>
    <s v="SMB"/>
    <s v="FL"/>
    <x v="13"/>
    <s v="SMBFLE3318"/>
    <s v="SMBFLE3318BK"/>
    <x v="0"/>
    <n v="800"/>
    <n v="36000000"/>
    <n v="5728800.0000000009"/>
    <n v="5.7127623110027788"/>
    <n v="0"/>
    <n v="800"/>
  </r>
  <r>
    <x v="0"/>
    <x v="0"/>
    <s v="SMBFLE3319"/>
    <n v="1"/>
    <s v=""/>
    <n v="0"/>
    <s v="SMBFLE3319NY"/>
    <n v="1"/>
    <s v=""/>
    <n v="0"/>
    <s v="E3"/>
    <s v="모자"/>
    <s v="SMB"/>
    <s v="FL"/>
    <x v="13"/>
    <s v="SMBFLE3319"/>
    <s v="SMBFLE3319NY"/>
    <x v="0"/>
    <n v="800"/>
    <n v="36000000"/>
    <n v="6098400"/>
    <n v="5.3665342921541264"/>
    <n v="0"/>
    <n v="800"/>
  </r>
  <r>
    <x v="0"/>
    <x v="0"/>
    <s v="SMBFLE3819"/>
    <n v="1"/>
    <s v=""/>
    <n v="0"/>
    <s v="SMBFLE3819NY"/>
    <n v="1"/>
    <s v=""/>
    <n v="0"/>
    <s v="E3"/>
    <s v="모자"/>
    <s v="SMB"/>
    <s v="FL"/>
    <x v="13"/>
    <s v="SMBFLE3819"/>
    <s v="SMBFLE3819NY"/>
    <x v="0"/>
    <n v="500"/>
    <n v="21500000"/>
    <n v="3811500"/>
    <n v="5.1280216569472765"/>
    <n v="0"/>
    <n v="500"/>
  </r>
  <r>
    <x v="0"/>
    <x v="0"/>
    <s v="SMBFLE3320"/>
    <n v="1"/>
    <s v=""/>
    <n v="0"/>
    <s v="SMBFLE3320GY"/>
    <n v="1"/>
    <s v=""/>
    <n v="0"/>
    <s v="E3"/>
    <s v="모자"/>
    <s v="SMB"/>
    <s v="FL"/>
    <x v="13"/>
    <s v="SMBFLE3320"/>
    <s v="SMBFLE3320GY"/>
    <x v="0"/>
    <n v="700"/>
    <n v="31500000"/>
    <n v="4851000.0000000009"/>
    <n v="5.9031877213695374"/>
    <n v="0"/>
    <n v="700"/>
  </r>
  <r>
    <x v="0"/>
    <x v="0"/>
    <s v="SMBFLE3321"/>
    <n v="1"/>
    <s v=""/>
    <n v="0"/>
    <s v="SMBFLE3321NY"/>
    <n v="1"/>
    <s v=""/>
    <n v="0"/>
    <s v="E3"/>
    <s v="모자"/>
    <s v="SMB"/>
    <s v="FL"/>
    <x v="13"/>
    <s v="SMBFLE3321"/>
    <s v="SMBFLE3321NY"/>
    <x v="0"/>
    <n v="800"/>
    <n v="36000000"/>
    <n v="5405400"/>
    <n v="6.0545515090969628"/>
    <n v="0"/>
    <n v="800"/>
  </r>
  <r>
    <x v="0"/>
    <x v="0"/>
    <s v="SMBFLE3372"/>
    <n v="1"/>
    <s v=""/>
    <n v="0"/>
    <s v="SMBFLE3372BK"/>
    <n v="1"/>
    <s v=""/>
    <n v="0"/>
    <s v="E3"/>
    <s v="모자"/>
    <s v="SMB"/>
    <s v="FL"/>
    <x v="13"/>
    <s v="SMBFLE3372"/>
    <s v="SMBFLE3372BK"/>
    <x v="0"/>
    <n v="800"/>
    <n v="39200000"/>
    <n v="6281800.0000000009"/>
    <n v="5.6729541908949068"/>
    <n v="0"/>
    <n v="800"/>
  </r>
  <r>
    <x v="0"/>
    <x v="0"/>
    <s v="SMBFLE3872"/>
    <n v="1"/>
    <s v=""/>
    <n v="0"/>
    <s v="SMBFLE3872BK"/>
    <n v="1"/>
    <s v=""/>
    <n v="0"/>
    <s v="E3"/>
    <s v="모자"/>
    <s v="SMB"/>
    <s v="FL"/>
    <x v="13"/>
    <s v="SMBFLE3872"/>
    <s v="SMBFLE3872BK"/>
    <x v="0"/>
    <n v="500"/>
    <n v="22500000"/>
    <n v="3926125.0000000005"/>
    <n v="5.2098558895973639"/>
    <n v="0"/>
    <n v="500"/>
  </r>
  <r>
    <x v="0"/>
    <x v="0"/>
    <s v="SMBFLE3323"/>
    <n v="1"/>
    <s v=""/>
    <n v="0"/>
    <s v="SMBFLE3323BK"/>
    <n v="1"/>
    <s v=""/>
    <n v="0"/>
    <s v="E3"/>
    <s v="모자"/>
    <s v="SMB"/>
    <s v="FL"/>
    <x v="13"/>
    <s v="SMBFLE3323"/>
    <s v="SMBFLE3323BK"/>
    <x v="0"/>
    <n v="800"/>
    <n v="36000000"/>
    <n v="5590200"/>
    <n v="5.8544010459863189"/>
    <n v="0"/>
    <n v="800"/>
  </r>
  <r>
    <x v="0"/>
    <x v="0"/>
    <s v="SMBBAE3374"/>
    <n v="1"/>
    <s v=""/>
    <n v="0"/>
    <s v="SMBBAE3374RE"/>
    <n v="1"/>
    <s v=""/>
    <n v="0"/>
    <s v="E3"/>
    <s v="모자"/>
    <s v="SMB"/>
    <s v="BA"/>
    <x v="13"/>
    <s v="SMBBAE3374"/>
    <s v="SMBBAE3374RE"/>
    <x v="0"/>
    <n v="500"/>
    <n v="24500000"/>
    <n v="4099375"/>
    <n v="5.4332007373629576"/>
    <n v="0"/>
    <n v="500"/>
  </r>
  <r>
    <x v="0"/>
    <x v="0"/>
    <s v="SMBBAE3375"/>
    <n v="1"/>
    <s v=""/>
    <n v="0"/>
    <s v="SMBBAE3375GR"/>
    <n v="1"/>
    <s v=""/>
    <n v="0"/>
    <s v="E3"/>
    <s v="모자"/>
    <s v="SMB"/>
    <s v="BA"/>
    <x v="13"/>
    <s v="SMBBAE3375"/>
    <s v="SMBBAE3375GR"/>
    <x v="0"/>
    <n v="500"/>
    <n v="24500000"/>
    <n v="4272625"/>
    <n v="5.2128907340867201"/>
    <n v="0"/>
    <n v="500"/>
  </r>
  <r>
    <x v="0"/>
    <x v="0"/>
    <s v="SMBBAE3376"/>
    <n v="1"/>
    <s v=""/>
    <n v="0"/>
    <s v="SMBBAE3376GY"/>
    <n v="1"/>
    <s v=""/>
    <n v="0"/>
    <s v="E3"/>
    <s v="모자"/>
    <s v="SMB"/>
    <s v="BA"/>
    <x v="13"/>
    <s v="SMBBAE3376"/>
    <s v="SMBBAE3376GY"/>
    <x v="0"/>
    <n v="700"/>
    <n v="34300000"/>
    <n v="6062525"/>
    <n v="5.1433714800051424"/>
    <n v="0"/>
    <n v="700"/>
  </r>
  <r>
    <x v="0"/>
    <x v="0"/>
    <s v="SMBBAE3377"/>
    <n v="1"/>
    <s v=""/>
    <n v="0"/>
    <s v="SMBBAE3377GY"/>
    <n v="1"/>
    <s v=""/>
    <n v="0"/>
    <s v="E3"/>
    <s v="모자"/>
    <s v="SMB"/>
    <s v="BA"/>
    <x v="13"/>
    <s v="SMBBAE3377"/>
    <s v="SMBBAE3377GY"/>
    <x v="0"/>
    <n v="700"/>
    <n v="34300000"/>
    <n v="5981675"/>
    <n v="5.2128907340867192"/>
    <n v="0"/>
    <n v="700"/>
  </r>
  <r>
    <x v="0"/>
    <x v="0"/>
    <s v="SMBFLE3378"/>
    <n v="1"/>
    <s v=""/>
    <n v="0"/>
    <s v="SMBFLE3378BK"/>
    <n v="1"/>
    <s v=""/>
    <n v="0"/>
    <s v="E3"/>
    <s v="모자"/>
    <s v="SMB"/>
    <s v="FL"/>
    <x v="13"/>
    <s v="SMBFLE3378"/>
    <s v="SMBFLE3378BK"/>
    <x v="0"/>
    <n v="800"/>
    <n v="39200000"/>
    <n v="6836200"/>
    <n v="5.2128907340867192"/>
    <n v="0"/>
    <n v="800"/>
  </r>
  <r>
    <x v="0"/>
    <x v="0"/>
    <s v="SMBFLE3878"/>
    <n v="1"/>
    <s v=""/>
    <n v="0"/>
    <s v="SMBFLE3878BK"/>
    <n v="1"/>
    <s v=""/>
    <n v="0"/>
    <s v="E3"/>
    <s v="모자"/>
    <s v="SMB"/>
    <s v="FL"/>
    <x v="13"/>
    <s v="SMBFLE3878"/>
    <s v="SMBFLE3878BK"/>
    <x v="0"/>
    <n v="500"/>
    <n v="22500000"/>
    <n v="4272625"/>
    <n v="4.7873486333449469"/>
    <n v="0"/>
    <n v="500"/>
  </r>
  <r>
    <x v="0"/>
    <x v="0"/>
    <s v="SMBFLE3329"/>
    <n v="1"/>
    <s v=""/>
    <n v="0"/>
    <s v="SMBFLE3329NY"/>
    <n v="1"/>
    <s v=""/>
    <n v="0"/>
    <s v="E3"/>
    <s v="모자"/>
    <s v="SMB"/>
    <s v="FL"/>
    <x v="13"/>
    <s v="SMBFLE3329"/>
    <s v="SMBFLE3329NY"/>
    <x v="0"/>
    <n v="600"/>
    <n v="27000000"/>
    <n v="3915450.0000000009"/>
    <n v="6.2688719164986244"/>
    <n v="0"/>
    <n v="600"/>
  </r>
  <r>
    <x v="0"/>
    <x v="0"/>
    <s v="SMBFLE3330"/>
    <n v="1"/>
    <s v=""/>
    <n v="0"/>
    <s v="SMBFLE3330GY"/>
    <n v="1"/>
    <s v=""/>
    <n v="0"/>
    <s v="E3"/>
    <s v="모자"/>
    <s v="SMB"/>
    <s v="FL"/>
    <x v="13"/>
    <s v="SMBFLE3330"/>
    <s v="SMBFLE3330GY"/>
    <x v="0"/>
    <n v="600"/>
    <n v="27000000"/>
    <n v="4469850.0000000009"/>
    <n v="5.491337415227477"/>
    <n v="0"/>
    <n v="600"/>
  </r>
  <r>
    <x v="0"/>
    <x v="0"/>
    <s v="SMBFLE3331"/>
    <n v="1"/>
    <s v=""/>
    <n v="0"/>
    <s v="SMBFLE3331GY"/>
    <n v="1"/>
    <s v=""/>
    <n v="0"/>
    <s v="E3"/>
    <s v="모자"/>
    <s v="SMB"/>
    <s v="FL"/>
    <x v="13"/>
    <s v="SMBFLE3331"/>
    <s v="SMBFLE3331GY"/>
    <x v="0"/>
    <n v="600"/>
    <n v="27000000"/>
    <n v="4296600.0000000009"/>
    <n v="5.7127623110027779"/>
    <n v="0"/>
    <n v="600"/>
  </r>
  <r>
    <x v="0"/>
    <x v="0"/>
    <s v="ELSBAE3341"/>
    <n v="0.5"/>
    <s v=""/>
    <n v="0"/>
    <s v="ELSBAE3341BK"/>
    <n v="1"/>
    <s v=""/>
    <n v="0"/>
    <s v="E3"/>
    <s v="모자"/>
    <s v="ELS"/>
    <s v="BA"/>
    <x v="3"/>
    <s v="ELSBAE3341"/>
    <s v="ELSBAE3341BK"/>
    <x v="0"/>
    <n v="1000"/>
    <n v="55000000"/>
    <n v="12499999.999999998"/>
    <n v="4.0000000000000009"/>
    <n v="0"/>
    <n v="1000"/>
  </r>
  <r>
    <x v="0"/>
    <x v="0"/>
    <s v="ELSBAE3841"/>
    <n v="0.5"/>
    <s v=""/>
    <n v="0"/>
    <s v="ELSBAE3841BK"/>
    <n v="1"/>
    <s v=""/>
    <n v="0"/>
    <s v="E3"/>
    <s v="모자"/>
    <s v="ELS"/>
    <s v="BA"/>
    <x v="3"/>
    <s v="ELSBAE3841"/>
    <s v="ELSBAE3841BK"/>
    <x v="0"/>
    <n v="1000"/>
    <n v="53000000"/>
    <n v="12045454.545454545"/>
    <n v="4"/>
    <n v="0"/>
    <n v="1000"/>
  </r>
  <r>
    <x v="0"/>
    <x v="0"/>
    <s v="ELSBAE3341"/>
    <n v="0.5"/>
    <s v=""/>
    <n v="0"/>
    <s v="ELSBAE3341RE"/>
    <n v="1"/>
    <s v=""/>
    <n v="0"/>
    <s v="E3"/>
    <s v="모자"/>
    <s v="ELS"/>
    <s v="BA"/>
    <x v="3"/>
    <s v="ELSBAE3341"/>
    <s v="ELSBAE3341RE"/>
    <x v="0"/>
    <n v="1000"/>
    <n v="55000000"/>
    <n v="12499999.999999998"/>
    <n v="4.0000000000000009"/>
    <n v="0"/>
    <n v="1000"/>
  </r>
  <r>
    <x v="0"/>
    <x v="0"/>
    <s v="ELSBAE3841"/>
    <n v="0.5"/>
    <s v=""/>
    <n v="0"/>
    <s v="ELSBAE3841RE"/>
    <n v="1"/>
    <s v=""/>
    <n v="0"/>
    <s v="E3"/>
    <s v="모자"/>
    <s v="ELS"/>
    <s v="BA"/>
    <x v="3"/>
    <s v="ELSBAE3841"/>
    <s v="ELSBAE3841RE"/>
    <x v="0"/>
    <n v="1000"/>
    <n v="53000000"/>
    <n v="12045454.545454545"/>
    <n v="4"/>
    <n v="0"/>
    <n v="1000"/>
  </r>
  <r>
    <x v="2"/>
    <x v="2"/>
    <m/>
    <m/>
    <m/>
    <m/>
    <m/>
    <m/>
    <m/>
    <m/>
    <m/>
    <m/>
    <m/>
    <m/>
    <x v="26"/>
    <m/>
    <m/>
    <x v="2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1" cacheId="264" applyNumberFormats="0" applyBorderFormats="0" applyFontFormats="0" applyPatternFormats="0" applyAlignmentFormats="0" applyWidthHeightFormats="1" dataCaption="데이터" updatedVersion="3" minRefreshableVersion="3" asteriskTotals="1" showMemberPropertyTips="0" useAutoFormatting="1" itemPrintTitles="1" createdVersion="3" indent="0" compact="0" compactData="0" gridDropZones="1">
  <location ref="A3:I906" firstHeaderRow="1" firstDataRow="2" firstDataCol="3"/>
  <pivotFields count="11">
    <pivotField compact="0" outline="0" subtotalTop="0" showAll="0" includeNewItemsInFilter="1" defaultSubtotal="0"/>
    <pivotField axis="axisRow" compact="0" outline="0" showAll="0" defaultSubtotal="0">
      <items count="13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m="1" x="1128"/>
        <item m="1" x="1261"/>
        <item m="1" x="1132"/>
        <item m="1" x="1265"/>
        <item m="1" x="1136"/>
        <item m="1" x="1269"/>
        <item m="1" x="1140"/>
        <item m="1" x="1273"/>
        <item m="1" x="1144"/>
        <item m="1" x="1277"/>
        <item m="1" x="1148"/>
        <item m="1" x="1281"/>
        <item m="1" x="1152"/>
        <item m="1" x="1285"/>
        <item m="1" x="1156"/>
        <item m="1" x="1289"/>
        <item m="1" x="1160"/>
        <item m="1" x="1293"/>
        <item m="1" x="1164"/>
        <item m="1" x="1297"/>
        <item m="1" x="1168"/>
        <item m="1" x="1301"/>
        <item m="1" x="1172"/>
        <item m="1" x="1305"/>
        <item m="1" x="1176"/>
        <item m="1" x="1309"/>
        <item m="1" x="1180"/>
        <item m="1" x="1313"/>
        <item m="1" x="1184"/>
        <item m="1" x="1317"/>
        <item m="1" x="1188"/>
        <item m="1" x="1321"/>
        <item m="1" x="1192"/>
        <item m="1" x="1325"/>
        <item m="1" x="1196"/>
        <item m="1" x="1329"/>
        <item m="1" x="1200"/>
        <item m="1" x="1333"/>
        <item m="1" x="1204"/>
        <item m="1" x="1337"/>
        <item m="1" x="1208"/>
        <item m="1" x="1079"/>
        <item m="1" x="1212"/>
        <item m="1" x="1083"/>
        <item m="1" x="1216"/>
        <item m="1" x="1087"/>
        <item m="1" x="1220"/>
        <item m="1" x="1091"/>
        <item m="1" x="1224"/>
        <item m="1" x="1095"/>
        <item m="1" x="1228"/>
        <item m="1" x="1099"/>
        <item m="1" x="1232"/>
        <item m="1" x="1103"/>
        <item m="1" x="1236"/>
        <item m="1" x="1107"/>
        <item m="1" x="1240"/>
        <item m="1" x="1111"/>
        <item m="1" x="1244"/>
        <item m="1" x="1115"/>
        <item x="1075"/>
        <item m="1" x="1248"/>
        <item m="1" x="1119"/>
        <item m="1" x="1252"/>
        <item m="1" x="1123"/>
        <item m="1" x="1256"/>
        <item m="1" x="1127"/>
        <item m="1" x="1260"/>
        <item m="1" x="1131"/>
        <item m="1" x="1264"/>
        <item m="1" x="1135"/>
        <item m="1" x="1268"/>
        <item m="1" x="1139"/>
        <item m="1" x="1272"/>
        <item m="1" x="1143"/>
        <item m="1" x="1276"/>
        <item m="1" x="1147"/>
        <item m="1" x="1280"/>
        <item m="1" x="1151"/>
        <item m="1" x="1284"/>
        <item m="1" x="1155"/>
        <item m="1" x="1288"/>
        <item m="1" x="1159"/>
        <item m="1" x="1292"/>
        <item m="1" x="1163"/>
        <item m="1" x="1296"/>
        <item m="1" x="1167"/>
        <item m="1" x="1300"/>
        <item m="1" x="1171"/>
        <item m="1" x="1304"/>
        <item m="1" x="1175"/>
        <item m="1" x="1308"/>
        <item m="1" x="1179"/>
        <item m="1" x="1312"/>
        <item m="1" x="1183"/>
        <item m="1" x="1316"/>
        <item m="1" x="1187"/>
        <item m="1" x="1320"/>
        <item m="1" x="1191"/>
        <item m="1" x="1324"/>
        <item m="1" x="1195"/>
        <item m="1" x="1328"/>
        <item m="1" x="1199"/>
        <item m="1" x="1332"/>
        <item m="1" x="1203"/>
        <item m="1" x="1336"/>
        <item m="1" x="1207"/>
        <item m="1" x="1078"/>
        <item m="1" x="1211"/>
        <item m="1" x="1082"/>
        <item m="1" x="1215"/>
        <item m="1" x="1086"/>
        <item m="1" x="1219"/>
        <item m="1" x="1090"/>
        <item m="1" x="1223"/>
        <item m="1" x="1094"/>
        <item m="1" x="1227"/>
        <item m="1" x="1098"/>
        <item m="1" x="1231"/>
        <item m="1" x="1102"/>
        <item m="1" x="1235"/>
        <item m="1" x="1106"/>
        <item m="1" x="1239"/>
        <item m="1" x="1110"/>
        <item m="1" x="1243"/>
        <item m="1" x="1114"/>
        <item m="1" x="1247"/>
        <item m="1" x="1118"/>
        <item m="1" x="1251"/>
        <item m="1" x="1122"/>
        <item m="1" x="1255"/>
        <item m="1" x="1126"/>
        <item m="1" x="1259"/>
        <item m="1" x="1130"/>
        <item m="1" x="1263"/>
        <item m="1" x="1134"/>
        <item m="1" x="1267"/>
        <item m="1" x="1138"/>
        <item m="1" x="1271"/>
        <item m="1" x="1142"/>
        <item m="1" x="1275"/>
        <item m="1" x="1146"/>
        <item m="1" x="1279"/>
        <item m="1" x="1150"/>
        <item m="1" x="1283"/>
        <item m="1" x="1154"/>
        <item m="1" x="1287"/>
        <item m="1" x="1158"/>
        <item m="1" x="1291"/>
        <item m="1" x="1162"/>
        <item m="1" x="1295"/>
        <item m="1" x="1166"/>
        <item m="1" x="1299"/>
        <item m="1" x="1170"/>
        <item m="1" x="1303"/>
        <item m="1" x="1174"/>
        <item m="1" x="1307"/>
        <item m="1" x="1178"/>
        <item m="1" x="1311"/>
        <item m="1" x="1182"/>
        <item m="1" x="1315"/>
        <item m="1" x="1186"/>
        <item m="1" x="1319"/>
        <item m="1" x="1190"/>
        <item m="1" x="1323"/>
        <item m="1" x="1194"/>
        <item m="1" x="1327"/>
        <item m="1" x="1198"/>
        <item m="1" x="1331"/>
        <item m="1" x="1202"/>
        <item m="1" x="1335"/>
        <item m="1" x="1206"/>
        <item m="1" x="1077"/>
        <item m="1" x="1210"/>
        <item m="1" x="1081"/>
        <item m="1" x="1214"/>
        <item m="1" x="1085"/>
        <item m="1" x="1218"/>
        <item m="1" x="1089"/>
        <item m="1" x="1222"/>
        <item m="1" x="1093"/>
        <item m="1" x="1226"/>
        <item m="1" x="1097"/>
        <item m="1" x="1230"/>
        <item m="1" x="1101"/>
        <item m="1" x="1234"/>
        <item m="1" x="1105"/>
        <item m="1" x="1238"/>
        <item m="1" x="1109"/>
        <item m="1" x="1242"/>
        <item m="1" x="1113"/>
        <item m="1" x="1246"/>
        <item m="1" x="1117"/>
        <item m="1" x="1250"/>
        <item m="1" x="1121"/>
        <item m="1" x="1254"/>
        <item m="1" x="1125"/>
        <item m="1" x="1258"/>
        <item m="1" x="1129"/>
        <item m="1" x="1262"/>
        <item m="1" x="1133"/>
        <item m="1" x="1266"/>
        <item m="1" x="1137"/>
        <item m="1" x="1270"/>
        <item m="1" x="1141"/>
        <item m="1" x="1274"/>
        <item m="1" x="1145"/>
        <item m="1" x="1278"/>
        <item m="1" x="1149"/>
        <item m="1" x="1282"/>
        <item m="1" x="1153"/>
        <item m="1" x="1286"/>
        <item m="1" x="1157"/>
        <item m="1" x="1290"/>
        <item m="1" x="1161"/>
        <item m="1" x="1294"/>
        <item m="1" x="1165"/>
        <item m="1" x="1298"/>
        <item m="1" x="1169"/>
        <item m="1" x="1302"/>
        <item m="1" x="1173"/>
        <item m="1" x="1306"/>
        <item m="1" x="1177"/>
        <item m="1" x="1310"/>
        <item m="1" x="1181"/>
        <item m="1" x="1314"/>
        <item m="1" x="1185"/>
        <item m="1" x="1318"/>
        <item m="1" x="1189"/>
        <item m="1" x="1322"/>
        <item m="1" x="1193"/>
        <item m="1" x="1326"/>
        <item m="1" x="1197"/>
        <item m="1" x="1330"/>
        <item m="1" x="1201"/>
        <item m="1" x="1334"/>
        <item m="1" x="1205"/>
        <item m="1" x="1076"/>
        <item m="1" x="1209"/>
        <item m="1" x="1080"/>
        <item m="1" x="1213"/>
        <item m="1" x="1084"/>
        <item m="1" x="1217"/>
        <item m="1" x="1088"/>
        <item m="1" x="1221"/>
        <item m="1" x="1092"/>
        <item m="1" x="1225"/>
        <item m="1" x="1096"/>
        <item m="1" x="1229"/>
        <item m="1" x="1100"/>
        <item m="1" x="1233"/>
        <item m="1" x="1104"/>
        <item m="1" x="1237"/>
        <item m="1" x="1108"/>
        <item m="1" x="1241"/>
        <item m="1" x="1112"/>
        <item m="1" x="1245"/>
        <item m="1" x="1116"/>
        <item m="1" x="1249"/>
        <item m="1" x="1120"/>
        <item m="1" x="1253"/>
        <item m="1" x="1124"/>
        <item m="1" x="1257"/>
      </items>
    </pivotField>
    <pivotField axis="axisRow" compact="0" outline="0" subtotalTop="0" showAll="0" includeNewItemsInFilter="1" defaultSubtotal="0">
      <items count="1717">
        <item m="1" x="995"/>
        <item m="1" x="1277"/>
        <item m="1" x="958"/>
        <item m="1" x="1684"/>
        <item m="1" x="1227"/>
        <item m="1" x="1453"/>
        <item m="1" x="1276"/>
        <item m="1" x="834"/>
        <item m="1" x="1002"/>
        <item m="1" x="1708"/>
        <item m="1" x="1612"/>
        <item m="1" x="1450"/>
        <item m="1" x="1377"/>
        <item m="1" x="1633"/>
        <item m="1" x="1126"/>
        <item m="1" x="1161"/>
        <item m="1" x="1448"/>
        <item m="1" x="1390"/>
        <item m="1" x="1503"/>
        <item m="1" x="1715"/>
        <item m="1" x="1437"/>
        <item m="1" x="1421"/>
        <item m="1" x="1625"/>
        <item m="1" x="1348"/>
        <item m="1" x="987"/>
        <item m="1" x="1110"/>
        <item m="1" x="897"/>
        <item m="1" x="838"/>
        <item m="1" x="1058"/>
        <item m="1" x="1409"/>
        <item m="1" x="1167"/>
        <item m="1" x="1512"/>
        <item m="1" x="1065"/>
        <item m="1" x="1471"/>
        <item m="1" x="1341"/>
        <item m="1" x="1034"/>
        <item m="1" x="1636"/>
        <item m="1" x="1682"/>
        <item m="1" x="1209"/>
        <item m="1" x="1354"/>
        <item m="1" x="1028"/>
        <item m="1" x="1622"/>
        <item m="1" x="931"/>
        <item m="1" x="1565"/>
        <item m="1" x="1156"/>
        <item m="1" x="1712"/>
        <item m="1" x="1060"/>
        <item m="1" x="1309"/>
        <item m="1" x="840"/>
        <item m="1" x="1445"/>
        <item m="1" x="1494"/>
        <item m="1" x="850"/>
        <item m="1" x="1638"/>
        <item m="1" x="1237"/>
        <item m="1" x="1351"/>
        <item m="1" x="1100"/>
        <item m="1" x="948"/>
        <item m="1" x="1455"/>
        <item m="1" x="1158"/>
        <item m="1" x="929"/>
        <item m="1" x="1296"/>
        <item m="1" x="920"/>
        <item m="1" x="1637"/>
        <item m="1" x="1106"/>
        <item m="1" x="975"/>
        <item m="1" x="872"/>
        <item m="1" x="928"/>
        <item m="1" x="1315"/>
        <item m="1" x="1609"/>
        <item m="1" x="1011"/>
        <item m="1" x="1048"/>
        <item m="1" x="1446"/>
        <item m="1" x="1267"/>
        <item m="1" x="1368"/>
        <item m="1" x="1546"/>
        <item m="1" x="1174"/>
        <item m="1" x="1287"/>
        <item m="1" x="1241"/>
        <item m="1" x="1294"/>
        <item m="1" x="1401"/>
        <item m="1" x="1342"/>
        <item m="1" x="1573"/>
        <item m="1" x="1196"/>
        <item m="1" x="1331"/>
        <item m="1" x="842"/>
        <item m="1" x="983"/>
        <item m="1" x="934"/>
        <item m="1" x="1069"/>
        <item m="1" x="930"/>
        <item m="1" x="1231"/>
        <item m="1" x="935"/>
        <item m="1" x="1465"/>
        <item m="1" x="1018"/>
        <item m="1" x="1062"/>
        <item m="1" x="1367"/>
        <item m="1" x="1524"/>
        <item m="1" x="914"/>
        <item m="1" x="1155"/>
        <item m="1" x="1197"/>
        <item m="1" x="1108"/>
        <item m="1" x="952"/>
        <item m="1" x="1082"/>
        <item m="1" x="936"/>
        <item m="1" x="1191"/>
        <item m="1" x="1278"/>
        <item m="1" x="1059"/>
        <item m="1" x="1169"/>
        <item m="1" x="978"/>
        <item m="1" x="845"/>
        <item m="1" x="962"/>
        <item m="1" x="1619"/>
        <item m="1" x="1645"/>
        <item m="1" x="957"/>
        <item m="1" x="1406"/>
        <item m="1" x="1447"/>
        <item m="1" x="908"/>
        <item m="1" x="1218"/>
        <item m="1" x="1414"/>
        <item m="1" x="1468"/>
        <item m="1" x="1375"/>
        <item m="1" x="1254"/>
        <item m="1" x="1246"/>
        <item m="1" x="1456"/>
        <item m="1" x="1561"/>
        <item m="1" x="1339"/>
        <item m="1" x="1435"/>
        <item m="1" x="1269"/>
        <item m="1" x="1142"/>
        <item m="1" x="1260"/>
        <item m="1" x="1164"/>
        <item m="1" x="1710"/>
        <item m="1" x="1012"/>
        <item m="1" x="1121"/>
        <item m="1" x="847"/>
        <item m="1" x="1067"/>
        <item m="1" x="1381"/>
        <item m="1" x="1295"/>
        <item m="1" x="1389"/>
        <item m="1" x="1147"/>
        <item m="1" x="1350"/>
        <item m="1" x="1676"/>
        <item m="1" x="1249"/>
        <item m="1" x="1284"/>
        <item m="1" x="1317"/>
        <item m="1" x="1554"/>
        <item m="1" x="1517"/>
        <item m="1" x="1563"/>
        <item m="1" x="1596"/>
        <item m="1" x="938"/>
        <item m="1" x="1313"/>
        <item m="1" x="1136"/>
        <item m="1" x="964"/>
        <item m="1" x="1556"/>
        <item m="1" x="1152"/>
        <item m="1" x="1358"/>
        <item m="1" x="1400"/>
        <item m="1" x="1261"/>
        <item m="1" x="941"/>
        <item m="1" x="1408"/>
        <item m="1" x="1642"/>
        <item m="1" x="1491"/>
        <item m="1" x="1479"/>
        <item m="1" x="1526"/>
        <item m="1" x="1495"/>
        <item m="1" x="1262"/>
        <item m="1" x="1602"/>
        <item m="1" x="1488"/>
        <item m="1" x="1268"/>
        <item m="1" x="1690"/>
        <item m="1" x="1711"/>
        <item m="1" x="1403"/>
        <item m="1" x="881"/>
        <item m="1" x="866"/>
        <item m="1" x="912"/>
        <item m="1" x="884"/>
        <item m="1" x="1540"/>
        <item m="1" x="988"/>
        <item m="1" x="877"/>
        <item m="1" x="1549"/>
        <item m="1" x="1085"/>
        <item m="1" x="1111"/>
        <item m="1" x="1688"/>
        <item m="1" x="1691"/>
        <item m="1" x="1454"/>
        <item m="1" x="1337"/>
        <item m="1" x="1116"/>
        <item m="1" x="1521"/>
        <item m="1" x="1086"/>
        <item m="1" x="852"/>
        <item m="1" x="1621"/>
        <item m="1" x="1382"/>
        <item m="1" x="904"/>
        <item m="1" x="1124"/>
        <item m="1" x="1541"/>
        <item m="1" x="913"/>
        <item m="1" x="1263"/>
        <item m="1" x="1429"/>
        <item m="1" x="1496"/>
        <item m="1" x="1303"/>
        <item m="1" x="1316"/>
        <item m="1" x="1566"/>
        <item m="1" x="1438"/>
        <item m="1" x="1473"/>
        <item m="1" x="1087"/>
        <item m="1" x="1704"/>
        <item m="1" x="1487"/>
        <item m="1" x="833"/>
        <item m="1" x="1391"/>
        <item m="1" x="922"/>
        <item m="1" x="1216"/>
        <item m="1" x="1544"/>
        <item m="1" x="1707"/>
        <item m="1" x="885"/>
        <item m="1" x="1584"/>
        <item m="1" x="1594"/>
        <item m="1" x="864"/>
        <item m="1" x="1361"/>
        <item m="1" x="1103"/>
        <item m="1" x="923"/>
        <item m="1" x="1508"/>
        <item m="1" x="905"/>
        <item m="1" x="1141"/>
        <item m="1" x="1647"/>
        <item m="1" x="1484"/>
        <item m="1" x="1440"/>
        <item m="1" x="1557"/>
        <item m="1" x="1603"/>
        <item m="1" x="1187"/>
        <item m="1" x="1664"/>
        <item m="1" x="918"/>
        <item m="1" x="1586"/>
        <item m="1" x="1469"/>
        <item m="1" x="1321"/>
        <item m="1" x="1617"/>
        <item m="1" x="1713"/>
        <item m="1" x="1553"/>
        <item m="1" x="1513"/>
        <item m="1" x="1212"/>
        <item m="1" x="1404"/>
        <item m="1" x="1040"/>
        <item m="1" x="875"/>
        <item m="1" x="830"/>
        <item m="1" x="942"/>
        <item m="1" x="992"/>
        <item m="1" x="1449"/>
        <item m="1" x="1052"/>
        <item m="1" x="1224"/>
        <item m="1" x="966"/>
        <item m="1" x="858"/>
        <item m="1" x="1598"/>
        <item m="1" x="1115"/>
        <item m="1" x="932"/>
        <item m="1" x="896"/>
        <item m="1" x="1333"/>
        <item m="1" x="1008"/>
        <item m="1" x="1675"/>
        <item m="1" x="1363"/>
        <item m="1" x="1053"/>
        <item m="1" x="1661"/>
        <item m="1" x="1564"/>
        <item m="1" x="1679"/>
        <item m="1" x="888"/>
        <item m="1" x="1600"/>
        <item m="1" x="1590"/>
        <item m="1" x="849"/>
        <item m="1" x="1608"/>
        <item m="1" x="1131"/>
        <item m="1" x="1648"/>
        <item m="1" x="1093"/>
        <item m="1" x="1075"/>
        <item m="1" x="1506"/>
        <item m="1" x="1364"/>
        <item m="1" x="1628"/>
        <item m="1" x="1206"/>
        <item m="1" x="1418"/>
        <item m="1" x="1588"/>
        <item m="1" x="1591"/>
        <item m="1" x="1467"/>
        <item m="1" x="1098"/>
        <item m="1" x="1107"/>
        <item m="1" x="1632"/>
        <item m="1" x="1623"/>
        <item m="1" x="899"/>
        <item m="1" x="1007"/>
        <item m="1" x="835"/>
        <item m="1" x="1423"/>
        <item m="1" x="1667"/>
        <item m="1" x="909"/>
        <item m="1" x="1019"/>
        <item m="1" x="1236"/>
        <item m="1" x="1558"/>
        <item m="1" x="1076"/>
        <item m="1" x="1530"/>
        <item m="1" x="1064"/>
        <item m="1" x="1650"/>
        <item m="1" x="1335"/>
        <item m="1" x="1051"/>
        <item m="1" x="1074"/>
        <item m="1" x="1190"/>
        <item m="1" x="986"/>
        <item m="1" x="971"/>
        <item m="1" x="1151"/>
        <item m="1" x="1000"/>
        <item m="1" x="1396"/>
        <item m="1" x="1042"/>
        <item m="1" x="1366"/>
        <item m="1" x="1355"/>
        <item m="1" x="889"/>
        <item m="1" x="1653"/>
        <item m="1" x="1025"/>
        <item m="1" x="1474"/>
        <item m="1" x="1697"/>
        <item m="1" x="967"/>
        <item m="1" x="972"/>
        <item m="1" x="856"/>
        <item m="1" x="1373"/>
        <item m="1" x="1030"/>
        <item m="1" x="1021"/>
        <item m="1" x="1201"/>
        <item m="1" x="1289"/>
        <item m="1" x="1128"/>
        <item m="1" x="1700"/>
        <item m="1" x="1056"/>
        <item m="1" x="1304"/>
        <item m="1" x="1501"/>
        <item m="1" x="943"/>
        <item m="1" x="1357"/>
        <item m="1" x="915"/>
        <item m="1" x="1452"/>
        <item m="1" x="1215"/>
        <item m="1" x="1353"/>
        <item m="1" x="1073"/>
        <item m="1" x="1200"/>
        <item m="1" x="876"/>
        <item m="1" x="862"/>
        <item m="1" x="1301"/>
        <item m="1" x="1657"/>
        <item m="1" x="1013"/>
        <item m="1" x="998"/>
        <item m="1" x="1585"/>
        <item m="1" x="977"/>
        <item m="1" x="1568"/>
        <item m="1" x="1610"/>
        <item m="1" x="960"/>
        <item m="1" x="1597"/>
        <item m="1" x="1148"/>
        <item m="1" x="1372"/>
        <item m="1" x="1090"/>
        <item m="1" x="1057"/>
        <item m="1" x="860"/>
        <item m="1" x="1032"/>
        <item m="1" x="1639"/>
        <item m="1" x="993"/>
        <item m="1" x="965"/>
        <item m="1" x="1160"/>
        <item m="1" x="1029"/>
        <item m="1" x="1118"/>
        <item m="1" x="1228"/>
        <item m="1" x="973"/>
        <item m="1" x="1194"/>
        <item m="1" x="873"/>
        <item m="1" x="1039"/>
        <item m="1" x="1651"/>
        <item m="1" x="1299"/>
        <item m="1" x="1463"/>
        <item m="1" x="1425"/>
        <item m="1" x="1038"/>
        <item m="1" x="1385"/>
        <item m="1" x="945"/>
        <item m="1" x="1223"/>
        <item m="1" x="1256"/>
        <item m="1" x="1063"/>
        <item m="1" x="1324"/>
        <item m="1" x="1229"/>
        <item m="1" x="1014"/>
        <item m="1" x="1105"/>
        <item m="1" x="1577"/>
        <item m="1" x="1703"/>
        <item m="1" x="1492"/>
        <item m="1" x="1439"/>
        <item m="1" x="997"/>
        <item m="1" x="1705"/>
        <item m="1" x="1583"/>
        <item m="1" x="1498"/>
        <item m="1" x="836"/>
        <item m="1" x="1123"/>
        <item m="1" x="1695"/>
        <item m="1" x="1122"/>
        <item m="1" x="1104"/>
        <item m="1" x="1264"/>
        <item m="1" x="1017"/>
        <item m="1" x="1146"/>
        <item m="1" x="846"/>
        <item m="1" x="937"/>
        <item m="1" x="1701"/>
        <item m="1" x="1514"/>
        <item m="1" x="1655"/>
        <item m="1" x="1061"/>
        <item m="1" x="1095"/>
        <item m="1" x="1376"/>
        <item m="1" x="1119"/>
        <item m="1" x="1101"/>
        <item m="1" x="1225"/>
        <item m="1" x="1665"/>
        <item m="1" x="1482"/>
        <item m="1" x="1207"/>
        <item m="1" x="1646"/>
        <item m="1" x="1631"/>
        <item m="1" x="1222"/>
        <item m="1" x="1283"/>
        <item m="1" x="1378"/>
        <item m="1" x="1226"/>
        <item m="1" x="1135"/>
        <item m="1" x="990"/>
        <item m="1" x="1297"/>
        <item m="1" x="1184"/>
        <item m="1" x="1458"/>
        <item m="1" x="1171"/>
        <item m="1" x="1080"/>
        <item m="1" x="1536"/>
        <item m="1" x="1244"/>
        <item m="1" x="1518"/>
        <item m="1" x="1210"/>
        <item m="1" x="1195"/>
        <item m="1" x="1183"/>
        <item m="1" x="1459"/>
        <item m="1" x="1279"/>
        <item m="1" x="1172"/>
        <item m="1" x="1560"/>
        <item m="1" x="1290"/>
        <item m="1" x="968"/>
        <item m="1" x="1138"/>
        <item m="1" x="1412"/>
        <item m="1" x="1112"/>
        <item m="1" x="1575"/>
        <item m="1" x="1383"/>
        <item m="1" x="1416"/>
        <item m="1" x="1360"/>
        <item m="1" x="1511"/>
        <item m="1" x="902"/>
        <item m="1" x="1466"/>
        <item m="1" x="1431"/>
        <item m="1" x="1629"/>
        <item m="1" x="1505"/>
        <item m="1" x="1472"/>
        <item m="1" x="1428"/>
        <item m="1" x="1432"/>
        <item m="1" x="1407"/>
        <item m="1" x="1393"/>
        <item m="1" x="1531"/>
        <item m="1" x="1626"/>
        <item m="1" x="869"/>
        <item m="1" x="1502"/>
        <item m="1" x="954"/>
        <item m="1" x="940"/>
        <item m="1" x="1605"/>
        <item m="1" x="1117"/>
        <item m="1" x="1523"/>
        <item m="1" x="1537"/>
        <item m="1" x="1543"/>
        <item m="1" x="1499"/>
        <item m="1" x="1599"/>
        <item m="1" x="1527"/>
        <item m="1" x="1036"/>
        <item m="1" x="981"/>
        <item m="1" x="1696"/>
        <item m="1" x="1709"/>
        <item m="1" x="1157"/>
        <item m="1" x="946"/>
        <item m="1" x="1188"/>
        <item m="1" x="1686"/>
        <item m="1" x="1670"/>
        <item m="1" x="1692"/>
        <item m="1" x="1386"/>
        <item m="1" x="1640"/>
        <item m="1" x="979"/>
        <item m="1" x="1570"/>
        <item m="1" x="1084"/>
        <item m="1" x="1081"/>
        <item m="1" x="893"/>
        <item m="1" x="1668"/>
        <item m="1" x="1649"/>
        <item m="1" x="1050"/>
        <item m="1" x="870"/>
        <item m="1" x="1634"/>
        <item m="1" x="1089"/>
        <item m="1" x="1576"/>
        <item m="1" x="1716"/>
        <item m="1" x="974"/>
        <item m="1" x="1088"/>
        <item m="1" x="1204"/>
        <item m="1" x="1071"/>
        <item m="1" x="907"/>
        <item m="1" x="1186"/>
        <item m="1" x="895"/>
        <item m="1" x="1044"/>
        <item m="1" x="1318"/>
        <item m="1" x="1325"/>
        <item m="1" x="1481"/>
        <item m="1" x="996"/>
        <item m="1" x="1582"/>
        <item m="1" x="976"/>
        <item m="1" x="1567"/>
        <item m="1" x="959"/>
        <item m="1" x="1677"/>
        <item m="1" x="1656"/>
        <item m="1" x="891"/>
        <item m="1" x="1001"/>
        <item m="1" x="882"/>
        <item m="1" x="868"/>
        <item m="1" x="1310"/>
        <item m="1" x="1464"/>
        <item m="1" x="1356"/>
        <item m="1" x="1434"/>
        <item m="1" x="1168"/>
        <item m="1" x="1070"/>
        <item m="1" x="961"/>
        <item m="1" x="989"/>
        <item m="1" x="1219"/>
        <item m="1" x="1413"/>
        <item m="1" x="1579"/>
        <item m="1" x="1285"/>
        <item m="1" x="1415"/>
        <item m="1" x="859"/>
        <item m="1" x="1345"/>
        <item m="1" x="1480"/>
        <item m="1" x="1528"/>
        <item m="1" x="1462"/>
        <item m="1" x="1441"/>
        <item m="1" x="1678"/>
        <item m="1" x="1426"/>
        <item m="1" x="1562"/>
        <item m="1" x="1444"/>
        <item m="1" x="1005"/>
        <item m="1" x="1672"/>
        <item m="1" x="1534"/>
        <item m="1" x="1680"/>
        <item m="1" x="1047"/>
        <item m="1" x="956"/>
        <item m="1" x="1340"/>
        <item m="1" x="1016"/>
        <item m="1" x="886"/>
        <item m="1" x="1176"/>
        <item m="1" x="1162"/>
        <item m="1" x="1571"/>
        <item m="1" x="1457"/>
        <item m="1" x="832"/>
        <item m="1" x="1049"/>
        <item m="1" x="1129"/>
        <item m="1" x="1542"/>
        <item m="1" x="1379"/>
        <item m="1" x="1673"/>
        <item m="1" x="1660"/>
        <item m="1" x="1533"/>
        <item m="1" x="1461"/>
        <item m="1" x="1251"/>
        <item m="1" x="1239"/>
        <item m="1" x="1644"/>
        <item m="1" x="1433"/>
        <item m="1" x="1144"/>
        <item m="1" x="1417"/>
        <item m="1" x="1535"/>
        <item m="1" x="1173"/>
        <item m="1" x="1399"/>
        <item m="1" x="1674"/>
        <item m="1" x="1242"/>
        <item m="1" x="1043"/>
        <item m="1" x="1083"/>
        <item m="1" x="1272"/>
        <item m="1" x="1580"/>
        <item m="1" x="1253"/>
        <item m="1" x="1134"/>
        <item m="1" x="991"/>
        <item m="1" x="963"/>
        <item m="1" x="1519"/>
        <item m="1" x="1398"/>
        <item m="1" x="994"/>
        <item m="1" x="1548"/>
        <item m="1" x="1113"/>
        <item m="1" x="1266"/>
        <item m="1" x="861"/>
        <item m="1" x="927"/>
        <item m="1" x="1380"/>
        <item m="1" x="1163"/>
        <item m="1" x="1026"/>
        <item m="1" x="1478"/>
        <item m="1" x="1460"/>
        <item m="1" x="839"/>
        <item m="1" x="1694"/>
        <item m="1" x="1627"/>
        <item m="1" x="879"/>
        <item m="1" x="1334"/>
        <item m="1" x="1213"/>
        <item m="1" x="1311"/>
        <item m="1" x="865"/>
        <item m="1" x="853"/>
        <item m="1" x="1132"/>
        <item m="1" x="1092"/>
        <item m="1" x="1023"/>
        <item m="1" x="1178"/>
        <item m="1" x="903"/>
        <item m="1" x="1208"/>
        <item m="1" x="950"/>
        <item m="1" x="1422"/>
        <item m="1" x="871"/>
        <item m="1" x="1614"/>
        <item m="1" x="1179"/>
        <item m="1" x="855"/>
        <item m="1" x="1507"/>
        <item m="1" x="1630"/>
        <item m="1" x="1490"/>
        <item m="1" x="857"/>
        <item m="1" x="1343"/>
        <item m="1" x="1281"/>
        <item m="1" x="1243"/>
        <item m="1" x="1475"/>
        <item m="1" x="1109"/>
        <item m="1" x="969"/>
        <item m="1" x="1265"/>
        <item m="1" x="1199"/>
        <item m="1" x="1133"/>
        <item m="1" x="1394"/>
        <item m="1" x="1094"/>
        <item m="1" x="1145"/>
        <item m="1" x="1010"/>
        <item m="1" x="955"/>
        <item m="1" x="1547"/>
        <item m="1" x="1397"/>
        <item m="1" x="1681"/>
        <item m="1" x="1292"/>
        <item m="1" x="1257"/>
        <item m="1" x="1288"/>
        <item m="1" x="984"/>
        <item m="1" x="1020"/>
        <item m="1" x="1271"/>
        <item m="1" x="970"/>
        <item m="1" x="1004"/>
        <item m="1" x="1319"/>
        <item m="1" x="1096"/>
        <item m="1" x="1255"/>
        <item m="1" x="1077"/>
        <item m="1" x="924"/>
        <item m="1" x="1181"/>
        <item m="1" x="916"/>
        <item m="1" x="1166"/>
        <item m="1" x="921"/>
        <item m="1" x="910"/>
        <item m="1" x="1344"/>
        <item m="1" x="1282"/>
        <item m="1" x="1332"/>
        <item m="1" x="1220"/>
        <item m="1" x="1205"/>
        <item m="1" x="1189"/>
        <item m="1" x="1177"/>
        <item m="1" x="837"/>
        <item m="1" x="1424"/>
        <item m="1" x="1037"/>
        <item m="1" x="1234"/>
        <item m="1" x="1572"/>
        <item m="1" x="1275"/>
        <item m="1" x="1305"/>
        <item m="1" x="1606"/>
        <item m="1" x="1329"/>
        <item m="1" x="1273"/>
        <item m="1" x="1308"/>
        <item m="1" x="1402"/>
        <item m="1" x="1652"/>
        <item m="1" x="1202"/>
        <item m="1" x="1611"/>
        <item m="1" x="1442"/>
        <item m="1" x="1153"/>
        <item m="1" x="1302"/>
        <item m="1" x="1286"/>
        <item m="1" x="1120"/>
        <item m="1" x="1102"/>
        <item m="1" x="1291"/>
        <item m="1" x="1322"/>
        <item m="1" x="1306"/>
        <item m="1" x="1221"/>
        <item m="1" x="1365"/>
        <item m="1" x="1352"/>
        <item m="1" x="1338"/>
        <item m="1" x="1330"/>
        <item m="1" x="1320"/>
        <item m="1" x="1300"/>
        <item m="1" x="1143"/>
        <item m="1" x="1323"/>
        <item m="1" x="878"/>
        <item m="1" x="1427"/>
        <item m="1" x="1485"/>
        <item m="1" x="894"/>
        <item m="1" x="999"/>
        <item m="1" x="1604"/>
        <item m="1" x="1559"/>
        <item m="1" x="1589"/>
        <item m="1" x="1685"/>
        <item m="1" x="1045"/>
        <item m="1" x="1470"/>
        <item m="1" x="1003"/>
        <item m="1" x="831"/>
        <item m="1" x="1410"/>
        <item m="1" x="1581"/>
        <item m="1" x="1388"/>
        <item m="1" x="1370"/>
        <item m="1" x="1574"/>
        <item m="1" x="1374"/>
        <item m="1" x="1430"/>
        <item m="1" x="1516"/>
        <item m="1" x="1245"/>
        <item m="1" x="1233"/>
        <item m="1" x="1214"/>
        <item m="1" x="1198"/>
        <item m="1" x="1165"/>
        <item m="1" x="1150"/>
        <item m="1" x="1298"/>
        <item m="1" x="1522"/>
        <item m="1" x="1635"/>
        <item m="1" x="1235"/>
        <item m="1" x="1510"/>
        <item m="1" x="1618"/>
        <item m="1" x="1217"/>
        <item m="1" x="1041"/>
        <item m="1" x="1336"/>
        <item m="1" x="1031"/>
        <item m="1" x="1327"/>
        <item m="1" x="1371"/>
        <item m="1" x="1314"/>
        <item m="1" x="844"/>
        <item m="1" x="1362"/>
        <item m="1" x="1293"/>
        <item m="1" x="1714"/>
        <item m="1" x="1436"/>
        <item m="1" x="1419"/>
        <item m="1" x="1258"/>
        <item m="1" x="1252"/>
        <item m="1" x="1550"/>
        <item m="1" x="1538"/>
        <item m="1" x="1520"/>
        <item m="1" x="1555"/>
        <item m="1" x="883"/>
        <item m="1" x="1493"/>
        <item m="1" x="1387"/>
        <item m="1" x="1529"/>
        <item m="1" x="1369"/>
        <item m="1" x="1405"/>
        <item m="1" x="1497"/>
        <item m="1" x="900"/>
        <item m="1" x="1483"/>
        <item m="1" x="906"/>
        <item m="1" x="1033"/>
        <item m="1" x="1500"/>
        <item m="1" x="1328"/>
        <item m="1" x="1615"/>
        <item m="1" x="1669"/>
        <item m="1" x="1592"/>
        <item m="1" x="1140"/>
        <item m="1" x="887"/>
        <item m="1" x="898"/>
        <item m="1" x="1658"/>
        <item m="1" x="1035"/>
        <item m="1" x="1504"/>
        <item m="1" x="1654"/>
        <item m="1" x="1203"/>
        <item m="1" x="1545"/>
        <item m="1" x="1230"/>
        <item m="1" x="1687"/>
        <item m="1" x="1015"/>
        <item m="1" x="1601"/>
        <item m="1" x="851"/>
        <item m="1" x="1532"/>
        <item m="1" x="1620"/>
        <item m="1" x="1175"/>
        <item m="1" x="1663"/>
        <item m="1" x="874"/>
        <item m="1" x="980"/>
        <item m="1" x="1607"/>
        <item m="1" x="1706"/>
        <item m="1" x="917"/>
        <item m="1" x="1489"/>
        <item m="1" x="1569"/>
        <item m="1" x="1595"/>
        <item m="1" x="1693"/>
        <item m="1" x="1476"/>
        <item m="1" x="1486"/>
        <item m="1" x="949"/>
        <item m="1" x="1539"/>
        <item m="1" x="1613"/>
        <item m="1" x="1451"/>
        <item m="1" x="1392"/>
        <item m="1" x="1551"/>
        <item m="1" x="1443"/>
        <item m="1" x="1411"/>
        <item m="1" x="1068"/>
        <item m="1" x="953"/>
        <item m="1" x="1671"/>
        <item m="1" x="1659"/>
        <item m="1" x="1247"/>
        <item m="1" x="863"/>
        <item m="1" x="1211"/>
        <item m="1" x="1349"/>
        <item m="1" x="1270"/>
        <item m="1" x="1185"/>
        <item m="1" x="1046"/>
        <item m="1" x="1395"/>
        <item m="1" x="1616"/>
        <item m="1" x="843"/>
        <item m="1" x="1698"/>
        <item m="1" x="1552"/>
        <item m="1" x="892"/>
        <item m="1" x="890"/>
        <item m="1" x="880"/>
        <item m="1" x="1593"/>
        <item m="1" x="1072"/>
        <item m="1" x="1139"/>
        <item m="1" x="944"/>
        <item m="1" x="1099"/>
        <item m="1" x="1347"/>
        <item m="1" x="1312"/>
        <item m="1" x="1192"/>
        <item m="1" x="841"/>
        <item m="1" x="1699"/>
        <item m="1" x="1180"/>
        <item m="1" x="1689"/>
        <item m="1" x="1078"/>
        <item m="1" x="1127"/>
        <item m="1" x="901"/>
        <item m="1" x="1024"/>
        <item m="1" x="1641"/>
        <item m="1" x="1193"/>
        <item m="1" x="1624"/>
        <item m="1" x="1683"/>
        <item m="1" x="919"/>
        <item m="1" x="1307"/>
        <item m="1" x="1027"/>
        <item m="1" x="1009"/>
        <item m="1" x="985"/>
        <item m="1" x="1578"/>
        <item m="1" x="1125"/>
        <item m="1" x="1238"/>
        <item m="1" x="925"/>
        <item m="1" x="867"/>
        <item m="1" x="947"/>
        <item m="1" x="1006"/>
        <item m="1" x="1359"/>
        <item m="1" x="1022"/>
        <item m="1" x="1079"/>
        <item m="1" x="1232"/>
        <item m="1" x="1587"/>
        <item m="1" x="1525"/>
        <item m="1" x="1662"/>
        <item m="1" x="911"/>
        <item m="1" x="1643"/>
        <item m="1" x="1114"/>
        <item m="1" x="1702"/>
        <item m="1" x="1055"/>
        <item m="1" x="848"/>
        <item m="1" x="1666"/>
        <item m="1" x="1066"/>
        <item m="1" x="1420"/>
        <item m="1" x="1384"/>
        <item m="1" x="1149"/>
        <item m="1" x="1054"/>
        <item m="1" x="854"/>
        <item m="1" x="933"/>
        <item m="1" x="1248"/>
        <item m="1" x="1091"/>
        <item m="1" x="939"/>
        <item m="1" x="1259"/>
        <item m="1" x="1154"/>
        <item m="1" x="1130"/>
        <item m="1" x="926"/>
        <item m="1" x="1250"/>
        <item m="1" x="1477"/>
        <item x="829"/>
        <item x="4"/>
        <item m="1" x="1182"/>
        <item m="1" x="1170"/>
        <item m="1" x="1159"/>
        <item m="1" x="1137"/>
        <item m="1" x="1240"/>
        <item m="1" x="1097"/>
        <item m="1" x="1346"/>
        <item m="1" x="1509"/>
        <item m="1" x="951"/>
        <item m="1" x="1326"/>
        <item x="0"/>
        <item x="1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m="1" x="982"/>
        <item m="1" x="1274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727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4"/>
        <item x="385"/>
        <item x="386"/>
        <item x="387"/>
        <item x="388"/>
        <item x="382"/>
        <item x="383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43"/>
        <item x="534"/>
        <item x="535"/>
        <item x="544"/>
        <item x="536"/>
        <item x="537"/>
        <item x="538"/>
        <item x="539"/>
        <item x="545"/>
        <item x="540"/>
        <item x="541"/>
        <item x="546"/>
        <item x="542"/>
        <item x="547"/>
        <item x="548"/>
        <item x="549"/>
        <item x="550"/>
        <item x="552"/>
        <item x="553"/>
        <item x="554"/>
        <item x="555"/>
        <item x="556"/>
        <item x="557"/>
        <item x="551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m="1" x="1280"/>
        <item x="89"/>
        <item x="90"/>
        <item x="419"/>
        <item x="420"/>
        <item m="1" x="151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575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</items>
    </pivotField>
    <pivotField compact="0" outline="0" subtotalTop="0" showAll="0" includeNewItemsInFilter="1"/>
    <pivotField axis="axisRow" compact="0" outline="0" subtotalTop="0" multipleItemSelectionAllowed="1" showAll="0" includeNewItemsInFilter="1">
      <items count="4">
        <item x="2"/>
        <item x="0"/>
        <item h="1" x="1"/>
        <item t="default"/>
      </items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dragToRow="0" dragToCol="0" dragToPage="0" showAll="0" defaultSubtotal="0"/>
  </pivotFields>
  <rowFields count="3">
    <field x="1"/>
    <field x="2"/>
    <field x="4"/>
  </rowFields>
  <rowItems count="902">
    <i>
      <x/>
      <x v="885"/>
      <x v="1"/>
    </i>
    <i>
      <x v="1"/>
      <x v="886"/>
      <x v="1"/>
    </i>
    <i>
      <x v="2"/>
      <x v="887"/>
      <x v="1"/>
    </i>
    <i>
      <x v="3"/>
      <x v="888"/>
      <x v="1"/>
    </i>
    <i>
      <x v="5"/>
      <x v="889"/>
      <x/>
    </i>
    <i>
      <x v="6"/>
      <x v="890"/>
      <x/>
    </i>
    <i>
      <x v="7"/>
      <x v="891"/>
      <x/>
    </i>
    <i>
      <x v="8"/>
      <x v="892"/>
      <x/>
    </i>
    <i>
      <x v="9"/>
      <x v="893"/>
      <x/>
    </i>
    <i>
      <x v="10"/>
      <x v="894"/>
      <x/>
    </i>
    <i>
      <x v="11"/>
      <x v="895"/>
      <x/>
    </i>
    <i>
      <x v="12"/>
      <x v="896"/>
      <x/>
    </i>
    <i>
      <x v="13"/>
      <x v="897"/>
      <x/>
    </i>
    <i>
      <x v="14"/>
      <x v="898"/>
      <x/>
    </i>
    <i>
      <x v="15"/>
      <x v="899"/>
      <x/>
    </i>
    <i>
      <x v="16"/>
      <x v="900"/>
      <x/>
    </i>
    <i>
      <x v="17"/>
      <x v="901"/>
      <x/>
    </i>
    <i>
      <x v="18"/>
      <x v="902"/>
      <x/>
    </i>
    <i>
      <x v="19"/>
      <x v="903"/>
      <x/>
    </i>
    <i>
      <x v="20"/>
      <x v="904"/>
      <x/>
    </i>
    <i>
      <x v="21"/>
      <x v="905"/>
      <x/>
    </i>
    <i>
      <x v="23"/>
      <x v="906"/>
      <x v="1"/>
    </i>
    <i>
      <x v="24"/>
      <x v="907"/>
      <x v="1"/>
    </i>
    <i>
      <x v="25"/>
      <x v="908"/>
      <x v="1"/>
    </i>
    <i>
      <x v="26"/>
      <x v="909"/>
      <x v="1"/>
    </i>
    <i>
      <x v="27"/>
      <x v="910"/>
      <x v="1"/>
    </i>
    <i>
      <x v="28"/>
      <x v="911"/>
      <x v="1"/>
    </i>
    <i>
      <x v="30"/>
      <x v="912"/>
      <x v="1"/>
    </i>
    <i>
      <x v="31"/>
      <x v="913"/>
      <x v="1"/>
    </i>
    <i>
      <x v="32"/>
      <x v="914"/>
      <x v="1"/>
    </i>
    <i>
      <x v="33"/>
      <x v="915"/>
      <x v="1"/>
    </i>
    <i>
      <x v="34"/>
      <x v="916"/>
      <x v="1"/>
    </i>
    <i>
      <x v="35"/>
      <x v="917"/>
      <x v="1"/>
    </i>
    <i>
      <x v="36"/>
      <x v="918"/>
      <x v="1"/>
    </i>
    <i>
      <x v="37"/>
      <x v="919"/>
      <x v="1"/>
    </i>
    <i>
      <x v="39"/>
      <x v="920"/>
      <x v="1"/>
    </i>
    <i>
      <x v="40"/>
      <x v="921"/>
      <x v="1"/>
    </i>
    <i>
      <x v="41"/>
      <x v="922"/>
      <x v="1"/>
    </i>
    <i>
      <x v="42"/>
      <x v="923"/>
      <x v="1"/>
    </i>
    <i>
      <x v="43"/>
      <x v="924"/>
      <x v="1"/>
    </i>
    <i>
      <x v="44"/>
      <x v="925"/>
      <x v="1"/>
    </i>
    <i>
      <x v="45"/>
      <x v="926"/>
      <x v="1"/>
    </i>
    <i>
      <x v="46"/>
      <x v="927"/>
      <x v="1"/>
    </i>
    <i>
      <x v="47"/>
      <x v="928"/>
      <x v="1"/>
    </i>
    <i>
      <x v="48"/>
      <x v="929"/>
      <x v="1"/>
    </i>
    <i>
      <x v="49"/>
      <x v="930"/>
      <x v="1"/>
    </i>
    <i>
      <x v="51"/>
      <x v="931"/>
      <x v="1"/>
    </i>
    <i>
      <x v="52"/>
      <x v="932"/>
      <x v="1"/>
    </i>
    <i>
      <x v="54"/>
      <x v="933"/>
      <x v="1"/>
    </i>
    <i>
      <x v="55"/>
      <x v="934"/>
      <x v="1"/>
    </i>
    <i>
      <x v="56"/>
      <x v="935"/>
      <x v="1"/>
    </i>
    <i>
      <x v="57"/>
      <x v="936"/>
      <x v="1"/>
    </i>
    <i>
      <x v="59"/>
      <x v="937"/>
      <x v="1"/>
    </i>
    <i>
      <x v="60"/>
      <x v="938"/>
      <x v="1"/>
    </i>
    <i>
      <x v="61"/>
      <x v="939"/>
      <x v="1"/>
    </i>
    <i>
      <x v="62"/>
      <x v="940"/>
      <x v="1"/>
    </i>
    <i>
      <x v="63"/>
      <x v="941"/>
      <x v="1"/>
    </i>
    <i>
      <x v="65"/>
      <x v="942"/>
      <x v="1"/>
    </i>
    <i>
      <x v="67"/>
      <x v="943"/>
      <x/>
    </i>
    <i>
      <x v="68"/>
      <x v="944"/>
      <x/>
    </i>
    <i>
      <x v="69"/>
      <x v="945"/>
      <x/>
    </i>
    <i>
      <x v="70"/>
      <x v="946"/>
      <x/>
    </i>
    <i>
      <x v="71"/>
      <x v="947"/>
      <x/>
    </i>
    <i>
      <x v="72"/>
      <x v="948"/>
      <x/>
    </i>
    <i>
      <x v="73"/>
      <x v="946"/>
      <x/>
    </i>
    <i>
      <x v="74"/>
      <x v="949"/>
      <x/>
    </i>
    <i>
      <x v="75"/>
      <x v="950"/>
      <x/>
    </i>
    <i>
      <x v="76"/>
      <x v="951"/>
      <x/>
    </i>
    <i>
      <x v="77"/>
      <x v="952"/>
      <x/>
    </i>
    <i>
      <x v="78"/>
      <x v="953"/>
      <x/>
    </i>
    <i>
      <x v="79"/>
      <x v="954"/>
      <x/>
    </i>
    <i>
      <x v="80"/>
      <x v="955"/>
      <x/>
    </i>
    <i>
      <x v="81"/>
      <x v="956"/>
      <x/>
    </i>
    <i>
      <x v="82"/>
      <x v="957"/>
      <x/>
    </i>
    <i>
      <x v="83"/>
      <x v="958"/>
      <x/>
    </i>
    <i>
      <x v="85"/>
      <x v="959"/>
      <x v="1"/>
    </i>
    <i>
      <x v="86"/>
      <x v="960"/>
      <x v="1"/>
    </i>
    <i>
      <x v="87"/>
      <x v="961"/>
      <x v="1"/>
    </i>
    <i>
      <x v="88"/>
      <x v="962"/>
      <x v="1"/>
    </i>
    <i>
      <x v="89"/>
      <x v="963"/>
      <x v="1"/>
    </i>
    <i>
      <x v="90"/>
      <x v="964"/>
      <x v="1"/>
    </i>
    <i>
      <x v="91"/>
      <x v="965"/>
      <x v="1"/>
    </i>
    <i>
      <x v="92"/>
      <x v="966"/>
      <x v="1"/>
    </i>
    <i>
      <x v="93"/>
      <x v="967"/>
      <x v="1"/>
    </i>
    <i>
      <x v="94"/>
      <x v="968"/>
      <x v="1"/>
    </i>
    <i>
      <x v="95"/>
      <x v="969"/>
      <x v="1"/>
    </i>
    <i>
      <x v="96"/>
      <x v="970"/>
      <x v="1"/>
    </i>
    <i>
      <x v="97"/>
      <x v="971"/>
      <x v="1"/>
    </i>
    <i>
      <x v="99"/>
      <x v="972"/>
      <x v="1"/>
    </i>
    <i>
      <x v="101"/>
      <x v="1459"/>
      <x v="1"/>
    </i>
    <i>
      <x v="102"/>
      <x v="1460"/>
      <x v="1"/>
    </i>
    <i>
      <x v="104"/>
      <x v="975"/>
      <x v="1"/>
    </i>
    <i>
      <x v="105"/>
      <x v="976"/>
      <x v="1"/>
    </i>
    <i>
      <x v="106"/>
      <x v="977"/>
      <x v="1"/>
    </i>
    <i>
      <x v="107"/>
      <x v="978"/>
      <x v="1"/>
    </i>
    <i>
      <x v="109"/>
      <x v="979"/>
      <x v="1"/>
    </i>
    <i>
      <x v="110"/>
      <x v="980"/>
      <x v="1"/>
    </i>
    <i>
      <x v="111"/>
      <x v="981"/>
      <x v="1"/>
    </i>
    <i>
      <x v="112"/>
      <x v="982"/>
      <x v="1"/>
    </i>
    <i>
      <x v="113"/>
      <x v="983"/>
      <x v="1"/>
    </i>
    <i>
      <x v="114"/>
      <x v="984"/>
      <x v="1"/>
    </i>
    <i>
      <x v="115"/>
      <x v="985"/>
      <x v="1"/>
    </i>
    <i>
      <x v="116"/>
      <x v="986"/>
      <x v="1"/>
    </i>
    <i>
      <x v="117"/>
      <x v="987"/>
      <x v="1"/>
    </i>
    <i>
      <x v="118"/>
      <x v="988"/>
      <x v="1"/>
    </i>
    <i>
      <x v="119"/>
      <x v="989"/>
      <x v="1"/>
    </i>
    <i>
      <x v="120"/>
      <x v="990"/>
      <x v="1"/>
    </i>
    <i>
      <x v="121"/>
      <x v="991"/>
      <x v="1"/>
    </i>
    <i>
      <x v="122"/>
      <x v="992"/>
      <x v="1"/>
    </i>
    <i>
      <x v="123"/>
      <x v="993"/>
      <x v="1"/>
    </i>
    <i>
      <x v="124"/>
      <x v="994"/>
      <x v="1"/>
    </i>
    <i>
      <x v="125"/>
      <x v="995"/>
      <x v="1"/>
    </i>
    <i>
      <x v="127"/>
      <x v="996"/>
      <x v="1"/>
    </i>
    <i>
      <x v="128"/>
      <x v="997"/>
      <x v="1"/>
    </i>
    <i>
      <x v="129"/>
      <x v="998"/>
      <x v="1"/>
    </i>
    <i>
      <x v="130"/>
      <x v="999"/>
      <x v="1"/>
    </i>
    <i>
      <x v="132"/>
      <x v="1000"/>
      <x v="1"/>
    </i>
    <i>
      <x v="133"/>
      <x v="1001"/>
      <x v="1"/>
    </i>
    <i>
      <x v="135"/>
      <x v="1002"/>
      <x v="1"/>
    </i>
    <i>
      <x v="136"/>
      <x v="1003"/>
      <x v="1"/>
    </i>
    <i>
      <x v="137"/>
      <x v="1004"/>
      <x v="1"/>
    </i>
    <i>
      <x v="138"/>
      <x v="1005"/>
      <x v="1"/>
    </i>
    <i>
      <x v="139"/>
      <x v="1006"/>
      <x v="1"/>
    </i>
    <i>
      <x v="140"/>
      <x v="1007"/>
      <x v="1"/>
    </i>
    <i>
      <x v="142"/>
      <x v="1008"/>
      <x v="1"/>
    </i>
    <i>
      <x v="143"/>
      <x v="1009"/>
      <x v="1"/>
    </i>
    <i>
      <x v="145"/>
      <x v="1010"/>
      <x v="1"/>
    </i>
    <i>
      <x v="146"/>
      <x v="1011"/>
      <x v="1"/>
    </i>
    <i>
      <x v="148"/>
      <x v="1012"/>
      <x v="1"/>
    </i>
    <i>
      <x v="149"/>
      <x v="1013"/>
      <x v="1"/>
    </i>
    <i>
      <x v="150"/>
      <x v="1014"/>
      <x v="1"/>
    </i>
    <i>
      <x v="152"/>
      <x v="1015"/>
      <x v="1"/>
    </i>
    <i>
      <x v="153"/>
      <x v="1016"/>
      <x v="1"/>
    </i>
    <i>
      <x v="154"/>
      <x v="1017"/>
      <x v="1"/>
    </i>
    <i>
      <x v="155"/>
      <x v="1018"/>
      <x v="1"/>
    </i>
    <i>
      <x v="156"/>
      <x v="1019"/>
      <x v="1"/>
    </i>
    <i>
      <x v="157"/>
      <x v="1020"/>
      <x v="1"/>
    </i>
    <i>
      <x v="159"/>
      <x v="1021"/>
      <x v="1"/>
    </i>
    <i>
      <x v="160"/>
      <x v="1022"/>
      <x v="1"/>
    </i>
    <i>
      <x v="162"/>
      <x v="1023"/>
      <x v="1"/>
    </i>
    <i>
      <x v="163"/>
      <x v="1024"/>
      <x v="1"/>
    </i>
    <i>
      <x v="164"/>
      <x v="1025"/>
      <x v="1"/>
    </i>
    <i>
      <x v="165"/>
      <x v="1026"/>
      <x v="1"/>
    </i>
    <i>
      <x v="166"/>
      <x v="1027"/>
      <x v="1"/>
    </i>
    <i>
      <x v="167"/>
      <x v="1028"/>
      <x v="1"/>
    </i>
    <i>
      <x v="168"/>
      <x v="1029"/>
      <x v="1"/>
    </i>
    <i>
      <x v="169"/>
      <x v="1030"/>
      <x v="1"/>
    </i>
    <i>
      <x v="170"/>
      <x v="1031"/>
      <x v="1"/>
    </i>
    <i>
      <x v="171"/>
      <x v="1032"/>
      <x v="1"/>
    </i>
    <i>
      <x v="172"/>
      <x v="1033"/>
      <x v="1"/>
    </i>
    <i>
      <x v="174"/>
      <x v="1034"/>
      <x/>
    </i>
    <i>
      <x v="175"/>
      <x v="1035"/>
      <x/>
    </i>
    <i>
      <x v="176"/>
      <x v="1036"/>
      <x/>
    </i>
    <i>
      <x v="177"/>
      <x v="1037"/>
      <x/>
    </i>
    <i>
      <x v="178"/>
      <x v="1038"/>
      <x/>
    </i>
    <i>
      <x v="179"/>
      <x v="1039"/>
      <x/>
    </i>
    <i>
      <x v="180"/>
      <x v="1040"/>
      <x/>
    </i>
    <i>
      <x v="181"/>
      <x v="1041"/>
      <x/>
    </i>
    <i>
      <x v="182"/>
      <x v="1042"/>
      <x/>
    </i>
    <i>
      <x v="183"/>
      <x v="1043"/>
      <x/>
    </i>
    <i>
      <x v="184"/>
      <x v="1044"/>
      <x/>
    </i>
    <i>
      <x v="185"/>
      <x v="1045"/>
      <x/>
    </i>
    <i>
      <x v="186"/>
      <x v="1046"/>
      <x/>
    </i>
    <i>
      <x v="187"/>
      <x v="1047"/>
      <x/>
    </i>
    <i>
      <x v="188"/>
      <x v="1048"/>
      <x/>
    </i>
    <i>
      <x v="189"/>
      <x v="1049"/>
      <x/>
    </i>
    <i>
      <x v="190"/>
      <x v="1050"/>
      <x/>
    </i>
    <i>
      <x v="191"/>
      <x v="1051"/>
      <x/>
    </i>
    <i>
      <x v="192"/>
      <x v="1052"/>
      <x/>
    </i>
    <i>
      <x v="193"/>
      <x v="1053"/>
      <x/>
    </i>
    <i>
      <x v="194"/>
      <x v="1054"/>
      <x/>
    </i>
    <i>
      <x v="195"/>
      <x v="1055"/>
      <x/>
    </i>
    <i>
      <x v="196"/>
      <x v="1056"/>
      <x/>
    </i>
    <i>
      <x v="197"/>
      <x v="1057"/>
      <x/>
    </i>
    <i>
      <x v="198"/>
      <x v="1058"/>
      <x/>
    </i>
    <i>
      <x v="199"/>
      <x v="1059"/>
      <x/>
    </i>
    <i>
      <x v="200"/>
      <x v="1060"/>
      <x/>
    </i>
    <i>
      <x v="201"/>
      <x v="1061"/>
      <x/>
    </i>
    <i>
      <x v="203"/>
      <x v="1062"/>
      <x v="1"/>
    </i>
    <i>
      <x v="205"/>
      <x v="1063"/>
      <x v="1"/>
    </i>
    <i>
      <x v="207"/>
      <x v="1064"/>
      <x v="1"/>
    </i>
    <i>
      <x v="209"/>
      <x v="1065"/>
      <x v="1"/>
    </i>
    <i>
      <x v="210"/>
      <x v="1066"/>
      <x v="1"/>
    </i>
    <i>
      <x v="211"/>
      <x v="1067"/>
      <x v="1"/>
    </i>
    <i>
      <x v="212"/>
      <x v="1068"/>
      <x v="1"/>
    </i>
    <i>
      <x v="214"/>
      <x v="1069"/>
      <x v="1"/>
    </i>
    <i>
      <x v="216"/>
      <x v="1070"/>
      <x v="1"/>
    </i>
    <i>
      <x v="217"/>
      <x v="1071"/>
      <x v="1"/>
    </i>
    <i>
      <x v="218"/>
      <x v="1072"/>
      <x v="1"/>
    </i>
    <i>
      <x v="219"/>
      <x v="1073"/>
      <x v="1"/>
    </i>
    <i>
      <x v="220"/>
      <x v="1074"/>
      <x v="1"/>
    </i>
    <i>
      <x v="221"/>
      <x v="1075"/>
      <x v="1"/>
    </i>
    <i>
      <x v="222"/>
      <x v="1076"/>
      <x v="1"/>
    </i>
    <i>
      <x v="224"/>
      <x v="1077"/>
      <x v="1"/>
    </i>
    <i>
      <x v="225"/>
      <x v="1078"/>
      <x v="1"/>
    </i>
    <i>
      <x v="226"/>
      <x v="1079"/>
      <x v="1"/>
    </i>
    <i>
      <x v="227"/>
      <x v="1080"/>
      <x v="1"/>
    </i>
    <i>
      <x v="228"/>
      <x v="1081"/>
      <x v="1"/>
    </i>
    <i>
      <x v="229"/>
      <x v="1082"/>
      <x v="1"/>
    </i>
    <i>
      <x v="230"/>
      <x v="1083"/>
      <x v="1"/>
    </i>
    <i>
      <x v="231"/>
      <x v="1084"/>
      <x v="1"/>
    </i>
    <i>
      <x v="232"/>
      <x v="1085"/>
      <x v="1"/>
    </i>
    <i>
      <x v="234"/>
      <x v="1086"/>
      <x v="1"/>
    </i>
    <i>
      <x v="235"/>
      <x v="1087"/>
      <x v="1"/>
    </i>
    <i>
      <x v="237"/>
      <x v="1088"/>
      <x v="1"/>
    </i>
    <i>
      <x v="239"/>
      <x v="1089"/>
      <x v="1"/>
    </i>
    <i>
      <x v="241"/>
      <x v="1090"/>
      <x v="1"/>
    </i>
    <i>
      <x v="242"/>
      <x v="1091"/>
      <x v="1"/>
    </i>
    <i>
      <x v="243"/>
      <x v="1092"/>
      <x v="1"/>
    </i>
    <i>
      <x v="244"/>
      <x v="1093"/>
      <x v="1"/>
    </i>
    <i>
      <x v="246"/>
      <x v="1094"/>
      <x/>
    </i>
    <i>
      <x v="247"/>
      <x v="1095"/>
      <x/>
    </i>
    <i>
      <x v="248"/>
      <x v="1096"/>
      <x/>
    </i>
    <i>
      <x v="249"/>
      <x v="1097"/>
      <x/>
    </i>
    <i>
      <x v="250"/>
      <x v="1098"/>
      <x/>
    </i>
    <i>
      <x v="251"/>
      <x v="1099"/>
      <x/>
    </i>
    <i>
      <x v="252"/>
      <x v="1100"/>
      <x/>
    </i>
    <i>
      <x v="253"/>
      <x v="1101"/>
      <x/>
    </i>
    <i>
      <x v="255"/>
      <x v="1102"/>
      <x v="1"/>
    </i>
    <i>
      <x v="256"/>
      <x v="1103"/>
      <x v="1"/>
    </i>
    <i>
      <x v="257"/>
      <x v="1104"/>
      <x v="1"/>
    </i>
    <i>
      <x v="258"/>
      <x v="1105"/>
      <x v="1"/>
    </i>
    <i>
      <x v="259"/>
      <x v="1106"/>
      <x v="1"/>
    </i>
    <i>
      <x v="260"/>
      <x v="1107"/>
      <x v="1"/>
    </i>
    <i>
      <x v="261"/>
      <x v="1108"/>
      <x v="1"/>
    </i>
    <i>
      <x v="262"/>
      <x v="1109"/>
      <x v="1"/>
    </i>
    <i>
      <x v="263"/>
      <x v="1110"/>
      <x v="1"/>
    </i>
    <i>
      <x v="265"/>
      <x v="1111"/>
      <x v="1"/>
    </i>
    <i>
      <x v="266"/>
      <x v="1112"/>
      <x v="1"/>
    </i>
    <i>
      <x v="268"/>
      <x v="1113"/>
      <x v="1"/>
    </i>
    <i>
      <x v="269"/>
      <x v="1114"/>
      <x v="1"/>
    </i>
    <i>
      <x v="270"/>
      <x v="1115"/>
      <x v="1"/>
    </i>
    <i>
      <x v="271"/>
      <x v="1116"/>
      <x v="1"/>
    </i>
    <i>
      <x v="273"/>
      <x v="1117"/>
      <x v="1"/>
    </i>
    <i>
      <x v="274"/>
      <x v="1118"/>
      <x v="1"/>
    </i>
    <i>
      <x v="275"/>
      <x v="1119"/>
      <x v="1"/>
    </i>
    <i>
      <x v="277"/>
      <x v="1120"/>
      <x v="1"/>
    </i>
    <i>
      <x v="278"/>
      <x v="1121"/>
      <x v="1"/>
    </i>
    <i>
      <x v="279"/>
      <x v="1122"/>
      <x v="1"/>
    </i>
    <i>
      <x v="281"/>
      <x v="1123"/>
      <x v="1"/>
    </i>
    <i>
      <x v="282"/>
      <x v="1124"/>
      <x v="1"/>
    </i>
    <i>
      <x v="284"/>
      <x v="1125"/>
      <x v="1"/>
    </i>
    <i>
      <x v="285"/>
      <x v="1126"/>
      <x v="1"/>
    </i>
    <i>
      <x v="286"/>
      <x v="1127"/>
      <x v="1"/>
    </i>
    <i>
      <x v="287"/>
      <x v="1128"/>
      <x v="1"/>
    </i>
    <i>
      <x v="289"/>
      <x v="1129"/>
      <x v="1"/>
    </i>
    <i>
      <x v="291"/>
      <x v="1130"/>
      <x v="1"/>
    </i>
    <i>
      <x v="293"/>
      <x v="1131"/>
      <x v="1"/>
    </i>
    <i>
      <x v="294"/>
      <x v="1132"/>
      <x v="1"/>
    </i>
    <i>
      <x v="295"/>
      <x v="1133"/>
      <x v="1"/>
    </i>
    <i>
      <x v="296"/>
      <x v="1134"/>
      <x v="1"/>
    </i>
    <i>
      <x v="297"/>
      <x v="1135"/>
      <x v="1"/>
    </i>
    <i>
      <x v="298"/>
      <x v="1136"/>
      <x v="1"/>
    </i>
    <i>
      <x v="299"/>
      <x v="1137"/>
      <x v="1"/>
    </i>
    <i>
      <x v="300"/>
      <x v="1138"/>
      <x v="1"/>
    </i>
    <i>
      <x v="301"/>
      <x v="1139"/>
      <x v="1"/>
    </i>
    <i>
      <x v="302"/>
      <x v="1140"/>
      <x v="1"/>
    </i>
    <i>
      <x v="303"/>
      <x v="1141"/>
      <x v="1"/>
    </i>
    <i>
      <x v="305"/>
      <x v="1142"/>
      <x v="1"/>
    </i>
    <i>
      <x v="306"/>
      <x v="1143"/>
      <x v="1"/>
    </i>
    <i>
      <x v="307"/>
      <x v="1144"/>
      <x v="1"/>
    </i>
    <i>
      <x v="308"/>
      <x v="1145"/>
      <x v="1"/>
    </i>
    <i>
      <x v="309"/>
      <x v="1146"/>
      <x v="1"/>
    </i>
    <i>
      <x v="310"/>
      <x v="1147"/>
      <x v="1"/>
    </i>
    <i>
      <x v="312"/>
      <x v="1148"/>
      <x v="1"/>
    </i>
    <i>
      <x v="313"/>
      <x v="1149"/>
      <x v="1"/>
    </i>
    <i>
      <x v="314"/>
      <x v="1150"/>
      <x v="1"/>
    </i>
    <i>
      <x v="316"/>
      <x v="1151"/>
      <x v="1"/>
    </i>
    <i>
      <x v="318"/>
      <x v="1152"/>
      <x v="1"/>
    </i>
    <i>
      <x v="320"/>
      <x v="1153"/>
      <x v="1"/>
    </i>
    <i>
      <x v="321"/>
      <x v="1154"/>
      <x v="1"/>
    </i>
    <i>
      <x v="322"/>
      <x v="1155"/>
      <x v="1"/>
    </i>
    <i>
      <x v="323"/>
      <x v="1156"/>
      <x v="1"/>
    </i>
    <i>
      <x v="325"/>
      <x v="1157"/>
      <x v="1"/>
    </i>
    <i>
      <x v="326"/>
      <x v="1158"/>
      <x v="1"/>
    </i>
    <i>
      <x v="327"/>
      <x v="1159"/>
      <x v="1"/>
    </i>
    <i>
      <x v="328"/>
      <x v="1160"/>
      <x v="1"/>
    </i>
    <i>
      <x v="329"/>
      <x v="1161"/>
      <x v="1"/>
    </i>
    <i>
      <x v="331"/>
      <x v="1162"/>
      <x v="1"/>
    </i>
    <i>
      <x v="332"/>
      <x v="1163"/>
      <x v="1"/>
    </i>
    <i>
      <x v="333"/>
      <x v="1164"/>
      <x v="1"/>
    </i>
    <i>
      <x v="334"/>
      <x v="1165"/>
      <x v="1"/>
    </i>
    <i>
      <x v="335"/>
      <x v="1166"/>
      <x v="1"/>
    </i>
    <i>
      <x v="336"/>
      <x v="1167"/>
      <x v="1"/>
    </i>
    <i>
      <x v="338"/>
      <x v="1168"/>
      <x v="1"/>
    </i>
    <i>
      <x v="339"/>
      <x v="1169"/>
      <x v="1"/>
    </i>
    <i>
      <x v="340"/>
      <x v="1170"/>
      <x v="1"/>
    </i>
    <i>
      <x v="341"/>
      <x v="1171"/>
      <x v="1"/>
    </i>
    <i>
      <x v="342"/>
      <x v="1172"/>
      <x v="1"/>
    </i>
    <i>
      <x v="343"/>
      <x v="1173"/>
      <x v="1"/>
    </i>
    <i>
      <x v="344"/>
      <x v="1174"/>
      <x v="1"/>
    </i>
    <i>
      <x v="345"/>
      <x v="1175"/>
      <x v="1"/>
    </i>
    <i>
      <x v="346"/>
      <x v="1176"/>
      <x v="1"/>
    </i>
    <i>
      <x v="348"/>
      <x v="1177"/>
      <x v="1"/>
    </i>
    <i>
      <x v="349"/>
      <x v="1178"/>
      <x v="1"/>
    </i>
    <i>
      <x v="350"/>
      <x v="1179"/>
      <x v="1"/>
    </i>
    <i>
      <x v="352"/>
      <x v="1180"/>
      <x v="1"/>
    </i>
    <i>
      <x v="353"/>
      <x v="1181"/>
      <x v="1"/>
    </i>
    <i>
      <x v="354"/>
      <x v="1182"/>
      <x v="1"/>
    </i>
    <i>
      <x v="356"/>
      <x v="1183"/>
      <x v="1"/>
    </i>
    <i>
      <x v="357"/>
      <x v="1184"/>
      <x v="1"/>
    </i>
    <i>
      <x v="358"/>
      <x v="1185"/>
      <x v="1"/>
    </i>
    <i>
      <x v="359"/>
      <x v="1186"/>
      <x v="1"/>
    </i>
    <i>
      <x v="360"/>
      <x v="1187"/>
      <x v="1"/>
    </i>
    <i>
      <x v="361"/>
      <x v="1188"/>
      <x v="1"/>
    </i>
    <i>
      <x v="362"/>
      <x v="1189"/>
      <x v="1"/>
    </i>
    <i>
      <x v="363"/>
      <x v="1190"/>
      <x v="1"/>
    </i>
    <i>
      <x v="364"/>
      <x v="1191"/>
      <x v="1"/>
    </i>
    <i>
      <x v="365"/>
      <x v="1192"/>
      <x v="1"/>
    </i>
    <i>
      <x v="366"/>
      <x v="1193"/>
      <x v="1"/>
    </i>
    <i>
      <x v="367"/>
      <x v="1194"/>
      <x v="1"/>
    </i>
    <i>
      <x v="368"/>
      <x v="1195"/>
      <x v="1"/>
    </i>
    <i>
      <x v="369"/>
      <x v="1196"/>
      <x v="1"/>
    </i>
    <i>
      <x v="371"/>
      <x v="1197"/>
      <x v="1"/>
    </i>
    <i>
      <x v="372"/>
      <x v="1198"/>
      <x v="1"/>
    </i>
    <i>
      <x v="373"/>
      <x v="1199"/>
      <x v="1"/>
    </i>
    <i>
      <x v="374"/>
      <x v="1200"/>
      <x v="1"/>
    </i>
    <i>
      <x v="376"/>
      <x v="1201"/>
      <x v="1"/>
    </i>
    <i>
      <x v="377"/>
      <x v="1202"/>
      <x v="1"/>
    </i>
    <i>
      <x v="378"/>
      <x v="1203"/>
      <x v="1"/>
    </i>
    <i>
      <x v="379"/>
      <x v="1204"/>
      <x v="1"/>
    </i>
    <i>
      <x v="380"/>
      <x v="1205"/>
      <x v="1"/>
    </i>
    <i>
      <x v="381"/>
      <x v="1206"/>
      <x v="1"/>
    </i>
    <i>
      <x v="382"/>
      <x v="1207"/>
      <x v="1"/>
    </i>
    <i>
      <x v="383"/>
      <x v="1208"/>
      <x v="1"/>
    </i>
    <i>
      <x v="384"/>
      <x v="1209"/>
      <x v="1"/>
    </i>
    <i>
      <x v="385"/>
      <x v="1210"/>
      <x v="1"/>
    </i>
    <i>
      <x v="386"/>
      <x v="1211"/>
      <x v="1"/>
    </i>
    <i>
      <x v="387"/>
      <x v="1212"/>
      <x v="1"/>
    </i>
    <i>
      <x v="389"/>
      <x v="1213"/>
      <x v="1"/>
    </i>
    <i>
      <x v="390"/>
      <x v="1214"/>
      <x v="1"/>
    </i>
    <i>
      <x v="392"/>
      <x v="1215"/>
      <x v="1"/>
    </i>
    <i>
      <x v="393"/>
      <x v="1216"/>
      <x v="1"/>
    </i>
    <i>
      <x v="394"/>
      <x v="1217"/>
      <x v="1"/>
    </i>
    <i>
      <x v="396"/>
      <x v="1218"/>
      <x v="1"/>
    </i>
    <i>
      <x v="398"/>
      <x v="1219"/>
      <x v="1"/>
    </i>
    <i>
      <x v="400"/>
      <x v="1221"/>
      <x v="1"/>
    </i>
    <i>
      <x v="401"/>
      <x v="1222"/>
      <x v="1"/>
    </i>
    <i>
      <x v="402"/>
      <x v="1223"/>
      <x v="1"/>
    </i>
    <i>
      <x v="403"/>
      <x v="1224"/>
      <x v="1"/>
    </i>
    <i>
      <x v="404"/>
      <x v="1225"/>
      <x v="1"/>
    </i>
    <i>
      <x v="405"/>
      <x v="1226"/>
      <x v="1"/>
    </i>
    <i>
      <x v="406"/>
      <x v="885"/>
      <x v="1"/>
    </i>
    <i>
      <x v="408"/>
      <x v="1010"/>
      <x v="1"/>
    </i>
    <i>
      <x v="410"/>
      <x v="1227"/>
      <x v="1"/>
    </i>
    <i>
      <x v="411"/>
      <x v="1228"/>
      <x v="1"/>
    </i>
    <i>
      <x v="413"/>
      <x v="1229"/>
      <x v="1"/>
    </i>
    <i>
      <x v="415"/>
      <x v="1230"/>
      <x v="1"/>
    </i>
    <i>
      <x v="416"/>
      <x v="1231"/>
      <x v="1"/>
    </i>
    <i>
      <x v="417"/>
      <x v="1232"/>
      <x v="1"/>
    </i>
    <i>
      <x v="418"/>
      <x v="1233"/>
      <x v="1"/>
    </i>
    <i>
      <x v="419"/>
      <x v="1234"/>
      <x v="1"/>
    </i>
    <i>
      <x v="420"/>
      <x v="1235"/>
      <x v="1"/>
    </i>
    <i>
      <x v="422"/>
      <x v="1236"/>
      <x v="1"/>
    </i>
    <i>
      <x v="423"/>
      <x v="1237"/>
      <x v="1"/>
    </i>
    <i>
      <x v="425"/>
      <x v="1238"/>
      <x v="1"/>
    </i>
    <i>
      <x v="426"/>
      <x v="1239"/>
      <x v="1"/>
    </i>
    <i>
      <x v="428"/>
      <x v="1240"/>
      <x v="1"/>
    </i>
    <i>
      <x v="429"/>
      <x v="1241"/>
      <x v="1"/>
    </i>
    <i>
      <x v="430"/>
      <x v="1242"/>
      <x v="1"/>
    </i>
    <i>
      <x v="432"/>
      <x v="1243"/>
      <x v="1"/>
    </i>
    <i>
      <x v="434"/>
      <x v="1244"/>
      <x v="1"/>
    </i>
    <i>
      <x v="435"/>
      <x v="1245"/>
      <x v="1"/>
    </i>
    <i>
      <x v="436"/>
      <x v="1246"/>
      <x v="1"/>
    </i>
    <i>
      <x v="437"/>
      <x v="1247"/>
      <x v="1"/>
    </i>
    <i>
      <x v="438"/>
      <x v="1248"/>
      <x v="1"/>
    </i>
    <i>
      <x v="439"/>
      <x v="1249"/>
      <x v="1"/>
    </i>
    <i>
      <x v="440"/>
      <x v="1250"/>
      <x v="1"/>
    </i>
    <i>
      <x v="442"/>
      <x v="1251"/>
      <x v="1"/>
    </i>
    <i>
      <x v="443"/>
      <x v="1252"/>
      <x v="1"/>
    </i>
    <i>
      <x v="444"/>
      <x v="1253"/>
      <x v="1"/>
    </i>
    <i>
      <x v="445"/>
      <x v="1254"/>
      <x v="1"/>
    </i>
    <i>
      <x v="446"/>
      <x v="1255"/>
      <x v="1"/>
    </i>
    <i>
      <x v="448"/>
      <x v="1256"/>
      <x v="1"/>
    </i>
    <i>
      <x v="449"/>
      <x v="1257"/>
      <x v="1"/>
    </i>
    <i>
      <x v="450"/>
      <x v="1258"/>
      <x v="1"/>
    </i>
    <i>
      <x v="451"/>
      <x v="1259"/>
      <x v="1"/>
    </i>
    <i>
      <x v="452"/>
      <x v="1260"/>
      <x v="1"/>
    </i>
    <i>
      <x v="453"/>
      <x v="1261"/>
      <x v="1"/>
    </i>
    <i>
      <x v="454"/>
      <x v="1262"/>
      <x v="1"/>
    </i>
    <i>
      <x v="455"/>
      <x v="1263"/>
      <x v="1"/>
    </i>
    <i>
      <x v="456"/>
      <x v="1264"/>
      <x v="1"/>
    </i>
    <i>
      <x v="457"/>
      <x v="1265"/>
      <x v="1"/>
    </i>
    <i>
      <x v="458"/>
      <x v="1266"/>
      <x v="1"/>
    </i>
    <i>
      <x v="459"/>
      <x v="1272"/>
      <x v="1"/>
    </i>
    <i>
      <x v="460"/>
      <x v="1273"/>
      <x v="1"/>
    </i>
    <i>
      <x v="462"/>
      <x v="1267"/>
      <x v="1"/>
    </i>
    <i>
      <x v="463"/>
      <x v="1268"/>
      <x v="1"/>
    </i>
    <i>
      <x v="464"/>
      <x v="1269"/>
      <x v="1"/>
    </i>
    <i>
      <x v="465"/>
      <x v="1270"/>
      <x v="1"/>
    </i>
    <i>
      <x v="466"/>
      <x v="1271"/>
      <x v="1"/>
    </i>
    <i>
      <x v="467"/>
      <x v="1274"/>
      <x v="1"/>
    </i>
    <i>
      <x v="468"/>
      <x v="1275"/>
      <x v="1"/>
    </i>
    <i>
      <x v="469"/>
      <x v="1276"/>
      <x v="1"/>
    </i>
    <i>
      <x v="470"/>
      <x v="1277"/>
      <x v="1"/>
    </i>
    <i>
      <x v="472"/>
      <x v="1278"/>
      <x v="1"/>
    </i>
    <i>
      <x v="473"/>
      <x v="1279"/>
      <x v="1"/>
    </i>
    <i>
      <x v="474"/>
      <x v="1280"/>
      <x v="1"/>
    </i>
    <i>
      <x v="475"/>
      <x v="1281"/>
      <x v="1"/>
    </i>
    <i>
      <x v="477"/>
      <x v="1282"/>
      <x v="1"/>
    </i>
    <i>
      <x v="478"/>
      <x v="1283"/>
      <x v="1"/>
    </i>
    <i>
      <x v="479"/>
      <x v="1284"/>
      <x v="1"/>
    </i>
    <i>
      <x v="480"/>
      <x v="1285"/>
      <x v="1"/>
    </i>
    <i>
      <x v="481"/>
      <x v="1286"/>
      <x v="1"/>
    </i>
    <i>
      <x v="482"/>
      <x v="1287"/>
      <x v="1"/>
    </i>
    <i>
      <x v="483"/>
      <x v="1288"/>
      <x v="1"/>
    </i>
    <i>
      <x v="484"/>
      <x v="1289"/>
      <x v="1"/>
    </i>
    <i>
      <x v="486"/>
      <x v="1290"/>
      <x v="1"/>
    </i>
    <i>
      <x v="487"/>
      <x v="1291"/>
      <x v="1"/>
    </i>
    <i>
      <x v="488"/>
      <x v="1292"/>
      <x v="1"/>
    </i>
    <i>
      <x v="489"/>
      <x v="1293"/>
      <x v="1"/>
    </i>
    <i>
      <x v="490"/>
      <x v="1294"/>
      <x v="1"/>
    </i>
    <i>
      <x v="491"/>
      <x v="1295"/>
      <x v="1"/>
    </i>
    <i>
      <x v="492"/>
      <x v="1296"/>
      <x v="1"/>
    </i>
    <i>
      <x v="493"/>
      <x v="1297"/>
      <x v="1"/>
    </i>
    <i>
      <x v="495"/>
      <x v="1298"/>
      <x v="1"/>
    </i>
    <i>
      <x v="496"/>
      <x v="1299"/>
      <x v="1"/>
    </i>
    <i>
      <x v="497"/>
      <x v="1300"/>
      <x v="1"/>
    </i>
    <i>
      <x v="498"/>
      <x v="1301"/>
      <x v="1"/>
    </i>
    <i>
      <x v="499"/>
      <x v="1302"/>
      <x v="1"/>
    </i>
    <i>
      <x v="500"/>
      <x v="1303"/>
      <x v="1"/>
    </i>
    <i>
      <x v="501"/>
      <x v="1461"/>
      <x v="1"/>
    </i>
    <i>
      <x v="502"/>
      <x v="1462"/>
      <x v="1"/>
    </i>
    <i>
      <x v="503"/>
      <x v="1304"/>
      <x v="1"/>
    </i>
    <i>
      <x v="504"/>
      <x v="1305"/>
      <x v="1"/>
    </i>
    <i>
      <x v="506"/>
      <x v="1306"/>
      <x v="1"/>
    </i>
    <i>
      <x v="507"/>
      <x v="1307"/>
      <x v="1"/>
    </i>
    <i>
      <x v="508"/>
      <x v="1308"/>
      <x v="1"/>
    </i>
    <i>
      <x v="509"/>
      <x v="1309"/>
      <x v="1"/>
    </i>
    <i>
      <x v="511"/>
      <x v="1310"/>
      <x v="1"/>
    </i>
    <i>
      <x v="512"/>
      <x v="1311"/>
      <x v="1"/>
    </i>
    <i>
      <x v="514"/>
      <x v="1312"/>
      <x v="1"/>
    </i>
    <i>
      <x v="515"/>
      <x v="1313"/>
      <x v="1"/>
    </i>
    <i>
      <x v="516"/>
      <x v="1314"/>
      <x v="1"/>
    </i>
    <i>
      <x v="517"/>
      <x v="1315"/>
      <x v="1"/>
    </i>
    <i>
      <x v="519"/>
      <x v="1316"/>
      <x v="1"/>
    </i>
    <i>
      <x v="520"/>
      <x v="1317"/>
      <x v="1"/>
    </i>
    <i>
      <x v="521"/>
      <x v="1318"/>
      <x v="1"/>
    </i>
    <i>
      <x v="523"/>
      <x v="1319"/>
      <x v="1"/>
    </i>
    <i>
      <x v="524"/>
      <x v="1320"/>
      <x v="1"/>
    </i>
    <i>
      <x v="525"/>
      <x v="1321"/>
      <x v="1"/>
    </i>
    <i>
      <x v="526"/>
      <x v="1322"/>
      <x v="1"/>
    </i>
    <i>
      <x v="527"/>
      <x v="1323"/>
      <x v="1"/>
    </i>
    <i>
      <x v="528"/>
      <x v="1324"/>
      <x v="1"/>
    </i>
    <i>
      <x v="530"/>
      <x v="1325"/>
      <x v="1"/>
    </i>
    <i>
      <x v="532"/>
      <x v="1326"/>
      <x v="1"/>
    </i>
    <i>
      <x v="534"/>
      <x v="1011"/>
      <x v="1"/>
    </i>
    <i>
      <x v="536"/>
      <x v="1327"/>
      <x v="1"/>
    </i>
    <i>
      <x v="538"/>
      <x v="1328"/>
      <x v="1"/>
    </i>
    <i>
      <x v="539"/>
      <x v="1329"/>
      <x v="1"/>
    </i>
    <i>
      <x v="541"/>
      <x v="1330"/>
      <x v="1"/>
    </i>
    <i>
      <x v="542"/>
      <x v="1331"/>
      <x v="1"/>
    </i>
    <i>
      <x v="544"/>
      <x v="1332"/>
      <x v="1"/>
    </i>
    <i>
      <x v="545"/>
      <x v="1333"/>
      <x v="1"/>
    </i>
    <i>
      <x v="547"/>
      <x v="1334"/>
      <x v="1"/>
    </i>
    <i>
      <x v="548"/>
      <x v="1335"/>
      <x v="1"/>
    </i>
    <i>
      <x v="550"/>
      <x v="1336"/>
      <x v="1"/>
    </i>
    <i>
      <x v="552"/>
      <x v="1337"/>
      <x v="1"/>
    </i>
    <i>
      <x v="553"/>
      <x v="1338"/>
      <x v="1"/>
    </i>
    <i>
      <x v="554"/>
      <x v="1339"/>
      <x v="1"/>
    </i>
    <i>
      <x v="556"/>
      <x v="1340"/>
      <x v="1"/>
    </i>
    <i>
      <x v="557"/>
      <x v="1341"/>
      <x v="1"/>
    </i>
    <i>
      <x v="558"/>
      <x v="1342"/>
      <x v="1"/>
    </i>
    <i>
      <x v="559"/>
      <x v="1343"/>
      <x v="1"/>
    </i>
    <i>
      <x v="560"/>
      <x v="1344"/>
      <x v="1"/>
    </i>
    <i>
      <x v="561"/>
      <x v="1345"/>
      <x v="1"/>
    </i>
    <i>
      <x v="563"/>
      <x v="1346"/>
      <x v="1"/>
    </i>
    <i>
      <x v="565"/>
      <x v="1347"/>
      <x v="1"/>
    </i>
    <i>
      <x v="566"/>
      <x v="1348"/>
      <x v="1"/>
    </i>
    <i>
      <x v="567"/>
      <x v="1349"/>
      <x v="1"/>
    </i>
    <i>
      <x v="568"/>
      <x v="1350"/>
      <x v="1"/>
    </i>
    <i>
      <x v="569"/>
      <x v="1351"/>
      <x v="1"/>
    </i>
    <i>
      <x v="570"/>
      <x v="1352"/>
      <x v="1"/>
    </i>
    <i>
      <x v="571"/>
      <x v="1353"/>
      <x v="1"/>
    </i>
    <i>
      <x v="572"/>
      <x v="1354"/>
      <x v="1"/>
    </i>
    <i>
      <x v="573"/>
      <x v="1355"/>
      <x v="1"/>
    </i>
    <i>
      <x v="574"/>
      <x v="1356"/>
      <x v="1"/>
    </i>
    <i>
      <x v="575"/>
      <x v="1357"/>
      <x v="1"/>
    </i>
    <i>
      <x v="576"/>
      <x v="1358"/>
      <x v="1"/>
    </i>
    <i>
      <x v="577"/>
      <x v="1359"/>
      <x v="1"/>
    </i>
    <i>
      <x v="578"/>
      <x v="1360"/>
      <x v="1"/>
    </i>
    <i>
      <x v="579"/>
      <x v="1361"/>
      <x v="1"/>
    </i>
    <i>
      <x v="580"/>
      <x v="1362"/>
      <x v="1"/>
    </i>
    <i>
      <x v="582"/>
      <x v="1363"/>
      <x v="1"/>
    </i>
    <i>
      <x v="583"/>
      <x v="1364"/>
      <x v="1"/>
    </i>
    <i>
      <x v="584"/>
      <x v="1365"/>
      <x v="1"/>
    </i>
    <i>
      <x v="585"/>
      <x v="1366"/>
      <x v="1"/>
    </i>
    <i>
      <x v="586"/>
      <x v="1367"/>
      <x v="1"/>
    </i>
    <i>
      <x v="588"/>
      <x v="1368"/>
      <x v="1"/>
    </i>
    <i>
      <x v="589"/>
      <x v="1369"/>
      <x v="1"/>
    </i>
    <i>
      <x v="590"/>
      <x v="1370"/>
      <x v="1"/>
    </i>
    <i>
      <x v="591"/>
      <x v="1371"/>
      <x v="1"/>
    </i>
    <i>
      <x v="592"/>
      <x v="1372"/>
      <x v="1"/>
    </i>
    <i>
      <x v="593"/>
      <x v="1373"/>
      <x v="1"/>
    </i>
    <i>
      <x v="594"/>
      <x v="1374"/>
      <x v="1"/>
    </i>
    <i>
      <x v="595"/>
      <x v="1375"/>
      <x v="1"/>
    </i>
    <i>
      <x v="596"/>
      <x v="1376"/>
      <x v="1"/>
    </i>
    <i>
      <x v="597"/>
      <x v="1377"/>
      <x v="1"/>
    </i>
    <i>
      <x v="598"/>
      <x v="1378"/>
      <x v="1"/>
    </i>
    <i>
      <x v="599"/>
      <x v="1379"/>
      <x v="1"/>
    </i>
    <i>
      <x v="600"/>
      <x v="1380"/>
      <x v="1"/>
    </i>
    <i>
      <x v="601"/>
      <x v="1381"/>
      <x v="1"/>
    </i>
    <i>
      <x v="602"/>
      <x v="1382"/>
      <x v="1"/>
    </i>
    <i>
      <x v="603"/>
      <x v="1383"/>
      <x v="1"/>
    </i>
    <i>
      <x v="604"/>
      <x v="1384"/>
      <x v="1"/>
    </i>
    <i>
      <x v="605"/>
      <x v="1385"/>
      <x v="1"/>
    </i>
    <i>
      <x v="606"/>
      <x v="1386"/>
      <x v="1"/>
    </i>
    <i>
      <x v="607"/>
      <x v="1387"/>
      <x v="1"/>
    </i>
    <i>
      <x v="608"/>
      <x v="1388"/>
      <x v="1"/>
    </i>
    <i>
      <x v="609"/>
      <x v="1389"/>
      <x v="1"/>
    </i>
    <i>
      <x v="610"/>
      <x v="1390"/>
      <x v="1"/>
    </i>
    <i>
      <x v="612"/>
      <x v="1391"/>
      <x v="1"/>
    </i>
    <i>
      <x v="613"/>
      <x v="1392"/>
      <x v="1"/>
    </i>
    <i>
      <x v="614"/>
      <x v="1393"/>
      <x v="1"/>
    </i>
    <i>
      <x v="615"/>
      <x v="1394"/>
      <x v="1"/>
    </i>
    <i>
      <x v="616"/>
      <x v="1395"/>
      <x v="1"/>
    </i>
    <i>
      <x v="617"/>
      <x v="1396"/>
      <x v="1"/>
    </i>
    <i>
      <x v="618"/>
      <x v="1397"/>
      <x v="1"/>
    </i>
    <i>
      <x v="619"/>
      <x v="1398"/>
      <x v="1"/>
    </i>
    <i>
      <x v="620"/>
      <x v="1399"/>
      <x v="1"/>
    </i>
    <i>
      <x v="621"/>
      <x v="1400"/>
      <x v="1"/>
    </i>
    <i>
      <x v="622"/>
      <x v="1401"/>
      <x v="1"/>
    </i>
    <i>
      <x v="623"/>
      <x v="1402"/>
      <x v="1"/>
    </i>
    <i>
      <x v="624"/>
      <x v="1403"/>
      <x v="1"/>
    </i>
    <i>
      <x v="625"/>
      <x v="1404"/>
      <x v="1"/>
    </i>
    <i>
      <x v="626"/>
      <x v="1405"/>
      <x v="1"/>
    </i>
    <i>
      <x v="627"/>
      <x v="1406"/>
      <x v="1"/>
    </i>
    <i>
      <x v="628"/>
      <x v="1407"/>
      <x v="1"/>
    </i>
    <i>
      <x v="629"/>
      <x v="1408"/>
      <x v="1"/>
    </i>
    <i>
      <x v="630"/>
      <x v="1409"/>
      <x v="1"/>
    </i>
    <i>
      <x v="631"/>
      <x v="1410"/>
      <x v="1"/>
    </i>
    <i>
      <x v="632"/>
      <x v="1411"/>
      <x v="1"/>
    </i>
    <i>
      <x v="633"/>
      <x v="1412"/>
      <x v="1"/>
    </i>
    <i>
      <x v="634"/>
      <x v="1413"/>
      <x v="1"/>
    </i>
    <i>
      <x v="635"/>
      <x v="1414"/>
      <x v="1"/>
    </i>
    <i>
      <x v="636"/>
      <x v="1415"/>
      <x v="1"/>
    </i>
    <i>
      <x v="638"/>
      <x v="1416"/>
      <x v="1"/>
    </i>
    <i>
      <x v="639"/>
      <x v="1418"/>
      <x v="1"/>
    </i>
    <i>
      <x v="640"/>
      <x v="1419"/>
      <x v="1"/>
    </i>
    <i>
      <x v="641"/>
      <x v="1421"/>
      <x v="1"/>
    </i>
    <i>
      <x v="642"/>
      <x v="1422"/>
      <x v="1"/>
    </i>
    <i>
      <x v="643"/>
      <x v="1423"/>
      <x v="1"/>
    </i>
    <i>
      <x v="644"/>
      <x v="1424"/>
      <x v="1"/>
    </i>
    <i>
      <x v="645"/>
      <x v="1426"/>
      <x v="1"/>
    </i>
    <i>
      <x v="646"/>
      <x v="1427"/>
      <x v="1"/>
    </i>
    <i>
      <x v="647"/>
      <x v="1429"/>
      <x v="1"/>
    </i>
    <i>
      <x v="649"/>
      <x v="1417"/>
      <x v="1"/>
    </i>
    <i>
      <x v="650"/>
      <x v="1420"/>
      <x v="1"/>
    </i>
    <i>
      <x v="651"/>
      <x v="1425"/>
      <x v="1"/>
    </i>
    <i>
      <x v="652"/>
      <x v="1428"/>
      <x v="1"/>
    </i>
    <i>
      <x v="653"/>
      <x v="1430"/>
      <x v="1"/>
    </i>
    <i>
      <x v="654"/>
      <x v="1431"/>
      <x v="1"/>
    </i>
    <i>
      <x v="655"/>
      <x v="1432"/>
      <x v="1"/>
    </i>
    <i>
      <x v="656"/>
      <x v="1433"/>
      <x v="1"/>
    </i>
    <i>
      <x v="657"/>
      <x v="1440"/>
      <x v="1"/>
    </i>
    <i>
      <x v="659"/>
      <x v="1434"/>
      <x v="1"/>
    </i>
    <i>
      <x v="660"/>
      <x v="1435"/>
      <x v="1"/>
    </i>
    <i>
      <x v="661"/>
      <x v="1436"/>
      <x v="1"/>
    </i>
    <i>
      <x v="662"/>
      <x v="1437"/>
      <x v="1"/>
    </i>
    <i>
      <x v="663"/>
      <x v="1438"/>
      <x v="1"/>
    </i>
    <i>
      <x v="664"/>
      <x v="1439"/>
      <x v="1"/>
    </i>
    <i>
      <x v="666"/>
      <x v="1441"/>
      <x v="1"/>
    </i>
    <i>
      <x v="668"/>
      <x v="1102"/>
      <x v="1"/>
    </i>
    <i>
      <x v="669"/>
      <x v="1103"/>
      <x v="1"/>
    </i>
    <i>
      <x v="671"/>
      <x v="1136"/>
      <x v="1"/>
    </i>
    <i>
      <x v="672"/>
      <x v="1137"/>
      <x v="1"/>
    </i>
    <i>
      <x v="673"/>
      <x v="1138"/>
      <x v="1"/>
    </i>
    <i>
      <x v="674"/>
      <x v="1139"/>
      <x v="1"/>
    </i>
    <i>
      <x v="675"/>
      <x v="1140"/>
      <x v="1"/>
    </i>
    <i>
      <x v="676"/>
      <x v="1141"/>
      <x v="1"/>
    </i>
    <i>
      <x v="677"/>
      <x v="1142"/>
      <x v="1"/>
    </i>
    <i>
      <x v="679"/>
      <x v="1173"/>
      <x v="1"/>
    </i>
    <i>
      <x v="680"/>
      <x v="1174"/>
      <x v="1"/>
    </i>
    <i>
      <x v="681"/>
      <x v="1182"/>
      <x v="1"/>
    </i>
    <i>
      <x v="683"/>
      <x v="1459"/>
      <x v="1"/>
    </i>
    <i>
      <x v="684"/>
      <x v="1460"/>
      <x v="1"/>
    </i>
    <i>
      <x v="686"/>
      <x v="915"/>
      <x v="1"/>
    </i>
    <i>
      <x v="687"/>
      <x v="916"/>
      <x v="1"/>
    </i>
    <i>
      <x v="689"/>
      <x v="1442"/>
      <x v="1"/>
    </i>
    <i>
      <x v="690"/>
      <x v="1443"/>
      <x v="1"/>
    </i>
    <i>
      <x v="691"/>
      <x v="1444"/>
      <x v="1"/>
    </i>
    <i>
      <x v="693"/>
      <x v="1445"/>
      <x v="1"/>
    </i>
    <i>
      <x v="694"/>
      <x v="1446"/>
      <x v="1"/>
    </i>
    <i>
      <x v="696"/>
      <x v="1447"/>
      <x v="1"/>
    </i>
    <i>
      <x v="697"/>
      <x v="1448"/>
      <x v="1"/>
    </i>
    <i>
      <x v="698"/>
      <x v="1449"/>
      <x v="1"/>
    </i>
    <i>
      <x v="699"/>
      <x v="1450"/>
      <x v="1"/>
    </i>
    <i>
      <x v="700"/>
      <x v="1451"/>
      <x v="1"/>
    </i>
    <i>
      <x v="701"/>
      <x v="1452"/>
      <x v="1"/>
    </i>
    <i>
      <x v="703"/>
      <x v="1453"/>
      <x v="1"/>
    </i>
    <i>
      <x v="704"/>
      <x v="1454"/>
      <x v="1"/>
    </i>
    <i>
      <x v="706"/>
      <x v="1064"/>
      <x v="1"/>
    </i>
    <i>
      <x v="707"/>
      <x v="1455"/>
      <x v="1"/>
    </i>
    <i>
      <x v="709"/>
      <x v="1456"/>
      <x v="1"/>
    </i>
    <i>
      <x v="711"/>
      <x v="1457"/>
      <x v="1"/>
    </i>
    <i>
      <x v="713"/>
      <x v="1556"/>
      <x v="1"/>
    </i>
    <i>
      <x v="714"/>
      <x v="1464"/>
      <x v="1"/>
    </i>
    <i>
      <x v="716"/>
      <x v="1465"/>
      <x v="1"/>
    </i>
    <i>
      <x v="717"/>
      <x v="1466"/>
      <x v="1"/>
    </i>
    <i>
      <x v="718"/>
      <x v="1467"/>
      <x v="1"/>
    </i>
    <i>
      <x v="719"/>
      <x v="1468"/>
      <x v="1"/>
    </i>
    <i>
      <x v="721"/>
      <x v="1469"/>
      <x v="1"/>
    </i>
    <i>
      <x v="723"/>
      <x v="1470"/>
      <x v="1"/>
    </i>
    <i>
      <x v="724"/>
      <x v="1471"/>
      <x v="1"/>
    </i>
    <i>
      <x v="726"/>
      <x v="1472"/>
      <x v="1"/>
    </i>
    <i>
      <x v="727"/>
      <x v="1473"/>
      <x v="1"/>
    </i>
    <i>
      <x v="728"/>
      <x v="1474"/>
      <x v="1"/>
    </i>
    <i>
      <x v="730"/>
      <x v="1475"/>
      <x v="1"/>
    </i>
    <i>
      <x v="731"/>
      <x v="1476"/>
      <x v="1"/>
    </i>
    <i>
      <x v="732"/>
      <x v="1477"/>
      <x v="1"/>
    </i>
    <i>
      <x v="734"/>
      <x v="1125"/>
      <x v="1"/>
    </i>
    <i>
      <x v="736"/>
      <x v="1478"/>
      <x v="1"/>
    </i>
    <i>
      <x v="737"/>
      <x v="1479"/>
      <x v="1"/>
    </i>
    <i>
      <x v="738"/>
      <x v="1480"/>
      <x v="1"/>
    </i>
    <i>
      <x v="740"/>
      <x v="1481"/>
      <x v="1"/>
    </i>
    <i>
      <x v="741"/>
      <x v="1482"/>
      <x v="1"/>
    </i>
    <i>
      <x v="743"/>
      <x v="1483"/>
      <x v="1"/>
    </i>
    <i>
      <x v="744"/>
      <x v="1484"/>
      <x v="1"/>
    </i>
    <i>
      <x v="745"/>
      <x v="1485"/>
      <x v="1"/>
    </i>
    <i>
      <x v="746"/>
      <x v="1486"/>
      <x v="1"/>
    </i>
    <i>
      <x v="747"/>
      <x v="1487"/>
      <x v="1"/>
    </i>
    <i>
      <x v="748"/>
      <x v="1488"/>
      <x v="1"/>
    </i>
    <i>
      <x v="749"/>
      <x v="1489"/>
      <x v="1"/>
    </i>
    <i>
      <x v="750"/>
      <x v="1490"/>
      <x v="1"/>
    </i>
    <i>
      <x v="752"/>
      <x v="1491"/>
      <x v="1"/>
    </i>
    <i>
      <x v="754"/>
      <x v="1492"/>
      <x v="1"/>
    </i>
    <i>
      <x v="755"/>
      <x v="1493"/>
      <x v="1"/>
    </i>
    <i>
      <x v="757"/>
      <x v="1494"/>
      <x v="1"/>
    </i>
    <i>
      <x v="758"/>
      <x v="1495"/>
      <x v="1"/>
    </i>
    <i>
      <x v="759"/>
      <x v="1496"/>
      <x v="1"/>
    </i>
    <i>
      <x v="760"/>
      <x v="1497"/>
      <x v="1"/>
    </i>
    <i>
      <x v="761"/>
      <x v="1498"/>
      <x v="1"/>
    </i>
    <i>
      <x v="762"/>
      <x v="1499"/>
      <x v="1"/>
    </i>
    <i>
      <x v="763"/>
      <x v="1500"/>
      <x v="1"/>
    </i>
    <i>
      <x v="764"/>
      <x v="1501"/>
      <x v="1"/>
    </i>
    <i>
      <x v="765"/>
      <x v="1502"/>
      <x v="1"/>
    </i>
    <i>
      <x v="766"/>
      <x v="1503"/>
      <x v="1"/>
    </i>
    <i>
      <x v="767"/>
      <x v="1504"/>
      <x v="1"/>
    </i>
    <i>
      <x v="768"/>
      <x v="1505"/>
      <x v="1"/>
    </i>
    <i>
      <x v="769"/>
      <x v="1506"/>
      <x v="1"/>
    </i>
    <i>
      <x v="770"/>
      <x v="1507"/>
      <x v="1"/>
    </i>
    <i>
      <x v="771"/>
      <x v="1508"/>
      <x v="1"/>
    </i>
    <i>
      <x v="772"/>
      <x v="1509"/>
      <x v="1"/>
    </i>
    <i>
      <x v="773"/>
      <x v="1510"/>
      <x v="1"/>
    </i>
    <i>
      <x v="774"/>
      <x v="1511"/>
      <x v="1"/>
    </i>
    <i>
      <x v="776"/>
      <x v="1512"/>
      <x/>
    </i>
    <i>
      <x v="777"/>
      <x v="1513"/>
      <x/>
    </i>
    <i>
      <x v="778"/>
      <x v="1514"/>
      <x/>
    </i>
    <i>
      <x v="779"/>
      <x v="1515"/>
      <x/>
    </i>
    <i>
      <x v="780"/>
      <x v="1516"/>
      <x/>
    </i>
    <i>
      <x v="781"/>
      <x v="1517"/>
      <x/>
    </i>
    <i>
      <x v="782"/>
      <x v="1518"/>
      <x/>
    </i>
    <i>
      <x v="783"/>
      <x v="1519"/>
      <x/>
    </i>
    <i>
      <x v="784"/>
      <x v="1520"/>
      <x/>
    </i>
    <i>
      <x v="785"/>
      <x v="1521"/>
      <x/>
    </i>
    <i>
      <x v="786"/>
      <x v="1522"/>
      <x/>
    </i>
    <i>
      <x v="787"/>
      <x v="1523"/>
      <x/>
    </i>
    <i>
      <x v="788"/>
      <x v="1524"/>
      <x/>
    </i>
    <i>
      <x v="789"/>
      <x v="1525"/>
      <x/>
    </i>
    <i>
      <x v="790"/>
      <x v="1526"/>
      <x/>
    </i>
    <i>
      <x v="791"/>
      <x v="1527"/>
      <x/>
    </i>
    <i>
      <x v="792"/>
      <x v="1528"/>
      <x/>
    </i>
    <i>
      <x v="793"/>
      <x v="1529"/>
      <x/>
    </i>
    <i>
      <x v="795"/>
      <x v="1530"/>
      <x v="1"/>
    </i>
    <i>
      <x v="796"/>
      <x v="1531"/>
      <x v="1"/>
    </i>
    <i>
      <x v="797"/>
      <x v="1532"/>
      <x v="1"/>
    </i>
    <i>
      <x v="798"/>
      <x v="1533"/>
      <x v="1"/>
    </i>
    <i>
      <x v="799"/>
      <x v="1534"/>
      <x v="1"/>
    </i>
    <i>
      <x v="801"/>
      <x v="1535"/>
      <x v="1"/>
    </i>
    <i>
      <x v="802"/>
      <x v="1536"/>
      <x v="1"/>
    </i>
    <i>
      <x v="803"/>
      <x v="1537"/>
      <x v="1"/>
    </i>
    <i>
      <x v="805"/>
      <x v="1538"/>
      <x v="1"/>
    </i>
    <i>
      <x v="806"/>
      <x v="1539"/>
      <x v="1"/>
    </i>
    <i>
      <x v="808"/>
      <x v="1540"/>
      <x/>
    </i>
    <i>
      <x v="809"/>
      <x v="1541"/>
      <x/>
    </i>
    <i>
      <x v="810"/>
      <x v="1542"/>
      <x/>
    </i>
    <i>
      <x v="811"/>
      <x v="1543"/>
      <x/>
    </i>
    <i>
      <x v="812"/>
      <x v="1544"/>
      <x/>
    </i>
    <i>
      <x v="813"/>
      <x v="1545"/>
      <x/>
    </i>
    <i>
      <x v="814"/>
      <x v="1546"/>
      <x/>
    </i>
    <i>
      <x v="815"/>
      <x v="1547"/>
      <x/>
    </i>
    <i>
      <x v="816"/>
      <x v="1548"/>
      <x/>
    </i>
    <i>
      <x v="817"/>
      <x v="1549"/>
      <x/>
    </i>
    <i>
      <x v="818"/>
      <x v="1550"/>
      <x/>
    </i>
    <i>
      <x v="819"/>
      <x v="1551"/>
      <x/>
    </i>
    <i>
      <x v="820"/>
      <x v="1552"/>
      <x/>
    </i>
    <i>
      <x v="821"/>
      <x v="1553"/>
      <x/>
    </i>
    <i>
      <x v="823"/>
      <x v="1554"/>
      <x v="1"/>
    </i>
    <i>
      <x v="824"/>
      <x v="1555"/>
      <x v="1"/>
    </i>
    <i>
      <x v="826"/>
      <x v="1557"/>
      <x v="1"/>
    </i>
    <i>
      <x v="827"/>
      <x v="1558"/>
      <x v="1"/>
    </i>
    <i>
      <x v="828"/>
      <x v="1559"/>
      <x v="1"/>
    </i>
    <i>
      <x v="829"/>
      <x v="1560"/>
      <x v="1"/>
    </i>
    <i>
      <x v="830"/>
      <x v="1561"/>
      <x v="1"/>
    </i>
    <i>
      <x v="832"/>
      <x v="1562"/>
      <x v="1"/>
    </i>
    <i>
      <x v="833"/>
      <x v="1563"/>
      <x v="1"/>
    </i>
    <i>
      <x v="834"/>
      <x v="1564"/>
      <x v="1"/>
    </i>
    <i>
      <x v="835"/>
      <x v="1565"/>
      <x v="1"/>
    </i>
    <i>
      <x v="836"/>
      <x v="1566"/>
      <x v="1"/>
    </i>
    <i>
      <x v="837"/>
      <x v="1567"/>
      <x v="1"/>
    </i>
    <i>
      <x v="838"/>
      <x v="1568"/>
      <x v="1"/>
    </i>
    <i>
      <x v="839"/>
      <x v="1569"/>
      <x v="1"/>
    </i>
    <i>
      <x v="840"/>
      <x v="1570"/>
      <x v="1"/>
    </i>
    <i>
      <x v="841"/>
      <x v="1571"/>
      <x v="1"/>
    </i>
    <i>
      <x v="842"/>
      <x v="1572"/>
      <x v="1"/>
    </i>
    <i>
      <x v="843"/>
      <x v="1573"/>
      <x v="1"/>
    </i>
    <i>
      <x v="844"/>
      <x v="1574"/>
      <x v="1"/>
    </i>
    <i>
      <x v="845"/>
      <x v="1575"/>
      <x v="1"/>
    </i>
    <i>
      <x v="847"/>
      <x v="1576"/>
      <x v="1"/>
    </i>
    <i>
      <x v="848"/>
      <x v="1577"/>
      <x v="1"/>
    </i>
    <i>
      <x v="849"/>
      <x v="1578"/>
      <x v="1"/>
    </i>
    <i>
      <x v="850"/>
      <x v="1579"/>
      <x v="1"/>
    </i>
    <i>
      <x v="851"/>
      <x v="1580"/>
      <x v="1"/>
    </i>
    <i>
      <x v="852"/>
      <x v="1581"/>
      <x v="1"/>
    </i>
    <i>
      <x v="854"/>
      <x v="1086"/>
      <x v="1"/>
    </i>
    <i>
      <x v="855"/>
      <x v="1087"/>
      <x v="1"/>
    </i>
    <i>
      <x v="857"/>
      <x v="1088"/>
      <x v="1"/>
    </i>
    <i>
      <x v="859"/>
      <x v="1089"/>
      <x v="1"/>
    </i>
    <i>
      <x v="861"/>
      <x v="1576"/>
      <x v="1"/>
    </i>
    <i>
      <x v="862"/>
      <x v="1577"/>
      <x v="1"/>
    </i>
    <i>
      <x v="863"/>
      <x v="1578"/>
      <x v="1"/>
    </i>
    <i>
      <x v="864"/>
      <x v="1579"/>
      <x v="1"/>
    </i>
    <i>
      <x v="865"/>
      <x v="1580"/>
      <x v="1"/>
    </i>
    <i>
      <x v="866"/>
      <x v="1581"/>
      <x v="1"/>
    </i>
    <i>
      <x v="868"/>
      <x v="1089"/>
      <x v="1"/>
    </i>
    <i>
      <x v="870"/>
      <x v="1582"/>
      <x v="1"/>
    </i>
    <i>
      <x v="871"/>
      <x v="1583"/>
      <x v="1"/>
    </i>
    <i>
      <x v="873"/>
      <x v="1584"/>
      <x/>
    </i>
    <i>
      <x v="874"/>
      <x v="1585"/>
      <x/>
    </i>
    <i>
      <x v="875"/>
      <x v="1586"/>
      <x/>
    </i>
    <i>
      <x v="876"/>
      <x v="1587"/>
      <x/>
    </i>
    <i>
      <x v="877"/>
      <x v="1588"/>
      <x/>
    </i>
    <i>
      <x v="878"/>
      <x v="1589"/>
      <x/>
    </i>
    <i>
      <x v="879"/>
      <x v="1590"/>
      <x/>
    </i>
    <i>
      <x v="880"/>
      <x v="1591"/>
      <x/>
    </i>
    <i>
      <x v="881"/>
      <x v="1592"/>
      <x/>
    </i>
    <i>
      <x v="882"/>
      <x v="1593"/>
      <x/>
    </i>
    <i>
      <x v="883"/>
      <x v="1594"/>
      <x/>
    </i>
    <i>
      <x v="885"/>
      <x v="1595"/>
      <x v="1"/>
    </i>
    <i>
      <x v="886"/>
      <x v="1596"/>
      <x v="1"/>
    </i>
    <i>
      <x v="887"/>
      <x v="1597"/>
      <x v="1"/>
    </i>
    <i>
      <x v="888"/>
      <x v="1598"/>
      <x v="1"/>
    </i>
    <i>
      <x v="889"/>
      <x v="1599"/>
      <x v="1"/>
    </i>
    <i>
      <x v="890"/>
      <x v="1600"/>
      <x v="1"/>
    </i>
    <i>
      <x v="891"/>
      <x v="1601"/>
      <x v="1"/>
    </i>
    <i>
      <x v="892"/>
      <x v="1602"/>
      <x v="1"/>
    </i>
    <i>
      <x v="894"/>
      <x v="1603"/>
      <x v="1"/>
    </i>
    <i>
      <x v="895"/>
      <x v="1604"/>
      <x v="1"/>
    </i>
    <i>
      <x v="896"/>
      <x v="1605"/>
      <x v="1"/>
    </i>
    <i>
      <x v="897"/>
      <x v="1606"/>
      <x v="1"/>
    </i>
    <i>
      <x v="898"/>
      <x v="1607"/>
      <x v="1"/>
    </i>
    <i>
      <x v="899"/>
      <x v="1608"/>
      <x v="1"/>
    </i>
    <i>
      <x v="900"/>
      <x v="1609"/>
      <x v="1"/>
    </i>
    <i>
      <x v="901"/>
      <x v="1610"/>
      <x v="1"/>
    </i>
    <i>
      <x v="902"/>
      <x v="1611"/>
      <x v="1"/>
    </i>
    <i>
      <x v="904"/>
      <x v="1010"/>
      <x v="1"/>
    </i>
    <i>
      <x v="905"/>
      <x v="1113"/>
      <x v="1"/>
    </i>
    <i>
      <x v="907"/>
      <x v="1612"/>
      <x v="1"/>
    </i>
    <i>
      <x v="909"/>
      <x v="1613"/>
      <x v="1"/>
    </i>
    <i>
      <x v="911"/>
      <x v="1614"/>
      <x v="1"/>
    </i>
    <i>
      <x v="913"/>
      <x v="1615"/>
      <x v="1"/>
    </i>
    <i>
      <x v="914"/>
      <x v="1130"/>
      <x v="1"/>
    </i>
    <i>
      <x v="916"/>
      <x v="1220"/>
      <x v="1"/>
    </i>
    <i>
      <x v="918"/>
      <x v="1616"/>
      <x v="1"/>
    </i>
    <i>
      <x v="919"/>
      <x v="1617"/>
      <x v="1"/>
    </i>
    <i>
      <x v="920"/>
      <x v="1618"/>
      <x v="1"/>
    </i>
    <i>
      <x v="921"/>
      <x v="1619"/>
      <x v="1"/>
    </i>
    <i>
      <x v="922"/>
      <x v="1620"/>
      <x v="1"/>
    </i>
    <i>
      <x v="924"/>
      <x v="1543"/>
      <x/>
    </i>
    <i>
      <x v="925"/>
      <x v="1544"/>
      <x/>
    </i>
    <i>
      <x v="926"/>
      <x v="1621"/>
      <x/>
    </i>
    <i>
      <x v="927"/>
      <x v="1622"/>
      <x/>
    </i>
    <i>
      <x v="928"/>
      <x v="1623"/>
      <x/>
    </i>
    <i>
      <x v="929"/>
      <x v="1547"/>
      <x/>
    </i>
    <i>
      <x v="930"/>
      <x v="1550"/>
      <x/>
    </i>
    <i>
      <x v="931"/>
      <x v="1551"/>
      <x/>
    </i>
    <i>
      <x v="932"/>
      <x v="1624"/>
      <x/>
    </i>
    <i>
      <x v="933"/>
      <x v="1625"/>
      <x/>
    </i>
    <i>
      <x v="934"/>
      <x v="1626"/>
      <x/>
    </i>
    <i>
      <x v="935"/>
      <x v="1627"/>
      <x/>
    </i>
    <i>
      <x v="936"/>
      <x v="1552"/>
      <x/>
    </i>
    <i>
      <x v="937"/>
      <x v="1628"/>
      <x/>
    </i>
    <i>
      <x v="938"/>
      <x v="1629"/>
      <x/>
    </i>
    <i>
      <x v="939"/>
      <x v="1630"/>
      <x/>
    </i>
    <i>
      <x v="940"/>
      <x v="1631"/>
      <x/>
    </i>
    <i>
      <x v="941"/>
      <x v="1632"/>
      <x/>
    </i>
    <i>
      <x v="942"/>
      <x v="1633"/>
      <x/>
    </i>
    <i>
      <x v="943"/>
      <x v="1634"/>
      <x/>
    </i>
    <i>
      <x v="944"/>
      <x v="1635"/>
      <x/>
    </i>
    <i>
      <x v="945"/>
      <x v="1636"/>
      <x/>
    </i>
    <i>
      <x v="946"/>
      <x v="1637"/>
      <x/>
    </i>
    <i>
      <x v="947"/>
      <x v="1638"/>
      <x/>
    </i>
    <i>
      <x v="948"/>
      <x v="1639"/>
      <x/>
    </i>
    <i>
      <x v="949"/>
      <x v="1640"/>
      <x/>
    </i>
    <i>
      <x v="950"/>
      <x v="1641"/>
      <x/>
    </i>
    <i>
      <x v="951"/>
      <x v="1642"/>
      <x/>
    </i>
    <i>
      <x v="952"/>
      <x v="1643"/>
      <x/>
    </i>
    <i>
      <x v="953"/>
      <x v="1644"/>
      <x/>
    </i>
    <i>
      <x v="954"/>
      <x v="1645"/>
      <x/>
    </i>
    <i>
      <x v="956"/>
      <x v="1646"/>
      <x v="1"/>
    </i>
    <i>
      <x v="958"/>
      <x v="1647"/>
      <x v="1"/>
    </i>
    <i>
      <x v="959"/>
      <x v="1648"/>
      <x v="1"/>
    </i>
    <i>
      <x v="960"/>
      <x v="1649"/>
      <x v="1"/>
    </i>
    <i>
      <x v="961"/>
      <x v="1650"/>
      <x v="1"/>
    </i>
    <i>
      <x v="962"/>
      <x v="1651"/>
      <x v="1"/>
    </i>
    <i>
      <x v="964"/>
      <x v="1652"/>
      <x v="1"/>
    </i>
    <i>
      <x v="966"/>
      <x v="1653"/>
      <x v="1"/>
    </i>
    <i>
      <x v="968"/>
      <x v="1654"/>
      <x v="1"/>
    </i>
    <i>
      <x v="969"/>
      <x v="999"/>
      <x v="1"/>
    </i>
    <i>
      <x v="971"/>
      <x v="1655"/>
      <x v="1"/>
    </i>
    <i>
      <x v="972"/>
      <x v="1656"/>
      <x v="1"/>
    </i>
    <i>
      <x v="973"/>
      <x v="1002"/>
      <x v="1"/>
    </i>
    <i>
      <x v="974"/>
      <x v="1003"/>
      <x v="1"/>
    </i>
    <i>
      <x v="975"/>
      <x v="1006"/>
      <x v="1"/>
    </i>
    <i>
      <x v="977"/>
      <x v="1008"/>
      <x v="1"/>
    </i>
    <i>
      <x v="979"/>
      <x v="1115"/>
      <x v="1"/>
    </i>
    <i>
      <x v="981"/>
      <x v="1227"/>
      <x v="1"/>
    </i>
    <i>
      <x v="982"/>
      <x v="1228"/>
      <x v="1"/>
    </i>
    <i>
      <x v="983"/>
      <x v="1491"/>
      <x v="1"/>
    </i>
    <i>
      <x v="985"/>
      <x v="1657"/>
      <x v="1"/>
    </i>
    <i>
      <x v="986"/>
      <x v="1221"/>
      <x v="1"/>
    </i>
    <i>
      <x v="987"/>
      <x v="1658"/>
      <x v="1"/>
    </i>
    <i>
      <x v="988"/>
      <x v="1659"/>
      <x v="1"/>
    </i>
    <i>
      <x v="989"/>
      <x v="1660"/>
      <x v="1"/>
    </i>
    <i>
      <x v="990"/>
      <x v="1661"/>
      <x v="1"/>
    </i>
    <i>
      <x v="991"/>
      <x v="1662"/>
      <x v="1"/>
    </i>
    <i>
      <x v="992"/>
      <x v="1223"/>
      <x v="1"/>
    </i>
    <i>
      <x v="993"/>
      <x v="1663"/>
      <x v="1"/>
    </i>
    <i>
      <x v="994"/>
      <x v="1664"/>
      <x v="1"/>
    </i>
    <i>
      <x v="995"/>
      <x v="885"/>
      <x v="1"/>
    </i>
    <i>
      <x v="996"/>
      <x v="888"/>
      <x v="1"/>
    </i>
    <i>
      <x v="998"/>
      <x v="1665"/>
      <x/>
    </i>
    <i>
      <x v="999"/>
      <x v="1666"/>
      <x/>
    </i>
    <i>
      <x v="1000"/>
      <x v="1541"/>
      <x/>
    </i>
    <i>
      <x v="1001"/>
      <x v="1667"/>
      <x/>
    </i>
    <i>
      <x v="1002"/>
      <x v="1542"/>
      <x/>
    </i>
    <i>
      <x v="1003"/>
      <x v="1543"/>
      <x/>
    </i>
    <i>
      <x v="1004"/>
      <x v="1668"/>
      <x/>
    </i>
    <i>
      <x v="1005"/>
      <x v="1545"/>
      <x/>
    </i>
    <i>
      <x v="1006"/>
      <x v="1546"/>
      <x/>
    </i>
    <i>
      <x v="1007"/>
      <x v="1623"/>
      <x/>
    </i>
    <i>
      <x v="1008"/>
      <x v="1547"/>
      <x/>
    </i>
    <i>
      <x v="1009"/>
      <x v="1548"/>
      <x/>
    </i>
    <i>
      <x v="1010"/>
      <x v="1550"/>
      <x/>
    </i>
    <i>
      <x v="1011"/>
      <x v="1551"/>
      <x/>
    </i>
    <i>
      <x v="1012"/>
      <x v="1624"/>
      <x/>
    </i>
    <i>
      <x v="1013"/>
      <x v="1627"/>
      <x/>
    </i>
    <i>
      <x v="1014"/>
      <x v="1552"/>
      <x/>
    </i>
    <i>
      <x v="1015"/>
      <x v="1669"/>
      <x/>
    </i>
    <i>
      <x v="1016"/>
      <x v="1630"/>
      <x/>
    </i>
    <i>
      <x v="1017"/>
      <x v="1631"/>
      <x/>
    </i>
    <i>
      <x v="1018"/>
      <x v="1633"/>
      <x/>
    </i>
    <i>
      <x v="1019"/>
      <x v="1670"/>
      <x/>
    </i>
    <i>
      <x v="1020"/>
      <x v="1634"/>
      <x/>
    </i>
    <i>
      <x v="1021"/>
      <x v="1635"/>
      <x/>
    </i>
    <i>
      <x v="1022"/>
      <x v="1671"/>
      <x/>
    </i>
    <i>
      <x v="1024"/>
      <x v="1672"/>
      <x v="1"/>
    </i>
    <i>
      <x v="1025"/>
      <x v="1673"/>
      <x v="1"/>
    </i>
    <i>
      <x v="1026"/>
      <x v="1674"/>
      <x v="1"/>
    </i>
    <i>
      <x v="1027"/>
      <x v="1675"/>
      <x v="1"/>
    </i>
    <i>
      <x v="1029"/>
      <x v="1676"/>
      <x v="1"/>
    </i>
    <i>
      <x v="1030"/>
      <x v="1677"/>
      <x v="1"/>
    </i>
    <i>
      <x v="1031"/>
      <x v="1678"/>
      <x v="1"/>
    </i>
    <i>
      <x v="1032"/>
      <x v="1679"/>
      <x v="1"/>
    </i>
    <i>
      <x v="1033"/>
      <x v="1680"/>
      <x v="1"/>
    </i>
    <i>
      <x v="1035"/>
      <x v="1681"/>
      <x v="1"/>
    </i>
    <i>
      <x v="1036"/>
      <x v="1682"/>
      <x v="1"/>
    </i>
    <i>
      <x v="1037"/>
      <x v="1683"/>
      <x v="1"/>
    </i>
    <i>
      <x v="1038"/>
      <x v="1684"/>
      <x v="1"/>
    </i>
    <i>
      <x v="1039"/>
      <x v="1685"/>
      <x v="1"/>
    </i>
    <i>
      <x v="1040"/>
      <x v="1686"/>
      <x v="1"/>
    </i>
    <i>
      <x v="1042"/>
      <x v="1687"/>
      <x v="1"/>
    </i>
    <i>
      <x v="1043"/>
      <x v="1688"/>
      <x v="1"/>
    </i>
    <i>
      <x v="1045"/>
      <x v="1689"/>
      <x v="1"/>
    </i>
    <i>
      <x v="1046"/>
      <x v="1690"/>
      <x v="1"/>
    </i>
    <i>
      <x v="1047"/>
      <x v="1691"/>
      <x v="1"/>
    </i>
    <i>
      <x v="1048"/>
      <x v="1692"/>
      <x v="1"/>
    </i>
    <i>
      <x v="1049"/>
      <x v="1693"/>
      <x v="1"/>
    </i>
    <i>
      <x v="1050"/>
      <x v="1694"/>
      <x v="1"/>
    </i>
    <i>
      <x v="1051"/>
      <x v="1695"/>
      <x v="1"/>
    </i>
    <i>
      <x v="1052"/>
      <x v="1696"/>
      <x v="1"/>
    </i>
    <i>
      <x v="1053"/>
      <x v="1697"/>
      <x v="1"/>
    </i>
    <i>
      <x v="1054"/>
      <x v="1698"/>
      <x v="1"/>
    </i>
    <i>
      <x v="1055"/>
      <x v="1699"/>
      <x v="1"/>
    </i>
    <i>
      <x v="1056"/>
      <x v="1700"/>
      <x v="1"/>
    </i>
    <i>
      <x v="1057"/>
      <x v="1701"/>
      <x v="1"/>
    </i>
    <i>
      <x v="1058"/>
      <x v="1702"/>
      <x v="1"/>
    </i>
    <i>
      <x v="1059"/>
      <x v="1703"/>
      <x v="1"/>
    </i>
    <i>
      <x v="1060"/>
      <x v="1704"/>
      <x v="1"/>
    </i>
    <i>
      <x v="1061"/>
      <x v="1705"/>
      <x v="1"/>
    </i>
    <i>
      <x v="1062"/>
      <x v="1706"/>
      <x v="1"/>
    </i>
    <i>
      <x v="1063"/>
      <x v="1707"/>
      <x v="1"/>
    </i>
    <i>
      <x v="1064"/>
      <x v="1708"/>
      <x v="1"/>
    </i>
    <i>
      <x v="1065"/>
      <x v="1709"/>
      <x v="1"/>
    </i>
    <i>
      <x v="1066"/>
      <x v="1710"/>
      <x v="1"/>
    </i>
    <i>
      <x v="1067"/>
      <x v="1711"/>
      <x v="1"/>
    </i>
    <i>
      <x v="1068"/>
      <x v="1712"/>
      <x v="1"/>
    </i>
    <i>
      <x v="1070"/>
      <x v="1713"/>
      <x v="1"/>
    </i>
    <i>
      <x v="1071"/>
      <x v="1714"/>
      <x v="1"/>
    </i>
    <i>
      <x v="1072"/>
      <x v="1715"/>
      <x v="1"/>
    </i>
    <i>
      <x v="1073"/>
      <x v="1716"/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 기획수량" fld="7" baseField="0" baseItem="0"/>
    <dataField name=" TAG가" fld="9" baseField="0" baseItem="0"/>
    <dataField name=" 원가" fld="8" baseField="0" baseItem="0"/>
    <dataField name=" 배수" fld="10" baseField="0" baseItem="0"/>
    <dataField name=" 입고수량" fld="5" baseField="0" baseItem="0"/>
    <dataField name=" 미입고수량" fld="6" baseField="0" baseItem="0"/>
  </dataFields>
  <formats count="11">
    <format dxfId="135">
      <pivotArea type="all" dataOnly="0" outline="0" fieldPosition="0"/>
    </format>
    <format dxfId="134">
      <pivotArea type="all" dataOnly="0" outline="0" fieldPosition="0"/>
    </format>
    <format dxfId="133">
      <pivotArea dataOnly="0" grandRow="1" outline="0" fieldPosition="0"/>
    </format>
    <format dxfId="132">
      <pivotArea type="topRight" dataOnly="0" labelOnly="1" outline="0" offset="B1" fieldPosition="0"/>
    </format>
    <format dxfId="131">
      <pivotArea grandRow="1" outline="0" fieldPosition="0"/>
    </format>
    <format dxfId="130">
      <pivotArea dataOnly="0" labelOnly="1" grandRow="1" outline="0" fieldPosition="0"/>
    </format>
    <format dxfId="129">
      <pivotArea type="origin" dataOnly="0" labelOnly="1" outline="0" fieldPosition="0"/>
    </format>
    <format dxfId="128">
      <pivotArea field="-2" type="button" dataOnly="0" labelOnly="1" outline="0" axis="axisCol" fieldPosition="0"/>
    </format>
    <format dxfId="127">
      <pivotArea type="topRight" dataOnly="0" labelOnly="1" outline="0" fieldPosition="0"/>
    </format>
    <format dxfId="126">
      <pivotArea type="all" dataOnly="0" outline="0" fieldPosition="0"/>
    </format>
    <format dxfId="125">
      <pivotArea type="all" dataOnly="0" outline="0" fieldPosition="0"/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피벗 테이블1" cacheId="271" applyNumberFormats="0" applyBorderFormats="0" applyFontFormats="0" applyPatternFormats="0" applyAlignmentFormats="0" applyWidthHeightFormats="1" dataCaption="데이터" updatedVersion="3" minRefreshableVersion="3" showMemberPropertyTips="0" useAutoFormatting="1" itemPrintTitles="1" createdVersion="3" indent="0" compact="0" compactData="0" gridDropZones="1">
  <location ref="B6:P64" firstHeaderRow="1" firstDataRow="2" firstDataCol="4"/>
  <pivotFields count="26">
    <pivotField axis="axisRow" compact="0" outline="0" showAll="0" defaultSubtotal="0">
      <items count="3">
        <item x="0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/>
    <pivotField compact="0" outline="0" showAll="0" defaultSubtotal="0"/>
    <pivotField compact="0" outline="0" showAll="0" defaultSubtotal="0"/>
    <pivotField axis="axisRow" compact="0" outline="0" showAll="0" defaultSubtotal="0">
      <items count="39">
        <item x="3"/>
        <item x="0"/>
        <item x="14"/>
        <item x="13"/>
        <item x="23"/>
        <item x="11"/>
        <item x="10"/>
        <item x="16"/>
        <item x="4"/>
        <item x="12"/>
        <item x="7"/>
        <item x="18"/>
        <item x="8"/>
        <item m="1" x="32"/>
        <item x="6"/>
        <item m="1" x="28"/>
        <item x="25"/>
        <item x="24"/>
        <item x="15"/>
        <item m="1" x="29"/>
        <item m="1" x="36"/>
        <item m="1" x="33"/>
        <item m="1" x="34"/>
        <item m="1" x="31"/>
        <item x="17"/>
        <item m="1" x="37"/>
        <item m="1" x="35"/>
        <item m="1" x="30"/>
        <item x="9"/>
        <item m="1" x="38"/>
        <item x="26"/>
        <item x="1"/>
        <item x="2"/>
        <item x="5"/>
        <item x="19"/>
        <item x="20"/>
        <item x="21"/>
        <item x="22"/>
        <item m="1" x="27"/>
      </items>
    </pivotField>
    <pivotField compact="0" outline="0" showAll="0" defaultSubtotal="0"/>
    <pivotField compact="0" outline="0" subtotalTop="0" showAll="0" includeNewItemsInFilter="1" defaultSubtotal="0"/>
    <pivotField axis="axisRow" compact="0" outline="0" subtotalTop="0" multipleItemSelectionAllowed="1" showAll="0" includeNewItemsInFilter="1">
      <items count="4">
        <item x="0"/>
        <item x="1"/>
        <item h="1" x="2"/>
        <item t="default"/>
      </items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name=" 입고수량2" dataField="1" compact="0" outline="0" showAll="0" defaultSubtotal="0"/>
    <pivotField name=" 미입고수량2" dataField="1" compact="0" outlin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</pivotFields>
  <rowFields count="4">
    <field x="17"/>
    <field x="14"/>
    <field x="0"/>
    <field x="1"/>
  </rowFields>
  <rowItems count="57">
    <i>
      <x/>
      <x/>
      <x/>
      <x/>
    </i>
    <i r="2">
      <x v="1"/>
      <x/>
    </i>
    <i r="3">
      <x v="1"/>
    </i>
    <i r="1">
      <x v="1"/>
      <x/>
      <x/>
    </i>
    <i r="3">
      <x v="1"/>
    </i>
    <i r="2">
      <x v="1"/>
      <x/>
    </i>
    <i r="3">
      <x v="1"/>
    </i>
    <i r="1">
      <x v="2"/>
      <x/>
      <x/>
    </i>
    <i r="1">
      <x v="3"/>
      <x/>
      <x/>
    </i>
    <i r="2">
      <x v="1"/>
      <x/>
    </i>
    <i r="3">
      <x v="1"/>
    </i>
    <i r="1">
      <x v="4"/>
      <x/>
      <x/>
    </i>
    <i r="1">
      <x v="5"/>
      <x/>
      <x/>
    </i>
    <i r="2">
      <x v="1"/>
      <x/>
    </i>
    <i r="1">
      <x v="6"/>
      <x/>
      <x/>
    </i>
    <i r="2">
      <x v="1"/>
      <x/>
    </i>
    <i r="3">
      <x v="1"/>
    </i>
    <i r="1">
      <x v="7"/>
      <x/>
      <x/>
    </i>
    <i r="2">
      <x v="1"/>
      <x/>
    </i>
    <i r="3">
      <x v="1"/>
    </i>
    <i r="1">
      <x v="8"/>
      <x/>
      <x/>
    </i>
    <i r="3">
      <x v="1"/>
    </i>
    <i r="2">
      <x v="1"/>
      <x/>
    </i>
    <i r="1">
      <x v="9"/>
      <x/>
      <x/>
    </i>
    <i r="3">
      <x v="1"/>
    </i>
    <i r="2">
      <x v="1"/>
      <x/>
    </i>
    <i r="1">
      <x v="10"/>
      <x v="1"/>
      <x/>
    </i>
    <i r="1">
      <x v="11"/>
      <x/>
      <x/>
    </i>
    <i r="2">
      <x v="1"/>
      <x/>
    </i>
    <i r="3">
      <x v="1"/>
    </i>
    <i r="1">
      <x v="12"/>
      <x/>
      <x/>
    </i>
    <i r="2">
      <x v="1"/>
      <x/>
    </i>
    <i r="1">
      <x v="14"/>
      <x/>
      <x/>
    </i>
    <i r="2">
      <x v="1"/>
      <x/>
    </i>
    <i r="1">
      <x v="32"/>
      <x/>
      <x/>
    </i>
    <i r="2">
      <x v="1"/>
      <x/>
    </i>
    <i r="1">
      <x v="33"/>
      <x/>
      <x/>
    </i>
    <i r="2">
      <x v="1"/>
      <x/>
    </i>
    <i r="1">
      <x v="34"/>
      <x/>
      <x/>
    </i>
    <i r="1">
      <x v="35"/>
      <x/>
      <x/>
    </i>
    <i r="2">
      <x v="1"/>
      <x/>
    </i>
    <i r="1">
      <x v="36"/>
      <x/>
      <x/>
    </i>
    <i r="1">
      <x v="37"/>
      <x/>
      <x/>
    </i>
    <i t="default">
      <x/>
    </i>
    <i>
      <x v="1"/>
      <x v="16"/>
      <x/>
      <x/>
    </i>
    <i r="3">
      <x v="1"/>
    </i>
    <i r="2">
      <x v="1"/>
      <x/>
    </i>
    <i r="3">
      <x v="1"/>
    </i>
    <i r="1">
      <x v="17"/>
      <x/>
      <x/>
    </i>
    <i r="2">
      <x v="1"/>
      <x/>
    </i>
    <i r="1">
      <x v="18"/>
      <x/>
      <x/>
    </i>
    <i r="1">
      <x v="24"/>
      <x/>
      <x/>
    </i>
    <i r="1">
      <x v="28"/>
      <x/>
      <x/>
    </i>
    <i r="1">
      <x v="31"/>
      <x/>
      <x/>
    </i>
    <i r="2">
      <x v="1"/>
      <x/>
    </i>
    <i t="default">
      <x v="1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 품번수" fld="3" baseField="0" baseItem="0" numFmtId="3"/>
    <dataField name=" 품번수(리오더)" fld="5" baseField="0" baseItem="0" numFmtId="3"/>
    <dataField name=" 색상수" fld="7" baseField="0" baseItem="0" numFmtId="3"/>
    <dataField name=" 색상수(리오더)" fld="9" baseField="0" baseItem="0" numFmtId="3"/>
    <dataField name=" 기획수량" fld="18" baseField="0" baseItem="0" numFmtId="3"/>
    <dataField name=" LOT" fld="25" baseField="0" baseItem="0" numFmtId="3"/>
    <dataField name=" TAG가" fld="19" baseField="0" baseItem="0" numFmtId="182"/>
    <dataField name=" 원가(-V)" fld="20" baseField="0" baseItem="0" numFmtId="182"/>
    <dataField name=" 배수" fld="24" baseField="0" baseItem="0" numFmtId="4"/>
    <dataField name=" 입고수량" fld="22" baseField="0" baseItem="0" numFmtId="3"/>
    <dataField name=" 미입고수량" fld="23" baseField="0" baseItem="0" numFmtId="3"/>
  </dataFields>
  <formats count="80">
    <format dxfId="124">
      <pivotArea type="all" dataOnly="0" outline="0" fieldPosition="0"/>
    </format>
    <format dxfId="123">
      <pivotArea type="all" dataOnly="0" outline="0" fieldPosition="0"/>
    </format>
    <format dxfId="122">
      <pivotArea dataOnly="0" grandRow="1" outline="0" fieldPosition="0"/>
    </format>
    <format dxfId="121">
      <pivotArea type="topRight" dataOnly="0" labelOnly="1" outline="0" offset="B1" fieldPosition="0"/>
    </format>
    <format dxfId="120">
      <pivotArea grandRow="1" outline="0" fieldPosition="0"/>
    </format>
    <format dxfId="119">
      <pivotArea dataOnly="0" labelOnly="1" grandRow="1" outline="0" fieldPosition="0"/>
    </format>
    <format dxfId="118">
      <pivotArea type="origin" dataOnly="0" labelOnly="1" outline="0" fieldPosition="0"/>
    </format>
    <format dxfId="117">
      <pivotArea field="-2" type="button" dataOnly="0" labelOnly="1" outline="0" axis="axisCol" fieldPosition="0"/>
    </format>
    <format dxfId="116">
      <pivotArea type="topRight" dataOnly="0" labelOnly="1" outline="0" fieldPosition="0"/>
    </format>
    <format dxfId="115">
      <pivotArea type="all" dataOnly="0" outline="0" fieldPosition="0"/>
    </format>
    <format dxfId="114">
      <pivotArea type="all" dataOnly="0" outline="0" fieldPosition="0"/>
    </format>
    <format dxfId="113">
      <pivotArea dataOnly="0" labelOnly="1" outline="0" fieldPosition="0">
        <references count="1">
          <reference field="14" count="3">
            <x v="0"/>
            <x v="1"/>
            <x v="2"/>
          </reference>
        </references>
      </pivotArea>
    </format>
    <format dxfId="112">
      <pivotArea dataOnly="0" labelOnly="1" outline="0" fieldPosition="0">
        <references count="1">
          <reference field="14" count="6">
            <x v="3"/>
            <x v="4"/>
            <x v="5"/>
            <x v="6"/>
            <x v="7"/>
            <x v="13"/>
          </reference>
        </references>
      </pivotArea>
    </format>
    <format dxfId="111">
      <pivotArea dataOnly="0" outline="0" fieldPosition="0">
        <references count="1">
          <reference field="17" count="0" defaultSubtotal="1"/>
        </references>
      </pivotArea>
    </format>
    <format dxfId="110">
      <pivotArea dataOnly="0" labelOnly="1" outline="0" fieldPosition="0">
        <references count="2">
          <reference field="1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17" count="1" selected="0">
            <x v="0"/>
          </reference>
        </references>
      </pivotArea>
    </format>
    <format dxfId="109">
      <pivotArea outline="0" fieldPosition="0">
        <references count="1">
          <reference field="4294967294" count="1">
            <x v="0"/>
          </reference>
        </references>
      </pivotArea>
    </format>
    <format dxfId="108">
      <pivotArea outline="0" fieldPosition="0">
        <references count="1">
          <reference field="4294967294" count="1">
            <x v="1"/>
          </reference>
        </references>
      </pivotArea>
    </format>
    <format dxfId="107">
      <pivotArea outline="0" fieldPosition="0">
        <references count="1">
          <reference field="4294967294" count="1">
            <x v="2"/>
          </reference>
        </references>
      </pivotArea>
    </format>
    <format dxfId="106">
      <pivotArea outline="0" fieldPosition="0">
        <references count="1">
          <reference field="4294967294" count="1">
            <x v="3"/>
          </reference>
        </references>
      </pivotArea>
    </format>
    <format dxfId="105">
      <pivotArea outline="0" fieldPosition="0">
        <references count="1">
          <reference field="4294967294" count="1">
            <x v="4"/>
          </reference>
        </references>
      </pivotArea>
    </format>
    <format dxfId="104">
      <pivotArea outline="0" fieldPosition="0">
        <references count="1">
          <reference field="4294967294" count="1">
            <x v="6"/>
          </reference>
        </references>
      </pivotArea>
    </format>
    <format dxfId="103">
      <pivotArea outline="0" fieldPosition="0">
        <references count="1">
          <reference field="4294967294" count="1">
            <x v="7"/>
          </reference>
        </references>
      </pivotArea>
    </format>
    <format dxfId="102">
      <pivotArea outline="0" fieldPosition="0">
        <references count="1">
          <reference field="4294967294" count="1">
            <x v="8"/>
          </reference>
        </references>
      </pivotArea>
    </format>
    <format dxfId="101">
      <pivotArea outline="0" fieldPosition="0">
        <references count="1">
          <reference field="4294967294" count="1">
            <x v="9"/>
          </reference>
        </references>
      </pivotArea>
    </format>
    <format dxfId="100">
      <pivotArea outline="0" fieldPosition="0">
        <references count="1">
          <reference field="4294967294" count="1">
            <x v="10"/>
          </reference>
        </references>
      </pivotArea>
    </format>
    <format dxfId="99">
      <pivotArea outline="0" collapsedLevelsAreSubtotals="1" fieldPosition="0"/>
    </format>
    <format dxfId="98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6"/>
            <x v="7"/>
            <x v="8"/>
            <x v="9"/>
            <x v="10"/>
          </reference>
        </references>
      </pivotArea>
    </format>
    <format dxfId="97">
      <pivotArea type="origin" dataOnly="0" labelOnly="1" outline="0" fieldPosition="0"/>
    </format>
    <format dxfId="96">
      <pivotArea field="17" type="button" dataOnly="0" labelOnly="1" outline="0" axis="axisRow" fieldPosition="0"/>
    </format>
    <format dxfId="95">
      <pivotArea field="14" type="button" dataOnly="0" labelOnly="1" outline="0" axis="axisRow" fieldPosition="1"/>
    </format>
    <format dxfId="94">
      <pivotArea field="1" type="button" dataOnly="0" labelOnly="1" outline="0" axis="axisRow" fieldPosition="3"/>
    </format>
    <format dxfId="93">
      <pivotArea dataOnly="0" labelOnly="1" outline="0" fieldPosition="0">
        <references count="1">
          <reference field="17" count="0"/>
        </references>
      </pivotArea>
    </format>
    <format dxfId="92">
      <pivotArea dataOnly="0" labelOnly="1" outline="0" fieldPosition="0">
        <references count="1">
          <reference field="17" count="0" defaultSubtotal="1"/>
        </references>
      </pivotArea>
    </format>
    <format dxfId="91">
      <pivotArea dataOnly="0" labelOnly="1" grandRow="1" outline="0" fieldPosition="0"/>
    </format>
    <format dxfId="90">
      <pivotArea dataOnly="0" labelOnly="1" outline="0" fieldPosition="0">
        <references count="2">
          <reference field="1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17" count="1" selected="0">
            <x v="0"/>
          </reference>
        </references>
      </pivotArea>
    </format>
    <format dxfId="89">
      <pivotArea dataOnly="0" labelOnly="1" outline="0" fieldPosition="0">
        <references count="2">
          <reference field="14" count="15"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  <reference field="17" count="1" selected="0">
            <x v="1"/>
          </reference>
        </references>
      </pivotArea>
    </format>
    <format dxfId="88">
      <pivotArea dataOnly="0" labelOnly="1" outline="0" fieldPosition="0">
        <references count="3">
          <reference field="1" count="2">
            <x v="0"/>
            <x v="1"/>
          </reference>
          <reference field="14" count="1" selected="0">
            <x v="0"/>
          </reference>
          <reference field="17" count="1" selected="0">
            <x v="0"/>
          </reference>
        </references>
      </pivotArea>
    </format>
    <format dxfId="87">
      <pivotArea dataOnly="0" labelOnly="1" outline="0" fieldPosition="0">
        <references count="3">
          <reference field="1" count="2">
            <x v="0"/>
            <x v="1"/>
          </reference>
          <reference field="14" count="1" selected="0">
            <x v="1"/>
          </reference>
          <reference field="17" count="1" selected="0">
            <x v="0"/>
          </reference>
        </references>
      </pivotArea>
    </format>
    <format dxfId="86">
      <pivotArea dataOnly="0" labelOnly="1" outline="0" fieldPosition="0">
        <references count="3">
          <reference field="1" count="2">
            <x v="0"/>
            <x v="1"/>
          </reference>
          <reference field="14" count="1" selected="0">
            <x v="2"/>
          </reference>
          <reference field="17" count="1" selected="0">
            <x v="0"/>
          </reference>
        </references>
      </pivotArea>
    </format>
    <format dxfId="85">
      <pivotArea dataOnly="0" labelOnly="1" outline="0" fieldPosition="0">
        <references count="3">
          <reference field="1" count="2">
            <x v="0"/>
            <x v="1"/>
          </reference>
          <reference field="14" count="1" selected="0">
            <x v="3"/>
          </reference>
          <reference field="17" count="1" selected="0">
            <x v="0"/>
          </reference>
        </references>
      </pivotArea>
    </format>
    <format dxfId="84">
      <pivotArea dataOnly="0" labelOnly="1" outline="0" fieldPosition="0">
        <references count="3">
          <reference field="1" count="1">
            <x v="0"/>
          </reference>
          <reference field="14" count="1" selected="0">
            <x v="4"/>
          </reference>
          <reference field="17" count="1" selected="0">
            <x v="0"/>
          </reference>
        </references>
      </pivotArea>
    </format>
    <format dxfId="83">
      <pivotArea dataOnly="0" labelOnly="1" outline="0" fieldPosition="0">
        <references count="3">
          <reference field="1" count="2">
            <x v="0"/>
            <x v="1"/>
          </reference>
          <reference field="14" count="1" selected="0">
            <x v="5"/>
          </reference>
          <reference field="17" count="1" selected="0">
            <x v="0"/>
          </reference>
        </references>
      </pivotArea>
    </format>
    <format dxfId="82">
      <pivotArea dataOnly="0" labelOnly="1" outline="0" fieldPosition="0">
        <references count="3">
          <reference field="1" count="2">
            <x v="0"/>
            <x v="1"/>
          </reference>
          <reference field="14" count="1" selected="0">
            <x v="6"/>
          </reference>
          <reference field="17" count="1" selected="0">
            <x v="0"/>
          </reference>
        </references>
      </pivotArea>
    </format>
    <format dxfId="81">
      <pivotArea dataOnly="0" labelOnly="1" outline="0" fieldPosition="0">
        <references count="3">
          <reference field="1" count="2">
            <x v="0"/>
            <x v="1"/>
          </reference>
          <reference field="14" count="1" selected="0">
            <x v="7"/>
          </reference>
          <reference field="17" count="1" selected="0">
            <x v="0"/>
          </reference>
        </references>
      </pivotArea>
    </format>
    <format dxfId="80">
      <pivotArea dataOnly="0" labelOnly="1" outline="0" fieldPosition="0">
        <references count="3">
          <reference field="1" count="2">
            <x v="0"/>
            <x v="1"/>
          </reference>
          <reference field="14" count="1" selected="0">
            <x v="8"/>
          </reference>
          <reference field="17" count="1" selected="0">
            <x v="0"/>
          </reference>
        </references>
      </pivotArea>
    </format>
    <format dxfId="79">
      <pivotArea dataOnly="0" labelOnly="1" outline="0" fieldPosition="0">
        <references count="3">
          <reference field="1" count="2">
            <x v="0"/>
            <x v="1"/>
          </reference>
          <reference field="14" count="1" selected="0">
            <x v="9"/>
          </reference>
          <reference field="17" count="1" selected="0">
            <x v="0"/>
          </reference>
        </references>
      </pivotArea>
    </format>
    <format dxfId="78">
      <pivotArea dataOnly="0" labelOnly="1" outline="0" fieldPosition="0">
        <references count="3">
          <reference field="1" count="1">
            <x v="0"/>
          </reference>
          <reference field="14" count="1" selected="0">
            <x v="10"/>
          </reference>
          <reference field="17" count="1" selected="0">
            <x v="0"/>
          </reference>
        </references>
      </pivotArea>
    </format>
    <format dxfId="77">
      <pivotArea dataOnly="0" labelOnly="1" outline="0" fieldPosition="0">
        <references count="3">
          <reference field="1" count="2">
            <x v="0"/>
            <x v="1"/>
          </reference>
          <reference field="14" count="1" selected="0">
            <x v="11"/>
          </reference>
          <reference field="17" count="1" selected="0">
            <x v="0"/>
          </reference>
        </references>
      </pivotArea>
    </format>
    <format dxfId="76">
      <pivotArea dataOnly="0" labelOnly="1" outline="0" fieldPosition="0">
        <references count="3">
          <reference field="1" count="2">
            <x v="0"/>
            <x v="1"/>
          </reference>
          <reference field="14" count="1" selected="0">
            <x v="12"/>
          </reference>
          <reference field="17" count="1" selected="0">
            <x v="0"/>
          </reference>
        </references>
      </pivotArea>
    </format>
    <format dxfId="75">
      <pivotArea dataOnly="0" labelOnly="1" outline="0" fieldPosition="0">
        <references count="3">
          <reference field="1" count="2">
            <x v="0"/>
            <x v="1"/>
          </reference>
          <reference field="14" count="1" selected="0">
            <x v="13"/>
          </reference>
          <reference field="17" count="1" selected="0">
            <x v="0"/>
          </reference>
        </references>
      </pivotArea>
    </format>
    <format dxfId="74">
      <pivotArea dataOnly="0" labelOnly="1" outline="0" fieldPosition="0">
        <references count="3">
          <reference field="1" count="1">
            <x v="0"/>
          </reference>
          <reference field="14" count="1" selected="0">
            <x v="14"/>
          </reference>
          <reference field="17" count="1" selected="0">
            <x v="0"/>
          </reference>
        </references>
      </pivotArea>
    </format>
    <format dxfId="73">
      <pivotArea dataOnly="0" labelOnly="1" outline="0" fieldPosition="0">
        <references count="3">
          <reference field="1" count="1">
            <x v="0"/>
          </reference>
          <reference field="14" count="1" selected="0">
            <x v="15"/>
          </reference>
          <reference field="17" count="1" selected="0">
            <x v="1"/>
          </reference>
        </references>
      </pivotArea>
    </format>
    <format dxfId="72">
      <pivotArea dataOnly="0" labelOnly="1" outline="0" fieldPosition="0">
        <references count="3">
          <reference field="1" count="2">
            <x v="0"/>
            <x v="1"/>
          </reference>
          <reference field="14" count="1" selected="0">
            <x v="16"/>
          </reference>
          <reference field="17" count="1" selected="0">
            <x v="1"/>
          </reference>
        </references>
      </pivotArea>
    </format>
    <format dxfId="71">
      <pivotArea dataOnly="0" labelOnly="1" outline="0" fieldPosition="0">
        <references count="3">
          <reference field="1" count="1">
            <x v="0"/>
          </reference>
          <reference field="14" count="1" selected="0">
            <x v="17"/>
          </reference>
          <reference field="17" count="1" selected="0">
            <x v="1"/>
          </reference>
        </references>
      </pivotArea>
    </format>
    <format dxfId="70">
      <pivotArea dataOnly="0" labelOnly="1" outline="0" fieldPosition="0">
        <references count="3">
          <reference field="1" count="1">
            <x v="0"/>
          </reference>
          <reference field="14" count="1" selected="0">
            <x v="18"/>
          </reference>
          <reference field="17" count="1" selected="0">
            <x v="1"/>
          </reference>
        </references>
      </pivotArea>
    </format>
    <format dxfId="69">
      <pivotArea dataOnly="0" labelOnly="1" outline="0" fieldPosition="0">
        <references count="3">
          <reference field="1" count="1">
            <x v="0"/>
          </reference>
          <reference field="14" count="1" selected="0">
            <x v="19"/>
          </reference>
          <reference field="17" count="1" selected="0">
            <x v="1"/>
          </reference>
        </references>
      </pivotArea>
    </format>
    <format dxfId="68">
      <pivotArea dataOnly="0" labelOnly="1" outline="0" fieldPosition="0">
        <references count="3">
          <reference field="1" count="1">
            <x v="0"/>
          </reference>
          <reference field="14" count="1" selected="0">
            <x v="20"/>
          </reference>
          <reference field="17" count="1" selected="0">
            <x v="1"/>
          </reference>
        </references>
      </pivotArea>
    </format>
    <format dxfId="67">
      <pivotArea dataOnly="0" labelOnly="1" outline="0" fieldPosition="0">
        <references count="3">
          <reference field="1" count="1">
            <x v="0"/>
          </reference>
          <reference field="14" count="1" selected="0">
            <x v="21"/>
          </reference>
          <reference field="17" count="1" selected="0">
            <x v="1"/>
          </reference>
        </references>
      </pivotArea>
    </format>
    <format dxfId="66">
      <pivotArea dataOnly="0" labelOnly="1" outline="0" fieldPosition="0">
        <references count="3">
          <reference field="1" count="1">
            <x v="0"/>
          </reference>
          <reference field="14" count="1" selected="0">
            <x v="22"/>
          </reference>
          <reference field="17" count="1" selected="0">
            <x v="1"/>
          </reference>
        </references>
      </pivotArea>
    </format>
    <format dxfId="65">
      <pivotArea dataOnly="0" labelOnly="1" outline="0" fieldPosition="0">
        <references count="3">
          <reference field="1" count="1">
            <x v="0"/>
          </reference>
          <reference field="14" count="1" selected="0">
            <x v="23"/>
          </reference>
          <reference field="17" count="1" selected="0">
            <x v="1"/>
          </reference>
        </references>
      </pivotArea>
    </format>
    <format dxfId="64">
      <pivotArea dataOnly="0" labelOnly="1" outline="0" fieldPosition="0">
        <references count="3">
          <reference field="1" count="1">
            <x v="0"/>
          </reference>
          <reference field="14" count="1" selected="0">
            <x v="24"/>
          </reference>
          <reference field="17" count="1" selected="0">
            <x v="1"/>
          </reference>
        </references>
      </pivotArea>
    </format>
    <format dxfId="63">
      <pivotArea dataOnly="0" labelOnly="1" outline="0" fieldPosition="0">
        <references count="3">
          <reference field="1" count="1">
            <x v="0"/>
          </reference>
          <reference field="14" count="1" selected="0">
            <x v="25"/>
          </reference>
          <reference field="17" count="1" selected="0">
            <x v="1"/>
          </reference>
        </references>
      </pivotArea>
    </format>
    <format dxfId="62">
      <pivotArea dataOnly="0" labelOnly="1" outline="0" fieldPosition="0">
        <references count="3">
          <reference field="1" count="1">
            <x v="0"/>
          </reference>
          <reference field="14" count="1" selected="0">
            <x v="26"/>
          </reference>
          <reference field="17" count="1" selected="0">
            <x v="1"/>
          </reference>
        </references>
      </pivotArea>
    </format>
    <format dxfId="61">
      <pivotArea dataOnly="0" labelOnly="1" outline="0" fieldPosition="0">
        <references count="3">
          <reference field="1" count="1">
            <x v="0"/>
          </reference>
          <reference field="14" count="1" selected="0">
            <x v="27"/>
          </reference>
          <reference field="17" count="1" selected="0">
            <x v="1"/>
          </reference>
        </references>
      </pivotArea>
    </format>
    <format dxfId="60">
      <pivotArea dataOnly="0" labelOnly="1" outline="0" fieldPosition="0">
        <references count="3">
          <reference field="1" count="1">
            <x v="0"/>
          </reference>
          <reference field="14" count="1" selected="0">
            <x v="28"/>
          </reference>
          <reference field="17" count="1" selected="0">
            <x v="1"/>
          </reference>
        </references>
      </pivotArea>
    </format>
    <format dxfId="59">
      <pivotArea dataOnly="0" labelOnly="1" outline="0" fieldPosition="0">
        <references count="3">
          <reference field="1" count="1">
            <x v="0"/>
          </reference>
          <reference field="14" count="1" selected="0">
            <x v="29"/>
          </reference>
          <reference field="17" count="1" selected="0">
            <x v="1"/>
          </reference>
        </references>
      </pivotArea>
    </format>
    <format dxfId="58">
      <pivotArea outline="0" collapsedLevelsAreSubtotals="1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57">
      <pivotArea field="-2" type="button" dataOnly="0" labelOnly="1" outline="0" axis="axisCol" fieldPosition="0"/>
    </format>
    <format dxfId="56">
      <pivotArea type="topRight" dataOnly="0" labelOnly="1" outline="0" fieldPosition="0"/>
    </format>
    <format dxfId="5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4">
      <pivotArea outline="0" collapsedLevelsAreSubtotals="1" fieldPosition="0">
        <references count="1">
          <reference field="4294967294" count="4" selected="0">
            <x v="4"/>
            <x v="6"/>
            <x v="7"/>
            <x v="8"/>
          </reference>
        </references>
      </pivotArea>
    </format>
    <format dxfId="53">
      <pivotArea type="topRight" dataOnly="0" labelOnly="1" outline="0" offset="D1:G1" fieldPosition="0"/>
    </format>
    <format dxfId="52">
      <pivotArea dataOnly="0" labelOnly="1" outline="0" fieldPosition="0">
        <references count="1">
          <reference field="4294967294" count="4">
            <x v="4"/>
            <x v="6"/>
            <x v="7"/>
            <x v="8"/>
          </reference>
        </references>
      </pivotArea>
    </format>
    <format dxfId="51">
      <pivotArea outline="0" collapsedLevelsAreSubtotals="1" fieldPosition="0">
        <references count="1">
          <reference field="4294967294" count="2" selected="0">
            <x v="9"/>
            <x v="10"/>
          </reference>
        </references>
      </pivotArea>
    </format>
    <format dxfId="50">
      <pivotArea type="topRight" dataOnly="0" labelOnly="1" outline="0" offset="H1:I1" fieldPosition="0"/>
    </format>
    <format dxfId="49">
      <pivotArea dataOnly="0" labelOnly="1" outline="0" fieldPosition="0">
        <references count="1">
          <reference field="4294967294" count="2">
            <x v="9"/>
            <x v="10"/>
          </reference>
        </references>
      </pivotArea>
    </format>
    <format dxfId="48">
      <pivotArea dataOnly="0" outline="0" fieldPosition="0">
        <references count="1">
          <reference field="1" count="1">
            <x v="1"/>
          </reference>
        </references>
      </pivotArea>
    </format>
    <format dxfId="47">
      <pivotArea dataOnly="0" outline="0" fieldPosition="0">
        <references count="1">
          <reference field="1" count="1">
            <x v="1"/>
          </reference>
        </references>
      </pivotArea>
    </format>
    <format dxfId="46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45">
      <pivotArea type="all" dataOnly="0" outline="0" fieldPosition="0"/>
    </format>
  </format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피벗 테이블1" cacheId="263" applyNumberFormats="0" applyBorderFormats="0" applyFontFormats="0" applyPatternFormats="0" applyAlignmentFormats="0" applyWidthHeightFormats="1" dataCaption="데이터" updatedVersion="3" minRefreshableVersion="3" showMemberPropertyTips="0" useAutoFormatting="1" itemPrintTitles="1" createdVersion="3" indent="0" compact="0" compactData="0" gridDropZones="1">
  <location ref="B3:E187" firstHeaderRow="2" firstDataRow="2" firstDataCol="3"/>
  <pivotFields count="26">
    <pivotField axis="axisRow" compact="0" outline="0" showAll="0" defaultSubtotal="0">
      <items count="3">
        <item h="1" x="0"/>
        <item x="1"/>
        <item h="1" x="2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>
      <items count="40">
        <item x="3"/>
        <item x="0"/>
        <item x="14"/>
        <item x="13"/>
        <item x="23"/>
        <item x="11"/>
        <item x="10"/>
        <item x="16"/>
        <item x="4"/>
        <item x="12"/>
        <item x="7"/>
        <item x="18"/>
        <item x="8"/>
        <item m="1" x="33"/>
        <item x="6"/>
        <item m="1" x="29"/>
        <item x="25"/>
        <item x="24"/>
        <item x="15"/>
        <item m="1" x="30"/>
        <item m="1" x="37"/>
        <item m="1" x="34"/>
        <item m="1" x="35"/>
        <item m="1" x="32"/>
        <item x="17"/>
        <item m="1" x="38"/>
        <item m="1" x="36"/>
        <item m="1" x="31"/>
        <item x="9"/>
        <item m="1" x="39"/>
        <item x="26"/>
        <item m="1" x="28"/>
        <item x="1"/>
        <item x="2"/>
        <item x="5"/>
        <item x="19"/>
        <item x="20"/>
        <item x="21"/>
        <item m="1" x="27"/>
        <item x="22"/>
      </items>
    </pivotField>
    <pivotField compact="0" outline="0" showAll="0" defaultSubtotal="0"/>
    <pivotField axis="axisRow" compact="0" outline="0" subtotalTop="0" showAll="0" includeNewItemsInFilter="1" defaultSubtotal="0">
      <items count="830">
        <item x="341"/>
        <item x="443"/>
        <item x="342"/>
        <item x="602"/>
        <item x="235"/>
        <item x="236"/>
        <item x="237"/>
        <item x="238"/>
        <item x="239"/>
        <item x="604"/>
        <item x="603"/>
        <item x="232"/>
        <item x="267"/>
        <item x="234"/>
        <item x="233"/>
        <item x="52"/>
        <item x="53"/>
        <item x="54"/>
        <item x="56"/>
        <item x="55"/>
        <item x="10"/>
        <item x="9"/>
        <item x="4"/>
        <item x="5"/>
        <item x="6"/>
        <item x="8"/>
        <item x="13"/>
        <item x="14"/>
        <item x="15"/>
        <item x="16"/>
        <item x="12"/>
        <item x="11"/>
        <item x="19"/>
        <item x="20"/>
        <item x="7"/>
        <item x="17"/>
        <item x="18"/>
        <item x="205"/>
        <item x="206"/>
        <item x="207"/>
        <item x="208"/>
        <item x="179"/>
        <item x="244"/>
        <item x="268"/>
        <item x="581"/>
        <item x="257"/>
        <item x="251"/>
        <item x="253"/>
        <item x="255"/>
        <item x="571"/>
        <item x="252"/>
        <item x="254"/>
        <item x="256"/>
        <item x="248"/>
        <item x="249"/>
        <item x="463"/>
        <item x="219"/>
        <item x="221"/>
        <item x="223"/>
        <item x="224"/>
        <item x="225"/>
        <item x="410"/>
        <item x="665"/>
        <item x="666"/>
        <item x="220"/>
        <item x="222"/>
        <item x="476"/>
        <item x="477"/>
        <item x="478"/>
        <item x="432"/>
        <item x="335"/>
        <item x="336"/>
        <item x="337"/>
        <item x="338"/>
        <item x="339"/>
        <item x="340"/>
        <item x="433"/>
        <item x="434"/>
        <item x="464"/>
        <item x="466"/>
        <item x="472"/>
        <item x="470"/>
        <item x="468"/>
        <item x="474"/>
        <item x="465"/>
        <item x="467"/>
        <item x="473"/>
        <item x="471"/>
        <item x="469"/>
        <item x="475"/>
        <item x="21"/>
        <item x="22"/>
        <item x="404"/>
        <item x="405"/>
        <item x="452"/>
        <item x="23"/>
        <item x="24"/>
        <item x="453"/>
        <item x="455"/>
        <item x="258"/>
        <item x="250"/>
        <item x="261"/>
        <item x="259"/>
        <item x="263"/>
        <item x="264"/>
        <item x="563"/>
        <item x="565"/>
        <item x="567"/>
        <item x="454"/>
        <item x="557"/>
        <item x="262"/>
        <item x="260"/>
        <item x="265"/>
        <item x="564"/>
        <item x="566"/>
        <item x="568"/>
        <item x="266"/>
        <item x="330"/>
        <item x="583"/>
        <item x="582"/>
        <item x="584"/>
        <item x="585"/>
        <item x="586"/>
        <item x="240"/>
        <item x="592"/>
        <item x="589"/>
        <item x="456"/>
        <item x="458"/>
        <item x="460"/>
        <item x="569"/>
        <item x="177"/>
        <item x="269"/>
        <item x="270"/>
        <item x="271"/>
        <item x="178"/>
        <item x="331"/>
        <item x="587"/>
        <item x="241"/>
        <item x="242"/>
        <item x="243"/>
        <item x="588"/>
        <item x="591"/>
        <item x="590"/>
        <item x="593"/>
        <item x="457"/>
        <item x="459"/>
        <item x="461"/>
        <item x="570"/>
        <item x="247"/>
        <item x="246"/>
        <item x="357"/>
        <item x="141"/>
        <item x="142"/>
        <item x="395"/>
        <item x="388"/>
        <item x="390"/>
        <item x="398"/>
        <item x="400"/>
        <item x="401"/>
        <item x="143"/>
        <item x="389"/>
        <item x="391"/>
        <item x="399"/>
        <item x="138"/>
        <item x="140"/>
        <item x="402"/>
        <item x="139"/>
        <item x="403"/>
        <item x="575"/>
        <item x="462"/>
        <item x="576"/>
        <item x="578"/>
        <item x="577"/>
        <item x="579"/>
        <item x="0"/>
        <item x="1"/>
        <item x="2"/>
        <item x="3"/>
        <item x="145"/>
        <item x="147"/>
        <item x="376"/>
        <item x="392"/>
        <item x="377"/>
        <item x="396"/>
        <item x="381"/>
        <item x="382"/>
        <item x="379"/>
        <item x="394"/>
        <item x="146"/>
        <item x="148"/>
        <item x="393"/>
        <item x="378"/>
        <item x="397"/>
        <item x="380"/>
        <item x="144"/>
        <item x="370"/>
        <item x="372"/>
        <item x="374"/>
        <item x="383"/>
        <item x="385"/>
        <item x="387"/>
        <item x="371"/>
        <item x="373"/>
        <item x="375"/>
        <item x="384"/>
        <item x="386"/>
        <item x="25"/>
        <item x="354"/>
        <item x="217"/>
        <item x="406"/>
        <item x="26"/>
        <item x="355"/>
        <item x="356"/>
        <item x="218"/>
        <item x="407"/>
        <item x="411"/>
        <item x="561"/>
        <item x="562"/>
        <item x="332"/>
        <item x="408"/>
        <item x="409"/>
        <item x="654"/>
        <item x="655"/>
        <item x="653"/>
        <item x="657"/>
        <item x="656"/>
        <item x="658"/>
        <item x="651"/>
        <item x="662"/>
        <item x="661"/>
        <item x="663"/>
        <item x="660"/>
        <item x="664"/>
        <item x="659"/>
        <item x="652"/>
        <item x="623"/>
        <item x="624"/>
        <item x="627"/>
        <item x="628"/>
        <item x="625"/>
        <item x="626"/>
        <item x="633"/>
        <item x="637"/>
        <item x="640"/>
        <item x="639"/>
        <item x="638"/>
        <item x="629"/>
        <item x="630"/>
        <item x="631"/>
        <item x="632"/>
        <item x="634"/>
        <item x="635"/>
        <item x="636"/>
        <item x="157"/>
        <item x="156"/>
        <item x="155"/>
        <item x="172"/>
        <item x="173"/>
        <item x="176"/>
        <item x="175"/>
        <item x="174"/>
        <item x="170"/>
        <item x="171"/>
        <item x="154"/>
        <item x="153"/>
        <item x="165"/>
        <item x="166"/>
        <item x="158"/>
        <item x="159"/>
        <item x="163"/>
        <item x="164"/>
        <item x="167"/>
        <item x="168"/>
        <item x="169"/>
        <item x="162"/>
        <item x="161"/>
        <item x="160"/>
        <item x="149"/>
        <item x="150"/>
        <item x="152"/>
        <item x="151"/>
        <item x="349"/>
        <item x="348"/>
        <item x="441"/>
        <item x="446"/>
        <item x="447"/>
        <item x="442"/>
        <item x="448"/>
        <item x="449"/>
        <item x="111"/>
        <item x="112"/>
        <item x="113"/>
        <item x="114"/>
        <item x="115"/>
        <item x="116"/>
        <item x="343"/>
        <item x="344"/>
        <item x="346"/>
        <item x="345"/>
        <item x="347"/>
        <item x="27"/>
        <item x="28"/>
        <item x="84"/>
        <item x="86"/>
        <item x="85"/>
        <item x="40"/>
        <item x="41"/>
        <item x="42"/>
        <item x="35"/>
        <item x="36"/>
        <item x="37"/>
        <item x="38"/>
        <item x="479"/>
        <item x="482"/>
        <item x="480"/>
        <item x="488"/>
        <item x="486"/>
        <item x="490"/>
        <item x="492"/>
        <item x="491"/>
        <item x="493"/>
        <item x="502"/>
        <item x="501"/>
        <item x="504"/>
        <item x="499"/>
        <item x="500"/>
        <item x="503"/>
        <item x="505"/>
        <item x="511"/>
        <item x="512"/>
        <item x="514"/>
        <item x="513"/>
        <item x="518"/>
        <item x="516"/>
        <item x="520"/>
        <item x="524"/>
        <item x="522"/>
        <item x="530"/>
        <item x="529"/>
        <item x="643"/>
        <item x="642"/>
        <item x="641"/>
        <item x="483"/>
        <item x="481"/>
        <item x="489"/>
        <item x="487"/>
        <item x="506"/>
        <item x="519"/>
        <item x="517"/>
        <item x="521"/>
        <item x="525"/>
        <item x="523"/>
        <item x="647"/>
        <item x="646"/>
        <item x="29"/>
        <item x="30"/>
        <item x="31"/>
        <item x="39"/>
        <item x="484"/>
        <item x="495"/>
        <item x="494"/>
        <item x="496"/>
        <item x="507"/>
        <item x="509"/>
        <item x="515"/>
        <item x="528"/>
        <item x="531"/>
        <item x="648"/>
        <item x="485"/>
        <item x="508"/>
        <item x="510"/>
        <item x="44"/>
        <item x="45"/>
        <item x="77"/>
        <item x="78"/>
        <item x="79"/>
        <item x="81"/>
        <item x="312"/>
        <item x="313"/>
        <item x="314"/>
        <item x="315"/>
        <item x="316"/>
        <item x="317"/>
        <item x="80"/>
        <item x="82"/>
        <item x="32"/>
        <item x="46"/>
        <item x="87"/>
        <item x="47"/>
        <item x="136"/>
        <item x="137"/>
        <item x="83"/>
        <item x="245"/>
        <item x="572"/>
        <item x="558"/>
        <item x="559"/>
        <item x="560"/>
        <item x="74"/>
        <item x="117"/>
        <item x="118"/>
        <item x="119"/>
        <item x="120"/>
        <item x="123"/>
        <item x="124"/>
        <item x="121"/>
        <item x="122"/>
        <item x="303"/>
        <item x="305"/>
        <item x="306"/>
        <item x="307"/>
        <item x="308"/>
        <item x="309"/>
        <item x="310"/>
        <item x="311"/>
        <item x="76"/>
        <item x="75"/>
        <item x="298"/>
        <item x="299"/>
        <item x="300"/>
        <item x="301"/>
        <item x="302"/>
        <item x="304"/>
        <item x="33"/>
        <item x="34"/>
        <item x="318"/>
        <item x="320"/>
        <item x="322"/>
        <item x="324"/>
        <item x="325"/>
        <item x="326"/>
        <item x="327"/>
        <item x="319"/>
        <item x="321"/>
        <item x="323"/>
        <item x="43"/>
        <item x="498"/>
        <item x="497"/>
        <item x="527"/>
        <item x="526"/>
        <item x="644"/>
        <item x="645"/>
        <item x="48"/>
        <item x="49"/>
        <item x="414"/>
        <item m="1" x="829"/>
        <item x="421"/>
        <item x="50"/>
        <item x="51"/>
        <item x="412"/>
        <item x="413"/>
        <item x="415"/>
        <item x="420"/>
        <item x="422"/>
        <item x="423"/>
        <item x="425"/>
        <item x="426"/>
        <item x="427"/>
        <item x="424"/>
        <item x="649"/>
        <item x="226"/>
        <item x="227"/>
        <item x="650"/>
        <item x="418"/>
        <item x="419"/>
        <item x="416"/>
        <item x="417"/>
        <item x="605"/>
        <item x="606"/>
        <item x="607"/>
        <item x="608"/>
        <item x="609"/>
        <item x="610"/>
        <item x="611"/>
        <item x="612"/>
        <item x="615"/>
        <item x="616"/>
        <item x="617"/>
        <item x="618"/>
        <item x="619"/>
        <item x="620"/>
        <item x="621"/>
        <item x="622"/>
        <item x="613"/>
        <item x="614"/>
        <item x="209"/>
        <item x="210"/>
        <item x="211"/>
        <item x="212"/>
        <item x="213"/>
        <item x="214"/>
        <item x="216"/>
        <item x="215"/>
        <item x="98"/>
        <item x="192"/>
        <item x="193"/>
        <item x="194"/>
        <item x="195"/>
        <item x="196"/>
        <item x="197"/>
        <item x="198"/>
        <item x="199"/>
        <item x="200"/>
        <item x="282"/>
        <item x="96"/>
        <item x="97"/>
        <item x="278"/>
        <item x="328"/>
        <item x="329"/>
        <item x="279"/>
        <item x="277"/>
        <item x="435"/>
        <item x="436"/>
        <item x="437"/>
        <item x="438"/>
        <item x="333"/>
        <item x="439"/>
        <item x="95"/>
        <item x="440"/>
        <item x="94"/>
        <item x="280"/>
        <item x="281"/>
        <item x="100"/>
        <item x="99"/>
        <item x="101"/>
        <item x="104"/>
        <item x="103"/>
        <item x="110"/>
        <item x="105"/>
        <item x="108"/>
        <item x="107"/>
        <item x="102"/>
        <item x="106"/>
        <item x="109"/>
        <item x="428"/>
        <item x="429"/>
        <item x="430"/>
        <item x="431"/>
        <item x="362"/>
        <item x="363"/>
        <item x="368"/>
        <item x="364"/>
        <item x="369"/>
        <item x="358"/>
        <item x="360"/>
        <item x="365"/>
        <item x="366"/>
        <item x="359"/>
        <item x="361"/>
        <item x="367"/>
        <item x="334"/>
        <item x="726"/>
        <item x="444"/>
        <item x="204"/>
        <item x="445"/>
        <item x="350"/>
        <item x="351"/>
        <item x="594"/>
        <item x="595"/>
        <item x="596"/>
        <item x="130"/>
        <item x="597"/>
        <item x="272"/>
        <item x="599"/>
        <item x="600"/>
        <item x="273"/>
        <item x="598"/>
        <item x="274"/>
        <item x="131"/>
        <item x="133"/>
        <item x="132"/>
        <item x="134"/>
        <item x="275"/>
        <item x="135"/>
        <item x="601"/>
        <item x="276"/>
        <item x="58"/>
        <item x="60"/>
        <item x="59"/>
        <item x="61"/>
        <item x="63"/>
        <item x="62"/>
        <item x="64"/>
        <item x="65"/>
        <item x="66"/>
        <item x="70"/>
        <item x="67"/>
        <item x="68"/>
        <item x="69"/>
        <item x="71"/>
        <item x="73"/>
        <item x="72"/>
        <item x="542"/>
        <item x="533"/>
        <item x="543"/>
        <item x="534"/>
        <item x="535"/>
        <item x="536"/>
        <item x="544"/>
        <item x="538"/>
        <item x="537"/>
        <item x="540"/>
        <item x="545"/>
        <item x="541"/>
        <item x="546"/>
        <item x="547"/>
        <item x="548"/>
        <item x="549"/>
        <item x="551"/>
        <item x="552"/>
        <item x="553"/>
        <item x="554"/>
        <item x="555"/>
        <item x="556"/>
        <item x="550"/>
        <item x="532"/>
        <item x="539"/>
        <item x="126"/>
        <item x="450"/>
        <item x="202"/>
        <item x="201"/>
        <item x="451"/>
        <item x="203"/>
        <item x="125"/>
        <item x="230"/>
        <item x="228"/>
        <item x="229"/>
        <item x="231"/>
        <item x="292"/>
        <item x="283"/>
        <item x="293"/>
        <item x="294"/>
        <item x="284"/>
        <item x="285"/>
        <item x="286"/>
        <item x="288"/>
        <item x="290"/>
        <item x="287"/>
        <item x="289"/>
        <item x="291"/>
        <item x="353"/>
        <item x="352"/>
        <item x="90"/>
        <item x="92"/>
        <item x="93"/>
        <item x="580"/>
        <item x="91"/>
        <item x="88"/>
        <item x="295"/>
        <item x="297"/>
        <item x="89"/>
        <item x="296"/>
        <item x="127"/>
        <item x="128"/>
        <item x="187"/>
        <item x="573"/>
        <item x="129"/>
        <item x="185"/>
        <item x="188"/>
        <item x="189"/>
        <item x="191"/>
        <item x="186"/>
        <item x="182"/>
        <item x="183"/>
        <item x="190"/>
        <item x="180"/>
        <item x="181"/>
        <item x="57"/>
        <item x="184"/>
        <item x="828"/>
        <item x="574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</items>
    </pivotField>
    <pivotField axis="axisRow" compact="0" outline="0" subtotalTop="0" multipleItemSelectionAllowed="1" showAll="0" includeNewItemsInFilter="1">
      <items count="4">
        <item x="0"/>
        <item h="1" x="1"/>
        <item h="1" x="2"/>
        <item t="default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 입고수량2" compact="0" outline="0" showAll="0" defaultSubtotal="0"/>
    <pivotField name=" 미입고수량2" compact="0" outlin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3">
    <field x="17"/>
    <field x="0"/>
    <field x="16"/>
  </rowFields>
  <rowItems count="183">
    <i>
      <x/>
      <x v="1"/>
      <x/>
    </i>
    <i r="2">
      <x v="1"/>
    </i>
    <i r="2">
      <x v="2"/>
    </i>
    <i r="2">
      <x v="3"/>
    </i>
    <i r="2">
      <x v="9"/>
    </i>
    <i r="2">
      <x v="10"/>
    </i>
    <i r="2">
      <x v="15"/>
    </i>
    <i r="2">
      <x v="16"/>
    </i>
    <i r="2">
      <x v="17"/>
    </i>
    <i r="2">
      <x v="18"/>
    </i>
    <i r="2">
      <x v="19"/>
    </i>
    <i r="2">
      <x v="41"/>
    </i>
    <i r="2">
      <x v="42"/>
    </i>
    <i r="2">
      <x v="43"/>
    </i>
    <i r="2">
      <x v="44"/>
    </i>
    <i r="2">
      <x v="49"/>
    </i>
    <i r="2">
      <x v="55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90"/>
    </i>
    <i r="2">
      <x v="91"/>
    </i>
    <i r="2">
      <x v="94"/>
    </i>
    <i r="2">
      <x v="95"/>
    </i>
    <i r="2">
      <x v="96"/>
    </i>
    <i r="2">
      <x v="97"/>
    </i>
    <i r="2">
      <x v="98"/>
    </i>
    <i r="2">
      <x v="108"/>
    </i>
    <i r="2">
      <x v="109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2">
      <x v="124"/>
    </i>
    <i r="2">
      <x v="125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50"/>
    </i>
    <i r="2">
      <x v="206"/>
    </i>
    <i r="2">
      <x v="207"/>
    </i>
    <i r="2">
      <x v="210"/>
    </i>
    <i r="2">
      <x v="211"/>
    </i>
    <i r="2">
      <x v="212"/>
    </i>
    <i r="2">
      <x v="218"/>
    </i>
    <i r="2">
      <x v="283"/>
    </i>
    <i r="2">
      <x v="284"/>
    </i>
    <i r="2">
      <x v="285"/>
    </i>
    <i r="2">
      <x v="286"/>
    </i>
    <i r="2">
      <x v="287"/>
    </i>
    <i r="2">
      <x v="288"/>
    </i>
    <i r="2">
      <x v="300"/>
    </i>
    <i r="2">
      <x v="301"/>
    </i>
    <i r="2">
      <x v="305"/>
    </i>
    <i r="2">
      <x v="306"/>
    </i>
    <i r="2">
      <x v="307"/>
    </i>
    <i r="2">
      <x v="308"/>
    </i>
    <i r="2">
      <x v="309"/>
    </i>
    <i r="2">
      <x v="310"/>
    </i>
    <i r="2">
      <x v="311"/>
    </i>
    <i r="2">
      <x v="354"/>
    </i>
    <i r="2">
      <x v="355"/>
    </i>
    <i r="2">
      <x v="356"/>
    </i>
    <i r="2">
      <x v="357"/>
    </i>
    <i r="2">
      <x v="371"/>
    </i>
    <i r="2">
      <x v="372"/>
    </i>
    <i r="2">
      <x v="385"/>
    </i>
    <i r="2">
      <x v="386"/>
    </i>
    <i r="2">
      <x v="388"/>
    </i>
    <i r="2">
      <x v="392"/>
    </i>
    <i r="2">
      <x v="393"/>
    </i>
    <i r="2">
      <x v="394"/>
    </i>
    <i r="2">
      <x v="395"/>
    </i>
    <i r="2">
      <x v="396"/>
    </i>
    <i r="2">
      <x v="422"/>
    </i>
    <i r="2">
      <x v="423"/>
    </i>
    <i r="2">
      <x v="434"/>
    </i>
    <i r="2">
      <x v="441"/>
    </i>
    <i r="2">
      <x v="442"/>
    </i>
    <i r="2">
      <x v="446"/>
    </i>
    <i r="2">
      <x v="447"/>
    </i>
    <i r="2">
      <x v="455"/>
    </i>
    <i r="2">
      <x v="456"/>
    </i>
    <i r="2">
      <x v="510"/>
    </i>
    <i r="2">
      <x v="511"/>
    </i>
    <i r="2">
      <x v="512"/>
    </i>
    <i r="2">
      <x v="513"/>
    </i>
    <i r="2">
      <x v="514"/>
    </i>
    <i r="2">
      <x v="515"/>
    </i>
    <i r="2">
      <x v="517"/>
    </i>
    <i r="2">
      <x v="549"/>
    </i>
    <i r="2">
      <x v="550"/>
    </i>
    <i r="2">
      <x v="551"/>
    </i>
    <i r="2">
      <x v="552"/>
    </i>
    <i r="2">
      <x v="553"/>
    </i>
    <i r="2">
      <x v="556"/>
    </i>
    <i r="2">
      <x v="557"/>
    </i>
    <i r="2">
      <x v="558"/>
    </i>
    <i r="2">
      <x v="559"/>
    </i>
    <i r="2">
      <x v="560"/>
    </i>
    <i r="2">
      <x v="561"/>
    </i>
    <i r="2">
      <x v="562"/>
    </i>
    <i r="2">
      <x v="563"/>
    </i>
    <i r="2">
      <x v="564"/>
    </i>
    <i r="2">
      <x v="565"/>
    </i>
    <i r="2">
      <x v="566"/>
    </i>
    <i r="2">
      <x v="567"/>
    </i>
    <i r="2">
      <x v="568"/>
    </i>
    <i r="2">
      <x v="569"/>
    </i>
    <i r="2">
      <x v="570"/>
    </i>
    <i r="2">
      <x v="571"/>
    </i>
    <i r="2">
      <x v="572"/>
    </i>
    <i r="2">
      <x v="573"/>
    </i>
    <i r="2">
      <x v="574"/>
    </i>
    <i r="2">
      <x v="616"/>
    </i>
    <i r="2">
      <x v="617"/>
    </i>
    <i r="2">
      <x v="618"/>
    </i>
    <i r="2">
      <x v="619"/>
    </i>
    <i r="2">
      <x v="620"/>
    </i>
    <i r="2">
      <x v="621"/>
    </i>
    <i r="2">
      <x v="622"/>
    </i>
    <i r="2">
      <x v="623"/>
    </i>
    <i r="2">
      <x v="624"/>
    </i>
    <i r="2">
      <x v="625"/>
    </i>
    <i r="2">
      <x v="626"/>
    </i>
    <i r="2">
      <x v="639"/>
    </i>
    <i r="2">
      <x v="640"/>
    </i>
    <i r="2">
      <x v="651"/>
    </i>
    <i r="2">
      <x v="652"/>
    </i>
    <i r="2">
      <x v="654"/>
    </i>
    <i r="2">
      <x v="655"/>
    </i>
    <i r="2">
      <x v="666"/>
    </i>
    <i r="2">
      <x v="689"/>
    </i>
    <i r="2">
      <x v="690"/>
    </i>
    <i r="2">
      <x v="691"/>
    </i>
    <i r="2">
      <x v="692"/>
    </i>
    <i r="2">
      <x v="693"/>
    </i>
    <i r="2">
      <x v="694"/>
    </i>
    <i r="2">
      <x v="725"/>
    </i>
    <i r="2">
      <x v="726"/>
    </i>
    <i r="2">
      <x v="727"/>
    </i>
    <i r="2">
      <x v="728"/>
    </i>
    <i r="2">
      <x v="760"/>
    </i>
    <i r="2">
      <x v="761"/>
    </i>
    <i r="2">
      <x v="762"/>
    </i>
    <i r="2">
      <x v="763"/>
    </i>
    <i r="2">
      <x v="764"/>
    </i>
    <i r="2">
      <x v="765"/>
    </i>
    <i r="2">
      <x v="766"/>
    </i>
    <i r="2">
      <x v="767"/>
    </i>
    <i r="2">
      <x v="768"/>
    </i>
    <i r="2">
      <x v="769"/>
    </i>
    <i r="2">
      <x v="770"/>
    </i>
    <i r="2">
      <x v="771"/>
    </i>
    <i r="2">
      <x v="772"/>
    </i>
    <i r="2">
      <x v="773"/>
    </i>
    <i r="2">
      <x v="774"/>
    </i>
    <i r="2">
      <x v="775"/>
    </i>
    <i r="2">
      <x v="776"/>
    </i>
    <i r="2">
      <x v="777"/>
    </i>
    <i r="2">
      <x v="785"/>
    </i>
    <i r="2">
      <x v="786"/>
    </i>
    <i r="2">
      <x v="787"/>
    </i>
    <i r="2">
      <x v="788"/>
    </i>
    <i t="default">
      <x/>
    </i>
    <i t="grand">
      <x/>
    </i>
  </rowItems>
  <colItems count="1">
    <i/>
  </colItems>
  <dataFields count="1">
    <dataField name=" 기획수량" fld="18" baseField="0" baseItem="0"/>
  </dataFields>
  <formats count="24">
    <format dxfId="23">
      <pivotArea type="all" dataOnly="0" outline="0" fieldPosition="0"/>
    </format>
    <format dxfId="22">
      <pivotArea type="all" dataOnly="0" outline="0" fieldPosition="0"/>
    </format>
    <format dxfId="21">
      <pivotArea dataOnly="0" grandRow="1" outline="0" fieldPosition="0"/>
    </format>
    <format dxfId="20">
      <pivotArea type="topRight" dataOnly="0" labelOnly="1" outline="0" offset="B1" fieldPosition="0"/>
    </format>
    <format dxfId="19">
      <pivotArea grandRow="1" outline="0" fieldPosition="0"/>
    </format>
    <format dxfId="18">
      <pivotArea dataOnly="0" labelOnly="1" grandRow="1" outline="0" fieldPosition="0"/>
    </format>
    <format dxfId="17">
      <pivotArea type="origin" dataOnly="0" labelOnly="1" outline="0" fieldPosition="0"/>
    </format>
    <format dxfId="16">
      <pivotArea field="-2" type="button" dataOnly="0" labelOnly="1" outline="0" axis="axisValues" fieldPosition="0"/>
    </format>
    <format dxfId="15">
      <pivotArea type="topRight" dataOnly="0" labelOnly="1" outline="0" fieldPosition="0"/>
    </format>
    <format dxfId="14">
      <pivotArea type="all" dataOnly="0" outline="0" fieldPosition="0"/>
    </format>
    <format dxfId="13">
      <pivotArea type="all" dataOnly="0" outline="0" fieldPosition="0"/>
    </format>
    <format dxfId="12">
      <pivotArea dataOnly="0" outline="0" fieldPosition="0">
        <references count="1">
          <reference field="17" count="0" defaultSubtotal="1"/>
        </references>
      </pivotArea>
    </format>
    <format dxfId="11">
      <pivotArea outline="0" collapsedLevelsAreSubtotals="1" fieldPosition="0"/>
    </format>
    <format dxfId="10">
      <pivotArea type="origin" dataOnly="0" labelOnly="1" outline="0" fieldPosition="0"/>
    </format>
    <format dxfId="9">
      <pivotArea field="17" type="button" dataOnly="0" labelOnly="1" outline="0" axis="axisRow" fieldPosition="0"/>
    </format>
    <format dxfId="8">
      <pivotArea field="14" type="button" dataOnly="0" labelOnly="1" outline="0"/>
    </format>
    <format dxfId="7">
      <pivotArea field="1" type="button" dataOnly="0" labelOnly="1" outline="0"/>
    </format>
    <format dxfId="6">
      <pivotArea dataOnly="0" labelOnly="1" outline="0" fieldPosition="0">
        <references count="1">
          <reference field="17" count="0"/>
        </references>
      </pivotArea>
    </format>
    <format dxfId="5">
      <pivotArea dataOnly="0" labelOnly="1" outline="0" fieldPosition="0">
        <references count="1">
          <reference field="17" count="0" defaultSubtotal="1"/>
        </references>
      </pivotArea>
    </format>
    <format dxfId="4">
      <pivotArea dataOnly="0" labelOnly="1" grandRow="1" outline="0" fieldPosition="0"/>
    </format>
    <format dxfId="3">
      <pivotArea field="-2" type="button" dataOnly="0" labelOnly="1" outline="0" axis="axisValues" fieldPosition="0"/>
    </format>
    <format dxfId="2">
      <pivotArea type="topRight" dataOnly="0" labelOnly="1" outline="0" fieldPosition="0"/>
    </format>
    <format dxfId="1">
      <pivotArea type="topRight" dataOnly="0" labelOnly="1" outline="0" offset="D1:G1" fieldPosition="0"/>
    </format>
    <format dxfId="0">
      <pivotArea type="topRight" dataOnly="0" labelOnly="1" outline="0" offset="H1:I1" fieldPosition="0"/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47"/>
  <sheetViews>
    <sheetView zoomScale="80" zoomScaleNormal="80" workbookViewId="0">
      <pane xSplit="4" ySplit="3" topLeftCell="E1370" activePane="bottomRight" state="frozen"/>
      <selection pane="topRight" activeCell="E1" sqref="E1"/>
      <selection pane="bottomLeft" activeCell="A3" sqref="A3"/>
      <selection pane="bottomRight" activeCell="A1308" sqref="A1308:B1393"/>
    </sheetView>
  </sheetViews>
  <sheetFormatPr defaultRowHeight="13.5"/>
  <cols>
    <col min="1" max="1" width="5.625" style="1" bestFit="1" customWidth="1"/>
    <col min="2" max="2" width="5.625" style="1" customWidth="1"/>
    <col min="3" max="3" width="15.75" style="1" bestFit="1" customWidth="1"/>
    <col min="4" max="4" width="7" style="1" bestFit="1" customWidth="1"/>
    <col min="5" max="5" width="5.25" style="1" bestFit="1" customWidth="1"/>
    <col min="6" max="6" width="8.875" style="26" bestFit="1" customWidth="1"/>
    <col min="7" max="7" width="10.625" style="26" bestFit="1" customWidth="1"/>
    <col min="8" max="8" width="8.875" style="26" bestFit="1" customWidth="1"/>
    <col min="9" max="9" width="12.5" style="26" bestFit="1" customWidth="1"/>
    <col min="10" max="10" width="12.375" style="26" bestFit="1" customWidth="1"/>
    <col min="11" max="16384" width="9" style="1"/>
  </cols>
  <sheetData>
    <row r="1" spans="1:10">
      <c r="F1" s="26">
        <f t="shared" ref="F1:G1" si="0">SUBTOTAL(9,F3:F1048576)</f>
        <v>161912</v>
      </c>
      <c r="G1" s="26">
        <f t="shared" si="0"/>
        <v>1209056</v>
      </c>
      <c r="H1" s="26">
        <f>SUBTOTAL(9,H3:H1048576)</f>
        <v>1376934</v>
      </c>
      <c r="I1" s="26">
        <f t="shared" ref="I1:J1" si="1">SUBTOTAL(9,I3:I1048576)</f>
        <v>13344604790.735609</v>
      </c>
      <c r="J1" s="26">
        <f t="shared" si="1"/>
        <v>77902494000</v>
      </c>
    </row>
    <row r="2" spans="1:10">
      <c r="A2" s="23" t="s">
        <v>16</v>
      </c>
      <c r="B2" s="23">
        <v>0</v>
      </c>
      <c r="C2" s="23" t="s">
        <v>0</v>
      </c>
      <c r="D2" s="23" t="s">
        <v>1</v>
      </c>
      <c r="E2" s="23" t="s">
        <v>13</v>
      </c>
      <c r="F2" s="25" t="s">
        <v>772</v>
      </c>
      <c r="G2" s="25" t="s">
        <v>773</v>
      </c>
      <c r="H2" s="25" t="s">
        <v>774</v>
      </c>
      <c r="I2" s="25" t="s">
        <v>770</v>
      </c>
      <c r="J2" s="25" t="s">
        <v>771</v>
      </c>
    </row>
    <row r="3" spans="1:10">
      <c r="A3" s="24">
        <v>1</v>
      </c>
      <c r="B3" s="24">
        <f>IF(C2=C3,B2,B2+1)</f>
        <v>1</v>
      </c>
      <c r="C3" s="1" t="s">
        <v>797</v>
      </c>
      <c r="D3" s="1" t="s">
        <v>4</v>
      </c>
      <c r="E3" s="1" t="s">
        <v>14</v>
      </c>
      <c r="F3" s="26">
        <v>500</v>
      </c>
      <c r="G3" s="26">
        <v>0</v>
      </c>
      <c r="H3" s="26">
        <v>500</v>
      </c>
      <c r="I3" s="26">
        <v>5010000</v>
      </c>
      <c r="J3" s="26">
        <v>22500000</v>
      </c>
    </row>
    <row r="4" spans="1:10">
      <c r="A4" s="24">
        <v>2</v>
      </c>
      <c r="B4" s="24">
        <f>IF(C3=C4,B3,B3+1)</f>
        <v>2</v>
      </c>
      <c r="C4" s="1" t="s">
        <v>798</v>
      </c>
      <c r="D4" s="1" t="s">
        <v>4</v>
      </c>
      <c r="E4" s="1" t="s">
        <v>14</v>
      </c>
      <c r="F4" s="26">
        <v>500</v>
      </c>
      <c r="G4" s="26">
        <v>0</v>
      </c>
      <c r="H4" s="26">
        <v>500</v>
      </c>
      <c r="I4" s="26">
        <v>5010000</v>
      </c>
      <c r="J4" s="26">
        <v>22500000</v>
      </c>
    </row>
    <row r="5" spans="1:10">
      <c r="A5" s="24">
        <v>3</v>
      </c>
      <c r="B5" s="24">
        <f t="shared" ref="B5:B67" si="2">IF(C4=C5,B4,B4+1)</f>
        <v>3</v>
      </c>
      <c r="C5" s="1" t="s">
        <v>799</v>
      </c>
      <c r="D5" s="1" t="s">
        <v>4</v>
      </c>
      <c r="E5" s="1" t="s">
        <v>14</v>
      </c>
      <c r="F5" s="26">
        <v>500</v>
      </c>
      <c r="G5" s="26">
        <v>0</v>
      </c>
      <c r="H5" s="26">
        <v>500</v>
      </c>
      <c r="I5" s="26">
        <v>5010000</v>
      </c>
      <c r="J5" s="26">
        <v>22500000</v>
      </c>
    </row>
    <row r="6" spans="1:10">
      <c r="A6" s="24">
        <v>4</v>
      </c>
      <c r="B6" s="24">
        <f t="shared" si="2"/>
        <v>4</v>
      </c>
      <c r="C6" s="1" t="s">
        <v>800</v>
      </c>
      <c r="D6" s="1" t="s">
        <v>4</v>
      </c>
      <c r="E6" s="1" t="s">
        <v>14</v>
      </c>
      <c r="F6" s="26">
        <v>500</v>
      </c>
      <c r="G6" s="26">
        <v>0</v>
      </c>
      <c r="H6" s="26">
        <v>500</v>
      </c>
      <c r="I6" s="26">
        <v>5010000</v>
      </c>
      <c r="J6" s="26">
        <v>22500000</v>
      </c>
    </row>
    <row r="7" spans="1:10">
      <c r="A7" s="24">
        <v>5</v>
      </c>
      <c r="B7" s="24">
        <f t="shared" si="2"/>
        <v>5</v>
      </c>
      <c r="C7" s="1" t="s">
        <v>775</v>
      </c>
      <c r="F7" s="26">
        <v>2000</v>
      </c>
      <c r="G7" s="26">
        <v>0</v>
      </c>
      <c r="H7" s="26">
        <v>2000</v>
      </c>
      <c r="I7" s="26">
        <v>20040000</v>
      </c>
      <c r="J7" s="26">
        <v>90000000</v>
      </c>
    </row>
    <row r="8" spans="1:10">
      <c r="A8" s="24">
        <v>6</v>
      </c>
      <c r="B8" s="24">
        <f t="shared" si="2"/>
        <v>6</v>
      </c>
      <c r="C8" s="1" t="s">
        <v>801</v>
      </c>
      <c r="D8" s="1" t="s">
        <v>4</v>
      </c>
      <c r="E8" s="1" t="s">
        <v>15</v>
      </c>
      <c r="F8" s="26">
        <v>0</v>
      </c>
      <c r="G8" s="26">
        <v>360</v>
      </c>
      <c r="H8" s="26">
        <v>360</v>
      </c>
      <c r="I8" s="26">
        <v>3436363.6363636358</v>
      </c>
      <c r="J8" s="26">
        <v>12600000</v>
      </c>
    </row>
    <row r="9" spans="1:10">
      <c r="A9" s="24">
        <v>7</v>
      </c>
      <c r="B9" s="24">
        <f t="shared" si="2"/>
        <v>7</v>
      </c>
      <c r="C9" s="1" t="s">
        <v>802</v>
      </c>
      <c r="D9" s="1" t="s">
        <v>4</v>
      </c>
      <c r="E9" s="1" t="s">
        <v>15</v>
      </c>
      <c r="F9" s="26">
        <v>0</v>
      </c>
      <c r="G9" s="26">
        <v>480</v>
      </c>
      <c r="H9" s="26">
        <v>480</v>
      </c>
      <c r="I9" s="26">
        <v>3796363.6363636358</v>
      </c>
      <c r="J9" s="26">
        <v>13920000</v>
      </c>
    </row>
    <row r="10" spans="1:10">
      <c r="A10" s="24">
        <v>8</v>
      </c>
      <c r="B10" s="24">
        <f t="shared" si="2"/>
        <v>8</v>
      </c>
      <c r="C10" s="1" t="s">
        <v>803</v>
      </c>
      <c r="D10" s="1" t="s">
        <v>4</v>
      </c>
      <c r="E10" s="1" t="s">
        <v>15</v>
      </c>
      <c r="F10" s="26">
        <v>0</v>
      </c>
      <c r="G10" s="26">
        <v>480</v>
      </c>
      <c r="H10" s="26">
        <v>480</v>
      </c>
      <c r="I10" s="26">
        <v>3796363.6363636358</v>
      </c>
      <c r="J10" s="26">
        <v>13920000</v>
      </c>
    </row>
    <row r="11" spans="1:10">
      <c r="A11" s="24">
        <v>9</v>
      </c>
      <c r="B11" s="24">
        <f t="shared" si="2"/>
        <v>9</v>
      </c>
      <c r="C11" s="1" t="s">
        <v>804</v>
      </c>
      <c r="D11" s="1" t="s">
        <v>4</v>
      </c>
      <c r="E11" s="1" t="s">
        <v>15</v>
      </c>
      <c r="F11" s="26">
        <v>0</v>
      </c>
      <c r="G11" s="26">
        <v>240</v>
      </c>
      <c r="H11" s="26">
        <v>240</v>
      </c>
      <c r="I11" s="26">
        <v>3861818.1818181816</v>
      </c>
      <c r="J11" s="26">
        <v>14160000</v>
      </c>
    </row>
    <row r="12" spans="1:10">
      <c r="A12" s="24">
        <v>10</v>
      </c>
      <c r="B12" s="24">
        <f t="shared" si="2"/>
        <v>10</v>
      </c>
      <c r="C12" s="1" t="s">
        <v>805</v>
      </c>
      <c r="D12" s="1" t="s">
        <v>4</v>
      </c>
      <c r="E12" s="1" t="s">
        <v>15</v>
      </c>
      <c r="F12" s="26">
        <v>0</v>
      </c>
      <c r="G12" s="26">
        <v>360</v>
      </c>
      <c r="H12" s="26">
        <v>360</v>
      </c>
      <c r="I12" s="26">
        <v>2454545.4545454546</v>
      </c>
      <c r="J12" s="26">
        <v>9000000</v>
      </c>
    </row>
    <row r="13" spans="1:10">
      <c r="A13" s="24">
        <v>11</v>
      </c>
      <c r="B13" s="24">
        <f t="shared" si="2"/>
        <v>11</v>
      </c>
      <c r="C13" s="1" t="s">
        <v>806</v>
      </c>
      <c r="D13" s="1" t="s">
        <v>4</v>
      </c>
      <c r="E13" s="1" t="s">
        <v>15</v>
      </c>
      <c r="F13" s="26">
        <v>0</v>
      </c>
      <c r="G13" s="26">
        <v>360</v>
      </c>
      <c r="H13" s="26">
        <v>360</v>
      </c>
      <c r="I13" s="26">
        <v>3829090.9090909092</v>
      </c>
      <c r="J13" s="26">
        <v>14040000</v>
      </c>
    </row>
    <row r="14" spans="1:10">
      <c r="A14" s="24">
        <v>12</v>
      </c>
      <c r="B14" s="24">
        <f t="shared" si="2"/>
        <v>12</v>
      </c>
      <c r="C14" s="1" t="s">
        <v>807</v>
      </c>
      <c r="D14" s="1" t="s">
        <v>4</v>
      </c>
      <c r="E14" s="1" t="s">
        <v>15</v>
      </c>
      <c r="F14" s="26">
        <v>0</v>
      </c>
      <c r="G14" s="26">
        <v>240</v>
      </c>
      <c r="H14" s="26">
        <v>240</v>
      </c>
      <c r="I14" s="26">
        <v>2552727.2727272725</v>
      </c>
      <c r="J14" s="26">
        <v>9360000</v>
      </c>
    </row>
    <row r="15" spans="1:10">
      <c r="A15" s="24">
        <v>13</v>
      </c>
      <c r="B15" s="24">
        <f t="shared" si="2"/>
        <v>13</v>
      </c>
      <c r="C15" s="1" t="s">
        <v>808</v>
      </c>
      <c r="D15" s="1" t="s">
        <v>4</v>
      </c>
      <c r="E15" s="1" t="s">
        <v>15</v>
      </c>
      <c r="F15" s="26">
        <v>0</v>
      </c>
      <c r="G15" s="26">
        <v>360</v>
      </c>
      <c r="H15" s="26">
        <v>360</v>
      </c>
      <c r="I15" s="26">
        <v>3829090.9090909092</v>
      </c>
      <c r="J15" s="26">
        <v>14040000</v>
      </c>
    </row>
    <row r="16" spans="1:10">
      <c r="A16" s="24">
        <v>14</v>
      </c>
      <c r="B16" s="24">
        <f t="shared" si="2"/>
        <v>14</v>
      </c>
      <c r="C16" s="1" t="s">
        <v>809</v>
      </c>
      <c r="D16" s="1" t="s">
        <v>4</v>
      </c>
      <c r="E16" s="1" t="s">
        <v>15</v>
      </c>
      <c r="F16" s="26">
        <v>0</v>
      </c>
      <c r="G16" s="26">
        <v>360</v>
      </c>
      <c r="H16" s="26">
        <v>360</v>
      </c>
      <c r="I16" s="26">
        <v>3829090.9090909092</v>
      </c>
      <c r="J16" s="26">
        <v>14040000</v>
      </c>
    </row>
    <row r="17" spans="1:10">
      <c r="A17" s="24">
        <v>15</v>
      </c>
      <c r="B17" s="24">
        <f t="shared" si="2"/>
        <v>15</v>
      </c>
      <c r="C17" s="1" t="s">
        <v>810</v>
      </c>
      <c r="D17" s="1" t="s">
        <v>4</v>
      </c>
      <c r="E17" s="1" t="s">
        <v>15</v>
      </c>
      <c r="F17" s="26">
        <v>0</v>
      </c>
      <c r="G17" s="26">
        <v>480</v>
      </c>
      <c r="H17" s="26">
        <v>480</v>
      </c>
      <c r="I17" s="26">
        <v>5105454.5454545449</v>
      </c>
      <c r="J17" s="26">
        <v>18720000</v>
      </c>
    </row>
    <row r="18" spans="1:10">
      <c r="A18" s="24">
        <v>16</v>
      </c>
      <c r="B18" s="24">
        <f t="shared" si="2"/>
        <v>16</v>
      </c>
      <c r="C18" s="1" t="s">
        <v>811</v>
      </c>
      <c r="D18" s="1" t="s">
        <v>4</v>
      </c>
      <c r="E18" s="1" t="s">
        <v>15</v>
      </c>
      <c r="F18" s="26">
        <v>0</v>
      </c>
      <c r="G18" s="26">
        <v>480</v>
      </c>
      <c r="H18" s="26">
        <v>480</v>
      </c>
      <c r="I18" s="26">
        <v>5105454.5454545449</v>
      </c>
      <c r="J18" s="26">
        <v>18720000</v>
      </c>
    </row>
    <row r="19" spans="1:10">
      <c r="A19" s="24">
        <v>17</v>
      </c>
      <c r="B19" s="24">
        <f t="shared" si="2"/>
        <v>17</v>
      </c>
      <c r="C19" s="1" t="s">
        <v>812</v>
      </c>
      <c r="D19" s="1" t="s">
        <v>4</v>
      </c>
      <c r="E19" s="1" t="s">
        <v>15</v>
      </c>
      <c r="F19" s="26">
        <v>0</v>
      </c>
      <c r="G19" s="26">
        <v>480</v>
      </c>
      <c r="H19" s="26">
        <v>480</v>
      </c>
      <c r="I19" s="26">
        <v>5105454.5454545449</v>
      </c>
      <c r="J19" s="26">
        <v>18720000</v>
      </c>
    </row>
    <row r="20" spans="1:10">
      <c r="A20" s="24">
        <v>18</v>
      </c>
      <c r="B20" s="24">
        <f t="shared" si="2"/>
        <v>18</v>
      </c>
      <c r="C20" s="1" t="s">
        <v>813</v>
      </c>
      <c r="D20" s="1" t="s">
        <v>4</v>
      </c>
      <c r="E20" s="1" t="s">
        <v>15</v>
      </c>
      <c r="F20" s="26">
        <v>0</v>
      </c>
      <c r="G20" s="26">
        <v>360</v>
      </c>
      <c r="H20" s="26">
        <v>360</v>
      </c>
      <c r="I20" s="26">
        <v>3829090.9090909092</v>
      </c>
      <c r="J20" s="26">
        <v>14040000</v>
      </c>
    </row>
    <row r="21" spans="1:10">
      <c r="A21" s="24">
        <v>19</v>
      </c>
      <c r="B21" s="24">
        <f t="shared" si="2"/>
        <v>19</v>
      </c>
      <c r="C21" s="1" t="s">
        <v>814</v>
      </c>
      <c r="D21" s="1" t="s">
        <v>4</v>
      </c>
      <c r="E21" s="1" t="s">
        <v>15</v>
      </c>
      <c r="F21" s="26">
        <v>0</v>
      </c>
      <c r="G21" s="26">
        <v>240</v>
      </c>
      <c r="H21" s="26">
        <v>240</v>
      </c>
      <c r="I21" s="26">
        <v>3599999.9999999995</v>
      </c>
      <c r="J21" s="26">
        <v>13200000</v>
      </c>
    </row>
    <row r="22" spans="1:10">
      <c r="A22" s="24">
        <v>20</v>
      </c>
      <c r="B22" s="24">
        <f t="shared" si="2"/>
        <v>20</v>
      </c>
      <c r="C22" s="1" t="s">
        <v>815</v>
      </c>
      <c r="D22" s="1" t="s">
        <v>4</v>
      </c>
      <c r="E22" s="1" t="s">
        <v>15</v>
      </c>
      <c r="F22" s="26">
        <v>0</v>
      </c>
      <c r="G22" s="26">
        <v>240</v>
      </c>
      <c r="H22" s="26">
        <v>240</v>
      </c>
      <c r="I22" s="26">
        <v>3599999.9999999995</v>
      </c>
      <c r="J22" s="26">
        <v>13200000</v>
      </c>
    </row>
    <row r="23" spans="1:10">
      <c r="A23" s="24">
        <v>21</v>
      </c>
      <c r="B23" s="24">
        <f t="shared" si="2"/>
        <v>21</v>
      </c>
      <c r="C23" s="1" t="s">
        <v>816</v>
      </c>
      <c r="D23" s="1" t="s">
        <v>4</v>
      </c>
      <c r="E23" s="1" t="s">
        <v>15</v>
      </c>
      <c r="F23" s="26">
        <v>0</v>
      </c>
      <c r="G23" s="26">
        <v>120</v>
      </c>
      <c r="H23" s="26">
        <v>120</v>
      </c>
      <c r="I23" s="26">
        <v>1145454.5454545454</v>
      </c>
      <c r="J23" s="26">
        <v>4200000</v>
      </c>
    </row>
    <row r="24" spans="1:10">
      <c r="A24" s="24">
        <v>22</v>
      </c>
      <c r="B24" s="24">
        <f t="shared" si="2"/>
        <v>22</v>
      </c>
      <c r="C24" s="1" t="s">
        <v>817</v>
      </c>
      <c r="D24" s="1" t="s">
        <v>4</v>
      </c>
      <c r="E24" s="1" t="s">
        <v>15</v>
      </c>
      <c r="F24" s="26">
        <v>0</v>
      </c>
      <c r="G24" s="26">
        <v>120</v>
      </c>
      <c r="H24" s="26">
        <v>120</v>
      </c>
      <c r="I24" s="26">
        <v>1145454.5454545454</v>
      </c>
      <c r="J24" s="26">
        <v>4200000</v>
      </c>
    </row>
    <row r="25" spans="1:10">
      <c r="A25" s="24">
        <v>23</v>
      </c>
      <c r="B25" s="24">
        <f t="shared" si="2"/>
        <v>23</v>
      </c>
      <c r="C25" s="1" t="s">
        <v>775</v>
      </c>
      <c r="F25" s="26">
        <v>0</v>
      </c>
      <c r="G25" s="26">
        <v>5760</v>
      </c>
      <c r="H25" s="26">
        <v>5760</v>
      </c>
      <c r="I25" s="26">
        <v>60021818.181818187</v>
      </c>
      <c r="J25" s="26">
        <v>220080000</v>
      </c>
    </row>
    <row r="26" spans="1:10">
      <c r="A26" s="24">
        <v>24</v>
      </c>
      <c r="B26" s="24">
        <f t="shared" si="2"/>
        <v>24</v>
      </c>
      <c r="C26" s="1" t="s">
        <v>818</v>
      </c>
      <c r="D26" s="1" t="s">
        <v>4</v>
      </c>
      <c r="E26" s="1" t="s">
        <v>14</v>
      </c>
      <c r="F26" s="26">
        <v>0</v>
      </c>
      <c r="G26" s="26">
        <v>500</v>
      </c>
      <c r="H26" s="26">
        <v>500</v>
      </c>
      <c r="I26" s="26">
        <v>4157605.0000000005</v>
      </c>
      <c r="J26" s="26">
        <v>19500000</v>
      </c>
    </row>
    <row r="27" spans="1:10">
      <c r="A27" s="24">
        <v>25</v>
      </c>
      <c r="B27" s="24">
        <f t="shared" si="2"/>
        <v>25</v>
      </c>
      <c r="C27" s="1" t="s">
        <v>819</v>
      </c>
      <c r="D27" s="1" t="s">
        <v>4</v>
      </c>
      <c r="E27" s="1" t="s">
        <v>14</v>
      </c>
      <c r="F27" s="26">
        <v>0</v>
      </c>
      <c r="G27" s="26">
        <v>500</v>
      </c>
      <c r="H27" s="26">
        <v>500</v>
      </c>
      <c r="I27" s="26">
        <v>4157605.0000000005</v>
      </c>
      <c r="J27" s="26">
        <v>19500000</v>
      </c>
    </row>
    <row r="28" spans="1:10">
      <c r="A28" s="24">
        <v>26</v>
      </c>
      <c r="B28" s="24">
        <f t="shared" si="2"/>
        <v>26</v>
      </c>
      <c r="C28" s="1" t="s">
        <v>820</v>
      </c>
      <c r="D28" s="1" t="s">
        <v>4</v>
      </c>
      <c r="E28" s="1" t="s">
        <v>14</v>
      </c>
      <c r="F28" s="26">
        <v>0</v>
      </c>
      <c r="G28" s="26">
        <v>500</v>
      </c>
      <c r="H28" s="26">
        <v>500</v>
      </c>
      <c r="I28" s="26">
        <v>2592005</v>
      </c>
      <c r="J28" s="26">
        <v>14500000</v>
      </c>
    </row>
    <row r="29" spans="1:10">
      <c r="A29" s="24">
        <v>27</v>
      </c>
      <c r="B29" s="24">
        <f t="shared" si="2"/>
        <v>27</v>
      </c>
      <c r="C29" s="1" t="s">
        <v>821</v>
      </c>
      <c r="D29" s="1" t="s">
        <v>4</v>
      </c>
      <c r="E29" s="1" t="s">
        <v>14</v>
      </c>
      <c r="F29" s="26">
        <v>0</v>
      </c>
      <c r="G29" s="26">
        <v>500</v>
      </c>
      <c r="H29" s="26">
        <v>500</v>
      </c>
      <c r="I29" s="26">
        <v>2592005</v>
      </c>
      <c r="J29" s="26">
        <v>14500000</v>
      </c>
    </row>
    <row r="30" spans="1:10">
      <c r="A30" s="24">
        <v>28</v>
      </c>
      <c r="B30" s="24">
        <f t="shared" si="2"/>
        <v>28</v>
      </c>
      <c r="C30" s="1" t="s">
        <v>822</v>
      </c>
      <c r="D30" s="1" t="s">
        <v>4</v>
      </c>
      <c r="E30" s="1" t="s">
        <v>14</v>
      </c>
      <c r="F30" s="26">
        <v>0</v>
      </c>
      <c r="G30" s="26">
        <v>1000</v>
      </c>
      <c r="H30" s="26">
        <v>1000</v>
      </c>
      <c r="I30" s="26">
        <v>8795510.0000000019</v>
      </c>
      <c r="J30" s="26">
        <v>55000000</v>
      </c>
    </row>
    <row r="31" spans="1:10">
      <c r="A31" s="24">
        <v>29</v>
      </c>
      <c r="B31" s="24">
        <f t="shared" si="2"/>
        <v>29</v>
      </c>
      <c r="C31" s="1" t="s">
        <v>823</v>
      </c>
      <c r="D31" s="1" t="s">
        <v>4</v>
      </c>
      <c r="E31" s="1" t="s">
        <v>14</v>
      </c>
      <c r="F31" s="26">
        <v>0</v>
      </c>
      <c r="G31" s="26">
        <v>1000</v>
      </c>
      <c r="H31" s="26">
        <v>1000</v>
      </c>
      <c r="I31" s="26">
        <v>8633510.0000000019</v>
      </c>
      <c r="J31" s="26">
        <v>49000000</v>
      </c>
    </row>
    <row r="32" spans="1:10">
      <c r="A32" s="24">
        <v>30</v>
      </c>
      <c r="B32" s="24">
        <f t="shared" si="2"/>
        <v>30</v>
      </c>
      <c r="C32" s="1" t="s">
        <v>775</v>
      </c>
      <c r="F32" s="26">
        <v>0</v>
      </c>
      <c r="G32" s="26">
        <v>4000</v>
      </c>
      <c r="H32" s="26">
        <v>4000</v>
      </c>
      <c r="I32" s="26">
        <v>30928240</v>
      </c>
      <c r="J32" s="26">
        <v>172000000</v>
      </c>
    </row>
    <row r="33" spans="1:10">
      <c r="A33" s="24">
        <v>31</v>
      </c>
      <c r="B33" s="24">
        <f t="shared" si="2"/>
        <v>31</v>
      </c>
      <c r="C33" s="1" t="s">
        <v>824</v>
      </c>
      <c r="D33" s="1" t="s">
        <v>4</v>
      </c>
      <c r="E33" s="1" t="s">
        <v>14</v>
      </c>
      <c r="F33" s="26">
        <v>0</v>
      </c>
      <c r="G33" s="26">
        <v>1000</v>
      </c>
      <c r="H33" s="26">
        <v>1000</v>
      </c>
      <c r="I33" s="26">
        <v>6186444</v>
      </c>
      <c r="J33" s="26">
        <v>39000000</v>
      </c>
    </row>
    <row r="34" spans="1:10">
      <c r="A34" s="24">
        <v>32</v>
      </c>
      <c r="B34" s="24">
        <f t="shared" si="2"/>
        <v>32</v>
      </c>
      <c r="C34" s="1" t="s">
        <v>825</v>
      </c>
      <c r="D34" s="1" t="s">
        <v>4</v>
      </c>
      <c r="E34" s="1" t="s">
        <v>14</v>
      </c>
      <c r="F34" s="26">
        <v>0</v>
      </c>
      <c r="G34" s="26">
        <v>1000</v>
      </c>
      <c r="H34" s="26">
        <v>1000</v>
      </c>
      <c r="I34" s="26">
        <v>6186444</v>
      </c>
      <c r="J34" s="26">
        <v>39000000</v>
      </c>
    </row>
    <row r="35" spans="1:10">
      <c r="A35" s="24">
        <v>33</v>
      </c>
      <c r="B35" s="24">
        <f t="shared" si="2"/>
        <v>33</v>
      </c>
      <c r="C35" s="1" t="s">
        <v>826</v>
      </c>
      <c r="D35" s="1" t="s">
        <v>4</v>
      </c>
      <c r="E35" s="1" t="s">
        <v>14</v>
      </c>
      <c r="F35" s="26">
        <v>0</v>
      </c>
      <c r="G35" s="26">
        <v>1500</v>
      </c>
      <c r="H35" s="26">
        <v>1500</v>
      </c>
      <c r="I35" s="26">
        <v>10197495.000000002</v>
      </c>
      <c r="J35" s="26">
        <v>64500000</v>
      </c>
    </row>
    <row r="36" spans="1:10">
      <c r="A36" s="24">
        <v>34</v>
      </c>
      <c r="B36" s="24">
        <f t="shared" si="2"/>
        <v>34</v>
      </c>
      <c r="C36" s="1" t="s">
        <v>827</v>
      </c>
      <c r="D36" s="1" t="s">
        <v>4</v>
      </c>
      <c r="E36" s="1" t="s">
        <v>14</v>
      </c>
      <c r="F36" s="26">
        <v>0</v>
      </c>
      <c r="G36" s="26">
        <v>1500</v>
      </c>
      <c r="H36" s="26">
        <v>1500</v>
      </c>
      <c r="I36" s="26">
        <v>10197495.000000002</v>
      </c>
      <c r="J36" s="26">
        <v>64500000</v>
      </c>
    </row>
    <row r="37" spans="1:10">
      <c r="A37" s="24">
        <v>35</v>
      </c>
      <c r="B37" s="24">
        <f t="shared" si="2"/>
        <v>35</v>
      </c>
      <c r="C37" s="1" t="s">
        <v>828</v>
      </c>
      <c r="D37" s="1" t="s">
        <v>4</v>
      </c>
      <c r="E37" s="1" t="s">
        <v>14</v>
      </c>
      <c r="F37" s="26">
        <v>0</v>
      </c>
      <c r="G37" s="26">
        <v>1000</v>
      </c>
      <c r="H37" s="26">
        <v>1000</v>
      </c>
      <c r="I37" s="26">
        <v>6798330.0000000009</v>
      </c>
      <c r="J37" s="26">
        <v>43000000</v>
      </c>
    </row>
    <row r="38" spans="1:10">
      <c r="A38" s="24">
        <v>36</v>
      </c>
      <c r="B38" s="24">
        <f t="shared" si="2"/>
        <v>36</v>
      </c>
      <c r="C38" s="1" t="s">
        <v>829</v>
      </c>
      <c r="D38" s="1" t="s">
        <v>4</v>
      </c>
      <c r="E38" s="1" t="s">
        <v>14</v>
      </c>
      <c r="F38" s="26">
        <v>0</v>
      </c>
      <c r="G38" s="26">
        <v>800</v>
      </c>
      <c r="H38" s="26">
        <v>800</v>
      </c>
      <c r="I38" s="26">
        <v>6160560.0000000009</v>
      </c>
      <c r="J38" s="26">
        <v>31200000</v>
      </c>
    </row>
    <row r="39" spans="1:10">
      <c r="A39" s="24">
        <v>37</v>
      </c>
      <c r="B39" s="24">
        <f t="shared" si="2"/>
        <v>37</v>
      </c>
      <c r="C39" s="1" t="s">
        <v>830</v>
      </c>
      <c r="D39" s="1" t="s">
        <v>4</v>
      </c>
      <c r="E39" s="1" t="s">
        <v>14</v>
      </c>
      <c r="F39" s="26">
        <v>0</v>
      </c>
      <c r="G39" s="26">
        <v>1000</v>
      </c>
      <c r="H39" s="26">
        <v>1000</v>
      </c>
      <c r="I39" s="26">
        <v>6752143.9999999991</v>
      </c>
      <c r="J39" s="26">
        <v>65000000</v>
      </c>
    </row>
    <row r="40" spans="1:10">
      <c r="A40" s="24">
        <v>38</v>
      </c>
      <c r="B40" s="24">
        <f t="shared" si="2"/>
        <v>38</v>
      </c>
      <c r="C40" s="1" t="s">
        <v>831</v>
      </c>
      <c r="D40" s="1" t="s">
        <v>4</v>
      </c>
      <c r="E40" s="1" t="s">
        <v>14</v>
      </c>
      <c r="F40" s="26">
        <v>0</v>
      </c>
      <c r="G40" s="26">
        <v>1000</v>
      </c>
      <c r="H40" s="26">
        <v>1000</v>
      </c>
      <c r="I40" s="26">
        <v>6752143.9999999991</v>
      </c>
      <c r="J40" s="26">
        <v>65000000</v>
      </c>
    </row>
    <row r="41" spans="1:10">
      <c r="A41" s="24">
        <v>39</v>
      </c>
      <c r="B41" s="24">
        <f t="shared" si="2"/>
        <v>39</v>
      </c>
      <c r="C41" s="1" t="s">
        <v>775</v>
      </c>
      <c r="F41" s="26">
        <v>0</v>
      </c>
      <c r="G41" s="26">
        <v>8800</v>
      </c>
      <c r="H41" s="26">
        <v>8800</v>
      </c>
      <c r="I41" s="26">
        <v>59231056</v>
      </c>
      <c r="J41" s="26">
        <v>411200000</v>
      </c>
    </row>
    <row r="42" spans="1:10">
      <c r="A42" s="24">
        <v>40</v>
      </c>
      <c r="B42" s="24">
        <f t="shared" si="2"/>
        <v>40</v>
      </c>
      <c r="C42" s="1" t="s">
        <v>832</v>
      </c>
      <c r="D42" s="1" t="s">
        <v>4</v>
      </c>
      <c r="E42" s="1" t="s">
        <v>14</v>
      </c>
      <c r="F42" s="26">
        <v>0</v>
      </c>
      <c r="G42" s="26">
        <v>1000</v>
      </c>
      <c r="H42" s="26">
        <v>1000</v>
      </c>
      <c r="I42" s="26">
        <v>4783750</v>
      </c>
      <c r="J42" s="26">
        <v>39000000</v>
      </c>
    </row>
    <row r="43" spans="1:10">
      <c r="A43" s="24">
        <v>41</v>
      </c>
      <c r="B43" s="24">
        <f t="shared" si="2"/>
        <v>41</v>
      </c>
      <c r="C43" s="1" t="s">
        <v>833</v>
      </c>
      <c r="D43" s="1" t="s">
        <v>4</v>
      </c>
      <c r="E43" s="1" t="s">
        <v>14</v>
      </c>
      <c r="F43" s="26">
        <v>0</v>
      </c>
      <c r="G43" s="26">
        <v>1000</v>
      </c>
      <c r="H43" s="26">
        <v>1000</v>
      </c>
      <c r="I43" s="26">
        <v>4783750</v>
      </c>
      <c r="J43" s="26">
        <v>39000000</v>
      </c>
    </row>
    <row r="44" spans="1:10">
      <c r="A44" s="24">
        <v>42</v>
      </c>
      <c r="B44" s="24">
        <f t="shared" si="2"/>
        <v>42</v>
      </c>
      <c r="C44" s="1" t="s">
        <v>834</v>
      </c>
      <c r="D44" s="1" t="s">
        <v>4</v>
      </c>
      <c r="E44" s="1" t="s">
        <v>14</v>
      </c>
      <c r="F44" s="26">
        <v>0</v>
      </c>
      <c r="G44" s="26">
        <v>1500</v>
      </c>
      <c r="H44" s="26">
        <v>1500</v>
      </c>
      <c r="I44" s="26">
        <v>6710850.0000000009</v>
      </c>
      <c r="J44" s="26">
        <v>58500000</v>
      </c>
    </row>
    <row r="45" spans="1:10">
      <c r="A45" s="24">
        <v>43</v>
      </c>
      <c r="B45" s="24">
        <f t="shared" si="2"/>
        <v>43</v>
      </c>
      <c r="C45" s="1" t="s">
        <v>835</v>
      </c>
      <c r="D45" s="1" t="s">
        <v>4</v>
      </c>
      <c r="E45" s="1" t="s">
        <v>14</v>
      </c>
      <c r="F45" s="26">
        <v>0</v>
      </c>
      <c r="G45" s="26">
        <v>1500</v>
      </c>
      <c r="H45" s="26">
        <v>1500</v>
      </c>
      <c r="I45" s="26">
        <v>6710850.0000000009</v>
      </c>
      <c r="J45" s="26">
        <v>58500000</v>
      </c>
    </row>
    <row r="46" spans="1:10">
      <c r="A46" s="24">
        <v>44</v>
      </c>
      <c r="B46" s="24">
        <f t="shared" si="2"/>
        <v>44</v>
      </c>
      <c r="C46" s="1" t="s">
        <v>836</v>
      </c>
      <c r="D46" s="1" t="s">
        <v>4</v>
      </c>
      <c r="E46" s="1" t="s">
        <v>14</v>
      </c>
      <c r="F46" s="26">
        <v>0</v>
      </c>
      <c r="G46" s="26">
        <v>1000</v>
      </c>
      <c r="H46" s="26">
        <v>1000</v>
      </c>
      <c r="I46" s="26">
        <v>7216180.0000000009</v>
      </c>
      <c r="J46" s="26">
        <v>45000000</v>
      </c>
    </row>
    <row r="47" spans="1:10">
      <c r="A47" s="24">
        <v>45</v>
      </c>
      <c r="B47" s="24">
        <f t="shared" si="2"/>
        <v>45</v>
      </c>
      <c r="C47" s="1" t="s">
        <v>837</v>
      </c>
      <c r="D47" s="1" t="s">
        <v>4</v>
      </c>
      <c r="E47" s="1" t="s">
        <v>14</v>
      </c>
      <c r="F47" s="26">
        <v>0</v>
      </c>
      <c r="G47" s="26">
        <v>2000</v>
      </c>
      <c r="H47" s="26">
        <v>2000</v>
      </c>
      <c r="I47" s="26">
        <v>9696240</v>
      </c>
      <c r="J47" s="26">
        <v>78000000</v>
      </c>
    </row>
    <row r="48" spans="1:10">
      <c r="A48" s="24">
        <v>46</v>
      </c>
      <c r="B48" s="24">
        <f t="shared" si="2"/>
        <v>46</v>
      </c>
      <c r="C48" s="1" t="s">
        <v>838</v>
      </c>
      <c r="D48" s="1" t="s">
        <v>4</v>
      </c>
      <c r="E48" s="1" t="s">
        <v>14</v>
      </c>
      <c r="F48" s="26">
        <v>0</v>
      </c>
      <c r="G48" s="26">
        <v>1500</v>
      </c>
      <c r="H48" s="26">
        <v>1500</v>
      </c>
      <c r="I48" s="26">
        <v>7272180</v>
      </c>
      <c r="J48" s="26">
        <v>58500000</v>
      </c>
    </row>
    <row r="49" spans="1:10">
      <c r="A49" s="24">
        <v>47</v>
      </c>
      <c r="B49" s="24">
        <f t="shared" si="2"/>
        <v>47</v>
      </c>
      <c r="C49" s="1" t="s">
        <v>839</v>
      </c>
      <c r="D49" s="1" t="s">
        <v>4</v>
      </c>
      <c r="E49" s="1" t="s">
        <v>14</v>
      </c>
      <c r="F49" s="26">
        <v>0</v>
      </c>
      <c r="G49" s="26">
        <v>1000</v>
      </c>
      <c r="H49" s="26">
        <v>1000</v>
      </c>
      <c r="I49" s="26">
        <v>3848200.0000000009</v>
      </c>
      <c r="J49" s="26">
        <v>39000000</v>
      </c>
    </row>
    <row r="50" spans="1:10">
      <c r="A50" s="24">
        <v>48</v>
      </c>
      <c r="B50" s="24">
        <f t="shared" si="2"/>
        <v>48</v>
      </c>
      <c r="C50" s="1" t="s">
        <v>840</v>
      </c>
      <c r="D50" s="1" t="s">
        <v>4</v>
      </c>
      <c r="E50" s="1" t="s">
        <v>14</v>
      </c>
      <c r="F50" s="26">
        <v>0</v>
      </c>
      <c r="G50" s="26">
        <v>1000</v>
      </c>
      <c r="H50" s="26">
        <v>1000</v>
      </c>
      <c r="I50" s="26">
        <v>5200542</v>
      </c>
      <c r="J50" s="26">
        <v>43000000</v>
      </c>
    </row>
    <row r="51" spans="1:10">
      <c r="A51" s="24">
        <v>49</v>
      </c>
      <c r="B51" s="24">
        <f t="shared" si="2"/>
        <v>49</v>
      </c>
      <c r="C51" s="1" t="s">
        <v>841</v>
      </c>
      <c r="D51" s="1" t="s">
        <v>4</v>
      </c>
      <c r="E51" s="1" t="s">
        <v>14</v>
      </c>
      <c r="F51" s="26">
        <v>0</v>
      </c>
      <c r="G51" s="26">
        <v>500</v>
      </c>
      <c r="H51" s="26">
        <v>500</v>
      </c>
      <c r="I51" s="26">
        <v>2470505</v>
      </c>
      <c r="J51" s="26">
        <v>14500000</v>
      </c>
    </row>
    <row r="52" spans="1:10">
      <c r="A52" s="24">
        <v>50</v>
      </c>
      <c r="B52" s="24">
        <f t="shared" si="2"/>
        <v>50</v>
      </c>
      <c r="C52" s="1" t="s">
        <v>842</v>
      </c>
      <c r="D52" s="1" t="s">
        <v>4</v>
      </c>
      <c r="E52" s="1" t="s">
        <v>14</v>
      </c>
      <c r="F52" s="26">
        <v>0</v>
      </c>
      <c r="G52" s="26">
        <v>500</v>
      </c>
      <c r="H52" s="26">
        <v>500</v>
      </c>
      <c r="I52" s="26">
        <v>2470505</v>
      </c>
      <c r="J52" s="26">
        <v>14500000</v>
      </c>
    </row>
    <row r="53" spans="1:10">
      <c r="A53" s="24">
        <v>51</v>
      </c>
      <c r="B53" s="24">
        <f t="shared" si="2"/>
        <v>51</v>
      </c>
      <c r="C53" s="1" t="s">
        <v>775</v>
      </c>
      <c r="F53" s="26">
        <v>0</v>
      </c>
      <c r="G53" s="26">
        <v>12500</v>
      </c>
      <c r="H53" s="26">
        <v>12500</v>
      </c>
      <c r="I53" s="26">
        <v>61163552</v>
      </c>
      <c r="J53" s="26">
        <v>487500000</v>
      </c>
    </row>
    <row r="54" spans="1:10">
      <c r="A54" s="24">
        <v>52</v>
      </c>
      <c r="B54" s="24">
        <f t="shared" si="2"/>
        <v>52</v>
      </c>
      <c r="C54" s="1" t="s">
        <v>843</v>
      </c>
      <c r="D54" s="1" t="s">
        <v>4</v>
      </c>
      <c r="E54" s="1" t="s">
        <v>14</v>
      </c>
      <c r="F54" s="26">
        <v>0</v>
      </c>
      <c r="G54" s="26">
        <v>500</v>
      </c>
      <c r="H54" s="26">
        <v>500</v>
      </c>
      <c r="I54" s="26">
        <v>3657535.0000000005</v>
      </c>
      <c r="J54" s="26">
        <v>29500000</v>
      </c>
    </row>
    <row r="55" spans="1:10">
      <c r="A55" s="24">
        <v>53</v>
      </c>
      <c r="B55" s="24">
        <f t="shared" si="2"/>
        <v>53</v>
      </c>
      <c r="C55" s="1" t="s">
        <v>844</v>
      </c>
      <c r="D55" s="1" t="s">
        <v>4</v>
      </c>
      <c r="E55" s="1" t="s">
        <v>14</v>
      </c>
      <c r="F55" s="26">
        <v>0</v>
      </c>
      <c r="G55" s="26">
        <v>200</v>
      </c>
      <c r="H55" s="26">
        <v>200</v>
      </c>
      <c r="I55" s="26">
        <v>1451866.0000000002</v>
      </c>
      <c r="J55" s="26">
        <v>9800000</v>
      </c>
    </row>
    <row r="56" spans="1:10">
      <c r="A56" s="24">
        <v>54</v>
      </c>
      <c r="B56" s="24">
        <f t="shared" si="2"/>
        <v>54</v>
      </c>
      <c r="C56" s="1" t="s">
        <v>775</v>
      </c>
      <c r="F56" s="26">
        <v>0</v>
      </c>
      <c r="G56" s="26">
        <v>700</v>
      </c>
      <c r="H56" s="26">
        <v>700</v>
      </c>
      <c r="I56" s="26">
        <v>5109401.0000000009</v>
      </c>
      <c r="J56" s="26">
        <v>39300000</v>
      </c>
    </row>
    <row r="57" spans="1:10">
      <c r="A57" s="24">
        <v>55</v>
      </c>
      <c r="B57" s="24">
        <f t="shared" si="2"/>
        <v>55</v>
      </c>
      <c r="C57" s="1" t="s">
        <v>845</v>
      </c>
      <c r="D57" s="1" t="s">
        <v>4</v>
      </c>
      <c r="E57" s="1" t="s">
        <v>14</v>
      </c>
      <c r="F57" s="26">
        <v>0</v>
      </c>
      <c r="G57" s="26">
        <v>500</v>
      </c>
      <c r="H57" s="26">
        <v>500</v>
      </c>
      <c r="I57" s="26">
        <v>4095235</v>
      </c>
      <c r="J57" s="26">
        <v>29500000</v>
      </c>
    </row>
    <row r="58" spans="1:10">
      <c r="A58" s="24">
        <v>56</v>
      </c>
      <c r="B58" s="24">
        <f t="shared" si="2"/>
        <v>56</v>
      </c>
      <c r="C58" s="1" t="s">
        <v>846</v>
      </c>
      <c r="D58" s="1" t="s">
        <v>4</v>
      </c>
      <c r="E58" s="1" t="s">
        <v>14</v>
      </c>
      <c r="F58" s="26">
        <v>0</v>
      </c>
      <c r="G58" s="26">
        <v>500</v>
      </c>
      <c r="H58" s="26">
        <v>500</v>
      </c>
      <c r="I58" s="26">
        <v>4349395</v>
      </c>
      <c r="J58" s="26">
        <v>27500000</v>
      </c>
    </row>
    <row r="59" spans="1:10">
      <c r="A59" s="24">
        <v>57</v>
      </c>
      <c r="B59" s="24">
        <f t="shared" si="2"/>
        <v>57</v>
      </c>
      <c r="C59" s="1" t="s">
        <v>847</v>
      </c>
      <c r="D59" s="1" t="s">
        <v>4</v>
      </c>
      <c r="E59" s="1" t="s">
        <v>14</v>
      </c>
      <c r="F59" s="26">
        <v>0</v>
      </c>
      <c r="G59" s="26">
        <v>500</v>
      </c>
      <c r="H59" s="26">
        <v>500</v>
      </c>
      <c r="I59" s="26">
        <v>3752200.0000000009</v>
      </c>
      <c r="J59" s="26">
        <v>26500000</v>
      </c>
    </row>
    <row r="60" spans="1:10">
      <c r="A60" s="24">
        <v>58</v>
      </c>
      <c r="B60" s="24">
        <f t="shared" si="2"/>
        <v>58</v>
      </c>
      <c r="C60" s="1" t="s">
        <v>848</v>
      </c>
      <c r="D60" s="1" t="s">
        <v>4</v>
      </c>
      <c r="E60" s="1" t="s">
        <v>14</v>
      </c>
      <c r="F60" s="26">
        <v>0</v>
      </c>
      <c r="G60" s="26">
        <v>500</v>
      </c>
      <c r="H60" s="26">
        <v>500</v>
      </c>
      <c r="I60" s="26">
        <v>3970495</v>
      </c>
      <c r="J60" s="26">
        <v>26500000</v>
      </c>
    </row>
    <row r="61" spans="1:10">
      <c r="A61" s="24">
        <v>59</v>
      </c>
      <c r="B61" s="24">
        <f t="shared" si="2"/>
        <v>59</v>
      </c>
      <c r="C61" s="1" t="s">
        <v>775</v>
      </c>
      <c r="F61" s="26">
        <v>0</v>
      </c>
      <c r="G61" s="26">
        <v>2000</v>
      </c>
      <c r="H61" s="26">
        <v>2000</v>
      </c>
      <c r="I61" s="26">
        <v>16167325</v>
      </c>
      <c r="J61" s="26">
        <v>110000000</v>
      </c>
    </row>
    <row r="62" spans="1:10">
      <c r="A62" s="24">
        <v>60</v>
      </c>
      <c r="B62" s="24">
        <f t="shared" si="2"/>
        <v>60</v>
      </c>
      <c r="C62" s="1" t="s">
        <v>849</v>
      </c>
      <c r="D62" s="1" t="s">
        <v>4</v>
      </c>
      <c r="E62" s="1" t="s">
        <v>14</v>
      </c>
      <c r="F62" s="26">
        <v>0</v>
      </c>
      <c r="G62" s="26">
        <v>500</v>
      </c>
      <c r="H62" s="26">
        <v>500</v>
      </c>
      <c r="I62" s="26">
        <v>4970570</v>
      </c>
      <c r="J62" s="26">
        <v>29500000</v>
      </c>
    </row>
    <row r="63" spans="1:10">
      <c r="A63" s="24">
        <v>61</v>
      </c>
      <c r="B63" s="24">
        <f t="shared" si="2"/>
        <v>61</v>
      </c>
      <c r="C63" s="1" t="s">
        <v>850</v>
      </c>
      <c r="D63" s="1" t="s">
        <v>4</v>
      </c>
      <c r="E63" s="1" t="s">
        <v>14</v>
      </c>
      <c r="F63" s="26">
        <v>0</v>
      </c>
      <c r="G63" s="26">
        <v>500</v>
      </c>
      <c r="H63" s="26">
        <v>500</v>
      </c>
      <c r="I63" s="26">
        <v>4699330</v>
      </c>
      <c r="J63" s="26">
        <v>29500000</v>
      </c>
    </row>
    <row r="64" spans="1:10">
      <c r="A64" s="24">
        <v>62</v>
      </c>
      <c r="B64" s="24">
        <f t="shared" si="2"/>
        <v>62</v>
      </c>
      <c r="C64" s="1" t="s">
        <v>851</v>
      </c>
      <c r="D64" s="1" t="s">
        <v>4</v>
      </c>
      <c r="E64" s="1" t="s">
        <v>14</v>
      </c>
      <c r="F64" s="26">
        <v>0</v>
      </c>
      <c r="G64" s="26">
        <v>500</v>
      </c>
      <c r="H64" s="26">
        <v>500</v>
      </c>
      <c r="I64" s="26">
        <v>4919660</v>
      </c>
      <c r="J64" s="26">
        <v>29500000</v>
      </c>
    </row>
    <row r="65" spans="1:10">
      <c r="A65" s="24">
        <v>63</v>
      </c>
      <c r="B65" s="24">
        <f t="shared" si="2"/>
        <v>63</v>
      </c>
      <c r="C65" s="1" t="s">
        <v>852</v>
      </c>
      <c r="D65" s="1" t="s">
        <v>4</v>
      </c>
      <c r="E65" s="1" t="s">
        <v>14</v>
      </c>
      <c r="F65" s="26">
        <v>0</v>
      </c>
      <c r="G65" s="26">
        <v>800</v>
      </c>
      <c r="H65" s="26">
        <v>800</v>
      </c>
      <c r="I65" s="26">
        <v>6529064.0000000009</v>
      </c>
      <c r="J65" s="26">
        <v>47200000</v>
      </c>
    </row>
    <row r="66" spans="1:10">
      <c r="A66" s="24">
        <v>64</v>
      </c>
      <c r="B66" s="24">
        <f t="shared" si="2"/>
        <v>64</v>
      </c>
      <c r="C66" s="1" t="s">
        <v>853</v>
      </c>
      <c r="D66" s="1" t="s">
        <v>4</v>
      </c>
      <c r="E66" s="1" t="s">
        <v>14</v>
      </c>
      <c r="F66" s="26">
        <v>0</v>
      </c>
      <c r="G66" s="26">
        <v>500</v>
      </c>
      <c r="H66" s="26">
        <v>500</v>
      </c>
      <c r="I66" s="26">
        <v>5555330</v>
      </c>
      <c r="J66" s="26">
        <v>27500000</v>
      </c>
    </row>
    <row r="67" spans="1:10">
      <c r="A67" s="24">
        <v>65</v>
      </c>
      <c r="B67" s="24">
        <f t="shared" si="2"/>
        <v>65</v>
      </c>
      <c r="C67" s="1" t="s">
        <v>775</v>
      </c>
      <c r="F67" s="26">
        <v>0</v>
      </c>
      <c r="G67" s="26">
        <v>2800</v>
      </c>
      <c r="H67" s="26">
        <v>2800</v>
      </c>
      <c r="I67" s="26">
        <v>26673954</v>
      </c>
      <c r="J67" s="26">
        <v>163200000</v>
      </c>
    </row>
    <row r="68" spans="1:10">
      <c r="A68" s="24">
        <v>66</v>
      </c>
      <c r="B68" s="24">
        <f t="shared" ref="B68:B131" si="3">IF(C67=C68,B67,B67+1)</f>
        <v>66</v>
      </c>
      <c r="C68" s="1" t="s">
        <v>854</v>
      </c>
      <c r="D68" s="1" t="s">
        <v>4</v>
      </c>
      <c r="E68" s="1" t="s">
        <v>14</v>
      </c>
      <c r="F68" s="26">
        <v>0</v>
      </c>
      <c r="G68" s="26">
        <v>800</v>
      </c>
      <c r="H68" s="26">
        <v>800</v>
      </c>
      <c r="I68" s="26">
        <v>12774622.4</v>
      </c>
      <c r="J68" s="26">
        <v>63200000</v>
      </c>
    </row>
    <row r="69" spans="1:10">
      <c r="A69" s="24">
        <v>67</v>
      </c>
      <c r="B69" s="24">
        <f t="shared" si="3"/>
        <v>67</v>
      </c>
      <c r="C69" s="1" t="s">
        <v>775</v>
      </c>
      <c r="F69" s="26">
        <v>0</v>
      </c>
      <c r="G69" s="26">
        <v>800</v>
      </c>
      <c r="H69" s="26">
        <v>800</v>
      </c>
      <c r="I69" s="26">
        <v>12774622.4</v>
      </c>
      <c r="J69" s="26">
        <v>63200000</v>
      </c>
    </row>
    <row r="70" spans="1:10">
      <c r="A70" s="24">
        <v>68</v>
      </c>
      <c r="B70" s="24">
        <f t="shared" si="3"/>
        <v>68</v>
      </c>
      <c r="C70" s="1" t="s">
        <v>855</v>
      </c>
      <c r="D70" s="1" t="s">
        <v>4</v>
      </c>
      <c r="E70" s="1" t="s">
        <v>15</v>
      </c>
      <c r="F70" s="26">
        <v>0</v>
      </c>
      <c r="G70" s="26">
        <v>168</v>
      </c>
      <c r="H70" s="26">
        <v>168</v>
      </c>
      <c r="I70" s="26">
        <v>7470096.8160000015</v>
      </c>
      <c r="J70" s="26">
        <v>28392000</v>
      </c>
    </row>
    <row r="71" spans="1:10">
      <c r="A71" s="24">
        <v>69</v>
      </c>
      <c r="B71" s="24">
        <f t="shared" si="3"/>
        <v>69</v>
      </c>
      <c r="C71" s="1" t="s">
        <v>856</v>
      </c>
      <c r="D71" s="1" t="s">
        <v>4</v>
      </c>
      <c r="E71" s="1" t="s">
        <v>15</v>
      </c>
      <c r="F71" s="26">
        <v>0</v>
      </c>
      <c r="G71" s="26">
        <v>168</v>
      </c>
      <c r="H71" s="26">
        <v>168</v>
      </c>
      <c r="I71" s="26">
        <v>5898372.8160000006</v>
      </c>
      <c r="J71" s="26">
        <v>23352000</v>
      </c>
    </row>
    <row r="72" spans="1:10">
      <c r="A72" s="24">
        <v>70</v>
      </c>
      <c r="B72" s="24">
        <f t="shared" si="3"/>
        <v>70</v>
      </c>
      <c r="C72" s="1" t="s">
        <v>857</v>
      </c>
      <c r="D72" s="1" t="s">
        <v>4</v>
      </c>
      <c r="E72" s="1" t="s">
        <v>15</v>
      </c>
      <c r="F72" s="26">
        <v>0</v>
      </c>
      <c r="G72" s="26">
        <v>144</v>
      </c>
      <c r="H72" s="26">
        <v>144</v>
      </c>
      <c r="I72" s="26">
        <v>5055748.1280000005</v>
      </c>
      <c r="J72" s="26">
        <v>20016000</v>
      </c>
    </row>
    <row r="73" spans="1:10">
      <c r="A73" s="24">
        <v>71</v>
      </c>
      <c r="B73" s="24">
        <f t="shared" si="3"/>
        <v>71</v>
      </c>
      <c r="C73" s="1" t="s">
        <v>858</v>
      </c>
      <c r="D73" s="1" t="s">
        <v>4</v>
      </c>
      <c r="E73" s="1" t="s">
        <v>15</v>
      </c>
      <c r="F73" s="26">
        <v>0</v>
      </c>
      <c r="G73" s="26">
        <v>108</v>
      </c>
      <c r="H73" s="26">
        <v>108</v>
      </c>
      <c r="I73" s="26">
        <v>4802205.0960000008</v>
      </c>
      <c r="J73" s="26">
        <v>18252000</v>
      </c>
    </row>
    <row r="74" spans="1:10">
      <c r="A74" s="24">
        <v>72</v>
      </c>
      <c r="B74" s="24">
        <f t="shared" si="3"/>
        <v>72</v>
      </c>
      <c r="C74" s="1" t="s">
        <v>859</v>
      </c>
      <c r="D74" s="1" t="s">
        <v>4</v>
      </c>
      <c r="E74" s="1" t="s">
        <v>15</v>
      </c>
      <c r="F74" s="26">
        <v>0</v>
      </c>
      <c r="G74" s="26">
        <v>168</v>
      </c>
      <c r="H74" s="26">
        <v>168</v>
      </c>
      <c r="I74" s="26">
        <v>7470096.8160000015</v>
      </c>
      <c r="J74" s="26">
        <v>28392000</v>
      </c>
    </row>
    <row r="75" spans="1:10">
      <c r="A75" s="24">
        <v>73</v>
      </c>
      <c r="B75" s="24">
        <f t="shared" si="3"/>
        <v>73</v>
      </c>
      <c r="C75" s="1" t="s">
        <v>860</v>
      </c>
      <c r="D75" s="1" t="s">
        <v>4</v>
      </c>
      <c r="E75" s="1" t="s">
        <v>15</v>
      </c>
      <c r="F75" s="26">
        <v>0</v>
      </c>
      <c r="G75" s="26">
        <v>108</v>
      </c>
      <c r="H75" s="26">
        <v>108</v>
      </c>
      <c r="I75" s="26">
        <v>4802205.0960000008</v>
      </c>
      <c r="J75" s="26">
        <v>18252000</v>
      </c>
    </row>
    <row r="76" spans="1:10">
      <c r="A76" s="24">
        <v>74</v>
      </c>
      <c r="B76" s="24">
        <f t="shared" si="3"/>
        <v>74</v>
      </c>
      <c r="C76" s="1" t="s">
        <v>858</v>
      </c>
      <c r="D76" s="1" t="s">
        <v>4</v>
      </c>
      <c r="E76" s="1" t="s">
        <v>15</v>
      </c>
      <c r="F76" s="26">
        <v>0</v>
      </c>
      <c r="G76" s="26">
        <v>108</v>
      </c>
      <c r="H76" s="26">
        <v>108</v>
      </c>
      <c r="I76" s="26">
        <v>4802205.0960000008</v>
      </c>
      <c r="J76" s="26">
        <v>18252000</v>
      </c>
    </row>
    <row r="77" spans="1:10">
      <c r="A77" s="24">
        <v>75</v>
      </c>
      <c r="B77" s="24">
        <f t="shared" si="3"/>
        <v>75</v>
      </c>
      <c r="C77" s="1" t="s">
        <v>861</v>
      </c>
      <c r="D77" s="1" t="s">
        <v>4</v>
      </c>
      <c r="E77" s="1" t="s">
        <v>15</v>
      </c>
      <c r="F77" s="26">
        <v>0</v>
      </c>
      <c r="G77" s="26">
        <v>108</v>
      </c>
      <c r="H77" s="26">
        <v>108</v>
      </c>
      <c r="I77" s="26">
        <v>3286614.0959999999</v>
      </c>
      <c r="J77" s="26">
        <v>12420000</v>
      </c>
    </row>
    <row r="78" spans="1:10">
      <c r="A78" s="24">
        <v>76</v>
      </c>
      <c r="B78" s="24">
        <f t="shared" si="3"/>
        <v>76</v>
      </c>
      <c r="C78" s="1" t="s">
        <v>862</v>
      </c>
      <c r="D78" s="1" t="s">
        <v>4</v>
      </c>
      <c r="E78" s="1" t="s">
        <v>15</v>
      </c>
      <c r="F78" s="26">
        <v>0</v>
      </c>
      <c r="G78" s="26">
        <v>144</v>
      </c>
      <c r="H78" s="26">
        <v>144</v>
      </c>
      <c r="I78" s="26">
        <v>4382152.1280000005</v>
      </c>
      <c r="J78" s="26">
        <v>16560000</v>
      </c>
    </row>
    <row r="79" spans="1:10">
      <c r="A79" s="24">
        <v>77</v>
      </c>
      <c r="B79" s="24">
        <f t="shared" si="3"/>
        <v>77</v>
      </c>
      <c r="C79" s="1" t="s">
        <v>863</v>
      </c>
      <c r="D79" s="1" t="s">
        <v>4</v>
      </c>
      <c r="E79" s="1" t="s">
        <v>15</v>
      </c>
      <c r="F79" s="26">
        <v>0</v>
      </c>
      <c r="G79" s="26">
        <v>168</v>
      </c>
      <c r="H79" s="26">
        <v>168</v>
      </c>
      <c r="I79" s="26">
        <v>5112510.8160000006</v>
      </c>
      <c r="J79" s="26">
        <v>19320000</v>
      </c>
    </row>
    <row r="80" spans="1:10">
      <c r="A80" s="24">
        <v>78</v>
      </c>
      <c r="B80" s="24">
        <f t="shared" si="3"/>
        <v>78</v>
      </c>
      <c r="C80" s="1" t="s">
        <v>864</v>
      </c>
      <c r="D80" s="1" t="s">
        <v>4</v>
      </c>
      <c r="E80" s="1" t="s">
        <v>15</v>
      </c>
      <c r="F80" s="26">
        <v>0</v>
      </c>
      <c r="G80" s="26">
        <v>96</v>
      </c>
      <c r="H80" s="26">
        <v>96</v>
      </c>
      <c r="I80" s="26">
        <v>2472370.7520000003</v>
      </c>
      <c r="J80" s="26">
        <v>9504000</v>
      </c>
    </row>
    <row r="81" spans="1:10">
      <c r="A81" s="24">
        <v>79</v>
      </c>
      <c r="B81" s="24">
        <f t="shared" si="3"/>
        <v>79</v>
      </c>
      <c r="C81" s="1" t="s">
        <v>865</v>
      </c>
      <c r="D81" s="1" t="s">
        <v>4</v>
      </c>
      <c r="E81" s="1" t="s">
        <v>15</v>
      </c>
      <c r="F81" s="26">
        <v>0</v>
      </c>
      <c r="G81" s="26">
        <v>96</v>
      </c>
      <c r="H81" s="26">
        <v>96</v>
      </c>
      <c r="I81" s="26">
        <v>2472370.7520000003</v>
      </c>
      <c r="J81" s="26">
        <v>9504000</v>
      </c>
    </row>
    <row r="82" spans="1:10">
      <c r="A82" s="24">
        <v>80</v>
      </c>
      <c r="B82" s="24">
        <f t="shared" si="3"/>
        <v>80</v>
      </c>
      <c r="C82" s="1" t="s">
        <v>866</v>
      </c>
      <c r="D82" s="1" t="s">
        <v>4</v>
      </c>
      <c r="E82" s="1" t="s">
        <v>15</v>
      </c>
      <c r="F82" s="26">
        <v>0</v>
      </c>
      <c r="G82" s="26">
        <v>72</v>
      </c>
      <c r="H82" s="26">
        <v>72</v>
      </c>
      <c r="I82" s="26">
        <v>1854278.064</v>
      </c>
      <c r="J82" s="26">
        <v>7128000</v>
      </c>
    </row>
    <row r="83" spans="1:10">
      <c r="A83" s="24">
        <v>81</v>
      </c>
      <c r="B83" s="24">
        <f t="shared" si="3"/>
        <v>81</v>
      </c>
      <c r="C83" s="1" t="s">
        <v>867</v>
      </c>
      <c r="D83" s="1" t="s">
        <v>4</v>
      </c>
      <c r="E83" s="1" t="s">
        <v>15</v>
      </c>
      <c r="F83" s="26">
        <v>0</v>
      </c>
      <c r="G83" s="26">
        <v>96</v>
      </c>
      <c r="H83" s="26">
        <v>96</v>
      </c>
      <c r="I83" s="26">
        <v>2472370.7520000003</v>
      </c>
      <c r="J83" s="26">
        <v>9504000</v>
      </c>
    </row>
    <row r="84" spans="1:10">
      <c r="A84" s="24">
        <v>82</v>
      </c>
      <c r="B84" s="24">
        <f t="shared" si="3"/>
        <v>82</v>
      </c>
      <c r="C84" s="1" t="s">
        <v>868</v>
      </c>
      <c r="D84" s="1" t="s">
        <v>4</v>
      </c>
      <c r="E84" s="1" t="s">
        <v>15</v>
      </c>
      <c r="F84" s="26">
        <v>0</v>
      </c>
      <c r="G84" s="26">
        <v>96</v>
      </c>
      <c r="H84" s="26">
        <v>96</v>
      </c>
      <c r="I84" s="26">
        <v>2921434.7520000003</v>
      </c>
      <c r="J84" s="26">
        <v>11040000</v>
      </c>
    </row>
    <row r="85" spans="1:10">
      <c r="A85" s="24">
        <v>83</v>
      </c>
      <c r="B85" s="24">
        <f t="shared" si="3"/>
        <v>83</v>
      </c>
      <c r="C85" s="1" t="s">
        <v>869</v>
      </c>
      <c r="D85" s="1" t="s">
        <v>4</v>
      </c>
      <c r="E85" s="1" t="s">
        <v>15</v>
      </c>
      <c r="F85" s="26">
        <v>0</v>
      </c>
      <c r="G85" s="26">
        <v>96</v>
      </c>
      <c r="H85" s="26">
        <v>96</v>
      </c>
      <c r="I85" s="26">
        <v>2921434.7520000003</v>
      </c>
      <c r="J85" s="26">
        <v>11040000</v>
      </c>
    </row>
    <row r="86" spans="1:10">
      <c r="A86" s="24">
        <v>84</v>
      </c>
      <c r="B86" s="24">
        <f t="shared" si="3"/>
        <v>84</v>
      </c>
      <c r="C86" s="1" t="s">
        <v>870</v>
      </c>
      <c r="D86" s="1" t="s">
        <v>4</v>
      </c>
      <c r="E86" s="1" t="s">
        <v>15</v>
      </c>
      <c r="F86" s="26">
        <v>0</v>
      </c>
      <c r="G86" s="26">
        <v>72</v>
      </c>
      <c r="H86" s="26">
        <v>72</v>
      </c>
      <c r="I86" s="26">
        <v>2191076.0640000002</v>
      </c>
      <c r="J86" s="26">
        <v>8280000</v>
      </c>
    </row>
    <row r="87" spans="1:10">
      <c r="A87" s="24">
        <v>85</v>
      </c>
      <c r="B87" s="24">
        <f t="shared" si="3"/>
        <v>85</v>
      </c>
      <c r="C87" s="1" t="s">
        <v>775</v>
      </c>
      <c r="F87" s="26">
        <v>0</v>
      </c>
      <c r="G87" s="26">
        <v>2016</v>
      </c>
      <c r="H87" s="26">
        <v>2016</v>
      </c>
      <c r="I87" s="26">
        <v>70387542.792000011</v>
      </c>
      <c r="J87" s="26">
        <v>269208000</v>
      </c>
    </row>
    <row r="88" spans="1:10">
      <c r="A88" s="24">
        <v>86</v>
      </c>
      <c r="B88" s="24">
        <f t="shared" si="3"/>
        <v>86</v>
      </c>
      <c r="C88" s="1" t="s">
        <v>871</v>
      </c>
      <c r="D88" s="1" t="s">
        <v>4</v>
      </c>
      <c r="E88" s="1" t="s">
        <v>14</v>
      </c>
      <c r="F88" s="26">
        <v>0</v>
      </c>
      <c r="G88" s="26">
        <v>500</v>
      </c>
      <c r="H88" s="26">
        <v>500</v>
      </c>
      <c r="I88" s="26">
        <v>3580970.0000000005</v>
      </c>
      <c r="J88" s="26">
        <v>24500000</v>
      </c>
    </row>
    <row r="89" spans="1:10">
      <c r="A89" s="24">
        <v>87</v>
      </c>
      <c r="B89" s="24">
        <f t="shared" si="3"/>
        <v>87</v>
      </c>
      <c r="C89" s="1" t="s">
        <v>872</v>
      </c>
      <c r="D89" s="1" t="s">
        <v>4</v>
      </c>
      <c r="E89" s="1" t="s">
        <v>14</v>
      </c>
      <c r="F89" s="26">
        <v>0</v>
      </c>
      <c r="G89" s="26">
        <v>500</v>
      </c>
      <c r="H89" s="26">
        <v>500</v>
      </c>
      <c r="I89" s="26">
        <v>3205070</v>
      </c>
      <c r="J89" s="26">
        <v>24500000</v>
      </c>
    </row>
    <row r="90" spans="1:10">
      <c r="A90" s="24">
        <v>88</v>
      </c>
      <c r="B90" s="24">
        <f t="shared" si="3"/>
        <v>88</v>
      </c>
      <c r="C90" s="1" t="s">
        <v>873</v>
      </c>
      <c r="D90" s="1" t="s">
        <v>4</v>
      </c>
      <c r="E90" s="1" t="s">
        <v>14</v>
      </c>
      <c r="F90" s="26">
        <v>0</v>
      </c>
      <c r="G90" s="26">
        <v>500</v>
      </c>
      <c r="H90" s="26">
        <v>500</v>
      </c>
      <c r="I90" s="26">
        <v>3347245.0000000009</v>
      </c>
      <c r="J90" s="26">
        <v>24500000</v>
      </c>
    </row>
    <row r="91" spans="1:10">
      <c r="A91" s="24">
        <v>89</v>
      </c>
      <c r="B91" s="24">
        <f t="shared" si="3"/>
        <v>89</v>
      </c>
      <c r="C91" s="1" t="s">
        <v>874</v>
      </c>
      <c r="D91" s="1" t="s">
        <v>4</v>
      </c>
      <c r="E91" s="1" t="s">
        <v>14</v>
      </c>
      <c r="F91" s="26">
        <v>0</v>
      </c>
      <c r="G91" s="26">
        <v>500</v>
      </c>
      <c r="H91" s="26">
        <v>500</v>
      </c>
      <c r="I91" s="26">
        <v>4475250</v>
      </c>
      <c r="J91" s="26">
        <v>29500000</v>
      </c>
    </row>
    <row r="92" spans="1:10">
      <c r="A92" s="24">
        <v>90</v>
      </c>
      <c r="B92" s="24">
        <f t="shared" si="3"/>
        <v>90</v>
      </c>
      <c r="C92" s="1" t="s">
        <v>875</v>
      </c>
      <c r="D92" s="1" t="s">
        <v>4</v>
      </c>
      <c r="E92" s="1" t="s">
        <v>14</v>
      </c>
      <c r="F92" s="26">
        <v>0</v>
      </c>
      <c r="G92" s="26">
        <v>500</v>
      </c>
      <c r="H92" s="26">
        <v>500</v>
      </c>
      <c r="I92" s="26">
        <v>3348510</v>
      </c>
      <c r="J92" s="26">
        <v>27500000</v>
      </c>
    </row>
    <row r="93" spans="1:10">
      <c r="A93" s="24">
        <v>91</v>
      </c>
      <c r="B93" s="24">
        <f t="shared" si="3"/>
        <v>91</v>
      </c>
      <c r="C93" s="1" t="s">
        <v>876</v>
      </c>
      <c r="D93" s="1" t="s">
        <v>4</v>
      </c>
      <c r="E93" s="1" t="s">
        <v>14</v>
      </c>
      <c r="F93" s="26">
        <v>0</v>
      </c>
      <c r="G93" s="26">
        <v>700</v>
      </c>
      <c r="H93" s="26">
        <v>700</v>
      </c>
      <c r="I93" s="26">
        <v>5856582.4000000004</v>
      </c>
      <c r="J93" s="26">
        <v>41300000</v>
      </c>
    </row>
    <row r="94" spans="1:10">
      <c r="A94" s="24">
        <v>92</v>
      </c>
      <c r="B94" s="24">
        <f t="shared" si="3"/>
        <v>92</v>
      </c>
      <c r="C94" s="1" t="s">
        <v>877</v>
      </c>
      <c r="D94" s="1" t="s">
        <v>4</v>
      </c>
      <c r="E94" s="1" t="s">
        <v>14</v>
      </c>
      <c r="F94" s="26">
        <v>0</v>
      </c>
      <c r="G94" s="26">
        <v>500</v>
      </c>
      <c r="H94" s="26">
        <v>500</v>
      </c>
      <c r="I94" s="26">
        <v>4172226.0000000005</v>
      </c>
      <c r="J94" s="26">
        <v>27500000</v>
      </c>
    </row>
    <row r="95" spans="1:10">
      <c r="A95" s="24">
        <v>93</v>
      </c>
      <c r="B95" s="24">
        <f t="shared" si="3"/>
        <v>93</v>
      </c>
      <c r="C95" s="1" t="s">
        <v>878</v>
      </c>
      <c r="D95" s="1" t="s">
        <v>4</v>
      </c>
      <c r="E95" s="1" t="s">
        <v>14</v>
      </c>
      <c r="F95" s="26">
        <v>0</v>
      </c>
      <c r="G95" s="26">
        <v>700</v>
      </c>
      <c r="H95" s="26">
        <v>700</v>
      </c>
      <c r="I95" s="26">
        <v>5524974</v>
      </c>
      <c r="J95" s="26">
        <v>41300000</v>
      </c>
    </row>
    <row r="96" spans="1:10">
      <c r="A96" s="24">
        <v>94</v>
      </c>
      <c r="B96" s="24">
        <f t="shared" si="3"/>
        <v>94</v>
      </c>
      <c r="C96" s="1" t="s">
        <v>879</v>
      </c>
      <c r="D96" s="1" t="s">
        <v>4</v>
      </c>
      <c r="E96" s="1" t="s">
        <v>14</v>
      </c>
      <c r="F96" s="26">
        <v>0</v>
      </c>
      <c r="G96" s="26">
        <v>500</v>
      </c>
      <c r="H96" s="26">
        <v>500</v>
      </c>
      <c r="I96" s="26">
        <v>4067540.0000000005</v>
      </c>
      <c r="J96" s="26">
        <v>27500000</v>
      </c>
    </row>
    <row r="97" spans="1:10">
      <c r="A97" s="24">
        <v>95</v>
      </c>
      <c r="B97" s="24">
        <f t="shared" si="3"/>
        <v>95</v>
      </c>
      <c r="C97" s="1" t="s">
        <v>880</v>
      </c>
      <c r="D97" s="1" t="s">
        <v>4</v>
      </c>
      <c r="E97" s="1" t="s">
        <v>14</v>
      </c>
      <c r="F97" s="26">
        <v>0</v>
      </c>
      <c r="G97" s="26">
        <v>400</v>
      </c>
      <c r="H97" s="26">
        <v>400</v>
      </c>
      <c r="I97" s="26">
        <v>2762672</v>
      </c>
      <c r="J97" s="26">
        <v>19600000</v>
      </c>
    </row>
    <row r="98" spans="1:10">
      <c r="A98" s="24">
        <v>96</v>
      </c>
      <c r="B98" s="24">
        <f t="shared" si="3"/>
        <v>96</v>
      </c>
      <c r="C98" s="1" t="s">
        <v>881</v>
      </c>
      <c r="D98" s="1" t="s">
        <v>4</v>
      </c>
      <c r="E98" s="1" t="s">
        <v>14</v>
      </c>
      <c r="F98" s="26">
        <v>0</v>
      </c>
      <c r="G98" s="26">
        <v>700</v>
      </c>
      <c r="H98" s="26">
        <v>700</v>
      </c>
      <c r="I98" s="26">
        <v>5555862</v>
      </c>
      <c r="J98" s="26">
        <v>34300000</v>
      </c>
    </row>
    <row r="99" spans="1:10">
      <c r="A99" s="24">
        <v>97</v>
      </c>
      <c r="B99" s="24">
        <f t="shared" si="3"/>
        <v>97</v>
      </c>
      <c r="C99" s="1" t="s">
        <v>882</v>
      </c>
      <c r="D99" s="1" t="s">
        <v>4</v>
      </c>
      <c r="E99" s="1" t="s">
        <v>14</v>
      </c>
      <c r="F99" s="26">
        <v>0</v>
      </c>
      <c r="G99" s="26">
        <v>500</v>
      </c>
      <c r="H99" s="26">
        <v>500</v>
      </c>
      <c r="I99" s="26">
        <v>4106899.9999999995</v>
      </c>
      <c r="J99" s="26">
        <v>22500000</v>
      </c>
    </row>
    <row r="100" spans="1:10">
      <c r="A100" s="24">
        <v>98</v>
      </c>
      <c r="B100" s="24">
        <f t="shared" si="3"/>
        <v>98</v>
      </c>
      <c r="C100" s="1" t="s">
        <v>883</v>
      </c>
      <c r="D100" s="1" t="s">
        <v>4</v>
      </c>
      <c r="E100" s="1" t="s">
        <v>14</v>
      </c>
      <c r="F100" s="26">
        <v>0</v>
      </c>
      <c r="G100" s="26">
        <v>500</v>
      </c>
      <c r="H100" s="26">
        <v>500</v>
      </c>
      <c r="I100" s="26">
        <v>3755110.0000000005</v>
      </c>
      <c r="J100" s="26">
        <v>24500000</v>
      </c>
    </row>
    <row r="101" spans="1:10">
      <c r="A101" s="24">
        <v>99</v>
      </c>
      <c r="B101" s="24">
        <f t="shared" si="3"/>
        <v>99</v>
      </c>
      <c r="C101" s="1" t="s">
        <v>775</v>
      </c>
      <c r="F101" s="26">
        <v>0</v>
      </c>
      <c r="G101" s="26">
        <v>7000</v>
      </c>
      <c r="H101" s="26">
        <v>7000</v>
      </c>
      <c r="I101" s="26">
        <v>53758911.399999999</v>
      </c>
      <c r="J101" s="26">
        <v>369000000</v>
      </c>
    </row>
    <row r="102" spans="1:10">
      <c r="A102" s="24">
        <v>100</v>
      </c>
      <c r="B102" s="24">
        <f t="shared" si="3"/>
        <v>100</v>
      </c>
      <c r="C102" s="1" t="s">
        <v>884</v>
      </c>
      <c r="D102" s="1" t="s">
        <v>4</v>
      </c>
      <c r="E102" s="1" t="s">
        <v>14</v>
      </c>
      <c r="F102" s="26">
        <v>0</v>
      </c>
      <c r="G102" s="26">
        <v>400</v>
      </c>
      <c r="H102" s="26">
        <v>400</v>
      </c>
      <c r="I102" s="26">
        <v>3135896.0000000005</v>
      </c>
      <c r="J102" s="26">
        <v>23600000</v>
      </c>
    </row>
    <row r="103" spans="1:10">
      <c r="A103" s="24">
        <v>101</v>
      </c>
      <c r="B103" s="24">
        <f t="shared" si="3"/>
        <v>101</v>
      </c>
      <c r="C103" s="1" t="s">
        <v>775</v>
      </c>
      <c r="F103" s="26">
        <v>0</v>
      </c>
      <c r="G103" s="26">
        <v>400</v>
      </c>
      <c r="H103" s="26">
        <v>400</v>
      </c>
      <c r="I103" s="26">
        <v>3135896.0000000005</v>
      </c>
      <c r="J103" s="26">
        <v>23600000</v>
      </c>
    </row>
    <row r="104" spans="1:10">
      <c r="A104" s="24">
        <v>102</v>
      </c>
      <c r="B104" s="24">
        <f t="shared" si="3"/>
        <v>102</v>
      </c>
      <c r="C104" s="1" t="s">
        <v>1381</v>
      </c>
      <c r="D104" s="1" t="s">
        <v>4</v>
      </c>
      <c r="E104" s="1" t="s">
        <v>14</v>
      </c>
      <c r="F104" s="26">
        <v>0</v>
      </c>
      <c r="G104" s="26">
        <v>700</v>
      </c>
      <c r="H104" s="26">
        <v>700</v>
      </c>
      <c r="I104" s="26">
        <v>11214000</v>
      </c>
      <c r="J104" s="26">
        <v>41300000</v>
      </c>
    </row>
    <row r="105" spans="1:10">
      <c r="A105" s="24">
        <v>103</v>
      </c>
      <c r="B105" s="24">
        <f t="shared" si="3"/>
        <v>103</v>
      </c>
      <c r="C105" s="1" t="s">
        <v>1382</v>
      </c>
      <c r="D105" s="1" t="s">
        <v>4</v>
      </c>
      <c r="E105" s="1" t="s">
        <v>14</v>
      </c>
      <c r="F105" s="26">
        <v>0</v>
      </c>
      <c r="G105" s="26">
        <v>500</v>
      </c>
      <c r="H105" s="26">
        <v>500</v>
      </c>
      <c r="I105" s="26">
        <v>7760000</v>
      </c>
      <c r="J105" s="26">
        <v>27500000</v>
      </c>
    </row>
    <row r="106" spans="1:10">
      <c r="A106" s="24">
        <v>104</v>
      </c>
      <c r="B106" s="24">
        <f t="shared" si="3"/>
        <v>104</v>
      </c>
      <c r="C106" s="1" t="s">
        <v>775</v>
      </c>
      <c r="F106" s="26">
        <v>0</v>
      </c>
      <c r="G106" s="26">
        <v>1200</v>
      </c>
      <c r="H106" s="26">
        <v>1200</v>
      </c>
      <c r="I106" s="26">
        <v>18974000</v>
      </c>
      <c r="J106" s="26">
        <v>68800000</v>
      </c>
    </row>
    <row r="107" spans="1:10">
      <c r="A107" s="24">
        <v>105</v>
      </c>
      <c r="B107" s="24">
        <f t="shared" si="3"/>
        <v>105</v>
      </c>
      <c r="C107" s="1" t="s">
        <v>885</v>
      </c>
      <c r="D107" s="1" t="s">
        <v>4</v>
      </c>
      <c r="E107" s="1" t="s">
        <v>14</v>
      </c>
      <c r="F107" s="26">
        <v>0</v>
      </c>
      <c r="G107" s="26">
        <v>700</v>
      </c>
      <c r="H107" s="26">
        <v>700</v>
      </c>
      <c r="I107" s="26">
        <v>3191622</v>
      </c>
      <c r="J107" s="26">
        <v>38500000</v>
      </c>
    </row>
    <row r="108" spans="1:10">
      <c r="A108" s="24">
        <v>106</v>
      </c>
      <c r="B108" s="24">
        <f t="shared" si="3"/>
        <v>106</v>
      </c>
      <c r="C108" s="1" t="s">
        <v>886</v>
      </c>
      <c r="D108" s="1" t="s">
        <v>4</v>
      </c>
      <c r="E108" s="1" t="s">
        <v>14</v>
      </c>
      <c r="F108" s="26">
        <v>0</v>
      </c>
      <c r="G108" s="26">
        <v>500</v>
      </c>
      <c r="H108" s="26">
        <v>500</v>
      </c>
      <c r="I108" s="26">
        <v>2312230</v>
      </c>
      <c r="J108" s="26">
        <v>24500000</v>
      </c>
    </row>
    <row r="109" spans="1:10">
      <c r="A109" s="24">
        <v>107</v>
      </c>
      <c r="B109" s="24">
        <f t="shared" si="3"/>
        <v>107</v>
      </c>
      <c r="C109" s="1" t="s">
        <v>887</v>
      </c>
      <c r="D109" s="1" t="s">
        <v>4</v>
      </c>
      <c r="E109" s="1" t="s">
        <v>14</v>
      </c>
      <c r="F109" s="26">
        <v>0</v>
      </c>
      <c r="G109" s="26">
        <v>700</v>
      </c>
      <c r="H109" s="26">
        <v>700</v>
      </c>
      <c r="I109" s="26">
        <v>3277022</v>
      </c>
      <c r="J109" s="26">
        <v>38500000</v>
      </c>
    </row>
    <row r="110" spans="1:10">
      <c r="A110" s="24">
        <v>108</v>
      </c>
      <c r="B110" s="24">
        <f t="shared" si="3"/>
        <v>108</v>
      </c>
      <c r="C110" s="1" t="s">
        <v>888</v>
      </c>
      <c r="D110" s="1" t="s">
        <v>4</v>
      </c>
      <c r="E110" s="1" t="s">
        <v>14</v>
      </c>
      <c r="F110" s="26">
        <v>0</v>
      </c>
      <c r="G110" s="26">
        <v>400</v>
      </c>
      <c r="H110" s="26">
        <v>400</v>
      </c>
      <c r="I110" s="26">
        <v>1988984</v>
      </c>
      <c r="J110" s="26">
        <v>22000000</v>
      </c>
    </row>
    <row r="111" spans="1:10">
      <c r="A111" s="24">
        <v>109</v>
      </c>
      <c r="B111" s="24">
        <f t="shared" si="3"/>
        <v>109</v>
      </c>
      <c r="C111" s="1" t="s">
        <v>775</v>
      </c>
      <c r="F111" s="26">
        <v>0</v>
      </c>
      <c r="G111" s="26">
        <v>2300</v>
      </c>
      <c r="H111" s="26">
        <v>2300</v>
      </c>
      <c r="I111" s="26">
        <v>10769858</v>
      </c>
      <c r="J111" s="26">
        <v>123500000</v>
      </c>
    </row>
    <row r="112" spans="1:10">
      <c r="A112" s="24">
        <v>110</v>
      </c>
      <c r="B112" s="24">
        <f t="shared" si="3"/>
        <v>110</v>
      </c>
      <c r="C112" s="1" t="s">
        <v>889</v>
      </c>
      <c r="D112" s="1" t="s">
        <v>4</v>
      </c>
      <c r="E112" s="1" t="s">
        <v>14</v>
      </c>
      <c r="F112" s="26">
        <v>0</v>
      </c>
      <c r="G112" s="26">
        <v>500</v>
      </c>
      <c r="H112" s="26">
        <v>500</v>
      </c>
      <c r="I112" s="26">
        <v>2351045</v>
      </c>
      <c r="J112" s="26">
        <v>24500000</v>
      </c>
    </row>
    <row r="113" spans="1:10">
      <c r="A113" s="24">
        <v>111</v>
      </c>
      <c r="B113" s="24">
        <f t="shared" si="3"/>
        <v>111</v>
      </c>
      <c r="C113" s="1" t="s">
        <v>890</v>
      </c>
      <c r="D113" s="1" t="s">
        <v>4</v>
      </c>
      <c r="E113" s="1" t="s">
        <v>14</v>
      </c>
      <c r="F113" s="26">
        <v>0</v>
      </c>
      <c r="G113" s="26">
        <v>500</v>
      </c>
      <c r="H113" s="26">
        <v>500</v>
      </c>
      <c r="I113" s="26">
        <v>2295545</v>
      </c>
      <c r="J113" s="26">
        <v>24500000</v>
      </c>
    </row>
    <row r="114" spans="1:10">
      <c r="A114" s="24">
        <v>112</v>
      </c>
      <c r="B114" s="24">
        <f t="shared" si="3"/>
        <v>112</v>
      </c>
      <c r="C114" s="1" t="s">
        <v>891</v>
      </c>
      <c r="D114" s="1" t="s">
        <v>4</v>
      </c>
      <c r="E114" s="1" t="s">
        <v>14</v>
      </c>
      <c r="F114" s="26">
        <v>0</v>
      </c>
      <c r="G114" s="26">
        <v>700</v>
      </c>
      <c r="H114" s="26">
        <v>700</v>
      </c>
      <c r="I114" s="26">
        <v>3292604</v>
      </c>
      <c r="J114" s="26">
        <v>34300000</v>
      </c>
    </row>
    <row r="115" spans="1:10">
      <c r="A115" s="24">
        <v>113</v>
      </c>
      <c r="B115" s="24">
        <f t="shared" si="3"/>
        <v>113</v>
      </c>
      <c r="C115" s="1" t="s">
        <v>892</v>
      </c>
      <c r="D115" s="1" t="s">
        <v>4</v>
      </c>
      <c r="E115" s="1" t="s">
        <v>14</v>
      </c>
      <c r="F115" s="26">
        <v>0</v>
      </c>
      <c r="G115" s="26">
        <v>700</v>
      </c>
      <c r="H115" s="26">
        <v>700</v>
      </c>
      <c r="I115" s="26">
        <v>3239404</v>
      </c>
      <c r="J115" s="26">
        <v>34300000</v>
      </c>
    </row>
    <row r="116" spans="1:10">
      <c r="A116" s="24">
        <v>114</v>
      </c>
      <c r="B116" s="24">
        <f t="shared" si="3"/>
        <v>114</v>
      </c>
      <c r="C116" s="1" t="s">
        <v>893</v>
      </c>
      <c r="D116" s="1" t="s">
        <v>4</v>
      </c>
      <c r="E116" s="1" t="s">
        <v>14</v>
      </c>
      <c r="F116" s="26">
        <v>0</v>
      </c>
      <c r="G116" s="26">
        <v>500</v>
      </c>
      <c r="H116" s="26">
        <v>500</v>
      </c>
      <c r="I116" s="26">
        <v>2339360</v>
      </c>
      <c r="J116" s="26">
        <v>22500000</v>
      </c>
    </row>
    <row r="117" spans="1:10">
      <c r="A117" s="24">
        <v>115</v>
      </c>
      <c r="B117" s="24">
        <f t="shared" si="3"/>
        <v>115</v>
      </c>
      <c r="C117" s="1" t="s">
        <v>894</v>
      </c>
      <c r="D117" s="1" t="s">
        <v>4</v>
      </c>
      <c r="E117" s="1" t="s">
        <v>14</v>
      </c>
      <c r="F117" s="26">
        <v>0</v>
      </c>
      <c r="G117" s="26">
        <v>400</v>
      </c>
      <c r="H117" s="26">
        <v>400</v>
      </c>
      <c r="I117" s="26">
        <v>4073320.0000000005</v>
      </c>
      <c r="J117" s="26">
        <v>27600000</v>
      </c>
    </row>
    <row r="118" spans="1:10">
      <c r="A118" s="24">
        <v>116</v>
      </c>
      <c r="B118" s="24">
        <f t="shared" si="3"/>
        <v>116</v>
      </c>
      <c r="C118" s="1" t="s">
        <v>895</v>
      </c>
      <c r="D118" s="1" t="s">
        <v>4</v>
      </c>
      <c r="E118" s="1" t="s">
        <v>14</v>
      </c>
      <c r="F118" s="26">
        <v>0</v>
      </c>
      <c r="G118" s="26">
        <v>400</v>
      </c>
      <c r="H118" s="26">
        <v>400</v>
      </c>
      <c r="I118" s="26">
        <v>3822520.0000000005</v>
      </c>
      <c r="J118" s="26">
        <v>27600000</v>
      </c>
    </row>
    <row r="119" spans="1:10">
      <c r="A119" s="24">
        <v>117</v>
      </c>
      <c r="B119" s="24">
        <f t="shared" si="3"/>
        <v>117</v>
      </c>
      <c r="C119" s="1" t="s">
        <v>896</v>
      </c>
      <c r="D119" s="1" t="s">
        <v>4</v>
      </c>
      <c r="E119" s="1" t="s">
        <v>14</v>
      </c>
      <c r="F119" s="26">
        <v>0</v>
      </c>
      <c r="G119" s="26">
        <v>400</v>
      </c>
      <c r="H119" s="26">
        <v>400</v>
      </c>
      <c r="I119" s="26">
        <v>3542520.0000000005</v>
      </c>
      <c r="J119" s="26">
        <v>27600000</v>
      </c>
    </row>
    <row r="120" spans="1:10">
      <c r="A120" s="24">
        <v>118</v>
      </c>
      <c r="B120" s="24">
        <f t="shared" si="3"/>
        <v>118</v>
      </c>
      <c r="C120" s="1" t="s">
        <v>897</v>
      </c>
      <c r="D120" s="1" t="s">
        <v>4</v>
      </c>
      <c r="E120" s="1" t="s">
        <v>14</v>
      </c>
      <c r="F120" s="26">
        <v>0</v>
      </c>
      <c r="G120" s="26">
        <v>300</v>
      </c>
      <c r="H120" s="26">
        <v>300</v>
      </c>
      <c r="I120" s="26">
        <v>2658279</v>
      </c>
      <c r="J120" s="26">
        <v>19500000</v>
      </c>
    </row>
    <row r="121" spans="1:10">
      <c r="A121" s="24">
        <v>119</v>
      </c>
      <c r="B121" s="24">
        <f t="shared" si="3"/>
        <v>119</v>
      </c>
      <c r="C121" s="1" t="s">
        <v>898</v>
      </c>
      <c r="D121" s="1" t="s">
        <v>4</v>
      </c>
      <c r="E121" s="1" t="s">
        <v>14</v>
      </c>
      <c r="F121" s="26">
        <v>0</v>
      </c>
      <c r="G121" s="26">
        <v>600</v>
      </c>
      <c r="H121" s="26">
        <v>600</v>
      </c>
      <c r="I121" s="26">
        <v>5415780.0000000009</v>
      </c>
      <c r="J121" s="26">
        <v>41400000</v>
      </c>
    </row>
    <row r="122" spans="1:10">
      <c r="A122" s="24">
        <v>120</v>
      </c>
      <c r="B122" s="24">
        <f t="shared" si="3"/>
        <v>120</v>
      </c>
      <c r="C122" s="1" t="s">
        <v>899</v>
      </c>
      <c r="D122" s="1" t="s">
        <v>4</v>
      </c>
      <c r="E122" s="1" t="s">
        <v>14</v>
      </c>
      <c r="F122" s="26">
        <v>0</v>
      </c>
      <c r="G122" s="26">
        <v>600</v>
      </c>
      <c r="H122" s="26">
        <v>600</v>
      </c>
      <c r="I122" s="26">
        <v>5415780.0000000009</v>
      </c>
      <c r="J122" s="26">
        <v>41400000</v>
      </c>
    </row>
    <row r="123" spans="1:10">
      <c r="A123" s="24">
        <v>121</v>
      </c>
      <c r="B123" s="24">
        <f t="shared" si="3"/>
        <v>121</v>
      </c>
      <c r="C123" s="1" t="s">
        <v>900</v>
      </c>
      <c r="D123" s="1" t="s">
        <v>4</v>
      </c>
      <c r="E123" s="1" t="s">
        <v>14</v>
      </c>
      <c r="F123" s="26">
        <v>0</v>
      </c>
      <c r="G123" s="26">
        <v>600</v>
      </c>
      <c r="H123" s="26">
        <v>600</v>
      </c>
      <c r="I123" s="26">
        <v>5350380.0000000009</v>
      </c>
      <c r="J123" s="26">
        <v>41400000</v>
      </c>
    </row>
    <row r="124" spans="1:10">
      <c r="A124" s="24">
        <v>122</v>
      </c>
      <c r="B124" s="24">
        <f t="shared" si="3"/>
        <v>122</v>
      </c>
      <c r="C124" s="1" t="s">
        <v>901</v>
      </c>
      <c r="D124" s="1" t="s">
        <v>4</v>
      </c>
      <c r="E124" s="1" t="s">
        <v>14</v>
      </c>
      <c r="F124" s="26">
        <v>0</v>
      </c>
      <c r="G124" s="26">
        <v>400</v>
      </c>
      <c r="H124" s="26">
        <v>400</v>
      </c>
      <c r="I124" s="26">
        <v>3229172</v>
      </c>
      <c r="J124" s="26">
        <v>26000000</v>
      </c>
    </row>
    <row r="125" spans="1:10">
      <c r="A125" s="24">
        <v>123</v>
      </c>
      <c r="B125" s="24">
        <f t="shared" si="3"/>
        <v>123</v>
      </c>
      <c r="C125" s="1" t="s">
        <v>902</v>
      </c>
      <c r="D125" s="1" t="s">
        <v>4</v>
      </c>
      <c r="E125" s="1" t="s">
        <v>14</v>
      </c>
      <c r="F125" s="26">
        <v>0</v>
      </c>
      <c r="G125" s="26">
        <v>600</v>
      </c>
      <c r="H125" s="26">
        <v>600</v>
      </c>
      <c r="I125" s="26">
        <v>5462580.0000000009</v>
      </c>
      <c r="J125" s="26">
        <v>41400000</v>
      </c>
    </row>
    <row r="126" spans="1:10">
      <c r="A126" s="24">
        <v>124</v>
      </c>
      <c r="B126" s="24">
        <f t="shared" si="3"/>
        <v>124</v>
      </c>
      <c r="C126" s="1" t="s">
        <v>903</v>
      </c>
      <c r="D126" s="1" t="s">
        <v>4</v>
      </c>
      <c r="E126" s="1" t="s">
        <v>14</v>
      </c>
      <c r="F126" s="26">
        <v>0</v>
      </c>
      <c r="G126" s="26">
        <v>400</v>
      </c>
      <c r="H126" s="26">
        <v>400</v>
      </c>
      <c r="I126" s="26">
        <v>4189320.0000000005</v>
      </c>
      <c r="J126" s="26">
        <v>27600000</v>
      </c>
    </row>
    <row r="127" spans="1:10">
      <c r="A127" s="24">
        <v>125</v>
      </c>
      <c r="B127" s="24">
        <f t="shared" si="3"/>
        <v>125</v>
      </c>
      <c r="C127" s="1" t="s">
        <v>904</v>
      </c>
      <c r="D127" s="1" t="s">
        <v>4</v>
      </c>
      <c r="E127" s="1" t="s">
        <v>14</v>
      </c>
      <c r="F127" s="26">
        <v>0</v>
      </c>
      <c r="G127" s="26">
        <v>300</v>
      </c>
      <c r="H127" s="26">
        <v>300</v>
      </c>
      <c r="I127" s="26">
        <v>2655279</v>
      </c>
      <c r="J127" s="26">
        <v>19500000</v>
      </c>
    </row>
    <row r="128" spans="1:10">
      <c r="A128" s="24">
        <v>126</v>
      </c>
      <c r="B128" s="24">
        <f t="shared" si="3"/>
        <v>126</v>
      </c>
      <c r="C128" s="1" t="s">
        <v>905</v>
      </c>
      <c r="D128" s="1" t="s">
        <v>4</v>
      </c>
      <c r="E128" s="1" t="s">
        <v>14</v>
      </c>
      <c r="F128" s="26">
        <v>0</v>
      </c>
      <c r="G128" s="26">
        <v>600</v>
      </c>
      <c r="H128" s="26">
        <v>600</v>
      </c>
      <c r="I128" s="26">
        <v>5350380.0000000009</v>
      </c>
      <c r="J128" s="26">
        <v>41400000</v>
      </c>
    </row>
    <row r="129" spans="1:10">
      <c r="A129" s="24">
        <v>127</v>
      </c>
      <c r="B129" s="24">
        <f t="shared" si="3"/>
        <v>127</v>
      </c>
      <c r="C129" s="1" t="s">
        <v>775</v>
      </c>
      <c r="F129" s="26">
        <v>0</v>
      </c>
      <c r="G129" s="26">
        <v>8500</v>
      </c>
      <c r="H129" s="26">
        <v>8500</v>
      </c>
      <c r="I129" s="26">
        <v>64683268</v>
      </c>
      <c r="J129" s="26">
        <v>522500000</v>
      </c>
    </row>
    <row r="130" spans="1:10">
      <c r="A130" s="24">
        <v>128</v>
      </c>
      <c r="B130" s="24">
        <f t="shared" si="3"/>
        <v>128</v>
      </c>
      <c r="C130" s="1" t="s">
        <v>906</v>
      </c>
      <c r="D130" s="1" t="s">
        <v>4</v>
      </c>
      <c r="E130" s="1" t="s">
        <v>14</v>
      </c>
      <c r="F130" s="26">
        <v>2999</v>
      </c>
      <c r="G130" s="26">
        <v>0</v>
      </c>
      <c r="H130" s="26">
        <v>3000</v>
      </c>
      <c r="I130" s="26">
        <v>17000700</v>
      </c>
      <c r="J130" s="26">
        <v>105000000</v>
      </c>
    </row>
    <row r="131" spans="1:10">
      <c r="A131" s="24">
        <v>129</v>
      </c>
      <c r="B131" s="24">
        <f t="shared" si="3"/>
        <v>129</v>
      </c>
      <c r="C131" s="1" t="s">
        <v>907</v>
      </c>
      <c r="D131" s="1" t="s">
        <v>4</v>
      </c>
      <c r="E131" s="1" t="s">
        <v>14</v>
      </c>
      <c r="F131" s="26">
        <v>2000</v>
      </c>
      <c r="G131" s="26">
        <v>0</v>
      </c>
      <c r="H131" s="26">
        <v>2000</v>
      </c>
      <c r="I131" s="26">
        <v>11345360</v>
      </c>
      <c r="J131" s="26">
        <v>70000000</v>
      </c>
    </row>
    <row r="132" spans="1:10">
      <c r="A132" s="24">
        <v>130</v>
      </c>
      <c r="B132" s="24">
        <f t="shared" ref="B132:B195" si="4">IF(C131=C132,B131,B131+1)</f>
        <v>130</v>
      </c>
      <c r="C132" s="1" t="s">
        <v>908</v>
      </c>
      <c r="D132" s="1" t="s">
        <v>4</v>
      </c>
      <c r="E132" s="1" t="s">
        <v>14</v>
      </c>
      <c r="F132" s="26">
        <v>1200</v>
      </c>
      <c r="G132" s="26">
        <v>0</v>
      </c>
      <c r="H132" s="26">
        <v>3000</v>
      </c>
      <c r="I132" s="26">
        <v>22047360</v>
      </c>
      <c r="J132" s="26">
        <v>105000000</v>
      </c>
    </row>
    <row r="133" spans="1:10">
      <c r="A133" s="24">
        <v>131</v>
      </c>
      <c r="B133" s="24">
        <f t="shared" si="4"/>
        <v>131</v>
      </c>
      <c r="C133" s="1" t="s">
        <v>909</v>
      </c>
      <c r="D133" s="1" t="s">
        <v>4</v>
      </c>
      <c r="E133" s="1" t="s">
        <v>14</v>
      </c>
      <c r="F133" s="26">
        <v>500</v>
      </c>
      <c r="G133" s="26">
        <v>0</v>
      </c>
      <c r="H133" s="26">
        <v>1000</v>
      </c>
      <c r="I133" s="26">
        <v>7358210.0000000009</v>
      </c>
      <c r="J133" s="26">
        <v>35000000</v>
      </c>
    </row>
    <row r="134" spans="1:10">
      <c r="A134" s="24">
        <v>132</v>
      </c>
      <c r="B134" s="24">
        <f t="shared" si="4"/>
        <v>132</v>
      </c>
      <c r="C134" s="1" t="s">
        <v>775</v>
      </c>
      <c r="F134" s="26">
        <v>6699</v>
      </c>
      <c r="G134" s="26">
        <v>0</v>
      </c>
      <c r="H134" s="26">
        <v>9000</v>
      </c>
      <c r="I134" s="26">
        <v>57751630</v>
      </c>
      <c r="J134" s="26">
        <v>315000000</v>
      </c>
    </row>
    <row r="135" spans="1:10">
      <c r="A135" s="24">
        <v>133</v>
      </c>
      <c r="B135" s="24">
        <f t="shared" si="4"/>
        <v>133</v>
      </c>
      <c r="C135" s="1" t="s">
        <v>910</v>
      </c>
      <c r="D135" s="1" t="s">
        <v>2</v>
      </c>
      <c r="E135" s="1" t="s">
        <v>14</v>
      </c>
      <c r="F135" s="26">
        <v>2000</v>
      </c>
      <c r="G135" s="26">
        <v>0</v>
      </c>
      <c r="H135" s="26">
        <v>2000</v>
      </c>
      <c r="I135" s="26">
        <v>15008800.000000004</v>
      </c>
      <c r="J135" s="26">
        <v>90000000</v>
      </c>
    </row>
    <row r="136" spans="1:10">
      <c r="A136" s="24">
        <v>134</v>
      </c>
      <c r="B136" s="24">
        <f t="shared" si="4"/>
        <v>133</v>
      </c>
      <c r="C136" s="1" t="s">
        <v>910</v>
      </c>
      <c r="D136" s="1" t="s">
        <v>3</v>
      </c>
      <c r="E136" s="1" t="s">
        <v>14</v>
      </c>
      <c r="F136" s="26">
        <v>1000</v>
      </c>
      <c r="G136" s="26">
        <v>0</v>
      </c>
      <c r="H136" s="26">
        <v>1000</v>
      </c>
      <c r="I136" s="26">
        <v>7504400.0000000019</v>
      </c>
      <c r="J136" s="26">
        <v>45000000</v>
      </c>
    </row>
    <row r="137" spans="1:10">
      <c r="A137" s="24">
        <v>135</v>
      </c>
      <c r="B137" s="24">
        <f t="shared" si="4"/>
        <v>134</v>
      </c>
      <c r="C137" s="1" t="s">
        <v>911</v>
      </c>
      <c r="D137" s="1" t="s">
        <v>2</v>
      </c>
      <c r="E137" s="1" t="s">
        <v>14</v>
      </c>
      <c r="F137" s="26">
        <v>1298</v>
      </c>
      <c r="G137" s="26">
        <v>0</v>
      </c>
      <c r="H137" s="26">
        <v>1300</v>
      </c>
      <c r="I137" s="26">
        <v>9755720.0000000019</v>
      </c>
      <c r="J137" s="26">
        <v>58500000</v>
      </c>
    </row>
    <row r="138" spans="1:10">
      <c r="A138" s="24">
        <v>136</v>
      </c>
      <c r="B138" s="24">
        <f t="shared" si="4"/>
        <v>134</v>
      </c>
      <c r="C138" s="1" t="s">
        <v>911</v>
      </c>
      <c r="D138" s="1" t="s">
        <v>3</v>
      </c>
      <c r="E138" s="1" t="s">
        <v>14</v>
      </c>
      <c r="F138" s="26">
        <v>700</v>
      </c>
      <c r="G138" s="26">
        <v>0</v>
      </c>
      <c r="H138" s="26">
        <v>700</v>
      </c>
      <c r="I138" s="26">
        <v>5253080.0000000009</v>
      </c>
      <c r="J138" s="26">
        <v>31500000</v>
      </c>
    </row>
    <row r="139" spans="1:10">
      <c r="A139" s="24">
        <v>137</v>
      </c>
      <c r="B139" s="24">
        <f t="shared" si="4"/>
        <v>135</v>
      </c>
      <c r="C139" s="1" t="s">
        <v>775</v>
      </c>
      <c r="F139" s="26">
        <v>4998</v>
      </c>
      <c r="G139" s="26">
        <v>0</v>
      </c>
      <c r="H139" s="26">
        <v>5000</v>
      </c>
      <c r="I139" s="26">
        <v>37522000.000000007</v>
      </c>
      <c r="J139" s="26">
        <v>225000000</v>
      </c>
    </row>
    <row r="140" spans="1:10">
      <c r="A140" s="24">
        <v>138</v>
      </c>
      <c r="B140" s="24">
        <f t="shared" si="4"/>
        <v>136</v>
      </c>
      <c r="C140" s="1" t="s">
        <v>912</v>
      </c>
      <c r="D140" s="1" t="s">
        <v>4</v>
      </c>
      <c r="E140" s="1" t="s">
        <v>14</v>
      </c>
      <c r="F140" s="26">
        <v>3059</v>
      </c>
      <c r="G140" s="26">
        <v>0</v>
      </c>
      <c r="H140" s="26">
        <v>3000</v>
      </c>
      <c r="I140" s="26">
        <v>16363550.332458442</v>
      </c>
      <c r="J140" s="26">
        <v>87000000</v>
      </c>
    </row>
    <row r="141" spans="1:10">
      <c r="A141" s="24">
        <v>139</v>
      </c>
      <c r="B141" s="24">
        <f t="shared" si="4"/>
        <v>137</v>
      </c>
      <c r="C141" s="1" t="s">
        <v>913</v>
      </c>
      <c r="D141" s="1" t="s">
        <v>4</v>
      </c>
      <c r="E141" s="1" t="s">
        <v>14</v>
      </c>
      <c r="F141" s="26">
        <v>999</v>
      </c>
      <c r="G141" s="26">
        <v>0</v>
      </c>
      <c r="H141" s="26">
        <v>1000</v>
      </c>
      <c r="I141" s="26">
        <v>5337578.748906387</v>
      </c>
      <c r="J141" s="26">
        <v>29000000</v>
      </c>
    </row>
    <row r="142" spans="1:10">
      <c r="A142" s="24">
        <v>140</v>
      </c>
      <c r="B142" s="24">
        <f t="shared" si="4"/>
        <v>138</v>
      </c>
      <c r="C142" s="1" t="s">
        <v>914</v>
      </c>
      <c r="D142" s="1" t="s">
        <v>4</v>
      </c>
      <c r="E142" s="1" t="s">
        <v>14</v>
      </c>
      <c r="F142" s="26">
        <v>2998</v>
      </c>
      <c r="G142" s="26">
        <v>0</v>
      </c>
      <c r="H142" s="26">
        <v>3000</v>
      </c>
      <c r="I142" s="26">
        <v>16035089.798775153</v>
      </c>
      <c r="J142" s="26">
        <v>87000000</v>
      </c>
    </row>
    <row r="143" spans="1:10">
      <c r="A143" s="24">
        <v>141</v>
      </c>
      <c r="B143" s="24">
        <f t="shared" si="4"/>
        <v>139</v>
      </c>
      <c r="C143" s="1" t="s">
        <v>915</v>
      </c>
      <c r="D143" s="1" t="s">
        <v>4</v>
      </c>
      <c r="E143" s="1" t="s">
        <v>14</v>
      </c>
      <c r="F143" s="26">
        <v>1999</v>
      </c>
      <c r="G143" s="26">
        <v>0</v>
      </c>
      <c r="H143" s="26">
        <v>2000</v>
      </c>
      <c r="I143" s="26">
        <v>10697678.705161856</v>
      </c>
      <c r="J143" s="26">
        <v>58000000</v>
      </c>
    </row>
    <row r="144" spans="1:10">
      <c r="A144" s="24">
        <v>142</v>
      </c>
      <c r="B144" s="24">
        <f t="shared" si="4"/>
        <v>140</v>
      </c>
      <c r="C144" s="1" t="s">
        <v>916</v>
      </c>
      <c r="D144" s="1" t="s">
        <v>4</v>
      </c>
      <c r="E144" s="1" t="s">
        <v>14</v>
      </c>
      <c r="F144" s="26">
        <v>2999</v>
      </c>
      <c r="G144" s="26">
        <v>0</v>
      </c>
      <c r="H144" s="26">
        <v>3000</v>
      </c>
      <c r="I144" s="26">
        <v>17600982.528433945</v>
      </c>
      <c r="J144" s="26">
        <v>87000000</v>
      </c>
    </row>
    <row r="145" spans="1:10">
      <c r="A145" s="24">
        <v>143</v>
      </c>
      <c r="B145" s="24">
        <f t="shared" si="4"/>
        <v>141</v>
      </c>
      <c r="C145" s="1" t="s">
        <v>917</v>
      </c>
      <c r="D145" s="1" t="s">
        <v>4</v>
      </c>
      <c r="E145" s="1" t="s">
        <v>14</v>
      </c>
      <c r="F145" s="26">
        <v>2000</v>
      </c>
      <c r="G145" s="26">
        <v>0</v>
      </c>
      <c r="H145" s="26">
        <v>2000</v>
      </c>
      <c r="I145" s="26">
        <v>10986644.374453193</v>
      </c>
      <c r="J145" s="26">
        <v>58000000</v>
      </c>
    </row>
    <row r="146" spans="1:10">
      <c r="A146" s="24">
        <v>144</v>
      </c>
      <c r="B146" s="24">
        <f t="shared" si="4"/>
        <v>142</v>
      </c>
      <c r="C146" s="1" t="s">
        <v>775</v>
      </c>
      <c r="F146" s="26">
        <v>14054</v>
      </c>
      <c r="G146" s="26">
        <v>0</v>
      </c>
      <c r="H146" s="26">
        <v>14000</v>
      </c>
      <c r="I146" s="26">
        <v>77021524.488188967</v>
      </c>
      <c r="J146" s="26">
        <v>406000000</v>
      </c>
    </row>
    <row r="147" spans="1:10">
      <c r="A147" s="24">
        <v>145</v>
      </c>
      <c r="B147" s="24">
        <f t="shared" si="4"/>
        <v>143</v>
      </c>
      <c r="C147" s="1" t="s">
        <v>918</v>
      </c>
      <c r="D147" s="1" t="s">
        <v>2</v>
      </c>
      <c r="E147" s="1" t="s">
        <v>14</v>
      </c>
      <c r="F147" s="26">
        <v>2009</v>
      </c>
      <c r="G147" s="26">
        <v>0</v>
      </c>
      <c r="H147" s="26">
        <v>2000</v>
      </c>
      <c r="I147" s="26">
        <v>13048980.000000002</v>
      </c>
      <c r="J147" s="26">
        <v>58000000</v>
      </c>
    </row>
    <row r="148" spans="1:10">
      <c r="A148" s="24">
        <v>146</v>
      </c>
      <c r="B148" s="24">
        <f t="shared" si="4"/>
        <v>143</v>
      </c>
      <c r="C148" s="1" t="s">
        <v>918</v>
      </c>
      <c r="D148" s="1" t="s">
        <v>3</v>
      </c>
      <c r="E148" s="1" t="s">
        <v>14</v>
      </c>
      <c r="F148" s="26">
        <v>1006</v>
      </c>
      <c r="G148" s="26">
        <v>0</v>
      </c>
      <c r="H148" s="26">
        <v>1000</v>
      </c>
      <c r="I148" s="26">
        <v>6524490.0000000009</v>
      </c>
      <c r="J148" s="26">
        <v>29000000</v>
      </c>
    </row>
    <row r="149" spans="1:10">
      <c r="A149" s="24">
        <v>147</v>
      </c>
      <c r="B149" s="24">
        <f t="shared" si="4"/>
        <v>144</v>
      </c>
      <c r="C149" s="1" t="s">
        <v>919</v>
      </c>
      <c r="D149" s="1" t="s">
        <v>2</v>
      </c>
      <c r="E149" s="1" t="s">
        <v>14</v>
      </c>
      <c r="F149" s="26">
        <v>1308</v>
      </c>
      <c r="G149" s="26">
        <v>0</v>
      </c>
      <c r="H149" s="26">
        <v>1300</v>
      </c>
      <c r="I149" s="26">
        <v>8476637</v>
      </c>
      <c r="J149" s="26">
        <v>37700000</v>
      </c>
    </row>
    <row r="150" spans="1:10">
      <c r="A150" s="24">
        <v>148</v>
      </c>
      <c r="B150" s="24">
        <f t="shared" si="4"/>
        <v>144</v>
      </c>
      <c r="C150" s="1" t="s">
        <v>919</v>
      </c>
      <c r="D150" s="1" t="s">
        <v>3</v>
      </c>
      <c r="E150" s="1" t="s">
        <v>14</v>
      </c>
      <c r="F150" s="26">
        <v>701</v>
      </c>
      <c r="G150" s="26">
        <v>0</v>
      </c>
      <c r="H150" s="26">
        <v>700</v>
      </c>
      <c r="I150" s="26">
        <v>4564343.0000000009</v>
      </c>
      <c r="J150" s="26">
        <v>20300000</v>
      </c>
    </row>
    <row r="151" spans="1:10">
      <c r="A151" s="24">
        <v>149</v>
      </c>
      <c r="B151" s="24">
        <f t="shared" si="4"/>
        <v>145</v>
      </c>
      <c r="C151" s="1" t="s">
        <v>775</v>
      </c>
      <c r="F151" s="26">
        <v>5024</v>
      </c>
      <c r="G151" s="26">
        <v>0</v>
      </c>
      <c r="H151" s="26">
        <v>5000</v>
      </c>
      <c r="I151" s="26">
        <v>32614450.000000004</v>
      </c>
      <c r="J151" s="26">
        <v>145000000</v>
      </c>
    </row>
    <row r="152" spans="1:10">
      <c r="A152" s="24">
        <v>150</v>
      </c>
      <c r="B152" s="24">
        <f t="shared" si="4"/>
        <v>146</v>
      </c>
      <c r="C152" s="1" t="s">
        <v>920</v>
      </c>
      <c r="D152" s="1" t="s">
        <v>4</v>
      </c>
      <c r="E152" s="1" t="s">
        <v>14</v>
      </c>
      <c r="F152" s="26">
        <v>2967</v>
      </c>
      <c r="G152" s="26">
        <v>0</v>
      </c>
      <c r="H152" s="26">
        <v>3000</v>
      </c>
      <c r="I152" s="26">
        <v>30060000</v>
      </c>
      <c r="J152" s="26">
        <v>147000000</v>
      </c>
    </row>
    <row r="153" spans="1:10">
      <c r="A153" s="24">
        <v>151</v>
      </c>
      <c r="B153" s="24">
        <f t="shared" si="4"/>
        <v>147</v>
      </c>
      <c r="C153" s="1" t="s">
        <v>921</v>
      </c>
      <c r="D153" s="1" t="s">
        <v>4</v>
      </c>
      <c r="E153" s="1" t="s">
        <v>14</v>
      </c>
      <c r="F153" s="26">
        <v>700</v>
      </c>
      <c r="G153" s="26">
        <v>0</v>
      </c>
      <c r="H153" s="26">
        <v>700</v>
      </c>
      <c r="I153" s="26">
        <v>6664000</v>
      </c>
      <c r="J153" s="26">
        <v>30100000</v>
      </c>
    </row>
    <row r="154" spans="1:10">
      <c r="A154" s="24">
        <v>152</v>
      </c>
      <c r="B154" s="24">
        <f t="shared" si="4"/>
        <v>148</v>
      </c>
      <c r="C154" s="1" t="s">
        <v>775</v>
      </c>
      <c r="F154" s="26">
        <v>3667</v>
      </c>
      <c r="G154" s="26">
        <v>0</v>
      </c>
      <c r="H154" s="26">
        <v>3700</v>
      </c>
      <c r="I154" s="26">
        <v>36724000</v>
      </c>
      <c r="J154" s="26">
        <v>177100000</v>
      </c>
    </row>
    <row r="155" spans="1:10">
      <c r="A155" s="24">
        <v>153</v>
      </c>
      <c r="B155" s="24">
        <f t="shared" si="4"/>
        <v>149</v>
      </c>
      <c r="C155" s="1" t="s">
        <v>922</v>
      </c>
      <c r="D155" s="1" t="s">
        <v>2</v>
      </c>
      <c r="E155" s="1" t="s">
        <v>14</v>
      </c>
      <c r="F155" s="26">
        <v>0</v>
      </c>
      <c r="G155" s="26">
        <v>250</v>
      </c>
      <c r="H155" s="26">
        <v>250</v>
      </c>
      <c r="I155" s="26">
        <v>2755000</v>
      </c>
      <c r="J155" s="26">
        <v>13750000</v>
      </c>
    </row>
    <row r="156" spans="1:10">
      <c r="A156" s="24">
        <v>154</v>
      </c>
      <c r="B156" s="24">
        <f t="shared" si="4"/>
        <v>149</v>
      </c>
      <c r="C156" s="1" t="s">
        <v>922</v>
      </c>
      <c r="D156" s="1" t="s">
        <v>3</v>
      </c>
      <c r="E156" s="1" t="s">
        <v>14</v>
      </c>
      <c r="F156" s="26">
        <v>0</v>
      </c>
      <c r="G156" s="26">
        <v>250</v>
      </c>
      <c r="H156" s="26">
        <v>250</v>
      </c>
      <c r="I156" s="26">
        <v>2755000</v>
      </c>
      <c r="J156" s="26">
        <v>13750000</v>
      </c>
    </row>
    <row r="157" spans="1:10">
      <c r="A157" s="24">
        <v>155</v>
      </c>
      <c r="B157" s="24">
        <f t="shared" si="4"/>
        <v>150</v>
      </c>
      <c r="C157" s="1" t="s">
        <v>923</v>
      </c>
      <c r="D157" s="1" t="s">
        <v>2</v>
      </c>
      <c r="E157" s="1" t="s">
        <v>14</v>
      </c>
      <c r="F157" s="26">
        <v>0</v>
      </c>
      <c r="G157" s="26">
        <v>200</v>
      </c>
      <c r="H157" s="26">
        <v>200</v>
      </c>
      <c r="I157" s="26">
        <v>2504000</v>
      </c>
      <c r="J157" s="26">
        <v>11000000</v>
      </c>
    </row>
    <row r="158" spans="1:10">
      <c r="A158" s="24">
        <v>156</v>
      </c>
      <c r="B158" s="24">
        <f t="shared" si="4"/>
        <v>150</v>
      </c>
      <c r="C158" s="1" t="s">
        <v>923</v>
      </c>
      <c r="D158" s="1" t="s">
        <v>3</v>
      </c>
      <c r="E158" s="1" t="s">
        <v>14</v>
      </c>
      <c r="F158" s="26">
        <v>0</v>
      </c>
      <c r="G158" s="26">
        <v>200</v>
      </c>
      <c r="H158" s="26">
        <v>200</v>
      </c>
      <c r="I158" s="26">
        <v>2504000</v>
      </c>
      <c r="J158" s="26">
        <v>11000000</v>
      </c>
    </row>
    <row r="159" spans="1:10">
      <c r="A159" s="24">
        <v>157</v>
      </c>
      <c r="B159" s="24">
        <f t="shared" si="4"/>
        <v>151</v>
      </c>
      <c r="C159" s="1" t="s">
        <v>924</v>
      </c>
      <c r="D159" s="1" t="s">
        <v>4</v>
      </c>
      <c r="E159" s="1" t="s">
        <v>14</v>
      </c>
      <c r="F159" s="26">
        <v>0</v>
      </c>
      <c r="G159" s="26">
        <v>400</v>
      </c>
      <c r="H159" s="26">
        <v>400</v>
      </c>
      <c r="I159" s="26">
        <v>4808000</v>
      </c>
      <c r="J159" s="26">
        <v>19600000</v>
      </c>
    </row>
    <row r="160" spans="1:10">
      <c r="A160" s="24">
        <v>158</v>
      </c>
      <c r="B160" s="24">
        <f t="shared" si="4"/>
        <v>152</v>
      </c>
      <c r="C160" s="1" t="s">
        <v>775</v>
      </c>
      <c r="F160" s="26">
        <v>0</v>
      </c>
      <c r="G160" s="26">
        <v>1300</v>
      </c>
      <c r="H160" s="26">
        <v>1300</v>
      </c>
      <c r="I160" s="26">
        <v>15326000</v>
      </c>
      <c r="J160" s="26">
        <v>69100000</v>
      </c>
    </row>
    <row r="161" spans="1:10">
      <c r="A161" s="24">
        <v>159</v>
      </c>
      <c r="B161" s="24">
        <f t="shared" si="4"/>
        <v>153</v>
      </c>
      <c r="C161" s="1" t="s">
        <v>925</v>
      </c>
      <c r="D161" s="1" t="s">
        <v>4</v>
      </c>
      <c r="E161" s="1" t="s">
        <v>14</v>
      </c>
      <c r="F161" s="26">
        <v>500</v>
      </c>
      <c r="G161" s="26">
        <v>0</v>
      </c>
      <c r="H161" s="26">
        <v>500</v>
      </c>
      <c r="I161" s="26">
        <v>3513000.0000000005</v>
      </c>
      <c r="J161" s="26">
        <v>24500000</v>
      </c>
    </row>
    <row r="162" spans="1:10">
      <c r="A162" s="24">
        <v>160</v>
      </c>
      <c r="B162" s="24">
        <f t="shared" si="4"/>
        <v>154</v>
      </c>
      <c r="C162" s="1" t="s">
        <v>926</v>
      </c>
      <c r="D162" s="1" t="s">
        <v>6</v>
      </c>
      <c r="E162" s="1" t="s">
        <v>14</v>
      </c>
      <c r="F162" s="26">
        <v>200</v>
      </c>
      <c r="G162" s="26">
        <v>0</v>
      </c>
      <c r="H162" s="26">
        <v>200</v>
      </c>
      <c r="I162" s="26">
        <v>1393650.0000000002</v>
      </c>
      <c r="J162" s="26">
        <v>9800000</v>
      </c>
    </row>
    <row r="163" spans="1:10">
      <c r="A163" s="24">
        <v>161</v>
      </c>
      <c r="B163" s="24">
        <f t="shared" si="4"/>
        <v>154</v>
      </c>
      <c r="C163" s="1" t="s">
        <v>926</v>
      </c>
      <c r="D163" s="1" t="s">
        <v>2</v>
      </c>
      <c r="E163" s="1" t="s">
        <v>14</v>
      </c>
      <c r="F163" s="26">
        <v>200</v>
      </c>
      <c r="G163" s="26">
        <v>0</v>
      </c>
      <c r="H163" s="26">
        <v>200</v>
      </c>
      <c r="I163" s="26">
        <v>1393650.0000000002</v>
      </c>
      <c r="J163" s="26">
        <v>9800000</v>
      </c>
    </row>
    <row r="164" spans="1:10">
      <c r="A164" s="24">
        <v>162</v>
      </c>
      <c r="B164" s="24">
        <f t="shared" si="4"/>
        <v>154</v>
      </c>
      <c r="C164" s="1" t="s">
        <v>926</v>
      </c>
      <c r="D164" s="1" t="s">
        <v>3</v>
      </c>
      <c r="E164" s="1" t="s">
        <v>14</v>
      </c>
      <c r="F164" s="26">
        <v>100</v>
      </c>
      <c r="G164" s="26">
        <v>0</v>
      </c>
      <c r="H164" s="26">
        <v>100</v>
      </c>
      <c r="I164" s="26">
        <v>696825.00000000012</v>
      </c>
      <c r="J164" s="26">
        <v>4900000</v>
      </c>
    </row>
    <row r="165" spans="1:10">
      <c r="A165" s="24">
        <v>163</v>
      </c>
      <c r="B165" s="24">
        <f t="shared" si="4"/>
        <v>155</v>
      </c>
      <c r="C165" s="1" t="s">
        <v>927</v>
      </c>
      <c r="D165" s="1" t="s">
        <v>4</v>
      </c>
      <c r="E165" s="1" t="s">
        <v>14</v>
      </c>
      <c r="F165" s="26">
        <v>999</v>
      </c>
      <c r="G165" s="26">
        <v>0</v>
      </c>
      <c r="H165" s="26">
        <v>1000</v>
      </c>
      <c r="I165" s="26">
        <v>6852750</v>
      </c>
      <c r="J165" s="26">
        <v>43000000</v>
      </c>
    </row>
    <row r="166" spans="1:10">
      <c r="A166" s="24">
        <v>164</v>
      </c>
      <c r="B166" s="24">
        <f t="shared" si="4"/>
        <v>156</v>
      </c>
      <c r="C166" s="1" t="s">
        <v>928</v>
      </c>
      <c r="D166" s="1" t="s">
        <v>6</v>
      </c>
      <c r="E166" s="1" t="s">
        <v>14</v>
      </c>
      <c r="F166" s="26">
        <v>300</v>
      </c>
      <c r="G166" s="26">
        <v>0</v>
      </c>
      <c r="H166" s="26">
        <v>300</v>
      </c>
      <c r="I166" s="26">
        <v>2055825</v>
      </c>
      <c r="J166" s="26">
        <v>14700000</v>
      </c>
    </row>
    <row r="167" spans="1:10">
      <c r="A167" s="24">
        <v>165</v>
      </c>
      <c r="B167" s="24">
        <f t="shared" si="4"/>
        <v>156</v>
      </c>
      <c r="C167" s="1" t="s">
        <v>928</v>
      </c>
      <c r="D167" s="1" t="s">
        <v>2</v>
      </c>
      <c r="E167" s="1" t="s">
        <v>14</v>
      </c>
      <c r="F167" s="26">
        <v>200</v>
      </c>
      <c r="G167" s="26">
        <v>0</v>
      </c>
      <c r="H167" s="26">
        <v>200</v>
      </c>
      <c r="I167" s="26">
        <v>1370550</v>
      </c>
      <c r="J167" s="26">
        <v>9800000</v>
      </c>
    </row>
    <row r="168" spans="1:10">
      <c r="A168" s="24">
        <v>166</v>
      </c>
      <c r="B168" s="24">
        <f t="shared" si="4"/>
        <v>157</v>
      </c>
      <c r="C168" s="1" t="s">
        <v>929</v>
      </c>
      <c r="D168" s="1" t="s">
        <v>4</v>
      </c>
      <c r="E168" s="1" t="s">
        <v>14</v>
      </c>
      <c r="F168" s="26">
        <v>300</v>
      </c>
      <c r="G168" s="26">
        <v>0</v>
      </c>
      <c r="H168" s="26">
        <v>300</v>
      </c>
      <c r="I168" s="26">
        <v>1934550.0000000002</v>
      </c>
      <c r="J168" s="26">
        <v>12900000</v>
      </c>
    </row>
    <row r="169" spans="1:10">
      <c r="A169" s="24">
        <v>167</v>
      </c>
      <c r="B169" s="24">
        <f t="shared" si="4"/>
        <v>158</v>
      </c>
      <c r="C169" s="1" t="s">
        <v>930</v>
      </c>
      <c r="D169" s="1" t="s">
        <v>4</v>
      </c>
      <c r="E169" s="1" t="s">
        <v>14</v>
      </c>
      <c r="F169" s="26">
        <v>300</v>
      </c>
      <c r="G169" s="26">
        <v>0</v>
      </c>
      <c r="H169" s="26">
        <v>300</v>
      </c>
      <c r="I169" s="26">
        <v>1969200</v>
      </c>
      <c r="J169" s="26">
        <v>12900000</v>
      </c>
    </row>
    <row r="170" spans="1:10">
      <c r="A170" s="24">
        <v>168</v>
      </c>
      <c r="B170" s="24">
        <f t="shared" si="4"/>
        <v>159</v>
      </c>
      <c r="C170" s="1" t="s">
        <v>775</v>
      </c>
      <c r="F170" s="26">
        <v>3099</v>
      </c>
      <c r="G170" s="26">
        <v>0</v>
      </c>
      <c r="H170" s="26">
        <v>3100</v>
      </c>
      <c r="I170" s="26">
        <v>21180000</v>
      </c>
      <c r="J170" s="26">
        <v>142300000</v>
      </c>
    </row>
    <row r="171" spans="1:10">
      <c r="A171" s="24">
        <v>169</v>
      </c>
      <c r="B171" s="24">
        <f t="shared" si="4"/>
        <v>160</v>
      </c>
      <c r="C171" s="1" t="s">
        <v>931</v>
      </c>
      <c r="D171" s="1" t="s">
        <v>4</v>
      </c>
      <c r="E171" s="1" t="s">
        <v>14</v>
      </c>
      <c r="F171" s="26">
        <v>0</v>
      </c>
      <c r="G171" s="26">
        <v>200</v>
      </c>
      <c r="H171" s="26">
        <v>200</v>
      </c>
      <c r="I171" s="26">
        <v>1330640.0000000002</v>
      </c>
      <c r="J171" s="26">
        <v>9000000</v>
      </c>
    </row>
    <row r="172" spans="1:10">
      <c r="A172" s="24">
        <v>170</v>
      </c>
      <c r="B172" s="24">
        <f t="shared" si="4"/>
        <v>161</v>
      </c>
      <c r="C172" s="1" t="s">
        <v>932</v>
      </c>
      <c r="D172" s="1" t="s">
        <v>4</v>
      </c>
      <c r="E172" s="1" t="s">
        <v>14</v>
      </c>
      <c r="F172" s="26">
        <v>0</v>
      </c>
      <c r="G172" s="26">
        <v>200</v>
      </c>
      <c r="H172" s="26">
        <v>200</v>
      </c>
      <c r="I172" s="26">
        <v>1335040.0000000002</v>
      </c>
      <c r="J172" s="26">
        <v>9000000</v>
      </c>
    </row>
    <row r="173" spans="1:10">
      <c r="A173" s="24">
        <v>171</v>
      </c>
      <c r="B173" s="24">
        <f t="shared" si="4"/>
        <v>162</v>
      </c>
      <c r="C173" s="1" t="s">
        <v>775</v>
      </c>
      <c r="F173" s="26">
        <v>0</v>
      </c>
      <c r="G173" s="26">
        <v>400</v>
      </c>
      <c r="H173" s="26">
        <v>400</v>
      </c>
      <c r="I173" s="26">
        <v>2665680.0000000005</v>
      </c>
      <c r="J173" s="26">
        <v>18000000</v>
      </c>
    </row>
    <row r="174" spans="1:10">
      <c r="A174" s="24">
        <v>172</v>
      </c>
      <c r="B174" s="24">
        <f t="shared" si="4"/>
        <v>163</v>
      </c>
      <c r="C174" s="1" t="s">
        <v>933</v>
      </c>
      <c r="D174" s="1" t="s">
        <v>7</v>
      </c>
      <c r="E174" s="1" t="s">
        <v>14</v>
      </c>
      <c r="F174" s="26">
        <v>0</v>
      </c>
      <c r="G174" s="26">
        <v>250</v>
      </c>
      <c r="H174" s="26">
        <v>250</v>
      </c>
      <c r="I174" s="26">
        <v>9769750</v>
      </c>
      <c r="J174" s="26">
        <v>44750000</v>
      </c>
    </row>
    <row r="175" spans="1:10">
      <c r="A175" s="24">
        <v>173</v>
      </c>
      <c r="B175" s="24">
        <f t="shared" si="4"/>
        <v>163</v>
      </c>
      <c r="C175" s="1" t="s">
        <v>933</v>
      </c>
      <c r="D175" s="1" t="s">
        <v>8</v>
      </c>
      <c r="E175" s="1" t="s">
        <v>14</v>
      </c>
      <c r="F175" s="26">
        <v>0</v>
      </c>
      <c r="G175" s="26">
        <v>350</v>
      </c>
      <c r="H175" s="26">
        <v>350</v>
      </c>
      <c r="I175" s="26">
        <v>13677650</v>
      </c>
      <c r="J175" s="26">
        <v>62650000</v>
      </c>
    </row>
    <row r="176" spans="1:10">
      <c r="A176" s="24">
        <v>174</v>
      </c>
      <c r="B176" s="24">
        <f t="shared" si="4"/>
        <v>163</v>
      </c>
      <c r="C176" s="1" t="s">
        <v>933</v>
      </c>
      <c r="D176" s="1" t="s">
        <v>9</v>
      </c>
      <c r="E176" s="1" t="s">
        <v>14</v>
      </c>
      <c r="F176" s="26">
        <v>0</v>
      </c>
      <c r="G176" s="26">
        <v>200</v>
      </c>
      <c r="H176" s="26">
        <v>200</v>
      </c>
      <c r="I176" s="26">
        <v>7815800</v>
      </c>
      <c r="J176" s="26">
        <v>35800000</v>
      </c>
    </row>
    <row r="177" spans="1:10">
      <c r="A177" s="24">
        <v>175</v>
      </c>
      <c r="B177" s="24">
        <f t="shared" si="4"/>
        <v>163</v>
      </c>
      <c r="C177" s="1" t="s">
        <v>933</v>
      </c>
      <c r="D177" s="1" t="s">
        <v>10</v>
      </c>
      <c r="E177" s="1" t="s">
        <v>14</v>
      </c>
      <c r="F177" s="26">
        <v>0</v>
      </c>
      <c r="G177" s="26">
        <v>200</v>
      </c>
      <c r="H177" s="26">
        <v>200</v>
      </c>
      <c r="I177" s="26">
        <v>7815800</v>
      </c>
      <c r="J177" s="26">
        <v>35800000</v>
      </c>
    </row>
    <row r="178" spans="1:10">
      <c r="A178" s="24">
        <v>176</v>
      </c>
      <c r="B178" s="24">
        <f t="shared" si="4"/>
        <v>164</v>
      </c>
      <c r="C178" s="1" t="s">
        <v>934</v>
      </c>
      <c r="D178" s="1" t="s">
        <v>6</v>
      </c>
      <c r="E178" s="1" t="s">
        <v>14</v>
      </c>
      <c r="F178" s="26">
        <v>0</v>
      </c>
      <c r="G178" s="26">
        <v>250</v>
      </c>
      <c r="H178" s="26">
        <v>250</v>
      </c>
      <c r="I178" s="26">
        <v>8672500</v>
      </c>
      <c r="J178" s="26">
        <v>42250000</v>
      </c>
    </row>
    <row r="179" spans="1:10">
      <c r="A179" s="24">
        <v>177</v>
      </c>
      <c r="B179" s="24">
        <f t="shared" si="4"/>
        <v>164</v>
      </c>
      <c r="C179" s="1" t="s">
        <v>934</v>
      </c>
      <c r="D179" s="1" t="s">
        <v>8</v>
      </c>
      <c r="E179" s="1" t="s">
        <v>14</v>
      </c>
      <c r="F179" s="26">
        <v>0</v>
      </c>
      <c r="G179" s="26">
        <v>350</v>
      </c>
      <c r="H179" s="26">
        <v>350</v>
      </c>
      <c r="I179" s="26">
        <v>12141500</v>
      </c>
      <c r="J179" s="26">
        <v>59150000</v>
      </c>
    </row>
    <row r="180" spans="1:10">
      <c r="A180" s="24">
        <v>178</v>
      </c>
      <c r="B180" s="24">
        <f t="shared" si="4"/>
        <v>164</v>
      </c>
      <c r="C180" s="1" t="s">
        <v>934</v>
      </c>
      <c r="D180" s="1" t="s">
        <v>10</v>
      </c>
      <c r="E180" s="1" t="s">
        <v>14</v>
      </c>
      <c r="F180" s="26">
        <v>0</v>
      </c>
      <c r="G180" s="26">
        <v>200</v>
      </c>
      <c r="H180" s="26">
        <v>200</v>
      </c>
      <c r="I180" s="26">
        <v>6938000</v>
      </c>
      <c r="J180" s="26">
        <v>33800000</v>
      </c>
    </row>
    <row r="181" spans="1:10">
      <c r="A181" s="24">
        <v>179</v>
      </c>
      <c r="B181" s="24">
        <f t="shared" si="4"/>
        <v>165</v>
      </c>
      <c r="C181" s="1" t="s">
        <v>935</v>
      </c>
      <c r="D181" s="1" t="s">
        <v>7</v>
      </c>
      <c r="E181" s="1" t="s">
        <v>14</v>
      </c>
      <c r="F181" s="26">
        <v>0</v>
      </c>
      <c r="G181" s="26">
        <v>300</v>
      </c>
      <c r="H181" s="26">
        <v>300</v>
      </c>
      <c r="I181" s="26">
        <v>10129800</v>
      </c>
      <c r="J181" s="26">
        <v>47700000</v>
      </c>
    </row>
    <row r="182" spans="1:10">
      <c r="A182" s="24">
        <v>180</v>
      </c>
      <c r="B182" s="24">
        <f t="shared" si="4"/>
        <v>165</v>
      </c>
      <c r="C182" s="1" t="s">
        <v>935</v>
      </c>
      <c r="D182" s="1" t="s">
        <v>8</v>
      </c>
      <c r="E182" s="1" t="s">
        <v>14</v>
      </c>
      <c r="F182" s="26">
        <v>0</v>
      </c>
      <c r="G182" s="26">
        <v>450</v>
      </c>
      <c r="H182" s="26">
        <v>450</v>
      </c>
      <c r="I182" s="26">
        <v>15194700</v>
      </c>
      <c r="J182" s="26">
        <v>71550000</v>
      </c>
    </row>
    <row r="183" spans="1:10">
      <c r="A183" s="24">
        <v>181</v>
      </c>
      <c r="B183" s="24">
        <f t="shared" si="4"/>
        <v>165</v>
      </c>
      <c r="C183" s="1" t="s">
        <v>935</v>
      </c>
      <c r="D183" s="1" t="s">
        <v>9</v>
      </c>
      <c r="E183" s="1" t="s">
        <v>14</v>
      </c>
      <c r="F183" s="26">
        <v>0</v>
      </c>
      <c r="G183" s="26">
        <v>250</v>
      </c>
      <c r="H183" s="26">
        <v>250</v>
      </c>
      <c r="I183" s="26">
        <v>8441500</v>
      </c>
      <c r="J183" s="26">
        <v>39750000</v>
      </c>
    </row>
    <row r="184" spans="1:10">
      <c r="A184" s="24">
        <v>182</v>
      </c>
      <c r="B184" s="24">
        <f t="shared" si="4"/>
        <v>165</v>
      </c>
      <c r="C184" s="1" t="s">
        <v>935</v>
      </c>
      <c r="D184" s="1" t="s">
        <v>10</v>
      </c>
      <c r="E184" s="1" t="s">
        <v>14</v>
      </c>
      <c r="F184" s="26">
        <v>0</v>
      </c>
      <c r="G184" s="26">
        <v>200</v>
      </c>
      <c r="H184" s="26">
        <v>200</v>
      </c>
      <c r="I184" s="26">
        <v>6753200</v>
      </c>
      <c r="J184" s="26">
        <v>31800000</v>
      </c>
    </row>
    <row r="185" spans="1:10">
      <c r="A185" s="24">
        <v>183</v>
      </c>
      <c r="B185" s="24">
        <f t="shared" si="4"/>
        <v>166</v>
      </c>
      <c r="C185" s="1" t="s">
        <v>936</v>
      </c>
      <c r="D185" s="1" t="s">
        <v>7</v>
      </c>
      <c r="E185" s="1" t="s">
        <v>14</v>
      </c>
      <c r="F185" s="26">
        <v>0</v>
      </c>
      <c r="G185" s="26">
        <v>450</v>
      </c>
      <c r="H185" s="26">
        <v>450</v>
      </c>
      <c r="I185" s="26">
        <v>12492000.000000002</v>
      </c>
      <c r="J185" s="26">
        <v>62550000</v>
      </c>
    </row>
    <row r="186" spans="1:10">
      <c r="A186" s="24">
        <v>184</v>
      </c>
      <c r="B186" s="24">
        <f t="shared" si="4"/>
        <v>166</v>
      </c>
      <c r="C186" s="1" t="s">
        <v>936</v>
      </c>
      <c r="D186" s="1" t="s">
        <v>8</v>
      </c>
      <c r="E186" s="1" t="s">
        <v>14</v>
      </c>
      <c r="F186" s="26">
        <v>0</v>
      </c>
      <c r="G186" s="26">
        <v>350</v>
      </c>
      <c r="H186" s="26">
        <v>350</v>
      </c>
      <c r="I186" s="26">
        <v>9716000.0000000019</v>
      </c>
      <c r="J186" s="26">
        <v>48650000</v>
      </c>
    </row>
    <row r="187" spans="1:10">
      <c r="A187" s="24">
        <v>185</v>
      </c>
      <c r="B187" s="24">
        <f t="shared" si="4"/>
        <v>166</v>
      </c>
      <c r="C187" s="1" t="s">
        <v>936</v>
      </c>
      <c r="D187" s="1" t="s">
        <v>9</v>
      </c>
      <c r="E187" s="1" t="s">
        <v>14</v>
      </c>
      <c r="F187" s="26">
        <v>0</v>
      </c>
      <c r="G187" s="26">
        <v>200</v>
      </c>
      <c r="H187" s="26">
        <v>200</v>
      </c>
      <c r="I187" s="26">
        <v>5552000.0000000009</v>
      </c>
      <c r="J187" s="26">
        <v>27800000</v>
      </c>
    </row>
    <row r="188" spans="1:10">
      <c r="A188" s="24">
        <v>186</v>
      </c>
      <c r="B188" s="24">
        <f t="shared" si="4"/>
        <v>167</v>
      </c>
      <c r="C188" s="1" t="s">
        <v>937</v>
      </c>
      <c r="D188" s="1" t="s">
        <v>7</v>
      </c>
      <c r="E188" s="1" t="s">
        <v>14</v>
      </c>
      <c r="F188" s="26">
        <v>0</v>
      </c>
      <c r="G188" s="26">
        <v>400</v>
      </c>
      <c r="H188" s="26">
        <v>400</v>
      </c>
      <c r="I188" s="26">
        <v>11104000.000000002</v>
      </c>
      <c r="J188" s="26">
        <v>55600000</v>
      </c>
    </row>
    <row r="189" spans="1:10">
      <c r="A189" s="24">
        <v>187</v>
      </c>
      <c r="B189" s="24">
        <f t="shared" si="4"/>
        <v>167</v>
      </c>
      <c r="C189" s="1" t="s">
        <v>937</v>
      </c>
      <c r="D189" s="1" t="s">
        <v>8</v>
      </c>
      <c r="E189" s="1" t="s">
        <v>14</v>
      </c>
      <c r="F189" s="26">
        <v>0</v>
      </c>
      <c r="G189" s="26">
        <v>550</v>
      </c>
      <c r="H189" s="26">
        <v>550</v>
      </c>
      <c r="I189" s="26">
        <v>15268000.000000002</v>
      </c>
      <c r="J189" s="26">
        <v>76450000</v>
      </c>
    </row>
    <row r="190" spans="1:10">
      <c r="A190" s="24">
        <v>188</v>
      </c>
      <c r="B190" s="24">
        <f t="shared" si="4"/>
        <v>167</v>
      </c>
      <c r="C190" s="1" t="s">
        <v>937</v>
      </c>
      <c r="D190" s="1" t="s">
        <v>9</v>
      </c>
      <c r="E190" s="1" t="s">
        <v>14</v>
      </c>
      <c r="F190" s="26">
        <v>0</v>
      </c>
      <c r="G190" s="26">
        <v>350</v>
      </c>
      <c r="H190" s="26">
        <v>350</v>
      </c>
      <c r="I190" s="26">
        <v>9716000.0000000019</v>
      </c>
      <c r="J190" s="26">
        <v>48650000</v>
      </c>
    </row>
    <row r="191" spans="1:10">
      <c r="A191" s="24">
        <v>189</v>
      </c>
      <c r="B191" s="24">
        <f t="shared" si="4"/>
        <v>167</v>
      </c>
      <c r="C191" s="1" t="s">
        <v>937</v>
      </c>
      <c r="D191" s="1" t="s">
        <v>10</v>
      </c>
      <c r="E191" s="1" t="s">
        <v>14</v>
      </c>
      <c r="F191" s="26">
        <v>0</v>
      </c>
      <c r="G191" s="26">
        <v>200</v>
      </c>
      <c r="H191" s="26">
        <v>200</v>
      </c>
      <c r="I191" s="26">
        <v>5552000.0000000009</v>
      </c>
      <c r="J191" s="26">
        <v>27800000</v>
      </c>
    </row>
    <row r="192" spans="1:10">
      <c r="A192" s="24">
        <v>190</v>
      </c>
      <c r="B192" s="24">
        <f t="shared" si="4"/>
        <v>168</v>
      </c>
      <c r="C192" s="1" t="s">
        <v>938</v>
      </c>
      <c r="D192" s="1" t="s">
        <v>6</v>
      </c>
      <c r="E192" s="1" t="s">
        <v>14</v>
      </c>
      <c r="F192" s="26">
        <v>0</v>
      </c>
      <c r="G192" s="26">
        <v>300</v>
      </c>
      <c r="H192" s="26">
        <v>300</v>
      </c>
      <c r="I192" s="26">
        <v>7635000</v>
      </c>
      <c r="J192" s="26">
        <v>38700000</v>
      </c>
    </row>
    <row r="193" spans="1:10">
      <c r="A193" s="24">
        <v>191</v>
      </c>
      <c r="B193" s="24">
        <f t="shared" si="4"/>
        <v>168</v>
      </c>
      <c r="C193" s="1" t="s">
        <v>938</v>
      </c>
      <c r="D193" s="1" t="s">
        <v>8</v>
      </c>
      <c r="E193" s="1" t="s">
        <v>14</v>
      </c>
      <c r="F193" s="26">
        <v>0</v>
      </c>
      <c r="G193" s="26">
        <v>500</v>
      </c>
      <c r="H193" s="26">
        <v>500</v>
      </c>
      <c r="I193" s="26">
        <v>12725000</v>
      </c>
      <c r="J193" s="26">
        <v>64500000</v>
      </c>
    </row>
    <row r="194" spans="1:10">
      <c r="A194" s="24">
        <v>192</v>
      </c>
      <c r="B194" s="24">
        <f t="shared" si="4"/>
        <v>168</v>
      </c>
      <c r="C194" s="1" t="s">
        <v>938</v>
      </c>
      <c r="D194" s="1" t="s">
        <v>10</v>
      </c>
      <c r="E194" s="1" t="s">
        <v>14</v>
      </c>
      <c r="F194" s="26">
        <v>0</v>
      </c>
      <c r="G194" s="26">
        <v>400</v>
      </c>
      <c r="H194" s="26">
        <v>400</v>
      </c>
      <c r="I194" s="26">
        <v>10180000</v>
      </c>
      <c r="J194" s="26">
        <v>51600000</v>
      </c>
    </row>
    <row r="195" spans="1:10">
      <c r="A195" s="24">
        <v>193</v>
      </c>
      <c r="B195" s="24">
        <f t="shared" si="4"/>
        <v>169</v>
      </c>
      <c r="C195" s="1" t="s">
        <v>939</v>
      </c>
      <c r="D195" s="1" t="s">
        <v>7</v>
      </c>
      <c r="E195" s="1" t="s">
        <v>14</v>
      </c>
      <c r="F195" s="26">
        <v>0</v>
      </c>
      <c r="G195" s="26">
        <v>350</v>
      </c>
      <c r="H195" s="26">
        <v>350</v>
      </c>
      <c r="I195" s="26">
        <v>6077750</v>
      </c>
      <c r="J195" s="26">
        <v>27650000</v>
      </c>
    </row>
    <row r="196" spans="1:10">
      <c r="A196" s="24">
        <v>194</v>
      </c>
      <c r="B196" s="24">
        <f t="shared" ref="B196:B259" si="5">IF(C195=C196,B195,B195+1)</f>
        <v>169</v>
      </c>
      <c r="C196" s="1" t="s">
        <v>939</v>
      </c>
      <c r="D196" s="1" t="s">
        <v>8</v>
      </c>
      <c r="E196" s="1" t="s">
        <v>14</v>
      </c>
      <c r="F196" s="26">
        <v>0</v>
      </c>
      <c r="G196" s="26">
        <v>400</v>
      </c>
      <c r="H196" s="26">
        <v>400</v>
      </c>
      <c r="I196" s="26">
        <v>6946000</v>
      </c>
      <c r="J196" s="26">
        <v>31600000</v>
      </c>
    </row>
    <row r="197" spans="1:10">
      <c r="A197" s="24">
        <v>195</v>
      </c>
      <c r="B197" s="24">
        <f t="shared" si="5"/>
        <v>169</v>
      </c>
      <c r="C197" s="1" t="s">
        <v>939</v>
      </c>
      <c r="D197" s="1" t="s">
        <v>9</v>
      </c>
      <c r="E197" s="1" t="s">
        <v>14</v>
      </c>
      <c r="F197" s="26">
        <v>0</v>
      </c>
      <c r="G197" s="26">
        <v>250</v>
      </c>
      <c r="H197" s="26">
        <v>250</v>
      </c>
      <c r="I197" s="26">
        <v>4341250</v>
      </c>
      <c r="J197" s="26">
        <v>19750000</v>
      </c>
    </row>
    <row r="198" spans="1:10">
      <c r="A198" s="24">
        <v>196</v>
      </c>
      <c r="B198" s="24">
        <f t="shared" si="5"/>
        <v>169</v>
      </c>
      <c r="C198" s="1" t="s">
        <v>939</v>
      </c>
      <c r="D198" s="1" t="s">
        <v>10</v>
      </c>
      <c r="E198" s="1" t="s">
        <v>14</v>
      </c>
      <c r="F198" s="26">
        <v>0</v>
      </c>
      <c r="G198" s="26">
        <v>200</v>
      </c>
      <c r="H198" s="26">
        <v>200</v>
      </c>
      <c r="I198" s="26">
        <v>3473000</v>
      </c>
      <c r="J198" s="26">
        <v>15800000</v>
      </c>
    </row>
    <row r="199" spans="1:10">
      <c r="A199" s="24">
        <v>197</v>
      </c>
      <c r="B199" s="24">
        <f t="shared" si="5"/>
        <v>170</v>
      </c>
      <c r="C199" s="1" t="s">
        <v>940</v>
      </c>
      <c r="D199" s="1" t="s">
        <v>7</v>
      </c>
      <c r="E199" s="1" t="s">
        <v>14</v>
      </c>
      <c r="F199" s="26">
        <v>0</v>
      </c>
      <c r="G199" s="26">
        <v>450</v>
      </c>
      <c r="H199" s="26">
        <v>450</v>
      </c>
      <c r="I199" s="26">
        <v>9373500.0000000019</v>
      </c>
      <c r="J199" s="26">
        <v>44550000</v>
      </c>
    </row>
    <row r="200" spans="1:10">
      <c r="A200" s="24">
        <v>198</v>
      </c>
      <c r="B200" s="24">
        <f t="shared" si="5"/>
        <v>170</v>
      </c>
      <c r="C200" s="1" t="s">
        <v>940</v>
      </c>
      <c r="D200" s="1" t="s">
        <v>8</v>
      </c>
      <c r="E200" s="1" t="s">
        <v>14</v>
      </c>
      <c r="F200" s="26">
        <v>0</v>
      </c>
      <c r="G200" s="26">
        <v>350</v>
      </c>
      <c r="H200" s="26">
        <v>350</v>
      </c>
      <c r="I200" s="26">
        <v>7290500.0000000009</v>
      </c>
      <c r="J200" s="26">
        <v>34650000</v>
      </c>
    </row>
    <row r="201" spans="1:10">
      <c r="A201" s="24">
        <v>199</v>
      </c>
      <c r="B201" s="24">
        <f t="shared" si="5"/>
        <v>170</v>
      </c>
      <c r="C201" s="1" t="s">
        <v>940</v>
      </c>
      <c r="D201" s="1" t="s">
        <v>9</v>
      </c>
      <c r="E201" s="1" t="s">
        <v>14</v>
      </c>
      <c r="F201" s="26">
        <v>0</v>
      </c>
      <c r="G201" s="26">
        <v>200</v>
      </c>
      <c r="H201" s="26">
        <v>200</v>
      </c>
      <c r="I201" s="26">
        <v>4166000.0000000009</v>
      </c>
      <c r="J201" s="26">
        <v>19800000</v>
      </c>
    </row>
    <row r="202" spans="1:10">
      <c r="A202" s="24">
        <v>200</v>
      </c>
      <c r="B202" s="24">
        <f t="shared" si="5"/>
        <v>171</v>
      </c>
      <c r="C202" s="1" t="s">
        <v>941</v>
      </c>
      <c r="D202" s="1" t="s">
        <v>6</v>
      </c>
      <c r="E202" s="1" t="s">
        <v>14</v>
      </c>
      <c r="F202" s="26">
        <v>0</v>
      </c>
      <c r="G202" s="26">
        <v>200</v>
      </c>
      <c r="H202" s="26">
        <v>200</v>
      </c>
      <c r="I202" s="26">
        <v>3588500.0000000009</v>
      </c>
      <c r="J202" s="26">
        <v>17800000</v>
      </c>
    </row>
    <row r="203" spans="1:10">
      <c r="A203" s="24">
        <v>201</v>
      </c>
      <c r="B203" s="24">
        <f t="shared" si="5"/>
        <v>171</v>
      </c>
      <c r="C203" s="1" t="s">
        <v>941</v>
      </c>
      <c r="D203" s="1" t="s">
        <v>7</v>
      </c>
      <c r="E203" s="1" t="s">
        <v>14</v>
      </c>
      <c r="F203" s="26">
        <v>0</v>
      </c>
      <c r="G203" s="26">
        <v>250</v>
      </c>
      <c r="H203" s="26">
        <v>250</v>
      </c>
      <c r="I203" s="26">
        <v>4485625.0000000009</v>
      </c>
      <c r="J203" s="26">
        <v>22250000</v>
      </c>
    </row>
    <row r="204" spans="1:10">
      <c r="A204" s="24">
        <v>202</v>
      </c>
      <c r="B204" s="24">
        <f t="shared" si="5"/>
        <v>171</v>
      </c>
      <c r="C204" s="1" t="s">
        <v>941</v>
      </c>
      <c r="D204" s="1" t="s">
        <v>8</v>
      </c>
      <c r="E204" s="1" t="s">
        <v>14</v>
      </c>
      <c r="F204" s="26">
        <v>0</v>
      </c>
      <c r="G204" s="26">
        <v>200</v>
      </c>
      <c r="H204" s="26">
        <v>200</v>
      </c>
      <c r="I204" s="26">
        <v>3588500.0000000009</v>
      </c>
      <c r="J204" s="26">
        <v>17800000</v>
      </c>
    </row>
    <row r="205" spans="1:10">
      <c r="A205" s="24">
        <v>203</v>
      </c>
      <c r="B205" s="24">
        <f t="shared" si="5"/>
        <v>171</v>
      </c>
      <c r="C205" s="1" t="s">
        <v>941</v>
      </c>
      <c r="D205" s="1" t="s">
        <v>10</v>
      </c>
      <c r="E205" s="1" t="s">
        <v>14</v>
      </c>
      <c r="F205" s="26">
        <v>0</v>
      </c>
      <c r="G205" s="26">
        <v>150</v>
      </c>
      <c r="H205" s="26">
        <v>150</v>
      </c>
      <c r="I205" s="26">
        <v>2691375.0000000005</v>
      </c>
      <c r="J205" s="26">
        <v>13350000</v>
      </c>
    </row>
    <row r="206" spans="1:10">
      <c r="A206" s="24">
        <v>204</v>
      </c>
      <c r="B206" s="24">
        <f t="shared" si="5"/>
        <v>172</v>
      </c>
      <c r="C206" s="1" t="s">
        <v>942</v>
      </c>
      <c r="D206" s="1" t="s">
        <v>7</v>
      </c>
      <c r="E206" s="1" t="s">
        <v>14</v>
      </c>
      <c r="F206" s="26">
        <v>0</v>
      </c>
      <c r="G206" s="26">
        <v>450</v>
      </c>
      <c r="H206" s="26">
        <v>450</v>
      </c>
      <c r="I206" s="26">
        <v>9373500.0000000019</v>
      </c>
      <c r="J206" s="26">
        <v>44550000</v>
      </c>
    </row>
    <row r="207" spans="1:10">
      <c r="A207" s="24">
        <v>205</v>
      </c>
      <c r="B207" s="24">
        <f t="shared" si="5"/>
        <v>172</v>
      </c>
      <c r="C207" s="1" t="s">
        <v>942</v>
      </c>
      <c r="D207" s="1" t="s">
        <v>8</v>
      </c>
      <c r="E207" s="1" t="s">
        <v>14</v>
      </c>
      <c r="F207" s="26">
        <v>0</v>
      </c>
      <c r="G207" s="26">
        <v>350</v>
      </c>
      <c r="H207" s="26">
        <v>350</v>
      </c>
      <c r="I207" s="26">
        <v>7290500.0000000009</v>
      </c>
      <c r="J207" s="26">
        <v>34650000</v>
      </c>
    </row>
    <row r="208" spans="1:10">
      <c r="A208" s="24">
        <v>206</v>
      </c>
      <c r="B208" s="24">
        <f t="shared" si="5"/>
        <v>172</v>
      </c>
      <c r="C208" s="1" t="s">
        <v>942</v>
      </c>
      <c r="D208" s="1" t="s">
        <v>9</v>
      </c>
      <c r="E208" s="1" t="s">
        <v>14</v>
      </c>
      <c r="F208" s="26">
        <v>0</v>
      </c>
      <c r="G208" s="26">
        <v>200</v>
      </c>
      <c r="H208" s="26">
        <v>200</v>
      </c>
      <c r="I208" s="26">
        <v>4166000.0000000009</v>
      </c>
      <c r="J208" s="26">
        <v>19800000</v>
      </c>
    </row>
    <row r="209" spans="1:10">
      <c r="A209" s="24">
        <v>207</v>
      </c>
      <c r="B209" s="24">
        <f t="shared" si="5"/>
        <v>173</v>
      </c>
      <c r="C209" s="1" t="s">
        <v>943</v>
      </c>
      <c r="D209" s="1" t="s">
        <v>6</v>
      </c>
      <c r="E209" s="1" t="s">
        <v>14</v>
      </c>
      <c r="F209" s="26">
        <v>0</v>
      </c>
      <c r="G209" s="26">
        <v>250</v>
      </c>
      <c r="H209" s="26">
        <v>250</v>
      </c>
      <c r="I209" s="26">
        <v>4485625.0000000009</v>
      </c>
      <c r="J209" s="26">
        <v>22250000</v>
      </c>
    </row>
    <row r="210" spans="1:10">
      <c r="A210" s="24">
        <v>208</v>
      </c>
      <c r="B210" s="24">
        <f t="shared" si="5"/>
        <v>173</v>
      </c>
      <c r="C210" s="1" t="s">
        <v>943</v>
      </c>
      <c r="D210" s="1" t="s">
        <v>7</v>
      </c>
      <c r="E210" s="1" t="s">
        <v>14</v>
      </c>
      <c r="F210" s="26">
        <v>0</v>
      </c>
      <c r="G210" s="26">
        <v>250</v>
      </c>
      <c r="H210" s="26">
        <v>250</v>
      </c>
      <c r="I210" s="26">
        <v>4485625.0000000009</v>
      </c>
      <c r="J210" s="26">
        <v>22250000</v>
      </c>
    </row>
    <row r="211" spans="1:10">
      <c r="A211" s="24">
        <v>209</v>
      </c>
      <c r="B211" s="24">
        <f t="shared" si="5"/>
        <v>173</v>
      </c>
      <c r="C211" s="1" t="s">
        <v>943</v>
      </c>
      <c r="D211" s="1" t="s">
        <v>8</v>
      </c>
      <c r="E211" s="1" t="s">
        <v>14</v>
      </c>
      <c r="F211" s="26">
        <v>0</v>
      </c>
      <c r="G211" s="26">
        <v>150</v>
      </c>
      <c r="H211" s="26">
        <v>150</v>
      </c>
      <c r="I211" s="26">
        <v>2691375.0000000005</v>
      </c>
      <c r="J211" s="26">
        <v>13350000</v>
      </c>
    </row>
    <row r="212" spans="1:10">
      <c r="A212" s="24">
        <v>210</v>
      </c>
      <c r="B212" s="24">
        <f t="shared" si="5"/>
        <v>173</v>
      </c>
      <c r="C212" s="1" t="s">
        <v>943</v>
      </c>
      <c r="D212" s="1" t="s">
        <v>10</v>
      </c>
      <c r="E212" s="1" t="s">
        <v>14</v>
      </c>
      <c r="F212" s="26">
        <v>0</v>
      </c>
      <c r="G212" s="26">
        <v>150</v>
      </c>
      <c r="H212" s="26">
        <v>150</v>
      </c>
      <c r="I212" s="26">
        <v>2691375.0000000005</v>
      </c>
      <c r="J212" s="26">
        <v>13350000</v>
      </c>
    </row>
    <row r="213" spans="1:10">
      <c r="A213" s="24">
        <v>211</v>
      </c>
      <c r="B213" s="24">
        <f t="shared" si="5"/>
        <v>174</v>
      </c>
      <c r="C213" s="1" t="s">
        <v>775</v>
      </c>
      <c r="F213" s="26">
        <v>0</v>
      </c>
      <c r="G213" s="26">
        <v>11500</v>
      </c>
      <c r="H213" s="26">
        <v>11500</v>
      </c>
      <c r="I213" s="26">
        <v>298496200</v>
      </c>
      <c r="J213" s="26">
        <v>1442500000</v>
      </c>
    </row>
    <row r="214" spans="1:10">
      <c r="A214" s="24">
        <v>212</v>
      </c>
      <c r="B214" s="24">
        <f t="shared" si="5"/>
        <v>175</v>
      </c>
      <c r="C214" s="1" t="s">
        <v>944</v>
      </c>
      <c r="D214" s="1" t="s">
        <v>4</v>
      </c>
      <c r="E214" s="1" t="s">
        <v>15</v>
      </c>
      <c r="F214" s="26">
        <v>0</v>
      </c>
      <c r="G214" s="26">
        <v>200</v>
      </c>
      <c r="H214" s="26">
        <v>200</v>
      </c>
      <c r="I214" s="26">
        <v>3184272</v>
      </c>
      <c r="J214" s="26">
        <v>13000000</v>
      </c>
    </row>
    <row r="215" spans="1:10">
      <c r="A215" s="24">
        <v>213</v>
      </c>
      <c r="B215" s="24">
        <f t="shared" si="5"/>
        <v>176</v>
      </c>
      <c r="C215" s="1" t="s">
        <v>945</v>
      </c>
      <c r="D215" s="1" t="s">
        <v>4</v>
      </c>
      <c r="E215" s="1" t="s">
        <v>15</v>
      </c>
      <c r="F215" s="26">
        <v>0</v>
      </c>
      <c r="G215" s="26">
        <v>200</v>
      </c>
      <c r="H215" s="26">
        <v>200</v>
      </c>
      <c r="I215" s="26">
        <v>3184272</v>
      </c>
      <c r="J215" s="26">
        <v>13000000</v>
      </c>
    </row>
    <row r="216" spans="1:10">
      <c r="A216" s="24">
        <v>214</v>
      </c>
      <c r="B216" s="24">
        <f t="shared" si="5"/>
        <v>177</v>
      </c>
      <c r="C216" s="1" t="s">
        <v>946</v>
      </c>
      <c r="D216" s="1" t="s">
        <v>4</v>
      </c>
      <c r="E216" s="1" t="s">
        <v>15</v>
      </c>
      <c r="F216" s="26">
        <v>0</v>
      </c>
      <c r="G216" s="26">
        <v>200</v>
      </c>
      <c r="H216" s="26">
        <v>200</v>
      </c>
      <c r="I216" s="26">
        <v>3449628.0000000005</v>
      </c>
      <c r="J216" s="26">
        <v>14600000</v>
      </c>
    </row>
    <row r="217" spans="1:10">
      <c r="A217" s="24">
        <v>215</v>
      </c>
      <c r="B217" s="24">
        <f t="shared" si="5"/>
        <v>178</v>
      </c>
      <c r="C217" s="1" t="s">
        <v>947</v>
      </c>
      <c r="D217" s="1" t="s">
        <v>4</v>
      </c>
      <c r="E217" s="1" t="s">
        <v>15</v>
      </c>
      <c r="F217" s="26">
        <v>0</v>
      </c>
      <c r="G217" s="26">
        <v>200</v>
      </c>
      <c r="H217" s="26">
        <v>200</v>
      </c>
      <c r="I217" s="26">
        <v>3449628.0000000005</v>
      </c>
      <c r="J217" s="26">
        <v>14600000</v>
      </c>
    </row>
    <row r="218" spans="1:10">
      <c r="A218" s="24">
        <v>216</v>
      </c>
      <c r="B218" s="24">
        <f t="shared" si="5"/>
        <v>179</v>
      </c>
      <c r="C218" s="1" t="s">
        <v>948</v>
      </c>
      <c r="D218" s="1" t="s">
        <v>4</v>
      </c>
      <c r="E218" s="1" t="s">
        <v>15</v>
      </c>
      <c r="F218" s="26">
        <v>0</v>
      </c>
      <c r="G218" s="26">
        <v>200</v>
      </c>
      <c r="H218" s="26">
        <v>200</v>
      </c>
      <c r="I218" s="26">
        <v>3449628.0000000005</v>
      </c>
      <c r="J218" s="26">
        <v>14600000</v>
      </c>
    </row>
    <row r="219" spans="1:10">
      <c r="A219" s="24">
        <v>217</v>
      </c>
      <c r="B219" s="24">
        <f t="shared" si="5"/>
        <v>180</v>
      </c>
      <c r="C219" s="1" t="s">
        <v>949</v>
      </c>
      <c r="D219" s="1" t="s">
        <v>4</v>
      </c>
      <c r="E219" s="1" t="s">
        <v>15</v>
      </c>
      <c r="F219" s="26">
        <v>0</v>
      </c>
      <c r="G219" s="26">
        <v>200</v>
      </c>
      <c r="H219" s="26">
        <v>200</v>
      </c>
      <c r="I219" s="26">
        <v>3449628.0000000005</v>
      </c>
      <c r="J219" s="26">
        <v>14600000</v>
      </c>
    </row>
    <row r="220" spans="1:10">
      <c r="A220" s="24">
        <v>218</v>
      </c>
      <c r="B220" s="24">
        <f t="shared" si="5"/>
        <v>181</v>
      </c>
      <c r="C220" s="1" t="s">
        <v>950</v>
      </c>
      <c r="D220" s="1" t="s">
        <v>4</v>
      </c>
      <c r="E220" s="1" t="s">
        <v>15</v>
      </c>
      <c r="F220" s="26">
        <v>0</v>
      </c>
      <c r="G220" s="26">
        <v>200</v>
      </c>
      <c r="H220" s="26">
        <v>200</v>
      </c>
      <c r="I220" s="26">
        <v>3449628.0000000005</v>
      </c>
      <c r="J220" s="26">
        <v>14600000</v>
      </c>
    </row>
    <row r="221" spans="1:10">
      <c r="A221" s="24">
        <v>219</v>
      </c>
      <c r="B221" s="24">
        <f t="shared" si="5"/>
        <v>182</v>
      </c>
      <c r="C221" s="1" t="s">
        <v>951</v>
      </c>
      <c r="D221" s="1" t="s">
        <v>4</v>
      </c>
      <c r="E221" s="1" t="s">
        <v>15</v>
      </c>
      <c r="F221" s="26">
        <v>0</v>
      </c>
      <c r="G221" s="26">
        <v>300</v>
      </c>
      <c r="H221" s="26">
        <v>300</v>
      </c>
      <c r="I221" s="26">
        <v>5174442.0000000009</v>
      </c>
      <c r="J221" s="26">
        <v>21900000</v>
      </c>
    </row>
    <row r="222" spans="1:10">
      <c r="A222" s="24">
        <v>220</v>
      </c>
      <c r="B222" s="24">
        <f t="shared" si="5"/>
        <v>183</v>
      </c>
      <c r="C222" s="1" t="s">
        <v>952</v>
      </c>
      <c r="D222" s="1" t="s">
        <v>4</v>
      </c>
      <c r="E222" s="1" t="s">
        <v>15</v>
      </c>
      <c r="F222" s="26">
        <v>0</v>
      </c>
      <c r="G222" s="26">
        <v>300</v>
      </c>
      <c r="H222" s="26">
        <v>300</v>
      </c>
      <c r="I222" s="26">
        <v>5174442.0000000009</v>
      </c>
      <c r="J222" s="26">
        <v>21900000</v>
      </c>
    </row>
    <row r="223" spans="1:10">
      <c r="A223" s="24">
        <v>221</v>
      </c>
      <c r="B223" s="24">
        <f t="shared" si="5"/>
        <v>184</v>
      </c>
      <c r="C223" s="1" t="s">
        <v>953</v>
      </c>
      <c r="D223" s="1" t="s">
        <v>4</v>
      </c>
      <c r="E223" s="1" t="s">
        <v>15</v>
      </c>
      <c r="F223" s="26">
        <v>0</v>
      </c>
      <c r="G223" s="26">
        <v>150</v>
      </c>
      <c r="H223" s="26">
        <v>150</v>
      </c>
      <c r="I223" s="26">
        <v>2388204</v>
      </c>
      <c r="J223" s="26">
        <v>9750000</v>
      </c>
    </row>
    <row r="224" spans="1:10">
      <c r="A224" s="24">
        <v>222</v>
      </c>
      <c r="B224" s="24">
        <f t="shared" si="5"/>
        <v>185</v>
      </c>
      <c r="C224" s="1" t="s">
        <v>954</v>
      </c>
      <c r="D224" s="1" t="s">
        <v>4</v>
      </c>
      <c r="E224" s="1" t="s">
        <v>15</v>
      </c>
      <c r="F224" s="26">
        <v>0</v>
      </c>
      <c r="G224" s="26">
        <v>150</v>
      </c>
      <c r="H224" s="26">
        <v>150</v>
      </c>
      <c r="I224" s="26">
        <v>2388204</v>
      </c>
      <c r="J224" s="26">
        <v>9750000</v>
      </c>
    </row>
    <row r="225" spans="1:10">
      <c r="A225" s="24">
        <v>223</v>
      </c>
      <c r="B225" s="24">
        <f t="shared" si="5"/>
        <v>186</v>
      </c>
      <c r="C225" s="1" t="s">
        <v>955</v>
      </c>
      <c r="D225" s="1" t="s">
        <v>4</v>
      </c>
      <c r="E225" s="1" t="s">
        <v>15</v>
      </c>
      <c r="F225" s="26">
        <v>0</v>
      </c>
      <c r="G225" s="26">
        <v>300</v>
      </c>
      <c r="H225" s="26">
        <v>300</v>
      </c>
      <c r="I225" s="26">
        <v>5174442.0000000009</v>
      </c>
      <c r="J225" s="26">
        <v>21900000</v>
      </c>
    </row>
    <row r="226" spans="1:10">
      <c r="A226" s="24">
        <v>224</v>
      </c>
      <c r="B226" s="24">
        <f t="shared" si="5"/>
        <v>187</v>
      </c>
      <c r="C226" s="1" t="s">
        <v>956</v>
      </c>
      <c r="D226" s="1" t="s">
        <v>4</v>
      </c>
      <c r="E226" s="1" t="s">
        <v>15</v>
      </c>
      <c r="F226" s="26">
        <v>0</v>
      </c>
      <c r="G226" s="26">
        <v>300</v>
      </c>
      <c r="H226" s="26">
        <v>300</v>
      </c>
      <c r="I226" s="26">
        <v>5174442.0000000009</v>
      </c>
      <c r="J226" s="26">
        <v>21900000</v>
      </c>
    </row>
    <row r="227" spans="1:10">
      <c r="A227" s="24">
        <v>225</v>
      </c>
      <c r="B227" s="24">
        <f t="shared" si="5"/>
        <v>188</v>
      </c>
      <c r="C227" s="1" t="s">
        <v>957</v>
      </c>
      <c r="D227" s="1" t="s">
        <v>4</v>
      </c>
      <c r="E227" s="1" t="s">
        <v>15</v>
      </c>
      <c r="F227" s="26">
        <v>0</v>
      </c>
      <c r="G227" s="26">
        <v>300</v>
      </c>
      <c r="H227" s="26">
        <v>300</v>
      </c>
      <c r="I227" s="26">
        <v>5174442.0000000009</v>
      </c>
      <c r="J227" s="26">
        <v>21900000</v>
      </c>
    </row>
    <row r="228" spans="1:10">
      <c r="A228" s="24">
        <v>226</v>
      </c>
      <c r="B228" s="24">
        <f t="shared" si="5"/>
        <v>189</v>
      </c>
      <c r="C228" s="1" t="s">
        <v>958</v>
      </c>
      <c r="D228" s="1" t="s">
        <v>4</v>
      </c>
      <c r="E228" s="1" t="s">
        <v>15</v>
      </c>
      <c r="F228" s="26">
        <v>0</v>
      </c>
      <c r="G228" s="26">
        <v>50</v>
      </c>
      <c r="H228" s="26">
        <v>50</v>
      </c>
      <c r="I228" s="26">
        <v>1171989.0000000002</v>
      </c>
      <c r="J228" s="26">
        <v>4950000</v>
      </c>
    </row>
    <row r="229" spans="1:10">
      <c r="A229" s="24">
        <v>227</v>
      </c>
      <c r="B229" s="24">
        <f t="shared" si="5"/>
        <v>190</v>
      </c>
      <c r="C229" s="1" t="s">
        <v>959</v>
      </c>
      <c r="D229" s="1" t="s">
        <v>4</v>
      </c>
      <c r="E229" s="1" t="s">
        <v>15</v>
      </c>
      <c r="F229" s="26">
        <v>0</v>
      </c>
      <c r="G229" s="26">
        <v>50</v>
      </c>
      <c r="H229" s="26">
        <v>50</v>
      </c>
      <c r="I229" s="26">
        <v>1171989.0000000002</v>
      </c>
      <c r="J229" s="26">
        <v>4950000</v>
      </c>
    </row>
    <row r="230" spans="1:10">
      <c r="A230" s="24">
        <v>228</v>
      </c>
      <c r="B230" s="24">
        <f t="shared" si="5"/>
        <v>191</v>
      </c>
      <c r="C230" s="1" t="s">
        <v>960</v>
      </c>
      <c r="D230" s="1" t="s">
        <v>4</v>
      </c>
      <c r="E230" s="1" t="s">
        <v>15</v>
      </c>
      <c r="F230" s="26">
        <v>0</v>
      </c>
      <c r="G230" s="26">
        <v>100</v>
      </c>
      <c r="H230" s="26">
        <v>100</v>
      </c>
      <c r="I230" s="26">
        <v>2034396</v>
      </c>
      <c r="J230" s="26">
        <v>8500000</v>
      </c>
    </row>
    <row r="231" spans="1:10">
      <c r="A231" s="24">
        <v>229</v>
      </c>
      <c r="B231" s="24">
        <f t="shared" si="5"/>
        <v>192</v>
      </c>
      <c r="C231" s="1" t="s">
        <v>961</v>
      </c>
      <c r="D231" s="1" t="s">
        <v>4</v>
      </c>
      <c r="E231" s="1" t="s">
        <v>15</v>
      </c>
      <c r="F231" s="26">
        <v>0</v>
      </c>
      <c r="G231" s="26">
        <v>100</v>
      </c>
      <c r="H231" s="26">
        <v>100</v>
      </c>
      <c r="I231" s="26">
        <v>2034396</v>
      </c>
      <c r="J231" s="26">
        <v>8500000</v>
      </c>
    </row>
    <row r="232" spans="1:10">
      <c r="A232" s="24">
        <v>230</v>
      </c>
      <c r="B232" s="24">
        <f t="shared" si="5"/>
        <v>193</v>
      </c>
      <c r="C232" s="1" t="s">
        <v>962</v>
      </c>
      <c r="D232" s="1" t="s">
        <v>4</v>
      </c>
      <c r="E232" s="1" t="s">
        <v>15</v>
      </c>
      <c r="F232" s="26">
        <v>0</v>
      </c>
      <c r="G232" s="26">
        <v>200</v>
      </c>
      <c r="H232" s="26">
        <v>200</v>
      </c>
      <c r="I232" s="26">
        <v>4068792</v>
      </c>
      <c r="J232" s="26">
        <v>17000000</v>
      </c>
    </row>
    <row r="233" spans="1:10">
      <c r="A233" s="24">
        <v>231</v>
      </c>
      <c r="B233" s="24">
        <f t="shared" si="5"/>
        <v>194</v>
      </c>
      <c r="C233" s="1" t="s">
        <v>963</v>
      </c>
      <c r="D233" s="1" t="s">
        <v>4</v>
      </c>
      <c r="E233" s="1" t="s">
        <v>15</v>
      </c>
      <c r="F233" s="26">
        <v>0</v>
      </c>
      <c r="G233" s="26">
        <v>150</v>
      </c>
      <c r="H233" s="26">
        <v>150</v>
      </c>
      <c r="I233" s="26">
        <v>3051594</v>
      </c>
      <c r="J233" s="26">
        <v>12750000</v>
      </c>
    </row>
    <row r="234" spans="1:10">
      <c r="A234" s="24">
        <v>232</v>
      </c>
      <c r="B234" s="24">
        <f t="shared" si="5"/>
        <v>195</v>
      </c>
      <c r="C234" s="1" t="s">
        <v>964</v>
      </c>
      <c r="D234" s="1" t="s">
        <v>4</v>
      </c>
      <c r="E234" s="1" t="s">
        <v>15</v>
      </c>
      <c r="F234" s="26">
        <v>0</v>
      </c>
      <c r="G234" s="26">
        <v>200</v>
      </c>
      <c r="H234" s="26">
        <v>200</v>
      </c>
      <c r="I234" s="26">
        <v>4068792</v>
      </c>
      <c r="J234" s="26">
        <v>17000000</v>
      </c>
    </row>
    <row r="235" spans="1:10">
      <c r="A235" s="24">
        <v>233</v>
      </c>
      <c r="B235" s="24">
        <f t="shared" si="5"/>
        <v>196</v>
      </c>
      <c r="C235" s="1" t="s">
        <v>965</v>
      </c>
      <c r="D235" s="1" t="s">
        <v>4</v>
      </c>
      <c r="E235" s="1" t="s">
        <v>15</v>
      </c>
      <c r="F235" s="26">
        <v>0</v>
      </c>
      <c r="G235" s="26">
        <v>300</v>
      </c>
      <c r="H235" s="26">
        <v>300</v>
      </c>
      <c r="I235" s="26">
        <v>5174442.0000000009</v>
      </c>
      <c r="J235" s="26">
        <v>21900000</v>
      </c>
    </row>
    <row r="236" spans="1:10">
      <c r="A236" s="24">
        <v>234</v>
      </c>
      <c r="B236" s="24">
        <f t="shared" si="5"/>
        <v>197</v>
      </c>
      <c r="C236" s="1" t="s">
        <v>966</v>
      </c>
      <c r="D236" s="1" t="s">
        <v>4</v>
      </c>
      <c r="E236" s="1" t="s">
        <v>15</v>
      </c>
      <c r="F236" s="26">
        <v>0</v>
      </c>
      <c r="G236" s="26">
        <v>300</v>
      </c>
      <c r="H236" s="26">
        <v>300</v>
      </c>
      <c r="I236" s="26">
        <v>5174442.0000000009</v>
      </c>
      <c r="J236" s="26">
        <v>21900000</v>
      </c>
    </row>
    <row r="237" spans="1:10">
      <c r="A237" s="24">
        <v>235</v>
      </c>
      <c r="B237" s="24">
        <f t="shared" si="5"/>
        <v>198</v>
      </c>
      <c r="C237" s="1" t="s">
        <v>967</v>
      </c>
      <c r="D237" s="1" t="s">
        <v>4</v>
      </c>
      <c r="E237" s="1" t="s">
        <v>15</v>
      </c>
      <c r="F237" s="26">
        <v>0</v>
      </c>
      <c r="G237" s="26">
        <v>20</v>
      </c>
      <c r="H237" s="26">
        <v>20</v>
      </c>
      <c r="I237" s="26">
        <v>689925.60000000009</v>
      </c>
      <c r="J237" s="26">
        <v>2980000</v>
      </c>
    </row>
    <row r="238" spans="1:10">
      <c r="A238" s="24">
        <v>236</v>
      </c>
      <c r="B238" s="24">
        <f t="shared" si="5"/>
        <v>199</v>
      </c>
      <c r="C238" s="1" t="s">
        <v>968</v>
      </c>
      <c r="D238" s="1" t="s">
        <v>4</v>
      </c>
      <c r="E238" s="1" t="s">
        <v>15</v>
      </c>
      <c r="F238" s="26">
        <v>0</v>
      </c>
      <c r="G238" s="26">
        <v>20</v>
      </c>
      <c r="H238" s="26">
        <v>20</v>
      </c>
      <c r="I238" s="26">
        <v>689925.60000000009</v>
      </c>
      <c r="J238" s="26">
        <v>2980000</v>
      </c>
    </row>
    <row r="239" spans="1:10">
      <c r="A239" s="24">
        <v>237</v>
      </c>
      <c r="B239" s="24">
        <f t="shared" si="5"/>
        <v>200</v>
      </c>
      <c r="C239" s="1" t="s">
        <v>969</v>
      </c>
      <c r="D239" s="1" t="s">
        <v>4</v>
      </c>
      <c r="E239" s="1" t="s">
        <v>15</v>
      </c>
      <c r="F239" s="26">
        <v>0</v>
      </c>
      <c r="G239" s="26">
        <v>20</v>
      </c>
      <c r="H239" s="26">
        <v>20</v>
      </c>
      <c r="I239" s="26">
        <v>344962.80000000005</v>
      </c>
      <c r="J239" s="26">
        <v>1460000</v>
      </c>
    </row>
    <row r="240" spans="1:10">
      <c r="A240" s="24">
        <v>238</v>
      </c>
      <c r="B240" s="24">
        <f t="shared" si="5"/>
        <v>201</v>
      </c>
      <c r="C240" s="1" t="s">
        <v>970</v>
      </c>
      <c r="D240" s="1" t="s">
        <v>4</v>
      </c>
      <c r="E240" s="1" t="s">
        <v>15</v>
      </c>
      <c r="F240" s="26">
        <v>0</v>
      </c>
      <c r="G240" s="26">
        <v>20</v>
      </c>
      <c r="H240" s="26">
        <v>20</v>
      </c>
      <c r="I240" s="26">
        <v>344962.80000000005</v>
      </c>
      <c r="J240" s="26">
        <v>1460000</v>
      </c>
    </row>
    <row r="241" spans="1:10">
      <c r="A241" s="24">
        <v>239</v>
      </c>
      <c r="B241" s="24">
        <f t="shared" si="5"/>
        <v>202</v>
      </c>
      <c r="C241" s="1" t="s">
        <v>971</v>
      </c>
      <c r="D241" s="1" t="s">
        <v>4</v>
      </c>
      <c r="E241" s="1" t="s">
        <v>15</v>
      </c>
      <c r="F241" s="26">
        <v>0</v>
      </c>
      <c r="G241" s="26">
        <v>20</v>
      </c>
      <c r="H241" s="26">
        <v>20</v>
      </c>
      <c r="I241" s="26">
        <v>344962.80000000005</v>
      </c>
      <c r="J241" s="26">
        <v>1460000</v>
      </c>
    </row>
    <row r="242" spans="1:10">
      <c r="A242" s="24">
        <v>240</v>
      </c>
      <c r="B242" s="24">
        <f t="shared" si="5"/>
        <v>203</v>
      </c>
      <c r="C242" s="1" t="s">
        <v>775</v>
      </c>
      <c r="F242" s="26">
        <v>0</v>
      </c>
      <c r="G242" s="26">
        <v>4750</v>
      </c>
      <c r="H242" s="26">
        <v>4750</v>
      </c>
      <c r="I242" s="26">
        <v>84630873.599999979</v>
      </c>
      <c r="J242" s="26">
        <v>355790000</v>
      </c>
    </row>
    <row r="243" spans="1:10">
      <c r="A243" s="24">
        <v>241</v>
      </c>
      <c r="B243" s="24">
        <f t="shared" si="5"/>
        <v>204</v>
      </c>
      <c r="C243" s="1" t="s">
        <v>972</v>
      </c>
      <c r="D243" s="1" t="s">
        <v>4</v>
      </c>
      <c r="E243" s="1" t="s">
        <v>14</v>
      </c>
      <c r="F243" s="26">
        <v>1000</v>
      </c>
      <c r="G243" s="26">
        <v>0</v>
      </c>
      <c r="H243" s="26">
        <v>1000</v>
      </c>
      <c r="I243" s="26">
        <v>4524500</v>
      </c>
      <c r="J243" s="26">
        <v>43000000</v>
      </c>
    </row>
    <row r="244" spans="1:10">
      <c r="A244" s="24">
        <v>242</v>
      </c>
      <c r="B244" s="24">
        <f t="shared" si="5"/>
        <v>205</v>
      </c>
      <c r="C244" s="1" t="s">
        <v>775</v>
      </c>
      <c r="F244" s="26">
        <v>1000</v>
      </c>
      <c r="G244" s="26">
        <v>0</v>
      </c>
      <c r="H244" s="26">
        <v>1000</v>
      </c>
      <c r="I244" s="26">
        <v>4524500</v>
      </c>
      <c r="J244" s="26">
        <v>43000000</v>
      </c>
    </row>
    <row r="245" spans="1:10">
      <c r="A245" s="24">
        <v>243</v>
      </c>
      <c r="B245" s="24">
        <f t="shared" si="5"/>
        <v>206</v>
      </c>
      <c r="C245" s="1" t="s">
        <v>973</v>
      </c>
      <c r="D245" s="1" t="s">
        <v>4</v>
      </c>
      <c r="E245" s="1" t="s">
        <v>14</v>
      </c>
      <c r="F245" s="26">
        <v>700</v>
      </c>
      <c r="G245" s="26">
        <v>0</v>
      </c>
      <c r="H245" s="26">
        <v>800</v>
      </c>
      <c r="I245" s="26">
        <v>5554456.0000000009</v>
      </c>
      <c r="J245" s="26">
        <v>34400000</v>
      </c>
    </row>
    <row r="246" spans="1:10">
      <c r="A246" s="24">
        <v>244</v>
      </c>
      <c r="B246" s="24">
        <f t="shared" si="5"/>
        <v>207</v>
      </c>
      <c r="C246" s="1" t="s">
        <v>775</v>
      </c>
      <c r="F246" s="26">
        <v>700</v>
      </c>
      <c r="G246" s="26">
        <v>0</v>
      </c>
      <c r="H246" s="26">
        <v>800</v>
      </c>
      <c r="I246" s="26">
        <v>5554456.0000000009</v>
      </c>
      <c r="J246" s="26">
        <v>34400000</v>
      </c>
    </row>
    <row r="247" spans="1:10">
      <c r="A247" s="24">
        <v>245</v>
      </c>
      <c r="B247" s="24">
        <f t="shared" si="5"/>
        <v>208</v>
      </c>
      <c r="C247" s="1" t="s">
        <v>974</v>
      </c>
      <c r="D247" s="1" t="s">
        <v>4</v>
      </c>
      <c r="E247" s="1" t="s">
        <v>14</v>
      </c>
      <c r="F247" s="26">
        <v>700</v>
      </c>
      <c r="G247" s="26">
        <v>0</v>
      </c>
      <c r="H247" s="26">
        <v>700</v>
      </c>
      <c r="I247" s="26">
        <v>5460000</v>
      </c>
      <c r="J247" s="26">
        <v>34300000</v>
      </c>
    </row>
    <row r="248" spans="1:10">
      <c r="A248" s="24">
        <v>246</v>
      </c>
      <c r="B248" s="24">
        <f t="shared" si="5"/>
        <v>209</v>
      </c>
      <c r="C248" s="1" t="s">
        <v>775</v>
      </c>
      <c r="F248" s="26">
        <v>700</v>
      </c>
      <c r="G248" s="26">
        <v>0</v>
      </c>
      <c r="H248" s="26">
        <v>700</v>
      </c>
      <c r="I248" s="26">
        <v>5460000</v>
      </c>
      <c r="J248" s="26">
        <v>34300000</v>
      </c>
    </row>
    <row r="249" spans="1:10">
      <c r="A249" s="24">
        <v>247</v>
      </c>
      <c r="B249" s="24">
        <f t="shared" si="5"/>
        <v>210</v>
      </c>
      <c r="C249" s="1" t="s">
        <v>975</v>
      </c>
      <c r="D249" s="1" t="s">
        <v>4</v>
      </c>
      <c r="E249" s="1" t="s">
        <v>14</v>
      </c>
      <c r="F249" s="26">
        <v>0</v>
      </c>
      <c r="G249" s="26">
        <v>800</v>
      </c>
      <c r="H249" s="26">
        <v>800</v>
      </c>
      <c r="I249" s="26">
        <v>5638792.0000000009</v>
      </c>
      <c r="J249" s="26">
        <v>44000000</v>
      </c>
    </row>
    <row r="250" spans="1:10">
      <c r="A250" s="24">
        <v>248</v>
      </c>
      <c r="B250" s="24">
        <f t="shared" si="5"/>
        <v>211</v>
      </c>
      <c r="C250" s="1" t="s">
        <v>976</v>
      </c>
      <c r="D250" s="1" t="s">
        <v>4</v>
      </c>
      <c r="E250" s="1" t="s">
        <v>14</v>
      </c>
      <c r="F250" s="26">
        <v>0</v>
      </c>
      <c r="G250" s="26">
        <v>800</v>
      </c>
      <c r="H250" s="26">
        <v>800</v>
      </c>
      <c r="I250" s="26">
        <v>6349160.0000000009</v>
      </c>
      <c r="J250" s="26">
        <v>44000000</v>
      </c>
    </row>
    <row r="251" spans="1:10">
      <c r="A251" s="24">
        <v>249</v>
      </c>
      <c r="B251" s="24">
        <f t="shared" si="5"/>
        <v>212</v>
      </c>
      <c r="C251" s="1" t="s">
        <v>977</v>
      </c>
      <c r="D251" s="1" t="s">
        <v>4</v>
      </c>
      <c r="E251" s="1" t="s">
        <v>14</v>
      </c>
      <c r="F251" s="26">
        <v>0</v>
      </c>
      <c r="G251" s="26">
        <v>800</v>
      </c>
      <c r="H251" s="26">
        <v>800</v>
      </c>
      <c r="I251" s="26">
        <v>5921292.0000000009</v>
      </c>
      <c r="J251" s="26">
        <v>44000000</v>
      </c>
    </row>
    <row r="252" spans="1:10">
      <c r="A252" s="24">
        <v>250</v>
      </c>
      <c r="B252" s="24">
        <f t="shared" si="5"/>
        <v>213</v>
      </c>
      <c r="C252" s="1" t="s">
        <v>978</v>
      </c>
      <c r="D252" s="1" t="s">
        <v>4</v>
      </c>
      <c r="E252" s="1" t="s">
        <v>14</v>
      </c>
      <c r="F252" s="26">
        <v>0</v>
      </c>
      <c r="G252" s="26">
        <v>600</v>
      </c>
      <c r="H252" s="26">
        <v>600</v>
      </c>
      <c r="I252" s="26">
        <v>3117540.0000000005</v>
      </c>
      <c r="J252" s="26">
        <v>33000000</v>
      </c>
    </row>
    <row r="253" spans="1:10">
      <c r="A253" s="24">
        <v>251</v>
      </c>
      <c r="B253" s="24">
        <f t="shared" si="5"/>
        <v>214</v>
      </c>
      <c r="C253" s="1" t="s">
        <v>775</v>
      </c>
      <c r="F253" s="26">
        <v>0</v>
      </c>
      <c r="G253" s="26">
        <v>3000</v>
      </c>
      <c r="H253" s="26">
        <v>3000</v>
      </c>
      <c r="I253" s="26">
        <v>21026784.000000004</v>
      </c>
      <c r="J253" s="26">
        <v>165000000</v>
      </c>
    </row>
    <row r="254" spans="1:10">
      <c r="A254" s="24">
        <v>252</v>
      </c>
      <c r="B254" s="24">
        <f t="shared" si="5"/>
        <v>215</v>
      </c>
      <c r="C254" s="1" t="s">
        <v>979</v>
      </c>
      <c r="D254" s="1" t="s">
        <v>4</v>
      </c>
      <c r="E254" s="1" t="s">
        <v>14</v>
      </c>
      <c r="F254" s="26">
        <v>0</v>
      </c>
      <c r="G254" s="26">
        <v>400</v>
      </c>
      <c r="H254" s="26">
        <v>400</v>
      </c>
      <c r="I254" s="26">
        <v>5948280</v>
      </c>
      <c r="J254" s="26">
        <v>31600000</v>
      </c>
    </row>
    <row r="255" spans="1:10">
      <c r="A255" s="24">
        <v>253</v>
      </c>
      <c r="B255" s="24">
        <f t="shared" si="5"/>
        <v>216</v>
      </c>
      <c r="C255" s="1" t="s">
        <v>775</v>
      </c>
      <c r="F255" s="26">
        <v>0</v>
      </c>
      <c r="G255" s="26">
        <v>400</v>
      </c>
      <c r="H255" s="26">
        <v>400</v>
      </c>
      <c r="I255" s="26">
        <v>5948280</v>
      </c>
      <c r="J255" s="26">
        <v>31600000</v>
      </c>
    </row>
    <row r="256" spans="1:10">
      <c r="A256" s="24">
        <v>254</v>
      </c>
      <c r="B256" s="24">
        <f t="shared" si="5"/>
        <v>217</v>
      </c>
      <c r="C256" s="1" t="s">
        <v>980</v>
      </c>
      <c r="D256" s="1" t="s">
        <v>4</v>
      </c>
      <c r="E256" s="1" t="s">
        <v>14</v>
      </c>
      <c r="F256" s="26">
        <v>0</v>
      </c>
      <c r="G256" s="26">
        <v>500</v>
      </c>
      <c r="H256" s="26">
        <v>500</v>
      </c>
      <c r="I256" s="26">
        <v>7950000</v>
      </c>
      <c r="J256" s="26">
        <v>32500000</v>
      </c>
    </row>
    <row r="257" spans="1:10">
      <c r="A257" s="24">
        <v>255</v>
      </c>
      <c r="B257" s="24">
        <f t="shared" si="5"/>
        <v>218</v>
      </c>
      <c r="C257" s="1" t="s">
        <v>981</v>
      </c>
      <c r="D257" s="1" t="s">
        <v>4</v>
      </c>
      <c r="E257" s="1" t="s">
        <v>14</v>
      </c>
      <c r="F257" s="26">
        <v>0</v>
      </c>
      <c r="G257" s="26">
        <v>300</v>
      </c>
      <c r="H257" s="26">
        <v>300</v>
      </c>
      <c r="I257" s="26">
        <v>4620000</v>
      </c>
      <c r="J257" s="26">
        <v>17700000</v>
      </c>
    </row>
    <row r="258" spans="1:10">
      <c r="A258" s="24">
        <v>256</v>
      </c>
      <c r="B258" s="24">
        <f t="shared" si="5"/>
        <v>219</v>
      </c>
      <c r="C258" s="1" t="s">
        <v>982</v>
      </c>
      <c r="D258" s="1" t="s">
        <v>4</v>
      </c>
      <c r="E258" s="1" t="s">
        <v>14</v>
      </c>
      <c r="F258" s="26">
        <v>0</v>
      </c>
      <c r="G258" s="26">
        <v>600</v>
      </c>
      <c r="H258" s="26">
        <v>600</v>
      </c>
      <c r="I258" s="26">
        <v>9420000</v>
      </c>
      <c r="J258" s="26">
        <v>39000000</v>
      </c>
    </row>
    <row r="259" spans="1:10">
      <c r="A259" s="24">
        <v>257</v>
      </c>
      <c r="B259" s="24">
        <f t="shared" si="5"/>
        <v>220</v>
      </c>
      <c r="C259" s="1" t="s">
        <v>983</v>
      </c>
      <c r="D259" s="1" t="s">
        <v>4</v>
      </c>
      <c r="E259" s="1" t="s">
        <v>14</v>
      </c>
      <c r="F259" s="26">
        <v>0</v>
      </c>
      <c r="G259" s="26">
        <v>500</v>
      </c>
      <c r="H259" s="26">
        <v>500</v>
      </c>
      <c r="I259" s="26">
        <v>8350000</v>
      </c>
      <c r="J259" s="26">
        <v>34500000</v>
      </c>
    </row>
    <row r="260" spans="1:10">
      <c r="A260" s="24">
        <v>258</v>
      </c>
      <c r="B260" s="24">
        <f t="shared" ref="B260:B323" si="6">IF(C259=C260,B259,B259+1)</f>
        <v>221</v>
      </c>
      <c r="C260" s="1" t="s">
        <v>984</v>
      </c>
      <c r="D260" s="1" t="s">
        <v>4</v>
      </c>
      <c r="E260" s="1" t="s">
        <v>14</v>
      </c>
      <c r="F260" s="26">
        <v>0</v>
      </c>
      <c r="G260" s="26">
        <v>600</v>
      </c>
      <c r="H260" s="26">
        <v>600</v>
      </c>
      <c r="I260" s="26">
        <v>10020000</v>
      </c>
      <c r="J260" s="26">
        <v>41400000</v>
      </c>
    </row>
    <row r="261" spans="1:10">
      <c r="A261" s="24">
        <v>259</v>
      </c>
      <c r="B261" s="24">
        <f t="shared" si="6"/>
        <v>222</v>
      </c>
      <c r="C261" s="1" t="s">
        <v>985</v>
      </c>
      <c r="D261" s="1" t="s">
        <v>4</v>
      </c>
      <c r="E261" s="1" t="s">
        <v>14</v>
      </c>
      <c r="F261" s="26">
        <v>0</v>
      </c>
      <c r="G261" s="26">
        <v>600</v>
      </c>
      <c r="H261" s="26">
        <v>600</v>
      </c>
      <c r="I261" s="26">
        <v>7680000</v>
      </c>
      <c r="J261" s="26">
        <v>35400000</v>
      </c>
    </row>
    <row r="262" spans="1:10">
      <c r="A262" s="24">
        <v>260</v>
      </c>
      <c r="B262" s="24">
        <f t="shared" si="6"/>
        <v>223</v>
      </c>
      <c r="C262" s="1" t="s">
        <v>986</v>
      </c>
      <c r="D262" s="1" t="s">
        <v>4</v>
      </c>
      <c r="E262" s="1" t="s">
        <v>14</v>
      </c>
      <c r="F262" s="26">
        <v>0</v>
      </c>
      <c r="G262" s="26">
        <v>400</v>
      </c>
      <c r="H262" s="26">
        <v>400</v>
      </c>
      <c r="I262" s="26">
        <v>6880000</v>
      </c>
      <c r="J262" s="26">
        <v>27600000</v>
      </c>
    </row>
    <row r="263" spans="1:10">
      <c r="A263" s="24">
        <v>261</v>
      </c>
      <c r="B263" s="24">
        <f t="shared" si="6"/>
        <v>224</v>
      </c>
      <c r="C263" s="1" t="s">
        <v>775</v>
      </c>
      <c r="F263" s="26">
        <v>0</v>
      </c>
      <c r="G263" s="26">
        <v>3500</v>
      </c>
      <c r="H263" s="26">
        <v>3500</v>
      </c>
      <c r="I263" s="26">
        <v>54920000</v>
      </c>
      <c r="J263" s="26">
        <v>228100000</v>
      </c>
    </row>
    <row r="264" spans="1:10">
      <c r="A264" s="24">
        <v>262</v>
      </c>
      <c r="B264" s="24">
        <f t="shared" si="6"/>
        <v>225</v>
      </c>
      <c r="C264" s="1" t="s">
        <v>987</v>
      </c>
      <c r="D264" s="1" t="s">
        <v>4</v>
      </c>
      <c r="E264" s="1" t="s">
        <v>14</v>
      </c>
      <c r="F264" s="26">
        <v>500</v>
      </c>
      <c r="G264" s="26">
        <v>0</v>
      </c>
      <c r="H264" s="26">
        <v>500</v>
      </c>
      <c r="I264" s="26">
        <v>3471535.0000000005</v>
      </c>
      <c r="J264" s="26">
        <v>24500000</v>
      </c>
    </row>
    <row r="265" spans="1:10">
      <c r="A265" s="24">
        <v>263</v>
      </c>
      <c r="B265" s="24">
        <f t="shared" si="6"/>
        <v>226</v>
      </c>
      <c r="C265" s="1" t="s">
        <v>988</v>
      </c>
      <c r="D265" s="1" t="s">
        <v>4</v>
      </c>
      <c r="E265" s="1" t="s">
        <v>14</v>
      </c>
      <c r="F265" s="26">
        <v>500</v>
      </c>
      <c r="G265" s="26">
        <v>0</v>
      </c>
      <c r="H265" s="26">
        <v>500</v>
      </c>
      <c r="I265" s="26">
        <v>3471535.0000000005</v>
      </c>
      <c r="J265" s="26">
        <v>24500000</v>
      </c>
    </row>
    <row r="266" spans="1:10">
      <c r="A266" s="24">
        <v>264</v>
      </c>
      <c r="B266" s="24">
        <f t="shared" si="6"/>
        <v>227</v>
      </c>
      <c r="C266" s="1" t="s">
        <v>989</v>
      </c>
      <c r="D266" s="1" t="s">
        <v>4</v>
      </c>
      <c r="E266" s="1" t="s">
        <v>14</v>
      </c>
      <c r="F266" s="26">
        <v>460</v>
      </c>
      <c r="G266" s="26">
        <v>0</v>
      </c>
      <c r="H266" s="26">
        <v>500</v>
      </c>
      <c r="I266" s="26">
        <v>3502720.0000000005</v>
      </c>
      <c r="J266" s="26">
        <v>24500000</v>
      </c>
    </row>
    <row r="267" spans="1:10">
      <c r="A267" s="24">
        <v>265</v>
      </c>
      <c r="B267" s="24">
        <f t="shared" si="6"/>
        <v>228</v>
      </c>
      <c r="C267" s="1" t="s">
        <v>990</v>
      </c>
      <c r="D267" s="1" t="s">
        <v>4</v>
      </c>
      <c r="E267" s="1" t="s">
        <v>14</v>
      </c>
      <c r="F267" s="26">
        <v>500</v>
      </c>
      <c r="G267" s="26">
        <v>0</v>
      </c>
      <c r="H267" s="26">
        <v>500</v>
      </c>
      <c r="I267" s="26">
        <v>3596275.0000000005</v>
      </c>
      <c r="J267" s="26">
        <v>24500000</v>
      </c>
    </row>
    <row r="268" spans="1:10">
      <c r="A268" s="24">
        <v>266</v>
      </c>
      <c r="B268" s="24">
        <f t="shared" si="6"/>
        <v>229</v>
      </c>
      <c r="C268" s="1" t="s">
        <v>991</v>
      </c>
      <c r="D268" s="1" t="s">
        <v>4</v>
      </c>
      <c r="E268" s="1" t="s">
        <v>14</v>
      </c>
      <c r="F268" s="26">
        <v>500</v>
      </c>
      <c r="G268" s="26">
        <v>0</v>
      </c>
      <c r="H268" s="26">
        <v>500</v>
      </c>
      <c r="I268" s="26">
        <v>3471535.0000000005</v>
      </c>
      <c r="J268" s="26">
        <v>24500000</v>
      </c>
    </row>
    <row r="269" spans="1:10">
      <c r="A269" s="24">
        <v>267</v>
      </c>
      <c r="B269" s="24">
        <f t="shared" si="6"/>
        <v>230</v>
      </c>
      <c r="C269" s="1" t="s">
        <v>992</v>
      </c>
      <c r="D269" s="1" t="s">
        <v>4</v>
      </c>
      <c r="E269" s="1" t="s">
        <v>14</v>
      </c>
      <c r="F269" s="26">
        <v>500</v>
      </c>
      <c r="G269" s="26">
        <v>0</v>
      </c>
      <c r="H269" s="26">
        <v>500</v>
      </c>
      <c r="I269" s="26">
        <v>3377980.0000000009</v>
      </c>
      <c r="J269" s="26">
        <v>24500000</v>
      </c>
    </row>
    <row r="270" spans="1:10">
      <c r="A270" s="24">
        <v>268</v>
      </c>
      <c r="B270" s="24">
        <f t="shared" si="6"/>
        <v>231</v>
      </c>
      <c r="C270" s="1" t="s">
        <v>993</v>
      </c>
      <c r="D270" s="1" t="s">
        <v>4</v>
      </c>
      <c r="E270" s="1" t="s">
        <v>14</v>
      </c>
      <c r="F270" s="26">
        <v>500</v>
      </c>
      <c r="G270" s="26">
        <v>0</v>
      </c>
      <c r="H270" s="26">
        <v>500</v>
      </c>
      <c r="I270" s="26">
        <v>3533905.0000000005</v>
      </c>
      <c r="J270" s="26">
        <v>24500000</v>
      </c>
    </row>
    <row r="271" spans="1:10">
      <c r="A271" s="24">
        <v>269</v>
      </c>
      <c r="B271" s="24">
        <f t="shared" si="6"/>
        <v>232</v>
      </c>
      <c r="C271" s="1" t="s">
        <v>994</v>
      </c>
      <c r="D271" s="1" t="s">
        <v>4</v>
      </c>
      <c r="E271" s="1" t="s">
        <v>14</v>
      </c>
      <c r="F271" s="26">
        <v>500</v>
      </c>
      <c r="G271" s="26">
        <v>0</v>
      </c>
      <c r="H271" s="26">
        <v>500</v>
      </c>
      <c r="I271" s="26">
        <v>3565090.0000000005</v>
      </c>
      <c r="J271" s="26">
        <v>24500000</v>
      </c>
    </row>
    <row r="272" spans="1:10">
      <c r="A272" s="24">
        <v>270</v>
      </c>
      <c r="B272" s="24">
        <f t="shared" si="6"/>
        <v>233</v>
      </c>
      <c r="C272" s="1" t="s">
        <v>995</v>
      </c>
      <c r="D272" s="1" t="s">
        <v>4</v>
      </c>
      <c r="E272" s="1" t="s">
        <v>14</v>
      </c>
      <c r="F272" s="26">
        <v>485</v>
      </c>
      <c r="G272" s="26">
        <v>0</v>
      </c>
      <c r="H272" s="26">
        <v>500</v>
      </c>
      <c r="I272" s="26">
        <v>3471535.0000000005</v>
      </c>
      <c r="J272" s="26">
        <v>24500000</v>
      </c>
    </row>
    <row r="273" spans="1:10">
      <c r="A273" s="24">
        <v>271</v>
      </c>
      <c r="B273" s="24">
        <f t="shared" si="6"/>
        <v>234</v>
      </c>
      <c r="C273" s="1" t="s">
        <v>775</v>
      </c>
      <c r="F273" s="26">
        <v>4445</v>
      </c>
      <c r="G273" s="26">
        <v>0</v>
      </c>
      <c r="H273" s="26">
        <v>4500</v>
      </c>
      <c r="I273" s="26">
        <v>31462110.000000004</v>
      </c>
      <c r="J273" s="26">
        <v>220500000</v>
      </c>
    </row>
    <row r="274" spans="1:10">
      <c r="A274" s="24">
        <v>272</v>
      </c>
      <c r="B274" s="24">
        <f t="shared" si="6"/>
        <v>235</v>
      </c>
      <c r="C274" s="1" t="s">
        <v>996</v>
      </c>
      <c r="D274" s="1" t="s">
        <v>4</v>
      </c>
      <c r="E274" s="1" t="s">
        <v>14</v>
      </c>
      <c r="F274" s="26">
        <v>4000</v>
      </c>
      <c r="G274" s="26">
        <v>0</v>
      </c>
      <c r="H274" s="26">
        <v>4000</v>
      </c>
      <c r="I274" s="26">
        <v>17347320</v>
      </c>
      <c r="J274" s="26">
        <v>220000000</v>
      </c>
    </row>
    <row r="275" spans="1:10">
      <c r="A275" s="24">
        <v>273</v>
      </c>
      <c r="B275" s="24">
        <f t="shared" si="6"/>
        <v>236</v>
      </c>
      <c r="C275" s="1" t="s">
        <v>997</v>
      </c>
      <c r="D275" s="1" t="s">
        <v>4</v>
      </c>
      <c r="E275" s="1" t="s">
        <v>14</v>
      </c>
      <c r="F275" s="26">
        <v>1975</v>
      </c>
      <c r="G275" s="26">
        <v>0</v>
      </c>
      <c r="H275" s="26">
        <v>2000</v>
      </c>
      <c r="I275" s="26">
        <v>9187660</v>
      </c>
      <c r="J275" s="26">
        <v>110000000</v>
      </c>
    </row>
    <row r="276" spans="1:10">
      <c r="A276" s="24">
        <v>274</v>
      </c>
      <c r="B276" s="24">
        <f t="shared" si="6"/>
        <v>237</v>
      </c>
      <c r="C276" s="1" t="s">
        <v>775</v>
      </c>
      <c r="F276" s="26">
        <v>5975</v>
      </c>
      <c r="G276" s="26">
        <v>0</v>
      </c>
      <c r="H276" s="26">
        <v>6000</v>
      </c>
      <c r="I276" s="26">
        <v>26534980</v>
      </c>
      <c r="J276" s="26">
        <v>330000000</v>
      </c>
    </row>
    <row r="277" spans="1:10">
      <c r="A277" s="24">
        <v>275</v>
      </c>
      <c r="B277" s="24">
        <f t="shared" si="6"/>
        <v>238</v>
      </c>
      <c r="C277" s="1" t="s">
        <v>998</v>
      </c>
      <c r="D277" s="1" t="s">
        <v>4</v>
      </c>
      <c r="E277" s="1" t="s">
        <v>14</v>
      </c>
      <c r="F277" s="26">
        <v>1983</v>
      </c>
      <c r="G277" s="26">
        <v>0</v>
      </c>
      <c r="H277" s="26">
        <v>2000</v>
      </c>
      <c r="I277" s="26">
        <v>20440000</v>
      </c>
      <c r="J277" s="26">
        <v>90000000</v>
      </c>
    </row>
    <row r="278" spans="1:10">
      <c r="A278" s="24">
        <v>276</v>
      </c>
      <c r="B278" s="24">
        <f t="shared" si="6"/>
        <v>239</v>
      </c>
      <c r="C278" s="1" t="s">
        <v>775</v>
      </c>
      <c r="F278" s="26">
        <v>1983</v>
      </c>
      <c r="G278" s="26">
        <v>0</v>
      </c>
      <c r="H278" s="26">
        <v>2000</v>
      </c>
      <c r="I278" s="26">
        <v>20440000</v>
      </c>
      <c r="J278" s="26">
        <v>90000000</v>
      </c>
    </row>
    <row r="279" spans="1:10">
      <c r="A279" s="24">
        <v>277</v>
      </c>
      <c r="B279" s="24">
        <f t="shared" si="6"/>
        <v>240</v>
      </c>
      <c r="C279" s="1" t="s">
        <v>999</v>
      </c>
      <c r="D279" s="1" t="s">
        <v>4</v>
      </c>
      <c r="E279" s="1" t="s">
        <v>14</v>
      </c>
      <c r="F279" s="26">
        <v>1500</v>
      </c>
      <c r="G279" s="26">
        <v>0</v>
      </c>
      <c r="H279" s="26">
        <v>1500</v>
      </c>
      <c r="I279" s="26">
        <v>12162150</v>
      </c>
      <c r="J279" s="26">
        <v>88500000</v>
      </c>
    </row>
    <row r="280" spans="1:10">
      <c r="A280" s="24">
        <v>278</v>
      </c>
      <c r="B280" s="24">
        <f t="shared" si="6"/>
        <v>241</v>
      </c>
      <c r="C280" s="1" t="s">
        <v>775</v>
      </c>
      <c r="F280" s="26">
        <v>1500</v>
      </c>
      <c r="G280" s="26">
        <v>0</v>
      </c>
      <c r="H280" s="26">
        <v>1500</v>
      </c>
      <c r="I280" s="26">
        <v>12162150</v>
      </c>
      <c r="J280" s="26">
        <v>88500000</v>
      </c>
    </row>
    <row r="281" spans="1:10">
      <c r="A281" s="24">
        <v>279</v>
      </c>
      <c r="B281" s="24">
        <f t="shared" si="6"/>
        <v>242</v>
      </c>
      <c r="C281" s="1" t="s">
        <v>1000</v>
      </c>
      <c r="D281" s="1" t="s">
        <v>4</v>
      </c>
      <c r="E281" s="1" t="s">
        <v>14</v>
      </c>
      <c r="F281" s="26">
        <v>0</v>
      </c>
      <c r="G281" s="26">
        <v>1200</v>
      </c>
      <c r="H281" s="26">
        <v>1200</v>
      </c>
      <c r="I281" s="26">
        <v>811346.40000000014</v>
      </c>
      <c r="J281" s="26">
        <v>5880000</v>
      </c>
    </row>
    <row r="282" spans="1:10">
      <c r="A282" s="24">
        <v>280</v>
      </c>
      <c r="B282" s="24">
        <f t="shared" si="6"/>
        <v>243</v>
      </c>
      <c r="C282" s="1" t="s">
        <v>1001</v>
      </c>
      <c r="D282" s="1" t="s">
        <v>4</v>
      </c>
      <c r="E282" s="1" t="s">
        <v>14</v>
      </c>
      <c r="F282" s="26">
        <v>0</v>
      </c>
      <c r="G282" s="26">
        <v>1200</v>
      </c>
      <c r="H282" s="26">
        <v>1200</v>
      </c>
      <c r="I282" s="26">
        <v>811346.40000000014</v>
      </c>
      <c r="J282" s="26">
        <v>5880000</v>
      </c>
    </row>
    <row r="283" spans="1:10">
      <c r="A283" s="24">
        <v>281</v>
      </c>
      <c r="B283" s="24">
        <f t="shared" si="6"/>
        <v>244</v>
      </c>
      <c r="C283" s="1" t="s">
        <v>1002</v>
      </c>
      <c r="D283" s="1" t="s">
        <v>4</v>
      </c>
      <c r="E283" s="1" t="s">
        <v>14</v>
      </c>
      <c r="F283" s="26">
        <v>0</v>
      </c>
      <c r="G283" s="26">
        <v>1200</v>
      </c>
      <c r="H283" s="26">
        <v>1200</v>
      </c>
      <c r="I283" s="26">
        <v>811346.40000000014</v>
      </c>
      <c r="J283" s="26">
        <v>5880000</v>
      </c>
    </row>
    <row r="284" spans="1:10">
      <c r="A284" s="24">
        <v>282</v>
      </c>
      <c r="B284" s="24">
        <f t="shared" si="6"/>
        <v>245</v>
      </c>
      <c r="C284" s="1" t="s">
        <v>1003</v>
      </c>
      <c r="D284" s="1" t="s">
        <v>4</v>
      </c>
      <c r="E284" s="1" t="s">
        <v>14</v>
      </c>
      <c r="F284" s="26">
        <v>0</v>
      </c>
      <c r="G284" s="26">
        <v>1200</v>
      </c>
      <c r="H284" s="26">
        <v>1200</v>
      </c>
      <c r="I284" s="26">
        <v>811346.40000000014</v>
      </c>
      <c r="J284" s="26">
        <v>5880000</v>
      </c>
    </row>
    <row r="285" spans="1:10">
      <c r="A285" s="24">
        <v>283</v>
      </c>
      <c r="B285" s="24">
        <f t="shared" si="6"/>
        <v>246</v>
      </c>
      <c r="C285" s="1" t="s">
        <v>775</v>
      </c>
      <c r="F285" s="26">
        <v>0</v>
      </c>
      <c r="G285" s="26">
        <v>4800</v>
      </c>
      <c r="H285" s="26">
        <v>4800</v>
      </c>
      <c r="I285" s="26">
        <v>3245385.6000000006</v>
      </c>
      <c r="J285" s="26">
        <v>23520000</v>
      </c>
    </row>
    <row r="286" spans="1:10">
      <c r="A286" s="24">
        <v>284</v>
      </c>
      <c r="B286" s="24">
        <f t="shared" si="6"/>
        <v>247</v>
      </c>
      <c r="C286" s="1" t="s">
        <v>1004</v>
      </c>
      <c r="D286" s="1" t="s">
        <v>4</v>
      </c>
      <c r="E286" s="1" t="s">
        <v>15</v>
      </c>
      <c r="F286" s="26">
        <v>0</v>
      </c>
      <c r="G286" s="26">
        <v>300</v>
      </c>
      <c r="H286" s="26">
        <v>300</v>
      </c>
      <c r="I286" s="26">
        <v>3599999.9999999995</v>
      </c>
      <c r="J286" s="26">
        <v>9900000</v>
      </c>
    </row>
    <row r="287" spans="1:10">
      <c r="A287" s="24">
        <v>285</v>
      </c>
      <c r="B287" s="24">
        <f t="shared" si="6"/>
        <v>248</v>
      </c>
      <c r="C287" s="1" t="s">
        <v>1005</v>
      </c>
      <c r="D287" s="1" t="s">
        <v>4</v>
      </c>
      <c r="E287" s="1" t="s">
        <v>15</v>
      </c>
      <c r="F287" s="26">
        <v>0</v>
      </c>
      <c r="G287" s="26">
        <v>400</v>
      </c>
      <c r="H287" s="26">
        <v>400</v>
      </c>
      <c r="I287" s="26">
        <v>4799999.9999999991</v>
      </c>
      <c r="J287" s="26">
        <v>13200000</v>
      </c>
    </row>
    <row r="288" spans="1:10">
      <c r="A288" s="24">
        <v>286</v>
      </c>
      <c r="B288" s="24">
        <f t="shared" si="6"/>
        <v>249</v>
      </c>
      <c r="C288" s="1" t="s">
        <v>1006</v>
      </c>
      <c r="D288" s="1" t="s">
        <v>4</v>
      </c>
      <c r="E288" s="1" t="s">
        <v>15</v>
      </c>
      <c r="F288" s="26">
        <v>0</v>
      </c>
      <c r="G288" s="26">
        <v>300</v>
      </c>
      <c r="H288" s="26">
        <v>300</v>
      </c>
      <c r="I288" s="26">
        <v>4254545.4545454541</v>
      </c>
      <c r="J288" s="26">
        <v>11700000</v>
      </c>
    </row>
    <row r="289" spans="1:10">
      <c r="A289" s="24">
        <v>287</v>
      </c>
      <c r="B289" s="24">
        <f t="shared" si="6"/>
        <v>250</v>
      </c>
      <c r="C289" s="1" t="s">
        <v>1007</v>
      </c>
      <c r="D289" s="1" t="s">
        <v>4</v>
      </c>
      <c r="E289" s="1" t="s">
        <v>15</v>
      </c>
      <c r="F289" s="26">
        <v>0</v>
      </c>
      <c r="G289" s="26">
        <v>400</v>
      </c>
      <c r="H289" s="26">
        <v>400</v>
      </c>
      <c r="I289" s="26">
        <v>5672727.2727272725</v>
      </c>
      <c r="J289" s="26">
        <v>15600000</v>
      </c>
    </row>
    <row r="290" spans="1:10">
      <c r="A290" s="24">
        <v>288</v>
      </c>
      <c r="B290" s="24">
        <f t="shared" si="6"/>
        <v>251</v>
      </c>
      <c r="C290" s="1" t="s">
        <v>1008</v>
      </c>
      <c r="D290" s="1" t="s">
        <v>4</v>
      </c>
      <c r="E290" s="1" t="s">
        <v>15</v>
      </c>
      <c r="F290" s="26">
        <v>0</v>
      </c>
      <c r="G290" s="26">
        <v>400</v>
      </c>
      <c r="H290" s="26">
        <v>400</v>
      </c>
      <c r="I290" s="26">
        <v>5672727.2727272725</v>
      </c>
      <c r="J290" s="26">
        <v>15600000</v>
      </c>
    </row>
    <row r="291" spans="1:10">
      <c r="A291" s="24">
        <v>289</v>
      </c>
      <c r="B291" s="24">
        <f t="shared" si="6"/>
        <v>252</v>
      </c>
      <c r="C291" s="1" t="s">
        <v>1009</v>
      </c>
      <c r="D291" s="1" t="s">
        <v>4</v>
      </c>
      <c r="E291" s="1" t="s">
        <v>15</v>
      </c>
      <c r="F291" s="26">
        <v>0</v>
      </c>
      <c r="G291" s="26">
        <v>400</v>
      </c>
      <c r="H291" s="26">
        <v>400</v>
      </c>
      <c r="I291" s="26">
        <v>4799999.9999999991</v>
      </c>
      <c r="J291" s="26">
        <v>13200000</v>
      </c>
    </row>
    <row r="292" spans="1:10">
      <c r="A292" s="24">
        <v>290</v>
      </c>
      <c r="B292" s="24">
        <f t="shared" si="6"/>
        <v>253</v>
      </c>
      <c r="C292" s="1" t="s">
        <v>1010</v>
      </c>
      <c r="D292" s="1" t="s">
        <v>4</v>
      </c>
      <c r="E292" s="1" t="s">
        <v>15</v>
      </c>
      <c r="F292" s="26">
        <v>0</v>
      </c>
      <c r="G292" s="26">
        <v>400</v>
      </c>
      <c r="H292" s="26">
        <v>400</v>
      </c>
      <c r="I292" s="26">
        <v>5672727.2727272725</v>
      </c>
      <c r="J292" s="26">
        <v>15600000</v>
      </c>
    </row>
    <row r="293" spans="1:10">
      <c r="A293" s="24">
        <v>291</v>
      </c>
      <c r="B293" s="24">
        <f t="shared" si="6"/>
        <v>254</v>
      </c>
      <c r="C293" s="1" t="s">
        <v>1011</v>
      </c>
      <c r="D293" s="1" t="s">
        <v>4</v>
      </c>
      <c r="E293" s="1" t="s">
        <v>15</v>
      </c>
      <c r="F293" s="26">
        <v>0</v>
      </c>
      <c r="G293" s="26">
        <v>300</v>
      </c>
      <c r="H293" s="26">
        <v>300</v>
      </c>
      <c r="I293" s="26">
        <v>4254545.4545454541</v>
      </c>
      <c r="J293" s="26">
        <v>11700000</v>
      </c>
    </row>
    <row r="294" spans="1:10">
      <c r="A294" s="24">
        <v>292</v>
      </c>
      <c r="B294" s="24">
        <f t="shared" si="6"/>
        <v>255</v>
      </c>
      <c r="C294" s="1" t="s">
        <v>775</v>
      </c>
      <c r="F294" s="26">
        <v>0</v>
      </c>
      <c r="G294" s="26">
        <v>2900</v>
      </c>
      <c r="H294" s="26">
        <v>2900</v>
      </c>
      <c r="I294" s="26">
        <v>38727272.727272727</v>
      </c>
      <c r="J294" s="26">
        <v>106500000</v>
      </c>
    </row>
    <row r="295" spans="1:10">
      <c r="A295" s="24">
        <v>293</v>
      </c>
      <c r="B295" s="24">
        <f t="shared" si="6"/>
        <v>256</v>
      </c>
      <c r="C295" s="1" t="s">
        <v>1012</v>
      </c>
      <c r="D295" s="1" t="s">
        <v>4</v>
      </c>
      <c r="E295" s="1" t="s">
        <v>14</v>
      </c>
      <c r="F295" s="26">
        <v>0</v>
      </c>
      <c r="G295" s="26">
        <v>800</v>
      </c>
      <c r="H295" s="26">
        <v>800</v>
      </c>
      <c r="I295" s="26">
        <v>7812384.0000000009</v>
      </c>
      <c r="J295" s="26">
        <v>47200000</v>
      </c>
    </row>
    <row r="296" spans="1:10">
      <c r="A296" s="24">
        <v>294</v>
      </c>
      <c r="B296" s="24">
        <f t="shared" si="6"/>
        <v>257</v>
      </c>
      <c r="C296" s="1" t="s">
        <v>1013</v>
      </c>
      <c r="D296" s="1" t="s">
        <v>4</v>
      </c>
      <c r="E296" s="1" t="s">
        <v>14</v>
      </c>
      <c r="F296" s="26">
        <v>0</v>
      </c>
      <c r="G296" s="26">
        <v>600</v>
      </c>
      <c r="H296" s="26">
        <v>600</v>
      </c>
      <c r="I296" s="26">
        <v>5858688.0000000009</v>
      </c>
      <c r="J296" s="26">
        <v>33000000</v>
      </c>
    </row>
    <row r="297" spans="1:10">
      <c r="A297" s="24">
        <v>295</v>
      </c>
      <c r="B297" s="24">
        <f t="shared" si="6"/>
        <v>258</v>
      </c>
      <c r="C297" s="1" t="s">
        <v>1014</v>
      </c>
      <c r="D297" s="1" t="s">
        <v>4</v>
      </c>
      <c r="E297" s="1" t="s">
        <v>14</v>
      </c>
      <c r="F297" s="26">
        <v>0</v>
      </c>
      <c r="G297" s="26">
        <v>500</v>
      </c>
      <c r="H297" s="26">
        <v>500</v>
      </c>
      <c r="I297" s="26">
        <v>3120260</v>
      </c>
      <c r="J297" s="26">
        <v>24500000</v>
      </c>
    </row>
    <row r="298" spans="1:10">
      <c r="A298" s="24">
        <v>296</v>
      </c>
      <c r="B298" s="24">
        <f t="shared" si="6"/>
        <v>259</v>
      </c>
      <c r="C298" s="1" t="s">
        <v>1015</v>
      </c>
      <c r="D298" s="1" t="s">
        <v>4</v>
      </c>
      <c r="E298" s="1" t="s">
        <v>14</v>
      </c>
      <c r="F298" s="26">
        <v>0</v>
      </c>
      <c r="G298" s="26">
        <v>500</v>
      </c>
      <c r="H298" s="26">
        <v>500</v>
      </c>
      <c r="I298" s="26">
        <v>3057890.0000000005</v>
      </c>
      <c r="J298" s="26">
        <v>22500000</v>
      </c>
    </row>
    <row r="299" spans="1:10">
      <c r="A299" s="24">
        <v>297</v>
      </c>
      <c r="B299" s="24">
        <f t="shared" si="6"/>
        <v>260</v>
      </c>
      <c r="C299" s="1" t="s">
        <v>1016</v>
      </c>
      <c r="D299" s="1" t="s">
        <v>4</v>
      </c>
      <c r="E299" s="1" t="s">
        <v>14</v>
      </c>
      <c r="F299" s="26">
        <v>0</v>
      </c>
      <c r="G299" s="26">
        <v>500</v>
      </c>
      <c r="H299" s="26">
        <v>500</v>
      </c>
      <c r="I299" s="26">
        <v>3120260</v>
      </c>
      <c r="J299" s="26">
        <v>24500000</v>
      </c>
    </row>
    <row r="300" spans="1:10">
      <c r="A300" s="24">
        <v>298</v>
      </c>
      <c r="B300" s="24">
        <f t="shared" si="6"/>
        <v>261</v>
      </c>
      <c r="C300" s="1" t="s">
        <v>1017</v>
      </c>
      <c r="D300" s="1" t="s">
        <v>4</v>
      </c>
      <c r="E300" s="1" t="s">
        <v>14</v>
      </c>
      <c r="F300" s="26">
        <v>0</v>
      </c>
      <c r="G300" s="26">
        <v>500</v>
      </c>
      <c r="H300" s="26">
        <v>500</v>
      </c>
      <c r="I300" s="26">
        <v>3057890.0000000005</v>
      </c>
      <c r="J300" s="26">
        <v>22500000</v>
      </c>
    </row>
    <row r="301" spans="1:10">
      <c r="A301" s="24">
        <v>299</v>
      </c>
      <c r="B301" s="24">
        <f t="shared" si="6"/>
        <v>262</v>
      </c>
      <c r="C301" s="1" t="s">
        <v>1018</v>
      </c>
      <c r="D301" s="1" t="s">
        <v>4</v>
      </c>
      <c r="E301" s="1" t="s">
        <v>14</v>
      </c>
      <c r="F301" s="26">
        <v>0</v>
      </c>
      <c r="G301" s="26">
        <v>500</v>
      </c>
      <c r="H301" s="26">
        <v>500</v>
      </c>
      <c r="I301" s="26">
        <v>3222055.0000000009</v>
      </c>
      <c r="J301" s="26">
        <v>19500000</v>
      </c>
    </row>
    <row r="302" spans="1:10">
      <c r="A302" s="24">
        <v>300</v>
      </c>
      <c r="B302" s="24">
        <f t="shared" si="6"/>
        <v>263</v>
      </c>
      <c r="C302" s="1" t="s">
        <v>1019</v>
      </c>
      <c r="D302" s="1" t="s">
        <v>4</v>
      </c>
      <c r="E302" s="1" t="s">
        <v>14</v>
      </c>
      <c r="F302" s="26">
        <v>0</v>
      </c>
      <c r="G302" s="26">
        <v>500</v>
      </c>
      <c r="H302" s="26">
        <v>500</v>
      </c>
      <c r="I302" s="26">
        <v>3222055.0000000009</v>
      </c>
      <c r="J302" s="26">
        <v>19500000</v>
      </c>
    </row>
    <row r="303" spans="1:10">
      <c r="A303" s="24">
        <v>301</v>
      </c>
      <c r="B303" s="24">
        <f t="shared" si="6"/>
        <v>264</v>
      </c>
      <c r="C303" s="1" t="s">
        <v>1020</v>
      </c>
      <c r="D303" s="1" t="s">
        <v>4</v>
      </c>
      <c r="E303" s="1" t="s">
        <v>14</v>
      </c>
      <c r="F303" s="26">
        <v>0</v>
      </c>
      <c r="G303" s="26">
        <v>500</v>
      </c>
      <c r="H303" s="26">
        <v>500</v>
      </c>
      <c r="I303" s="26">
        <v>3222055.0000000009</v>
      </c>
      <c r="J303" s="26">
        <v>19500000</v>
      </c>
    </row>
    <row r="304" spans="1:10">
      <c r="A304" s="24">
        <v>302</v>
      </c>
      <c r="B304" s="24">
        <f t="shared" si="6"/>
        <v>265</v>
      </c>
      <c r="C304" s="1" t="s">
        <v>775</v>
      </c>
      <c r="F304" s="26">
        <v>0</v>
      </c>
      <c r="G304" s="26">
        <v>4900</v>
      </c>
      <c r="H304" s="26">
        <v>4900</v>
      </c>
      <c r="I304" s="26">
        <v>35693537</v>
      </c>
      <c r="J304" s="26">
        <v>232700000</v>
      </c>
    </row>
    <row r="305" spans="1:10">
      <c r="A305" s="24">
        <v>303</v>
      </c>
      <c r="B305" s="24">
        <f t="shared" si="6"/>
        <v>266</v>
      </c>
      <c r="C305" s="1" t="s">
        <v>1021</v>
      </c>
      <c r="D305" s="1" t="s">
        <v>4</v>
      </c>
      <c r="E305" s="1" t="s">
        <v>14</v>
      </c>
      <c r="F305" s="26">
        <v>0</v>
      </c>
      <c r="G305" s="26">
        <v>500</v>
      </c>
      <c r="H305" s="26">
        <v>500</v>
      </c>
      <c r="I305" s="26">
        <v>5541790</v>
      </c>
      <c r="J305" s="26">
        <v>29500000</v>
      </c>
    </row>
    <row r="306" spans="1:10">
      <c r="A306" s="24">
        <v>304</v>
      </c>
      <c r="B306" s="24">
        <f t="shared" si="6"/>
        <v>267</v>
      </c>
      <c r="C306" s="1" t="s">
        <v>1022</v>
      </c>
      <c r="D306" s="1" t="s">
        <v>4</v>
      </c>
      <c r="E306" s="1" t="s">
        <v>14</v>
      </c>
      <c r="F306" s="26">
        <v>0</v>
      </c>
      <c r="G306" s="26">
        <v>500</v>
      </c>
      <c r="H306" s="26">
        <v>500</v>
      </c>
      <c r="I306" s="26">
        <v>5036790</v>
      </c>
      <c r="J306" s="26">
        <v>29500000</v>
      </c>
    </row>
    <row r="307" spans="1:10">
      <c r="A307" s="24">
        <v>305</v>
      </c>
      <c r="B307" s="24">
        <f t="shared" si="6"/>
        <v>268</v>
      </c>
      <c r="C307" s="1" t="s">
        <v>775</v>
      </c>
      <c r="F307" s="26">
        <v>0</v>
      </c>
      <c r="G307" s="26">
        <v>1000</v>
      </c>
      <c r="H307" s="26">
        <v>1000</v>
      </c>
      <c r="I307" s="26">
        <v>10578580</v>
      </c>
      <c r="J307" s="26">
        <v>59000000</v>
      </c>
    </row>
    <row r="308" spans="1:10">
      <c r="A308" s="24">
        <v>306</v>
      </c>
      <c r="B308" s="24">
        <f t="shared" si="6"/>
        <v>269</v>
      </c>
      <c r="C308" s="1" t="s">
        <v>1023</v>
      </c>
      <c r="D308" s="1" t="s">
        <v>4</v>
      </c>
      <c r="E308" s="1" t="s">
        <v>14</v>
      </c>
      <c r="F308" s="26">
        <v>1014</v>
      </c>
      <c r="G308" s="26">
        <v>0</v>
      </c>
      <c r="H308" s="26">
        <v>1000</v>
      </c>
      <c r="I308" s="26">
        <v>10020000</v>
      </c>
      <c r="J308" s="26">
        <v>49000000</v>
      </c>
    </row>
    <row r="309" spans="1:10">
      <c r="A309" s="24">
        <v>307</v>
      </c>
      <c r="B309" s="24">
        <f t="shared" si="6"/>
        <v>270</v>
      </c>
      <c r="C309" s="1" t="s">
        <v>1024</v>
      </c>
      <c r="D309" s="1" t="s">
        <v>4</v>
      </c>
      <c r="E309" s="1" t="s">
        <v>14</v>
      </c>
      <c r="F309" s="26">
        <v>704</v>
      </c>
      <c r="G309" s="26">
        <v>0</v>
      </c>
      <c r="H309" s="26">
        <v>1000</v>
      </c>
      <c r="I309" s="26">
        <v>10020000</v>
      </c>
      <c r="J309" s="26">
        <v>49000000</v>
      </c>
    </row>
    <row r="310" spans="1:10">
      <c r="A310" s="24">
        <v>308</v>
      </c>
      <c r="B310" s="24">
        <f t="shared" si="6"/>
        <v>271</v>
      </c>
      <c r="C310" s="1" t="s">
        <v>1025</v>
      </c>
      <c r="D310" s="1" t="s">
        <v>4</v>
      </c>
      <c r="E310" s="1" t="s">
        <v>14</v>
      </c>
      <c r="F310" s="26">
        <v>1000</v>
      </c>
      <c r="G310" s="26">
        <v>0</v>
      </c>
      <c r="H310" s="26">
        <v>1000</v>
      </c>
      <c r="I310" s="26">
        <v>10020000</v>
      </c>
      <c r="J310" s="26">
        <v>49000000</v>
      </c>
    </row>
    <row r="311" spans="1:10">
      <c r="A311" s="24">
        <v>309</v>
      </c>
      <c r="B311" s="24">
        <f t="shared" si="6"/>
        <v>272</v>
      </c>
      <c r="C311" s="1" t="s">
        <v>1026</v>
      </c>
      <c r="D311" s="1" t="s">
        <v>4</v>
      </c>
      <c r="E311" s="1" t="s">
        <v>14</v>
      </c>
      <c r="F311" s="26">
        <v>1000</v>
      </c>
      <c r="G311" s="26">
        <v>0</v>
      </c>
      <c r="H311" s="26">
        <v>1000</v>
      </c>
      <c r="I311" s="26">
        <v>10020000</v>
      </c>
      <c r="J311" s="26">
        <v>49000000</v>
      </c>
    </row>
    <row r="312" spans="1:10">
      <c r="A312" s="24">
        <v>310</v>
      </c>
      <c r="B312" s="24">
        <f t="shared" si="6"/>
        <v>273</v>
      </c>
      <c r="C312" s="1" t="s">
        <v>775</v>
      </c>
      <c r="F312" s="26">
        <v>3718</v>
      </c>
      <c r="G312" s="26">
        <v>0</v>
      </c>
      <c r="H312" s="26">
        <v>4000</v>
      </c>
      <c r="I312" s="26">
        <v>40080000</v>
      </c>
      <c r="J312" s="26">
        <v>196000000</v>
      </c>
    </row>
    <row r="313" spans="1:10">
      <c r="A313" s="24">
        <v>311</v>
      </c>
      <c r="B313" s="24">
        <f t="shared" si="6"/>
        <v>274</v>
      </c>
      <c r="C313" s="1" t="s">
        <v>1027</v>
      </c>
      <c r="D313" s="1" t="s">
        <v>4</v>
      </c>
      <c r="E313" s="1" t="s">
        <v>14</v>
      </c>
      <c r="F313" s="26">
        <v>0</v>
      </c>
      <c r="G313" s="26">
        <v>700</v>
      </c>
      <c r="H313" s="26">
        <v>700</v>
      </c>
      <c r="I313" s="26">
        <v>4562040.0000000009</v>
      </c>
      <c r="J313" s="26">
        <v>34300000</v>
      </c>
    </row>
    <row r="314" spans="1:10">
      <c r="A314" s="24">
        <v>312</v>
      </c>
      <c r="B314" s="24">
        <f t="shared" si="6"/>
        <v>275</v>
      </c>
      <c r="C314" s="1" t="s">
        <v>1028</v>
      </c>
      <c r="D314" s="1" t="s">
        <v>4</v>
      </c>
      <c r="E314" s="1" t="s">
        <v>14</v>
      </c>
      <c r="F314" s="26">
        <v>0</v>
      </c>
      <c r="G314" s="26">
        <v>700</v>
      </c>
      <c r="H314" s="26">
        <v>700</v>
      </c>
      <c r="I314" s="26">
        <v>4389140.0000000009</v>
      </c>
      <c r="J314" s="26">
        <v>34300000</v>
      </c>
    </row>
    <row r="315" spans="1:10">
      <c r="A315" s="24">
        <v>313</v>
      </c>
      <c r="B315" s="24">
        <f t="shared" si="6"/>
        <v>276</v>
      </c>
      <c r="C315" s="1" t="s">
        <v>1029</v>
      </c>
      <c r="D315" s="1" t="s">
        <v>4</v>
      </c>
      <c r="E315" s="1" t="s">
        <v>14</v>
      </c>
      <c r="F315" s="26">
        <v>0</v>
      </c>
      <c r="G315" s="26">
        <v>700</v>
      </c>
      <c r="H315" s="26">
        <v>700</v>
      </c>
      <c r="I315" s="26">
        <v>4774840.0000000009</v>
      </c>
      <c r="J315" s="26">
        <v>34300000</v>
      </c>
    </row>
    <row r="316" spans="1:10">
      <c r="A316" s="24">
        <v>314</v>
      </c>
      <c r="B316" s="24">
        <f t="shared" si="6"/>
        <v>277</v>
      </c>
      <c r="C316" s="1" t="s">
        <v>775</v>
      </c>
      <c r="F316" s="26">
        <v>0</v>
      </c>
      <c r="G316" s="26">
        <v>2100</v>
      </c>
      <c r="H316" s="26">
        <v>2100</v>
      </c>
      <c r="I316" s="26">
        <v>13726020.000000004</v>
      </c>
      <c r="J316" s="26">
        <v>102900000</v>
      </c>
    </row>
    <row r="317" spans="1:10">
      <c r="A317" s="24">
        <v>315</v>
      </c>
      <c r="B317" s="24">
        <f t="shared" si="6"/>
        <v>278</v>
      </c>
      <c r="C317" s="1" t="s">
        <v>1030</v>
      </c>
      <c r="D317" s="1" t="s">
        <v>4</v>
      </c>
      <c r="E317" s="1" t="s">
        <v>14</v>
      </c>
      <c r="F317" s="26">
        <v>0</v>
      </c>
      <c r="G317" s="26">
        <v>700</v>
      </c>
      <c r="H317" s="26">
        <v>700</v>
      </c>
      <c r="I317" s="26">
        <v>9114000</v>
      </c>
      <c r="J317" s="26">
        <v>45500000</v>
      </c>
    </row>
    <row r="318" spans="1:10">
      <c r="A318" s="24">
        <v>316</v>
      </c>
      <c r="B318" s="24">
        <f t="shared" si="6"/>
        <v>279</v>
      </c>
      <c r="C318" s="1" t="s">
        <v>1031</v>
      </c>
      <c r="D318" s="1" t="s">
        <v>4</v>
      </c>
      <c r="E318" s="1" t="s">
        <v>14</v>
      </c>
      <c r="F318" s="26">
        <v>0</v>
      </c>
      <c r="G318" s="26">
        <v>700</v>
      </c>
      <c r="H318" s="26">
        <v>700</v>
      </c>
      <c r="I318" s="26">
        <v>9114000</v>
      </c>
      <c r="J318" s="26">
        <v>45500000</v>
      </c>
    </row>
    <row r="319" spans="1:10">
      <c r="A319" s="24">
        <v>317</v>
      </c>
      <c r="B319" s="24">
        <f t="shared" si="6"/>
        <v>280</v>
      </c>
      <c r="C319" s="1" t="s">
        <v>1032</v>
      </c>
      <c r="D319" s="1" t="s">
        <v>4</v>
      </c>
      <c r="E319" s="1" t="s">
        <v>14</v>
      </c>
      <c r="F319" s="26">
        <v>0</v>
      </c>
      <c r="G319" s="26">
        <v>700</v>
      </c>
      <c r="H319" s="26">
        <v>700</v>
      </c>
      <c r="I319" s="26">
        <v>9114000</v>
      </c>
      <c r="J319" s="26">
        <v>45500000</v>
      </c>
    </row>
    <row r="320" spans="1:10">
      <c r="A320" s="24">
        <v>318</v>
      </c>
      <c r="B320" s="24">
        <f t="shared" si="6"/>
        <v>281</v>
      </c>
      <c r="C320" s="1" t="s">
        <v>775</v>
      </c>
      <c r="F320" s="26">
        <v>0</v>
      </c>
      <c r="G320" s="26">
        <v>2100</v>
      </c>
      <c r="H320" s="26">
        <v>2100</v>
      </c>
      <c r="I320" s="26">
        <v>27342000</v>
      </c>
      <c r="J320" s="26">
        <v>136500000</v>
      </c>
    </row>
    <row r="321" spans="1:10">
      <c r="A321" s="24">
        <v>319</v>
      </c>
      <c r="B321" s="24">
        <f t="shared" si="6"/>
        <v>282</v>
      </c>
      <c r="C321" s="1" t="s">
        <v>1033</v>
      </c>
      <c r="D321" s="1" t="s">
        <v>4</v>
      </c>
      <c r="E321" s="1" t="s">
        <v>14</v>
      </c>
      <c r="F321" s="26">
        <v>0</v>
      </c>
      <c r="G321" s="26">
        <v>400</v>
      </c>
      <c r="H321" s="26">
        <v>400</v>
      </c>
      <c r="I321" s="26">
        <v>4605196</v>
      </c>
      <c r="J321" s="26">
        <v>23600000</v>
      </c>
    </row>
    <row r="322" spans="1:10">
      <c r="A322" s="24">
        <v>320</v>
      </c>
      <c r="B322" s="24">
        <f t="shared" si="6"/>
        <v>283</v>
      </c>
      <c r="C322" s="1" t="s">
        <v>1034</v>
      </c>
      <c r="D322" s="1" t="s">
        <v>4</v>
      </c>
      <c r="E322" s="1" t="s">
        <v>14</v>
      </c>
      <c r="F322" s="26">
        <v>0</v>
      </c>
      <c r="G322" s="26">
        <v>400</v>
      </c>
      <c r="H322" s="26">
        <v>400</v>
      </c>
      <c r="I322" s="26">
        <v>4584796</v>
      </c>
      <c r="J322" s="26">
        <v>23600000</v>
      </c>
    </row>
    <row r="323" spans="1:10">
      <c r="A323" s="24">
        <v>321</v>
      </c>
      <c r="B323" s="24">
        <f t="shared" si="6"/>
        <v>284</v>
      </c>
      <c r="C323" s="1" t="s">
        <v>775</v>
      </c>
      <c r="F323" s="26">
        <v>0</v>
      </c>
      <c r="G323" s="26">
        <v>800</v>
      </c>
      <c r="H323" s="26">
        <v>800</v>
      </c>
      <c r="I323" s="26">
        <v>9189992</v>
      </c>
      <c r="J323" s="26">
        <v>47200000</v>
      </c>
    </row>
    <row r="324" spans="1:10">
      <c r="A324" s="24">
        <v>322</v>
      </c>
      <c r="B324" s="24">
        <f t="shared" ref="B324:B387" si="7">IF(C323=C324,B323,B323+1)</f>
        <v>285</v>
      </c>
      <c r="C324" s="1" t="s">
        <v>1035</v>
      </c>
      <c r="D324" s="1" t="s">
        <v>4</v>
      </c>
      <c r="E324" s="1" t="s">
        <v>14</v>
      </c>
      <c r="F324" s="26">
        <v>700</v>
      </c>
      <c r="G324" s="26">
        <v>0</v>
      </c>
      <c r="H324" s="26">
        <v>800</v>
      </c>
      <c r="I324" s="26">
        <v>5654248.0000000009</v>
      </c>
      <c r="J324" s="26">
        <v>44000000</v>
      </c>
    </row>
    <row r="325" spans="1:10">
      <c r="A325" s="24">
        <v>323</v>
      </c>
      <c r="B325" s="24">
        <f t="shared" si="7"/>
        <v>286</v>
      </c>
      <c r="C325" s="1" t="s">
        <v>1036</v>
      </c>
      <c r="D325" s="1" t="s">
        <v>4</v>
      </c>
      <c r="E325" s="1" t="s">
        <v>14</v>
      </c>
      <c r="F325" s="26">
        <v>0</v>
      </c>
      <c r="G325" s="26">
        <v>2000</v>
      </c>
      <c r="H325" s="26">
        <v>2000</v>
      </c>
      <c r="I325" s="26">
        <v>13886140.000000002</v>
      </c>
      <c r="J325" s="26">
        <v>98000000</v>
      </c>
    </row>
    <row r="326" spans="1:10">
      <c r="A326" s="24">
        <v>324</v>
      </c>
      <c r="B326" s="24">
        <f t="shared" si="7"/>
        <v>287</v>
      </c>
      <c r="C326" s="1" t="s">
        <v>1037</v>
      </c>
      <c r="D326" s="1" t="s">
        <v>4</v>
      </c>
      <c r="E326" s="1" t="s">
        <v>14</v>
      </c>
      <c r="F326" s="26">
        <v>900</v>
      </c>
      <c r="G326" s="26">
        <v>0</v>
      </c>
      <c r="H326" s="26">
        <v>1000</v>
      </c>
      <c r="I326" s="26">
        <v>6693590</v>
      </c>
      <c r="J326" s="26">
        <v>49000000</v>
      </c>
    </row>
    <row r="327" spans="1:10">
      <c r="A327" s="24">
        <v>325</v>
      </c>
      <c r="B327" s="24">
        <f t="shared" si="7"/>
        <v>288</v>
      </c>
      <c r="C327" s="1" t="s">
        <v>1038</v>
      </c>
      <c r="D327" s="1" t="s">
        <v>4</v>
      </c>
      <c r="E327" s="1" t="s">
        <v>14</v>
      </c>
      <c r="F327" s="26">
        <v>0</v>
      </c>
      <c r="G327" s="26">
        <v>2500</v>
      </c>
      <c r="H327" s="26">
        <v>2500</v>
      </c>
      <c r="I327" s="26">
        <v>17045825.000000004</v>
      </c>
      <c r="J327" s="26">
        <v>122500000</v>
      </c>
    </row>
    <row r="328" spans="1:10">
      <c r="A328" s="24">
        <v>326</v>
      </c>
      <c r="B328" s="24">
        <f t="shared" si="7"/>
        <v>289</v>
      </c>
      <c r="C328" s="1" t="s">
        <v>775</v>
      </c>
      <c r="F328" s="26">
        <v>1600</v>
      </c>
      <c r="G328" s="26">
        <v>4500</v>
      </c>
      <c r="H328" s="26">
        <v>6300</v>
      </c>
      <c r="I328" s="26">
        <v>43279803.000000007</v>
      </c>
      <c r="J328" s="26">
        <v>313500000</v>
      </c>
    </row>
    <row r="329" spans="1:10">
      <c r="A329" s="24">
        <v>327</v>
      </c>
      <c r="B329" s="24">
        <f t="shared" si="7"/>
        <v>290</v>
      </c>
      <c r="C329" s="1" t="s">
        <v>1039</v>
      </c>
      <c r="D329" s="1" t="s">
        <v>4</v>
      </c>
      <c r="E329" s="1" t="s">
        <v>14</v>
      </c>
      <c r="F329" s="26">
        <v>0</v>
      </c>
      <c r="G329" s="26">
        <v>5000</v>
      </c>
      <c r="H329" s="26">
        <v>5000</v>
      </c>
      <c r="I329" s="26">
        <v>29552499.999999996</v>
      </c>
      <c r="J329" s="26">
        <v>245000000</v>
      </c>
    </row>
    <row r="330" spans="1:10">
      <c r="A330" s="24">
        <v>328</v>
      </c>
      <c r="B330" s="24">
        <f t="shared" si="7"/>
        <v>291</v>
      </c>
      <c r="C330" s="1" t="s">
        <v>775</v>
      </c>
      <c r="F330" s="26">
        <v>0</v>
      </c>
      <c r="G330" s="26">
        <v>5000</v>
      </c>
      <c r="H330" s="26">
        <v>5000</v>
      </c>
      <c r="I330" s="26">
        <v>29552499.999999996</v>
      </c>
      <c r="J330" s="26">
        <v>245000000</v>
      </c>
    </row>
    <row r="331" spans="1:10">
      <c r="A331" s="24">
        <v>329</v>
      </c>
      <c r="B331" s="24">
        <f t="shared" si="7"/>
        <v>292</v>
      </c>
      <c r="C331" s="1" t="s">
        <v>1040</v>
      </c>
      <c r="D331" s="1" t="s">
        <v>4</v>
      </c>
      <c r="E331" s="1" t="s">
        <v>14</v>
      </c>
      <c r="F331" s="26">
        <v>2000</v>
      </c>
      <c r="G331" s="26">
        <v>0</v>
      </c>
      <c r="H331" s="26">
        <v>2000</v>
      </c>
      <c r="I331" s="26">
        <v>12474000</v>
      </c>
      <c r="J331" s="26">
        <v>90000000</v>
      </c>
    </row>
    <row r="332" spans="1:10">
      <c r="A332" s="24">
        <v>330</v>
      </c>
      <c r="B332" s="24">
        <f t="shared" si="7"/>
        <v>293</v>
      </c>
      <c r="C332" s="1" t="s">
        <v>775</v>
      </c>
      <c r="F332" s="26">
        <v>2000</v>
      </c>
      <c r="G332" s="26">
        <v>0</v>
      </c>
      <c r="H332" s="26">
        <v>2000</v>
      </c>
      <c r="I332" s="26">
        <v>12474000</v>
      </c>
      <c r="J332" s="26">
        <v>90000000</v>
      </c>
    </row>
    <row r="333" spans="1:10">
      <c r="A333" s="24">
        <v>331</v>
      </c>
      <c r="B333" s="24">
        <f t="shared" si="7"/>
        <v>294</v>
      </c>
      <c r="C333" s="1" t="s">
        <v>1041</v>
      </c>
      <c r="D333" s="1" t="s">
        <v>4</v>
      </c>
      <c r="E333" s="1" t="s">
        <v>14</v>
      </c>
      <c r="F333" s="26">
        <v>0</v>
      </c>
      <c r="G333" s="26">
        <v>800</v>
      </c>
      <c r="H333" s="26">
        <v>800</v>
      </c>
      <c r="I333" s="26">
        <v>6302896.0000000009</v>
      </c>
      <c r="J333" s="26">
        <v>44000000</v>
      </c>
    </row>
    <row r="334" spans="1:10">
      <c r="A334" s="24">
        <v>332</v>
      </c>
      <c r="B334" s="24">
        <f t="shared" si="7"/>
        <v>295</v>
      </c>
      <c r="C334" s="1" t="s">
        <v>1042</v>
      </c>
      <c r="D334" s="1" t="s">
        <v>4</v>
      </c>
      <c r="E334" s="1" t="s">
        <v>14</v>
      </c>
      <c r="F334" s="26">
        <v>0</v>
      </c>
      <c r="G334" s="26">
        <v>800</v>
      </c>
      <c r="H334" s="26">
        <v>800</v>
      </c>
      <c r="I334" s="26">
        <v>6302896.0000000009</v>
      </c>
      <c r="J334" s="26">
        <v>44000000</v>
      </c>
    </row>
    <row r="335" spans="1:10">
      <c r="A335" s="24">
        <v>333</v>
      </c>
      <c r="B335" s="24">
        <f t="shared" si="7"/>
        <v>296</v>
      </c>
      <c r="C335" s="1" t="s">
        <v>1043</v>
      </c>
      <c r="D335" s="1" t="s">
        <v>4</v>
      </c>
      <c r="E335" s="1" t="s">
        <v>14</v>
      </c>
      <c r="F335" s="26">
        <v>0</v>
      </c>
      <c r="G335" s="26">
        <v>600</v>
      </c>
      <c r="H335" s="26">
        <v>600</v>
      </c>
      <c r="I335" s="26">
        <v>4652328.0000000009</v>
      </c>
      <c r="J335" s="26">
        <v>33000000</v>
      </c>
    </row>
    <row r="336" spans="1:10">
      <c r="A336" s="24">
        <v>334</v>
      </c>
      <c r="B336" s="24">
        <f t="shared" si="7"/>
        <v>297</v>
      </c>
      <c r="C336" s="1" t="s">
        <v>1044</v>
      </c>
      <c r="D336" s="1" t="s">
        <v>4</v>
      </c>
      <c r="E336" s="1" t="s">
        <v>14</v>
      </c>
      <c r="F336" s="26">
        <v>0</v>
      </c>
      <c r="G336" s="26">
        <v>600</v>
      </c>
      <c r="H336" s="26">
        <v>600</v>
      </c>
      <c r="I336" s="26">
        <v>4652328.0000000009</v>
      </c>
      <c r="J336" s="26">
        <v>33000000</v>
      </c>
    </row>
    <row r="337" spans="1:10">
      <c r="A337" s="24">
        <v>335</v>
      </c>
      <c r="B337" s="24">
        <f t="shared" si="7"/>
        <v>298</v>
      </c>
      <c r="C337" s="1" t="s">
        <v>1045</v>
      </c>
      <c r="D337" s="1" t="s">
        <v>4</v>
      </c>
      <c r="E337" s="1" t="s">
        <v>14</v>
      </c>
      <c r="F337" s="26">
        <v>0</v>
      </c>
      <c r="G337" s="26">
        <v>1000</v>
      </c>
      <c r="H337" s="26">
        <v>1000</v>
      </c>
      <c r="I337" s="26">
        <v>8751800.0000000019</v>
      </c>
      <c r="J337" s="26">
        <v>59000000</v>
      </c>
    </row>
    <row r="338" spans="1:10">
      <c r="A338" s="24">
        <v>336</v>
      </c>
      <c r="B338" s="24">
        <f t="shared" si="7"/>
        <v>299</v>
      </c>
      <c r="C338" s="1" t="s">
        <v>1046</v>
      </c>
      <c r="D338" s="1" t="s">
        <v>4</v>
      </c>
      <c r="E338" s="1" t="s">
        <v>14</v>
      </c>
      <c r="F338" s="26">
        <v>0</v>
      </c>
      <c r="G338" s="26">
        <v>600</v>
      </c>
      <c r="H338" s="26">
        <v>600</v>
      </c>
      <c r="I338" s="26">
        <v>4577484</v>
      </c>
      <c r="J338" s="26">
        <v>29400000</v>
      </c>
    </row>
    <row r="339" spans="1:10">
      <c r="A339" s="24">
        <v>337</v>
      </c>
      <c r="B339" s="24">
        <f t="shared" si="7"/>
        <v>300</v>
      </c>
      <c r="C339" s="1" t="s">
        <v>1047</v>
      </c>
      <c r="D339" s="1" t="s">
        <v>4</v>
      </c>
      <c r="E339" s="1" t="s">
        <v>14</v>
      </c>
      <c r="F339" s="26">
        <v>0</v>
      </c>
      <c r="G339" s="26">
        <v>600</v>
      </c>
      <c r="H339" s="26">
        <v>600</v>
      </c>
      <c r="I339" s="26">
        <v>4502640.0000000009</v>
      </c>
      <c r="J339" s="26">
        <v>25800000</v>
      </c>
    </row>
    <row r="340" spans="1:10">
      <c r="A340" s="24">
        <v>338</v>
      </c>
      <c r="B340" s="24">
        <f t="shared" si="7"/>
        <v>301</v>
      </c>
      <c r="C340" s="1" t="s">
        <v>1048</v>
      </c>
      <c r="D340" s="1" t="s">
        <v>4</v>
      </c>
      <c r="E340" s="1" t="s">
        <v>14</v>
      </c>
      <c r="F340" s="26">
        <v>0</v>
      </c>
      <c r="G340" s="26">
        <v>600</v>
      </c>
      <c r="H340" s="26">
        <v>600</v>
      </c>
      <c r="I340" s="26">
        <v>4577484</v>
      </c>
      <c r="J340" s="26">
        <v>29400000</v>
      </c>
    </row>
    <row r="341" spans="1:10">
      <c r="A341" s="24">
        <v>339</v>
      </c>
      <c r="B341" s="24">
        <f t="shared" si="7"/>
        <v>302</v>
      </c>
      <c r="C341" s="1" t="s">
        <v>1049</v>
      </c>
      <c r="D341" s="1" t="s">
        <v>4</v>
      </c>
      <c r="E341" s="1" t="s">
        <v>14</v>
      </c>
      <c r="F341" s="26">
        <v>0</v>
      </c>
      <c r="G341" s="26">
        <v>600</v>
      </c>
      <c r="H341" s="26">
        <v>600</v>
      </c>
      <c r="I341" s="26">
        <v>4502640.0000000009</v>
      </c>
      <c r="J341" s="26">
        <v>25800000</v>
      </c>
    </row>
    <row r="342" spans="1:10">
      <c r="A342" s="24">
        <v>340</v>
      </c>
      <c r="B342" s="24">
        <f t="shared" si="7"/>
        <v>303</v>
      </c>
      <c r="C342" s="1" t="s">
        <v>1050</v>
      </c>
      <c r="D342" s="1" t="s">
        <v>4</v>
      </c>
      <c r="E342" s="1" t="s">
        <v>14</v>
      </c>
      <c r="F342" s="26">
        <v>0</v>
      </c>
      <c r="G342" s="26">
        <v>600</v>
      </c>
      <c r="H342" s="26">
        <v>600</v>
      </c>
      <c r="I342" s="26">
        <v>4727172.0000000009</v>
      </c>
      <c r="J342" s="26">
        <v>29400000</v>
      </c>
    </row>
    <row r="343" spans="1:10">
      <c r="A343" s="24">
        <v>341</v>
      </c>
      <c r="B343" s="24">
        <f t="shared" si="7"/>
        <v>304</v>
      </c>
      <c r="C343" s="1" t="s">
        <v>1051</v>
      </c>
      <c r="D343" s="1" t="s">
        <v>4</v>
      </c>
      <c r="E343" s="1" t="s">
        <v>14</v>
      </c>
      <c r="F343" s="26">
        <v>0</v>
      </c>
      <c r="G343" s="26">
        <v>600</v>
      </c>
      <c r="H343" s="26">
        <v>600</v>
      </c>
      <c r="I343" s="26">
        <v>4652328.0000000009</v>
      </c>
      <c r="J343" s="26">
        <v>25800000</v>
      </c>
    </row>
    <row r="344" spans="1:10">
      <c r="A344" s="24">
        <v>342</v>
      </c>
      <c r="B344" s="24">
        <f t="shared" si="7"/>
        <v>305</v>
      </c>
      <c r="C344" s="1" t="s">
        <v>775</v>
      </c>
      <c r="F344" s="26">
        <v>0</v>
      </c>
      <c r="G344" s="26">
        <v>7400</v>
      </c>
      <c r="H344" s="26">
        <v>7400</v>
      </c>
      <c r="I344" s="26">
        <v>58201996.000000007</v>
      </c>
      <c r="J344" s="26">
        <v>378600000</v>
      </c>
    </row>
    <row r="345" spans="1:10">
      <c r="A345" s="24">
        <v>343</v>
      </c>
      <c r="B345" s="24">
        <f t="shared" si="7"/>
        <v>306</v>
      </c>
      <c r="C345" s="1" t="s">
        <v>1052</v>
      </c>
      <c r="D345" s="1" t="s">
        <v>4</v>
      </c>
      <c r="E345" s="1" t="s">
        <v>14</v>
      </c>
      <c r="F345" s="26">
        <v>0</v>
      </c>
      <c r="G345" s="26">
        <v>600</v>
      </c>
      <c r="H345" s="26">
        <v>600</v>
      </c>
      <c r="I345" s="26">
        <v>5700144</v>
      </c>
      <c r="J345" s="26">
        <v>29400000</v>
      </c>
    </row>
    <row r="346" spans="1:10">
      <c r="A346" s="24">
        <v>344</v>
      </c>
      <c r="B346" s="24">
        <f t="shared" si="7"/>
        <v>307</v>
      </c>
      <c r="C346" s="1" t="s">
        <v>1053</v>
      </c>
      <c r="D346" s="1" t="s">
        <v>4</v>
      </c>
      <c r="E346" s="1" t="s">
        <v>14</v>
      </c>
      <c r="F346" s="26">
        <v>0</v>
      </c>
      <c r="G346" s="26">
        <v>1000</v>
      </c>
      <c r="H346" s="26">
        <v>1000</v>
      </c>
      <c r="I346" s="26">
        <v>9126020</v>
      </c>
      <c r="J346" s="26">
        <v>59000000</v>
      </c>
    </row>
    <row r="347" spans="1:10">
      <c r="A347" s="24">
        <v>345</v>
      </c>
      <c r="B347" s="24">
        <f t="shared" si="7"/>
        <v>308</v>
      </c>
      <c r="C347" s="1" t="s">
        <v>1054</v>
      </c>
      <c r="D347" s="1" t="s">
        <v>4</v>
      </c>
      <c r="E347" s="1" t="s">
        <v>14</v>
      </c>
      <c r="F347" s="26">
        <v>0</v>
      </c>
      <c r="G347" s="26">
        <v>800</v>
      </c>
      <c r="H347" s="26">
        <v>800</v>
      </c>
      <c r="I347" s="26">
        <v>7600192</v>
      </c>
      <c r="J347" s="26">
        <v>47200000</v>
      </c>
    </row>
    <row r="348" spans="1:10">
      <c r="A348" s="24">
        <v>346</v>
      </c>
      <c r="B348" s="24">
        <f t="shared" si="7"/>
        <v>309</v>
      </c>
      <c r="C348" s="1" t="s">
        <v>1055</v>
      </c>
      <c r="D348" s="1" t="s">
        <v>4</v>
      </c>
      <c r="E348" s="1" t="s">
        <v>14</v>
      </c>
      <c r="F348" s="26">
        <v>0</v>
      </c>
      <c r="G348" s="26">
        <v>800</v>
      </c>
      <c r="H348" s="26">
        <v>800</v>
      </c>
      <c r="I348" s="26">
        <v>7500400</v>
      </c>
      <c r="J348" s="26">
        <v>44000000</v>
      </c>
    </row>
    <row r="349" spans="1:10">
      <c r="A349" s="24">
        <v>347</v>
      </c>
      <c r="B349" s="24">
        <f t="shared" si="7"/>
        <v>310</v>
      </c>
      <c r="C349" s="1" t="s">
        <v>1056</v>
      </c>
      <c r="D349" s="1" t="s">
        <v>4</v>
      </c>
      <c r="E349" s="1" t="s">
        <v>14</v>
      </c>
      <c r="F349" s="26">
        <v>0</v>
      </c>
      <c r="G349" s="26">
        <v>800</v>
      </c>
      <c r="H349" s="26">
        <v>800</v>
      </c>
      <c r="I349" s="26">
        <v>7699984.0000000009</v>
      </c>
      <c r="J349" s="26">
        <v>47200000</v>
      </c>
    </row>
    <row r="350" spans="1:10">
      <c r="A350" s="24">
        <v>348</v>
      </c>
      <c r="B350" s="24">
        <f t="shared" si="7"/>
        <v>311</v>
      </c>
      <c r="C350" s="1" t="s">
        <v>1057</v>
      </c>
      <c r="D350" s="1" t="s">
        <v>4</v>
      </c>
      <c r="E350" s="1" t="s">
        <v>14</v>
      </c>
      <c r="F350" s="26">
        <v>0</v>
      </c>
      <c r="G350" s="26">
        <v>800</v>
      </c>
      <c r="H350" s="26">
        <v>800</v>
      </c>
      <c r="I350" s="26">
        <v>7500400</v>
      </c>
      <c r="J350" s="26">
        <v>44000000</v>
      </c>
    </row>
    <row r="351" spans="1:10">
      <c r="A351" s="24">
        <v>349</v>
      </c>
      <c r="B351" s="24">
        <f t="shared" si="7"/>
        <v>312</v>
      </c>
      <c r="C351" s="1" t="s">
        <v>775</v>
      </c>
      <c r="F351" s="26">
        <v>0</v>
      </c>
      <c r="G351" s="26">
        <v>4800</v>
      </c>
      <c r="H351" s="26">
        <v>4800</v>
      </c>
      <c r="I351" s="26">
        <v>45127140</v>
      </c>
      <c r="J351" s="26">
        <v>270800000</v>
      </c>
    </row>
    <row r="352" spans="1:10">
      <c r="A352" s="24">
        <v>350</v>
      </c>
      <c r="B352" s="24">
        <f t="shared" si="7"/>
        <v>313</v>
      </c>
      <c r="C352" s="1" t="s">
        <v>1058</v>
      </c>
      <c r="D352" s="1" t="s">
        <v>4</v>
      </c>
      <c r="E352" s="1" t="s">
        <v>14</v>
      </c>
      <c r="F352" s="26">
        <v>0</v>
      </c>
      <c r="G352" s="26">
        <v>1000</v>
      </c>
      <c r="H352" s="26">
        <v>1000</v>
      </c>
      <c r="I352" s="26">
        <v>14500000</v>
      </c>
      <c r="J352" s="26">
        <v>69000000</v>
      </c>
    </row>
    <row r="353" spans="1:10">
      <c r="A353" s="24">
        <v>351</v>
      </c>
      <c r="B353" s="24">
        <f t="shared" si="7"/>
        <v>314</v>
      </c>
      <c r="C353" s="1" t="s">
        <v>1059</v>
      </c>
      <c r="D353" s="1" t="s">
        <v>4</v>
      </c>
      <c r="E353" s="1" t="s">
        <v>14</v>
      </c>
      <c r="F353" s="26">
        <v>0</v>
      </c>
      <c r="G353" s="26">
        <v>800</v>
      </c>
      <c r="H353" s="26">
        <v>800</v>
      </c>
      <c r="I353" s="26">
        <v>12400000</v>
      </c>
      <c r="J353" s="26">
        <v>55200000</v>
      </c>
    </row>
    <row r="354" spans="1:10">
      <c r="A354" s="24">
        <v>352</v>
      </c>
      <c r="B354" s="24">
        <f t="shared" si="7"/>
        <v>315</v>
      </c>
      <c r="C354" s="1" t="s">
        <v>1060</v>
      </c>
      <c r="D354" s="1" t="s">
        <v>4</v>
      </c>
      <c r="E354" s="1" t="s">
        <v>14</v>
      </c>
      <c r="F354" s="26">
        <v>0</v>
      </c>
      <c r="G354" s="26">
        <v>1000</v>
      </c>
      <c r="H354" s="26">
        <v>1000</v>
      </c>
      <c r="I354" s="26">
        <v>15000000</v>
      </c>
      <c r="J354" s="26">
        <v>65000000</v>
      </c>
    </row>
    <row r="355" spans="1:10">
      <c r="A355" s="24">
        <v>353</v>
      </c>
      <c r="B355" s="24">
        <f t="shared" si="7"/>
        <v>316</v>
      </c>
      <c r="C355" s="1" t="s">
        <v>775</v>
      </c>
      <c r="F355" s="26">
        <v>0</v>
      </c>
      <c r="G355" s="26">
        <v>2800</v>
      </c>
      <c r="H355" s="26">
        <v>2800</v>
      </c>
      <c r="I355" s="26">
        <v>41900000</v>
      </c>
      <c r="J355" s="26">
        <v>189200000</v>
      </c>
    </row>
    <row r="356" spans="1:10">
      <c r="A356" s="24">
        <v>354</v>
      </c>
      <c r="B356" s="24">
        <f t="shared" si="7"/>
        <v>317</v>
      </c>
      <c r="C356" s="1" t="s">
        <v>1061</v>
      </c>
      <c r="D356" s="1" t="s">
        <v>4</v>
      </c>
      <c r="E356" s="1" t="s">
        <v>14</v>
      </c>
      <c r="F356" s="26">
        <v>0</v>
      </c>
      <c r="G356" s="26">
        <v>400</v>
      </c>
      <c r="H356" s="26">
        <v>400</v>
      </c>
      <c r="I356" s="26">
        <v>3992396</v>
      </c>
      <c r="J356" s="26">
        <v>23600000</v>
      </c>
    </row>
    <row r="357" spans="1:10">
      <c r="A357" s="24">
        <v>355</v>
      </c>
      <c r="B357" s="24">
        <f t="shared" si="7"/>
        <v>318</v>
      </c>
      <c r="C357" s="1" t="s">
        <v>775</v>
      </c>
      <c r="F357" s="26">
        <v>0</v>
      </c>
      <c r="G357" s="26">
        <v>400</v>
      </c>
      <c r="H357" s="26">
        <v>400</v>
      </c>
      <c r="I357" s="26">
        <v>3992396</v>
      </c>
      <c r="J357" s="26">
        <v>23600000</v>
      </c>
    </row>
    <row r="358" spans="1:10">
      <c r="A358" s="24">
        <v>356</v>
      </c>
      <c r="B358" s="24">
        <f t="shared" si="7"/>
        <v>319</v>
      </c>
      <c r="C358" s="1" t="s">
        <v>1062</v>
      </c>
      <c r="D358" s="1" t="s">
        <v>4</v>
      </c>
      <c r="E358" s="1" t="s">
        <v>14</v>
      </c>
      <c r="F358" s="26">
        <v>0</v>
      </c>
      <c r="G358" s="26">
        <v>700</v>
      </c>
      <c r="H358" s="26">
        <v>700</v>
      </c>
      <c r="I358" s="26">
        <v>4700640.0000000009</v>
      </c>
      <c r="J358" s="26">
        <v>34300000</v>
      </c>
    </row>
    <row r="359" spans="1:10">
      <c r="A359" s="24">
        <v>357</v>
      </c>
      <c r="B359" s="24">
        <f t="shared" si="7"/>
        <v>320</v>
      </c>
      <c r="C359" s="1" t="s">
        <v>775</v>
      </c>
      <c r="F359" s="26">
        <v>0</v>
      </c>
      <c r="G359" s="26">
        <v>700</v>
      </c>
      <c r="H359" s="26">
        <v>700</v>
      </c>
      <c r="I359" s="26">
        <v>4700640.0000000009</v>
      </c>
      <c r="J359" s="26">
        <v>34300000</v>
      </c>
    </row>
    <row r="360" spans="1:10">
      <c r="A360" s="24">
        <v>358</v>
      </c>
      <c r="B360" s="24">
        <f t="shared" si="7"/>
        <v>321</v>
      </c>
      <c r="C360" s="1" t="s">
        <v>1063</v>
      </c>
      <c r="D360" s="1" t="s">
        <v>4</v>
      </c>
      <c r="E360" s="1" t="s">
        <v>14</v>
      </c>
      <c r="F360" s="26">
        <v>0</v>
      </c>
      <c r="G360" s="26">
        <v>2000</v>
      </c>
      <c r="H360" s="26">
        <v>2000</v>
      </c>
      <c r="I360" s="26">
        <v>13091500.000000002</v>
      </c>
      <c r="J360" s="26">
        <v>98000000</v>
      </c>
    </row>
    <row r="361" spans="1:10">
      <c r="A361" s="24">
        <v>359</v>
      </c>
      <c r="B361" s="24">
        <f t="shared" si="7"/>
        <v>322</v>
      </c>
      <c r="C361" s="1" t="s">
        <v>1064</v>
      </c>
      <c r="D361" s="1" t="s">
        <v>4</v>
      </c>
      <c r="E361" s="1" t="s">
        <v>14</v>
      </c>
      <c r="F361" s="26">
        <v>0</v>
      </c>
      <c r="G361" s="26">
        <v>3000</v>
      </c>
      <c r="H361" s="26">
        <v>3000</v>
      </c>
      <c r="I361" s="26">
        <v>13573500</v>
      </c>
      <c r="J361" s="26">
        <v>129000000</v>
      </c>
    </row>
    <row r="362" spans="1:10">
      <c r="A362" s="24">
        <v>360</v>
      </c>
      <c r="B362" s="24">
        <f t="shared" si="7"/>
        <v>323</v>
      </c>
      <c r="C362" s="1" t="s">
        <v>1065</v>
      </c>
      <c r="D362" s="1" t="s">
        <v>4</v>
      </c>
      <c r="E362" s="1" t="s">
        <v>14</v>
      </c>
      <c r="F362" s="26">
        <v>0</v>
      </c>
      <c r="G362" s="26">
        <v>2000</v>
      </c>
      <c r="H362" s="26">
        <v>2000</v>
      </c>
      <c r="I362" s="26">
        <v>9049000</v>
      </c>
      <c r="J362" s="26">
        <v>86000000</v>
      </c>
    </row>
    <row r="363" spans="1:10">
      <c r="A363" s="24">
        <v>361</v>
      </c>
      <c r="B363" s="24">
        <f t="shared" si="7"/>
        <v>324</v>
      </c>
      <c r="C363" s="1" t="s">
        <v>1066</v>
      </c>
      <c r="D363" s="1" t="s">
        <v>4</v>
      </c>
      <c r="E363" s="1" t="s">
        <v>14</v>
      </c>
      <c r="F363" s="26">
        <v>0</v>
      </c>
      <c r="G363" s="26">
        <v>1000</v>
      </c>
      <c r="H363" s="26">
        <v>1000</v>
      </c>
      <c r="I363" s="26">
        <v>5506250</v>
      </c>
      <c r="J363" s="26">
        <v>43000000</v>
      </c>
    </row>
    <row r="364" spans="1:10">
      <c r="A364" s="24">
        <v>362</v>
      </c>
      <c r="B364" s="24">
        <f t="shared" si="7"/>
        <v>325</v>
      </c>
      <c r="C364" s="1" t="s">
        <v>775</v>
      </c>
      <c r="F364" s="26">
        <v>0</v>
      </c>
      <c r="G364" s="26">
        <v>8000</v>
      </c>
      <c r="H364" s="26">
        <v>8000</v>
      </c>
      <c r="I364" s="26">
        <v>41220250</v>
      </c>
      <c r="J364" s="26">
        <v>356000000</v>
      </c>
    </row>
    <row r="365" spans="1:10">
      <c r="A365" s="24">
        <v>363</v>
      </c>
      <c r="B365" s="24">
        <f t="shared" si="7"/>
        <v>326</v>
      </c>
      <c r="C365" s="1" t="s">
        <v>1067</v>
      </c>
      <c r="D365" s="1" t="s">
        <v>4</v>
      </c>
      <c r="E365" s="1" t="s">
        <v>14</v>
      </c>
      <c r="F365" s="26">
        <v>1000</v>
      </c>
      <c r="G365" s="26">
        <v>0</v>
      </c>
      <c r="H365" s="26">
        <v>1000</v>
      </c>
      <c r="I365" s="26">
        <v>7179250</v>
      </c>
      <c r="J365" s="26">
        <v>49000000</v>
      </c>
    </row>
    <row r="366" spans="1:10">
      <c r="A366" s="24">
        <v>364</v>
      </c>
      <c r="B366" s="24">
        <f t="shared" si="7"/>
        <v>327</v>
      </c>
      <c r="C366" s="1" t="s">
        <v>1068</v>
      </c>
      <c r="D366" s="1" t="s">
        <v>4</v>
      </c>
      <c r="E366" s="1" t="s">
        <v>14</v>
      </c>
      <c r="F366" s="26">
        <v>0</v>
      </c>
      <c r="G366" s="26">
        <v>1000</v>
      </c>
      <c r="H366" s="26">
        <v>1000</v>
      </c>
      <c r="I366" s="26">
        <v>6832750</v>
      </c>
      <c r="J366" s="26">
        <v>43000000</v>
      </c>
    </row>
    <row r="367" spans="1:10">
      <c r="A367" s="24">
        <v>365</v>
      </c>
      <c r="B367" s="24">
        <f t="shared" si="7"/>
        <v>328</v>
      </c>
      <c r="C367" s="1" t="s">
        <v>1069</v>
      </c>
      <c r="D367" s="1" t="s">
        <v>4</v>
      </c>
      <c r="E367" s="1" t="s">
        <v>14</v>
      </c>
      <c r="F367" s="26">
        <v>1300</v>
      </c>
      <c r="G367" s="26">
        <v>700</v>
      </c>
      <c r="H367" s="26">
        <v>2000</v>
      </c>
      <c r="I367" s="26">
        <v>14012000.000000002</v>
      </c>
      <c r="J367" s="26">
        <v>86000000</v>
      </c>
    </row>
    <row r="368" spans="1:10">
      <c r="A368" s="24">
        <v>366</v>
      </c>
      <c r="B368" s="24">
        <f t="shared" si="7"/>
        <v>329</v>
      </c>
      <c r="C368" s="1" t="s">
        <v>1070</v>
      </c>
      <c r="D368" s="1" t="s">
        <v>4</v>
      </c>
      <c r="E368" s="1" t="s">
        <v>14</v>
      </c>
      <c r="F368" s="26">
        <v>0</v>
      </c>
      <c r="G368" s="26">
        <v>1000</v>
      </c>
      <c r="H368" s="26">
        <v>1000</v>
      </c>
      <c r="I368" s="26">
        <v>6544000</v>
      </c>
      <c r="J368" s="26">
        <v>43000000</v>
      </c>
    </row>
    <row r="369" spans="1:10">
      <c r="A369" s="24">
        <v>367</v>
      </c>
      <c r="B369" s="24">
        <f t="shared" si="7"/>
        <v>330</v>
      </c>
      <c r="C369" s="1" t="s">
        <v>1071</v>
      </c>
      <c r="D369" s="1" t="s">
        <v>4</v>
      </c>
      <c r="E369" s="1" t="s">
        <v>14</v>
      </c>
      <c r="F369" s="26">
        <v>0</v>
      </c>
      <c r="G369" s="26">
        <v>1000</v>
      </c>
      <c r="H369" s="26">
        <v>1000</v>
      </c>
      <c r="I369" s="26">
        <v>6890499.9999999991</v>
      </c>
      <c r="J369" s="26">
        <v>43000000</v>
      </c>
    </row>
    <row r="370" spans="1:10">
      <c r="A370" s="24">
        <v>368</v>
      </c>
      <c r="B370" s="24">
        <f t="shared" si="7"/>
        <v>331</v>
      </c>
      <c r="C370" s="1" t="s">
        <v>775</v>
      </c>
      <c r="F370" s="26">
        <v>2300</v>
      </c>
      <c r="G370" s="26">
        <v>3700</v>
      </c>
      <c r="H370" s="26">
        <v>6000</v>
      </c>
      <c r="I370" s="26">
        <v>41458500</v>
      </c>
      <c r="J370" s="26">
        <v>264000000</v>
      </c>
    </row>
    <row r="371" spans="1:10">
      <c r="A371" s="24">
        <v>369</v>
      </c>
      <c r="B371" s="24">
        <f t="shared" si="7"/>
        <v>332</v>
      </c>
      <c r="C371" s="1" t="s">
        <v>1072</v>
      </c>
      <c r="D371" s="1" t="s">
        <v>4</v>
      </c>
      <c r="E371" s="1" t="s">
        <v>14</v>
      </c>
      <c r="F371" s="26">
        <v>0</v>
      </c>
      <c r="G371" s="26">
        <v>500</v>
      </c>
      <c r="H371" s="26">
        <v>500</v>
      </c>
      <c r="I371" s="26">
        <v>2856450.0000000005</v>
      </c>
      <c r="J371" s="26">
        <v>29500000</v>
      </c>
    </row>
    <row r="372" spans="1:10">
      <c r="A372" s="24">
        <v>370</v>
      </c>
      <c r="B372" s="24">
        <f t="shared" si="7"/>
        <v>333</v>
      </c>
      <c r="C372" s="1" t="s">
        <v>1073</v>
      </c>
      <c r="D372" s="1" t="s">
        <v>4</v>
      </c>
      <c r="E372" s="1" t="s">
        <v>14</v>
      </c>
      <c r="F372" s="26">
        <v>0</v>
      </c>
      <c r="G372" s="26">
        <v>700</v>
      </c>
      <c r="H372" s="26">
        <v>700</v>
      </c>
      <c r="I372" s="26">
        <v>3258381</v>
      </c>
      <c r="J372" s="26">
        <v>34300000</v>
      </c>
    </row>
    <row r="373" spans="1:10">
      <c r="A373" s="24">
        <v>371</v>
      </c>
      <c r="B373" s="24">
        <f t="shared" si="7"/>
        <v>334</v>
      </c>
      <c r="C373" s="1" t="s">
        <v>1074</v>
      </c>
      <c r="D373" s="1" t="s">
        <v>4</v>
      </c>
      <c r="E373" s="1" t="s">
        <v>14</v>
      </c>
      <c r="F373" s="26">
        <v>0</v>
      </c>
      <c r="G373" s="26">
        <v>500</v>
      </c>
      <c r="H373" s="26">
        <v>500</v>
      </c>
      <c r="I373" s="26">
        <v>2267230</v>
      </c>
      <c r="J373" s="26">
        <v>22500000</v>
      </c>
    </row>
    <row r="374" spans="1:10">
      <c r="A374" s="24">
        <v>372</v>
      </c>
      <c r="B374" s="24">
        <f t="shared" si="7"/>
        <v>335</v>
      </c>
      <c r="C374" s="1" t="s">
        <v>1075</v>
      </c>
      <c r="D374" s="1" t="s">
        <v>4</v>
      </c>
      <c r="E374" s="1" t="s">
        <v>14</v>
      </c>
      <c r="F374" s="26">
        <v>0</v>
      </c>
      <c r="G374" s="26">
        <v>700</v>
      </c>
      <c r="H374" s="26">
        <v>700</v>
      </c>
      <c r="I374" s="26">
        <v>3140081</v>
      </c>
      <c r="J374" s="26">
        <v>34300000</v>
      </c>
    </row>
    <row r="375" spans="1:10">
      <c r="A375" s="24">
        <v>373</v>
      </c>
      <c r="B375" s="24">
        <f t="shared" si="7"/>
        <v>336</v>
      </c>
      <c r="C375" s="1" t="s">
        <v>1076</v>
      </c>
      <c r="D375" s="1" t="s">
        <v>4</v>
      </c>
      <c r="E375" s="1" t="s">
        <v>14</v>
      </c>
      <c r="F375" s="26">
        <v>0</v>
      </c>
      <c r="G375" s="26">
        <v>500</v>
      </c>
      <c r="H375" s="26">
        <v>500</v>
      </c>
      <c r="I375" s="26">
        <v>2190730</v>
      </c>
      <c r="J375" s="26">
        <v>22500000</v>
      </c>
    </row>
    <row r="376" spans="1:10">
      <c r="A376" s="24">
        <v>374</v>
      </c>
      <c r="B376" s="24">
        <f t="shared" si="7"/>
        <v>337</v>
      </c>
      <c r="C376" s="1" t="s">
        <v>1077</v>
      </c>
      <c r="D376" s="1" t="s">
        <v>4</v>
      </c>
      <c r="E376" s="1" t="s">
        <v>14</v>
      </c>
      <c r="F376" s="26">
        <v>0</v>
      </c>
      <c r="G376" s="26">
        <v>500</v>
      </c>
      <c r="H376" s="26">
        <v>500</v>
      </c>
      <c r="I376" s="26">
        <v>2777600.0000000005</v>
      </c>
      <c r="J376" s="26">
        <v>22500000</v>
      </c>
    </row>
    <row r="377" spans="1:10">
      <c r="A377" s="24">
        <v>375</v>
      </c>
      <c r="B377" s="24">
        <f t="shared" si="7"/>
        <v>338</v>
      </c>
      <c r="C377" s="1" t="s">
        <v>775</v>
      </c>
      <c r="F377" s="26">
        <v>0</v>
      </c>
      <c r="G377" s="26">
        <v>3400</v>
      </c>
      <c r="H377" s="26">
        <v>3400</v>
      </c>
      <c r="I377" s="26">
        <v>16490472</v>
      </c>
      <c r="J377" s="26">
        <v>165600000</v>
      </c>
    </row>
    <row r="378" spans="1:10">
      <c r="A378" s="24">
        <v>376</v>
      </c>
      <c r="B378" s="24">
        <f t="shared" si="7"/>
        <v>339</v>
      </c>
      <c r="C378" s="1" t="s">
        <v>1078</v>
      </c>
      <c r="D378" s="1" t="s">
        <v>4</v>
      </c>
      <c r="E378" s="1" t="s">
        <v>14</v>
      </c>
      <c r="F378" s="26">
        <v>0</v>
      </c>
      <c r="G378" s="26">
        <v>700</v>
      </c>
      <c r="H378" s="26">
        <v>700</v>
      </c>
      <c r="I378" s="26">
        <v>3180081.0000000005</v>
      </c>
      <c r="J378" s="26">
        <v>34300000</v>
      </c>
    </row>
    <row r="379" spans="1:10">
      <c r="A379" s="24">
        <v>377</v>
      </c>
      <c r="B379" s="24">
        <f t="shared" si="7"/>
        <v>340</v>
      </c>
      <c r="C379" s="1" t="s">
        <v>1079</v>
      </c>
      <c r="D379" s="1" t="s">
        <v>4</v>
      </c>
      <c r="E379" s="1" t="s">
        <v>14</v>
      </c>
      <c r="F379" s="26">
        <v>0</v>
      </c>
      <c r="G379" s="26">
        <v>500</v>
      </c>
      <c r="H379" s="26">
        <v>500</v>
      </c>
      <c r="I379" s="26">
        <v>2297715</v>
      </c>
      <c r="J379" s="26">
        <v>24500000</v>
      </c>
    </row>
    <row r="380" spans="1:10">
      <c r="A380" s="24">
        <v>378</v>
      </c>
      <c r="B380" s="24">
        <f t="shared" si="7"/>
        <v>341</v>
      </c>
      <c r="C380" s="1" t="s">
        <v>1080</v>
      </c>
      <c r="D380" s="1" t="s">
        <v>4</v>
      </c>
      <c r="E380" s="1" t="s">
        <v>14</v>
      </c>
      <c r="F380" s="26">
        <v>0</v>
      </c>
      <c r="G380" s="26">
        <v>500</v>
      </c>
      <c r="H380" s="26">
        <v>500</v>
      </c>
      <c r="I380" s="26">
        <v>2296830</v>
      </c>
      <c r="J380" s="26">
        <v>24500000</v>
      </c>
    </row>
    <row r="381" spans="1:10">
      <c r="A381" s="24">
        <v>379</v>
      </c>
      <c r="B381" s="24">
        <f t="shared" si="7"/>
        <v>342</v>
      </c>
      <c r="C381" s="1" t="s">
        <v>1081</v>
      </c>
      <c r="D381" s="1" t="s">
        <v>4</v>
      </c>
      <c r="E381" s="1" t="s">
        <v>14</v>
      </c>
      <c r="F381" s="26">
        <v>0</v>
      </c>
      <c r="G381" s="26">
        <v>700</v>
      </c>
      <c r="H381" s="26">
        <v>700</v>
      </c>
      <c r="I381" s="26">
        <v>3408681.0000000005</v>
      </c>
      <c r="J381" s="26">
        <v>34300000</v>
      </c>
    </row>
    <row r="382" spans="1:10">
      <c r="A382" s="24">
        <v>380</v>
      </c>
      <c r="B382" s="24">
        <f t="shared" si="7"/>
        <v>343</v>
      </c>
      <c r="C382" s="1" t="s">
        <v>1082</v>
      </c>
      <c r="D382" s="1" t="s">
        <v>4</v>
      </c>
      <c r="E382" s="1" t="s">
        <v>14</v>
      </c>
      <c r="F382" s="26">
        <v>0</v>
      </c>
      <c r="G382" s="26">
        <v>500</v>
      </c>
      <c r="H382" s="26">
        <v>500</v>
      </c>
      <c r="I382" s="26">
        <v>2411315</v>
      </c>
      <c r="J382" s="26">
        <v>22500000</v>
      </c>
    </row>
    <row r="383" spans="1:10">
      <c r="A383" s="24">
        <v>381</v>
      </c>
      <c r="B383" s="24">
        <f t="shared" si="7"/>
        <v>344</v>
      </c>
      <c r="C383" s="1" t="s">
        <v>1083</v>
      </c>
      <c r="D383" s="1" t="s">
        <v>4</v>
      </c>
      <c r="E383" s="1" t="s">
        <v>14</v>
      </c>
      <c r="F383" s="26">
        <v>0</v>
      </c>
      <c r="G383" s="26">
        <v>700</v>
      </c>
      <c r="H383" s="26">
        <v>700</v>
      </c>
      <c r="I383" s="26">
        <v>3613676.0000000005</v>
      </c>
      <c r="J383" s="26">
        <v>38500000</v>
      </c>
    </row>
    <row r="384" spans="1:10">
      <c r="A384" s="24">
        <v>382</v>
      </c>
      <c r="B384" s="24">
        <f t="shared" si="7"/>
        <v>345</v>
      </c>
      <c r="C384" s="1" t="s">
        <v>1084</v>
      </c>
      <c r="D384" s="1" t="s">
        <v>4</v>
      </c>
      <c r="E384" s="1" t="s">
        <v>14</v>
      </c>
      <c r="F384" s="26">
        <v>0</v>
      </c>
      <c r="G384" s="26">
        <v>500</v>
      </c>
      <c r="H384" s="26">
        <v>500</v>
      </c>
      <c r="I384" s="26">
        <v>2568640.0000000005</v>
      </c>
      <c r="J384" s="26">
        <v>26500000</v>
      </c>
    </row>
    <row r="385" spans="1:10">
      <c r="A385" s="24">
        <v>383</v>
      </c>
      <c r="B385" s="24">
        <f t="shared" si="7"/>
        <v>346</v>
      </c>
      <c r="C385" s="1" t="s">
        <v>1085</v>
      </c>
      <c r="D385" s="1" t="s">
        <v>4</v>
      </c>
      <c r="E385" s="1" t="s">
        <v>14</v>
      </c>
      <c r="F385" s="26">
        <v>0</v>
      </c>
      <c r="G385" s="26">
        <v>700</v>
      </c>
      <c r="H385" s="26">
        <v>700</v>
      </c>
      <c r="I385" s="26">
        <v>3807271.0000000005</v>
      </c>
      <c r="J385" s="26">
        <v>41300000</v>
      </c>
    </row>
    <row r="386" spans="1:10">
      <c r="A386" s="24">
        <v>384</v>
      </c>
      <c r="B386" s="24">
        <f t="shared" si="7"/>
        <v>347</v>
      </c>
      <c r="C386" s="1" t="s">
        <v>1086</v>
      </c>
      <c r="D386" s="1" t="s">
        <v>4</v>
      </c>
      <c r="E386" s="1" t="s">
        <v>14</v>
      </c>
      <c r="F386" s="26">
        <v>0</v>
      </c>
      <c r="G386" s="26">
        <v>500</v>
      </c>
      <c r="H386" s="26">
        <v>500</v>
      </c>
      <c r="I386" s="26">
        <v>2747365.0000000005</v>
      </c>
      <c r="J386" s="26">
        <v>27500000</v>
      </c>
    </row>
    <row r="387" spans="1:10">
      <c r="A387" s="24">
        <v>385</v>
      </c>
      <c r="B387" s="24">
        <f t="shared" si="7"/>
        <v>348</v>
      </c>
      <c r="C387" s="1" t="s">
        <v>775</v>
      </c>
      <c r="F387" s="26">
        <v>0</v>
      </c>
      <c r="G387" s="26">
        <v>5300</v>
      </c>
      <c r="H387" s="26">
        <v>5300</v>
      </c>
      <c r="I387" s="26">
        <v>26331574</v>
      </c>
      <c r="J387" s="26">
        <v>273900000</v>
      </c>
    </row>
    <row r="388" spans="1:10">
      <c r="A388" s="24">
        <v>386</v>
      </c>
      <c r="B388" s="24">
        <f t="shared" ref="B388:B451" si="8">IF(C387=C388,B387,B387+1)</f>
        <v>349</v>
      </c>
      <c r="C388" s="1" t="s">
        <v>1087</v>
      </c>
      <c r="D388" s="1" t="s">
        <v>4</v>
      </c>
      <c r="E388" s="1" t="s">
        <v>14</v>
      </c>
      <c r="F388" s="26">
        <v>0</v>
      </c>
      <c r="G388" s="26">
        <v>700</v>
      </c>
      <c r="H388" s="26">
        <v>700</v>
      </c>
      <c r="I388" s="26">
        <v>3994425</v>
      </c>
      <c r="J388" s="26">
        <v>38500000</v>
      </c>
    </row>
    <row r="389" spans="1:10">
      <c r="A389" s="24">
        <v>387</v>
      </c>
      <c r="B389" s="24">
        <f t="shared" si="8"/>
        <v>350</v>
      </c>
      <c r="C389" s="1" t="s">
        <v>1088</v>
      </c>
      <c r="D389" s="1" t="s">
        <v>4</v>
      </c>
      <c r="E389" s="1" t="s">
        <v>14</v>
      </c>
      <c r="F389" s="26">
        <v>0</v>
      </c>
      <c r="G389" s="26">
        <v>500</v>
      </c>
      <c r="H389" s="26">
        <v>500</v>
      </c>
      <c r="I389" s="26">
        <v>2406915</v>
      </c>
      <c r="J389" s="26">
        <v>24500000</v>
      </c>
    </row>
    <row r="390" spans="1:10">
      <c r="A390" s="24">
        <v>388</v>
      </c>
      <c r="B390" s="24">
        <f t="shared" si="8"/>
        <v>351</v>
      </c>
      <c r="C390" s="1" t="s">
        <v>1089</v>
      </c>
      <c r="D390" s="1" t="s">
        <v>4</v>
      </c>
      <c r="E390" s="1" t="s">
        <v>14</v>
      </c>
      <c r="F390" s="26">
        <v>0</v>
      </c>
      <c r="G390" s="26">
        <v>700</v>
      </c>
      <c r="H390" s="26">
        <v>700</v>
      </c>
      <c r="I390" s="26">
        <v>3237022</v>
      </c>
      <c r="J390" s="26">
        <v>38500000</v>
      </c>
    </row>
    <row r="391" spans="1:10">
      <c r="A391" s="24">
        <v>389</v>
      </c>
      <c r="B391" s="24">
        <f t="shared" si="8"/>
        <v>352</v>
      </c>
      <c r="C391" s="1" t="s">
        <v>775</v>
      </c>
      <c r="F391" s="26">
        <v>0</v>
      </c>
      <c r="G391" s="26">
        <v>1900</v>
      </c>
      <c r="H391" s="26">
        <v>1900</v>
      </c>
      <c r="I391" s="26">
        <v>9638362</v>
      </c>
      <c r="J391" s="26">
        <v>101500000</v>
      </c>
    </row>
    <row r="392" spans="1:10">
      <c r="A392" s="24">
        <v>390</v>
      </c>
      <c r="B392" s="24">
        <f t="shared" si="8"/>
        <v>353</v>
      </c>
      <c r="C392" s="1" t="s">
        <v>1090</v>
      </c>
      <c r="D392" s="1" t="s">
        <v>4</v>
      </c>
      <c r="E392" s="1" t="s">
        <v>14</v>
      </c>
      <c r="F392" s="26">
        <v>0</v>
      </c>
      <c r="G392" s="26">
        <v>450</v>
      </c>
      <c r="H392" s="26">
        <v>450</v>
      </c>
      <c r="I392" s="26">
        <v>2441556</v>
      </c>
      <c r="J392" s="26">
        <v>26550000</v>
      </c>
    </row>
    <row r="393" spans="1:10">
      <c r="A393" s="24">
        <v>391</v>
      </c>
      <c r="B393" s="24">
        <f t="shared" si="8"/>
        <v>354</v>
      </c>
      <c r="C393" s="1" t="s">
        <v>1091</v>
      </c>
      <c r="D393" s="1" t="s">
        <v>4</v>
      </c>
      <c r="E393" s="1" t="s">
        <v>14</v>
      </c>
      <c r="F393" s="26">
        <v>0</v>
      </c>
      <c r="G393" s="26">
        <v>400</v>
      </c>
      <c r="H393" s="26">
        <v>400</v>
      </c>
      <c r="I393" s="26">
        <v>2170272</v>
      </c>
      <c r="J393" s="26">
        <v>22000000</v>
      </c>
    </row>
    <row r="394" spans="1:10">
      <c r="A394" s="24">
        <v>392</v>
      </c>
      <c r="B394" s="24">
        <f t="shared" si="8"/>
        <v>355</v>
      </c>
      <c r="C394" s="1" t="s">
        <v>1092</v>
      </c>
      <c r="D394" s="1" t="s">
        <v>4</v>
      </c>
      <c r="E394" s="1" t="s">
        <v>14</v>
      </c>
      <c r="F394" s="26">
        <v>0</v>
      </c>
      <c r="G394" s="26">
        <v>700</v>
      </c>
      <c r="H394" s="26">
        <v>700</v>
      </c>
      <c r="I394" s="26">
        <v>4147276</v>
      </c>
      <c r="J394" s="26">
        <v>45500000</v>
      </c>
    </row>
    <row r="395" spans="1:10">
      <c r="A395" s="24">
        <v>393</v>
      </c>
      <c r="B395" s="24">
        <f t="shared" si="8"/>
        <v>356</v>
      </c>
      <c r="C395" s="1" t="s">
        <v>775</v>
      </c>
      <c r="F395" s="26">
        <v>0</v>
      </c>
      <c r="G395" s="26">
        <v>1550</v>
      </c>
      <c r="H395" s="26">
        <v>1550</v>
      </c>
      <c r="I395" s="26">
        <v>8759104</v>
      </c>
      <c r="J395" s="26">
        <v>94050000</v>
      </c>
    </row>
    <row r="396" spans="1:10">
      <c r="A396" s="24">
        <v>394</v>
      </c>
      <c r="B396" s="24">
        <f t="shared" si="8"/>
        <v>357</v>
      </c>
      <c r="C396" s="1" t="s">
        <v>1093</v>
      </c>
      <c r="D396" s="1" t="s">
        <v>4</v>
      </c>
      <c r="E396" s="1" t="s">
        <v>14</v>
      </c>
      <c r="F396" s="26">
        <v>0</v>
      </c>
      <c r="G396" s="26">
        <v>500</v>
      </c>
      <c r="H396" s="26">
        <v>500</v>
      </c>
      <c r="I396" s="26">
        <v>3246505</v>
      </c>
      <c r="J396" s="26">
        <v>22500000</v>
      </c>
    </row>
    <row r="397" spans="1:10">
      <c r="A397" s="24">
        <v>395</v>
      </c>
      <c r="B397" s="24">
        <f t="shared" si="8"/>
        <v>358</v>
      </c>
      <c r="C397" s="1" t="s">
        <v>1094</v>
      </c>
      <c r="D397" s="1" t="s">
        <v>4</v>
      </c>
      <c r="E397" s="1" t="s">
        <v>14</v>
      </c>
      <c r="F397" s="26">
        <v>0</v>
      </c>
      <c r="G397" s="26">
        <v>700</v>
      </c>
      <c r="H397" s="26">
        <v>700</v>
      </c>
      <c r="I397" s="26">
        <v>4501707</v>
      </c>
      <c r="J397" s="26">
        <v>31500000</v>
      </c>
    </row>
    <row r="398" spans="1:10">
      <c r="A398" s="24">
        <v>396</v>
      </c>
      <c r="B398" s="24">
        <f t="shared" si="8"/>
        <v>359</v>
      </c>
      <c r="C398" s="1" t="s">
        <v>1095</v>
      </c>
      <c r="D398" s="1" t="s">
        <v>4</v>
      </c>
      <c r="E398" s="1" t="s">
        <v>14</v>
      </c>
      <c r="F398" s="26">
        <v>0</v>
      </c>
      <c r="G398" s="26">
        <v>700</v>
      </c>
      <c r="H398" s="26">
        <v>700</v>
      </c>
      <c r="I398" s="26">
        <v>4679507</v>
      </c>
      <c r="J398" s="26">
        <v>31500000</v>
      </c>
    </row>
    <row r="399" spans="1:10">
      <c r="A399" s="24">
        <v>397</v>
      </c>
      <c r="B399" s="24">
        <f t="shared" si="8"/>
        <v>360</v>
      </c>
      <c r="C399" s="1" t="s">
        <v>1096</v>
      </c>
      <c r="D399" s="1" t="s">
        <v>4</v>
      </c>
      <c r="E399" s="1" t="s">
        <v>14</v>
      </c>
      <c r="F399" s="26">
        <v>0</v>
      </c>
      <c r="G399" s="26">
        <v>500</v>
      </c>
      <c r="H399" s="26">
        <v>500</v>
      </c>
      <c r="I399" s="26">
        <v>2876450.0000000005</v>
      </c>
      <c r="J399" s="26">
        <v>19500000</v>
      </c>
    </row>
    <row r="400" spans="1:10">
      <c r="A400" s="24">
        <v>398</v>
      </c>
      <c r="B400" s="24">
        <f t="shared" si="8"/>
        <v>361</v>
      </c>
      <c r="C400" s="1" t="s">
        <v>1097</v>
      </c>
      <c r="D400" s="1" t="s">
        <v>2</v>
      </c>
      <c r="E400" s="1" t="s">
        <v>14</v>
      </c>
      <c r="F400" s="26">
        <v>0</v>
      </c>
      <c r="G400" s="26">
        <v>300</v>
      </c>
      <c r="H400" s="26">
        <v>300</v>
      </c>
      <c r="I400" s="26">
        <v>1660647.0000000002</v>
      </c>
      <c r="J400" s="26">
        <v>11700000</v>
      </c>
    </row>
    <row r="401" spans="1:10">
      <c r="A401" s="24">
        <v>399</v>
      </c>
      <c r="B401" s="24">
        <f t="shared" si="8"/>
        <v>361</v>
      </c>
      <c r="C401" s="1" t="s">
        <v>1097</v>
      </c>
      <c r="D401" s="1" t="s">
        <v>3</v>
      </c>
      <c r="E401" s="1" t="s">
        <v>14</v>
      </c>
      <c r="F401" s="26">
        <v>0</v>
      </c>
      <c r="G401" s="26">
        <v>200</v>
      </c>
      <c r="H401" s="26">
        <v>200</v>
      </c>
      <c r="I401" s="26">
        <v>1107098.0000000002</v>
      </c>
      <c r="J401" s="26">
        <v>7800000</v>
      </c>
    </row>
    <row r="402" spans="1:10">
      <c r="A402" s="24">
        <v>400</v>
      </c>
      <c r="B402" s="24">
        <f t="shared" si="8"/>
        <v>362</v>
      </c>
      <c r="C402" s="1" t="s">
        <v>1098</v>
      </c>
      <c r="D402" s="1" t="s">
        <v>2</v>
      </c>
      <c r="E402" s="1" t="s">
        <v>14</v>
      </c>
      <c r="F402" s="26">
        <v>0</v>
      </c>
      <c r="G402" s="26">
        <v>300</v>
      </c>
      <c r="H402" s="26">
        <v>300</v>
      </c>
      <c r="I402" s="26">
        <v>1537692</v>
      </c>
      <c r="J402" s="26">
        <v>11700000</v>
      </c>
    </row>
    <row r="403" spans="1:10">
      <c r="A403" s="24">
        <v>401</v>
      </c>
      <c r="B403" s="24">
        <f t="shared" si="8"/>
        <v>362</v>
      </c>
      <c r="C403" s="1" t="s">
        <v>1098</v>
      </c>
      <c r="D403" s="1" t="s">
        <v>3</v>
      </c>
      <c r="E403" s="1" t="s">
        <v>14</v>
      </c>
      <c r="F403" s="26">
        <v>0</v>
      </c>
      <c r="G403" s="26">
        <v>200</v>
      </c>
      <c r="H403" s="26">
        <v>200</v>
      </c>
      <c r="I403" s="26">
        <v>1025128.0000000001</v>
      </c>
      <c r="J403" s="26">
        <v>7800000</v>
      </c>
    </row>
    <row r="404" spans="1:10">
      <c r="A404" s="24">
        <v>402</v>
      </c>
      <c r="B404" s="24">
        <f t="shared" si="8"/>
        <v>363</v>
      </c>
      <c r="C404" s="1" t="s">
        <v>1099</v>
      </c>
      <c r="D404" s="1" t="s">
        <v>4</v>
      </c>
      <c r="E404" s="1" t="s">
        <v>14</v>
      </c>
      <c r="F404" s="26">
        <v>0</v>
      </c>
      <c r="G404" s="26">
        <v>500</v>
      </c>
      <c r="H404" s="26">
        <v>500</v>
      </c>
      <c r="I404" s="26">
        <v>3276890.0000000005</v>
      </c>
      <c r="J404" s="26">
        <v>24500000</v>
      </c>
    </row>
    <row r="405" spans="1:10">
      <c r="A405" s="24">
        <v>403</v>
      </c>
      <c r="B405" s="24">
        <f t="shared" si="8"/>
        <v>364</v>
      </c>
      <c r="C405" s="1" t="s">
        <v>1100</v>
      </c>
      <c r="D405" s="1" t="s">
        <v>4</v>
      </c>
      <c r="E405" s="1" t="s">
        <v>14</v>
      </c>
      <c r="F405" s="26">
        <v>0</v>
      </c>
      <c r="G405" s="26">
        <v>400</v>
      </c>
      <c r="H405" s="26">
        <v>400</v>
      </c>
      <c r="I405" s="26">
        <v>2626684.0000000005</v>
      </c>
      <c r="J405" s="26">
        <v>18000000</v>
      </c>
    </row>
    <row r="406" spans="1:10">
      <c r="A406" s="24">
        <v>404</v>
      </c>
      <c r="B406" s="24">
        <f t="shared" si="8"/>
        <v>365</v>
      </c>
      <c r="C406" s="1" t="s">
        <v>1101</v>
      </c>
      <c r="D406" s="1" t="s">
        <v>4</v>
      </c>
      <c r="E406" s="1" t="s">
        <v>14</v>
      </c>
      <c r="F406" s="26">
        <v>0</v>
      </c>
      <c r="G406" s="26">
        <v>500</v>
      </c>
      <c r="H406" s="26">
        <v>500</v>
      </c>
      <c r="I406" s="26">
        <v>2574970.0000000005</v>
      </c>
      <c r="J406" s="26">
        <v>22500000</v>
      </c>
    </row>
    <row r="407" spans="1:10">
      <c r="A407" s="24">
        <v>405</v>
      </c>
      <c r="B407" s="24">
        <f t="shared" si="8"/>
        <v>366</v>
      </c>
      <c r="C407" s="1" t="s">
        <v>1102</v>
      </c>
      <c r="D407" s="1" t="s">
        <v>2</v>
      </c>
      <c r="E407" s="1" t="s">
        <v>14</v>
      </c>
      <c r="F407" s="26">
        <v>0</v>
      </c>
      <c r="G407" s="26">
        <v>300</v>
      </c>
      <c r="H407" s="26">
        <v>300</v>
      </c>
      <c r="I407" s="26">
        <v>1415082.0000000002</v>
      </c>
      <c r="J407" s="26">
        <v>13500000</v>
      </c>
    </row>
    <row r="408" spans="1:10">
      <c r="A408" s="24">
        <v>406</v>
      </c>
      <c r="B408" s="24">
        <f t="shared" si="8"/>
        <v>366</v>
      </c>
      <c r="C408" s="1" t="s">
        <v>1102</v>
      </c>
      <c r="D408" s="1" t="s">
        <v>3</v>
      </c>
      <c r="E408" s="1" t="s">
        <v>14</v>
      </c>
      <c r="F408" s="26">
        <v>0</v>
      </c>
      <c r="G408" s="26">
        <v>200</v>
      </c>
      <c r="H408" s="26">
        <v>200</v>
      </c>
      <c r="I408" s="26">
        <v>943388.00000000012</v>
      </c>
      <c r="J408" s="26">
        <v>9000000</v>
      </c>
    </row>
    <row r="409" spans="1:10">
      <c r="A409" s="24">
        <v>407</v>
      </c>
      <c r="B409" s="24">
        <f t="shared" si="8"/>
        <v>367</v>
      </c>
      <c r="C409" s="1" t="s">
        <v>1103</v>
      </c>
      <c r="D409" s="1" t="s">
        <v>2</v>
      </c>
      <c r="E409" s="1" t="s">
        <v>14</v>
      </c>
      <c r="F409" s="26">
        <v>0</v>
      </c>
      <c r="G409" s="26">
        <v>300</v>
      </c>
      <c r="H409" s="26">
        <v>300</v>
      </c>
      <c r="I409" s="26">
        <v>1417482.0000000002</v>
      </c>
      <c r="J409" s="26">
        <v>13500000</v>
      </c>
    </row>
    <row r="410" spans="1:10">
      <c r="A410" s="24">
        <v>408</v>
      </c>
      <c r="B410" s="24">
        <f t="shared" si="8"/>
        <v>367</v>
      </c>
      <c r="C410" s="1" t="s">
        <v>1103</v>
      </c>
      <c r="D410" s="1" t="s">
        <v>3</v>
      </c>
      <c r="E410" s="1" t="s">
        <v>14</v>
      </c>
      <c r="F410" s="26">
        <v>0</v>
      </c>
      <c r="G410" s="26">
        <v>200</v>
      </c>
      <c r="H410" s="26">
        <v>200</v>
      </c>
      <c r="I410" s="26">
        <v>944988.00000000012</v>
      </c>
      <c r="J410" s="26">
        <v>9000000</v>
      </c>
    </row>
    <row r="411" spans="1:10">
      <c r="A411" s="24">
        <v>409</v>
      </c>
      <c r="B411" s="24">
        <f t="shared" si="8"/>
        <v>368</v>
      </c>
      <c r="C411" s="1" t="s">
        <v>1104</v>
      </c>
      <c r="D411" s="1" t="s">
        <v>4</v>
      </c>
      <c r="E411" s="1" t="s">
        <v>14</v>
      </c>
      <c r="F411" s="26">
        <v>0</v>
      </c>
      <c r="G411" s="26">
        <v>400</v>
      </c>
      <c r="H411" s="26">
        <v>400</v>
      </c>
      <c r="I411" s="26">
        <v>2334376</v>
      </c>
      <c r="J411" s="26">
        <v>18000000</v>
      </c>
    </row>
    <row r="412" spans="1:10">
      <c r="A412" s="24">
        <v>410</v>
      </c>
      <c r="B412" s="24">
        <f t="shared" si="8"/>
        <v>369</v>
      </c>
      <c r="C412" s="1" t="s">
        <v>1105</v>
      </c>
      <c r="D412" s="1" t="s">
        <v>2</v>
      </c>
      <c r="E412" s="1" t="s">
        <v>14</v>
      </c>
      <c r="F412" s="26">
        <v>0</v>
      </c>
      <c r="G412" s="26">
        <v>300</v>
      </c>
      <c r="H412" s="26">
        <v>300</v>
      </c>
      <c r="I412" s="26">
        <v>1430082.0000000002</v>
      </c>
      <c r="J412" s="26">
        <v>13500000</v>
      </c>
    </row>
    <row r="413" spans="1:10">
      <c r="A413" s="24">
        <v>411</v>
      </c>
      <c r="B413" s="24">
        <f t="shared" si="8"/>
        <v>369</v>
      </c>
      <c r="C413" s="1" t="s">
        <v>1105</v>
      </c>
      <c r="D413" s="1" t="s">
        <v>3</v>
      </c>
      <c r="E413" s="1" t="s">
        <v>14</v>
      </c>
      <c r="F413" s="26">
        <v>0</v>
      </c>
      <c r="G413" s="26">
        <v>200</v>
      </c>
      <c r="H413" s="26">
        <v>200</v>
      </c>
      <c r="I413" s="26">
        <v>953388.00000000012</v>
      </c>
      <c r="J413" s="26">
        <v>9000000</v>
      </c>
    </row>
    <row r="414" spans="1:10">
      <c r="A414" s="24">
        <v>412</v>
      </c>
      <c r="B414" s="24">
        <f t="shared" si="8"/>
        <v>370</v>
      </c>
      <c r="C414" s="1" t="s">
        <v>1106</v>
      </c>
      <c r="D414" s="1" t="s">
        <v>4</v>
      </c>
      <c r="E414" s="1" t="s">
        <v>14</v>
      </c>
      <c r="F414" s="26">
        <v>0</v>
      </c>
      <c r="G414" s="26">
        <v>500</v>
      </c>
      <c r="H414" s="26">
        <v>500</v>
      </c>
      <c r="I414" s="26">
        <v>2452285</v>
      </c>
      <c r="J414" s="26">
        <v>22500000</v>
      </c>
    </row>
    <row r="415" spans="1:10">
      <c r="A415" s="24">
        <v>413</v>
      </c>
      <c r="B415" s="24">
        <f t="shared" si="8"/>
        <v>371</v>
      </c>
      <c r="C415" s="1" t="s">
        <v>775</v>
      </c>
      <c r="F415" s="26">
        <v>0</v>
      </c>
      <c r="G415" s="26">
        <v>7200</v>
      </c>
      <c r="H415" s="26">
        <v>7200</v>
      </c>
      <c r="I415" s="26">
        <v>41004349</v>
      </c>
      <c r="J415" s="26">
        <v>317000000</v>
      </c>
    </row>
    <row r="416" spans="1:10">
      <c r="A416" s="24">
        <v>414</v>
      </c>
      <c r="B416" s="24">
        <f t="shared" si="8"/>
        <v>372</v>
      </c>
      <c r="C416" s="1" t="s">
        <v>1107</v>
      </c>
      <c r="D416" s="1" t="s">
        <v>4</v>
      </c>
      <c r="E416" s="1" t="s">
        <v>14</v>
      </c>
      <c r="F416" s="26">
        <v>0</v>
      </c>
      <c r="G416" s="26">
        <v>400</v>
      </c>
      <c r="H416" s="26">
        <v>400</v>
      </c>
      <c r="I416" s="26">
        <v>2418568</v>
      </c>
      <c r="J416" s="26">
        <v>22000000</v>
      </c>
    </row>
    <row r="417" spans="1:10">
      <c r="A417" s="24">
        <v>415</v>
      </c>
      <c r="B417" s="24">
        <f t="shared" si="8"/>
        <v>373</v>
      </c>
      <c r="C417" s="1" t="s">
        <v>1108</v>
      </c>
      <c r="D417" s="1" t="s">
        <v>4</v>
      </c>
      <c r="E417" s="1" t="s">
        <v>14</v>
      </c>
      <c r="F417" s="26">
        <v>0</v>
      </c>
      <c r="G417" s="26">
        <v>400</v>
      </c>
      <c r="H417" s="26">
        <v>400</v>
      </c>
      <c r="I417" s="26">
        <v>2403568</v>
      </c>
      <c r="J417" s="26">
        <v>22000000</v>
      </c>
    </row>
    <row r="418" spans="1:10">
      <c r="A418" s="24">
        <v>416</v>
      </c>
      <c r="B418" s="24">
        <f t="shared" si="8"/>
        <v>374</v>
      </c>
      <c r="C418" s="1" t="s">
        <v>1109</v>
      </c>
      <c r="D418" s="1" t="s">
        <v>4</v>
      </c>
      <c r="E418" s="1" t="s">
        <v>14</v>
      </c>
      <c r="F418" s="26">
        <v>0</v>
      </c>
      <c r="G418" s="26">
        <v>500</v>
      </c>
      <c r="H418" s="26">
        <v>500</v>
      </c>
      <c r="I418" s="26">
        <v>2967050</v>
      </c>
      <c r="J418" s="26">
        <v>27500000</v>
      </c>
    </row>
    <row r="419" spans="1:10">
      <c r="A419" s="24">
        <v>417</v>
      </c>
      <c r="B419" s="24">
        <f t="shared" si="8"/>
        <v>375</v>
      </c>
      <c r="C419" s="1" t="s">
        <v>1110</v>
      </c>
      <c r="D419" s="1" t="s">
        <v>4</v>
      </c>
      <c r="E419" s="1" t="s">
        <v>14</v>
      </c>
      <c r="F419" s="26">
        <v>0</v>
      </c>
      <c r="G419" s="26">
        <v>500</v>
      </c>
      <c r="H419" s="26">
        <v>500</v>
      </c>
      <c r="I419" s="26">
        <v>3255950.0000000005</v>
      </c>
      <c r="J419" s="26">
        <v>27500000</v>
      </c>
    </row>
    <row r="420" spans="1:10">
      <c r="A420" s="24">
        <v>418</v>
      </c>
      <c r="B420" s="24">
        <f t="shared" si="8"/>
        <v>376</v>
      </c>
      <c r="C420" s="1" t="s">
        <v>775</v>
      </c>
      <c r="F420" s="26">
        <v>0</v>
      </c>
      <c r="G420" s="26">
        <v>1800</v>
      </c>
      <c r="H420" s="26">
        <v>1800</v>
      </c>
      <c r="I420" s="26">
        <v>11045136</v>
      </c>
      <c r="J420" s="26">
        <v>99000000</v>
      </c>
    </row>
    <row r="421" spans="1:10">
      <c r="A421" s="24">
        <v>419</v>
      </c>
      <c r="B421" s="24">
        <f t="shared" si="8"/>
        <v>377</v>
      </c>
      <c r="C421" s="1" t="s">
        <v>1111</v>
      </c>
      <c r="D421" s="1" t="s">
        <v>4</v>
      </c>
      <c r="E421" s="1" t="s">
        <v>14</v>
      </c>
      <c r="F421" s="26">
        <v>0</v>
      </c>
      <c r="G421" s="26">
        <v>400</v>
      </c>
      <c r="H421" s="26">
        <v>400</v>
      </c>
      <c r="I421" s="26">
        <v>2608992</v>
      </c>
      <c r="J421" s="26">
        <v>19600000</v>
      </c>
    </row>
    <row r="422" spans="1:10">
      <c r="A422" s="24">
        <v>420</v>
      </c>
      <c r="B422" s="24">
        <f t="shared" si="8"/>
        <v>378</v>
      </c>
      <c r="C422" s="1" t="s">
        <v>1112</v>
      </c>
      <c r="D422" s="1" t="s">
        <v>4</v>
      </c>
      <c r="E422" s="1" t="s">
        <v>14</v>
      </c>
      <c r="F422" s="26">
        <v>0</v>
      </c>
      <c r="G422" s="26">
        <v>400</v>
      </c>
      <c r="H422" s="26">
        <v>400</v>
      </c>
      <c r="I422" s="26">
        <v>2576992</v>
      </c>
      <c r="J422" s="26">
        <v>19600000</v>
      </c>
    </row>
    <row r="423" spans="1:10">
      <c r="A423" s="24">
        <v>421</v>
      </c>
      <c r="B423" s="24">
        <f t="shared" si="8"/>
        <v>379</v>
      </c>
      <c r="C423" s="1" t="s">
        <v>1113</v>
      </c>
      <c r="D423" s="1" t="s">
        <v>4</v>
      </c>
      <c r="E423" s="1" t="s">
        <v>14</v>
      </c>
      <c r="F423" s="26">
        <v>0</v>
      </c>
      <c r="G423" s="26">
        <v>500</v>
      </c>
      <c r="H423" s="26">
        <v>500</v>
      </c>
      <c r="I423" s="26">
        <v>4998385</v>
      </c>
      <c r="J423" s="26">
        <v>34500000</v>
      </c>
    </row>
    <row r="424" spans="1:10">
      <c r="A424" s="24">
        <v>422</v>
      </c>
      <c r="B424" s="24">
        <f t="shared" si="8"/>
        <v>380</v>
      </c>
      <c r="C424" s="1" t="s">
        <v>1114</v>
      </c>
      <c r="D424" s="1" t="s">
        <v>4</v>
      </c>
      <c r="E424" s="1" t="s">
        <v>14</v>
      </c>
      <c r="F424" s="26">
        <v>0</v>
      </c>
      <c r="G424" s="26">
        <v>500</v>
      </c>
      <c r="H424" s="26">
        <v>500</v>
      </c>
      <c r="I424" s="26">
        <v>4923000</v>
      </c>
      <c r="J424" s="26">
        <v>32500000</v>
      </c>
    </row>
    <row r="425" spans="1:10">
      <c r="A425" s="24">
        <v>423</v>
      </c>
      <c r="B425" s="24">
        <f t="shared" si="8"/>
        <v>381</v>
      </c>
      <c r="C425" s="1" t="s">
        <v>1115</v>
      </c>
      <c r="D425" s="1" t="s">
        <v>4</v>
      </c>
      <c r="E425" s="1" t="s">
        <v>14</v>
      </c>
      <c r="F425" s="26">
        <v>0</v>
      </c>
      <c r="G425" s="26">
        <v>500</v>
      </c>
      <c r="H425" s="26">
        <v>500</v>
      </c>
      <c r="I425" s="26">
        <v>4692885</v>
      </c>
      <c r="J425" s="26">
        <v>34500000</v>
      </c>
    </row>
    <row r="426" spans="1:10">
      <c r="A426" s="24">
        <v>424</v>
      </c>
      <c r="B426" s="24">
        <f t="shared" si="8"/>
        <v>382</v>
      </c>
      <c r="C426" s="1" t="s">
        <v>1116</v>
      </c>
      <c r="D426" s="1" t="s">
        <v>4</v>
      </c>
      <c r="E426" s="1" t="s">
        <v>14</v>
      </c>
      <c r="F426" s="26">
        <v>0</v>
      </c>
      <c r="G426" s="26">
        <v>500</v>
      </c>
      <c r="H426" s="26">
        <v>500</v>
      </c>
      <c r="I426" s="26">
        <v>4630500</v>
      </c>
      <c r="J426" s="26">
        <v>32500000</v>
      </c>
    </row>
    <row r="427" spans="1:10">
      <c r="A427" s="24">
        <v>425</v>
      </c>
      <c r="B427" s="24">
        <f t="shared" si="8"/>
        <v>383</v>
      </c>
      <c r="C427" s="1" t="s">
        <v>1117</v>
      </c>
      <c r="D427" s="1" t="s">
        <v>4</v>
      </c>
      <c r="E427" s="1" t="s">
        <v>14</v>
      </c>
      <c r="F427" s="26">
        <v>0</v>
      </c>
      <c r="G427" s="26">
        <v>500</v>
      </c>
      <c r="H427" s="26">
        <v>500</v>
      </c>
      <c r="I427" s="26">
        <v>3921495.0000000005</v>
      </c>
      <c r="J427" s="26">
        <v>29500000</v>
      </c>
    </row>
    <row r="428" spans="1:10">
      <c r="A428" s="24">
        <v>426</v>
      </c>
      <c r="B428" s="24">
        <f t="shared" si="8"/>
        <v>384</v>
      </c>
      <c r="C428" s="1" t="s">
        <v>1118</v>
      </c>
      <c r="D428" s="1" t="s">
        <v>4</v>
      </c>
      <c r="E428" s="1" t="s">
        <v>14</v>
      </c>
      <c r="F428" s="26">
        <v>0</v>
      </c>
      <c r="G428" s="26">
        <v>500</v>
      </c>
      <c r="H428" s="26">
        <v>500</v>
      </c>
      <c r="I428" s="26">
        <v>3861509.9999999995</v>
      </c>
      <c r="J428" s="26">
        <v>27500000</v>
      </c>
    </row>
    <row r="429" spans="1:10">
      <c r="A429" s="24">
        <v>427</v>
      </c>
      <c r="B429" s="24">
        <f t="shared" si="8"/>
        <v>385</v>
      </c>
      <c r="C429" s="1" t="s">
        <v>1119</v>
      </c>
      <c r="D429" s="1" t="s">
        <v>4</v>
      </c>
      <c r="E429" s="1" t="s">
        <v>14</v>
      </c>
      <c r="F429" s="26">
        <v>0</v>
      </c>
      <c r="G429" s="26">
        <v>500</v>
      </c>
      <c r="H429" s="26">
        <v>500</v>
      </c>
      <c r="I429" s="26">
        <v>4958885</v>
      </c>
      <c r="J429" s="26">
        <v>34500000</v>
      </c>
    </row>
    <row r="430" spans="1:10">
      <c r="A430" s="24">
        <v>428</v>
      </c>
      <c r="B430" s="24">
        <f t="shared" si="8"/>
        <v>386</v>
      </c>
      <c r="C430" s="1" t="s">
        <v>1120</v>
      </c>
      <c r="D430" s="1" t="s">
        <v>4</v>
      </c>
      <c r="E430" s="1" t="s">
        <v>14</v>
      </c>
      <c r="F430" s="26">
        <v>0</v>
      </c>
      <c r="G430" s="26">
        <v>500</v>
      </c>
      <c r="H430" s="26">
        <v>500</v>
      </c>
      <c r="I430" s="26">
        <v>4937900</v>
      </c>
      <c r="J430" s="26">
        <v>34500000</v>
      </c>
    </row>
    <row r="431" spans="1:10">
      <c r="A431" s="24">
        <v>429</v>
      </c>
      <c r="B431" s="24">
        <f t="shared" si="8"/>
        <v>387</v>
      </c>
      <c r="C431" s="1" t="s">
        <v>1121</v>
      </c>
      <c r="D431" s="1" t="s">
        <v>4</v>
      </c>
      <c r="E431" s="1" t="s">
        <v>14</v>
      </c>
      <c r="F431" s="26">
        <v>0</v>
      </c>
      <c r="G431" s="26">
        <v>500</v>
      </c>
      <c r="H431" s="26">
        <v>500</v>
      </c>
      <c r="I431" s="26">
        <v>4303205</v>
      </c>
      <c r="J431" s="26">
        <v>32500000</v>
      </c>
    </row>
    <row r="432" spans="1:10">
      <c r="A432" s="24">
        <v>430</v>
      </c>
      <c r="B432" s="24">
        <f t="shared" si="8"/>
        <v>388</v>
      </c>
      <c r="C432" s="1" t="s">
        <v>1122</v>
      </c>
      <c r="D432" s="1" t="s">
        <v>4</v>
      </c>
      <c r="E432" s="1" t="s">
        <v>14</v>
      </c>
      <c r="F432" s="26">
        <v>0</v>
      </c>
      <c r="G432" s="26">
        <v>500</v>
      </c>
      <c r="H432" s="26">
        <v>500</v>
      </c>
      <c r="I432" s="26">
        <v>4750875</v>
      </c>
      <c r="J432" s="26">
        <v>34500000</v>
      </c>
    </row>
    <row r="433" spans="1:10">
      <c r="A433" s="24">
        <v>431</v>
      </c>
      <c r="B433" s="24">
        <f t="shared" si="8"/>
        <v>389</v>
      </c>
      <c r="C433" s="1" t="s">
        <v>775</v>
      </c>
      <c r="F433" s="26">
        <v>0</v>
      </c>
      <c r="G433" s="26">
        <v>5800</v>
      </c>
      <c r="H433" s="26">
        <v>5800</v>
      </c>
      <c r="I433" s="26">
        <v>51164624</v>
      </c>
      <c r="J433" s="26">
        <v>366200000</v>
      </c>
    </row>
    <row r="434" spans="1:10">
      <c r="A434" s="24">
        <v>432</v>
      </c>
      <c r="B434" s="24">
        <f t="shared" si="8"/>
        <v>390</v>
      </c>
      <c r="C434" s="1" t="s">
        <v>1123</v>
      </c>
      <c r="D434" s="1" t="s">
        <v>4</v>
      </c>
      <c r="E434" s="1" t="s">
        <v>14</v>
      </c>
      <c r="F434" s="26">
        <v>0</v>
      </c>
      <c r="G434" s="26">
        <v>500</v>
      </c>
      <c r="H434" s="26">
        <v>500</v>
      </c>
      <c r="I434" s="26">
        <v>2331045</v>
      </c>
      <c r="J434" s="26">
        <v>22500000</v>
      </c>
    </row>
    <row r="435" spans="1:10">
      <c r="A435" s="24">
        <v>433</v>
      </c>
      <c r="B435" s="24">
        <f t="shared" si="8"/>
        <v>391</v>
      </c>
      <c r="C435" s="1" t="s">
        <v>1124</v>
      </c>
      <c r="D435" s="1" t="s">
        <v>4</v>
      </c>
      <c r="E435" s="1" t="s">
        <v>14</v>
      </c>
      <c r="F435" s="26">
        <v>0</v>
      </c>
      <c r="G435" s="26">
        <v>500</v>
      </c>
      <c r="H435" s="26">
        <v>500</v>
      </c>
      <c r="I435" s="26">
        <v>2243675</v>
      </c>
      <c r="J435" s="26">
        <v>22500000</v>
      </c>
    </row>
    <row r="436" spans="1:10">
      <c r="A436" s="24">
        <v>434</v>
      </c>
      <c r="B436" s="24">
        <f t="shared" si="8"/>
        <v>392</v>
      </c>
      <c r="C436" s="1" t="s">
        <v>775</v>
      </c>
      <c r="F436" s="26">
        <v>0</v>
      </c>
      <c r="G436" s="26">
        <v>1000</v>
      </c>
      <c r="H436" s="26">
        <v>1000</v>
      </c>
      <c r="I436" s="26">
        <v>4574720</v>
      </c>
      <c r="J436" s="26">
        <v>45000000</v>
      </c>
    </row>
    <row r="437" spans="1:10">
      <c r="A437" s="24">
        <v>435</v>
      </c>
      <c r="B437" s="24">
        <f t="shared" si="8"/>
        <v>393</v>
      </c>
      <c r="C437" s="1" t="s">
        <v>1125</v>
      </c>
      <c r="D437" s="1" t="s">
        <v>2</v>
      </c>
      <c r="E437" s="1" t="s">
        <v>14</v>
      </c>
      <c r="F437" s="26">
        <v>0</v>
      </c>
      <c r="G437" s="26">
        <v>4000</v>
      </c>
      <c r="H437" s="26">
        <v>4000</v>
      </c>
      <c r="I437" s="26">
        <v>22256000</v>
      </c>
      <c r="J437" s="26">
        <v>196000000</v>
      </c>
    </row>
    <row r="438" spans="1:10">
      <c r="A438" s="24">
        <v>436</v>
      </c>
      <c r="B438" s="24">
        <f t="shared" si="8"/>
        <v>393</v>
      </c>
      <c r="C438" s="1" t="s">
        <v>1125</v>
      </c>
      <c r="D438" s="1" t="s">
        <v>3</v>
      </c>
      <c r="E438" s="1" t="s">
        <v>14</v>
      </c>
      <c r="F438" s="26">
        <v>0</v>
      </c>
      <c r="G438" s="26">
        <v>1000</v>
      </c>
      <c r="H438" s="26">
        <v>1000</v>
      </c>
      <c r="I438" s="26">
        <v>5564000</v>
      </c>
      <c r="J438" s="26">
        <v>49000000</v>
      </c>
    </row>
    <row r="439" spans="1:10">
      <c r="A439" s="24">
        <v>437</v>
      </c>
      <c r="B439" s="24">
        <f t="shared" si="8"/>
        <v>394</v>
      </c>
      <c r="C439" s="1" t="s">
        <v>1126</v>
      </c>
      <c r="D439" s="1" t="s">
        <v>4</v>
      </c>
      <c r="E439" s="1" t="s">
        <v>14</v>
      </c>
      <c r="F439" s="26">
        <v>0</v>
      </c>
      <c r="G439" s="26">
        <v>3000</v>
      </c>
      <c r="H439" s="26">
        <v>3000</v>
      </c>
      <c r="I439" s="26">
        <v>14613000</v>
      </c>
      <c r="J439" s="26">
        <v>129000000</v>
      </c>
    </row>
    <row r="440" spans="1:10">
      <c r="A440" s="24">
        <v>438</v>
      </c>
      <c r="B440" s="24">
        <f t="shared" si="8"/>
        <v>395</v>
      </c>
      <c r="C440" s="1" t="s">
        <v>1127</v>
      </c>
      <c r="D440" s="1" t="s">
        <v>4</v>
      </c>
      <c r="E440" s="1" t="s">
        <v>14</v>
      </c>
      <c r="F440" s="26">
        <v>0</v>
      </c>
      <c r="G440" s="26">
        <v>1500</v>
      </c>
      <c r="H440" s="26">
        <v>1500</v>
      </c>
      <c r="I440" s="26">
        <v>8086125</v>
      </c>
      <c r="J440" s="26">
        <v>67500000</v>
      </c>
    </row>
    <row r="441" spans="1:10">
      <c r="A441" s="24">
        <v>439</v>
      </c>
      <c r="B441" s="24">
        <f t="shared" si="8"/>
        <v>396</v>
      </c>
      <c r="C441" s="1" t="s">
        <v>775</v>
      </c>
      <c r="F441" s="26">
        <v>0</v>
      </c>
      <c r="G441" s="26">
        <v>9500</v>
      </c>
      <c r="H441" s="26">
        <v>9500</v>
      </c>
      <c r="I441" s="26">
        <v>50519125</v>
      </c>
      <c r="J441" s="26">
        <v>441500000</v>
      </c>
    </row>
    <row r="442" spans="1:10">
      <c r="A442" s="24">
        <v>440</v>
      </c>
      <c r="B442" s="24">
        <f t="shared" si="8"/>
        <v>397</v>
      </c>
      <c r="C442" s="1" t="s">
        <v>1128</v>
      </c>
      <c r="D442" s="1" t="s">
        <v>4</v>
      </c>
      <c r="E442" s="1" t="s">
        <v>14</v>
      </c>
      <c r="F442" s="26">
        <v>0</v>
      </c>
      <c r="G442" s="26">
        <v>700</v>
      </c>
      <c r="H442" s="26">
        <v>700</v>
      </c>
      <c r="I442" s="26">
        <v>4772831.0000000009</v>
      </c>
      <c r="J442" s="26">
        <v>34300000</v>
      </c>
    </row>
    <row r="443" spans="1:10">
      <c r="A443" s="24">
        <v>441</v>
      </c>
      <c r="B443" s="24">
        <f t="shared" si="8"/>
        <v>398</v>
      </c>
      <c r="C443" s="1" t="s">
        <v>775</v>
      </c>
      <c r="F443" s="26">
        <v>0</v>
      </c>
      <c r="G443" s="26">
        <v>700</v>
      </c>
      <c r="H443" s="26">
        <v>700</v>
      </c>
      <c r="I443" s="26">
        <v>4772831.0000000009</v>
      </c>
      <c r="J443" s="26">
        <v>34300000</v>
      </c>
    </row>
    <row r="444" spans="1:10">
      <c r="A444" s="24">
        <v>442</v>
      </c>
      <c r="B444" s="24">
        <f t="shared" si="8"/>
        <v>399</v>
      </c>
      <c r="C444" s="1" t="s">
        <v>1129</v>
      </c>
      <c r="D444" s="1" t="s">
        <v>4</v>
      </c>
      <c r="E444" s="1" t="s">
        <v>14</v>
      </c>
      <c r="F444" s="26">
        <v>700</v>
      </c>
      <c r="G444" s="26">
        <v>0</v>
      </c>
      <c r="H444" s="26">
        <v>700</v>
      </c>
      <c r="I444" s="26">
        <v>5151762.0000000009</v>
      </c>
      <c r="J444" s="26">
        <v>41300000</v>
      </c>
    </row>
    <row r="445" spans="1:10">
      <c r="A445" s="24">
        <v>443</v>
      </c>
      <c r="B445" s="24">
        <f t="shared" si="8"/>
        <v>400</v>
      </c>
      <c r="C445" s="1" t="s">
        <v>775</v>
      </c>
      <c r="F445" s="26">
        <v>700</v>
      </c>
      <c r="G445" s="26">
        <v>0</v>
      </c>
      <c r="H445" s="26">
        <v>700</v>
      </c>
      <c r="I445" s="26">
        <v>5151762.0000000009</v>
      </c>
      <c r="J445" s="26">
        <v>41300000</v>
      </c>
    </row>
    <row r="446" spans="1:10">
      <c r="A446" s="24">
        <v>444</v>
      </c>
      <c r="B446" s="24">
        <f t="shared" si="8"/>
        <v>401</v>
      </c>
      <c r="C446" s="1" t="s">
        <v>1131</v>
      </c>
      <c r="D446" s="1" t="s">
        <v>8</v>
      </c>
      <c r="E446" s="1" t="s">
        <v>14</v>
      </c>
      <c r="F446" s="26">
        <v>990</v>
      </c>
      <c r="G446" s="26">
        <v>0</v>
      </c>
      <c r="H446" s="26">
        <v>1000</v>
      </c>
      <c r="I446" s="26">
        <v>22920000</v>
      </c>
      <c r="J446" s="26">
        <v>109000000</v>
      </c>
    </row>
    <row r="447" spans="1:10">
      <c r="A447" s="24">
        <v>445</v>
      </c>
      <c r="B447" s="24">
        <f t="shared" si="8"/>
        <v>402</v>
      </c>
      <c r="C447" s="1" t="s">
        <v>1132</v>
      </c>
      <c r="D447" s="1" t="s">
        <v>8</v>
      </c>
      <c r="E447" s="1" t="s">
        <v>14</v>
      </c>
      <c r="F447" s="26">
        <v>510</v>
      </c>
      <c r="G447" s="26">
        <v>0</v>
      </c>
      <c r="H447" s="26">
        <v>500</v>
      </c>
      <c r="I447" s="26">
        <v>11460000</v>
      </c>
      <c r="J447" s="26">
        <v>54500000</v>
      </c>
    </row>
    <row r="448" spans="1:10">
      <c r="A448" s="24">
        <v>446</v>
      </c>
      <c r="B448" s="24">
        <f t="shared" si="8"/>
        <v>403</v>
      </c>
      <c r="C448" s="1" t="s">
        <v>1133</v>
      </c>
      <c r="D448" s="1" t="s">
        <v>8</v>
      </c>
      <c r="E448" s="1" t="s">
        <v>14</v>
      </c>
      <c r="F448" s="26">
        <v>500</v>
      </c>
      <c r="G448" s="26">
        <v>0</v>
      </c>
      <c r="H448" s="26">
        <v>500</v>
      </c>
      <c r="I448" s="26">
        <v>11460000</v>
      </c>
      <c r="J448" s="26">
        <v>54500000</v>
      </c>
    </row>
    <row r="449" spans="1:10">
      <c r="A449" s="24">
        <v>447</v>
      </c>
      <c r="B449" s="24">
        <f t="shared" si="8"/>
        <v>404</v>
      </c>
      <c r="C449" s="1" t="s">
        <v>1134</v>
      </c>
      <c r="D449" s="1" t="s">
        <v>7</v>
      </c>
      <c r="E449" s="1" t="s">
        <v>14</v>
      </c>
      <c r="F449" s="26">
        <v>500</v>
      </c>
      <c r="G449" s="26">
        <v>0</v>
      </c>
      <c r="H449" s="26">
        <v>500</v>
      </c>
      <c r="I449" s="26">
        <v>10010000</v>
      </c>
      <c r="J449" s="26">
        <v>49500000</v>
      </c>
    </row>
    <row r="450" spans="1:10">
      <c r="A450" s="24">
        <v>448</v>
      </c>
      <c r="B450" s="24">
        <f t="shared" si="8"/>
        <v>405</v>
      </c>
      <c r="C450" s="1" t="s">
        <v>1135</v>
      </c>
      <c r="D450" s="1" t="s">
        <v>7</v>
      </c>
      <c r="E450" s="1" t="s">
        <v>14</v>
      </c>
      <c r="F450" s="26">
        <v>500</v>
      </c>
      <c r="G450" s="26">
        <v>0</v>
      </c>
      <c r="H450" s="26">
        <v>500</v>
      </c>
      <c r="I450" s="26">
        <v>10010000</v>
      </c>
      <c r="J450" s="26">
        <v>49500000</v>
      </c>
    </row>
    <row r="451" spans="1:10">
      <c r="A451" s="24">
        <v>449</v>
      </c>
      <c r="B451" s="24">
        <f t="shared" si="8"/>
        <v>406</v>
      </c>
      <c r="C451" s="1" t="s">
        <v>1136</v>
      </c>
      <c r="D451" s="1" t="s">
        <v>7</v>
      </c>
      <c r="E451" s="1" t="s">
        <v>14</v>
      </c>
      <c r="F451" s="26">
        <v>500</v>
      </c>
      <c r="G451" s="26">
        <v>0</v>
      </c>
      <c r="H451" s="26">
        <v>500</v>
      </c>
      <c r="I451" s="26">
        <v>10460000</v>
      </c>
      <c r="J451" s="26">
        <v>49500000</v>
      </c>
    </row>
    <row r="452" spans="1:10">
      <c r="A452" s="24">
        <v>450</v>
      </c>
      <c r="B452" s="24">
        <f t="shared" ref="B452:B515" si="9">IF(C451=C452,B451,B451+1)</f>
        <v>407</v>
      </c>
      <c r="C452" s="1" t="s">
        <v>797</v>
      </c>
      <c r="D452" s="1" t="s">
        <v>4</v>
      </c>
      <c r="E452" s="1" t="s">
        <v>14</v>
      </c>
      <c r="F452" s="26">
        <v>500</v>
      </c>
      <c r="G452" s="26">
        <v>0</v>
      </c>
      <c r="H452" s="26">
        <v>500</v>
      </c>
      <c r="I452" s="26">
        <v>5010000</v>
      </c>
      <c r="J452" s="26">
        <v>22500000</v>
      </c>
    </row>
    <row r="453" spans="1:10">
      <c r="A453" s="24">
        <v>451</v>
      </c>
      <c r="B453" s="24">
        <f t="shared" si="9"/>
        <v>408</v>
      </c>
      <c r="C453" s="1" t="s">
        <v>775</v>
      </c>
      <c r="F453" s="26">
        <v>4000</v>
      </c>
      <c r="G453" s="26">
        <v>0</v>
      </c>
      <c r="H453" s="26">
        <v>4000</v>
      </c>
      <c r="I453" s="26">
        <v>81330000</v>
      </c>
      <c r="J453" s="26">
        <v>389000000</v>
      </c>
    </row>
    <row r="454" spans="1:10">
      <c r="A454" s="24">
        <v>452</v>
      </c>
      <c r="B454" s="24">
        <f t="shared" si="9"/>
        <v>409</v>
      </c>
      <c r="C454" s="1" t="s">
        <v>920</v>
      </c>
      <c r="D454" s="1" t="s">
        <v>4</v>
      </c>
      <c r="E454" s="1" t="s">
        <v>14</v>
      </c>
      <c r="F454" s="26">
        <v>3000</v>
      </c>
      <c r="G454" s="26">
        <v>0</v>
      </c>
      <c r="H454" s="26">
        <v>3000</v>
      </c>
      <c r="I454" s="26">
        <v>25560000</v>
      </c>
      <c r="J454" s="26">
        <v>147000000</v>
      </c>
    </row>
    <row r="455" spans="1:10">
      <c r="A455" s="24">
        <v>453</v>
      </c>
      <c r="B455" s="24">
        <f t="shared" si="9"/>
        <v>410</v>
      </c>
      <c r="C455" s="1" t="s">
        <v>775</v>
      </c>
      <c r="F455" s="26">
        <v>3000</v>
      </c>
      <c r="G455" s="26">
        <v>0</v>
      </c>
      <c r="H455" s="26">
        <v>3000</v>
      </c>
      <c r="I455" s="26">
        <v>25560000</v>
      </c>
      <c r="J455" s="26">
        <v>147000000</v>
      </c>
    </row>
    <row r="456" spans="1:10">
      <c r="A456" s="24">
        <v>454</v>
      </c>
      <c r="B456" s="24">
        <f t="shared" si="9"/>
        <v>411</v>
      </c>
      <c r="C456" s="1" t="s">
        <v>1137</v>
      </c>
      <c r="D456" s="1" t="s">
        <v>4</v>
      </c>
      <c r="E456" s="1" t="s">
        <v>14</v>
      </c>
      <c r="F456" s="26">
        <v>497</v>
      </c>
      <c r="G456" s="26">
        <v>503</v>
      </c>
      <c r="H456" s="26">
        <v>1000</v>
      </c>
      <c r="I456" s="26">
        <v>9020000</v>
      </c>
      <c r="J456" s="26">
        <v>55000000</v>
      </c>
    </row>
    <row r="457" spans="1:10">
      <c r="A457" s="24">
        <v>455</v>
      </c>
      <c r="B457" s="24">
        <f t="shared" si="9"/>
        <v>412</v>
      </c>
      <c r="C457" s="1" t="s">
        <v>1138</v>
      </c>
      <c r="D457" s="1" t="s">
        <v>4</v>
      </c>
      <c r="E457" s="1" t="s">
        <v>14</v>
      </c>
      <c r="F457" s="26">
        <v>499</v>
      </c>
      <c r="G457" s="26">
        <v>501</v>
      </c>
      <c r="H457" s="26">
        <v>1000</v>
      </c>
      <c r="I457" s="26">
        <v>9020000</v>
      </c>
      <c r="J457" s="26">
        <v>55000000</v>
      </c>
    </row>
    <row r="458" spans="1:10">
      <c r="A458" s="24">
        <v>456</v>
      </c>
      <c r="B458" s="24">
        <f t="shared" si="9"/>
        <v>413</v>
      </c>
      <c r="C458" s="1" t="s">
        <v>775</v>
      </c>
      <c r="F458" s="26">
        <v>996</v>
      </c>
      <c r="G458" s="26">
        <v>1004</v>
      </c>
      <c r="H458" s="26">
        <v>2000</v>
      </c>
      <c r="I458" s="26">
        <v>18040000</v>
      </c>
      <c r="J458" s="26">
        <v>110000000</v>
      </c>
    </row>
    <row r="459" spans="1:10">
      <c r="A459" s="24">
        <v>457</v>
      </c>
      <c r="B459" s="24">
        <f t="shared" si="9"/>
        <v>414</v>
      </c>
      <c r="C459" s="1" t="s">
        <v>1139</v>
      </c>
      <c r="D459" s="1" t="s">
        <v>4</v>
      </c>
      <c r="E459" s="1" t="s">
        <v>14</v>
      </c>
      <c r="F459" s="26">
        <v>0</v>
      </c>
      <c r="G459" s="26">
        <v>1000</v>
      </c>
      <c r="H459" s="26">
        <v>1000</v>
      </c>
      <c r="I459" s="26">
        <v>5938470</v>
      </c>
      <c r="J459" s="26">
        <v>49000000</v>
      </c>
    </row>
    <row r="460" spans="1:10">
      <c r="A460" s="24">
        <v>458</v>
      </c>
      <c r="B460" s="24">
        <f t="shared" si="9"/>
        <v>415</v>
      </c>
      <c r="C460" s="1" t="s">
        <v>775</v>
      </c>
      <c r="F460" s="26">
        <v>0</v>
      </c>
      <c r="G460" s="26">
        <v>1000</v>
      </c>
      <c r="H460" s="26">
        <v>1000</v>
      </c>
      <c r="I460" s="26">
        <v>5938470</v>
      </c>
      <c r="J460" s="26">
        <v>49000000</v>
      </c>
    </row>
    <row r="461" spans="1:10">
      <c r="A461" s="24">
        <v>459</v>
      </c>
      <c r="B461" s="24">
        <f t="shared" si="9"/>
        <v>416</v>
      </c>
      <c r="C461" s="1" t="s">
        <v>1140</v>
      </c>
      <c r="D461" s="1" t="s">
        <v>2</v>
      </c>
      <c r="E461" s="1" t="s">
        <v>14</v>
      </c>
      <c r="F461" s="26">
        <v>0</v>
      </c>
      <c r="G461" s="26">
        <v>400</v>
      </c>
      <c r="H461" s="26">
        <v>400</v>
      </c>
      <c r="I461" s="26">
        <v>3563030.0000000005</v>
      </c>
      <c r="J461" s="26">
        <v>22000000</v>
      </c>
    </row>
    <row r="462" spans="1:10">
      <c r="A462" s="24">
        <v>460</v>
      </c>
      <c r="B462" s="24">
        <f t="shared" si="9"/>
        <v>416</v>
      </c>
      <c r="C462" s="1" t="s">
        <v>1140</v>
      </c>
      <c r="D462" s="1" t="s">
        <v>3</v>
      </c>
      <c r="E462" s="1" t="s">
        <v>14</v>
      </c>
      <c r="F462" s="26">
        <v>0</v>
      </c>
      <c r="G462" s="26">
        <v>400</v>
      </c>
      <c r="H462" s="26">
        <v>400</v>
      </c>
      <c r="I462" s="26">
        <v>3563030.0000000005</v>
      </c>
      <c r="J462" s="26">
        <v>22000000</v>
      </c>
    </row>
    <row r="463" spans="1:10">
      <c r="A463" s="24">
        <v>461</v>
      </c>
      <c r="B463" s="24">
        <f t="shared" si="9"/>
        <v>417</v>
      </c>
      <c r="C463" s="1" t="s">
        <v>1141</v>
      </c>
      <c r="D463" s="1" t="s">
        <v>4</v>
      </c>
      <c r="E463" s="1" t="s">
        <v>14</v>
      </c>
      <c r="F463" s="26">
        <v>0</v>
      </c>
      <c r="G463" s="26">
        <v>800</v>
      </c>
      <c r="H463" s="26">
        <v>800</v>
      </c>
      <c r="I463" s="26">
        <v>7517256.0000000009</v>
      </c>
      <c r="J463" s="26">
        <v>44000000</v>
      </c>
    </row>
    <row r="464" spans="1:10">
      <c r="A464" s="24">
        <v>462</v>
      </c>
      <c r="B464" s="24">
        <f t="shared" si="9"/>
        <v>418</v>
      </c>
      <c r="C464" s="1" t="s">
        <v>1142</v>
      </c>
      <c r="D464" s="1" t="s">
        <v>4</v>
      </c>
      <c r="E464" s="1" t="s">
        <v>14</v>
      </c>
      <c r="F464" s="26">
        <v>0</v>
      </c>
      <c r="G464" s="26">
        <v>800</v>
      </c>
      <c r="H464" s="26">
        <v>800</v>
      </c>
      <c r="I464" s="26">
        <v>7517256.0000000009</v>
      </c>
      <c r="J464" s="26">
        <v>44000000</v>
      </c>
    </row>
    <row r="465" spans="1:10">
      <c r="A465" s="24">
        <v>463</v>
      </c>
      <c r="B465" s="24">
        <f t="shared" si="9"/>
        <v>419</v>
      </c>
      <c r="C465" s="1" t="s">
        <v>1143</v>
      </c>
      <c r="D465" s="1" t="s">
        <v>2</v>
      </c>
      <c r="E465" s="1" t="s">
        <v>14</v>
      </c>
      <c r="F465" s="26">
        <v>0</v>
      </c>
      <c r="G465" s="26">
        <v>400</v>
      </c>
      <c r="H465" s="26">
        <v>400</v>
      </c>
      <c r="I465" s="26">
        <v>3618088.0000000005</v>
      </c>
      <c r="J465" s="26">
        <v>22000000</v>
      </c>
    </row>
    <row r="466" spans="1:10">
      <c r="A466" s="24">
        <v>464</v>
      </c>
      <c r="B466" s="24">
        <f t="shared" si="9"/>
        <v>419</v>
      </c>
      <c r="C466" s="1" t="s">
        <v>1143</v>
      </c>
      <c r="D466" s="1" t="s">
        <v>3</v>
      </c>
      <c r="E466" s="1" t="s">
        <v>14</v>
      </c>
      <c r="F466" s="26">
        <v>0</v>
      </c>
      <c r="G466" s="26">
        <v>400</v>
      </c>
      <c r="H466" s="26">
        <v>400</v>
      </c>
      <c r="I466" s="26">
        <v>3618088.0000000005</v>
      </c>
      <c r="J466" s="26">
        <v>22000000</v>
      </c>
    </row>
    <row r="467" spans="1:10">
      <c r="A467" s="24">
        <v>465</v>
      </c>
      <c r="B467" s="24">
        <f t="shared" si="9"/>
        <v>420</v>
      </c>
      <c r="C467" s="1" t="s">
        <v>1144</v>
      </c>
      <c r="D467" s="1" t="s">
        <v>4</v>
      </c>
      <c r="E467" s="1" t="s">
        <v>14</v>
      </c>
      <c r="F467" s="26">
        <v>0</v>
      </c>
      <c r="G467" s="26">
        <v>800</v>
      </c>
      <c r="H467" s="26">
        <v>800</v>
      </c>
      <c r="I467" s="26">
        <v>6631792.0000000009</v>
      </c>
      <c r="J467" s="26">
        <v>47200000</v>
      </c>
    </row>
    <row r="468" spans="1:10">
      <c r="A468" s="24">
        <v>466</v>
      </c>
      <c r="B468" s="24">
        <f t="shared" si="9"/>
        <v>421</v>
      </c>
      <c r="C468" s="1" t="s">
        <v>1145</v>
      </c>
      <c r="D468" s="1" t="s">
        <v>4</v>
      </c>
      <c r="E468" s="1" t="s">
        <v>14</v>
      </c>
      <c r="F468" s="26">
        <v>0</v>
      </c>
      <c r="G468" s="26">
        <v>800</v>
      </c>
      <c r="H468" s="26">
        <v>800</v>
      </c>
      <c r="I468" s="26">
        <v>6813792.0000000009</v>
      </c>
      <c r="J468" s="26">
        <v>47200000</v>
      </c>
    </row>
    <row r="469" spans="1:10">
      <c r="A469" s="24">
        <v>467</v>
      </c>
      <c r="B469" s="24">
        <f t="shared" si="9"/>
        <v>422</v>
      </c>
      <c r="C469" s="1" t="s">
        <v>775</v>
      </c>
      <c r="F469" s="26">
        <v>0</v>
      </c>
      <c r="G469" s="26">
        <v>4800</v>
      </c>
      <c r="H469" s="26">
        <v>4800</v>
      </c>
      <c r="I469" s="26">
        <v>42842332.000000007</v>
      </c>
      <c r="J469" s="26">
        <v>270400000</v>
      </c>
    </row>
    <row r="470" spans="1:10">
      <c r="A470" s="24">
        <v>468</v>
      </c>
      <c r="B470" s="24">
        <f t="shared" si="9"/>
        <v>423</v>
      </c>
      <c r="C470" s="1" t="s">
        <v>1146</v>
      </c>
      <c r="D470" s="1" t="s">
        <v>4</v>
      </c>
      <c r="E470" s="1" t="s">
        <v>14</v>
      </c>
      <c r="F470" s="26">
        <v>0</v>
      </c>
      <c r="G470" s="26">
        <v>700</v>
      </c>
      <c r="H470" s="26">
        <v>700</v>
      </c>
      <c r="I470" s="26">
        <v>6112260.0000000009</v>
      </c>
      <c r="J470" s="26">
        <v>45500000</v>
      </c>
    </row>
    <row r="471" spans="1:10">
      <c r="A471" s="24">
        <v>469</v>
      </c>
      <c r="B471" s="24">
        <f t="shared" si="9"/>
        <v>424</v>
      </c>
      <c r="C471" s="1" t="s">
        <v>1147</v>
      </c>
      <c r="D471" s="1" t="s">
        <v>4</v>
      </c>
      <c r="E471" s="1" t="s">
        <v>14</v>
      </c>
      <c r="F471" s="26">
        <v>0</v>
      </c>
      <c r="G471" s="26">
        <v>700</v>
      </c>
      <c r="H471" s="26">
        <v>700</v>
      </c>
      <c r="I471" s="26">
        <v>6112260.0000000009</v>
      </c>
      <c r="J471" s="26">
        <v>45500000</v>
      </c>
    </row>
    <row r="472" spans="1:10">
      <c r="A472" s="24">
        <v>470</v>
      </c>
      <c r="B472" s="24">
        <f t="shared" si="9"/>
        <v>425</v>
      </c>
      <c r="C472" s="1" t="s">
        <v>775</v>
      </c>
      <c r="F472" s="26">
        <v>0</v>
      </c>
      <c r="G472" s="26">
        <v>1400</v>
      </c>
      <c r="H472" s="26">
        <v>1400</v>
      </c>
      <c r="I472" s="26">
        <v>12224520.000000002</v>
      </c>
      <c r="J472" s="26">
        <v>91000000</v>
      </c>
    </row>
    <row r="473" spans="1:10">
      <c r="A473" s="24">
        <v>471</v>
      </c>
      <c r="B473" s="24">
        <f t="shared" si="9"/>
        <v>426</v>
      </c>
      <c r="C473" s="1" t="s">
        <v>1148</v>
      </c>
      <c r="D473" s="1" t="s">
        <v>4</v>
      </c>
      <c r="E473" s="1" t="s">
        <v>14</v>
      </c>
      <c r="F473" s="26">
        <v>0</v>
      </c>
      <c r="G473" s="26">
        <v>1500</v>
      </c>
      <c r="H473" s="26">
        <v>1500</v>
      </c>
      <c r="I473" s="26">
        <v>5549745.0000000009</v>
      </c>
      <c r="J473" s="26">
        <v>82500000</v>
      </c>
    </row>
    <row r="474" spans="1:10">
      <c r="A474" s="24">
        <v>472</v>
      </c>
      <c r="B474" s="24">
        <f t="shared" si="9"/>
        <v>427</v>
      </c>
      <c r="C474" s="1" t="s">
        <v>1149</v>
      </c>
      <c r="D474" s="1" t="s">
        <v>4</v>
      </c>
      <c r="E474" s="1" t="s">
        <v>14</v>
      </c>
      <c r="F474" s="26">
        <v>0</v>
      </c>
      <c r="G474" s="26">
        <v>1000</v>
      </c>
      <c r="H474" s="26">
        <v>1000</v>
      </c>
      <c r="I474" s="26">
        <v>3824570</v>
      </c>
      <c r="J474" s="26">
        <v>55000000</v>
      </c>
    </row>
    <row r="475" spans="1:10">
      <c r="A475" s="24">
        <v>473</v>
      </c>
      <c r="B475" s="24">
        <f t="shared" si="9"/>
        <v>428</v>
      </c>
      <c r="C475" s="1" t="s">
        <v>775</v>
      </c>
      <c r="F475" s="26">
        <v>0</v>
      </c>
      <c r="G475" s="26">
        <v>2500</v>
      </c>
      <c r="H475" s="26">
        <v>2500</v>
      </c>
      <c r="I475" s="26">
        <v>9374315</v>
      </c>
      <c r="J475" s="26">
        <v>137500000</v>
      </c>
    </row>
    <row r="476" spans="1:10">
      <c r="A476" s="24">
        <v>474</v>
      </c>
      <c r="B476" s="24">
        <f t="shared" si="9"/>
        <v>429</v>
      </c>
      <c r="C476" s="1" t="s">
        <v>1150</v>
      </c>
      <c r="D476" s="1" t="s">
        <v>4</v>
      </c>
      <c r="E476" s="1" t="s">
        <v>14</v>
      </c>
      <c r="F476" s="26">
        <v>0</v>
      </c>
      <c r="G476" s="26">
        <v>1200</v>
      </c>
      <c r="H476" s="26">
        <v>1200</v>
      </c>
      <c r="I476" s="26">
        <v>5861832</v>
      </c>
      <c r="J476" s="26">
        <v>78000000</v>
      </c>
    </row>
    <row r="477" spans="1:10">
      <c r="A477" s="24">
        <v>475</v>
      </c>
      <c r="B477" s="24">
        <f t="shared" si="9"/>
        <v>430</v>
      </c>
      <c r="C477" s="1" t="s">
        <v>1151</v>
      </c>
      <c r="D477" s="1" t="s">
        <v>4</v>
      </c>
      <c r="E477" s="1" t="s">
        <v>14</v>
      </c>
      <c r="F477" s="26">
        <v>0</v>
      </c>
      <c r="G477" s="26">
        <v>1200</v>
      </c>
      <c r="H477" s="26">
        <v>1200</v>
      </c>
      <c r="I477" s="26">
        <v>5861832</v>
      </c>
      <c r="J477" s="26">
        <v>70800000</v>
      </c>
    </row>
    <row r="478" spans="1:10">
      <c r="A478" s="24">
        <v>476</v>
      </c>
      <c r="B478" s="24">
        <f t="shared" si="9"/>
        <v>431</v>
      </c>
      <c r="C478" s="1" t="s">
        <v>1152</v>
      </c>
      <c r="D478" s="1" t="s">
        <v>4</v>
      </c>
      <c r="E478" s="1" t="s">
        <v>14</v>
      </c>
      <c r="F478" s="26">
        <v>0</v>
      </c>
      <c r="G478" s="26">
        <v>1200</v>
      </c>
      <c r="H478" s="26">
        <v>1200</v>
      </c>
      <c r="I478" s="26">
        <v>5861832</v>
      </c>
      <c r="J478" s="26">
        <v>70800000</v>
      </c>
    </row>
    <row r="479" spans="1:10">
      <c r="A479" s="24">
        <v>477</v>
      </c>
      <c r="B479" s="24">
        <f t="shared" si="9"/>
        <v>432</v>
      </c>
      <c r="C479" s="1" t="s">
        <v>775</v>
      </c>
      <c r="F479" s="26">
        <v>0</v>
      </c>
      <c r="G479" s="26">
        <v>3600</v>
      </c>
      <c r="H479" s="26">
        <v>3600</v>
      </c>
      <c r="I479" s="26">
        <v>17585496</v>
      </c>
      <c r="J479" s="26">
        <v>219600000</v>
      </c>
    </row>
    <row r="480" spans="1:10">
      <c r="A480" s="24">
        <v>478</v>
      </c>
      <c r="B480" s="24">
        <f t="shared" si="9"/>
        <v>433</v>
      </c>
      <c r="C480" s="1" t="s">
        <v>1153</v>
      </c>
      <c r="D480" s="1" t="s">
        <v>4</v>
      </c>
      <c r="E480" s="1" t="s">
        <v>14</v>
      </c>
      <c r="F480" s="26">
        <v>0</v>
      </c>
      <c r="G480" s="26">
        <v>700</v>
      </c>
      <c r="H480" s="26">
        <v>700</v>
      </c>
      <c r="I480" s="26">
        <v>9100000</v>
      </c>
      <c r="J480" s="26">
        <v>37100000</v>
      </c>
    </row>
    <row r="481" spans="1:10">
      <c r="A481" s="24">
        <v>479</v>
      </c>
      <c r="B481" s="24">
        <f t="shared" si="9"/>
        <v>434</v>
      </c>
      <c r="C481" s="1" t="s">
        <v>775</v>
      </c>
      <c r="F481" s="26">
        <v>0</v>
      </c>
      <c r="G481" s="26">
        <v>700</v>
      </c>
      <c r="H481" s="26">
        <v>700</v>
      </c>
      <c r="I481" s="26">
        <v>9100000</v>
      </c>
      <c r="J481" s="26">
        <v>37100000</v>
      </c>
    </row>
    <row r="482" spans="1:10">
      <c r="A482" s="24">
        <v>480</v>
      </c>
      <c r="B482" s="24">
        <f t="shared" si="9"/>
        <v>435</v>
      </c>
      <c r="C482" s="1" t="s">
        <v>1154</v>
      </c>
      <c r="D482" s="1" t="s">
        <v>7</v>
      </c>
      <c r="E482" s="1" t="s">
        <v>14</v>
      </c>
      <c r="F482" s="26">
        <v>0</v>
      </c>
      <c r="G482" s="26">
        <v>450</v>
      </c>
      <c r="H482" s="26">
        <v>450</v>
      </c>
      <c r="I482" s="26">
        <v>10923750</v>
      </c>
      <c r="J482" s="26">
        <v>44550000</v>
      </c>
    </row>
    <row r="483" spans="1:10">
      <c r="A483" s="24">
        <v>481</v>
      </c>
      <c r="B483" s="24">
        <f t="shared" si="9"/>
        <v>435</v>
      </c>
      <c r="C483" s="1" t="s">
        <v>1154</v>
      </c>
      <c r="D483" s="1" t="s">
        <v>8</v>
      </c>
      <c r="E483" s="1" t="s">
        <v>14</v>
      </c>
      <c r="F483" s="26">
        <v>0</v>
      </c>
      <c r="G483" s="26">
        <v>350</v>
      </c>
      <c r="H483" s="26">
        <v>350</v>
      </c>
      <c r="I483" s="26">
        <v>8496250</v>
      </c>
      <c r="J483" s="26">
        <v>34650000</v>
      </c>
    </row>
    <row r="484" spans="1:10">
      <c r="A484" s="24">
        <v>482</v>
      </c>
      <c r="B484" s="24">
        <f t="shared" si="9"/>
        <v>435</v>
      </c>
      <c r="C484" s="1" t="s">
        <v>1154</v>
      </c>
      <c r="D484" s="1" t="s">
        <v>9</v>
      </c>
      <c r="E484" s="1" t="s">
        <v>14</v>
      </c>
      <c r="F484" s="26">
        <v>0</v>
      </c>
      <c r="G484" s="26">
        <v>250</v>
      </c>
      <c r="H484" s="26">
        <v>250</v>
      </c>
      <c r="I484" s="26">
        <v>6068750</v>
      </c>
      <c r="J484" s="26">
        <v>24750000</v>
      </c>
    </row>
    <row r="485" spans="1:10">
      <c r="A485" s="24">
        <v>483</v>
      </c>
      <c r="B485" s="24">
        <f t="shared" si="9"/>
        <v>435</v>
      </c>
      <c r="C485" s="1" t="s">
        <v>1154</v>
      </c>
      <c r="D485" s="1" t="s">
        <v>10</v>
      </c>
      <c r="E485" s="1" t="s">
        <v>14</v>
      </c>
      <c r="F485" s="26">
        <v>0</v>
      </c>
      <c r="G485" s="26">
        <v>150</v>
      </c>
      <c r="H485" s="26">
        <v>150</v>
      </c>
      <c r="I485" s="26">
        <v>3641250</v>
      </c>
      <c r="J485" s="26">
        <v>14850000</v>
      </c>
    </row>
    <row r="486" spans="1:10">
      <c r="A486" s="24">
        <v>484</v>
      </c>
      <c r="B486" s="24">
        <f t="shared" si="9"/>
        <v>436</v>
      </c>
      <c r="C486" s="1" t="s">
        <v>1155</v>
      </c>
      <c r="D486" s="1" t="s">
        <v>6</v>
      </c>
      <c r="E486" s="1" t="s">
        <v>14</v>
      </c>
      <c r="F486" s="26">
        <v>0</v>
      </c>
      <c r="G486" s="26">
        <v>300</v>
      </c>
      <c r="H486" s="26">
        <v>300</v>
      </c>
      <c r="I486" s="26">
        <v>6173700</v>
      </c>
      <c r="J486" s="26">
        <v>26700000</v>
      </c>
    </row>
    <row r="487" spans="1:10">
      <c r="A487" s="24">
        <v>485</v>
      </c>
      <c r="B487" s="24">
        <f t="shared" si="9"/>
        <v>436</v>
      </c>
      <c r="C487" s="1" t="s">
        <v>1155</v>
      </c>
      <c r="D487" s="1" t="s">
        <v>7</v>
      </c>
      <c r="E487" s="1" t="s">
        <v>14</v>
      </c>
      <c r="F487" s="26">
        <v>0</v>
      </c>
      <c r="G487" s="26">
        <v>350</v>
      </c>
      <c r="H487" s="26">
        <v>350</v>
      </c>
      <c r="I487" s="26">
        <v>7202650</v>
      </c>
      <c r="J487" s="26">
        <v>31150000</v>
      </c>
    </row>
    <row r="488" spans="1:10">
      <c r="A488" s="24">
        <v>486</v>
      </c>
      <c r="B488" s="24">
        <f t="shared" si="9"/>
        <v>436</v>
      </c>
      <c r="C488" s="1" t="s">
        <v>1155</v>
      </c>
      <c r="D488" s="1" t="s">
        <v>8</v>
      </c>
      <c r="E488" s="1" t="s">
        <v>14</v>
      </c>
      <c r="F488" s="26">
        <v>0</v>
      </c>
      <c r="G488" s="26">
        <v>200</v>
      </c>
      <c r="H488" s="26">
        <v>200</v>
      </c>
      <c r="I488" s="26">
        <v>4115800</v>
      </c>
      <c r="J488" s="26">
        <v>17800000</v>
      </c>
    </row>
    <row r="489" spans="1:10">
      <c r="A489" s="24">
        <v>487</v>
      </c>
      <c r="B489" s="24">
        <f t="shared" si="9"/>
        <v>436</v>
      </c>
      <c r="C489" s="1" t="s">
        <v>1155</v>
      </c>
      <c r="D489" s="1" t="s">
        <v>10</v>
      </c>
      <c r="E489" s="1" t="s">
        <v>14</v>
      </c>
      <c r="F489" s="26">
        <v>0</v>
      </c>
      <c r="G489" s="26">
        <v>150</v>
      </c>
      <c r="H489" s="26">
        <v>150</v>
      </c>
      <c r="I489" s="26">
        <v>3086850</v>
      </c>
      <c r="J489" s="26">
        <v>13350000</v>
      </c>
    </row>
    <row r="490" spans="1:10">
      <c r="A490" s="24">
        <v>488</v>
      </c>
      <c r="B490" s="24">
        <f t="shared" si="9"/>
        <v>437</v>
      </c>
      <c r="C490" s="1" t="s">
        <v>1156</v>
      </c>
      <c r="D490" s="1" t="s">
        <v>7</v>
      </c>
      <c r="E490" s="1" t="s">
        <v>14</v>
      </c>
      <c r="F490" s="26">
        <v>0</v>
      </c>
      <c r="G490" s="26">
        <v>400</v>
      </c>
      <c r="H490" s="26">
        <v>400</v>
      </c>
      <c r="I490" s="26">
        <v>6938000</v>
      </c>
      <c r="J490" s="26">
        <v>35600000</v>
      </c>
    </row>
    <row r="491" spans="1:10">
      <c r="A491" s="24">
        <v>489</v>
      </c>
      <c r="B491" s="24">
        <f t="shared" si="9"/>
        <v>437</v>
      </c>
      <c r="C491" s="1" t="s">
        <v>1156</v>
      </c>
      <c r="D491" s="1" t="s">
        <v>8</v>
      </c>
      <c r="E491" s="1" t="s">
        <v>14</v>
      </c>
      <c r="F491" s="26">
        <v>0</v>
      </c>
      <c r="G491" s="26">
        <v>400</v>
      </c>
      <c r="H491" s="26">
        <v>400</v>
      </c>
      <c r="I491" s="26">
        <v>6938000</v>
      </c>
      <c r="J491" s="26">
        <v>35600000</v>
      </c>
    </row>
    <row r="492" spans="1:10">
      <c r="A492" s="24">
        <v>490</v>
      </c>
      <c r="B492" s="24">
        <f t="shared" si="9"/>
        <v>437</v>
      </c>
      <c r="C492" s="1" t="s">
        <v>1156</v>
      </c>
      <c r="D492" s="1" t="s">
        <v>9</v>
      </c>
      <c r="E492" s="1" t="s">
        <v>14</v>
      </c>
      <c r="F492" s="26">
        <v>0</v>
      </c>
      <c r="G492" s="26">
        <v>250</v>
      </c>
      <c r="H492" s="26">
        <v>250</v>
      </c>
      <c r="I492" s="26">
        <v>4336250</v>
      </c>
      <c r="J492" s="26">
        <v>22250000</v>
      </c>
    </row>
    <row r="493" spans="1:10">
      <c r="A493" s="24">
        <v>491</v>
      </c>
      <c r="B493" s="24">
        <f t="shared" si="9"/>
        <v>437</v>
      </c>
      <c r="C493" s="1" t="s">
        <v>1156</v>
      </c>
      <c r="D493" s="1" t="s">
        <v>10</v>
      </c>
      <c r="E493" s="1" t="s">
        <v>14</v>
      </c>
      <c r="F493" s="26">
        <v>0</v>
      </c>
      <c r="G493" s="26">
        <v>150</v>
      </c>
      <c r="H493" s="26">
        <v>150</v>
      </c>
      <c r="I493" s="26">
        <v>2601750</v>
      </c>
      <c r="J493" s="26">
        <v>13350000</v>
      </c>
    </row>
    <row r="494" spans="1:10">
      <c r="A494" s="24">
        <v>492</v>
      </c>
      <c r="B494" s="24">
        <f t="shared" si="9"/>
        <v>438</v>
      </c>
      <c r="C494" s="1" t="s">
        <v>1157</v>
      </c>
      <c r="D494" s="1" t="s">
        <v>6</v>
      </c>
      <c r="E494" s="1" t="s">
        <v>14</v>
      </c>
      <c r="F494" s="26">
        <v>0</v>
      </c>
      <c r="G494" s="26">
        <v>300</v>
      </c>
      <c r="H494" s="26">
        <v>300</v>
      </c>
      <c r="I494" s="26">
        <v>4753050</v>
      </c>
      <c r="J494" s="26">
        <v>23700000</v>
      </c>
    </row>
    <row r="495" spans="1:10">
      <c r="A495" s="24">
        <v>493</v>
      </c>
      <c r="B495" s="24">
        <f t="shared" si="9"/>
        <v>438</v>
      </c>
      <c r="C495" s="1" t="s">
        <v>1157</v>
      </c>
      <c r="D495" s="1" t="s">
        <v>7</v>
      </c>
      <c r="E495" s="1" t="s">
        <v>14</v>
      </c>
      <c r="F495" s="26">
        <v>0</v>
      </c>
      <c r="G495" s="26">
        <v>350</v>
      </c>
      <c r="H495" s="26">
        <v>350</v>
      </c>
      <c r="I495" s="26">
        <v>5545225</v>
      </c>
      <c r="J495" s="26">
        <v>27650000</v>
      </c>
    </row>
    <row r="496" spans="1:10">
      <c r="A496" s="24">
        <v>494</v>
      </c>
      <c r="B496" s="24">
        <f t="shared" si="9"/>
        <v>438</v>
      </c>
      <c r="C496" s="1" t="s">
        <v>1157</v>
      </c>
      <c r="D496" s="1" t="s">
        <v>8</v>
      </c>
      <c r="E496" s="1" t="s">
        <v>14</v>
      </c>
      <c r="F496" s="26">
        <v>0</v>
      </c>
      <c r="G496" s="26">
        <v>200</v>
      </c>
      <c r="H496" s="26">
        <v>200</v>
      </c>
      <c r="I496" s="26">
        <v>3168700</v>
      </c>
      <c r="J496" s="26">
        <v>15800000</v>
      </c>
    </row>
    <row r="497" spans="1:10">
      <c r="A497" s="24">
        <v>495</v>
      </c>
      <c r="B497" s="24">
        <f t="shared" si="9"/>
        <v>438</v>
      </c>
      <c r="C497" s="1" t="s">
        <v>1157</v>
      </c>
      <c r="D497" s="1" t="s">
        <v>10</v>
      </c>
      <c r="E497" s="1" t="s">
        <v>14</v>
      </c>
      <c r="F497" s="26">
        <v>0</v>
      </c>
      <c r="G497" s="26">
        <v>150</v>
      </c>
      <c r="H497" s="26">
        <v>150</v>
      </c>
      <c r="I497" s="26">
        <v>2376525</v>
      </c>
      <c r="J497" s="26">
        <v>11850000</v>
      </c>
    </row>
    <row r="498" spans="1:10">
      <c r="A498" s="24">
        <v>496</v>
      </c>
      <c r="B498" s="24">
        <f t="shared" si="9"/>
        <v>439</v>
      </c>
      <c r="C498" s="1" t="s">
        <v>1158</v>
      </c>
      <c r="D498" s="1" t="s">
        <v>7</v>
      </c>
      <c r="E498" s="1" t="s">
        <v>14</v>
      </c>
      <c r="F498" s="26">
        <v>0</v>
      </c>
      <c r="G498" s="26">
        <v>300</v>
      </c>
      <c r="H498" s="26">
        <v>300</v>
      </c>
      <c r="I498" s="26">
        <v>12133500</v>
      </c>
      <c r="J498" s="26">
        <v>59700000</v>
      </c>
    </row>
    <row r="499" spans="1:10">
      <c r="A499" s="24">
        <v>497</v>
      </c>
      <c r="B499" s="24">
        <f t="shared" si="9"/>
        <v>439</v>
      </c>
      <c r="C499" s="1" t="s">
        <v>1158</v>
      </c>
      <c r="D499" s="1" t="s">
        <v>8</v>
      </c>
      <c r="E499" s="1" t="s">
        <v>14</v>
      </c>
      <c r="F499" s="26">
        <v>0</v>
      </c>
      <c r="G499" s="26">
        <v>450</v>
      </c>
      <c r="H499" s="26">
        <v>450</v>
      </c>
      <c r="I499" s="26">
        <v>18200250</v>
      </c>
      <c r="J499" s="26">
        <v>89550000</v>
      </c>
    </row>
    <row r="500" spans="1:10">
      <c r="A500" s="24">
        <v>498</v>
      </c>
      <c r="B500" s="24">
        <f t="shared" si="9"/>
        <v>439</v>
      </c>
      <c r="C500" s="1" t="s">
        <v>1158</v>
      </c>
      <c r="D500" s="1" t="s">
        <v>9</v>
      </c>
      <c r="E500" s="1" t="s">
        <v>14</v>
      </c>
      <c r="F500" s="26">
        <v>0</v>
      </c>
      <c r="G500" s="26">
        <v>250</v>
      </c>
      <c r="H500" s="26">
        <v>250</v>
      </c>
      <c r="I500" s="26">
        <v>10111250</v>
      </c>
      <c r="J500" s="26">
        <v>49750000</v>
      </c>
    </row>
    <row r="501" spans="1:10">
      <c r="A501" s="24">
        <v>499</v>
      </c>
      <c r="B501" s="24">
        <f t="shared" si="9"/>
        <v>440</v>
      </c>
      <c r="C501" s="1" t="s">
        <v>1159</v>
      </c>
      <c r="D501" s="1" t="s">
        <v>7</v>
      </c>
      <c r="E501" s="1" t="s">
        <v>14</v>
      </c>
      <c r="F501" s="26">
        <v>0</v>
      </c>
      <c r="G501" s="26">
        <v>300</v>
      </c>
      <c r="H501" s="26">
        <v>300</v>
      </c>
      <c r="I501" s="26">
        <v>11405850</v>
      </c>
      <c r="J501" s="26">
        <v>56700000</v>
      </c>
    </row>
    <row r="502" spans="1:10">
      <c r="A502" s="24">
        <v>500</v>
      </c>
      <c r="B502" s="24">
        <f t="shared" si="9"/>
        <v>440</v>
      </c>
      <c r="C502" s="1" t="s">
        <v>1159</v>
      </c>
      <c r="D502" s="1" t="s">
        <v>8</v>
      </c>
      <c r="E502" s="1" t="s">
        <v>14</v>
      </c>
      <c r="F502" s="26">
        <v>0</v>
      </c>
      <c r="G502" s="26">
        <v>450</v>
      </c>
      <c r="H502" s="26">
        <v>450</v>
      </c>
      <c r="I502" s="26">
        <v>17108775</v>
      </c>
      <c r="J502" s="26">
        <v>85050000</v>
      </c>
    </row>
    <row r="503" spans="1:10">
      <c r="A503" s="24">
        <v>501</v>
      </c>
      <c r="B503" s="24">
        <f t="shared" si="9"/>
        <v>440</v>
      </c>
      <c r="C503" s="1" t="s">
        <v>1159</v>
      </c>
      <c r="D503" s="1" t="s">
        <v>9</v>
      </c>
      <c r="E503" s="1" t="s">
        <v>14</v>
      </c>
      <c r="F503" s="26">
        <v>0</v>
      </c>
      <c r="G503" s="26">
        <v>300</v>
      </c>
      <c r="H503" s="26">
        <v>300</v>
      </c>
      <c r="I503" s="26">
        <v>11405850</v>
      </c>
      <c r="J503" s="26">
        <v>56700000</v>
      </c>
    </row>
    <row r="504" spans="1:10">
      <c r="A504" s="24">
        <v>502</v>
      </c>
      <c r="B504" s="24">
        <f t="shared" si="9"/>
        <v>440</v>
      </c>
      <c r="C504" s="1" t="s">
        <v>1159</v>
      </c>
      <c r="D504" s="1" t="s">
        <v>10</v>
      </c>
      <c r="E504" s="1" t="s">
        <v>14</v>
      </c>
      <c r="F504" s="26">
        <v>0</v>
      </c>
      <c r="G504" s="26">
        <v>150</v>
      </c>
      <c r="H504" s="26">
        <v>150</v>
      </c>
      <c r="I504" s="26">
        <v>5702925</v>
      </c>
      <c r="J504" s="26">
        <v>28350000</v>
      </c>
    </row>
    <row r="505" spans="1:10">
      <c r="A505" s="24">
        <v>503</v>
      </c>
      <c r="B505" s="24">
        <f t="shared" si="9"/>
        <v>441</v>
      </c>
      <c r="C505" s="1" t="s">
        <v>1160</v>
      </c>
      <c r="D505" s="1" t="s">
        <v>6</v>
      </c>
      <c r="E505" s="1" t="s">
        <v>14</v>
      </c>
      <c r="F505" s="26">
        <v>0</v>
      </c>
      <c r="G505" s="26">
        <v>200</v>
      </c>
      <c r="H505" s="26">
        <v>200</v>
      </c>
      <c r="I505" s="26">
        <v>7049500</v>
      </c>
      <c r="J505" s="26">
        <v>35800000</v>
      </c>
    </row>
    <row r="506" spans="1:10">
      <c r="A506" s="24">
        <v>504</v>
      </c>
      <c r="B506" s="24">
        <f t="shared" si="9"/>
        <v>441</v>
      </c>
      <c r="C506" s="1" t="s">
        <v>1160</v>
      </c>
      <c r="D506" s="1" t="s">
        <v>8</v>
      </c>
      <c r="E506" s="1" t="s">
        <v>14</v>
      </c>
      <c r="F506" s="26">
        <v>0</v>
      </c>
      <c r="G506" s="26">
        <v>350</v>
      </c>
      <c r="H506" s="26">
        <v>350</v>
      </c>
      <c r="I506" s="26">
        <v>12336625</v>
      </c>
      <c r="J506" s="26">
        <v>62650000</v>
      </c>
    </row>
    <row r="507" spans="1:10">
      <c r="A507" s="24">
        <v>505</v>
      </c>
      <c r="B507" s="24">
        <f t="shared" si="9"/>
        <v>441</v>
      </c>
      <c r="C507" s="1" t="s">
        <v>1160</v>
      </c>
      <c r="D507" s="1" t="s">
        <v>10</v>
      </c>
      <c r="E507" s="1" t="s">
        <v>14</v>
      </c>
      <c r="F507" s="26">
        <v>0</v>
      </c>
      <c r="G507" s="26">
        <v>250</v>
      </c>
      <c r="H507" s="26">
        <v>250</v>
      </c>
      <c r="I507" s="26">
        <v>8811875</v>
      </c>
      <c r="J507" s="26">
        <v>44750000</v>
      </c>
    </row>
    <row r="508" spans="1:10">
      <c r="A508" s="24">
        <v>506</v>
      </c>
      <c r="B508" s="24">
        <f t="shared" si="9"/>
        <v>442</v>
      </c>
      <c r="C508" s="1" t="s">
        <v>775</v>
      </c>
      <c r="F508" s="26">
        <v>0</v>
      </c>
      <c r="G508" s="26">
        <v>7400</v>
      </c>
      <c r="H508" s="26">
        <v>7400</v>
      </c>
      <c r="I508" s="26">
        <v>200632900</v>
      </c>
      <c r="J508" s="26">
        <v>962600000</v>
      </c>
    </row>
    <row r="509" spans="1:10">
      <c r="A509" s="24">
        <v>507</v>
      </c>
      <c r="B509" s="24">
        <f t="shared" si="9"/>
        <v>443</v>
      </c>
      <c r="C509" s="1" t="s">
        <v>1161</v>
      </c>
      <c r="D509" s="1" t="s">
        <v>7</v>
      </c>
      <c r="E509" s="1" t="s">
        <v>14</v>
      </c>
      <c r="F509" s="26">
        <v>0</v>
      </c>
      <c r="G509" s="26">
        <v>450</v>
      </c>
      <c r="H509" s="26">
        <v>450</v>
      </c>
      <c r="I509" s="26">
        <v>9774000</v>
      </c>
      <c r="J509" s="26">
        <v>44550000</v>
      </c>
    </row>
    <row r="510" spans="1:10">
      <c r="A510" s="24">
        <v>508</v>
      </c>
      <c r="B510" s="24">
        <f t="shared" si="9"/>
        <v>443</v>
      </c>
      <c r="C510" s="1" t="s">
        <v>1161</v>
      </c>
      <c r="D510" s="1" t="s">
        <v>8</v>
      </c>
      <c r="E510" s="1" t="s">
        <v>14</v>
      </c>
      <c r="F510" s="26">
        <v>0</v>
      </c>
      <c r="G510" s="26">
        <v>350</v>
      </c>
      <c r="H510" s="26">
        <v>350</v>
      </c>
      <c r="I510" s="26">
        <v>7602000</v>
      </c>
      <c r="J510" s="26">
        <v>34650000</v>
      </c>
    </row>
    <row r="511" spans="1:10">
      <c r="A511" s="24">
        <v>509</v>
      </c>
      <c r="B511" s="24">
        <f t="shared" si="9"/>
        <v>443</v>
      </c>
      <c r="C511" s="1" t="s">
        <v>1161</v>
      </c>
      <c r="D511" s="1" t="s">
        <v>9</v>
      </c>
      <c r="E511" s="1" t="s">
        <v>14</v>
      </c>
      <c r="F511" s="26">
        <v>0</v>
      </c>
      <c r="G511" s="26">
        <v>250</v>
      </c>
      <c r="H511" s="26">
        <v>250</v>
      </c>
      <c r="I511" s="26">
        <v>5430000</v>
      </c>
      <c r="J511" s="26">
        <v>24750000</v>
      </c>
    </row>
    <row r="512" spans="1:10">
      <c r="A512" s="24">
        <v>510</v>
      </c>
      <c r="B512" s="24">
        <f t="shared" si="9"/>
        <v>443</v>
      </c>
      <c r="C512" s="1" t="s">
        <v>1161</v>
      </c>
      <c r="D512" s="1" t="s">
        <v>10</v>
      </c>
      <c r="E512" s="1" t="s">
        <v>14</v>
      </c>
      <c r="F512" s="26">
        <v>0</v>
      </c>
      <c r="G512" s="26">
        <v>150</v>
      </c>
      <c r="H512" s="26">
        <v>150</v>
      </c>
      <c r="I512" s="26">
        <v>3258000</v>
      </c>
      <c r="J512" s="26">
        <v>14850000</v>
      </c>
    </row>
    <row r="513" spans="1:10">
      <c r="A513" s="24">
        <v>511</v>
      </c>
      <c r="B513" s="24">
        <f t="shared" si="9"/>
        <v>444</v>
      </c>
      <c r="C513" s="1" t="s">
        <v>1162</v>
      </c>
      <c r="D513" s="1" t="s">
        <v>7</v>
      </c>
      <c r="E513" s="1" t="s">
        <v>14</v>
      </c>
      <c r="F513" s="26">
        <v>0</v>
      </c>
      <c r="G513" s="26">
        <v>350</v>
      </c>
      <c r="H513" s="26">
        <v>350</v>
      </c>
      <c r="I513" s="26">
        <v>8162000</v>
      </c>
      <c r="J513" s="26">
        <v>34650000</v>
      </c>
    </row>
    <row r="514" spans="1:10">
      <c r="A514" s="24">
        <v>512</v>
      </c>
      <c r="B514" s="24">
        <f t="shared" si="9"/>
        <v>444</v>
      </c>
      <c r="C514" s="1" t="s">
        <v>1162</v>
      </c>
      <c r="D514" s="1" t="s">
        <v>8</v>
      </c>
      <c r="E514" s="1" t="s">
        <v>14</v>
      </c>
      <c r="F514" s="26">
        <v>0</v>
      </c>
      <c r="G514" s="26">
        <v>300</v>
      </c>
      <c r="H514" s="26">
        <v>300</v>
      </c>
      <c r="I514" s="26">
        <v>6996000</v>
      </c>
      <c r="J514" s="26">
        <v>29700000</v>
      </c>
    </row>
    <row r="515" spans="1:10">
      <c r="A515" s="24">
        <v>513</v>
      </c>
      <c r="B515" s="24">
        <f t="shared" si="9"/>
        <v>444</v>
      </c>
      <c r="C515" s="1" t="s">
        <v>1162</v>
      </c>
      <c r="D515" s="1" t="s">
        <v>9</v>
      </c>
      <c r="E515" s="1" t="s">
        <v>14</v>
      </c>
      <c r="F515" s="26">
        <v>0</v>
      </c>
      <c r="G515" s="26">
        <v>200</v>
      </c>
      <c r="H515" s="26">
        <v>200</v>
      </c>
      <c r="I515" s="26">
        <v>4664000</v>
      </c>
      <c r="J515" s="26">
        <v>19800000</v>
      </c>
    </row>
    <row r="516" spans="1:10">
      <c r="A516" s="24">
        <v>514</v>
      </c>
      <c r="B516" s="24">
        <f t="shared" ref="B516:B579" si="10">IF(C515=C516,B515,B515+1)</f>
        <v>444</v>
      </c>
      <c r="C516" s="1" t="s">
        <v>1162</v>
      </c>
      <c r="D516" s="1" t="s">
        <v>10</v>
      </c>
      <c r="E516" s="1" t="s">
        <v>14</v>
      </c>
      <c r="F516" s="26">
        <v>0</v>
      </c>
      <c r="G516" s="26">
        <v>150</v>
      </c>
      <c r="H516" s="26">
        <v>150</v>
      </c>
      <c r="I516" s="26">
        <v>3498000</v>
      </c>
      <c r="J516" s="26">
        <v>14850000</v>
      </c>
    </row>
    <row r="517" spans="1:10">
      <c r="A517" s="24">
        <v>515</v>
      </c>
      <c r="B517" s="24">
        <f t="shared" si="10"/>
        <v>445</v>
      </c>
      <c r="C517" s="1" t="s">
        <v>1163</v>
      </c>
      <c r="D517" s="1" t="s">
        <v>6</v>
      </c>
      <c r="E517" s="1" t="s">
        <v>14</v>
      </c>
      <c r="F517" s="26">
        <v>0</v>
      </c>
      <c r="G517" s="26">
        <v>300</v>
      </c>
      <c r="H517" s="26">
        <v>300</v>
      </c>
      <c r="I517" s="26">
        <v>6396000</v>
      </c>
      <c r="J517" s="26">
        <v>26700000</v>
      </c>
    </row>
    <row r="518" spans="1:10">
      <c r="A518" s="24">
        <v>516</v>
      </c>
      <c r="B518" s="24">
        <f t="shared" si="10"/>
        <v>445</v>
      </c>
      <c r="C518" s="1" t="s">
        <v>1163</v>
      </c>
      <c r="D518" s="1" t="s">
        <v>7</v>
      </c>
      <c r="E518" s="1" t="s">
        <v>14</v>
      </c>
      <c r="F518" s="26">
        <v>0</v>
      </c>
      <c r="G518" s="26">
        <v>350</v>
      </c>
      <c r="H518" s="26">
        <v>350</v>
      </c>
      <c r="I518" s="26">
        <v>7462000</v>
      </c>
      <c r="J518" s="26">
        <v>31150000</v>
      </c>
    </row>
    <row r="519" spans="1:10">
      <c r="A519" s="24">
        <v>517</v>
      </c>
      <c r="B519" s="24">
        <f t="shared" si="10"/>
        <v>445</v>
      </c>
      <c r="C519" s="1" t="s">
        <v>1163</v>
      </c>
      <c r="D519" s="1" t="s">
        <v>8</v>
      </c>
      <c r="E519" s="1" t="s">
        <v>14</v>
      </c>
      <c r="F519" s="26">
        <v>0</v>
      </c>
      <c r="G519" s="26">
        <v>200</v>
      </c>
      <c r="H519" s="26">
        <v>200</v>
      </c>
      <c r="I519" s="26">
        <v>4264000</v>
      </c>
      <c r="J519" s="26">
        <v>17800000</v>
      </c>
    </row>
    <row r="520" spans="1:10">
      <c r="A520" s="24">
        <v>518</v>
      </c>
      <c r="B520" s="24">
        <f t="shared" si="10"/>
        <v>445</v>
      </c>
      <c r="C520" s="1" t="s">
        <v>1163</v>
      </c>
      <c r="D520" s="1" t="s">
        <v>10</v>
      </c>
      <c r="E520" s="1" t="s">
        <v>14</v>
      </c>
      <c r="F520" s="26">
        <v>0</v>
      </c>
      <c r="G520" s="26">
        <v>150</v>
      </c>
      <c r="H520" s="26">
        <v>150</v>
      </c>
      <c r="I520" s="26">
        <v>3198000</v>
      </c>
      <c r="J520" s="26">
        <v>13350000</v>
      </c>
    </row>
    <row r="521" spans="1:10">
      <c r="A521" s="24">
        <v>519</v>
      </c>
      <c r="B521" s="24">
        <f t="shared" si="10"/>
        <v>446</v>
      </c>
      <c r="C521" s="1" t="s">
        <v>1164</v>
      </c>
      <c r="D521" s="1" t="s">
        <v>7</v>
      </c>
      <c r="E521" s="1" t="s">
        <v>14</v>
      </c>
      <c r="F521" s="26">
        <v>0</v>
      </c>
      <c r="G521" s="26">
        <v>300</v>
      </c>
      <c r="H521" s="26">
        <v>300</v>
      </c>
      <c r="I521" s="26">
        <v>12546000</v>
      </c>
      <c r="J521" s="26">
        <v>56700000</v>
      </c>
    </row>
    <row r="522" spans="1:10">
      <c r="A522" s="24">
        <v>520</v>
      </c>
      <c r="B522" s="24">
        <f t="shared" si="10"/>
        <v>446</v>
      </c>
      <c r="C522" s="1" t="s">
        <v>1164</v>
      </c>
      <c r="D522" s="1" t="s">
        <v>8</v>
      </c>
      <c r="E522" s="1" t="s">
        <v>14</v>
      </c>
      <c r="F522" s="26">
        <v>0</v>
      </c>
      <c r="G522" s="26">
        <v>450</v>
      </c>
      <c r="H522" s="26">
        <v>450</v>
      </c>
      <c r="I522" s="26">
        <v>18819000</v>
      </c>
      <c r="J522" s="26">
        <v>85050000</v>
      </c>
    </row>
    <row r="523" spans="1:10">
      <c r="A523" s="24">
        <v>521</v>
      </c>
      <c r="B523" s="24">
        <f t="shared" si="10"/>
        <v>446</v>
      </c>
      <c r="C523" s="1" t="s">
        <v>1164</v>
      </c>
      <c r="D523" s="1" t="s">
        <v>9</v>
      </c>
      <c r="E523" s="1" t="s">
        <v>14</v>
      </c>
      <c r="F523" s="26">
        <v>0</v>
      </c>
      <c r="G523" s="26">
        <v>250</v>
      </c>
      <c r="H523" s="26">
        <v>250</v>
      </c>
      <c r="I523" s="26">
        <v>10455000</v>
      </c>
      <c r="J523" s="26">
        <v>47250000</v>
      </c>
    </row>
    <row r="524" spans="1:10">
      <c r="A524" s="24">
        <v>522</v>
      </c>
      <c r="B524" s="24">
        <f t="shared" si="10"/>
        <v>447</v>
      </c>
      <c r="C524" s="1" t="s">
        <v>1165</v>
      </c>
      <c r="D524" s="1" t="s">
        <v>6</v>
      </c>
      <c r="E524" s="1" t="s">
        <v>14</v>
      </c>
      <c r="F524" s="26">
        <v>0</v>
      </c>
      <c r="G524" s="26">
        <v>200</v>
      </c>
      <c r="H524" s="26">
        <v>200</v>
      </c>
      <c r="I524" s="26">
        <v>7944000</v>
      </c>
      <c r="J524" s="26">
        <v>35800000</v>
      </c>
    </row>
    <row r="525" spans="1:10">
      <c r="A525" s="24">
        <v>523</v>
      </c>
      <c r="B525" s="24">
        <f t="shared" si="10"/>
        <v>447</v>
      </c>
      <c r="C525" s="1" t="s">
        <v>1165</v>
      </c>
      <c r="D525" s="1" t="s">
        <v>8</v>
      </c>
      <c r="E525" s="1" t="s">
        <v>14</v>
      </c>
      <c r="F525" s="26">
        <v>0</v>
      </c>
      <c r="G525" s="26">
        <v>350</v>
      </c>
      <c r="H525" s="26">
        <v>350</v>
      </c>
      <c r="I525" s="26">
        <v>13902000</v>
      </c>
      <c r="J525" s="26">
        <v>62650000</v>
      </c>
    </row>
    <row r="526" spans="1:10">
      <c r="A526" s="24">
        <v>524</v>
      </c>
      <c r="B526" s="24">
        <f t="shared" si="10"/>
        <v>447</v>
      </c>
      <c r="C526" s="1" t="s">
        <v>1165</v>
      </c>
      <c r="D526" s="1" t="s">
        <v>10</v>
      </c>
      <c r="E526" s="1" t="s">
        <v>14</v>
      </c>
      <c r="F526" s="26">
        <v>0</v>
      </c>
      <c r="G526" s="26">
        <v>250</v>
      </c>
      <c r="H526" s="26">
        <v>250</v>
      </c>
      <c r="I526" s="26">
        <v>9930000</v>
      </c>
      <c r="J526" s="26">
        <v>44750000</v>
      </c>
    </row>
    <row r="527" spans="1:10">
      <c r="A527" s="24">
        <v>525</v>
      </c>
      <c r="B527" s="24">
        <f t="shared" si="10"/>
        <v>448</v>
      </c>
      <c r="C527" s="1" t="s">
        <v>775</v>
      </c>
      <c r="F527" s="26">
        <v>0</v>
      </c>
      <c r="G527" s="26">
        <v>5000</v>
      </c>
      <c r="H527" s="26">
        <v>5000</v>
      </c>
      <c r="I527" s="26">
        <v>144300000</v>
      </c>
      <c r="J527" s="26">
        <v>639000000</v>
      </c>
    </row>
    <row r="528" spans="1:10">
      <c r="A528" s="24">
        <v>526</v>
      </c>
      <c r="B528" s="24">
        <f t="shared" si="10"/>
        <v>449</v>
      </c>
      <c r="C528" s="1" t="s">
        <v>1166</v>
      </c>
      <c r="D528" s="1" t="s">
        <v>7</v>
      </c>
      <c r="E528" s="1" t="s">
        <v>14</v>
      </c>
      <c r="F528" s="26">
        <v>0</v>
      </c>
      <c r="G528" s="26">
        <v>400</v>
      </c>
      <c r="H528" s="26">
        <v>400</v>
      </c>
      <c r="I528" s="26">
        <v>7389045.9999999991</v>
      </c>
      <c r="J528" s="26">
        <v>31600000</v>
      </c>
    </row>
    <row r="529" spans="1:10">
      <c r="A529" s="24">
        <v>527</v>
      </c>
      <c r="B529" s="24">
        <f t="shared" si="10"/>
        <v>449</v>
      </c>
      <c r="C529" s="1" t="s">
        <v>1166</v>
      </c>
      <c r="D529" s="1" t="s">
        <v>8</v>
      </c>
      <c r="E529" s="1" t="s">
        <v>14</v>
      </c>
      <c r="F529" s="26">
        <v>0</v>
      </c>
      <c r="G529" s="26">
        <v>350</v>
      </c>
      <c r="H529" s="26">
        <v>350</v>
      </c>
      <c r="I529" s="26">
        <v>6465415.2499999991</v>
      </c>
      <c r="J529" s="26">
        <v>27650000</v>
      </c>
    </row>
    <row r="530" spans="1:10">
      <c r="A530" s="24">
        <v>528</v>
      </c>
      <c r="B530" s="24">
        <f t="shared" si="10"/>
        <v>449</v>
      </c>
      <c r="C530" s="1" t="s">
        <v>1166</v>
      </c>
      <c r="D530" s="1" t="s">
        <v>9</v>
      </c>
      <c r="E530" s="1" t="s">
        <v>14</v>
      </c>
      <c r="F530" s="26">
        <v>0</v>
      </c>
      <c r="G530" s="26">
        <v>300</v>
      </c>
      <c r="H530" s="26">
        <v>300</v>
      </c>
      <c r="I530" s="26">
        <v>5541784.4999999991</v>
      </c>
      <c r="J530" s="26">
        <v>23700000</v>
      </c>
    </row>
    <row r="531" spans="1:10">
      <c r="A531" s="24">
        <v>529</v>
      </c>
      <c r="B531" s="24">
        <f t="shared" si="10"/>
        <v>449</v>
      </c>
      <c r="C531" s="1" t="s">
        <v>1166</v>
      </c>
      <c r="D531" s="1" t="s">
        <v>10</v>
      </c>
      <c r="E531" s="1" t="s">
        <v>14</v>
      </c>
      <c r="F531" s="26">
        <v>0</v>
      </c>
      <c r="G531" s="26">
        <v>150</v>
      </c>
      <c r="H531" s="26">
        <v>150</v>
      </c>
      <c r="I531" s="26">
        <v>2770892.2499999995</v>
      </c>
      <c r="J531" s="26">
        <v>11850000</v>
      </c>
    </row>
    <row r="532" spans="1:10">
      <c r="A532" s="24">
        <v>530</v>
      </c>
      <c r="B532" s="24">
        <f t="shared" si="10"/>
        <v>450</v>
      </c>
      <c r="C532" s="1" t="s">
        <v>1167</v>
      </c>
      <c r="D532" s="1" t="s">
        <v>6</v>
      </c>
      <c r="E532" s="1" t="s">
        <v>14</v>
      </c>
      <c r="F532" s="26">
        <v>0</v>
      </c>
      <c r="G532" s="26">
        <v>350</v>
      </c>
      <c r="H532" s="26">
        <v>350</v>
      </c>
      <c r="I532" s="26">
        <v>5643170.75</v>
      </c>
      <c r="J532" s="26">
        <v>24150000</v>
      </c>
    </row>
    <row r="533" spans="1:10">
      <c r="A533" s="24">
        <v>531</v>
      </c>
      <c r="B533" s="24">
        <f t="shared" si="10"/>
        <v>450</v>
      </c>
      <c r="C533" s="1" t="s">
        <v>1167</v>
      </c>
      <c r="D533" s="1" t="s">
        <v>7</v>
      </c>
      <c r="E533" s="1" t="s">
        <v>14</v>
      </c>
      <c r="F533" s="26">
        <v>0</v>
      </c>
      <c r="G533" s="26">
        <v>400</v>
      </c>
      <c r="H533" s="26">
        <v>400</v>
      </c>
      <c r="I533" s="26">
        <v>6449338</v>
      </c>
      <c r="J533" s="26">
        <v>27600000</v>
      </c>
    </row>
    <row r="534" spans="1:10">
      <c r="A534" s="24">
        <v>532</v>
      </c>
      <c r="B534" s="24">
        <f t="shared" si="10"/>
        <v>450</v>
      </c>
      <c r="C534" s="1" t="s">
        <v>1167</v>
      </c>
      <c r="D534" s="1" t="s">
        <v>8</v>
      </c>
      <c r="E534" s="1" t="s">
        <v>14</v>
      </c>
      <c r="F534" s="26">
        <v>0</v>
      </c>
      <c r="G534" s="26">
        <v>250</v>
      </c>
      <c r="H534" s="26">
        <v>250</v>
      </c>
      <c r="I534" s="26">
        <v>4030836.25</v>
      </c>
      <c r="J534" s="26">
        <v>17250000</v>
      </c>
    </row>
    <row r="535" spans="1:10">
      <c r="A535" s="24">
        <v>533</v>
      </c>
      <c r="B535" s="24">
        <f t="shared" si="10"/>
        <v>450</v>
      </c>
      <c r="C535" s="1" t="s">
        <v>1167</v>
      </c>
      <c r="D535" s="1" t="s">
        <v>10</v>
      </c>
      <c r="E535" s="1" t="s">
        <v>14</v>
      </c>
      <c r="F535" s="26">
        <v>0</v>
      </c>
      <c r="G535" s="26">
        <v>200</v>
      </c>
      <c r="H535" s="26">
        <v>200</v>
      </c>
      <c r="I535" s="26">
        <v>3224669</v>
      </c>
      <c r="J535" s="26">
        <v>13800000</v>
      </c>
    </row>
    <row r="536" spans="1:10">
      <c r="A536" s="24">
        <v>534</v>
      </c>
      <c r="B536" s="24">
        <f t="shared" si="10"/>
        <v>451</v>
      </c>
      <c r="C536" s="1" t="s">
        <v>1168</v>
      </c>
      <c r="D536" s="1" t="s">
        <v>7</v>
      </c>
      <c r="E536" s="1" t="s">
        <v>14</v>
      </c>
      <c r="F536" s="26">
        <v>0</v>
      </c>
      <c r="G536" s="26">
        <v>350</v>
      </c>
      <c r="H536" s="26">
        <v>350</v>
      </c>
      <c r="I536" s="26">
        <v>6099973.25</v>
      </c>
      <c r="J536" s="26">
        <v>27650000</v>
      </c>
    </row>
    <row r="537" spans="1:10">
      <c r="A537" s="24">
        <v>535</v>
      </c>
      <c r="B537" s="24">
        <f t="shared" si="10"/>
        <v>451</v>
      </c>
      <c r="C537" s="1" t="s">
        <v>1168</v>
      </c>
      <c r="D537" s="1" t="s">
        <v>8</v>
      </c>
      <c r="E537" s="1" t="s">
        <v>14</v>
      </c>
      <c r="F537" s="26">
        <v>0</v>
      </c>
      <c r="G537" s="26">
        <v>400</v>
      </c>
      <c r="H537" s="26">
        <v>400</v>
      </c>
      <c r="I537" s="26">
        <v>6971398</v>
      </c>
      <c r="J537" s="26">
        <v>31600000</v>
      </c>
    </row>
    <row r="538" spans="1:10">
      <c r="A538" s="24">
        <v>536</v>
      </c>
      <c r="B538" s="24">
        <f t="shared" si="10"/>
        <v>451</v>
      </c>
      <c r="C538" s="1" t="s">
        <v>1168</v>
      </c>
      <c r="D538" s="1" t="s">
        <v>9</v>
      </c>
      <c r="E538" s="1" t="s">
        <v>14</v>
      </c>
      <c r="F538" s="26">
        <v>0</v>
      </c>
      <c r="G538" s="26">
        <v>300</v>
      </c>
      <c r="H538" s="26">
        <v>300</v>
      </c>
      <c r="I538" s="26">
        <v>5228548.5</v>
      </c>
      <c r="J538" s="26">
        <v>23700000</v>
      </c>
    </row>
    <row r="539" spans="1:10">
      <c r="A539" s="24">
        <v>537</v>
      </c>
      <c r="B539" s="24">
        <f t="shared" si="10"/>
        <v>451</v>
      </c>
      <c r="C539" s="1" t="s">
        <v>1168</v>
      </c>
      <c r="D539" s="1" t="s">
        <v>10</v>
      </c>
      <c r="E539" s="1" t="s">
        <v>14</v>
      </c>
      <c r="F539" s="26">
        <v>0</v>
      </c>
      <c r="G539" s="26">
        <v>150</v>
      </c>
      <c r="H539" s="26">
        <v>150</v>
      </c>
      <c r="I539" s="26">
        <v>2614274.25</v>
      </c>
      <c r="J539" s="26">
        <v>11850000</v>
      </c>
    </row>
    <row r="540" spans="1:10">
      <c r="A540" s="24">
        <v>538</v>
      </c>
      <c r="B540" s="24">
        <f t="shared" si="10"/>
        <v>452</v>
      </c>
      <c r="C540" s="1" t="s">
        <v>1169</v>
      </c>
      <c r="D540" s="1" t="s">
        <v>6</v>
      </c>
      <c r="E540" s="1" t="s">
        <v>14</v>
      </c>
      <c r="F540" s="26">
        <v>0</v>
      </c>
      <c r="G540" s="26">
        <v>450</v>
      </c>
      <c r="H540" s="26">
        <v>450</v>
      </c>
      <c r="I540" s="26">
        <v>6785651.25</v>
      </c>
      <c r="J540" s="26">
        <v>31050000</v>
      </c>
    </row>
    <row r="541" spans="1:10">
      <c r="A541" s="24">
        <v>539</v>
      </c>
      <c r="B541" s="24">
        <f t="shared" si="10"/>
        <v>452</v>
      </c>
      <c r="C541" s="1" t="s">
        <v>1169</v>
      </c>
      <c r="D541" s="1" t="s">
        <v>7</v>
      </c>
      <c r="E541" s="1" t="s">
        <v>14</v>
      </c>
      <c r="F541" s="26">
        <v>0</v>
      </c>
      <c r="G541" s="26">
        <v>500</v>
      </c>
      <c r="H541" s="26">
        <v>500</v>
      </c>
      <c r="I541" s="26">
        <v>7539612.5</v>
      </c>
      <c r="J541" s="26">
        <v>34500000</v>
      </c>
    </row>
    <row r="542" spans="1:10">
      <c r="A542" s="24">
        <v>540</v>
      </c>
      <c r="B542" s="24">
        <f t="shared" si="10"/>
        <v>452</v>
      </c>
      <c r="C542" s="1" t="s">
        <v>1169</v>
      </c>
      <c r="D542" s="1" t="s">
        <v>8</v>
      </c>
      <c r="E542" s="1" t="s">
        <v>14</v>
      </c>
      <c r="F542" s="26">
        <v>0</v>
      </c>
      <c r="G542" s="26">
        <v>300</v>
      </c>
      <c r="H542" s="26">
        <v>300</v>
      </c>
      <c r="I542" s="26">
        <v>4523767.5</v>
      </c>
      <c r="J542" s="26">
        <v>20700000</v>
      </c>
    </row>
    <row r="543" spans="1:10">
      <c r="A543" s="24">
        <v>541</v>
      </c>
      <c r="B543" s="24">
        <f t="shared" si="10"/>
        <v>452</v>
      </c>
      <c r="C543" s="1" t="s">
        <v>1169</v>
      </c>
      <c r="D543" s="1" t="s">
        <v>10</v>
      </c>
      <c r="E543" s="1" t="s">
        <v>14</v>
      </c>
      <c r="F543" s="26">
        <v>0</v>
      </c>
      <c r="G543" s="26">
        <v>250</v>
      </c>
      <c r="H543" s="26">
        <v>250</v>
      </c>
      <c r="I543" s="26">
        <v>3769806.25</v>
      </c>
      <c r="J543" s="26">
        <v>17250000</v>
      </c>
    </row>
    <row r="544" spans="1:10">
      <c r="A544" s="24">
        <v>542</v>
      </c>
      <c r="B544" s="24">
        <f t="shared" si="10"/>
        <v>453</v>
      </c>
      <c r="C544" s="1" t="s">
        <v>1170</v>
      </c>
      <c r="D544" s="1" t="s">
        <v>7</v>
      </c>
      <c r="E544" s="1" t="s">
        <v>14</v>
      </c>
      <c r="F544" s="26">
        <v>0</v>
      </c>
      <c r="G544" s="26">
        <v>400</v>
      </c>
      <c r="H544" s="26">
        <v>400</v>
      </c>
      <c r="I544" s="26">
        <v>6968934.9999999991</v>
      </c>
      <c r="J544" s="26">
        <v>31600000</v>
      </c>
    </row>
    <row r="545" spans="1:10">
      <c r="A545" s="24">
        <v>543</v>
      </c>
      <c r="B545" s="24">
        <f t="shared" si="10"/>
        <v>453</v>
      </c>
      <c r="C545" s="1" t="s">
        <v>1170</v>
      </c>
      <c r="D545" s="1" t="s">
        <v>8</v>
      </c>
      <c r="E545" s="1" t="s">
        <v>14</v>
      </c>
      <c r="F545" s="26">
        <v>0</v>
      </c>
      <c r="G545" s="26">
        <v>350</v>
      </c>
      <c r="H545" s="26">
        <v>350</v>
      </c>
      <c r="I545" s="26">
        <v>6097818.1249999991</v>
      </c>
      <c r="J545" s="26">
        <v>27650000</v>
      </c>
    </row>
    <row r="546" spans="1:10">
      <c r="A546" s="24">
        <v>544</v>
      </c>
      <c r="B546" s="24">
        <f t="shared" si="10"/>
        <v>453</v>
      </c>
      <c r="C546" s="1" t="s">
        <v>1170</v>
      </c>
      <c r="D546" s="1" t="s">
        <v>9</v>
      </c>
      <c r="E546" s="1" t="s">
        <v>14</v>
      </c>
      <c r="F546" s="26">
        <v>0</v>
      </c>
      <c r="G546" s="26">
        <v>300</v>
      </c>
      <c r="H546" s="26">
        <v>300</v>
      </c>
      <c r="I546" s="26">
        <v>5226701.2499999991</v>
      </c>
      <c r="J546" s="26">
        <v>23700000</v>
      </c>
    </row>
    <row r="547" spans="1:10">
      <c r="A547" s="24">
        <v>545</v>
      </c>
      <c r="B547" s="24">
        <f t="shared" si="10"/>
        <v>453</v>
      </c>
      <c r="C547" s="1" t="s">
        <v>1170</v>
      </c>
      <c r="D547" s="1" t="s">
        <v>10</v>
      </c>
      <c r="E547" s="1" t="s">
        <v>14</v>
      </c>
      <c r="F547" s="26">
        <v>0</v>
      </c>
      <c r="G547" s="26">
        <v>150</v>
      </c>
      <c r="H547" s="26">
        <v>150</v>
      </c>
      <c r="I547" s="26">
        <v>2613350.6249999995</v>
      </c>
      <c r="J547" s="26">
        <v>11850000</v>
      </c>
    </row>
    <row r="548" spans="1:10">
      <c r="A548" s="24">
        <v>546</v>
      </c>
      <c r="B548" s="24">
        <f t="shared" si="10"/>
        <v>454</v>
      </c>
      <c r="C548" s="1" t="s">
        <v>1171</v>
      </c>
      <c r="D548" s="1" t="s">
        <v>6</v>
      </c>
      <c r="E548" s="1" t="s">
        <v>14</v>
      </c>
      <c r="F548" s="26">
        <v>0</v>
      </c>
      <c r="G548" s="26">
        <v>450</v>
      </c>
      <c r="H548" s="26">
        <v>450</v>
      </c>
      <c r="I548" s="26">
        <v>6777007.2000000002</v>
      </c>
      <c r="J548" s="26">
        <v>31050000</v>
      </c>
    </row>
    <row r="549" spans="1:10">
      <c r="A549" s="24">
        <v>547</v>
      </c>
      <c r="B549" s="24">
        <f t="shared" si="10"/>
        <v>454</v>
      </c>
      <c r="C549" s="1" t="s">
        <v>1171</v>
      </c>
      <c r="D549" s="1" t="s">
        <v>7</v>
      </c>
      <c r="E549" s="1" t="s">
        <v>14</v>
      </c>
      <c r="F549" s="26">
        <v>0</v>
      </c>
      <c r="G549" s="26">
        <v>500</v>
      </c>
      <c r="H549" s="26">
        <v>500</v>
      </c>
      <c r="I549" s="26">
        <v>7530008</v>
      </c>
      <c r="J549" s="26">
        <v>34500000</v>
      </c>
    </row>
    <row r="550" spans="1:10">
      <c r="A550" s="24">
        <v>548</v>
      </c>
      <c r="B550" s="24">
        <f t="shared" si="10"/>
        <v>454</v>
      </c>
      <c r="C550" s="1" t="s">
        <v>1171</v>
      </c>
      <c r="D550" s="1" t="s">
        <v>8</v>
      </c>
      <c r="E550" s="1" t="s">
        <v>14</v>
      </c>
      <c r="F550" s="26">
        <v>0</v>
      </c>
      <c r="G550" s="26">
        <v>300</v>
      </c>
      <c r="H550" s="26">
        <v>300</v>
      </c>
      <c r="I550" s="26">
        <v>4518004.8</v>
      </c>
      <c r="J550" s="26">
        <v>20700000</v>
      </c>
    </row>
    <row r="551" spans="1:10">
      <c r="A551" s="24">
        <v>549</v>
      </c>
      <c r="B551" s="24">
        <f t="shared" si="10"/>
        <v>454</v>
      </c>
      <c r="C551" s="1" t="s">
        <v>1171</v>
      </c>
      <c r="D551" s="1" t="s">
        <v>10</v>
      </c>
      <c r="E551" s="1" t="s">
        <v>14</v>
      </c>
      <c r="F551" s="26">
        <v>0</v>
      </c>
      <c r="G551" s="26">
        <v>250</v>
      </c>
      <c r="H551" s="26">
        <v>250</v>
      </c>
      <c r="I551" s="26">
        <v>3765004</v>
      </c>
      <c r="J551" s="26">
        <v>17250000</v>
      </c>
    </row>
    <row r="552" spans="1:10">
      <c r="A552" s="24">
        <v>550</v>
      </c>
      <c r="B552" s="24">
        <f t="shared" si="10"/>
        <v>455</v>
      </c>
      <c r="C552" s="1" t="s">
        <v>1172</v>
      </c>
      <c r="D552" s="1" t="s">
        <v>6</v>
      </c>
      <c r="E552" s="1" t="s">
        <v>14</v>
      </c>
      <c r="F552" s="26">
        <v>0</v>
      </c>
      <c r="G552" s="26">
        <v>200</v>
      </c>
      <c r="H552" s="26">
        <v>200</v>
      </c>
      <c r="I552" s="26">
        <v>4080214</v>
      </c>
      <c r="J552" s="26">
        <v>21800000</v>
      </c>
    </row>
    <row r="553" spans="1:10">
      <c r="A553" s="24">
        <v>551</v>
      </c>
      <c r="B553" s="24">
        <f t="shared" si="10"/>
        <v>455</v>
      </c>
      <c r="C553" s="1" t="s">
        <v>1172</v>
      </c>
      <c r="D553" s="1" t="s">
        <v>7</v>
      </c>
      <c r="E553" s="1" t="s">
        <v>14</v>
      </c>
      <c r="F553" s="26">
        <v>0</v>
      </c>
      <c r="G553" s="26">
        <v>300</v>
      </c>
      <c r="H553" s="26">
        <v>300</v>
      </c>
      <c r="I553" s="26">
        <v>6120321</v>
      </c>
      <c r="J553" s="26">
        <v>32700000</v>
      </c>
    </row>
    <row r="554" spans="1:10">
      <c r="A554" s="24">
        <v>552</v>
      </c>
      <c r="B554" s="24">
        <f t="shared" si="10"/>
        <v>455</v>
      </c>
      <c r="C554" s="1" t="s">
        <v>1172</v>
      </c>
      <c r="D554" s="1" t="s">
        <v>8</v>
      </c>
      <c r="E554" s="1" t="s">
        <v>14</v>
      </c>
      <c r="F554" s="26">
        <v>0</v>
      </c>
      <c r="G554" s="26">
        <v>300</v>
      </c>
      <c r="H554" s="26">
        <v>300</v>
      </c>
      <c r="I554" s="26">
        <v>6120321</v>
      </c>
      <c r="J554" s="26">
        <v>32700000</v>
      </c>
    </row>
    <row r="555" spans="1:10">
      <c r="A555" s="24">
        <v>553</v>
      </c>
      <c r="B555" s="24">
        <f t="shared" si="10"/>
        <v>455</v>
      </c>
      <c r="C555" s="1" t="s">
        <v>1172</v>
      </c>
      <c r="D555" s="1" t="s">
        <v>9</v>
      </c>
      <c r="E555" s="1" t="s">
        <v>14</v>
      </c>
      <c r="F555" s="26">
        <v>0</v>
      </c>
      <c r="G555" s="26">
        <v>200</v>
      </c>
      <c r="H555" s="26">
        <v>200</v>
      </c>
      <c r="I555" s="26">
        <v>4080214</v>
      </c>
      <c r="J555" s="26">
        <v>21800000</v>
      </c>
    </row>
    <row r="556" spans="1:10">
      <c r="A556" s="24">
        <v>554</v>
      </c>
      <c r="B556" s="24">
        <f t="shared" si="10"/>
        <v>456</v>
      </c>
      <c r="C556" s="1" t="s">
        <v>1173</v>
      </c>
      <c r="D556" s="1" t="s">
        <v>6</v>
      </c>
      <c r="E556" s="1" t="s">
        <v>14</v>
      </c>
      <c r="F556" s="26">
        <v>0</v>
      </c>
      <c r="G556" s="26">
        <v>150</v>
      </c>
      <c r="H556" s="26">
        <v>150</v>
      </c>
      <c r="I556" s="26">
        <v>3299478</v>
      </c>
      <c r="J556" s="26">
        <v>14850000</v>
      </c>
    </row>
    <row r="557" spans="1:10">
      <c r="A557" s="24">
        <v>555</v>
      </c>
      <c r="B557" s="24">
        <f t="shared" si="10"/>
        <v>456</v>
      </c>
      <c r="C557" s="1" t="s">
        <v>1173</v>
      </c>
      <c r="D557" s="1" t="s">
        <v>7</v>
      </c>
      <c r="E557" s="1" t="s">
        <v>14</v>
      </c>
      <c r="F557" s="26">
        <v>0</v>
      </c>
      <c r="G557" s="26">
        <v>450</v>
      </c>
      <c r="H557" s="26">
        <v>450</v>
      </c>
      <c r="I557" s="26">
        <v>9898434</v>
      </c>
      <c r="J557" s="26">
        <v>44550000</v>
      </c>
    </row>
    <row r="558" spans="1:10">
      <c r="A558" s="24">
        <v>556</v>
      </c>
      <c r="B558" s="24">
        <f t="shared" si="10"/>
        <v>456</v>
      </c>
      <c r="C558" s="1" t="s">
        <v>1173</v>
      </c>
      <c r="D558" s="1" t="s">
        <v>8</v>
      </c>
      <c r="E558" s="1" t="s">
        <v>14</v>
      </c>
      <c r="F558" s="26">
        <v>0</v>
      </c>
      <c r="G558" s="26">
        <v>400</v>
      </c>
      <c r="H558" s="26">
        <v>400</v>
      </c>
      <c r="I558" s="26">
        <v>8798608</v>
      </c>
      <c r="J558" s="26">
        <v>39600000</v>
      </c>
    </row>
    <row r="559" spans="1:10">
      <c r="A559" s="24">
        <v>557</v>
      </c>
      <c r="B559" s="24">
        <f t="shared" si="10"/>
        <v>456</v>
      </c>
      <c r="C559" s="1" t="s">
        <v>1173</v>
      </c>
      <c r="D559" s="1" t="s">
        <v>9</v>
      </c>
      <c r="E559" s="1" t="s">
        <v>14</v>
      </c>
      <c r="F559" s="26">
        <v>0</v>
      </c>
      <c r="G559" s="26">
        <v>300</v>
      </c>
      <c r="H559" s="26">
        <v>300</v>
      </c>
      <c r="I559" s="26">
        <v>6598956</v>
      </c>
      <c r="J559" s="26">
        <v>29700000</v>
      </c>
    </row>
    <row r="560" spans="1:10">
      <c r="A560" s="24">
        <v>558</v>
      </c>
      <c r="B560" s="24">
        <f t="shared" si="10"/>
        <v>456</v>
      </c>
      <c r="C560" s="1" t="s">
        <v>1173</v>
      </c>
      <c r="D560" s="1" t="s">
        <v>10</v>
      </c>
      <c r="E560" s="1" t="s">
        <v>14</v>
      </c>
      <c r="F560" s="26">
        <v>0</v>
      </c>
      <c r="G560" s="26">
        <v>200</v>
      </c>
      <c r="H560" s="26">
        <v>200</v>
      </c>
      <c r="I560" s="26">
        <v>4399304</v>
      </c>
      <c r="J560" s="26">
        <v>19800000</v>
      </c>
    </row>
    <row r="561" spans="1:10">
      <c r="A561" s="24">
        <v>559</v>
      </c>
      <c r="B561" s="24">
        <f t="shared" si="10"/>
        <v>457</v>
      </c>
      <c r="C561" s="1" t="s">
        <v>1174</v>
      </c>
      <c r="D561" s="1" t="s">
        <v>6</v>
      </c>
      <c r="E561" s="1" t="s">
        <v>14</v>
      </c>
      <c r="F561" s="26">
        <v>0</v>
      </c>
      <c r="G561" s="26">
        <v>300</v>
      </c>
      <c r="H561" s="26">
        <v>300</v>
      </c>
      <c r="I561" s="26">
        <v>5815865.9999999991</v>
      </c>
      <c r="J561" s="26">
        <v>26700000</v>
      </c>
    </row>
    <row r="562" spans="1:10">
      <c r="A562" s="24">
        <v>560</v>
      </c>
      <c r="B562" s="24">
        <f t="shared" si="10"/>
        <v>457</v>
      </c>
      <c r="C562" s="1" t="s">
        <v>1174</v>
      </c>
      <c r="D562" s="1" t="s">
        <v>7</v>
      </c>
      <c r="E562" s="1" t="s">
        <v>14</v>
      </c>
      <c r="F562" s="26">
        <v>0</v>
      </c>
      <c r="G562" s="26">
        <v>450</v>
      </c>
      <c r="H562" s="26">
        <v>450</v>
      </c>
      <c r="I562" s="26">
        <v>8723798.9999999981</v>
      </c>
      <c r="J562" s="26">
        <v>40050000</v>
      </c>
    </row>
    <row r="563" spans="1:10">
      <c r="A563" s="24">
        <v>561</v>
      </c>
      <c r="B563" s="24">
        <f t="shared" si="10"/>
        <v>457</v>
      </c>
      <c r="C563" s="1" t="s">
        <v>1174</v>
      </c>
      <c r="D563" s="1" t="s">
        <v>8</v>
      </c>
      <c r="E563" s="1" t="s">
        <v>14</v>
      </c>
      <c r="F563" s="26">
        <v>0</v>
      </c>
      <c r="G563" s="26">
        <v>450</v>
      </c>
      <c r="H563" s="26">
        <v>450</v>
      </c>
      <c r="I563" s="26">
        <v>8723798.9999999981</v>
      </c>
      <c r="J563" s="26">
        <v>40050000</v>
      </c>
    </row>
    <row r="564" spans="1:10">
      <c r="A564" s="24">
        <v>562</v>
      </c>
      <c r="B564" s="24">
        <f t="shared" si="10"/>
        <v>457</v>
      </c>
      <c r="C564" s="1" t="s">
        <v>1174</v>
      </c>
      <c r="D564" s="1" t="s">
        <v>10</v>
      </c>
      <c r="E564" s="1" t="s">
        <v>14</v>
      </c>
      <c r="F564" s="26">
        <v>0</v>
      </c>
      <c r="G564" s="26">
        <v>300</v>
      </c>
      <c r="H564" s="26">
        <v>300</v>
      </c>
      <c r="I564" s="26">
        <v>5815865.9999999991</v>
      </c>
      <c r="J564" s="26">
        <v>26700000</v>
      </c>
    </row>
    <row r="565" spans="1:10">
      <c r="A565" s="24">
        <v>563</v>
      </c>
      <c r="B565" s="24">
        <f t="shared" si="10"/>
        <v>458</v>
      </c>
      <c r="C565" s="1" t="s">
        <v>1175</v>
      </c>
      <c r="D565" s="1" t="s">
        <v>7</v>
      </c>
      <c r="E565" s="1" t="s">
        <v>14</v>
      </c>
      <c r="F565" s="26">
        <v>0</v>
      </c>
      <c r="G565" s="26">
        <v>350</v>
      </c>
      <c r="H565" s="26">
        <v>350</v>
      </c>
      <c r="I565" s="26">
        <v>7104938.75</v>
      </c>
      <c r="J565" s="26">
        <v>34650000</v>
      </c>
    </row>
    <row r="566" spans="1:10">
      <c r="A566" s="24">
        <v>564</v>
      </c>
      <c r="B566" s="24">
        <f t="shared" si="10"/>
        <v>458</v>
      </c>
      <c r="C566" s="1" t="s">
        <v>1175</v>
      </c>
      <c r="D566" s="1" t="s">
        <v>8</v>
      </c>
      <c r="E566" s="1" t="s">
        <v>14</v>
      </c>
      <c r="F566" s="26">
        <v>0</v>
      </c>
      <c r="G566" s="26">
        <v>400</v>
      </c>
      <c r="H566" s="26">
        <v>400</v>
      </c>
      <c r="I566" s="26">
        <v>8119930</v>
      </c>
      <c r="J566" s="26">
        <v>39600000</v>
      </c>
    </row>
    <row r="567" spans="1:10">
      <c r="A567" s="24">
        <v>565</v>
      </c>
      <c r="B567" s="24">
        <f t="shared" si="10"/>
        <v>458</v>
      </c>
      <c r="C567" s="1" t="s">
        <v>1175</v>
      </c>
      <c r="D567" s="1" t="s">
        <v>9</v>
      </c>
      <c r="E567" s="1" t="s">
        <v>14</v>
      </c>
      <c r="F567" s="26">
        <v>0</v>
      </c>
      <c r="G567" s="26">
        <v>250</v>
      </c>
      <c r="H567" s="26">
        <v>250</v>
      </c>
      <c r="I567" s="26">
        <v>5074956.25</v>
      </c>
      <c r="J567" s="26">
        <v>24750000</v>
      </c>
    </row>
    <row r="568" spans="1:10">
      <c r="A568" s="24">
        <v>566</v>
      </c>
      <c r="B568" s="24">
        <f t="shared" si="10"/>
        <v>458</v>
      </c>
      <c r="C568" s="1" t="s">
        <v>1175</v>
      </c>
      <c r="D568" s="1" t="s">
        <v>10</v>
      </c>
      <c r="E568" s="1" t="s">
        <v>14</v>
      </c>
      <c r="F568" s="26">
        <v>0</v>
      </c>
      <c r="G568" s="26">
        <v>200</v>
      </c>
      <c r="H568" s="26">
        <v>200</v>
      </c>
      <c r="I568" s="26">
        <v>4059965</v>
      </c>
      <c r="J568" s="26">
        <v>19800000</v>
      </c>
    </row>
    <row r="569" spans="1:10">
      <c r="A569" s="24">
        <v>567</v>
      </c>
      <c r="B569" s="24">
        <f t="shared" si="10"/>
        <v>459</v>
      </c>
      <c r="C569" s="1" t="s">
        <v>1176</v>
      </c>
      <c r="D569" s="1" t="s">
        <v>6</v>
      </c>
      <c r="E569" s="1" t="s">
        <v>14</v>
      </c>
      <c r="F569" s="26">
        <v>0</v>
      </c>
      <c r="G569" s="26">
        <v>300</v>
      </c>
      <c r="H569" s="26">
        <v>300</v>
      </c>
      <c r="I569" s="26">
        <v>5385166.4999999991</v>
      </c>
      <c r="J569" s="26">
        <v>26700000</v>
      </c>
    </row>
    <row r="570" spans="1:10">
      <c r="A570" s="24">
        <v>568</v>
      </c>
      <c r="B570" s="24">
        <f t="shared" si="10"/>
        <v>459</v>
      </c>
      <c r="C570" s="1" t="s">
        <v>1176</v>
      </c>
      <c r="D570" s="1" t="s">
        <v>7</v>
      </c>
      <c r="E570" s="1" t="s">
        <v>14</v>
      </c>
      <c r="F570" s="26">
        <v>0</v>
      </c>
      <c r="G570" s="26">
        <v>450</v>
      </c>
      <c r="H570" s="26">
        <v>450</v>
      </c>
      <c r="I570" s="26">
        <v>8077749.7499999981</v>
      </c>
      <c r="J570" s="26">
        <v>40050000</v>
      </c>
    </row>
    <row r="571" spans="1:10">
      <c r="A571" s="24">
        <v>569</v>
      </c>
      <c r="B571" s="24">
        <f t="shared" si="10"/>
        <v>459</v>
      </c>
      <c r="C571" s="1" t="s">
        <v>1176</v>
      </c>
      <c r="D571" s="1" t="s">
        <v>8</v>
      </c>
      <c r="E571" s="1" t="s">
        <v>14</v>
      </c>
      <c r="F571" s="26">
        <v>0</v>
      </c>
      <c r="G571" s="26">
        <v>450</v>
      </c>
      <c r="H571" s="26">
        <v>450</v>
      </c>
      <c r="I571" s="26">
        <v>8077749.7499999981</v>
      </c>
      <c r="J571" s="26">
        <v>40050000</v>
      </c>
    </row>
    <row r="572" spans="1:10">
      <c r="A572" s="24">
        <v>570</v>
      </c>
      <c r="B572" s="24">
        <f t="shared" si="10"/>
        <v>459</v>
      </c>
      <c r="C572" s="1" t="s">
        <v>1176</v>
      </c>
      <c r="D572" s="1" t="s">
        <v>10</v>
      </c>
      <c r="E572" s="1" t="s">
        <v>14</v>
      </c>
      <c r="F572" s="26">
        <v>0</v>
      </c>
      <c r="G572" s="26">
        <v>300</v>
      </c>
      <c r="H572" s="26">
        <v>300</v>
      </c>
      <c r="I572" s="26">
        <v>5385166.4999999991</v>
      </c>
      <c r="J572" s="26">
        <v>26700000</v>
      </c>
    </row>
    <row r="573" spans="1:10">
      <c r="A573" s="24">
        <v>571</v>
      </c>
      <c r="B573" s="24">
        <f t="shared" si="10"/>
        <v>460</v>
      </c>
      <c r="C573" s="1" t="s">
        <v>1182</v>
      </c>
      <c r="D573" s="1" t="s">
        <v>7</v>
      </c>
      <c r="E573" s="1" t="s">
        <v>14</v>
      </c>
      <c r="F573" s="26">
        <v>0</v>
      </c>
      <c r="G573" s="26">
        <v>250</v>
      </c>
      <c r="H573" s="26">
        <v>250</v>
      </c>
      <c r="I573" s="26">
        <v>5172842.4999999991</v>
      </c>
      <c r="J573" s="26">
        <v>24750000</v>
      </c>
    </row>
    <row r="574" spans="1:10">
      <c r="A574" s="24">
        <v>572</v>
      </c>
      <c r="B574" s="24">
        <f t="shared" si="10"/>
        <v>460</v>
      </c>
      <c r="C574" s="1" t="s">
        <v>1182</v>
      </c>
      <c r="D574" s="1" t="s">
        <v>8</v>
      </c>
      <c r="E574" s="1" t="s">
        <v>14</v>
      </c>
      <c r="F574" s="26">
        <v>0</v>
      </c>
      <c r="G574" s="26">
        <v>300</v>
      </c>
      <c r="H574" s="26">
        <v>300</v>
      </c>
      <c r="I574" s="26">
        <v>6207410.9999999981</v>
      </c>
      <c r="J574" s="26">
        <v>29700000</v>
      </c>
    </row>
    <row r="575" spans="1:10">
      <c r="A575" s="24">
        <v>573</v>
      </c>
      <c r="B575" s="24">
        <f t="shared" si="10"/>
        <v>460</v>
      </c>
      <c r="C575" s="1" t="s">
        <v>1182</v>
      </c>
      <c r="D575" s="1" t="s">
        <v>9</v>
      </c>
      <c r="E575" s="1" t="s">
        <v>14</v>
      </c>
      <c r="F575" s="26">
        <v>0</v>
      </c>
      <c r="G575" s="26">
        <v>150</v>
      </c>
      <c r="H575" s="26">
        <v>150</v>
      </c>
      <c r="I575" s="26">
        <v>3103705.4999999991</v>
      </c>
      <c r="J575" s="26">
        <v>14850000</v>
      </c>
    </row>
    <row r="576" spans="1:10">
      <c r="A576" s="24">
        <v>574</v>
      </c>
      <c r="B576" s="24">
        <f t="shared" si="10"/>
        <v>460</v>
      </c>
      <c r="C576" s="1" t="s">
        <v>1182</v>
      </c>
      <c r="D576" s="1" t="s">
        <v>10</v>
      </c>
      <c r="E576" s="1" t="s">
        <v>14</v>
      </c>
      <c r="F576" s="26">
        <v>0</v>
      </c>
      <c r="G576" s="26">
        <v>100</v>
      </c>
      <c r="H576" s="26">
        <v>100</v>
      </c>
      <c r="I576" s="26">
        <v>2069136.9999999995</v>
      </c>
      <c r="J576" s="26">
        <v>9900000</v>
      </c>
    </row>
    <row r="577" spans="1:10">
      <c r="A577" s="24">
        <v>575</v>
      </c>
      <c r="B577" s="24">
        <f t="shared" si="10"/>
        <v>461</v>
      </c>
      <c r="C577" s="1" t="s">
        <v>1183</v>
      </c>
      <c r="D577" s="1" t="s">
        <v>7</v>
      </c>
      <c r="E577" s="1" t="s">
        <v>14</v>
      </c>
      <c r="F577" s="26">
        <v>0</v>
      </c>
      <c r="G577" s="26">
        <v>300</v>
      </c>
      <c r="H577" s="26">
        <v>300</v>
      </c>
      <c r="I577" s="26">
        <v>6207410.9999999981</v>
      </c>
      <c r="J577" s="26">
        <v>29700000</v>
      </c>
    </row>
    <row r="578" spans="1:10">
      <c r="A578" s="24">
        <v>576</v>
      </c>
      <c r="B578" s="24">
        <f t="shared" si="10"/>
        <v>461</v>
      </c>
      <c r="C578" s="1" t="s">
        <v>1183</v>
      </c>
      <c r="D578" s="1" t="s">
        <v>8</v>
      </c>
      <c r="E578" s="1" t="s">
        <v>14</v>
      </c>
      <c r="F578" s="26">
        <v>0</v>
      </c>
      <c r="G578" s="26">
        <v>250</v>
      </c>
      <c r="H578" s="26">
        <v>250</v>
      </c>
      <c r="I578" s="26">
        <v>5172842.4999999991</v>
      </c>
      <c r="J578" s="26">
        <v>24750000</v>
      </c>
    </row>
    <row r="579" spans="1:10">
      <c r="A579" s="24">
        <v>577</v>
      </c>
      <c r="B579" s="24">
        <f t="shared" si="10"/>
        <v>461</v>
      </c>
      <c r="C579" s="1" t="s">
        <v>1183</v>
      </c>
      <c r="D579" s="1" t="s">
        <v>9</v>
      </c>
      <c r="E579" s="1" t="s">
        <v>14</v>
      </c>
      <c r="F579" s="26">
        <v>0</v>
      </c>
      <c r="G579" s="26">
        <v>150</v>
      </c>
      <c r="H579" s="26">
        <v>150</v>
      </c>
      <c r="I579" s="26">
        <v>3103705.4999999991</v>
      </c>
      <c r="J579" s="26">
        <v>14850000</v>
      </c>
    </row>
    <row r="580" spans="1:10">
      <c r="A580" s="24">
        <v>578</v>
      </c>
      <c r="B580" s="24">
        <f t="shared" ref="B580:B643" si="11">IF(C579=C580,B579,B579+1)</f>
        <v>461</v>
      </c>
      <c r="C580" s="1" t="s">
        <v>1183</v>
      </c>
      <c r="D580" s="1" t="s">
        <v>10</v>
      </c>
      <c r="E580" s="1" t="s">
        <v>14</v>
      </c>
      <c r="F580" s="26">
        <v>0</v>
      </c>
      <c r="G580" s="26">
        <v>100</v>
      </c>
      <c r="H580" s="26">
        <v>100</v>
      </c>
      <c r="I580" s="26">
        <v>2069136.9999999995</v>
      </c>
      <c r="J580" s="26">
        <v>9900000</v>
      </c>
    </row>
    <row r="581" spans="1:10">
      <c r="A581" s="24">
        <v>579</v>
      </c>
      <c r="B581" s="24">
        <f t="shared" si="11"/>
        <v>462</v>
      </c>
      <c r="C581" s="1" t="s">
        <v>775</v>
      </c>
      <c r="F581" s="26">
        <v>0</v>
      </c>
      <c r="G581" s="26">
        <v>16100</v>
      </c>
      <c r="H581" s="26">
        <v>16100</v>
      </c>
      <c r="I581" s="26">
        <v>295412007</v>
      </c>
      <c r="J581" s="26">
        <v>1375900000</v>
      </c>
    </row>
    <row r="582" spans="1:10">
      <c r="A582" s="24">
        <v>580</v>
      </c>
      <c r="B582" s="24">
        <f t="shared" si="11"/>
        <v>463</v>
      </c>
      <c r="C582" s="1" t="s">
        <v>1177</v>
      </c>
      <c r="D582" s="1" t="s">
        <v>7</v>
      </c>
      <c r="E582" s="1" t="s">
        <v>14</v>
      </c>
      <c r="F582" s="26">
        <v>0</v>
      </c>
      <c r="G582" s="26">
        <v>500</v>
      </c>
      <c r="H582" s="26">
        <v>500</v>
      </c>
      <c r="I582" s="26">
        <v>10019397.5</v>
      </c>
      <c r="J582" s="26">
        <v>44500000</v>
      </c>
    </row>
    <row r="583" spans="1:10">
      <c r="A583" s="24">
        <v>581</v>
      </c>
      <c r="B583" s="24">
        <f t="shared" si="11"/>
        <v>463</v>
      </c>
      <c r="C583" s="1" t="s">
        <v>1177</v>
      </c>
      <c r="D583" s="1" t="s">
        <v>8</v>
      </c>
      <c r="E583" s="1" t="s">
        <v>14</v>
      </c>
      <c r="F583" s="26">
        <v>0</v>
      </c>
      <c r="G583" s="26">
        <v>450</v>
      </c>
      <c r="H583" s="26">
        <v>450</v>
      </c>
      <c r="I583" s="26">
        <v>9017457.75</v>
      </c>
      <c r="J583" s="26">
        <v>40050000</v>
      </c>
    </row>
    <row r="584" spans="1:10">
      <c r="A584" s="24">
        <v>582</v>
      </c>
      <c r="B584" s="24">
        <f t="shared" si="11"/>
        <v>463</v>
      </c>
      <c r="C584" s="1" t="s">
        <v>1177</v>
      </c>
      <c r="D584" s="1" t="s">
        <v>9</v>
      </c>
      <c r="E584" s="1" t="s">
        <v>14</v>
      </c>
      <c r="F584" s="26">
        <v>0</v>
      </c>
      <c r="G584" s="26">
        <v>350</v>
      </c>
      <c r="H584" s="26">
        <v>350</v>
      </c>
      <c r="I584" s="26">
        <v>7013578.2499999991</v>
      </c>
      <c r="J584" s="26">
        <v>31150000</v>
      </c>
    </row>
    <row r="585" spans="1:10">
      <c r="A585" s="24">
        <v>583</v>
      </c>
      <c r="B585" s="24">
        <f t="shared" si="11"/>
        <v>463</v>
      </c>
      <c r="C585" s="1" t="s">
        <v>1177</v>
      </c>
      <c r="D585" s="1" t="s">
        <v>10</v>
      </c>
      <c r="E585" s="1" t="s">
        <v>14</v>
      </c>
      <c r="F585" s="26">
        <v>0</v>
      </c>
      <c r="G585" s="26">
        <v>200</v>
      </c>
      <c r="H585" s="26">
        <v>200</v>
      </c>
      <c r="I585" s="26">
        <v>4007758.9999999995</v>
      </c>
      <c r="J585" s="26">
        <v>17800000</v>
      </c>
    </row>
    <row r="586" spans="1:10">
      <c r="A586" s="24">
        <v>584</v>
      </c>
      <c r="B586" s="24">
        <f t="shared" si="11"/>
        <v>464</v>
      </c>
      <c r="C586" s="1" t="s">
        <v>1178</v>
      </c>
      <c r="D586" s="1" t="s">
        <v>6</v>
      </c>
      <c r="E586" s="1" t="s">
        <v>14</v>
      </c>
      <c r="F586" s="26">
        <v>0</v>
      </c>
      <c r="G586" s="26">
        <v>450</v>
      </c>
      <c r="H586" s="26">
        <v>450</v>
      </c>
      <c r="I586" s="26">
        <v>6961846.5</v>
      </c>
      <c r="J586" s="26">
        <v>35550000</v>
      </c>
    </row>
    <row r="587" spans="1:10">
      <c r="A587" s="24">
        <v>585</v>
      </c>
      <c r="B587" s="24">
        <f t="shared" si="11"/>
        <v>464</v>
      </c>
      <c r="C587" s="1" t="s">
        <v>1178</v>
      </c>
      <c r="D587" s="1" t="s">
        <v>7</v>
      </c>
      <c r="E587" s="1" t="s">
        <v>14</v>
      </c>
      <c r="F587" s="26">
        <v>0</v>
      </c>
      <c r="G587" s="26">
        <v>500</v>
      </c>
      <c r="H587" s="26">
        <v>500</v>
      </c>
      <c r="I587" s="26">
        <v>7735385</v>
      </c>
      <c r="J587" s="26">
        <v>39500000</v>
      </c>
    </row>
    <row r="588" spans="1:10">
      <c r="A588" s="24">
        <v>586</v>
      </c>
      <c r="B588" s="24">
        <f t="shared" si="11"/>
        <v>464</v>
      </c>
      <c r="C588" s="1" t="s">
        <v>1178</v>
      </c>
      <c r="D588" s="1" t="s">
        <v>8</v>
      </c>
      <c r="E588" s="1" t="s">
        <v>14</v>
      </c>
      <c r="F588" s="26">
        <v>0</v>
      </c>
      <c r="G588" s="26">
        <v>300</v>
      </c>
      <c r="H588" s="26">
        <v>300</v>
      </c>
      <c r="I588" s="26">
        <v>4641231</v>
      </c>
      <c r="J588" s="26">
        <v>23700000</v>
      </c>
    </row>
    <row r="589" spans="1:10">
      <c r="A589" s="24">
        <v>587</v>
      </c>
      <c r="B589" s="24">
        <f t="shared" si="11"/>
        <v>464</v>
      </c>
      <c r="C589" s="1" t="s">
        <v>1178</v>
      </c>
      <c r="D589" s="1" t="s">
        <v>10</v>
      </c>
      <c r="E589" s="1" t="s">
        <v>14</v>
      </c>
      <c r="F589" s="26">
        <v>0</v>
      </c>
      <c r="G589" s="26">
        <v>250</v>
      </c>
      <c r="H589" s="26">
        <v>250</v>
      </c>
      <c r="I589" s="26">
        <v>3867692.5</v>
      </c>
      <c r="J589" s="26">
        <v>19750000</v>
      </c>
    </row>
    <row r="590" spans="1:10">
      <c r="A590" s="24">
        <v>588</v>
      </c>
      <c r="B590" s="24">
        <f t="shared" si="11"/>
        <v>465</v>
      </c>
      <c r="C590" s="1" t="s">
        <v>1179</v>
      </c>
      <c r="D590" s="1" t="s">
        <v>7</v>
      </c>
      <c r="E590" s="1" t="s">
        <v>14</v>
      </c>
      <c r="F590" s="26">
        <v>0</v>
      </c>
      <c r="G590" s="26">
        <v>500</v>
      </c>
      <c r="H590" s="26">
        <v>500</v>
      </c>
      <c r="I590" s="26">
        <v>10019397.5</v>
      </c>
      <c r="J590" s="26">
        <v>44500000</v>
      </c>
    </row>
    <row r="591" spans="1:10">
      <c r="A591" s="24">
        <v>589</v>
      </c>
      <c r="B591" s="24">
        <f t="shared" si="11"/>
        <v>465</v>
      </c>
      <c r="C591" s="1" t="s">
        <v>1179</v>
      </c>
      <c r="D591" s="1" t="s">
        <v>8</v>
      </c>
      <c r="E591" s="1" t="s">
        <v>14</v>
      </c>
      <c r="F591" s="26">
        <v>0</v>
      </c>
      <c r="G591" s="26">
        <v>450</v>
      </c>
      <c r="H591" s="26">
        <v>450</v>
      </c>
      <c r="I591" s="26">
        <v>9017457.75</v>
      </c>
      <c r="J591" s="26">
        <v>40050000</v>
      </c>
    </row>
    <row r="592" spans="1:10">
      <c r="A592" s="24">
        <v>590</v>
      </c>
      <c r="B592" s="24">
        <f t="shared" si="11"/>
        <v>465</v>
      </c>
      <c r="C592" s="1" t="s">
        <v>1179</v>
      </c>
      <c r="D592" s="1" t="s">
        <v>9</v>
      </c>
      <c r="E592" s="1" t="s">
        <v>14</v>
      </c>
      <c r="F592" s="26">
        <v>0</v>
      </c>
      <c r="G592" s="26">
        <v>350</v>
      </c>
      <c r="H592" s="26">
        <v>350</v>
      </c>
      <c r="I592" s="26">
        <v>7013578.2499999991</v>
      </c>
      <c r="J592" s="26">
        <v>31150000</v>
      </c>
    </row>
    <row r="593" spans="1:10">
      <c r="A593" s="24">
        <v>591</v>
      </c>
      <c r="B593" s="24">
        <f t="shared" si="11"/>
        <v>465</v>
      </c>
      <c r="C593" s="1" t="s">
        <v>1179</v>
      </c>
      <c r="D593" s="1" t="s">
        <v>10</v>
      </c>
      <c r="E593" s="1" t="s">
        <v>14</v>
      </c>
      <c r="F593" s="26">
        <v>0</v>
      </c>
      <c r="G593" s="26">
        <v>200</v>
      </c>
      <c r="H593" s="26">
        <v>200</v>
      </c>
      <c r="I593" s="26">
        <v>4007758.9999999995</v>
      </c>
      <c r="J593" s="26">
        <v>17800000</v>
      </c>
    </row>
    <row r="594" spans="1:10">
      <c r="A594" s="24">
        <v>592</v>
      </c>
      <c r="B594" s="24">
        <f t="shared" si="11"/>
        <v>466</v>
      </c>
      <c r="C594" s="1" t="s">
        <v>1180</v>
      </c>
      <c r="D594" s="1" t="s">
        <v>6</v>
      </c>
      <c r="E594" s="1" t="s">
        <v>14</v>
      </c>
      <c r="F594" s="26">
        <v>0</v>
      </c>
      <c r="G594" s="26">
        <v>500</v>
      </c>
      <c r="H594" s="26">
        <v>500</v>
      </c>
      <c r="I594" s="26">
        <v>7735385</v>
      </c>
      <c r="J594" s="26">
        <v>39500000</v>
      </c>
    </row>
    <row r="595" spans="1:10">
      <c r="A595" s="24">
        <v>593</v>
      </c>
      <c r="B595" s="24">
        <f t="shared" si="11"/>
        <v>466</v>
      </c>
      <c r="C595" s="1" t="s">
        <v>1180</v>
      </c>
      <c r="D595" s="1" t="s">
        <v>7</v>
      </c>
      <c r="E595" s="1" t="s">
        <v>14</v>
      </c>
      <c r="F595" s="26">
        <v>0</v>
      </c>
      <c r="G595" s="26">
        <v>450</v>
      </c>
      <c r="H595" s="26">
        <v>450</v>
      </c>
      <c r="I595" s="26">
        <v>6961846.5</v>
      </c>
      <c r="J595" s="26">
        <v>35550000</v>
      </c>
    </row>
    <row r="596" spans="1:10">
      <c r="A596" s="24">
        <v>594</v>
      </c>
      <c r="B596" s="24">
        <f t="shared" si="11"/>
        <v>466</v>
      </c>
      <c r="C596" s="1" t="s">
        <v>1180</v>
      </c>
      <c r="D596" s="1" t="s">
        <v>8</v>
      </c>
      <c r="E596" s="1" t="s">
        <v>14</v>
      </c>
      <c r="F596" s="26">
        <v>0</v>
      </c>
      <c r="G596" s="26">
        <v>300</v>
      </c>
      <c r="H596" s="26">
        <v>300</v>
      </c>
      <c r="I596" s="26">
        <v>4641231</v>
      </c>
      <c r="J596" s="26">
        <v>23700000</v>
      </c>
    </row>
    <row r="597" spans="1:10">
      <c r="A597" s="24">
        <v>595</v>
      </c>
      <c r="B597" s="24">
        <f t="shared" si="11"/>
        <v>466</v>
      </c>
      <c r="C597" s="1" t="s">
        <v>1180</v>
      </c>
      <c r="D597" s="1" t="s">
        <v>10</v>
      </c>
      <c r="E597" s="1" t="s">
        <v>14</v>
      </c>
      <c r="F597" s="26">
        <v>0</v>
      </c>
      <c r="G597" s="26">
        <v>250</v>
      </c>
      <c r="H597" s="26">
        <v>250</v>
      </c>
      <c r="I597" s="26">
        <v>3867692.5</v>
      </c>
      <c r="J597" s="26">
        <v>19750000</v>
      </c>
    </row>
    <row r="598" spans="1:10">
      <c r="A598" s="24">
        <v>596</v>
      </c>
      <c r="B598" s="24">
        <f t="shared" si="11"/>
        <v>467</v>
      </c>
      <c r="C598" s="1" t="s">
        <v>1181</v>
      </c>
      <c r="D598" s="1" t="s">
        <v>7</v>
      </c>
      <c r="E598" s="1" t="s">
        <v>14</v>
      </c>
      <c r="F598" s="26">
        <v>0</v>
      </c>
      <c r="G598" s="26">
        <v>350</v>
      </c>
      <c r="H598" s="26">
        <v>350</v>
      </c>
      <c r="I598" s="26">
        <v>6625296.1249999981</v>
      </c>
      <c r="J598" s="26">
        <v>31150000</v>
      </c>
    </row>
    <row r="599" spans="1:10">
      <c r="A599" s="24">
        <v>597</v>
      </c>
      <c r="B599" s="24">
        <f t="shared" si="11"/>
        <v>467</v>
      </c>
      <c r="C599" s="1" t="s">
        <v>1181</v>
      </c>
      <c r="D599" s="1" t="s">
        <v>8</v>
      </c>
      <c r="E599" s="1" t="s">
        <v>14</v>
      </c>
      <c r="F599" s="26">
        <v>0</v>
      </c>
      <c r="G599" s="26">
        <v>300</v>
      </c>
      <c r="H599" s="26">
        <v>300</v>
      </c>
      <c r="I599" s="26">
        <v>5678825.2499999991</v>
      </c>
      <c r="J599" s="26">
        <v>26700000</v>
      </c>
    </row>
    <row r="600" spans="1:10">
      <c r="A600" s="24">
        <v>598</v>
      </c>
      <c r="B600" s="24">
        <f t="shared" si="11"/>
        <v>467</v>
      </c>
      <c r="C600" s="1" t="s">
        <v>1181</v>
      </c>
      <c r="D600" s="1" t="s">
        <v>9</v>
      </c>
      <c r="E600" s="1" t="s">
        <v>14</v>
      </c>
      <c r="F600" s="26">
        <v>0</v>
      </c>
      <c r="G600" s="26">
        <v>200</v>
      </c>
      <c r="H600" s="26">
        <v>200</v>
      </c>
      <c r="I600" s="26">
        <v>3785883.4999999991</v>
      </c>
      <c r="J600" s="26">
        <v>17800000</v>
      </c>
    </row>
    <row r="601" spans="1:10">
      <c r="A601" s="24">
        <v>599</v>
      </c>
      <c r="B601" s="24">
        <f t="shared" si="11"/>
        <v>467</v>
      </c>
      <c r="C601" s="1" t="s">
        <v>1181</v>
      </c>
      <c r="D601" s="1" t="s">
        <v>10</v>
      </c>
      <c r="E601" s="1" t="s">
        <v>14</v>
      </c>
      <c r="F601" s="26">
        <v>0</v>
      </c>
      <c r="G601" s="26">
        <v>150</v>
      </c>
      <c r="H601" s="26">
        <v>150</v>
      </c>
      <c r="I601" s="26">
        <v>2839412.6249999995</v>
      </c>
      <c r="J601" s="26">
        <v>13350000</v>
      </c>
    </row>
    <row r="602" spans="1:10">
      <c r="A602" s="24">
        <v>600</v>
      </c>
      <c r="B602" s="24">
        <f t="shared" si="11"/>
        <v>468</v>
      </c>
      <c r="C602" s="1" t="s">
        <v>1184</v>
      </c>
      <c r="D602" s="1" t="s">
        <v>7</v>
      </c>
      <c r="E602" s="1" t="s">
        <v>14</v>
      </c>
      <c r="F602" s="26">
        <v>0</v>
      </c>
      <c r="G602" s="26">
        <v>250</v>
      </c>
      <c r="H602" s="26">
        <v>250</v>
      </c>
      <c r="I602" s="26">
        <v>6480306.25</v>
      </c>
      <c r="J602" s="26">
        <v>32250000</v>
      </c>
    </row>
    <row r="603" spans="1:10">
      <c r="A603" s="24">
        <v>601</v>
      </c>
      <c r="B603" s="24">
        <f t="shared" si="11"/>
        <v>468</v>
      </c>
      <c r="C603" s="1" t="s">
        <v>1184</v>
      </c>
      <c r="D603" s="1" t="s">
        <v>8</v>
      </c>
      <c r="E603" s="1" t="s">
        <v>14</v>
      </c>
      <c r="F603" s="26">
        <v>0</v>
      </c>
      <c r="G603" s="26">
        <v>350</v>
      </c>
      <c r="H603" s="26">
        <v>350</v>
      </c>
      <c r="I603" s="26">
        <v>9072428.75</v>
      </c>
      <c r="J603" s="26">
        <v>45150000</v>
      </c>
    </row>
    <row r="604" spans="1:10">
      <c r="A604" s="24">
        <v>602</v>
      </c>
      <c r="B604" s="24">
        <f t="shared" si="11"/>
        <v>468</v>
      </c>
      <c r="C604" s="1" t="s">
        <v>1184</v>
      </c>
      <c r="D604" s="1" t="s">
        <v>9</v>
      </c>
      <c r="E604" s="1" t="s">
        <v>14</v>
      </c>
      <c r="F604" s="26">
        <v>0</v>
      </c>
      <c r="G604" s="26">
        <v>250</v>
      </c>
      <c r="H604" s="26">
        <v>250</v>
      </c>
      <c r="I604" s="26">
        <v>6480306.25</v>
      </c>
      <c r="J604" s="26">
        <v>32250000</v>
      </c>
    </row>
    <row r="605" spans="1:10">
      <c r="A605" s="24">
        <v>603</v>
      </c>
      <c r="B605" s="24">
        <f t="shared" si="11"/>
        <v>468</v>
      </c>
      <c r="C605" s="1" t="s">
        <v>1184</v>
      </c>
      <c r="D605" s="1" t="s">
        <v>10</v>
      </c>
      <c r="E605" s="1" t="s">
        <v>14</v>
      </c>
      <c r="F605" s="26">
        <v>0</v>
      </c>
      <c r="G605" s="26">
        <v>150</v>
      </c>
      <c r="H605" s="26">
        <v>150</v>
      </c>
      <c r="I605" s="26">
        <v>3888183.75</v>
      </c>
      <c r="J605" s="26">
        <v>19350000</v>
      </c>
    </row>
    <row r="606" spans="1:10">
      <c r="A606" s="24">
        <v>604</v>
      </c>
      <c r="B606" s="24">
        <f t="shared" si="11"/>
        <v>469</v>
      </c>
      <c r="C606" s="1" t="s">
        <v>1185</v>
      </c>
      <c r="D606" s="1" t="s">
        <v>6</v>
      </c>
      <c r="E606" s="1" t="s">
        <v>14</v>
      </c>
      <c r="F606" s="26">
        <v>0</v>
      </c>
      <c r="G606" s="26">
        <v>100</v>
      </c>
      <c r="H606" s="26">
        <v>100</v>
      </c>
      <c r="I606" s="26">
        <v>2291937.9999999995</v>
      </c>
      <c r="J606" s="26">
        <v>11900000</v>
      </c>
    </row>
    <row r="607" spans="1:10">
      <c r="A607" s="24">
        <v>605</v>
      </c>
      <c r="B607" s="24">
        <f t="shared" si="11"/>
        <v>469</v>
      </c>
      <c r="C607" s="1" t="s">
        <v>1185</v>
      </c>
      <c r="D607" s="1" t="s">
        <v>7</v>
      </c>
      <c r="E607" s="1" t="s">
        <v>14</v>
      </c>
      <c r="F607" s="26">
        <v>0</v>
      </c>
      <c r="G607" s="26">
        <v>200</v>
      </c>
      <c r="H607" s="26">
        <v>200</v>
      </c>
      <c r="I607" s="26">
        <v>4583875.9999999991</v>
      </c>
      <c r="J607" s="26">
        <v>23800000</v>
      </c>
    </row>
    <row r="608" spans="1:10">
      <c r="A608" s="24">
        <v>606</v>
      </c>
      <c r="B608" s="24">
        <f t="shared" si="11"/>
        <v>469</v>
      </c>
      <c r="C608" s="1" t="s">
        <v>1185</v>
      </c>
      <c r="D608" s="1" t="s">
        <v>8</v>
      </c>
      <c r="E608" s="1" t="s">
        <v>14</v>
      </c>
      <c r="F608" s="26">
        <v>0</v>
      </c>
      <c r="G608" s="26">
        <v>250</v>
      </c>
      <c r="H608" s="26">
        <v>250</v>
      </c>
      <c r="I608" s="26">
        <v>5729844.9999999991</v>
      </c>
      <c r="J608" s="26">
        <v>29750000</v>
      </c>
    </row>
    <row r="609" spans="1:10">
      <c r="A609" s="24">
        <v>607</v>
      </c>
      <c r="B609" s="24">
        <f t="shared" si="11"/>
        <v>469</v>
      </c>
      <c r="C609" s="1" t="s">
        <v>1185</v>
      </c>
      <c r="D609" s="1" t="s">
        <v>10</v>
      </c>
      <c r="E609" s="1" t="s">
        <v>14</v>
      </c>
      <c r="F609" s="26">
        <v>0</v>
      </c>
      <c r="G609" s="26">
        <v>250</v>
      </c>
      <c r="H609" s="26">
        <v>250</v>
      </c>
      <c r="I609" s="26">
        <v>5729844.9999999991</v>
      </c>
      <c r="J609" s="26">
        <v>29750000</v>
      </c>
    </row>
    <row r="610" spans="1:10">
      <c r="A610" s="24">
        <v>608</v>
      </c>
      <c r="B610" s="24">
        <f t="shared" si="11"/>
        <v>470</v>
      </c>
      <c r="C610" s="1" t="s">
        <v>1186</v>
      </c>
      <c r="D610" s="1" t="s">
        <v>7</v>
      </c>
      <c r="E610" s="1" t="s">
        <v>14</v>
      </c>
      <c r="F610" s="26">
        <v>0</v>
      </c>
      <c r="G610" s="26">
        <v>350</v>
      </c>
      <c r="H610" s="26">
        <v>350</v>
      </c>
      <c r="I610" s="26">
        <v>9072428.75</v>
      </c>
      <c r="J610" s="26">
        <v>45150000</v>
      </c>
    </row>
    <row r="611" spans="1:10">
      <c r="A611" s="24">
        <v>609</v>
      </c>
      <c r="B611" s="24">
        <f t="shared" si="11"/>
        <v>470</v>
      </c>
      <c r="C611" s="1" t="s">
        <v>1186</v>
      </c>
      <c r="D611" s="1" t="s">
        <v>8</v>
      </c>
      <c r="E611" s="1" t="s">
        <v>14</v>
      </c>
      <c r="F611" s="26">
        <v>0</v>
      </c>
      <c r="G611" s="26">
        <v>250</v>
      </c>
      <c r="H611" s="26">
        <v>250</v>
      </c>
      <c r="I611" s="26">
        <v>6480306.25</v>
      </c>
      <c r="J611" s="26">
        <v>32250000</v>
      </c>
    </row>
    <row r="612" spans="1:10">
      <c r="A612" s="24">
        <v>610</v>
      </c>
      <c r="B612" s="24">
        <f t="shared" si="11"/>
        <v>470</v>
      </c>
      <c r="C612" s="1" t="s">
        <v>1186</v>
      </c>
      <c r="D612" s="1" t="s">
        <v>9</v>
      </c>
      <c r="E612" s="1" t="s">
        <v>14</v>
      </c>
      <c r="F612" s="26">
        <v>0</v>
      </c>
      <c r="G612" s="26">
        <v>250</v>
      </c>
      <c r="H612" s="26">
        <v>250</v>
      </c>
      <c r="I612" s="26">
        <v>6480306.25</v>
      </c>
      <c r="J612" s="26">
        <v>32250000</v>
      </c>
    </row>
    <row r="613" spans="1:10">
      <c r="A613" s="24">
        <v>611</v>
      </c>
      <c r="B613" s="24">
        <f t="shared" si="11"/>
        <v>470</v>
      </c>
      <c r="C613" s="1" t="s">
        <v>1186</v>
      </c>
      <c r="D613" s="1" t="s">
        <v>10</v>
      </c>
      <c r="E613" s="1" t="s">
        <v>14</v>
      </c>
      <c r="F613" s="26">
        <v>0</v>
      </c>
      <c r="G613" s="26">
        <v>150</v>
      </c>
      <c r="H613" s="26">
        <v>150</v>
      </c>
      <c r="I613" s="26">
        <v>3888183.75</v>
      </c>
      <c r="J613" s="26">
        <v>19350000</v>
      </c>
    </row>
    <row r="614" spans="1:10">
      <c r="A614" s="24">
        <v>612</v>
      </c>
      <c r="B614" s="24">
        <f t="shared" si="11"/>
        <v>471</v>
      </c>
      <c r="C614" s="1" t="s">
        <v>1187</v>
      </c>
      <c r="D614" s="1" t="s">
        <v>6</v>
      </c>
      <c r="E614" s="1" t="s">
        <v>14</v>
      </c>
      <c r="F614" s="26">
        <v>0</v>
      </c>
      <c r="G614" s="26">
        <v>100</v>
      </c>
      <c r="H614" s="26">
        <v>100</v>
      </c>
      <c r="I614" s="26">
        <v>2291937.9999999995</v>
      </c>
      <c r="J614" s="26">
        <v>11900000</v>
      </c>
    </row>
    <row r="615" spans="1:10">
      <c r="A615" s="24">
        <v>613</v>
      </c>
      <c r="B615" s="24">
        <f t="shared" si="11"/>
        <v>471</v>
      </c>
      <c r="C615" s="1" t="s">
        <v>1187</v>
      </c>
      <c r="D615" s="1" t="s">
        <v>7</v>
      </c>
      <c r="E615" s="1" t="s">
        <v>14</v>
      </c>
      <c r="F615" s="26">
        <v>0</v>
      </c>
      <c r="G615" s="26">
        <v>200</v>
      </c>
      <c r="H615" s="26">
        <v>200</v>
      </c>
      <c r="I615" s="26">
        <v>4583875.9999999991</v>
      </c>
      <c r="J615" s="26">
        <v>23800000</v>
      </c>
    </row>
    <row r="616" spans="1:10">
      <c r="A616" s="24">
        <v>614</v>
      </c>
      <c r="B616" s="24">
        <f t="shared" si="11"/>
        <v>471</v>
      </c>
      <c r="C616" s="1" t="s">
        <v>1187</v>
      </c>
      <c r="D616" s="1" t="s">
        <v>8</v>
      </c>
      <c r="E616" s="1" t="s">
        <v>14</v>
      </c>
      <c r="F616" s="26">
        <v>0</v>
      </c>
      <c r="G616" s="26">
        <v>250</v>
      </c>
      <c r="H616" s="26">
        <v>250</v>
      </c>
      <c r="I616" s="26">
        <v>5729844.9999999991</v>
      </c>
      <c r="J616" s="26">
        <v>29750000</v>
      </c>
    </row>
    <row r="617" spans="1:10">
      <c r="A617" s="24">
        <v>615</v>
      </c>
      <c r="B617" s="24">
        <f t="shared" si="11"/>
        <v>471</v>
      </c>
      <c r="C617" s="1" t="s">
        <v>1187</v>
      </c>
      <c r="D617" s="1" t="s">
        <v>10</v>
      </c>
      <c r="E617" s="1" t="s">
        <v>14</v>
      </c>
      <c r="F617" s="26">
        <v>0</v>
      </c>
      <c r="G617" s="26">
        <v>250</v>
      </c>
      <c r="H617" s="26">
        <v>250</v>
      </c>
      <c r="I617" s="26">
        <v>5729844.9999999991</v>
      </c>
      <c r="J617" s="26">
        <v>29750000</v>
      </c>
    </row>
    <row r="618" spans="1:10">
      <c r="A618" s="24">
        <v>616</v>
      </c>
      <c r="B618" s="24">
        <f t="shared" si="11"/>
        <v>472</v>
      </c>
      <c r="C618" s="1" t="s">
        <v>775</v>
      </c>
      <c r="F618" s="26">
        <v>0</v>
      </c>
      <c r="G618" s="26">
        <v>10600</v>
      </c>
      <c r="H618" s="26">
        <v>10600</v>
      </c>
      <c r="I618" s="26">
        <v>213971570.5</v>
      </c>
      <c r="J618" s="26">
        <v>1041400000</v>
      </c>
    </row>
    <row r="619" spans="1:10">
      <c r="A619" s="24">
        <v>617</v>
      </c>
      <c r="B619" s="24">
        <f t="shared" si="11"/>
        <v>473</v>
      </c>
      <c r="C619" s="1" t="s">
        <v>1188</v>
      </c>
      <c r="D619" s="1" t="s">
        <v>7</v>
      </c>
      <c r="E619" s="1" t="s">
        <v>14</v>
      </c>
      <c r="F619" s="26">
        <v>0</v>
      </c>
      <c r="G619" s="26">
        <v>350</v>
      </c>
      <c r="H619" s="26">
        <v>350</v>
      </c>
      <c r="I619" s="26">
        <v>9142000</v>
      </c>
      <c r="J619" s="26">
        <v>38150000</v>
      </c>
    </row>
    <row r="620" spans="1:10">
      <c r="A620" s="24">
        <v>618</v>
      </c>
      <c r="B620" s="24">
        <f t="shared" si="11"/>
        <v>473</v>
      </c>
      <c r="C620" s="1" t="s">
        <v>1188</v>
      </c>
      <c r="D620" s="1" t="s">
        <v>8</v>
      </c>
      <c r="E620" s="1" t="s">
        <v>14</v>
      </c>
      <c r="F620" s="26">
        <v>0</v>
      </c>
      <c r="G620" s="26">
        <v>350</v>
      </c>
      <c r="H620" s="26">
        <v>350</v>
      </c>
      <c r="I620" s="26">
        <v>9142000</v>
      </c>
      <c r="J620" s="26">
        <v>38150000</v>
      </c>
    </row>
    <row r="621" spans="1:10">
      <c r="A621" s="24">
        <v>619</v>
      </c>
      <c r="B621" s="24">
        <f t="shared" si="11"/>
        <v>473</v>
      </c>
      <c r="C621" s="1" t="s">
        <v>1188</v>
      </c>
      <c r="D621" s="1" t="s">
        <v>9</v>
      </c>
      <c r="E621" s="1" t="s">
        <v>14</v>
      </c>
      <c r="F621" s="26">
        <v>0</v>
      </c>
      <c r="G621" s="26">
        <v>200</v>
      </c>
      <c r="H621" s="26">
        <v>200</v>
      </c>
      <c r="I621" s="26">
        <v>5224000</v>
      </c>
      <c r="J621" s="26">
        <v>21800000</v>
      </c>
    </row>
    <row r="622" spans="1:10">
      <c r="A622" s="24">
        <v>620</v>
      </c>
      <c r="B622" s="24">
        <f t="shared" si="11"/>
        <v>473</v>
      </c>
      <c r="C622" s="1" t="s">
        <v>1188</v>
      </c>
      <c r="D622" s="1" t="s">
        <v>10</v>
      </c>
      <c r="E622" s="1" t="s">
        <v>14</v>
      </c>
      <c r="F622" s="26">
        <v>0</v>
      </c>
      <c r="G622" s="26">
        <v>100</v>
      </c>
      <c r="H622" s="26">
        <v>100</v>
      </c>
      <c r="I622" s="26">
        <v>2612000</v>
      </c>
      <c r="J622" s="26">
        <v>10900000</v>
      </c>
    </row>
    <row r="623" spans="1:10">
      <c r="A623" s="24">
        <v>621</v>
      </c>
      <c r="B623" s="24">
        <f t="shared" si="11"/>
        <v>474</v>
      </c>
      <c r="C623" s="1" t="s">
        <v>1189</v>
      </c>
      <c r="D623" s="1" t="s">
        <v>6</v>
      </c>
      <c r="E623" s="1" t="s">
        <v>14</v>
      </c>
      <c r="F623" s="26">
        <v>0</v>
      </c>
      <c r="G623" s="26">
        <v>200</v>
      </c>
      <c r="H623" s="26">
        <v>200</v>
      </c>
      <c r="I623" s="26">
        <v>4844000</v>
      </c>
      <c r="J623" s="26">
        <v>19800000</v>
      </c>
    </row>
    <row r="624" spans="1:10">
      <c r="A624" s="24">
        <v>622</v>
      </c>
      <c r="B624" s="24">
        <f t="shared" si="11"/>
        <v>474</v>
      </c>
      <c r="C624" s="1" t="s">
        <v>1189</v>
      </c>
      <c r="D624" s="1" t="s">
        <v>7</v>
      </c>
      <c r="E624" s="1" t="s">
        <v>14</v>
      </c>
      <c r="F624" s="26">
        <v>0</v>
      </c>
      <c r="G624" s="26">
        <v>300</v>
      </c>
      <c r="H624" s="26">
        <v>300</v>
      </c>
      <c r="I624" s="26">
        <v>7266000</v>
      </c>
      <c r="J624" s="26">
        <v>29700000</v>
      </c>
    </row>
    <row r="625" spans="1:10">
      <c r="A625" s="24">
        <v>623</v>
      </c>
      <c r="B625" s="24">
        <f t="shared" si="11"/>
        <v>474</v>
      </c>
      <c r="C625" s="1" t="s">
        <v>1189</v>
      </c>
      <c r="D625" s="1" t="s">
        <v>8</v>
      </c>
      <c r="E625" s="1" t="s">
        <v>14</v>
      </c>
      <c r="F625" s="26">
        <v>0</v>
      </c>
      <c r="G625" s="26">
        <v>300</v>
      </c>
      <c r="H625" s="26">
        <v>300</v>
      </c>
      <c r="I625" s="26">
        <v>7266000</v>
      </c>
      <c r="J625" s="26">
        <v>29700000</v>
      </c>
    </row>
    <row r="626" spans="1:10">
      <c r="A626" s="24">
        <v>624</v>
      </c>
      <c r="B626" s="24">
        <f t="shared" si="11"/>
        <v>474</v>
      </c>
      <c r="C626" s="1" t="s">
        <v>1189</v>
      </c>
      <c r="D626" s="1" t="s">
        <v>10</v>
      </c>
      <c r="E626" s="1" t="s">
        <v>14</v>
      </c>
      <c r="F626" s="26">
        <v>0</v>
      </c>
      <c r="G626" s="26">
        <v>200</v>
      </c>
      <c r="H626" s="26">
        <v>200</v>
      </c>
      <c r="I626" s="26">
        <v>4844000</v>
      </c>
      <c r="J626" s="26">
        <v>19800000</v>
      </c>
    </row>
    <row r="627" spans="1:10">
      <c r="A627" s="24">
        <v>625</v>
      </c>
      <c r="B627" s="24">
        <f t="shared" si="11"/>
        <v>475</v>
      </c>
      <c r="C627" s="1" t="s">
        <v>1190</v>
      </c>
      <c r="D627" s="1" t="s">
        <v>6</v>
      </c>
      <c r="E627" s="1" t="s">
        <v>14</v>
      </c>
      <c r="F627" s="26">
        <v>0</v>
      </c>
      <c r="G627" s="26">
        <v>150</v>
      </c>
      <c r="H627" s="26">
        <v>150</v>
      </c>
      <c r="I627" s="26">
        <v>4008000</v>
      </c>
      <c r="J627" s="26">
        <v>16350000</v>
      </c>
    </row>
    <row r="628" spans="1:10">
      <c r="A628" s="24">
        <v>626</v>
      </c>
      <c r="B628" s="24">
        <f t="shared" si="11"/>
        <v>475</v>
      </c>
      <c r="C628" s="1" t="s">
        <v>1190</v>
      </c>
      <c r="D628" s="1" t="s">
        <v>7</v>
      </c>
      <c r="E628" s="1" t="s">
        <v>14</v>
      </c>
      <c r="F628" s="26">
        <v>0</v>
      </c>
      <c r="G628" s="26">
        <v>400</v>
      </c>
      <c r="H628" s="26">
        <v>400</v>
      </c>
      <c r="I628" s="26">
        <v>10688000</v>
      </c>
      <c r="J628" s="26">
        <v>43600000</v>
      </c>
    </row>
    <row r="629" spans="1:10">
      <c r="A629" s="24">
        <v>627</v>
      </c>
      <c r="B629" s="24">
        <f t="shared" si="11"/>
        <v>475</v>
      </c>
      <c r="C629" s="1" t="s">
        <v>1190</v>
      </c>
      <c r="D629" s="1" t="s">
        <v>8</v>
      </c>
      <c r="E629" s="1" t="s">
        <v>14</v>
      </c>
      <c r="F629" s="26">
        <v>0</v>
      </c>
      <c r="G629" s="26">
        <v>450</v>
      </c>
      <c r="H629" s="26">
        <v>450</v>
      </c>
      <c r="I629" s="26">
        <v>12024000</v>
      </c>
      <c r="J629" s="26">
        <v>49050000</v>
      </c>
    </row>
    <row r="630" spans="1:10">
      <c r="A630" s="24">
        <v>628</v>
      </c>
      <c r="B630" s="24">
        <f t="shared" si="11"/>
        <v>475</v>
      </c>
      <c r="C630" s="1" t="s">
        <v>1190</v>
      </c>
      <c r="D630" s="1" t="s">
        <v>9</v>
      </c>
      <c r="E630" s="1" t="s">
        <v>14</v>
      </c>
      <c r="F630" s="26">
        <v>0</v>
      </c>
      <c r="G630" s="26">
        <v>300</v>
      </c>
      <c r="H630" s="26">
        <v>300</v>
      </c>
      <c r="I630" s="26">
        <v>8016000</v>
      </c>
      <c r="J630" s="26">
        <v>32700000</v>
      </c>
    </row>
    <row r="631" spans="1:10">
      <c r="A631" s="24">
        <v>629</v>
      </c>
      <c r="B631" s="24">
        <f t="shared" si="11"/>
        <v>475</v>
      </c>
      <c r="C631" s="1" t="s">
        <v>1190</v>
      </c>
      <c r="D631" s="1" t="s">
        <v>10</v>
      </c>
      <c r="E631" s="1" t="s">
        <v>14</v>
      </c>
      <c r="F631" s="26">
        <v>0</v>
      </c>
      <c r="G631" s="26">
        <v>200</v>
      </c>
      <c r="H631" s="26">
        <v>200</v>
      </c>
      <c r="I631" s="26">
        <v>5344000</v>
      </c>
      <c r="J631" s="26">
        <v>21800000</v>
      </c>
    </row>
    <row r="632" spans="1:10">
      <c r="A632" s="24">
        <v>630</v>
      </c>
      <c r="B632" s="24">
        <f t="shared" si="11"/>
        <v>476</v>
      </c>
      <c r="C632" s="1" t="s">
        <v>1191</v>
      </c>
      <c r="D632" s="1" t="s">
        <v>6</v>
      </c>
      <c r="E632" s="1" t="s">
        <v>14</v>
      </c>
      <c r="F632" s="26">
        <v>0</v>
      </c>
      <c r="G632" s="26">
        <v>200</v>
      </c>
      <c r="H632" s="26">
        <v>200</v>
      </c>
      <c r="I632" s="26">
        <v>6224000</v>
      </c>
      <c r="J632" s="26">
        <v>25800000</v>
      </c>
    </row>
    <row r="633" spans="1:10">
      <c r="A633" s="24">
        <v>631</v>
      </c>
      <c r="B633" s="24">
        <f t="shared" si="11"/>
        <v>476</v>
      </c>
      <c r="C633" s="1" t="s">
        <v>1191</v>
      </c>
      <c r="D633" s="1" t="s">
        <v>7</v>
      </c>
      <c r="E633" s="1" t="s">
        <v>14</v>
      </c>
      <c r="F633" s="26">
        <v>0</v>
      </c>
      <c r="G633" s="26">
        <v>350</v>
      </c>
      <c r="H633" s="26">
        <v>350</v>
      </c>
      <c r="I633" s="26">
        <v>10892000</v>
      </c>
      <c r="J633" s="26">
        <v>45150000</v>
      </c>
    </row>
    <row r="634" spans="1:10">
      <c r="A634" s="24">
        <v>632</v>
      </c>
      <c r="B634" s="24">
        <f t="shared" si="11"/>
        <v>476</v>
      </c>
      <c r="C634" s="1" t="s">
        <v>1191</v>
      </c>
      <c r="D634" s="1" t="s">
        <v>8</v>
      </c>
      <c r="E634" s="1" t="s">
        <v>14</v>
      </c>
      <c r="F634" s="26">
        <v>0</v>
      </c>
      <c r="G634" s="26">
        <v>450</v>
      </c>
      <c r="H634" s="26">
        <v>450</v>
      </c>
      <c r="I634" s="26">
        <v>14004000</v>
      </c>
      <c r="J634" s="26">
        <v>58050000</v>
      </c>
    </row>
    <row r="635" spans="1:10">
      <c r="A635" s="24">
        <v>633</v>
      </c>
      <c r="B635" s="24">
        <f t="shared" si="11"/>
        <v>476</v>
      </c>
      <c r="C635" s="1" t="s">
        <v>1191</v>
      </c>
      <c r="D635" s="1" t="s">
        <v>9</v>
      </c>
      <c r="E635" s="1" t="s">
        <v>14</v>
      </c>
      <c r="F635" s="26">
        <v>0</v>
      </c>
      <c r="G635" s="26">
        <v>300</v>
      </c>
      <c r="H635" s="26">
        <v>300</v>
      </c>
      <c r="I635" s="26">
        <v>9336000</v>
      </c>
      <c r="J635" s="26">
        <v>38700000</v>
      </c>
    </row>
    <row r="636" spans="1:10">
      <c r="A636" s="24">
        <v>634</v>
      </c>
      <c r="B636" s="24">
        <f t="shared" si="11"/>
        <v>476</v>
      </c>
      <c r="C636" s="1" t="s">
        <v>1191</v>
      </c>
      <c r="D636" s="1" t="s">
        <v>10</v>
      </c>
      <c r="E636" s="1" t="s">
        <v>14</v>
      </c>
      <c r="F636" s="26">
        <v>0</v>
      </c>
      <c r="G636" s="26">
        <v>200</v>
      </c>
      <c r="H636" s="26">
        <v>200</v>
      </c>
      <c r="I636" s="26">
        <v>6224000</v>
      </c>
      <c r="J636" s="26">
        <v>25800000</v>
      </c>
    </row>
    <row r="637" spans="1:10">
      <c r="A637" s="24">
        <v>635</v>
      </c>
      <c r="B637" s="24">
        <f t="shared" si="11"/>
        <v>477</v>
      </c>
      <c r="C637" s="1" t="s">
        <v>775</v>
      </c>
      <c r="F637" s="26">
        <v>0</v>
      </c>
      <c r="G637" s="26">
        <v>5000</v>
      </c>
      <c r="H637" s="26">
        <v>5000</v>
      </c>
      <c r="I637" s="26">
        <v>137100000</v>
      </c>
      <c r="J637" s="26">
        <v>565000000</v>
      </c>
    </row>
    <row r="638" spans="1:10">
      <c r="A638" s="24">
        <v>636</v>
      </c>
      <c r="B638" s="24">
        <f t="shared" si="11"/>
        <v>478</v>
      </c>
      <c r="C638" s="1" t="s">
        <v>1192</v>
      </c>
      <c r="D638" s="1" t="s">
        <v>6</v>
      </c>
      <c r="E638" s="1" t="s">
        <v>14</v>
      </c>
      <c r="F638" s="26">
        <v>0</v>
      </c>
      <c r="G638" s="26">
        <v>150</v>
      </c>
      <c r="H638" s="26">
        <v>150</v>
      </c>
      <c r="I638" s="26">
        <v>2925262.5000000005</v>
      </c>
      <c r="J638" s="26">
        <v>14850000</v>
      </c>
    </row>
    <row r="639" spans="1:10">
      <c r="A639" s="24">
        <v>637</v>
      </c>
      <c r="B639" s="24">
        <f t="shared" si="11"/>
        <v>478</v>
      </c>
      <c r="C639" s="1" t="s">
        <v>1192</v>
      </c>
      <c r="D639" s="1" t="s">
        <v>7</v>
      </c>
      <c r="E639" s="1" t="s">
        <v>14</v>
      </c>
      <c r="F639" s="26">
        <v>0</v>
      </c>
      <c r="G639" s="26">
        <v>450</v>
      </c>
      <c r="H639" s="26">
        <v>450</v>
      </c>
      <c r="I639" s="26">
        <v>8775787.5000000019</v>
      </c>
      <c r="J639" s="26">
        <v>44550000</v>
      </c>
    </row>
    <row r="640" spans="1:10">
      <c r="A640" s="24">
        <v>638</v>
      </c>
      <c r="B640" s="24">
        <f t="shared" si="11"/>
        <v>478</v>
      </c>
      <c r="C640" s="1" t="s">
        <v>1192</v>
      </c>
      <c r="D640" s="1" t="s">
        <v>8</v>
      </c>
      <c r="E640" s="1" t="s">
        <v>14</v>
      </c>
      <c r="F640" s="26">
        <v>0</v>
      </c>
      <c r="G640" s="26">
        <v>400</v>
      </c>
      <c r="H640" s="26">
        <v>400</v>
      </c>
      <c r="I640" s="26">
        <v>7800700.0000000019</v>
      </c>
      <c r="J640" s="26">
        <v>39600000</v>
      </c>
    </row>
    <row r="641" spans="1:10">
      <c r="A641" s="24">
        <v>639</v>
      </c>
      <c r="B641" s="24">
        <f t="shared" si="11"/>
        <v>478</v>
      </c>
      <c r="C641" s="1" t="s">
        <v>1192</v>
      </c>
      <c r="D641" s="1" t="s">
        <v>9</v>
      </c>
      <c r="E641" s="1" t="s">
        <v>14</v>
      </c>
      <c r="F641" s="26">
        <v>0</v>
      </c>
      <c r="G641" s="26">
        <v>300</v>
      </c>
      <c r="H641" s="26">
        <v>300</v>
      </c>
      <c r="I641" s="26">
        <v>5850525.0000000009</v>
      </c>
      <c r="J641" s="26">
        <v>29700000</v>
      </c>
    </row>
    <row r="642" spans="1:10">
      <c r="A642" s="24">
        <v>640</v>
      </c>
      <c r="B642" s="24">
        <f t="shared" si="11"/>
        <v>478</v>
      </c>
      <c r="C642" s="1" t="s">
        <v>1192</v>
      </c>
      <c r="D642" s="1" t="s">
        <v>10</v>
      </c>
      <c r="E642" s="1" t="s">
        <v>14</v>
      </c>
      <c r="F642" s="26">
        <v>0</v>
      </c>
      <c r="G642" s="26">
        <v>200</v>
      </c>
      <c r="H642" s="26">
        <v>200</v>
      </c>
      <c r="I642" s="26">
        <v>3900350.0000000009</v>
      </c>
      <c r="J642" s="26">
        <v>19800000</v>
      </c>
    </row>
    <row r="643" spans="1:10">
      <c r="A643" s="24">
        <v>641</v>
      </c>
      <c r="B643" s="24">
        <f t="shared" si="11"/>
        <v>479</v>
      </c>
      <c r="C643" s="1" t="s">
        <v>1193</v>
      </c>
      <c r="D643" s="1" t="s">
        <v>6</v>
      </c>
      <c r="E643" s="1" t="s">
        <v>14</v>
      </c>
      <c r="F643" s="26">
        <v>0</v>
      </c>
      <c r="G643" s="26">
        <v>300</v>
      </c>
      <c r="H643" s="26">
        <v>300</v>
      </c>
      <c r="I643" s="26">
        <v>5140200</v>
      </c>
      <c r="J643" s="26">
        <v>26700000</v>
      </c>
    </row>
    <row r="644" spans="1:10">
      <c r="A644" s="24">
        <v>642</v>
      </c>
      <c r="B644" s="24">
        <f t="shared" ref="B644:B707" si="12">IF(C643=C644,B643,B643+1)</f>
        <v>479</v>
      </c>
      <c r="C644" s="1" t="s">
        <v>1193</v>
      </c>
      <c r="D644" s="1" t="s">
        <v>7</v>
      </c>
      <c r="E644" s="1" t="s">
        <v>14</v>
      </c>
      <c r="F644" s="26">
        <v>0</v>
      </c>
      <c r="G644" s="26">
        <v>450</v>
      </c>
      <c r="H644" s="26">
        <v>450</v>
      </c>
      <c r="I644" s="26">
        <v>7710300</v>
      </c>
      <c r="J644" s="26">
        <v>40050000</v>
      </c>
    </row>
    <row r="645" spans="1:10">
      <c r="A645" s="24">
        <v>643</v>
      </c>
      <c r="B645" s="24">
        <f t="shared" si="12"/>
        <v>479</v>
      </c>
      <c r="C645" s="1" t="s">
        <v>1193</v>
      </c>
      <c r="D645" s="1" t="s">
        <v>8</v>
      </c>
      <c r="E645" s="1" t="s">
        <v>14</v>
      </c>
      <c r="F645" s="26">
        <v>0</v>
      </c>
      <c r="G645" s="26">
        <v>450</v>
      </c>
      <c r="H645" s="26">
        <v>450</v>
      </c>
      <c r="I645" s="26">
        <v>7710300</v>
      </c>
      <c r="J645" s="26">
        <v>40050000</v>
      </c>
    </row>
    <row r="646" spans="1:10">
      <c r="A646" s="24">
        <v>644</v>
      </c>
      <c r="B646" s="24">
        <f t="shared" si="12"/>
        <v>479</v>
      </c>
      <c r="C646" s="1" t="s">
        <v>1193</v>
      </c>
      <c r="D646" s="1" t="s">
        <v>10</v>
      </c>
      <c r="E646" s="1" t="s">
        <v>14</v>
      </c>
      <c r="F646" s="26">
        <v>0</v>
      </c>
      <c r="G646" s="26">
        <v>300</v>
      </c>
      <c r="H646" s="26">
        <v>300</v>
      </c>
      <c r="I646" s="26">
        <v>5140200</v>
      </c>
      <c r="J646" s="26">
        <v>26700000</v>
      </c>
    </row>
    <row r="647" spans="1:10">
      <c r="A647" s="24">
        <v>645</v>
      </c>
      <c r="B647" s="24">
        <f t="shared" si="12"/>
        <v>480</v>
      </c>
      <c r="C647" s="1" t="s">
        <v>1194</v>
      </c>
      <c r="D647" s="1" t="s">
        <v>6</v>
      </c>
      <c r="E647" s="1" t="s">
        <v>14</v>
      </c>
      <c r="F647" s="26">
        <v>0</v>
      </c>
      <c r="G647" s="26">
        <v>200</v>
      </c>
      <c r="H647" s="26">
        <v>200</v>
      </c>
      <c r="I647" s="26">
        <v>5170850</v>
      </c>
      <c r="J647" s="26">
        <v>25800000</v>
      </c>
    </row>
    <row r="648" spans="1:10">
      <c r="A648" s="24">
        <v>646</v>
      </c>
      <c r="B648" s="24">
        <f t="shared" si="12"/>
        <v>480</v>
      </c>
      <c r="C648" s="1" t="s">
        <v>1194</v>
      </c>
      <c r="D648" s="1" t="s">
        <v>7</v>
      </c>
      <c r="E648" s="1" t="s">
        <v>14</v>
      </c>
      <c r="F648" s="26">
        <v>0</v>
      </c>
      <c r="G648" s="26">
        <v>350</v>
      </c>
      <c r="H648" s="26">
        <v>350</v>
      </c>
      <c r="I648" s="26">
        <v>9048987.5</v>
      </c>
      <c r="J648" s="26">
        <v>45150000</v>
      </c>
    </row>
    <row r="649" spans="1:10">
      <c r="A649" s="24">
        <v>647</v>
      </c>
      <c r="B649" s="24">
        <f t="shared" si="12"/>
        <v>480</v>
      </c>
      <c r="C649" s="1" t="s">
        <v>1194</v>
      </c>
      <c r="D649" s="1" t="s">
        <v>8</v>
      </c>
      <c r="E649" s="1" t="s">
        <v>14</v>
      </c>
      <c r="F649" s="26">
        <v>0</v>
      </c>
      <c r="G649" s="26">
        <v>450</v>
      </c>
      <c r="H649" s="26">
        <v>450</v>
      </c>
      <c r="I649" s="26">
        <v>11634412.5</v>
      </c>
      <c r="J649" s="26">
        <v>58050000</v>
      </c>
    </row>
    <row r="650" spans="1:10">
      <c r="A650" s="24">
        <v>648</v>
      </c>
      <c r="B650" s="24">
        <f t="shared" si="12"/>
        <v>480</v>
      </c>
      <c r="C650" s="1" t="s">
        <v>1194</v>
      </c>
      <c r="D650" s="1" t="s">
        <v>9</v>
      </c>
      <c r="E650" s="1" t="s">
        <v>14</v>
      </c>
      <c r="F650" s="26">
        <v>0</v>
      </c>
      <c r="G650" s="26">
        <v>300</v>
      </c>
      <c r="H650" s="26">
        <v>300</v>
      </c>
      <c r="I650" s="26">
        <v>7756275</v>
      </c>
      <c r="J650" s="26">
        <v>38700000</v>
      </c>
    </row>
    <row r="651" spans="1:10">
      <c r="A651" s="24">
        <v>649</v>
      </c>
      <c r="B651" s="24">
        <f t="shared" si="12"/>
        <v>480</v>
      </c>
      <c r="C651" s="1" t="s">
        <v>1194</v>
      </c>
      <c r="D651" s="1" t="s">
        <v>10</v>
      </c>
      <c r="E651" s="1" t="s">
        <v>14</v>
      </c>
      <c r="F651" s="26">
        <v>0</v>
      </c>
      <c r="G651" s="26">
        <v>200</v>
      </c>
      <c r="H651" s="26">
        <v>200</v>
      </c>
      <c r="I651" s="26">
        <v>5170850</v>
      </c>
      <c r="J651" s="26">
        <v>25800000</v>
      </c>
    </row>
    <row r="652" spans="1:10">
      <c r="A652" s="24">
        <v>650</v>
      </c>
      <c r="B652" s="24">
        <f t="shared" si="12"/>
        <v>481</v>
      </c>
      <c r="C652" s="1" t="s">
        <v>1195</v>
      </c>
      <c r="D652" s="1" t="s">
        <v>6</v>
      </c>
      <c r="E652" s="1" t="s">
        <v>14</v>
      </c>
      <c r="F652" s="26">
        <v>0</v>
      </c>
      <c r="G652" s="26">
        <v>200</v>
      </c>
      <c r="H652" s="26">
        <v>200</v>
      </c>
      <c r="I652" s="26">
        <v>4778150</v>
      </c>
      <c r="J652" s="26">
        <v>23800000</v>
      </c>
    </row>
    <row r="653" spans="1:10">
      <c r="A653" s="24">
        <v>651</v>
      </c>
      <c r="B653" s="24">
        <f t="shared" si="12"/>
        <v>481</v>
      </c>
      <c r="C653" s="1" t="s">
        <v>1195</v>
      </c>
      <c r="D653" s="1" t="s">
        <v>7</v>
      </c>
      <c r="E653" s="1" t="s">
        <v>14</v>
      </c>
      <c r="F653" s="26">
        <v>0</v>
      </c>
      <c r="G653" s="26">
        <v>300</v>
      </c>
      <c r="H653" s="26">
        <v>300</v>
      </c>
      <c r="I653" s="26">
        <v>7167225</v>
      </c>
      <c r="J653" s="26">
        <v>35700000</v>
      </c>
    </row>
    <row r="654" spans="1:10">
      <c r="A654" s="24">
        <v>652</v>
      </c>
      <c r="B654" s="24">
        <f t="shared" si="12"/>
        <v>481</v>
      </c>
      <c r="C654" s="1" t="s">
        <v>1195</v>
      </c>
      <c r="D654" s="1" t="s">
        <v>8</v>
      </c>
      <c r="E654" s="1" t="s">
        <v>14</v>
      </c>
      <c r="F654" s="26">
        <v>0</v>
      </c>
      <c r="G654" s="26">
        <v>350</v>
      </c>
      <c r="H654" s="26">
        <v>350</v>
      </c>
      <c r="I654" s="26">
        <v>8361762.5</v>
      </c>
      <c r="J654" s="26">
        <v>41650000</v>
      </c>
    </row>
    <row r="655" spans="1:10">
      <c r="A655" s="24">
        <v>653</v>
      </c>
      <c r="B655" s="24">
        <f t="shared" si="12"/>
        <v>481</v>
      </c>
      <c r="C655" s="1" t="s">
        <v>1195</v>
      </c>
      <c r="D655" s="1" t="s">
        <v>10</v>
      </c>
      <c r="E655" s="1" t="s">
        <v>14</v>
      </c>
      <c r="F655" s="26">
        <v>0</v>
      </c>
      <c r="G655" s="26">
        <v>350</v>
      </c>
      <c r="H655" s="26">
        <v>350</v>
      </c>
      <c r="I655" s="26">
        <v>8361762.5</v>
      </c>
      <c r="J655" s="26">
        <v>41650000</v>
      </c>
    </row>
    <row r="656" spans="1:10">
      <c r="A656" s="24">
        <v>654</v>
      </c>
      <c r="B656" s="24">
        <f t="shared" si="12"/>
        <v>482</v>
      </c>
      <c r="C656" s="1" t="s">
        <v>1196</v>
      </c>
      <c r="D656" s="1" t="s">
        <v>6</v>
      </c>
      <c r="E656" s="1" t="s">
        <v>14</v>
      </c>
      <c r="F656" s="26">
        <v>0</v>
      </c>
      <c r="G656" s="26">
        <v>200</v>
      </c>
      <c r="H656" s="26">
        <v>200</v>
      </c>
      <c r="I656" s="26">
        <v>5436500</v>
      </c>
      <c r="J656" s="26">
        <v>27800000</v>
      </c>
    </row>
    <row r="657" spans="1:10">
      <c r="A657" s="24">
        <v>655</v>
      </c>
      <c r="B657" s="24">
        <f t="shared" si="12"/>
        <v>482</v>
      </c>
      <c r="C657" s="1" t="s">
        <v>1196</v>
      </c>
      <c r="D657" s="1" t="s">
        <v>7</v>
      </c>
      <c r="E657" s="1" t="s">
        <v>14</v>
      </c>
      <c r="F657" s="26">
        <v>0</v>
      </c>
      <c r="G657" s="26">
        <v>300</v>
      </c>
      <c r="H657" s="26">
        <v>300</v>
      </c>
      <c r="I657" s="26">
        <v>8154750</v>
      </c>
      <c r="J657" s="26">
        <v>41700000</v>
      </c>
    </row>
    <row r="658" spans="1:10">
      <c r="A658" s="24">
        <v>656</v>
      </c>
      <c r="B658" s="24">
        <f t="shared" si="12"/>
        <v>482</v>
      </c>
      <c r="C658" s="1" t="s">
        <v>1196</v>
      </c>
      <c r="D658" s="1" t="s">
        <v>8</v>
      </c>
      <c r="E658" s="1" t="s">
        <v>14</v>
      </c>
      <c r="F658" s="26">
        <v>0</v>
      </c>
      <c r="G658" s="26">
        <v>200</v>
      </c>
      <c r="H658" s="26">
        <v>200</v>
      </c>
      <c r="I658" s="26">
        <v>5436500</v>
      </c>
      <c r="J658" s="26">
        <v>27800000</v>
      </c>
    </row>
    <row r="659" spans="1:10">
      <c r="A659" s="24">
        <v>657</v>
      </c>
      <c r="B659" s="24">
        <f t="shared" si="12"/>
        <v>482</v>
      </c>
      <c r="C659" s="1" t="s">
        <v>1196</v>
      </c>
      <c r="D659" s="1" t="s">
        <v>9</v>
      </c>
      <c r="E659" s="1" t="s">
        <v>14</v>
      </c>
      <c r="F659" s="26">
        <v>0</v>
      </c>
      <c r="G659" s="26">
        <v>100</v>
      </c>
      <c r="H659" s="26">
        <v>100</v>
      </c>
      <c r="I659" s="26">
        <v>2718250</v>
      </c>
      <c r="J659" s="26">
        <v>13900000</v>
      </c>
    </row>
    <row r="660" spans="1:10">
      <c r="A660" s="24">
        <v>658</v>
      </c>
      <c r="B660" s="24">
        <f t="shared" si="12"/>
        <v>483</v>
      </c>
      <c r="C660" s="1" t="s">
        <v>1197</v>
      </c>
      <c r="D660" s="1" t="s">
        <v>7</v>
      </c>
      <c r="E660" s="1" t="s">
        <v>14</v>
      </c>
      <c r="F660" s="26">
        <v>0</v>
      </c>
      <c r="G660" s="26">
        <v>350</v>
      </c>
      <c r="H660" s="26">
        <v>350</v>
      </c>
      <c r="I660" s="26">
        <v>9513875</v>
      </c>
      <c r="J660" s="26">
        <v>48650000</v>
      </c>
    </row>
    <row r="661" spans="1:10">
      <c r="A661" s="24">
        <v>659</v>
      </c>
      <c r="B661" s="24">
        <f t="shared" si="12"/>
        <v>483</v>
      </c>
      <c r="C661" s="1" t="s">
        <v>1197</v>
      </c>
      <c r="D661" s="1" t="s">
        <v>8</v>
      </c>
      <c r="E661" s="1" t="s">
        <v>14</v>
      </c>
      <c r="F661" s="26">
        <v>0</v>
      </c>
      <c r="G661" s="26">
        <v>250</v>
      </c>
      <c r="H661" s="26">
        <v>250</v>
      </c>
      <c r="I661" s="26">
        <v>6795625</v>
      </c>
      <c r="J661" s="26">
        <v>34750000</v>
      </c>
    </row>
    <row r="662" spans="1:10">
      <c r="A662" s="24">
        <v>660</v>
      </c>
      <c r="B662" s="24">
        <f t="shared" si="12"/>
        <v>483</v>
      </c>
      <c r="C662" s="1" t="s">
        <v>1197</v>
      </c>
      <c r="D662" s="1" t="s">
        <v>9</v>
      </c>
      <c r="E662" s="1" t="s">
        <v>14</v>
      </c>
      <c r="F662" s="26">
        <v>0</v>
      </c>
      <c r="G662" s="26">
        <v>250</v>
      </c>
      <c r="H662" s="26">
        <v>250</v>
      </c>
      <c r="I662" s="26">
        <v>6795625</v>
      </c>
      <c r="J662" s="26">
        <v>34750000</v>
      </c>
    </row>
    <row r="663" spans="1:10">
      <c r="A663" s="24">
        <v>661</v>
      </c>
      <c r="B663" s="24">
        <f t="shared" si="12"/>
        <v>483</v>
      </c>
      <c r="C663" s="1" t="s">
        <v>1197</v>
      </c>
      <c r="D663" s="1" t="s">
        <v>10</v>
      </c>
      <c r="E663" s="1" t="s">
        <v>14</v>
      </c>
      <c r="F663" s="26">
        <v>0</v>
      </c>
      <c r="G663" s="26">
        <v>150</v>
      </c>
      <c r="H663" s="26">
        <v>150</v>
      </c>
      <c r="I663" s="26">
        <v>4077375</v>
      </c>
      <c r="J663" s="26">
        <v>20850000</v>
      </c>
    </row>
    <row r="664" spans="1:10">
      <c r="A664" s="24">
        <v>662</v>
      </c>
      <c r="B664" s="24">
        <f t="shared" si="12"/>
        <v>484</v>
      </c>
      <c r="C664" s="1" t="s">
        <v>1198</v>
      </c>
      <c r="D664" s="1" t="s">
        <v>7</v>
      </c>
      <c r="E664" s="1" t="s">
        <v>14</v>
      </c>
      <c r="F664" s="26">
        <v>0</v>
      </c>
      <c r="G664" s="26">
        <v>300</v>
      </c>
      <c r="H664" s="26">
        <v>300</v>
      </c>
      <c r="I664" s="26">
        <v>11273250</v>
      </c>
      <c r="J664" s="26">
        <v>53700000</v>
      </c>
    </row>
    <row r="665" spans="1:10">
      <c r="A665" s="24">
        <v>663</v>
      </c>
      <c r="B665" s="24">
        <f t="shared" si="12"/>
        <v>484</v>
      </c>
      <c r="C665" s="1" t="s">
        <v>1198</v>
      </c>
      <c r="D665" s="1" t="s">
        <v>8</v>
      </c>
      <c r="E665" s="1" t="s">
        <v>14</v>
      </c>
      <c r="F665" s="26">
        <v>0</v>
      </c>
      <c r="G665" s="26">
        <v>450</v>
      </c>
      <c r="H665" s="26">
        <v>450</v>
      </c>
      <c r="I665" s="26">
        <v>16909875</v>
      </c>
      <c r="J665" s="26">
        <v>80550000</v>
      </c>
    </row>
    <row r="666" spans="1:10">
      <c r="A666" s="24">
        <v>664</v>
      </c>
      <c r="B666" s="24">
        <f t="shared" si="12"/>
        <v>484</v>
      </c>
      <c r="C666" s="1" t="s">
        <v>1198</v>
      </c>
      <c r="D666" s="1" t="s">
        <v>9</v>
      </c>
      <c r="E666" s="1" t="s">
        <v>14</v>
      </c>
      <c r="F666" s="26">
        <v>0</v>
      </c>
      <c r="G666" s="26">
        <v>300</v>
      </c>
      <c r="H666" s="26">
        <v>300</v>
      </c>
      <c r="I666" s="26">
        <v>11273250</v>
      </c>
      <c r="J666" s="26">
        <v>53700000</v>
      </c>
    </row>
    <row r="667" spans="1:10">
      <c r="A667" s="24">
        <v>665</v>
      </c>
      <c r="B667" s="24">
        <f t="shared" si="12"/>
        <v>484</v>
      </c>
      <c r="C667" s="1" t="s">
        <v>1198</v>
      </c>
      <c r="D667" s="1" t="s">
        <v>10</v>
      </c>
      <c r="E667" s="1" t="s">
        <v>14</v>
      </c>
      <c r="F667" s="26">
        <v>0</v>
      </c>
      <c r="G667" s="26">
        <v>150</v>
      </c>
      <c r="H667" s="26">
        <v>150</v>
      </c>
      <c r="I667" s="26">
        <v>5636625</v>
      </c>
      <c r="J667" s="26">
        <v>26850000</v>
      </c>
    </row>
    <row r="668" spans="1:10">
      <c r="A668" s="24">
        <v>666</v>
      </c>
      <c r="B668" s="24">
        <f t="shared" si="12"/>
        <v>485</v>
      </c>
      <c r="C668" s="1" t="s">
        <v>1199</v>
      </c>
      <c r="D668" s="1" t="s">
        <v>6</v>
      </c>
      <c r="E668" s="1" t="s">
        <v>14</v>
      </c>
      <c r="F668" s="26">
        <v>0</v>
      </c>
      <c r="G668" s="26">
        <v>200</v>
      </c>
      <c r="H668" s="26">
        <v>200</v>
      </c>
      <c r="I668" s="26">
        <v>6938000</v>
      </c>
      <c r="J668" s="26">
        <v>33800000</v>
      </c>
    </row>
    <row r="669" spans="1:10">
      <c r="A669" s="24">
        <v>667</v>
      </c>
      <c r="B669" s="24">
        <f t="shared" si="12"/>
        <v>485</v>
      </c>
      <c r="C669" s="1" t="s">
        <v>1199</v>
      </c>
      <c r="D669" s="1" t="s">
        <v>8</v>
      </c>
      <c r="E669" s="1" t="s">
        <v>14</v>
      </c>
      <c r="F669" s="26">
        <v>0</v>
      </c>
      <c r="G669" s="26">
        <v>350</v>
      </c>
      <c r="H669" s="26">
        <v>350</v>
      </c>
      <c r="I669" s="26">
        <v>12141500</v>
      </c>
      <c r="J669" s="26">
        <v>59150000</v>
      </c>
    </row>
    <row r="670" spans="1:10">
      <c r="A670" s="24">
        <v>668</v>
      </c>
      <c r="B670" s="24">
        <f t="shared" si="12"/>
        <v>485</v>
      </c>
      <c r="C670" s="1" t="s">
        <v>1199</v>
      </c>
      <c r="D670" s="1" t="s">
        <v>10</v>
      </c>
      <c r="E670" s="1" t="s">
        <v>14</v>
      </c>
      <c r="F670" s="26">
        <v>0</v>
      </c>
      <c r="G670" s="26">
        <v>250</v>
      </c>
      <c r="H670" s="26">
        <v>250</v>
      </c>
      <c r="I670" s="26">
        <v>8672500</v>
      </c>
      <c r="J670" s="26">
        <v>42250000</v>
      </c>
    </row>
    <row r="671" spans="1:10">
      <c r="A671" s="24">
        <v>669</v>
      </c>
      <c r="B671" s="24">
        <f t="shared" si="12"/>
        <v>486</v>
      </c>
      <c r="C671" s="1" t="s">
        <v>775</v>
      </c>
      <c r="F671" s="26">
        <v>0</v>
      </c>
      <c r="G671" s="26">
        <v>9500</v>
      </c>
      <c r="H671" s="26">
        <v>9500</v>
      </c>
      <c r="I671" s="26">
        <v>244177400</v>
      </c>
      <c r="J671" s="26">
        <v>1218500000</v>
      </c>
    </row>
    <row r="672" spans="1:10">
      <c r="A672" s="24">
        <v>670</v>
      </c>
      <c r="B672" s="24">
        <f t="shared" si="12"/>
        <v>487</v>
      </c>
      <c r="C672" s="1" t="s">
        <v>1200</v>
      </c>
      <c r="D672" s="1" t="s">
        <v>4</v>
      </c>
      <c r="E672" s="1" t="s">
        <v>14</v>
      </c>
      <c r="F672" s="26">
        <v>0</v>
      </c>
      <c r="G672" s="26">
        <v>500</v>
      </c>
      <c r="H672" s="26">
        <v>500</v>
      </c>
      <c r="I672" s="26">
        <v>4001680.0000000005</v>
      </c>
      <c r="J672" s="26">
        <v>21500000</v>
      </c>
    </row>
    <row r="673" spans="1:10">
      <c r="A673" s="24">
        <v>671</v>
      </c>
      <c r="B673" s="24">
        <f t="shared" si="12"/>
        <v>488</v>
      </c>
      <c r="C673" s="1" t="s">
        <v>1201</v>
      </c>
      <c r="D673" s="1" t="s">
        <v>4</v>
      </c>
      <c r="E673" s="1" t="s">
        <v>14</v>
      </c>
      <c r="F673" s="26">
        <v>0</v>
      </c>
      <c r="G673" s="26">
        <v>500</v>
      </c>
      <c r="H673" s="26">
        <v>500</v>
      </c>
      <c r="I673" s="26">
        <v>4001680.0000000005</v>
      </c>
      <c r="J673" s="26">
        <v>21500000</v>
      </c>
    </row>
    <row r="674" spans="1:10">
      <c r="A674" s="24">
        <v>672</v>
      </c>
      <c r="B674" s="24">
        <f t="shared" si="12"/>
        <v>489</v>
      </c>
      <c r="C674" s="1" t="s">
        <v>1202</v>
      </c>
      <c r="D674" s="1" t="s">
        <v>4</v>
      </c>
      <c r="E674" s="1" t="s">
        <v>14</v>
      </c>
      <c r="F674" s="26">
        <v>0</v>
      </c>
      <c r="G674" s="26">
        <v>300</v>
      </c>
      <c r="H674" s="26">
        <v>300</v>
      </c>
      <c r="I674" s="26">
        <v>2424768.0000000005</v>
      </c>
      <c r="J674" s="26">
        <v>14700000</v>
      </c>
    </row>
    <row r="675" spans="1:10">
      <c r="A675" s="24">
        <v>673</v>
      </c>
      <c r="B675" s="24">
        <f t="shared" si="12"/>
        <v>490</v>
      </c>
      <c r="C675" s="1" t="s">
        <v>1203</v>
      </c>
      <c r="D675" s="1" t="s">
        <v>4</v>
      </c>
      <c r="E675" s="1" t="s">
        <v>14</v>
      </c>
      <c r="F675" s="26">
        <v>0</v>
      </c>
      <c r="G675" s="26">
        <v>800</v>
      </c>
      <c r="H675" s="26">
        <v>800</v>
      </c>
      <c r="I675" s="26">
        <v>5125248.0000000009</v>
      </c>
      <c r="J675" s="26">
        <v>36000000</v>
      </c>
    </row>
    <row r="676" spans="1:10">
      <c r="A676" s="24">
        <v>674</v>
      </c>
      <c r="B676" s="24">
        <f t="shared" si="12"/>
        <v>491</v>
      </c>
      <c r="C676" s="1" t="s">
        <v>1204</v>
      </c>
      <c r="D676" s="1" t="s">
        <v>4</v>
      </c>
      <c r="E676" s="1" t="s">
        <v>14</v>
      </c>
      <c r="F676" s="26">
        <v>0</v>
      </c>
      <c r="G676" s="26">
        <v>700</v>
      </c>
      <c r="H676" s="26">
        <v>700</v>
      </c>
      <c r="I676" s="26">
        <v>4674236.0000000009</v>
      </c>
      <c r="J676" s="26">
        <v>34300000</v>
      </c>
    </row>
    <row r="677" spans="1:10">
      <c r="A677" s="24">
        <v>675</v>
      </c>
      <c r="B677" s="24">
        <f t="shared" si="12"/>
        <v>492</v>
      </c>
      <c r="C677" s="1" t="s">
        <v>1205</v>
      </c>
      <c r="D677" s="1" t="s">
        <v>4</v>
      </c>
      <c r="E677" s="1" t="s">
        <v>14</v>
      </c>
      <c r="F677" s="26">
        <v>0</v>
      </c>
      <c r="G677" s="26">
        <v>700</v>
      </c>
      <c r="H677" s="26">
        <v>700</v>
      </c>
      <c r="I677" s="26">
        <v>4499600</v>
      </c>
      <c r="J677" s="26">
        <v>31500000</v>
      </c>
    </row>
    <row r="678" spans="1:10">
      <c r="A678" s="24">
        <v>676</v>
      </c>
      <c r="B678" s="24">
        <f t="shared" si="12"/>
        <v>493</v>
      </c>
      <c r="C678" s="1" t="s">
        <v>1206</v>
      </c>
      <c r="D678" s="1" t="s">
        <v>4</v>
      </c>
      <c r="E678" s="1" t="s">
        <v>14</v>
      </c>
      <c r="F678" s="26">
        <v>0</v>
      </c>
      <c r="G678" s="26">
        <v>200</v>
      </c>
      <c r="H678" s="26">
        <v>200</v>
      </c>
      <c r="I678" s="26">
        <v>2782864</v>
      </c>
      <c r="J678" s="26">
        <v>15800000</v>
      </c>
    </row>
    <row r="679" spans="1:10">
      <c r="A679" s="24">
        <v>677</v>
      </c>
      <c r="B679" s="24">
        <f t="shared" si="12"/>
        <v>494</v>
      </c>
      <c r="C679" s="1" t="s">
        <v>1207</v>
      </c>
      <c r="D679" s="1" t="s">
        <v>4</v>
      </c>
      <c r="E679" s="1" t="s">
        <v>14</v>
      </c>
      <c r="F679" s="26">
        <v>0</v>
      </c>
      <c r="G679" s="26">
        <v>300</v>
      </c>
      <c r="H679" s="26">
        <v>300</v>
      </c>
      <c r="I679" s="26">
        <v>2706678</v>
      </c>
      <c r="J679" s="26">
        <v>16500000</v>
      </c>
    </row>
    <row r="680" spans="1:10">
      <c r="A680" s="24">
        <v>678</v>
      </c>
      <c r="B680" s="24">
        <f t="shared" si="12"/>
        <v>495</v>
      </c>
      <c r="C680" s="1" t="s">
        <v>775</v>
      </c>
      <c r="F680" s="26">
        <v>0</v>
      </c>
      <c r="G680" s="26">
        <v>4000</v>
      </c>
      <c r="H680" s="26">
        <v>4000</v>
      </c>
      <c r="I680" s="26">
        <v>30216754.000000004</v>
      </c>
      <c r="J680" s="26">
        <v>191800000</v>
      </c>
    </row>
    <row r="681" spans="1:10">
      <c r="A681" s="24">
        <v>679</v>
      </c>
      <c r="B681" s="24">
        <f t="shared" si="12"/>
        <v>496</v>
      </c>
      <c r="C681" s="1" t="s">
        <v>1208</v>
      </c>
      <c r="D681" s="1" t="s">
        <v>4</v>
      </c>
      <c r="E681" s="1" t="s">
        <v>14</v>
      </c>
      <c r="F681" s="26">
        <v>0</v>
      </c>
      <c r="G681" s="26">
        <v>400</v>
      </c>
      <c r="H681" s="26">
        <v>400</v>
      </c>
      <c r="I681" s="26">
        <v>3932648.0000000005</v>
      </c>
      <c r="J681" s="26">
        <v>22000000</v>
      </c>
    </row>
    <row r="682" spans="1:10">
      <c r="A682" s="24">
        <v>680</v>
      </c>
      <c r="B682" s="24">
        <f t="shared" si="12"/>
        <v>497</v>
      </c>
      <c r="C682" s="1" t="s">
        <v>1209</v>
      </c>
      <c r="D682" s="1" t="s">
        <v>4</v>
      </c>
      <c r="E682" s="1" t="s">
        <v>14</v>
      </c>
      <c r="F682" s="26">
        <v>0</v>
      </c>
      <c r="G682" s="26">
        <v>400</v>
      </c>
      <c r="H682" s="26">
        <v>400</v>
      </c>
      <c r="I682" s="26">
        <v>3414936</v>
      </c>
      <c r="J682" s="26">
        <v>22000000</v>
      </c>
    </row>
    <row r="683" spans="1:10">
      <c r="A683" s="24">
        <v>681</v>
      </c>
      <c r="B683" s="24">
        <f t="shared" si="12"/>
        <v>498</v>
      </c>
      <c r="C683" s="1" t="s">
        <v>1210</v>
      </c>
      <c r="D683" s="1" t="s">
        <v>4</v>
      </c>
      <c r="E683" s="1" t="s">
        <v>14</v>
      </c>
      <c r="F683" s="26">
        <v>0</v>
      </c>
      <c r="G683" s="26">
        <v>500</v>
      </c>
      <c r="H683" s="26">
        <v>500</v>
      </c>
      <c r="I683" s="26">
        <v>4390525</v>
      </c>
      <c r="J683" s="26">
        <v>32500000</v>
      </c>
    </row>
    <row r="684" spans="1:10">
      <c r="A684" s="24">
        <v>682</v>
      </c>
      <c r="B684" s="24">
        <f t="shared" si="12"/>
        <v>499</v>
      </c>
      <c r="C684" s="1" t="s">
        <v>1211</v>
      </c>
      <c r="D684" s="1" t="s">
        <v>4</v>
      </c>
      <c r="E684" s="1" t="s">
        <v>14</v>
      </c>
      <c r="F684" s="26">
        <v>0</v>
      </c>
      <c r="G684" s="26">
        <v>500</v>
      </c>
      <c r="H684" s="26">
        <v>500</v>
      </c>
      <c r="I684" s="26">
        <v>4308025</v>
      </c>
      <c r="J684" s="26">
        <v>29500000</v>
      </c>
    </row>
    <row r="685" spans="1:10">
      <c r="A685" s="24">
        <v>683</v>
      </c>
      <c r="B685" s="24">
        <f t="shared" si="12"/>
        <v>500</v>
      </c>
      <c r="C685" s="1" t="s">
        <v>1212</v>
      </c>
      <c r="D685" s="1" t="s">
        <v>4</v>
      </c>
      <c r="E685" s="1" t="s">
        <v>14</v>
      </c>
      <c r="F685" s="26">
        <v>0</v>
      </c>
      <c r="G685" s="26">
        <v>400</v>
      </c>
      <c r="H685" s="26">
        <v>400</v>
      </c>
      <c r="I685" s="26">
        <v>4215224.0000000009</v>
      </c>
      <c r="J685" s="26">
        <v>22000000</v>
      </c>
    </row>
    <row r="686" spans="1:10">
      <c r="A686" s="24">
        <v>684</v>
      </c>
      <c r="B686" s="24">
        <f t="shared" si="12"/>
        <v>501</v>
      </c>
      <c r="C686" s="1" t="s">
        <v>1213</v>
      </c>
      <c r="D686" s="1" t="s">
        <v>4</v>
      </c>
      <c r="E686" s="1" t="s">
        <v>14</v>
      </c>
      <c r="F686" s="26">
        <v>0</v>
      </c>
      <c r="G686" s="26">
        <v>400</v>
      </c>
      <c r="H686" s="26">
        <v>400</v>
      </c>
      <c r="I686" s="26">
        <v>4258024.0000000009</v>
      </c>
      <c r="J686" s="26">
        <v>22000000</v>
      </c>
    </row>
    <row r="687" spans="1:10">
      <c r="A687" s="24">
        <v>685</v>
      </c>
      <c r="B687" s="24">
        <f t="shared" si="12"/>
        <v>502</v>
      </c>
      <c r="C687" s="1" t="s">
        <v>1383</v>
      </c>
      <c r="D687" s="1" t="s">
        <v>4</v>
      </c>
      <c r="E687" s="1" t="s">
        <v>14</v>
      </c>
      <c r="F687" s="26">
        <v>0</v>
      </c>
      <c r="G687" s="26">
        <v>400</v>
      </c>
      <c r="H687" s="26">
        <v>400</v>
      </c>
      <c r="I687" s="26">
        <v>4389964</v>
      </c>
      <c r="J687" s="26">
        <v>23600000</v>
      </c>
    </row>
    <row r="688" spans="1:10">
      <c r="A688" s="24">
        <v>686</v>
      </c>
      <c r="B688" s="24">
        <f t="shared" si="12"/>
        <v>503</v>
      </c>
      <c r="C688" s="1" t="s">
        <v>1384</v>
      </c>
      <c r="D688" s="1" t="s">
        <v>4</v>
      </c>
      <c r="E688" s="1" t="s">
        <v>14</v>
      </c>
      <c r="F688" s="26">
        <v>0</v>
      </c>
      <c r="G688" s="26">
        <v>400</v>
      </c>
      <c r="H688" s="26">
        <v>400</v>
      </c>
      <c r="I688" s="26">
        <v>4439164</v>
      </c>
      <c r="J688" s="26">
        <v>23600000</v>
      </c>
    </row>
    <row r="689" spans="1:10">
      <c r="A689" s="24">
        <v>687</v>
      </c>
      <c r="B689" s="24">
        <f t="shared" si="12"/>
        <v>504</v>
      </c>
      <c r="C689" s="1" t="s">
        <v>1214</v>
      </c>
      <c r="D689" s="1" t="s">
        <v>4</v>
      </c>
      <c r="E689" s="1" t="s">
        <v>14</v>
      </c>
      <c r="F689" s="26">
        <v>0</v>
      </c>
      <c r="G689" s="26">
        <v>400</v>
      </c>
      <c r="H689" s="26">
        <v>400</v>
      </c>
      <c r="I689" s="26">
        <v>3678844</v>
      </c>
      <c r="J689" s="26">
        <v>22000000</v>
      </c>
    </row>
    <row r="690" spans="1:10">
      <c r="A690" s="24">
        <v>688</v>
      </c>
      <c r="B690" s="24">
        <f t="shared" si="12"/>
        <v>505</v>
      </c>
      <c r="C690" s="1" t="s">
        <v>1215</v>
      </c>
      <c r="D690" s="1" t="s">
        <v>4</v>
      </c>
      <c r="E690" s="1" t="s">
        <v>14</v>
      </c>
      <c r="F690" s="26">
        <v>0</v>
      </c>
      <c r="G690" s="26">
        <v>200</v>
      </c>
      <c r="H690" s="26">
        <v>200</v>
      </c>
      <c r="I690" s="26">
        <v>2074460.0000000002</v>
      </c>
      <c r="J690" s="26">
        <v>11800000</v>
      </c>
    </row>
    <row r="691" spans="1:10">
      <c r="A691" s="24">
        <v>689</v>
      </c>
      <c r="B691" s="24">
        <f t="shared" si="12"/>
        <v>506</v>
      </c>
      <c r="C691" s="1" t="s">
        <v>775</v>
      </c>
      <c r="F691" s="26">
        <v>0</v>
      </c>
      <c r="G691" s="26">
        <v>4000</v>
      </c>
      <c r="H691" s="26">
        <v>4000</v>
      </c>
      <c r="I691" s="26">
        <v>39101814</v>
      </c>
      <c r="J691" s="26">
        <v>231000000</v>
      </c>
    </row>
    <row r="692" spans="1:10">
      <c r="A692" s="24">
        <v>690</v>
      </c>
      <c r="B692" s="24">
        <f t="shared" si="12"/>
        <v>507</v>
      </c>
      <c r="C692" s="1" t="s">
        <v>1216</v>
      </c>
      <c r="D692" s="1" t="s">
        <v>4</v>
      </c>
      <c r="E692" s="1" t="s">
        <v>14</v>
      </c>
      <c r="F692" s="26">
        <v>0</v>
      </c>
      <c r="G692" s="26">
        <v>500</v>
      </c>
      <c r="H692" s="26">
        <v>500</v>
      </c>
      <c r="I692" s="26">
        <v>3101820</v>
      </c>
      <c r="J692" s="26">
        <v>24500000</v>
      </c>
    </row>
    <row r="693" spans="1:10">
      <c r="A693" s="24">
        <v>691</v>
      </c>
      <c r="B693" s="24">
        <f t="shared" si="12"/>
        <v>508</v>
      </c>
      <c r="C693" s="1" t="s">
        <v>1217</v>
      </c>
      <c r="D693" s="1" t="s">
        <v>4</v>
      </c>
      <c r="E693" s="1" t="s">
        <v>14</v>
      </c>
      <c r="F693" s="26">
        <v>0</v>
      </c>
      <c r="G693" s="26">
        <v>500</v>
      </c>
      <c r="H693" s="26">
        <v>500</v>
      </c>
      <c r="I693" s="26">
        <v>3529370.0000000005</v>
      </c>
      <c r="J693" s="26">
        <v>24500000</v>
      </c>
    </row>
    <row r="694" spans="1:10">
      <c r="A694" s="24">
        <v>692</v>
      </c>
      <c r="B694" s="24">
        <f t="shared" si="12"/>
        <v>509</v>
      </c>
      <c r="C694" s="1" t="s">
        <v>1218</v>
      </c>
      <c r="D694" s="1" t="s">
        <v>4</v>
      </c>
      <c r="E694" s="1" t="s">
        <v>14</v>
      </c>
      <c r="F694" s="26">
        <v>0</v>
      </c>
      <c r="G694" s="26">
        <v>500</v>
      </c>
      <c r="H694" s="26">
        <v>500</v>
      </c>
      <c r="I694" s="26">
        <v>3197815.0000000009</v>
      </c>
      <c r="J694" s="26">
        <v>22500000</v>
      </c>
    </row>
    <row r="695" spans="1:10">
      <c r="A695" s="24">
        <v>693</v>
      </c>
      <c r="B695" s="24">
        <f t="shared" si="12"/>
        <v>510</v>
      </c>
      <c r="C695" s="1" t="s">
        <v>1219</v>
      </c>
      <c r="D695" s="1" t="s">
        <v>4</v>
      </c>
      <c r="E695" s="1" t="s">
        <v>14</v>
      </c>
      <c r="F695" s="26">
        <v>0</v>
      </c>
      <c r="G695" s="26">
        <v>500</v>
      </c>
      <c r="H695" s="26">
        <v>500</v>
      </c>
      <c r="I695" s="26">
        <v>3565450.0000000005</v>
      </c>
      <c r="J695" s="26">
        <v>24500000</v>
      </c>
    </row>
    <row r="696" spans="1:10">
      <c r="A696" s="24">
        <v>694</v>
      </c>
      <c r="B696" s="24">
        <f t="shared" si="12"/>
        <v>511</v>
      </c>
      <c r="C696" s="1" t="s">
        <v>775</v>
      </c>
      <c r="F696" s="26">
        <v>0</v>
      </c>
      <c r="G696" s="26">
        <v>2000</v>
      </c>
      <c r="H696" s="26">
        <v>2000</v>
      </c>
      <c r="I696" s="26">
        <v>13394455</v>
      </c>
      <c r="J696" s="26">
        <v>96000000</v>
      </c>
    </row>
    <row r="697" spans="1:10">
      <c r="A697" s="24">
        <v>695</v>
      </c>
      <c r="B697" s="24">
        <f t="shared" si="12"/>
        <v>512</v>
      </c>
      <c r="C697" s="1" t="s">
        <v>1220</v>
      </c>
      <c r="D697" s="1" t="s">
        <v>4</v>
      </c>
      <c r="E697" s="1" t="s">
        <v>14</v>
      </c>
      <c r="F697" s="26">
        <v>0</v>
      </c>
      <c r="G697" s="26">
        <v>500</v>
      </c>
      <c r="H697" s="26">
        <v>500</v>
      </c>
      <c r="I697" s="26">
        <v>3970495</v>
      </c>
      <c r="J697" s="26">
        <v>19500000</v>
      </c>
    </row>
    <row r="698" spans="1:10">
      <c r="A698" s="24">
        <v>696</v>
      </c>
      <c r="B698" s="24">
        <f t="shared" si="12"/>
        <v>513</v>
      </c>
      <c r="C698" s="1" t="s">
        <v>1221</v>
      </c>
      <c r="D698" s="1" t="s">
        <v>4</v>
      </c>
      <c r="E698" s="1" t="s">
        <v>14</v>
      </c>
      <c r="F698" s="26">
        <v>0</v>
      </c>
      <c r="G698" s="26">
        <v>500</v>
      </c>
      <c r="H698" s="26">
        <v>500</v>
      </c>
      <c r="I698" s="26">
        <v>3970495</v>
      </c>
      <c r="J698" s="26">
        <v>19500000</v>
      </c>
    </row>
    <row r="699" spans="1:10">
      <c r="A699" s="24">
        <v>697</v>
      </c>
      <c r="B699" s="24">
        <f t="shared" si="12"/>
        <v>514</v>
      </c>
      <c r="C699" s="1" t="s">
        <v>775</v>
      </c>
      <c r="F699" s="26">
        <v>0</v>
      </c>
      <c r="G699" s="26">
        <v>1000</v>
      </c>
      <c r="H699" s="26">
        <v>1000</v>
      </c>
      <c r="I699" s="26">
        <v>7940990</v>
      </c>
      <c r="J699" s="26">
        <v>39000000</v>
      </c>
    </row>
    <row r="700" spans="1:10">
      <c r="A700" s="24">
        <v>698</v>
      </c>
      <c r="B700" s="24">
        <f t="shared" si="12"/>
        <v>515</v>
      </c>
      <c r="C700" s="1" t="s">
        <v>1222</v>
      </c>
      <c r="D700" s="1" t="s">
        <v>4</v>
      </c>
      <c r="E700" s="1" t="s">
        <v>14</v>
      </c>
      <c r="F700" s="26">
        <v>0</v>
      </c>
      <c r="G700" s="26">
        <v>500</v>
      </c>
      <c r="H700" s="26">
        <v>500</v>
      </c>
      <c r="I700" s="26">
        <v>12000000</v>
      </c>
      <c r="J700" s="26">
        <v>59500000</v>
      </c>
    </row>
    <row r="701" spans="1:10">
      <c r="A701" s="24">
        <v>699</v>
      </c>
      <c r="B701" s="24">
        <f t="shared" si="12"/>
        <v>516</v>
      </c>
      <c r="C701" s="1" t="s">
        <v>1223</v>
      </c>
      <c r="D701" s="1" t="s">
        <v>4</v>
      </c>
      <c r="E701" s="1" t="s">
        <v>14</v>
      </c>
      <c r="F701" s="26">
        <v>0</v>
      </c>
      <c r="G701" s="26">
        <v>500</v>
      </c>
      <c r="H701" s="26">
        <v>500</v>
      </c>
      <c r="I701" s="26">
        <v>12000000</v>
      </c>
      <c r="J701" s="26">
        <v>59500000</v>
      </c>
    </row>
    <row r="702" spans="1:10">
      <c r="A702" s="24">
        <v>700</v>
      </c>
      <c r="B702" s="24">
        <f t="shared" si="12"/>
        <v>517</v>
      </c>
      <c r="C702" s="1" t="s">
        <v>1224</v>
      </c>
      <c r="D702" s="1" t="s">
        <v>4</v>
      </c>
      <c r="E702" s="1" t="s">
        <v>14</v>
      </c>
      <c r="F702" s="26">
        <v>0</v>
      </c>
      <c r="G702" s="26">
        <v>500</v>
      </c>
      <c r="H702" s="26">
        <v>500</v>
      </c>
      <c r="I702" s="26">
        <v>12000000</v>
      </c>
      <c r="J702" s="26">
        <v>59500000</v>
      </c>
    </row>
    <row r="703" spans="1:10">
      <c r="A703" s="24">
        <v>701</v>
      </c>
      <c r="B703" s="24">
        <f t="shared" si="12"/>
        <v>518</v>
      </c>
      <c r="C703" s="1" t="s">
        <v>1225</v>
      </c>
      <c r="D703" s="1" t="s">
        <v>4</v>
      </c>
      <c r="E703" s="1" t="s">
        <v>14</v>
      </c>
      <c r="F703" s="26">
        <v>0</v>
      </c>
      <c r="G703" s="26">
        <v>500</v>
      </c>
      <c r="H703" s="26">
        <v>500</v>
      </c>
      <c r="I703" s="26">
        <v>12000000</v>
      </c>
      <c r="J703" s="26">
        <v>59500000</v>
      </c>
    </row>
    <row r="704" spans="1:10">
      <c r="A704" s="24">
        <v>702</v>
      </c>
      <c r="B704" s="24">
        <f t="shared" si="12"/>
        <v>519</v>
      </c>
      <c r="C704" s="1" t="s">
        <v>775</v>
      </c>
      <c r="F704" s="26">
        <v>0</v>
      </c>
      <c r="G704" s="26">
        <v>2000</v>
      </c>
      <c r="H704" s="26">
        <v>2000</v>
      </c>
      <c r="I704" s="26">
        <v>48000000</v>
      </c>
      <c r="J704" s="26">
        <v>238000000</v>
      </c>
    </row>
    <row r="705" spans="1:10">
      <c r="A705" s="24">
        <v>703</v>
      </c>
      <c r="B705" s="24">
        <f t="shared" si="12"/>
        <v>520</v>
      </c>
      <c r="C705" s="1" t="s">
        <v>1226</v>
      </c>
      <c r="D705" s="1" t="s">
        <v>4</v>
      </c>
      <c r="E705" s="1" t="s">
        <v>14</v>
      </c>
      <c r="F705" s="26">
        <v>0</v>
      </c>
      <c r="G705" s="26">
        <v>500</v>
      </c>
      <c r="H705" s="26">
        <v>500</v>
      </c>
      <c r="I705" s="26">
        <v>12510000</v>
      </c>
      <c r="J705" s="26">
        <v>64500000</v>
      </c>
    </row>
    <row r="706" spans="1:10">
      <c r="A706" s="24">
        <v>704</v>
      </c>
      <c r="B706" s="24">
        <f t="shared" si="12"/>
        <v>521</v>
      </c>
      <c r="C706" s="1" t="s">
        <v>1227</v>
      </c>
      <c r="D706" s="1" t="s">
        <v>8</v>
      </c>
      <c r="E706" s="1" t="s">
        <v>14</v>
      </c>
      <c r="F706" s="26">
        <v>0</v>
      </c>
      <c r="G706" s="26">
        <v>500</v>
      </c>
      <c r="H706" s="26">
        <v>500</v>
      </c>
      <c r="I706" s="26">
        <v>11260000</v>
      </c>
      <c r="J706" s="26">
        <v>49500000</v>
      </c>
    </row>
    <row r="707" spans="1:10">
      <c r="A707" s="24">
        <v>705</v>
      </c>
      <c r="B707" s="24">
        <f t="shared" si="12"/>
        <v>522</v>
      </c>
      <c r="C707" s="1" t="s">
        <v>1228</v>
      </c>
      <c r="D707" s="1" t="s">
        <v>7</v>
      </c>
      <c r="E707" s="1" t="s">
        <v>14</v>
      </c>
      <c r="F707" s="26">
        <v>0</v>
      </c>
      <c r="G707" s="26">
        <v>500</v>
      </c>
      <c r="H707" s="26">
        <v>500</v>
      </c>
      <c r="I707" s="26">
        <v>10010000</v>
      </c>
      <c r="J707" s="26">
        <v>44500000</v>
      </c>
    </row>
    <row r="708" spans="1:10">
      <c r="A708" s="24">
        <v>706</v>
      </c>
      <c r="B708" s="24">
        <f t="shared" ref="B708:B771" si="13">IF(C707=C708,B707,B707+1)</f>
        <v>523</v>
      </c>
      <c r="C708" s="1" t="s">
        <v>775</v>
      </c>
      <c r="F708" s="26">
        <v>0</v>
      </c>
      <c r="G708" s="26">
        <v>1500</v>
      </c>
      <c r="H708" s="26">
        <v>1500</v>
      </c>
      <c r="I708" s="26">
        <v>33780000</v>
      </c>
      <c r="J708" s="26">
        <v>158500000</v>
      </c>
    </row>
    <row r="709" spans="1:10">
      <c r="A709" s="24">
        <v>707</v>
      </c>
      <c r="B709" s="24">
        <f t="shared" si="13"/>
        <v>524</v>
      </c>
      <c r="C709" s="1" t="s">
        <v>1229</v>
      </c>
      <c r="D709" s="1" t="s">
        <v>4</v>
      </c>
      <c r="E709" s="1" t="s">
        <v>14</v>
      </c>
      <c r="F709" s="26">
        <v>0</v>
      </c>
      <c r="G709" s="26">
        <v>700</v>
      </c>
      <c r="H709" s="26">
        <v>700</v>
      </c>
      <c r="I709" s="26">
        <v>4656456.0000000009</v>
      </c>
      <c r="J709" s="26">
        <v>41300000</v>
      </c>
    </row>
    <row r="710" spans="1:10">
      <c r="A710" s="24">
        <v>708</v>
      </c>
      <c r="B710" s="24">
        <f t="shared" si="13"/>
        <v>525</v>
      </c>
      <c r="C710" s="1" t="s">
        <v>1230</v>
      </c>
      <c r="D710" s="1" t="s">
        <v>4</v>
      </c>
      <c r="E710" s="1" t="s">
        <v>14</v>
      </c>
      <c r="F710" s="26">
        <v>0</v>
      </c>
      <c r="G710" s="26">
        <v>500</v>
      </c>
      <c r="H710" s="26">
        <v>500</v>
      </c>
      <c r="I710" s="26">
        <v>3297855.0000000005</v>
      </c>
      <c r="J710" s="26">
        <v>27500000</v>
      </c>
    </row>
    <row r="711" spans="1:10">
      <c r="A711" s="24">
        <v>709</v>
      </c>
      <c r="B711" s="24">
        <f t="shared" si="13"/>
        <v>526</v>
      </c>
      <c r="C711" s="1" t="s">
        <v>1231</v>
      </c>
      <c r="D711" s="1" t="s">
        <v>4</v>
      </c>
      <c r="E711" s="1" t="s">
        <v>14</v>
      </c>
      <c r="F711" s="26">
        <v>0</v>
      </c>
      <c r="G711" s="26">
        <v>700</v>
      </c>
      <c r="H711" s="26">
        <v>700</v>
      </c>
      <c r="I711" s="26">
        <v>3479707</v>
      </c>
      <c r="J711" s="26">
        <v>34300000</v>
      </c>
    </row>
    <row r="712" spans="1:10">
      <c r="A712" s="24">
        <v>710</v>
      </c>
      <c r="B712" s="24">
        <f t="shared" si="13"/>
        <v>527</v>
      </c>
      <c r="C712" s="1" t="s">
        <v>1232</v>
      </c>
      <c r="D712" s="1" t="s">
        <v>4</v>
      </c>
      <c r="E712" s="1" t="s">
        <v>14</v>
      </c>
      <c r="F712" s="26">
        <v>0</v>
      </c>
      <c r="G712" s="26">
        <v>1000</v>
      </c>
      <c r="H712" s="26">
        <v>1000</v>
      </c>
      <c r="I712" s="26">
        <v>6818330.0000000009</v>
      </c>
      <c r="J712" s="26">
        <v>49000000</v>
      </c>
    </row>
    <row r="713" spans="1:10">
      <c r="A713" s="24">
        <v>711</v>
      </c>
      <c r="B713" s="24">
        <f t="shared" si="13"/>
        <v>528</v>
      </c>
      <c r="C713" s="1" t="s">
        <v>1233</v>
      </c>
      <c r="D713" s="1" t="s">
        <v>4</v>
      </c>
      <c r="E713" s="1" t="s">
        <v>14</v>
      </c>
      <c r="F713" s="26">
        <v>0</v>
      </c>
      <c r="G713" s="26">
        <v>1000</v>
      </c>
      <c r="H713" s="26">
        <v>1000</v>
      </c>
      <c r="I713" s="26">
        <v>6818330.0000000009</v>
      </c>
      <c r="J713" s="26">
        <v>49000000</v>
      </c>
    </row>
    <row r="714" spans="1:10">
      <c r="A714" s="24">
        <v>712</v>
      </c>
      <c r="B714" s="24">
        <f t="shared" si="13"/>
        <v>529</v>
      </c>
      <c r="C714" s="1" t="s">
        <v>1234</v>
      </c>
      <c r="D714" s="1" t="s">
        <v>4</v>
      </c>
      <c r="E714" s="1" t="s">
        <v>14</v>
      </c>
      <c r="F714" s="26">
        <v>0</v>
      </c>
      <c r="G714" s="26">
        <v>500</v>
      </c>
      <c r="H714" s="26">
        <v>500</v>
      </c>
      <c r="I714" s="26">
        <v>3377980.0000000009</v>
      </c>
      <c r="J714" s="26">
        <v>22500000</v>
      </c>
    </row>
    <row r="715" spans="1:10">
      <c r="A715" s="24">
        <v>713</v>
      </c>
      <c r="B715" s="24">
        <f t="shared" si="13"/>
        <v>530</v>
      </c>
      <c r="C715" s="1" t="s">
        <v>775</v>
      </c>
      <c r="F715" s="26">
        <v>0</v>
      </c>
      <c r="G715" s="26">
        <v>4400</v>
      </c>
      <c r="H715" s="26">
        <v>4400</v>
      </c>
      <c r="I715" s="26">
        <v>28448658.000000004</v>
      </c>
      <c r="J715" s="26">
        <v>223600000</v>
      </c>
    </row>
    <row r="716" spans="1:10">
      <c r="A716" s="24">
        <v>714</v>
      </c>
      <c r="B716" s="24">
        <f t="shared" si="13"/>
        <v>531</v>
      </c>
      <c r="C716" s="1" t="s">
        <v>1235</v>
      </c>
      <c r="D716" s="1" t="s">
        <v>4</v>
      </c>
      <c r="E716" s="1" t="s">
        <v>14</v>
      </c>
      <c r="F716" s="26">
        <v>0</v>
      </c>
      <c r="G716" s="26">
        <v>700</v>
      </c>
      <c r="H716" s="26">
        <v>700</v>
      </c>
      <c r="I716" s="26">
        <v>4017153</v>
      </c>
      <c r="J716" s="26">
        <v>31500000</v>
      </c>
    </row>
    <row r="717" spans="1:10">
      <c r="A717" s="24">
        <v>715</v>
      </c>
      <c r="B717" s="24">
        <f t="shared" si="13"/>
        <v>532</v>
      </c>
      <c r="C717" s="1" t="s">
        <v>775</v>
      </c>
      <c r="F717" s="26">
        <v>0</v>
      </c>
      <c r="G717" s="26">
        <v>700</v>
      </c>
      <c r="H717" s="26">
        <v>700</v>
      </c>
      <c r="I717" s="26">
        <v>4017153</v>
      </c>
      <c r="J717" s="26">
        <v>31500000</v>
      </c>
    </row>
    <row r="718" spans="1:10">
      <c r="A718" s="24">
        <v>716</v>
      </c>
      <c r="B718" s="24">
        <f t="shared" si="13"/>
        <v>533</v>
      </c>
      <c r="C718" s="1" t="s">
        <v>1236</v>
      </c>
      <c r="D718" s="1" t="s">
        <v>4</v>
      </c>
      <c r="E718" s="1" t="s">
        <v>14</v>
      </c>
      <c r="F718" s="26">
        <v>0</v>
      </c>
      <c r="G718" s="26">
        <v>1200</v>
      </c>
      <c r="H718" s="26">
        <v>1200</v>
      </c>
      <c r="I718" s="26">
        <v>7032456</v>
      </c>
      <c r="J718" s="26">
        <v>54000000</v>
      </c>
    </row>
    <row r="719" spans="1:10">
      <c r="A719" s="24">
        <v>717</v>
      </c>
      <c r="B719" s="24">
        <f t="shared" si="13"/>
        <v>534</v>
      </c>
      <c r="C719" s="1" t="s">
        <v>775</v>
      </c>
      <c r="F719" s="26">
        <v>0</v>
      </c>
      <c r="G719" s="26">
        <v>1200</v>
      </c>
      <c r="H719" s="26">
        <v>1200</v>
      </c>
      <c r="I719" s="26">
        <v>7032456</v>
      </c>
      <c r="J719" s="26">
        <v>54000000</v>
      </c>
    </row>
    <row r="720" spans="1:10">
      <c r="A720" s="24">
        <v>718</v>
      </c>
      <c r="B720" s="24">
        <f t="shared" si="13"/>
        <v>535</v>
      </c>
      <c r="C720" s="1" t="s">
        <v>921</v>
      </c>
      <c r="D720" s="1" t="s">
        <v>4</v>
      </c>
      <c r="E720" s="1" t="s">
        <v>14</v>
      </c>
      <c r="F720" s="26">
        <v>700</v>
      </c>
      <c r="G720" s="26">
        <v>0</v>
      </c>
      <c r="H720" s="26">
        <v>700</v>
      </c>
      <c r="I720" s="26">
        <v>6664000</v>
      </c>
      <c r="J720" s="26">
        <v>30100000</v>
      </c>
    </row>
    <row r="721" spans="1:10">
      <c r="A721" s="24">
        <v>719</v>
      </c>
      <c r="B721" s="24">
        <f t="shared" si="13"/>
        <v>536</v>
      </c>
      <c r="C721" s="1" t="s">
        <v>775</v>
      </c>
      <c r="F721" s="26">
        <v>700</v>
      </c>
      <c r="G721" s="26">
        <v>0</v>
      </c>
      <c r="H721" s="26">
        <v>700</v>
      </c>
      <c r="I721" s="26">
        <v>6664000</v>
      </c>
      <c r="J721" s="26">
        <v>30100000</v>
      </c>
    </row>
    <row r="722" spans="1:10">
      <c r="A722" s="24">
        <v>720</v>
      </c>
      <c r="B722" s="24">
        <f t="shared" si="13"/>
        <v>537</v>
      </c>
      <c r="C722" s="1" t="s">
        <v>1237</v>
      </c>
      <c r="D722" s="1" t="s">
        <v>4</v>
      </c>
      <c r="E722" s="1" t="s">
        <v>14</v>
      </c>
      <c r="F722" s="26">
        <v>0</v>
      </c>
      <c r="G722" s="26">
        <v>500</v>
      </c>
      <c r="H722" s="26">
        <v>500</v>
      </c>
      <c r="I722" s="26">
        <v>4510000</v>
      </c>
      <c r="J722" s="26">
        <v>27500000</v>
      </c>
    </row>
    <row r="723" spans="1:10">
      <c r="A723" s="24">
        <v>721</v>
      </c>
      <c r="B723" s="24">
        <f t="shared" si="13"/>
        <v>538</v>
      </c>
      <c r="C723" s="1" t="s">
        <v>775</v>
      </c>
      <c r="F723" s="26">
        <v>0</v>
      </c>
      <c r="G723" s="26">
        <v>500</v>
      </c>
      <c r="H723" s="26">
        <v>500</v>
      </c>
      <c r="I723" s="26">
        <v>4510000</v>
      </c>
      <c r="J723" s="26">
        <v>27500000</v>
      </c>
    </row>
    <row r="724" spans="1:10">
      <c r="A724" s="24">
        <v>722</v>
      </c>
      <c r="B724" s="24">
        <f t="shared" si="13"/>
        <v>539</v>
      </c>
      <c r="C724" s="1" t="s">
        <v>1238</v>
      </c>
      <c r="D724" s="1" t="s">
        <v>4</v>
      </c>
      <c r="E724" s="1" t="s">
        <v>14</v>
      </c>
      <c r="F724" s="26">
        <v>0</v>
      </c>
      <c r="G724" s="26">
        <v>1500</v>
      </c>
      <c r="H724" s="26">
        <v>1500</v>
      </c>
      <c r="I724" s="26">
        <v>11600820.000000002</v>
      </c>
      <c r="J724" s="26">
        <v>88500000</v>
      </c>
    </row>
    <row r="725" spans="1:10">
      <c r="A725" s="24">
        <v>723</v>
      </c>
      <c r="B725" s="24">
        <f t="shared" si="13"/>
        <v>540</v>
      </c>
      <c r="C725" s="1" t="s">
        <v>1239</v>
      </c>
      <c r="D725" s="1" t="s">
        <v>4</v>
      </c>
      <c r="E725" s="1" t="s">
        <v>14</v>
      </c>
      <c r="F725" s="26">
        <v>0</v>
      </c>
      <c r="G725" s="26">
        <v>500</v>
      </c>
      <c r="H725" s="26">
        <v>500</v>
      </c>
      <c r="I725" s="26">
        <v>3866940.0000000005</v>
      </c>
      <c r="J725" s="26">
        <v>29500000</v>
      </c>
    </row>
    <row r="726" spans="1:10">
      <c r="A726" s="24">
        <v>724</v>
      </c>
      <c r="B726" s="24">
        <f t="shared" si="13"/>
        <v>541</v>
      </c>
      <c r="C726" s="1" t="s">
        <v>775</v>
      </c>
      <c r="F726" s="26">
        <v>0</v>
      </c>
      <c r="G726" s="26">
        <v>2000</v>
      </c>
      <c r="H726" s="26">
        <v>2000</v>
      </c>
      <c r="I726" s="26">
        <v>15467760.000000002</v>
      </c>
      <c r="J726" s="26">
        <v>118000000</v>
      </c>
    </row>
    <row r="727" spans="1:10">
      <c r="A727" s="24">
        <v>725</v>
      </c>
      <c r="B727" s="24">
        <f t="shared" si="13"/>
        <v>542</v>
      </c>
      <c r="C727" s="1" t="s">
        <v>1240</v>
      </c>
      <c r="D727" s="1" t="s">
        <v>4</v>
      </c>
      <c r="E727" s="1" t="s">
        <v>14</v>
      </c>
      <c r="F727" s="26">
        <v>0</v>
      </c>
      <c r="G727" s="26">
        <v>1000</v>
      </c>
      <c r="H727" s="26">
        <v>1000</v>
      </c>
      <c r="I727" s="26">
        <v>9520000</v>
      </c>
      <c r="J727" s="26">
        <v>49000000</v>
      </c>
    </row>
    <row r="728" spans="1:10">
      <c r="A728" s="24">
        <v>726</v>
      </c>
      <c r="B728" s="24">
        <f t="shared" si="13"/>
        <v>543</v>
      </c>
      <c r="C728" s="1" t="s">
        <v>1241</v>
      </c>
      <c r="D728" s="1" t="s">
        <v>4</v>
      </c>
      <c r="E728" s="1" t="s">
        <v>14</v>
      </c>
      <c r="F728" s="26">
        <v>0</v>
      </c>
      <c r="G728" s="26">
        <v>1000</v>
      </c>
      <c r="H728" s="26">
        <v>1000</v>
      </c>
      <c r="I728" s="26">
        <v>9520000</v>
      </c>
      <c r="J728" s="26">
        <v>49000000</v>
      </c>
    </row>
    <row r="729" spans="1:10">
      <c r="A729" s="24">
        <v>727</v>
      </c>
      <c r="B729" s="24">
        <f t="shared" si="13"/>
        <v>544</v>
      </c>
      <c r="C729" s="1" t="s">
        <v>775</v>
      </c>
      <c r="F729" s="26">
        <v>0</v>
      </c>
      <c r="G729" s="26">
        <v>2000</v>
      </c>
      <c r="H729" s="26">
        <v>2000</v>
      </c>
      <c r="I729" s="26">
        <v>19040000</v>
      </c>
      <c r="J729" s="26">
        <v>98000000</v>
      </c>
    </row>
    <row r="730" spans="1:10">
      <c r="A730" s="24">
        <v>728</v>
      </c>
      <c r="B730" s="24">
        <f t="shared" si="13"/>
        <v>545</v>
      </c>
      <c r="C730" s="1" t="s">
        <v>1242</v>
      </c>
      <c r="D730" s="1" t="s">
        <v>4</v>
      </c>
      <c r="E730" s="1" t="s">
        <v>14</v>
      </c>
      <c r="F730" s="26">
        <v>0</v>
      </c>
      <c r="G730" s="26">
        <v>800</v>
      </c>
      <c r="H730" s="26">
        <v>800</v>
      </c>
      <c r="I730" s="26">
        <v>7229600</v>
      </c>
      <c r="J730" s="26">
        <v>44000000</v>
      </c>
    </row>
    <row r="731" spans="1:10">
      <c r="A731" s="24">
        <v>729</v>
      </c>
      <c r="B731" s="24">
        <f t="shared" si="13"/>
        <v>546</v>
      </c>
      <c r="C731" s="1" t="s">
        <v>1243</v>
      </c>
      <c r="D731" s="1" t="s">
        <v>4</v>
      </c>
      <c r="E731" s="1" t="s">
        <v>14</v>
      </c>
      <c r="F731" s="26">
        <v>0</v>
      </c>
      <c r="G731" s="26">
        <v>800</v>
      </c>
      <c r="H731" s="26">
        <v>800</v>
      </c>
      <c r="I731" s="26">
        <v>6253040.0000000009</v>
      </c>
      <c r="J731" s="26">
        <v>47200000</v>
      </c>
    </row>
    <row r="732" spans="1:10">
      <c r="A732" s="24">
        <v>730</v>
      </c>
      <c r="B732" s="24">
        <f t="shared" si="13"/>
        <v>547</v>
      </c>
      <c r="C732" s="1" t="s">
        <v>775</v>
      </c>
      <c r="F732" s="26">
        <v>0</v>
      </c>
      <c r="G732" s="26">
        <v>1600</v>
      </c>
      <c r="H732" s="26">
        <v>1600</v>
      </c>
      <c r="I732" s="26">
        <v>13482640</v>
      </c>
      <c r="J732" s="26">
        <v>91200000</v>
      </c>
    </row>
    <row r="733" spans="1:10">
      <c r="A733" s="24">
        <v>731</v>
      </c>
      <c r="B733" s="24">
        <f t="shared" si="13"/>
        <v>548</v>
      </c>
      <c r="C733" s="1" t="s">
        <v>1244</v>
      </c>
      <c r="D733" s="1" t="s">
        <v>4</v>
      </c>
      <c r="E733" s="1" t="s">
        <v>14</v>
      </c>
      <c r="F733" s="26">
        <v>0</v>
      </c>
      <c r="G733" s="26">
        <v>1000</v>
      </c>
      <c r="H733" s="26">
        <v>1000</v>
      </c>
      <c r="I733" s="26">
        <v>12520000</v>
      </c>
      <c r="J733" s="26">
        <v>59000000</v>
      </c>
    </row>
    <row r="734" spans="1:10">
      <c r="A734" s="24">
        <v>732</v>
      </c>
      <c r="B734" s="24">
        <f t="shared" si="13"/>
        <v>549</v>
      </c>
      <c r="C734" s="1" t="s">
        <v>1245</v>
      </c>
      <c r="D734" s="1" t="s">
        <v>4</v>
      </c>
      <c r="E734" s="1" t="s">
        <v>14</v>
      </c>
      <c r="F734" s="26">
        <v>0</v>
      </c>
      <c r="G734" s="26">
        <v>1000</v>
      </c>
      <c r="H734" s="26">
        <v>1000</v>
      </c>
      <c r="I734" s="26">
        <v>11020000</v>
      </c>
      <c r="J734" s="26">
        <v>55000000</v>
      </c>
    </row>
    <row r="735" spans="1:10">
      <c r="A735" s="24">
        <v>733</v>
      </c>
      <c r="B735" s="24">
        <f t="shared" si="13"/>
        <v>550</v>
      </c>
      <c r="C735" s="1" t="s">
        <v>775</v>
      </c>
      <c r="F735" s="26">
        <v>0</v>
      </c>
      <c r="G735" s="26">
        <v>2000</v>
      </c>
      <c r="H735" s="26">
        <v>2000</v>
      </c>
      <c r="I735" s="26">
        <v>23540000</v>
      </c>
      <c r="J735" s="26">
        <v>114000000</v>
      </c>
    </row>
    <row r="736" spans="1:10">
      <c r="A736" s="24">
        <v>734</v>
      </c>
      <c r="B736" s="24">
        <f t="shared" si="13"/>
        <v>551</v>
      </c>
      <c r="C736" s="1" t="s">
        <v>1246</v>
      </c>
      <c r="D736" s="1" t="s">
        <v>4</v>
      </c>
      <c r="E736" s="1" t="s">
        <v>14</v>
      </c>
      <c r="F736" s="26">
        <v>0</v>
      </c>
      <c r="G736" s="26">
        <v>1200</v>
      </c>
      <c r="H736" s="26">
        <v>1200</v>
      </c>
      <c r="I736" s="26">
        <v>11400288</v>
      </c>
      <c r="J736" s="26">
        <v>70800000</v>
      </c>
    </row>
    <row r="737" spans="1:10">
      <c r="A737" s="24">
        <v>735</v>
      </c>
      <c r="B737" s="24">
        <f t="shared" si="13"/>
        <v>552</v>
      </c>
      <c r="C737" s="1" t="s">
        <v>775</v>
      </c>
      <c r="F737" s="26">
        <v>0</v>
      </c>
      <c r="G737" s="26">
        <v>1200</v>
      </c>
      <c r="H737" s="26">
        <v>1200</v>
      </c>
      <c r="I737" s="26">
        <v>11400288</v>
      </c>
      <c r="J737" s="26">
        <v>70800000</v>
      </c>
    </row>
    <row r="738" spans="1:10">
      <c r="A738" s="24">
        <v>736</v>
      </c>
      <c r="B738" s="24">
        <f t="shared" si="13"/>
        <v>553</v>
      </c>
      <c r="C738" s="1" t="s">
        <v>1247</v>
      </c>
      <c r="D738" s="1" t="s">
        <v>4</v>
      </c>
      <c r="E738" s="1" t="s">
        <v>14</v>
      </c>
      <c r="F738" s="26">
        <v>0</v>
      </c>
      <c r="G738" s="26">
        <v>3000</v>
      </c>
      <c r="H738" s="26">
        <v>3000</v>
      </c>
      <c r="I738" s="26">
        <v>31386270</v>
      </c>
      <c r="J738" s="26">
        <v>207000000</v>
      </c>
    </row>
    <row r="739" spans="1:10">
      <c r="A739" s="24">
        <v>737</v>
      </c>
      <c r="B739" s="24">
        <f t="shared" si="13"/>
        <v>554</v>
      </c>
      <c r="C739" s="1" t="s">
        <v>1248</v>
      </c>
      <c r="D739" s="1" t="s">
        <v>4</v>
      </c>
      <c r="E739" s="1" t="s">
        <v>14</v>
      </c>
      <c r="F739" s="26">
        <v>0</v>
      </c>
      <c r="G739" s="26">
        <v>2000</v>
      </c>
      <c r="H739" s="26">
        <v>2000</v>
      </c>
      <c r="I739" s="26">
        <v>19955989.999999996</v>
      </c>
      <c r="J739" s="26">
        <v>126000000</v>
      </c>
    </row>
    <row r="740" spans="1:10">
      <c r="A740" s="24">
        <v>738</v>
      </c>
      <c r="B740" s="24">
        <f t="shared" si="13"/>
        <v>555</v>
      </c>
      <c r="C740" s="1" t="s">
        <v>1249</v>
      </c>
      <c r="D740" s="1" t="s">
        <v>4</v>
      </c>
      <c r="E740" s="1" t="s">
        <v>14</v>
      </c>
      <c r="F740" s="26">
        <v>0</v>
      </c>
      <c r="G740" s="26">
        <v>2500</v>
      </c>
      <c r="H740" s="26">
        <v>2500</v>
      </c>
      <c r="I740" s="26">
        <v>26277600.000000004</v>
      </c>
      <c r="J740" s="26">
        <v>172500000</v>
      </c>
    </row>
    <row r="741" spans="1:10">
      <c r="A741" s="24">
        <v>739</v>
      </c>
      <c r="B741" s="24">
        <f t="shared" si="13"/>
        <v>556</v>
      </c>
      <c r="C741" s="1" t="s">
        <v>775</v>
      </c>
      <c r="F741" s="26">
        <v>0</v>
      </c>
      <c r="G741" s="26">
        <v>7500</v>
      </c>
      <c r="H741" s="26">
        <v>7500</v>
      </c>
      <c r="I741" s="26">
        <v>77619860</v>
      </c>
      <c r="J741" s="26">
        <v>505500000</v>
      </c>
    </row>
    <row r="742" spans="1:10">
      <c r="A742" s="24">
        <v>740</v>
      </c>
      <c r="B742" s="24">
        <f t="shared" si="13"/>
        <v>557</v>
      </c>
      <c r="C742" s="1" t="s">
        <v>1250</v>
      </c>
      <c r="D742" s="1" t="s">
        <v>4</v>
      </c>
      <c r="E742" s="1" t="s">
        <v>14</v>
      </c>
      <c r="F742" s="26">
        <v>0</v>
      </c>
      <c r="G742" s="26">
        <v>1000</v>
      </c>
      <c r="H742" s="26">
        <v>1000</v>
      </c>
      <c r="I742" s="26">
        <v>6488000</v>
      </c>
      <c r="J742" s="26">
        <v>49000000</v>
      </c>
    </row>
    <row r="743" spans="1:10">
      <c r="A743" s="24">
        <v>741</v>
      </c>
      <c r="B743" s="24">
        <f t="shared" si="13"/>
        <v>558</v>
      </c>
      <c r="C743" s="1" t="s">
        <v>1251</v>
      </c>
      <c r="D743" s="1" t="s">
        <v>4</v>
      </c>
      <c r="E743" s="1" t="s">
        <v>14</v>
      </c>
      <c r="F743" s="26">
        <v>0</v>
      </c>
      <c r="G743" s="26">
        <v>1000</v>
      </c>
      <c r="H743" s="26">
        <v>1000</v>
      </c>
      <c r="I743" s="26">
        <v>6372500</v>
      </c>
      <c r="J743" s="26">
        <v>43000000</v>
      </c>
    </row>
    <row r="744" spans="1:10">
      <c r="A744" s="24">
        <v>742</v>
      </c>
      <c r="B744" s="24">
        <f t="shared" si="13"/>
        <v>559</v>
      </c>
      <c r="C744" s="1" t="s">
        <v>1252</v>
      </c>
      <c r="D744" s="1" t="s">
        <v>4</v>
      </c>
      <c r="E744" s="1" t="s">
        <v>14</v>
      </c>
      <c r="F744" s="26">
        <v>0</v>
      </c>
      <c r="G744" s="26">
        <v>1200</v>
      </c>
      <c r="H744" s="26">
        <v>1200</v>
      </c>
      <c r="I744" s="26">
        <v>6954000</v>
      </c>
      <c r="J744" s="26">
        <v>58800000</v>
      </c>
    </row>
    <row r="745" spans="1:10">
      <c r="A745" s="24">
        <v>743</v>
      </c>
      <c r="B745" s="24">
        <f t="shared" si="13"/>
        <v>560</v>
      </c>
      <c r="C745" s="1" t="s">
        <v>1253</v>
      </c>
      <c r="D745" s="1" t="s">
        <v>4</v>
      </c>
      <c r="E745" s="1" t="s">
        <v>14</v>
      </c>
      <c r="F745" s="26">
        <v>0</v>
      </c>
      <c r="G745" s="26">
        <v>1200</v>
      </c>
      <c r="H745" s="26">
        <v>1200</v>
      </c>
      <c r="I745" s="26">
        <v>6815400.0000000009</v>
      </c>
      <c r="J745" s="26">
        <v>51600000</v>
      </c>
    </row>
    <row r="746" spans="1:10">
      <c r="A746" s="24">
        <v>744</v>
      </c>
      <c r="B746" s="24">
        <f t="shared" si="13"/>
        <v>561</v>
      </c>
      <c r="C746" s="1" t="s">
        <v>1254</v>
      </c>
      <c r="D746" s="1" t="s">
        <v>4</v>
      </c>
      <c r="E746" s="1" t="s">
        <v>14</v>
      </c>
      <c r="F746" s="26">
        <v>0</v>
      </c>
      <c r="G746" s="26">
        <v>1200</v>
      </c>
      <c r="H746" s="26">
        <v>1200</v>
      </c>
      <c r="I746" s="26">
        <v>6954000</v>
      </c>
      <c r="J746" s="26">
        <v>58800000</v>
      </c>
    </row>
    <row r="747" spans="1:10">
      <c r="A747" s="24">
        <v>745</v>
      </c>
      <c r="B747" s="24">
        <f t="shared" si="13"/>
        <v>562</v>
      </c>
      <c r="C747" s="1" t="s">
        <v>1255</v>
      </c>
      <c r="D747" s="1" t="s">
        <v>4</v>
      </c>
      <c r="E747" s="1" t="s">
        <v>14</v>
      </c>
      <c r="F747" s="26">
        <v>0</v>
      </c>
      <c r="G747" s="26">
        <v>1200</v>
      </c>
      <c r="H747" s="26">
        <v>1200</v>
      </c>
      <c r="I747" s="26">
        <v>6815400.0000000009</v>
      </c>
      <c r="J747" s="26">
        <v>51600000</v>
      </c>
    </row>
    <row r="748" spans="1:10">
      <c r="A748" s="24">
        <v>746</v>
      </c>
      <c r="B748" s="24">
        <f t="shared" si="13"/>
        <v>563</v>
      </c>
      <c r="C748" s="1" t="s">
        <v>775</v>
      </c>
      <c r="F748" s="26">
        <v>0</v>
      </c>
      <c r="G748" s="26">
        <v>6800</v>
      </c>
      <c r="H748" s="26">
        <v>6800</v>
      </c>
      <c r="I748" s="26">
        <v>40399300</v>
      </c>
      <c r="J748" s="26">
        <v>312800000</v>
      </c>
    </row>
    <row r="749" spans="1:10">
      <c r="A749" s="24">
        <v>747</v>
      </c>
      <c r="B749" s="24">
        <f t="shared" si="13"/>
        <v>564</v>
      </c>
      <c r="C749" s="1" t="s">
        <v>1256</v>
      </c>
      <c r="D749" s="1" t="s">
        <v>4</v>
      </c>
      <c r="E749" s="1" t="s">
        <v>14</v>
      </c>
      <c r="F749" s="26">
        <v>0</v>
      </c>
      <c r="G749" s="26">
        <v>800</v>
      </c>
      <c r="H749" s="26">
        <v>800</v>
      </c>
      <c r="I749" s="26">
        <v>7188080</v>
      </c>
      <c r="J749" s="26">
        <v>39200000</v>
      </c>
    </row>
    <row r="750" spans="1:10">
      <c r="A750" s="24">
        <v>748</v>
      </c>
      <c r="B750" s="24">
        <f t="shared" si="13"/>
        <v>565</v>
      </c>
      <c r="C750" s="1" t="s">
        <v>775</v>
      </c>
      <c r="F750" s="26">
        <v>0</v>
      </c>
      <c r="G750" s="26">
        <v>800</v>
      </c>
      <c r="H750" s="26">
        <v>800</v>
      </c>
      <c r="I750" s="26">
        <v>7188080</v>
      </c>
      <c r="J750" s="26">
        <v>39200000</v>
      </c>
    </row>
    <row r="751" spans="1:10">
      <c r="A751" s="24">
        <v>749</v>
      </c>
      <c r="B751" s="24">
        <f t="shared" si="13"/>
        <v>566</v>
      </c>
      <c r="C751" s="1" t="s">
        <v>1257</v>
      </c>
      <c r="D751" s="1" t="s">
        <v>4</v>
      </c>
      <c r="E751" s="1" t="s">
        <v>14</v>
      </c>
      <c r="F751" s="26">
        <v>0</v>
      </c>
      <c r="G751" s="26">
        <v>700</v>
      </c>
      <c r="H751" s="26">
        <v>700</v>
      </c>
      <c r="I751" s="26">
        <v>3943310.0000000009</v>
      </c>
      <c r="J751" s="26">
        <v>30100000</v>
      </c>
    </row>
    <row r="752" spans="1:10">
      <c r="A752" s="24">
        <v>750</v>
      </c>
      <c r="B752" s="24">
        <f t="shared" si="13"/>
        <v>567</v>
      </c>
      <c r="C752" s="1" t="s">
        <v>1258</v>
      </c>
      <c r="D752" s="1" t="s">
        <v>4</v>
      </c>
      <c r="E752" s="1" t="s">
        <v>14</v>
      </c>
      <c r="F752" s="26">
        <v>0</v>
      </c>
      <c r="G752" s="26">
        <v>700</v>
      </c>
      <c r="H752" s="26">
        <v>700</v>
      </c>
      <c r="I752" s="26">
        <v>5929562.0000000009</v>
      </c>
      <c r="J752" s="26">
        <v>34300000</v>
      </c>
    </row>
    <row r="753" spans="1:10">
      <c r="A753" s="24">
        <v>751</v>
      </c>
      <c r="B753" s="24">
        <f t="shared" si="13"/>
        <v>568</v>
      </c>
      <c r="C753" s="1" t="s">
        <v>1259</v>
      </c>
      <c r="D753" s="1" t="s">
        <v>4</v>
      </c>
      <c r="E753" s="1" t="s">
        <v>14</v>
      </c>
      <c r="F753" s="26">
        <v>0</v>
      </c>
      <c r="G753" s="26">
        <v>700</v>
      </c>
      <c r="H753" s="26">
        <v>700</v>
      </c>
      <c r="I753" s="26">
        <v>5623826.0000000009</v>
      </c>
      <c r="J753" s="26">
        <v>31500000</v>
      </c>
    </row>
    <row r="754" spans="1:10">
      <c r="A754" s="24">
        <v>752</v>
      </c>
      <c r="B754" s="24">
        <f t="shared" si="13"/>
        <v>569</v>
      </c>
      <c r="C754" s="1" t="s">
        <v>1260</v>
      </c>
      <c r="D754" s="1" t="s">
        <v>4</v>
      </c>
      <c r="E754" s="1" t="s">
        <v>14</v>
      </c>
      <c r="F754" s="26">
        <v>0</v>
      </c>
      <c r="G754" s="26">
        <v>700</v>
      </c>
      <c r="H754" s="26">
        <v>700</v>
      </c>
      <c r="I754" s="26">
        <v>5929562.0000000009</v>
      </c>
      <c r="J754" s="26">
        <v>34300000</v>
      </c>
    </row>
    <row r="755" spans="1:10">
      <c r="A755" s="24">
        <v>753</v>
      </c>
      <c r="B755" s="24">
        <f t="shared" si="13"/>
        <v>570</v>
      </c>
      <c r="C755" s="1" t="s">
        <v>1261</v>
      </c>
      <c r="D755" s="1" t="s">
        <v>4</v>
      </c>
      <c r="E755" s="1" t="s">
        <v>14</v>
      </c>
      <c r="F755" s="26">
        <v>0</v>
      </c>
      <c r="G755" s="26">
        <v>700</v>
      </c>
      <c r="H755" s="26">
        <v>700</v>
      </c>
      <c r="I755" s="26">
        <v>5623826.0000000009</v>
      </c>
      <c r="J755" s="26">
        <v>31500000</v>
      </c>
    </row>
    <row r="756" spans="1:10">
      <c r="A756" s="24">
        <v>754</v>
      </c>
      <c r="B756" s="24">
        <f t="shared" si="13"/>
        <v>571</v>
      </c>
      <c r="C756" s="1" t="s">
        <v>1262</v>
      </c>
      <c r="D756" s="1" t="s">
        <v>4</v>
      </c>
      <c r="E756" s="1" t="s">
        <v>14</v>
      </c>
      <c r="F756" s="26">
        <v>0</v>
      </c>
      <c r="G756" s="26">
        <v>500</v>
      </c>
      <c r="H756" s="26">
        <v>500</v>
      </c>
      <c r="I756" s="26">
        <v>3382315.0000000009</v>
      </c>
      <c r="J756" s="26">
        <v>22500000</v>
      </c>
    </row>
    <row r="757" spans="1:10">
      <c r="A757" s="24">
        <v>755</v>
      </c>
      <c r="B757" s="24">
        <f t="shared" si="13"/>
        <v>572</v>
      </c>
      <c r="C757" s="1" t="s">
        <v>1263</v>
      </c>
      <c r="D757" s="1" t="s">
        <v>4</v>
      </c>
      <c r="E757" s="1" t="s">
        <v>14</v>
      </c>
      <c r="F757" s="26">
        <v>0</v>
      </c>
      <c r="G757" s="26">
        <v>500</v>
      </c>
      <c r="H757" s="26">
        <v>500</v>
      </c>
      <c r="I757" s="26">
        <v>3178390.0000000005</v>
      </c>
      <c r="J757" s="26">
        <v>21500000</v>
      </c>
    </row>
    <row r="758" spans="1:10">
      <c r="A758" s="24">
        <v>756</v>
      </c>
      <c r="B758" s="24">
        <f t="shared" si="13"/>
        <v>573</v>
      </c>
      <c r="C758" s="1" t="s">
        <v>1264</v>
      </c>
      <c r="D758" s="1" t="s">
        <v>4</v>
      </c>
      <c r="E758" s="1" t="s">
        <v>14</v>
      </c>
      <c r="F758" s="26">
        <v>0</v>
      </c>
      <c r="G758" s="26">
        <v>500</v>
      </c>
      <c r="H758" s="26">
        <v>500</v>
      </c>
      <c r="I758" s="26">
        <v>3382315.0000000009</v>
      </c>
      <c r="J758" s="26">
        <v>22500000</v>
      </c>
    </row>
    <row r="759" spans="1:10">
      <c r="A759" s="24">
        <v>757</v>
      </c>
      <c r="B759" s="24">
        <f t="shared" si="13"/>
        <v>574</v>
      </c>
      <c r="C759" s="1" t="s">
        <v>1265</v>
      </c>
      <c r="D759" s="1" t="s">
        <v>4</v>
      </c>
      <c r="E759" s="1" t="s">
        <v>14</v>
      </c>
      <c r="F759" s="26">
        <v>0</v>
      </c>
      <c r="G759" s="26">
        <v>500</v>
      </c>
      <c r="H759" s="26">
        <v>500</v>
      </c>
      <c r="I759" s="26">
        <v>3178390.0000000005</v>
      </c>
      <c r="J759" s="26">
        <v>21500000</v>
      </c>
    </row>
    <row r="760" spans="1:10">
      <c r="A760" s="24">
        <v>758</v>
      </c>
      <c r="B760" s="24">
        <f t="shared" si="13"/>
        <v>575</v>
      </c>
      <c r="C760" s="1" t="s">
        <v>1266</v>
      </c>
      <c r="D760" s="1" t="s">
        <v>4</v>
      </c>
      <c r="E760" s="1" t="s">
        <v>14</v>
      </c>
      <c r="F760" s="26">
        <v>0</v>
      </c>
      <c r="G760" s="26">
        <v>500</v>
      </c>
      <c r="H760" s="26">
        <v>500</v>
      </c>
      <c r="I760" s="26">
        <v>3429815.0000000009</v>
      </c>
      <c r="J760" s="26">
        <v>22500000</v>
      </c>
    </row>
    <row r="761" spans="1:10">
      <c r="A761" s="24">
        <v>759</v>
      </c>
      <c r="B761" s="24">
        <f t="shared" si="13"/>
        <v>576</v>
      </c>
      <c r="C761" s="1" t="s">
        <v>1267</v>
      </c>
      <c r="D761" s="1" t="s">
        <v>4</v>
      </c>
      <c r="E761" s="1" t="s">
        <v>14</v>
      </c>
      <c r="F761" s="26">
        <v>0</v>
      </c>
      <c r="G761" s="26">
        <v>500</v>
      </c>
      <c r="H761" s="26">
        <v>500</v>
      </c>
      <c r="I761" s="26">
        <v>3217890.0000000005</v>
      </c>
      <c r="J761" s="26">
        <v>21500000</v>
      </c>
    </row>
    <row r="762" spans="1:10">
      <c r="A762" s="24">
        <v>760</v>
      </c>
      <c r="B762" s="24">
        <f t="shared" si="13"/>
        <v>577</v>
      </c>
      <c r="C762" s="1" t="s">
        <v>1268</v>
      </c>
      <c r="D762" s="1" t="s">
        <v>4</v>
      </c>
      <c r="E762" s="1" t="s">
        <v>14</v>
      </c>
      <c r="F762" s="26">
        <v>0</v>
      </c>
      <c r="G762" s="26">
        <v>700</v>
      </c>
      <c r="H762" s="26">
        <v>700</v>
      </c>
      <c r="I762" s="26">
        <v>5876444</v>
      </c>
      <c r="J762" s="26">
        <v>34300000</v>
      </c>
    </row>
    <row r="763" spans="1:10">
      <c r="A763" s="24">
        <v>761</v>
      </c>
      <c r="B763" s="24">
        <f t="shared" si="13"/>
        <v>578</v>
      </c>
      <c r="C763" s="1" t="s">
        <v>1269</v>
      </c>
      <c r="D763" s="1" t="s">
        <v>4</v>
      </c>
      <c r="E763" s="1" t="s">
        <v>14</v>
      </c>
      <c r="F763" s="26">
        <v>0</v>
      </c>
      <c r="G763" s="26">
        <v>700</v>
      </c>
      <c r="H763" s="26">
        <v>700</v>
      </c>
      <c r="I763" s="26">
        <v>5587808</v>
      </c>
      <c r="J763" s="26">
        <v>31500000</v>
      </c>
    </row>
    <row r="764" spans="1:10">
      <c r="A764" s="24">
        <v>762</v>
      </c>
      <c r="B764" s="24">
        <f t="shared" si="13"/>
        <v>579</v>
      </c>
      <c r="C764" s="1" t="s">
        <v>1270</v>
      </c>
      <c r="D764" s="1" t="s">
        <v>4</v>
      </c>
      <c r="E764" s="1" t="s">
        <v>14</v>
      </c>
      <c r="F764" s="26">
        <v>0</v>
      </c>
      <c r="G764" s="26">
        <v>500</v>
      </c>
      <c r="H764" s="26">
        <v>500</v>
      </c>
      <c r="I764" s="26">
        <v>3222055.0000000009</v>
      </c>
      <c r="J764" s="26">
        <v>17500000</v>
      </c>
    </row>
    <row r="765" spans="1:10">
      <c r="A765" s="24">
        <v>763</v>
      </c>
      <c r="B765" s="24">
        <f t="shared" si="13"/>
        <v>580</v>
      </c>
      <c r="C765" s="1" t="s">
        <v>1271</v>
      </c>
      <c r="D765" s="1" t="s">
        <v>4</v>
      </c>
      <c r="E765" s="1" t="s">
        <v>14</v>
      </c>
      <c r="F765" s="26">
        <v>0</v>
      </c>
      <c r="G765" s="26">
        <v>500</v>
      </c>
      <c r="H765" s="26">
        <v>500</v>
      </c>
      <c r="I765" s="26">
        <v>3222055.0000000009</v>
      </c>
      <c r="J765" s="26">
        <v>17500000</v>
      </c>
    </row>
    <row r="766" spans="1:10">
      <c r="A766" s="24">
        <v>764</v>
      </c>
      <c r="B766" s="24">
        <f t="shared" si="13"/>
        <v>581</v>
      </c>
      <c r="C766" s="1" t="s">
        <v>1272</v>
      </c>
      <c r="D766" s="1" t="s">
        <v>4</v>
      </c>
      <c r="E766" s="1" t="s">
        <v>14</v>
      </c>
      <c r="F766" s="26">
        <v>0</v>
      </c>
      <c r="G766" s="26">
        <v>500</v>
      </c>
      <c r="H766" s="26">
        <v>500</v>
      </c>
      <c r="I766" s="26">
        <v>3222055.0000000009</v>
      </c>
      <c r="J766" s="26">
        <v>17500000</v>
      </c>
    </row>
    <row r="767" spans="1:10">
      <c r="A767" s="24">
        <v>765</v>
      </c>
      <c r="B767" s="24">
        <f t="shared" si="13"/>
        <v>582</v>
      </c>
      <c r="C767" s="1" t="s">
        <v>775</v>
      </c>
      <c r="F767" s="26">
        <v>0</v>
      </c>
      <c r="G767" s="26">
        <v>9400</v>
      </c>
      <c r="H767" s="26">
        <v>9400</v>
      </c>
      <c r="I767" s="26">
        <v>67949618.000000015</v>
      </c>
      <c r="J767" s="26">
        <v>412000000</v>
      </c>
    </row>
    <row r="768" spans="1:10">
      <c r="A768" s="24">
        <v>766</v>
      </c>
      <c r="B768" s="24">
        <f t="shared" si="13"/>
        <v>583</v>
      </c>
      <c r="C768" s="1" t="s">
        <v>1273</v>
      </c>
      <c r="D768" s="1" t="s">
        <v>4</v>
      </c>
      <c r="E768" s="1" t="s">
        <v>14</v>
      </c>
      <c r="F768" s="26">
        <v>0</v>
      </c>
      <c r="G768" s="26">
        <v>700</v>
      </c>
      <c r="H768" s="26">
        <v>700</v>
      </c>
      <c r="I768" s="26">
        <v>3120299</v>
      </c>
      <c r="J768" s="26">
        <v>30100000</v>
      </c>
    </row>
    <row r="769" spans="1:10">
      <c r="A769" s="24">
        <v>767</v>
      </c>
      <c r="B769" s="24">
        <f t="shared" si="13"/>
        <v>584</v>
      </c>
      <c r="C769" s="1" t="s">
        <v>1274</v>
      </c>
      <c r="D769" s="1" t="s">
        <v>4</v>
      </c>
      <c r="E769" s="1" t="s">
        <v>14</v>
      </c>
      <c r="F769" s="26">
        <v>0</v>
      </c>
      <c r="G769" s="26">
        <v>500</v>
      </c>
      <c r="H769" s="26">
        <v>500</v>
      </c>
      <c r="I769" s="26">
        <v>1646010</v>
      </c>
      <c r="J769" s="26">
        <v>14500000</v>
      </c>
    </row>
    <row r="770" spans="1:10">
      <c r="A770" s="24">
        <v>768</v>
      </c>
      <c r="B770" s="24">
        <f t="shared" si="13"/>
        <v>585</v>
      </c>
      <c r="C770" s="1" t="s">
        <v>1275</v>
      </c>
      <c r="D770" s="1" t="s">
        <v>4</v>
      </c>
      <c r="E770" s="1" t="s">
        <v>14</v>
      </c>
      <c r="F770" s="26">
        <v>0</v>
      </c>
      <c r="G770" s="26">
        <v>700</v>
      </c>
      <c r="H770" s="26">
        <v>700</v>
      </c>
      <c r="I770" s="26">
        <v>2307914</v>
      </c>
      <c r="J770" s="26">
        <v>17500000</v>
      </c>
    </row>
    <row r="771" spans="1:10">
      <c r="A771" s="24">
        <v>769</v>
      </c>
      <c r="B771" s="24">
        <f t="shared" si="13"/>
        <v>586</v>
      </c>
      <c r="C771" s="1" t="s">
        <v>1276</v>
      </c>
      <c r="D771" s="1" t="s">
        <v>4</v>
      </c>
      <c r="E771" s="1" t="s">
        <v>14</v>
      </c>
      <c r="F771" s="26">
        <v>0</v>
      </c>
      <c r="G771" s="26">
        <v>500</v>
      </c>
      <c r="H771" s="26">
        <v>500</v>
      </c>
      <c r="I771" s="26">
        <v>1646010</v>
      </c>
      <c r="J771" s="26">
        <v>14500000</v>
      </c>
    </row>
    <row r="772" spans="1:10">
      <c r="A772" s="24">
        <v>770</v>
      </c>
      <c r="B772" s="24">
        <f t="shared" ref="B772:B835" si="14">IF(C771=C772,B771,B771+1)</f>
        <v>587</v>
      </c>
      <c r="C772" s="1" t="s">
        <v>1277</v>
      </c>
      <c r="D772" s="1" t="s">
        <v>4</v>
      </c>
      <c r="E772" s="1" t="s">
        <v>14</v>
      </c>
      <c r="F772" s="26">
        <v>0</v>
      </c>
      <c r="G772" s="26">
        <v>700</v>
      </c>
      <c r="H772" s="26">
        <v>700</v>
      </c>
      <c r="I772" s="26">
        <v>2307914</v>
      </c>
      <c r="J772" s="26">
        <v>17500000</v>
      </c>
    </row>
    <row r="773" spans="1:10">
      <c r="A773" s="24">
        <v>771</v>
      </c>
      <c r="B773" s="24">
        <f t="shared" si="14"/>
        <v>588</v>
      </c>
      <c r="C773" s="1" t="s">
        <v>775</v>
      </c>
      <c r="F773" s="26">
        <v>0</v>
      </c>
      <c r="G773" s="26">
        <v>3100</v>
      </c>
      <c r="H773" s="26">
        <v>3100</v>
      </c>
      <c r="I773" s="26">
        <v>11028147</v>
      </c>
      <c r="J773" s="26">
        <v>94100000</v>
      </c>
    </row>
    <row r="774" spans="1:10">
      <c r="A774" s="24">
        <v>772</v>
      </c>
      <c r="B774" s="24">
        <f t="shared" si="14"/>
        <v>589</v>
      </c>
      <c r="C774" s="1" t="s">
        <v>1278</v>
      </c>
      <c r="D774" s="1" t="s">
        <v>4</v>
      </c>
      <c r="E774" s="1" t="s">
        <v>14</v>
      </c>
      <c r="F774" s="26">
        <v>0</v>
      </c>
      <c r="G774" s="26">
        <v>1200</v>
      </c>
      <c r="H774" s="26">
        <v>1200</v>
      </c>
      <c r="I774" s="26">
        <v>6656184</v>
      </c>
      <c r="J774" s="26">
        <v>51600000</v>
      </c>
    </row>
    <row r="775" spans="1:10">
      <c r="A775" s="24">
        <v>773</v>
      </c>
      <c r="B775" s="24">
        <f t="shared" si="14"/>
        <v>590</v>
      </c>
      <c r="C775" s="1" t="s">
        <v>1279</v>
      </c>
      <c r="D775" s="1" t="s">
        <v>4</v>
      </c>
      <c r="E775" s="1" t="s">
        <v>14</v>
      </c>
      <c r="F775" s="26">
        <v>0</v>
      </c>
      <c r="G775" s="26">
        <v>1200</v>
      </c>
      <c r="H775" s="26">
        <v>1200</v>
      </c>
      <c r="I775" s="26">
        <v>6617277.6000000006</v>
      </c>
      <c r="J775" s="26">
        <v>46800000</v>
      </c>
    </row>
    <row r="776" spans="1:10">
      <c r="A776" s="24">
        <v>774</v>
      </c>
      <c r="B776" s="24">
        <f t="shared" si="14"/>
        <v>591</v>
      </c>
      <c r="C776" s="1" t="s">
        <v>1280</v>
      </c>
      <c r="D776" s="1" t="s">
        <v>4</v>
      </c>
      <c r="E776" s="1" t="s">
        <v>14</v>
      </c>
      <c r="F776" s="26">
        <v>0</v>
      </c>
      <c r="G776" s="26">
        <v>1200</v>
      </c>
      <c r="H776" s="26">
        <v>1200</v>
      </c>
      <c r="I776" s="26">
        <v>5417366.3999999994</v>
      </c>
      <c r="J776" s="26">
        <v>46800000</v>
      </c>
    </row>
    <row r="777" spans="1:10">
      <c r="A777" s="24">
        <v>775</v>
      </c>
      <c r="B777" s="24">
        <f t="shared" si="14"/>
        <v>592</v>
      </c>
      <c r="C777" s="1" t="s">
        <v>1281</v>
      </c>
      <c r="D777" s="1" t="s">
        <v>4</v>
      </c>
      <c r="E777" s="1" t="s">
        <v>14</v>
      </c>
      <c r="F777" s="26">
        <v>0</v>
      </c>
      <c r="G777" s="26">
        <v>1000</v>
      </c>
      <c r="H777" s="26">
        <v>1000</v>
      </c>
      <c r="I777" s="26">
        <v>4519472</v>
      </c>
      <c r="J777" s="26">
        <v>35000000</v>
      </c>
    </row>
    <row r="778" spans="1:10">
      <c r="A778" s="24">
        <v>776</v>
      </c>
      <c r="B778" s="24">
        <f t="shared" si="14"/>
        <v>593</v>
      </c>
      <c r="C778" s="1" t="s">
        <v>1282</v>
      </c>
      <c r="D778" s="1" t="s">
        <v>4</v>
      </c>
      <c r="E778" s="1" t="s">
        <v>14</v>
      </c>
      <c r="F778" s="26">
        <v>0</v>
      </c>
      <c r="G778" s="26">
        <v>1200</v>
      </c>
      <c r="H778" s="26">
        <v>1200</v>
      </c>
      <c r="I778" s="26">
        <v>5417366.3999999994</v>
      </c>
      <c r="J778" s="26">
        <v>46800000</v>
      </c>
    </row>
    <row r="779" spans="1:10">
      <c r="A779" s="24">
        <v>777</v>
      </c>
      <c r="B779" s="24">
        <f t="shared" si="14"/>
        <v>594</v>
      </c>
      <c r="C779" s="1" t="s">
        <v>1283</v>
      </c>
      <c r="D779" s="1" t="s">
        <v>4</v>
      </c>
      <c r="E779" s="1" t="s">
        <v>14</v>
      </c>
      <c r="F779" s="26">
        <v>0</v>
      </c>
      <c r="G779" s="26">
        <v>1000</v>
      </c>
      <c r="H779" s="26">
        <v>1000</v>
      </c>
      <c r="I779" s="26">
        <v>4519472</v>
      </c>
      <c r="J779" s="26">
        <v>35000000</v>
      </c>
    </row>
    <row r="780" spans="1:10">
      <c r="A780" s="24">
        <v>778</v>
      </c>
      <c r="B780" s="24">
        <f t="shared" si="14"/>
        <v>595</v>
      </c>
      <c r="C780" s="1" t="s">
        <v>1284</v>
      </c>
      <c r="D780" s="1" t="s">
        <v>4</v>
      </c>
      <c r="E780" s="1" t="s">
        <v>14</v>
      </c>
      <c r="F780" s="26">
        <v>0</v>
      </c>
      <c r="G780" s="26">
        <v>700</v>
      </c>
      <c r="H780" s="26">
        <v>700</v>
      </c>
      <c r="I780" s="26">
        <v>2814686.0000000005</v>
      </c>
      <c r="J780" s="26">
        <v>20300000</v>
      </c>
    </row>
    <row r="781" spans="1:10">
      <c r="A781" s="24">
        <v>779</v>
      </c>
      <c r="B781" s="24">
        <f t="shared" si="14"/>
        <v>596</v>
      </c>
      <c r="C781" s="1" t="s">
        <v>1285</v>
      </c>
      <c r="D781" s="1" t="s">
        <v>4</v>
      </c>
      <c r="E781" s="1" t="s">
        <v>14</v>
      </c>
      <c r="F781" s="26">
        <v>0</v>
      </c>
      <c r="G781" s="26">
        <v>700</v>
      </c>
      <c r="H781" s="26">
        <v>700</v>
      </c>
      <c r="I781" s="26">
        <v>2814686.0000000005</v>
      </c>
      <c r="J781" s="26">
        <v>20300000</v>
      </c>
    </row>
    <row r="782" spans="1:10">
      <c r="A782" s="24">
        <v>780</v>
      </c>
      <c r="B782" s="24">
        <f t="shared" si="14"/>
        <v>597</v>
      </c>
      <c r="C782" s="1" t="s">
        <v>1286</v>
      </c>
      <c r="D782" s="1" t="s">
        <v>4</v>
      </c>
      <c r="E782" s="1" t="s">
        <v>14</v>
      </c>
      <c r="F782" s="26">
        <v>0</v>
      </c>
      <c r="G782" s="26">
        <v>500</v>
      </c>
      <c r="H782" s="26">
        <v>500</v>
      </c>
      <c r="I782" s="26">
        <v>2010490.0000000005</v>
      </c>
      <c r="J782" s="26">
        <v>14500000</v>
      </c>
    </row>
    <row r="783" spans="1:10">
      <c r="A783" s="24">
        <v>781</v>
      </c>
      <c r="B783" s="24">
        <f t="shared" si="14"/>
        <v>598</v>
      </c>
      <c r="C783" s="1" t="s">
        <v>1287</v>
      </c>
      <c r="D783" s="1" t="s">
        <v>4</v>
      </c>
      <c r="E783" s="1" t="s">
        <v>14</v>
      </c>
      <c r="F783" s="26">
        <v>0</v>
      </c>
      <c r="G783" s="26">
        <v>500</v>
      </c>
      <c r="H783" s="26">
        <v>500</v>
      </c>
      <c r="I783" s="26">
        <v>2010490.0000000005</v>
      </c>
      <c r="J783" s="26">
        <v>14500000</v>
      </c>
    </row>
    <row r="784" spans="1:10">
      <c r="A784" s="24">
        <v>782</v>
      </c>
      <c r="B784" s="24">
        <f t="shared" si="14"/>
        <v>599</v>
      </c>
      <c r="C784" s="1" t="s">
        <v>1288</v>
      </c>
      <c r="D784" s="1" t="s">
        <v>4</v>
      </c>
      <c r="E784" s="1" t="s">
        <v>14</v>
      </c>
      <c r="F784" s="26">
        <v>0</v>
      </c>
      <c r="G784" s="26">
        <v>700</v>
      </c>
      <c r="H784" s="26">
        <v>700</v>
      </c>
      <c r="I784" s="26">
        <v>3657843.0000000005</v>
      </c>
      <c r="J784" s="26">
        <v>30100000</v>
      </c>
    </row>
    <row r="785" spans="1:10">
      <c r="A785" s="24">
        <v>783</v>
      </c>
      <c r="B785" s="24">
        <f t="shared" si="14"/>
        <v>600</v>
      </c>
      <c r="C785" s="1" t="s">
        <v>1289</v>
      </c>
      <c r="D785" s="1" t="s">
        <v>4</v>
      </c>
      <c r="E785" s="1" t="s">
        <v>14</v>
      </c>
      <c r="F785" s="26">
        <v>0</v>
      </c>
      <c r="G785" s="26">
        <v>700</v>
      </c>
      <c r="H785" s="26">
        <v>700</v>
      </c>
      <c r="I785" s="26">
        <v>3657843.0000000005</v>
      </c>
      <c r="J785" s="26">
        <v>30100000</v>
      </c>
    </row>
    <row r="786" spans="1:10">
      <c r="A786" s="24">
        <v>784</v>
      </c>
      <c r="B786" s="24">
        <f t="shared" si="14"/>
        <v>601</v>
      </c>
      <c r="C786" s="1" t="s">
        <v>1290</v>
      </c>
      <c r="D786" s="1" t="s">
        <v>4</v>
      </c>
      <c r="E786" s="1" t="s">
        <v>14</v>
      </c>
      <c r="F786" s="26">
        <v>0</v>
      </c>
      <c r="G786" s="26">
        <v>700</v>
      </c>
      <c r="H786" s="26">
        <v>700</v>
      </c>
      <c r="I786" s="26">
        <v>3657843.0000000005</v>
      </c>
      <c r="J786" s="26">
        <v>30100000</v>
      </c>
    </row>
    <row r="787" spans="1:10">
      <c r="A787" s="24">
        <v>785</v>
      </c>
      <c r="B787" s="24">
        <f t="shared" si="14"/>
        <v>602</v>
      </c>
      <c r="C787" s="1" t="s">
        <v>1291</v>
      </c>
      <c r="D787" s="1" t="s">
        <v>4</v>
      </c>
      <c r="E787" s="1" t="s">
        <v>14</v>
      </c>
      <c r="F787" s="26">
        <v>0</v>
      </c>
      <c r="G787" s="26">
        <v>500</v>
      </c>
      <c r="H787" s="26">
        <v>500</v>
      </c>
      <c r="I787" s="26">
        <v>3248919.0000000005</v>
      </c>
      <c r="J787" s="26">
        <v>22500000</v>
      </c>
    </row>
    <row r="788" spans="1:10">
      <c r="A788" s="24">
        <v>786</v>
      </c>
      <c r="B788" s="24">
        <f t="shared" si="14"/>
        <v>603</v>
      </c>
      <c r="C788" s="1" t="s">
        <v>1292</v>
      </c>
      <c r="D788" s="1" t="s">
        <v>4</v>
      </c>
      <c r="E788" s="1" t="s">
        <v>14</v>
      </c>
      <c r="F788" s="26">
        <v>0</v>
      </c>
      <c r="G788" s="26">
        <v>500</v>
      </c>
      <c r="H788" s="26">
        <v>500</v>
      </c>
      <c r="I788" s="26">
        <v>3248919.0000000005</v>
      </c>
      <c r="J788" s="26">
        <v>22500000</v>
      </c>
    </row>
    <row r="789" spans="1:10">
      <c r="A789" s="24">
        <v>787</v>
      </c>
      <c r="B789" s="24">
        <f t="shared" si="14"/>
        <v>604</v>
      </c>
      <c r="C789" s="1" t="s">
        <v>1293</v>
      </c>
      <c r="D789" s="1" t="s">
        <v>4</v>
      </c>
      <c r="E789" s="1" t="s">
        <v>14</v>
      </c>
      <c r="F789" s="26">
        <v>0</v>
      </c>
      <c r="G789" s="26">
        <v>1500</v>
      </c>
      <c r="H789" s="26">
        <v>1500</v>
      </c>
      <c r="I789" s="26">
        <v>6677685</v>
      </c>
      <c r="J789" s="26">
        <v>58500000</v>
      </c>
    </row>
    <row r="790" spans="1:10">
      <c r="A790" s="24">
        <v>788</v>
      </c>
      <c r="B790" s="24">
        <f t="shared" si="14"/>
        <v>605</v>
      </c>
      <c r="C790" s="1" t="s">
        <v>1294</v>
      </c>
      <c r="D790" s="1" t="s">
        <v>4</v>
      </c>
      <c r="E790" s="1" t="s">
        <v>14</v>
      </c>
      <c r="F790" s="26">
        <v>0</v>
      </c>
      <c r="G790" s="26">
        <v>1000</v>
      </c>
      <c r="H790" s="26">
        <v>1000</v>
      </c>
      <c r="I790" s="26">
        <v>4451790</v>
      </c>
      <c r="J790" s="26">
        <v>39000000</v>
      </c>
    </row>
    <row r="791" spans="1:10">
      <c r="A791" s="24">
        <v>789</v>
      </c>
      <c r="B791" s="24">
        <f t="shared" si="14"/>
        <v>606</v>
      </c>
      <c r="C791" s="1" t="s">
        <v>1295</v>
      </c>
      <c r="D791" s="1" t="s">
        <v>4</v>
      </c>
      <c r="E791" s="1" t="s">
        <v>14</v>
      </c>
      <c r="F791" s="26">
        <v>0</v>
      </c>
      <c r="G791" s="26">
        <v>1500</v>
      </c>
      <c r="H791" s="26">
        <v>1500</v>
      </c>
      <c r="I791" s="26">
        <v>6677685</v>
      </c>
      <c r="J791" s="26">
        <v>58500000</v>
      </c>
    </row>
    <row r="792" spans="1:10">
      <c r="A792" s="24">
        <v>790</v>
      </c>
      <c r="B792" s="24">
        <f t="shared" si="14"/>
        <v>607</v>
      </c>
      <c r="C792" s="1" t="s">
        <v>1296</v>
      </c>
      <c r="D792" s="1" t="s">
        <v>4</v>
      </c>
      <c r="E792" s="1" t="s">
        <v>14</v>
      </c>
      <c r="F792" s="26">
        <v>0</v>
      </c>
      <c r="G792" s="26">
        <v>2000</v>
      </c>
      <c r="H792" s="26">
        <v>2000</v>
      </c>
      <c r="I792" s="26">
        <v>8903580</v>
      </c>
      <c r="J792" s="26">
        <v>78000000</v>
      </c>
    </row>
    <row r="793" spans="1:10">
      <c r="A793" s="24">
        <v>791</v>
      </c>
      <c r="B793" s="24">
        <f t="shared" si="14"/>
        <v>608</v>
      </c>
      <c r="C793" s="1" t="s">
        <v>1297</v>
      </c>
      <c r="D793" s="1" t="s">
        <v>4</v>
      </c>
      <c r="E793" s="1" t="s">
        <v>14</v>
      </c>
      <c r="F793" s="26">
        <v>0</v>
      </c>
      <c r="G793" s="26">
        <v>2000</v>
      </c>
      <c r="H793" s="26">
        <v>2000</v>
      </c>
      <c r="I793" s="26">
        <v>8903580</v>
      </c>
      <c r="J793" s="26">
        <v>78000000</v>
      </c>
    </row>
    <row r="794" spans="1:10">
      <c r="A794" s="24">
        <v>792</v>
      </c>
      <c r="B794" s="24">
        <f t="shared" si="14"/>
        <v>609</v>
      </c>
      <c r="C794" s="1" t="s">
        <v>1298</v>
      </c>
      <c r="D794" s="1" t="s">
        <v>4</v>
      </c>
      <c r="E794" s="1" t="s">
        <v>14</v>
      </c>
      <c r="F794" s="26">
        <v>0</v>
      </c>
      <c r="G794" s="26">
        <v>1000</v>
      </c>
      <c r="H794" s="26">
        <v>1000</v>
      </c>
      <c r="I794" s="26">
        <v>4451790</v>
      </c>
      <c r="J794" s="26">
        <v>39000000</v>
      </c>
    </row>
    <row r="795" spans="1:10">
      <c r="A795" s="24">
        <v>793</v>
      </c>
      <c r="B795" s="24">
        <f t="shared" si="14"/>
        <v>610</v>
      </c>
      <c r="C795" s="1" t="s">
        <v>1299</v>
      </c>
      <c r="D795" s="1" t="s">
        <v>4</v>
      </c>
      <c r="E795" s="1" t="s">
        <v>14</v>
      </c>
      <c r="F795" s="26">
        <v>0</v>
      </c>
      <c r="G795" s="26">
        <v>500</v>
      </c>
      <c r="H795" s="26">
        <v>500</v>
      </c>
      <c r="I795" s="26">
        <v>1785411.9999999998</v>
      </c>
      <c r="J795" s="26">
        <v>21500000</v>
      </c>
    </row>
    <row r="796" spans="1:10">
      <c r="A796" s="24">
        <v>794</v>
      </c>
      <c r="B796" s="24">
        <f t="shared" si="14"/>
        <v>611</v>
      </c>
      <c r="C796" s="1" t="s">
        <v>1300</v>
      </c>
      <c r="D796" s="1" t="s">
        <v>4</v>
      </c>
      <c r="E796" s="1" t="s">
        <v>14</v>
      </c>
      <c r="F796" s="26">
        <v>0</v>
      </c>
      <c r="G796" s="26">
        <v>500</v>
      </c>
      <c r="H796" s="26">
        <v>500</v>
      </c>
      <c r="I796" s="26">
        <v>1787911.9999999998</v>
      </c>
      <c r="J796" s="26">
        <v>19500000</v>
      </c>
    </row>
    <row r="797" spans="1:10">
      <c r="A797" s="24">
        <v>795</v>
      </c>
      <c r="B797" s="24">
        <f t="shared" si="14"/>
        <v>612</v>
      </c>
      <c r="C797" s="1" t="s">
        <v>775</v>
      </c>
      <c r="F797" s="26">
        <v>0</v>
      </c>
      <c r="G797" s="26">
        <v>22300</v>
      </c>
      <c r="H797" s="26">
        <v>22300</v>
      </c>
      <c r="I797" s="26">
        <v>103908291.40000001</v>
      </c>
      <c r="J797" s="26">
        <v>858900000</v>
      </c>
    </row>
    <row r="798" spans="1:10">
      <c r="A798" s="24">
        <v>796</v>
      </c>
      <c r="B798" s="24">
        <f t="shared" si="14"/>
        <v>613</v>
      </c>
      <c r="C798" s="1" t="s">
        <v>1301</v>
      </c>
      <c r="D798" s="1" t="s">
        <v>4</v>
      </c>
      <c r="E798" s="1" t="s">
        <v>14</v>
      </c>
      <c r="F798" s="26">
        <v>0</v>
      </c>
      <c r="G798" s="26">
        <v>1000</v>
      </c>
      <c r="H798" s="26">
        <v>1000</v>
      </c>
      <c r="I798" s="26">
        <v>6237000</v>
      </c>
      <c r="J798" s="26">
        <v>43000000</v>
      </c>
    </row>
    <row r="799" spans="1:10">
      <c r="A799" s="24">
        <v>797</v>
      </c>
      <c r="B799" s="24">
        <f t="shared" si="14"/>
        <v>614</v>
      </c>
      <c r="C799" s="1" t="s">
        <v>1302</v>
      </c>
      <c r="D799" s="1" t="s">
        <v>4</v>
      </c>
      <c r="E799" s="1" t="s">
        <v>14</v>
      </c>
      <c r="F799" s="26">
        <v>0</v>
      </c>
      <c r="G799" s="26">
        <v>800</v>
      </c>
      <c r="H799" s="26">
        <v>800</v>
      </c>
      <c r="I799" s="26">
        <v>4989600</v>
      </c>
      <c r="J799" s="26">
        <v>31200000</v>
      </c>
    </row>
    <row r="800" spans="1:10">
      <c r="A800" s="24">
        <v>798</v>
      </c>
      <c r="B800" s="24">
        <f t="shared" si="14"/>
        <v>615</v>
      </c>
      <c r="C800" s="1" t="s">
        <v>1303</v>
      </c>
      <c r="D800" s="1" t="s">
        <v>4</v>
      </c>
      <c r="E800" s="1" t="s">
        <v>14</v>
      </c>
      <c r="F800" s="26">
        <v>0</v>
      </c>
      <c r="G800" s="26">
        <v>800</v>
      </c>
      <c r="H800" s="26">
        <v>800</v>
      </c>
      <c r="I800" s="26">
        <v>4989600</v>
      </c>
      <c r="J800" s="26">
        <v>34400000</v>
      </c>
    </row>
    <row r="801" spans="1:10">
      <c r="A801" s="24">
        <v>799</v>
      </c>
      <c r="B801" s="24">
        <f t="shared" si="14"/>
        <v>616</v>
      </c>
      <c r="C801" s="1" t="s">
        <v>1304</v>
      </c>
      <c r="D801" s="1" t="s">
        <v>4</v>
      </c>
      <c r="E801" s="1" t="s">
        <v>14</v>
      </c>
      <c r="F801" s="26">
        <v>0</v>
      </c>
      <c r="G801" s="26">
        <v>600</v>
      </c>
      <c r="H801" s="26">
        <v>600</v>
      </c>
      <c r="I801" s="26">
        <v>3742200</v>
      </c>
      <c r="J801" s="26">
        <v>23400000</v>
      </c>
    </row>
    <row r="802" spans="1:10">
      <c r="A802" s="24">
        <v>800</v>
      </c>
      <c r="B802" s="24">
        <f t="shared" si="14"/>
        <v>617</v>
      </c>
      <c r="C802" s="1" t="s">
        <v>1305</v>
      </c>
      <c r="D802" s="1" t="s">
        <v>4</v>
      </c>
      <c r="E802" s="1" t="s">
        <v>14</v>
      </c>
      <c r="F802" s="26">
        <v>0</v>
      </c>
      <c r="G802" s="26">
        <v>500</v>
      </c>
      <c r="H802" s="26">
        <v>500</v>
      </c>
      <c r="I802" s="26">
        <v>2089395</v>
      </c>
      <c r="J802" s="26">
        <v>19500000</v>
      </c>
    </row>
    <row r="803" spans="1:10">
      <c r="A803" s="24">
        <v>801</v>
      </c>
      <c r="B803" s="24">
        <f t="shared" si="14"/>
        <v>618</v>
      </c>
      <c r="C803" s="1" t="s">
        <v>1306</v>
      </c>
      <c r="D803" s="1" t="s">
        <v>4</v>
      </c>
      <c r="E803" s="1" t="s">
        <v>14</v>
      </c>
      <c r="F803" s="26">
        <v>0</v>
      </c>
      <c r="G803" s="26">
        <v>500</v>
      </c>
      <c r="H803" s="26">
        <v>500</v>
      </c>
      <c r="I803" s="26">
        <v>2089395</v>
      </c>
      <c r="J803" s="26">
        <v>19500000</v>
      </c>
    </row>
    <row r="804" spans="1:10">
      <c r="A804" s="24">
        <v>802</v>
      </c>
      <c r="B804" s="24">
        <f t="shared" si="14"/>
        <v>619</v>
      </c>
      <c r="C804" s="1" t="s">
        <v>1307</v>
      </c>
      <c r="D804" s="1" t="s">
        <v>4</v>
      </c>
      <c r="E804" s="1" t="s">
        <v>14</v>
      </c>
      <c r="F804" s="26">
        <v>0</v>
      </c>
      <c r="G804" s="26">
        <v>500</v>
      </c>
      <c r="H804" s="26">
        <v>500</v>
      </c>
      <c r="I804" s="26">
        <v>2120580</v>
      </c>
      <c r="J804" s="26">
        <v>21500000</v>
      </c>
    </row>
    <row r="805" spans="1:10">
      <c r="A805" s="24">
        <v>803</v>
      </c>
      <c r="B805" s="24">
        <f t="shared" si="14"/>
        <v>620</v>
      </c>
      <c r="C805" s="1" t="s">
        <v>1308</v>
      </c>
      <c r="D805" s="1" t="s">
        <v>4</v>
      </c>
      <c r="E805" s="1" t="s">
        <v>14</v>
      </c>
      <c r="F805" s="26">
        <v>0</v>
      </c>
      <c r="G805" s="26">
        <v>500</v>
      </c>
      <c r="H805" s="26">
        <v>500</v>
      </c>
      <c r="I805" s="26">
        <v>2120580</v>
      </c>
      <c r="J805" s="26">
        <v>21500000</v>
      </c>
    </row>
    <row r="806" spans="1:10">
      <c r="A806" s="24">
        <v>804</v>
      </c>
      <c r="B806" s="24">
        <f t="shared" si="14"/>
        <v>621</v>
      </c>
      <c r="C806" s="1" t="s">
        <v>1309</v>
      </c>
      <c r="D806" s="1" t="s">
        <v>4</v>
      </c>
      <c r="E806" s="1" t="s">
        <v>14</v>
      </c>
      <c r="F806" s="26">
        <v>0</v>
      </c>
      <c r="G806" s="26">
        <v>500</v>
      </c>
      <c r="H806" s="26">
        <v>500</v>
      </c>
      <c r="I806" s="26">
        <v>2744280.0000000005</v>
      </c>
      <c r="J806" s="26">
        <v>22500000</v>
      </c>
    </row>
    <row r="807" spans="1:10">
      <c r="A807" s="24">
        <v>805</v>
      </c>
      <c r="B807" s="24">
        <f t="shared" si="14"/>
        <v>622</v>
      </c>
      <c r="C807" s="1" t="s">
        <v>1310</v>
      </c>
      <c r="D807" s="1" t="s">
        <v>4</v>
      </c>
      <c r="E807" s="1" t="s">
        <v>14</v>
      </c>
      <c r="F807" s="26">
        <v>0</v>
      </c>
      <c r="G807" s="26">
        <v>700</v>
      </c>
      <c r="H807" s="26">
        <v>700</v>
      </c>
      <c r="I807" s="26">
        <v>2794176</v>
      </c>
      <c r="J807" s="26">
        <v>27300000</v>
      </c>
    </row>
    <row r="808" spans="1:10">
      <c r="A808" s="24">
        <v>806</v>
      </c>
      <c r="B808" s="24">
        <f t="shared" si="14"/>
        <v>623</v>
      </c>
      <c r="C808" s="1" t="s">
        <v>1311</v>
      </c>
      <c r="D808" s="1" t="s">
        <v>4</v>
      </c>
      <c r="E808" s="1" t="s">
        <v>14</v>
      </c>
      <c r="F808" s="26">
        <v>0</v>
      </c>
      <c r="G808" s="26">
        <v>700</v>
      </c>
      <c r="H808" s="26">
        <v>700</v>
      </c>
      <c r="I808" s="26">
        <v>2794176</v>
      </c>
      <c r="J808" s="26">
        <v>24500000</v>
      </c>
    </row>
    <row r="809" spans="1:10">
      <c r="A809" s="24">
        <v>807</v>
      </c>
      <c r="B809" s="24">
        <f t="shared" si="14"/>
        <v>624</v>
      </c>
      <c r="C809" s="1" t="s">
        <v>1312</v>
      </c>
      <c r="D809" s="1" t="s">
        <v>4</v>
      </c>
      <c r="E809" s="1" t="s">
        <v>14</v>
      </c>
      <c r="F809" s="26">
        <v>0</v>
      </c>
      <c r="G809" s="26">
        <v>700</v>
      </c>
      <c r="H809" s="26">
        <v>700</v>
      </c>
      <c r="I809" s="26">
        <v>2794176</v>
      </c>
      <c r="J809" s="26">
        <v>27300000</v>
      </c>
    </row>
    <row r="810" spans="1:10">
      <c r="A810" s="24">
        <v>808</v>
      </c>
      <c r="B810" s="24">
        <f t="shared" si="14"/>
        <v>625</v>
      </c>
      <c r="C810" s="1" t="s">
        <v>1313</v>
      </c>
      <c r="D810" s="1" t="s">
        <v>4</v>
      </c>
      <c r="E810" s="1" t="s">
        <v>14</v>
      </c>
      <c r="F810" s="26">
        <v>0</v>
      </c>
      <c r="G810" s="26">
        <v>700</v>
      </c>
      <c r="H810" s="26">
        <v>700</v>
      </c>
      <c r="I810" s="26">
        <v>2794176</v>
      </c>
      <c r="J810" s="26">
        <v>24500000</v>
      </c>
    </row>
    <row r="811" spans="1:10">
      <c r="A811" s="24">
        <v>809</v>
      </c>
      <c r="B811" s="24">
        <f t="shared" si="14"/>
        <v>626</v>
      </c>
      <c r="C811" s="1" t="s">
        <v>1314</v>
      </c>
      <c r="D811" s="1" t="s">
        <v>4</v>
      </c>
      <c r="E811" s="1" t="s">
        <v>14</v>
      </c>
      <c r="F811" s="26">
        <v>0</v>
      </c>
      <c r="G811" s="26">
        <v>800</v>
      </c>
      <c r="H811" s="26">
        <v>800</v>
      </c>
      <c r="I811" s="26">
        <v>4390848.0000000009</v>
      </c>
      <c r="J811" s="26">
        <v>31200000</v>
      </c>
    </row>
    <row r="812" spans="1:10">
      <c r="A812" s="24">
        <v>810</v>
      </c>
      <c r="B812" s="24">
        <f t="shared" si="14"/>
        <v>627</v>
      </c>
      <c r="C812" s="1" t="s">
        <v>1315</v>
      </c>
      <c r="D812" s="1" t="s">
        <v>4</v>
      </c>
      <c r="E812" s="1" t="s">
        <v>14</v>
      </c>
      <c r="F812" s="26">
        <v>0</v>
      </c>
      <c r="G812" s="26">
        <v>800</v>
      </c>
      <c r="H812" s="26">
        <v>800</v>
      </c>
      <c r="I812" s="26">
        <v>4390848.0000000009</v>
      </c>
      <c r="J812" s="26">
        <v>28000000</v>
      </c>
    </row>
    <row r="813" spans="1:10">
      <c r="A813" s="24">
        <v>811</v>
      </c>
      <c r="B813" s="24">
        <f t="shared" si="14"/>
        <v>628</v>
      </c>
      <c r="C813" s="1" t="s">
        <v>1316</v>
      </c>
      <c r="D813" s="1" t="s">
        <v>4</v>
      </c>
      <c r="E813" s="1" t="s">
        <v>14</v>
      </c>
      <c r="F813" s="26">
        <v>0</v>
      </c>
      <c r="G813" s="26">
        <v>1000</v>
      </c>
      <c r="H813" s="26">
        <v>1000</v>
      </c>
      <c r="I813" s="26">
        <v>5488560.0000000009</v>
      </c>
      <c r="J813" s="26">
        <v>39000000</v>
      </c>
    </row>
    <row r="814" spans="1:10">
      <c r="A814" s="24">
        <v>812</v>
      </c>
      <c r="B814" s="24">
        <f t="shared" si="14"/>
        <v>629</v>
      </c>
      <c r="C814" s="1" t="s">
        <v>1317</v>
      </c>
      <c r="D814" s="1" t="s">
        <v>4</v>
      </c>
      <c r="E814" s="1" t="s">
        <v>14</v>
      </c>
      <c r="F814" s="26">
        <v>0</v>
      </c>
      <c r="G814" s="26">
        <v>1000</v>
      </c>
      <c r="H814" s="26">
        <v>1000</v>
      </c>
      <c r="I814" s="26">
        <v>5488560.0000000009</v>
      </c>
      <c r="J814" s="26">
        <v>35000000</v>
      </c>
    </row>
    <row r="815" spans="1:10">
      <c r="A815" s="24">
        <v>813</v>
      </c>
      <c r="B815" s="24">
        <f t="shared" si="14"/>
        <v>630</v>
      </c>
      <c r="C815" s="1" t="s">
        <v>1318</v>
      </c>
      <c r="D815" s="1" t="s">
        <v>4</v>
      </c>
      <c r="E815" s="1" t="s">
        <v>14</v>
      </c>
      <c r="F815" s="26">
        <v>0</v>
      </c>
      <c r="G815" s="26">
        <v>1000</v>
      </c>
      <c r="H815" s="26">
        <v>1000</v>
      </c>
      <c r="I815" s="26">
        <v>5488560.0000000009</v>
      </c>
      <c r="J815" s="26">
        <v>39000000</v>
      </c>
    </row>
    <row r="816" spans="1:10">
      <c r="A816" s="24">
        <v>814</v>
      </c>
      <c r="B816" s="24">
        <f t="shared" si="14"/>
        <v>631</v>
      </c>
      <c r="C816" s="1" t="s">
        <v>1319</v>
      </c>
      <c r="D816" s="1" t="s">
        <v>4</v>
      </c>
      <c r="E816" s="1" t="s">
        <v>14</v>
      </c>
      <c r="F816" s="26">
        <v>0</v>
      </c>
      <c r="G816" s="26">
        <v>1000</v>
      </c>
      <c r="H816" s="26">
        <v>1000</v>
      </c>
      <c r="I816" s="26">
        <v>5488560.0000000009</v>
      </c>
      <c r="J816" s="26">
        <v>35000000</v>
      </c>
    </row>
    <row r="817" spans="1:10">
      <c r="A817" s="24">
        <v>815</v>
      </c>
      <c r="B817" s="24">
        <f t="shared" si="14"/>
        <v>632</v>
      </c>
      <c r="C817" s="1" t="s">
        <v>1320</v>
      </c>
      <c r="D817" s="1" t="s">
        <v>4</v>
      </c>
      <c r="E817" s="1" t="s">
        <v>14</v>
      </c>
      <c r="F817" s="26">
        <v>0</v>
      </c>
      <c r="G817" s="26">
        <v>1000</v>
      </c>
      <c r="H817" s="26">
        <v>1000</v>
      </c>
      <c r="I817" s="26">
        <v>5239080.0000000009</v>
      </c>
      <c r="J817" s="26">
        <v>45000000</v>
      </c>
    </row>
    <row r="818" spans="1:10">
      <c r="A818" s="24">
        <v>816</v>
      </c>
      <c r="B818" s="24">
        <f t="shared" si="14"/>
        <v>633</v>
      </c>
      <c r="C818" s="1" t="s">
        <v>1321</v>
      </c>
      <c r="D818" s="1" t="s">
        <v>4</v>
      </c>
      <c r="E818" s="1" t="s">
        <v>14</v>
      </c>
      <c r="F818" s="26">
        <v>0</v>
      </c>
      <c r="G818" s="26">
        <v>1000</v>
      </c>
      <c r="H818" s="26">
        <v>1000</v>
      </c>
      <c r="I818" s="26">
        <v>5239080.0000000009</v>
      </c>
      <c r="J818" s="26">
        <v>45000000</v>
      </c>
    </row>
    <row r="819" spans="1:10">
      <c r="A819" s="24">
        <v>817</v>
      </c>
      <c r="B819" s="24">
        <f t="shared" si="14"/>
        <v>634</v>
      </c>
      <c r="C819" s="1" t="s">
        <v>1322</v>
      </c>
      <c r="D819" s="1" t="s">
        <v>4</v>
      </c>
      <c r="E819" s="1" t="s">
        <v>14</v>
      </c>
      <c r="F819" s="26">
        <v>0</v>
      </c>
      <c r="G819" s="26">
        <v>700</v>
      </c>
      <c r="H819" s="26">
        <v>700</v>
      </c>
      <c r="I819" s="26">
        <v>5239080.0000000009</v>
      </c>
      <c r="J819" s="26">
        <v>38500000</v>
      </c>
    </row>
    <row r="820" spans="1:10">
      <c r="A820" s="24">
        <v>818</v>
      </c>
      <c r="B820" s="24">
        <f t="shared" si="14"/>
        <v>635</v>
      </c>
      <c r="C820" s="1" t="s">
        <v>1323</v>
      </c>
      <c r="D820" s="1" t="s">
        <v>4</v>
      </c>
      <c r="E820" s="1" t="s">
        <v>14</v>
      </c>
      <c r="F820" s="26">
        <v>0</v>
      </c>
      <c r="G820" s="26">
        <v>1000</v>
      </c>
      <c r="H820" s="26">
        <v>1000</v>
      </c>
      <c r="I820" s="26">
        <v>6486480.0000000009</v>
      </c>
      <c r="J820" s="26">
        <v>39000000</v>
      </c>
    </row>
    <row r="821" spans="1:10">
      <c r="A821" s="24">
        <v>819</v>
      </c>
      <c r="B821" s="24">
        <f t="shared" si="14"/>
        <v>636</v>
      </c>
      <c r="C821" s="1" t="s">
        <v>1324</v>
      </c>
      <c r="D821" s="1" t="s">
        <v>4</v>
      </c>
      <c r="E821" s="1" t="s">
        <v>14</v>
      </c>
      <c r="F821" s="26">
        <v>0</v>
      </c>
      <c r="G821" s="26">
        <v>1000</v>
      </c>
      <c r="H821" s="26">
        <v>1000</v>
      </c>
      <c r="I821" s="26">
        <v>6486480.0000000009</v>
      </c>
      <c r="J821" s="26">
        <v>39000000</v>
      </c>
    </row>
    <row r="822" spans="1:10">
      <c r="A822" s="24">
        <v>820</v>
      </c>
      <c r="B822" s="24">
        <f t="shared" si="14"/>
        <v>637</v>
      </c>
      <c r="C822" s="1" t="s">
        <v>1325</v>
      </c>
      <c r="D822" s="1" t="s">
        <v>4</v>
      </c>
      <c r="E822" s="1" t="s">
        <v>14</v>
      </c>
      <c r="F822" s="26">
        <v>0</v>
      </c>
      <c r="G822" s="26">
        <v>700</v>
      </c>
      <c r="H822" s="26">
        <v>700</v>
      </c>
      <c r="I822" s="26">
        <v>4103946.0000000005</v>
      </c>
      <c r="J822" s="26">
        <v>30100000</v>
      </c>
    </row>
    <row r="823" spans="1:10">
      <c r="A823" s="24">
        <v>821</v>
      </c>
      <c r="B823" s="24">
        <f t="shared" si="14"/>
        <v>638</v>
      </c>
      <c r="C823" s="1" t="s">
        <v>775</v>
      </c>
      <c r="F823" s="26">
        <v>0</v>
      </c>
      <c r="G823" s="26">
        <v>19500</v>
      </c>
      <c r="H823" s="26">
        <v>19500</v>
      </c>
      <c r="I823" s="26">
        <v>105829416</v>
      </c>
      <c r="J823" s="26">
        <v>783900000</v>
      </c>
    </row>
    <row r="824" spans="1:10">
      <c r="A824" s="24">
        <v>822</v>
      </c>
      <c r="B824" s="24">
        <f t="shared" si="14"/>
        <v>639</v>
      </c>
      <c r="C824" s="1" t="s">
        <v>1326</v>
      </c>
      <c r="D824" s="1" t="s">
        <v>4</v>
      </c>
      <c r="E824" s="1" t="s">
        <v>14</v>
      </c>
      <c r="F824" s="26">
        <v>0</v>
      </c>
      <c r="G824" s="26">
        <v>500</v>
      </c>
      <c r="H824" s="26">
        <v>500</v>
      </c>
      <c r="I824" s="26">
        <v>2264915</v>
      </c>
      <c r="J824" s="26">
        <v>24500000</v>
      </c>
    </row>
    <row r="825" spans="1:10">
      <c r="A825" s="24">
        <v>823</v>
      </c>
      <c r="B825" s="24">
        <f t="shared" si="14"/>
        <v>640</v>
      </c>
      <c r="C825" s="1" t="s">
        <v>1328</v>
      </c>
      <c r="D825" s="1" t="s">
        <v>4</v>
      </c>
      <c r="E825" s="1" t="s">
        <v>14</v>
      </c>
      <c r="F825" s="26">
        <v>0</v>
      </c>
      <c r="G825" s="26">
        <v>500</v>
      </c>
      <c r="H825" s="26">
        <v>500</v>
      </c>
      <c r="I825" s="26">
        <v>2190071.0000000005</v>
      </c>
      <c r="J825" s="26">
        <v>24500000</v>
      </c>
    </row>
    <row r="826" spans="1:10">
      <c r="A826" s="24">
        <v>824</v>
      </c>
      <c r="B826" s="24">
        <f t="shared" si="14"/>
        <v>641</v>
      </c>
      <c r="C826" s="1" t="s">
        <v>1329</v>
      </c>
      <c r="D826" s="1" t="s">
        <v>4</v>
      </c>
      <c r="E826" s="1" t="s">
        <v>14</v>
      </c>
      <c r="F826" s="26">
        <v>0</v>
      </c>
      <c r="G826" s="26">
        <v>600</v>
      </c>
      <c r="H826" s="26">
        <v>600</v>
      </c>
      <c r="I826" s="26">
        <v>3077149.2</v>
      </c>
      <c r="J826" s="26">
        <v>29400000</v>
      </c>
    </row>
    <row r="827" spans="1:10">
      <c r="A827" s="24">
        <v>825</v>
      </c>
      <c r="B827" s="24">
        <f t="shared" si="14"/>
        <v>642</v>
      </c>
      <c r="C827" s="1" t="s">
        <v>1331</v>
      </c>
      <c r="D827" s="1" t="s">
        <v>4</v>
      </c>
      <c r="E827" s="1" t="s">
        <v>14</v>
      </c>
      <c r="F827" s="26">
        <v>0</v>
      </c>
      <c r="G827" s="26">
        <v>400</v>
      </c>
      <c r="H827" s="26">
        <v>400</v>
      </c>
      <c r="I827" s="26">
        <v>1392431.2000000002</v>
      </c>
      <c r="J827" s="26">
        <v>18000000</v>
      </c>
    </row>
    <row r="828" spans="1:10">
      <c r="A828" s="24">
        <v>826</v>
      </c>
      <c r="B828" s="24">
        <f t="shared" si="14"/>
        <v>643</v>
      </c>
      <c r="C828" s="1" t="s">
        <v>1332</v>
      </c>
      <c r="D828" s="1" t="s">
        <v>4</v>
      </c>
      <c r="E828" s="1" t="s">
        <v>14</v>
      </c>
      <c r="F828" s="26">
        <v>0</v>
      </c>
      <c r="G828" s="26">
        <v>800</v>
      </c>
      <c r="H828" s="26">
        <v>800</v>
      </c>
      <c r="I828" s="26">
        <v>3962408</v>
      </c>
      <c r="J828" s="26">
        <v>39200000</v>
      </c>
    </row>
    <row r="829" spans="1:10">
      <c r="A829" s="24">
        <v>827</v>
      </c>
      <c r="B829" s="24">
        <f t="shared" si="14"/>
        <v>644</v>
      </c>
      <c r="C829" s="1" t="s">
        <v>1333</v>
      </c>
      <c r="D829" s="1" t="s">
        <v>4</v>
      </c>
      <c r="E829" s="1" t="s">
        <v>14</v>
      </c>
      <c r="F829" s="26">
        <v>0</v>
      </c>
      <c r="G829" s="26">
        <v>600</v>
      </c>
      <c r="H829" s="26">
        <v>600</v>
      </c>
      <c r="I829" s="26">
        <v>2447898</v>
      </c>
      <c r="J829" s="26">
        <v>29400000</v>
      </c>
    </row>
    <row r="830" spans="1:10">
      <c r="A830" s="24">
        <v>828</v>
      </c>
      <c r="B830" s="24">
        <f t="shared" si="14"/>
        <v>645</v>
      </c>
      <c r="C830" s="1" t="s">
        <v>1334</v>
      </c>
      <c r="D830" s="1" t="s">
        <v>4</v>
      </c>
      <c r="E830" s="1" t="s">
        <v>14</v>
      </c>
      <c r="F830" s="26">
        <v>0</v>
      </c>
      <c r="G830" s="26">
        <v>600</v>
      </c>
      <c r="H830" s="26">
        <v>600</v>
      </c>
      <c r="I830" s="26">
        <v>2358085.2000000007</v>
      </c>
      <c r="J830" s="26">
        <v>29400000</v>
      </c>
    </row>
    <row r="831" spans="1:10">
      <c r="A831" s="24">
        <v>829</v>
      </c>
      <c r="B831" s="24">
        <f t="shared" si="14"/>
        <v>646</v>
      </c>
      <c r="C831" s="1" t="s">
        <v>1336</v>
      </c>
      <c r="D831" s="1" t="s">
        <v>4</v>
      </c>
      <c r="E831" s="1" t="s">
        <v>14</v>
      </c>
      <c r="F831" s="26">
        <v>0</v>
      </c>
      <c r="G831" s="26">
        <v>500</v>
      </c>
      <c r="H831" s="26">
        <v>500</v>
      </c>
      <c r="I831" s="26">
        <v>1890695.0000000002</v>
      </c>
      <c r="J831" s="26">
        <v>24500000</v>
      </c>
    </row>
    <row r="832" spans="1:10">
      <c r="A832" s="24">
        <v>830</v>
      </c>
      <c r="B832" s="24">
        <f t="shared" si="14"/>
        <v>647</v>
      </c>
      <c r="C832" s="1" t="s">
        <v>1337</v>
      </c>
      <c r="D832" s="1" t="s">
        <v>4</v>
      </c>
      <c r="E832" s="1" t="s">
        <v>14</v>
      </c>
      <c r="F832" s="26">
        <v>0</v>
      </c>
      <c r="G832" s="26">
        <v>400</v>
      </c>
      <c r="H832" s="26">
        <v>400</v>
      </c>
      <c r="I832" s="26">
        <v>1691807.2</v>
      </c>
      <c r="J832" s="26">
        <v>18000000</v>
      </c>
    </row>
    <row r="833" spans="1:10">
      <c r="A833" s="24">
        <v>831</v>
      </c>
      <c r="B833" s="24">
        <f t="shared" si="14"/>
        <v>648</v>
      </c>
      <c r="C833" s="1" t="s">
        <v>1339</v>
      </c>
      <c r="D833" s="1" t="s">
        <v>4</v>
      </c>
      <c r="E833" s="1" t="s">
        <v>14</v>
      </c>
      <c r="F833" s="26">
        <v>0</v>
      </c>
      <c r="G833" s="26">
        <v>600</v>
      </c>
      <c r="H833" s="26">
        <v>600</v>
      </c>
      <c r="I833" s="26">
        <v>2447898</v>
      </c>
      <c r="J833" s="26">
        <v>29400000</v>
      </c>
    </row>
    <row r="834" spans="1:10">
      <c r="A834" s="24">
        <v>832</v>
      </c>
      <c r="B834" s="24">
        <f t="shared" si="14"/>
        <v>649</v>
      </c>
      <c r="C834" s="1" t="s">
        <v>775</v>
      </c>
      <c r="F834" s="26">
        <v>0</v>
      </c>
      <c r="G834" s="26">
        <v>5500</v>
      </c>
      <c r="H834" s="26">
        <v>5500</v>
      </c>
      <c r="I834" s="26">
        <v>23723357.800000001</v>
      </c>
      <c r="J834" s="26">
        <v>266300000</v>
      </c>
    </row>
    <row r="835" spans="1:10">
      <c r="A835" s="24">
        <v>833</v>
      </c>
      <c r="B835" s="24">
        <f t="shared" si="14"/>
        <v>650</v>
      </c>
      <c r="C835" s="1" t="s">
        <v>1327</v>
      </c>
      <c r="D835" s="1" t="s">
        <v>4</v>
      </c>
      <c r="E835" s="1" t="s">
        <v>14</v>
      </c>
      <c r="F835" s="26">
        <v>0</v>
      </c>
      <c r="G835" s="26">
        <v>500</v>
      </c>
      <c r="H835" s="26">
        <v>500</v>
      </c>
      <c r="I835" s="26">
        <v>2546100.0000000005</v>
      </c>
      <c r="J835" s="26">
        <v>24500000</v>
      </c>
    </row>
    <row r="836" spans="1:10">
      <c r="A836" s="24">
        <v>834</v>
      </c>
      <c r="B836" s="24">
        <f t="shared" ref="B836:B849" si="15">IF(C835=C836,B835,B835+1)</f>
        <v>651</v>
      </c>
      <c r="C836" s="1" t="s">
        <v>1330</v>
      </c>
      <c r="D836" s="1" t="s">
        <v>4</v>
      </c>
      <c r="E836" s="1" t="s">
        <v>14</v>
      </c>
      <c r="F836" s="26">
        <v>0</v>
      </c>
      <c r="G836" s="26">
        <v>600</v>
      </c>
      <c r="H836" s="26">
        <v>600</v>
      </c>
      <c r="I836" s="26">
        <v>3055320.0000000005</v>
      </c>
      <c r="J836" s="26">
        <v>29400000</v>
      </c>
    </row>
    <row r="837" spans="1:10">
      <c r="A837" s="24">
        <v>835</v>
      </c>
      <c r="B837" s="24">
        <f t="shared" si="15"/>
        <v>652</v>
      </c>
      <c r="C837" s="1" t="s">
        <v>1335</v>
      </c>
      <c r="D837" s="1" t="s">
        <v>4</v>
      </c>
      <c r="E837" s="1" t="s">
        <v>14</v>
      </c>
      <c r="F837" s="26">
        <v>0</v>
      </c>
      <c r="G837" s="26">
        <v>600</v>
      </c>
      <c r="H837" s="26">
        <v>600</v>
      </c>
      <c r="I837" s="26">
        <v>2845320.0000000005</v>
      </c>
      <c r="J837" s="26">
        <v>29400000</v>
      </c>
    </row>
    <row r="838" spans="1:10">
      <c r="A838" s="24">
        <v>836</v>
      </c>
      <c r="B838" s="24">
        <f t="shared" si="15"/>
        <v>653</v>
      </c>
      <c r="C838" s="1" t="s">
        <v>1338</v>
      </c>
      <c r="D838" s="1" t="s">
        <v>4</v>
      </c>
      <c r="E838" s="1" t="s">
        <v>14</v>
      </c>
      <c r="F838" s="26">
        <v>0</v>
      </c>
      <c r="G838" s="26">
        <v>400</v>
      </c>
      <c r="H838" s="26">
        <v>400</v>
      </c>
      <c r="I838" s="26">
        <v>1896880.0000000002</v>
      </c>
      <c r="J838" s="26">
        <v>18000000</v>
      </c>
    </row>
    <row r="839" spans="1:10">
      <c r="A839" s="24">
        <v>837</v>
      </c>
      <c r="B839" s="24">
        <f t="shared" si="15"/>
        <v>654</v>
      </c>
      <c r="C839" s="1" t="s">
        <v>1340</v>
      </c>
      <c r="D839" s="1" t="s">
        <v>4</v>
      </c>
      <c r="E839" s="1" t="s">
        <v>14</v>
      </c>
      <c r="F839" s="26">
        <v>0</v>
      </c>
      <c r="G839" s="26">
        <v>400</v>
      </c>
      <c r="H839" s="26">
        <v>400</v>
      </c>
      <c r="I839" s="26">
        <v>1896880.0000000002</v>
      </c>
      <c r="J839" s="26">
        <v>19600000</v>
      </c>
    </row>
    <row r="840" spans="1:10">
      <c r="A840" s="24">
        <v>838</v>
      </c>
      <c r="B840" s="24">
        <f t="shared" si="15"/>
        <v>655</v>
      </c>
      <c r="C840" s="1" t="s">
        <v>1341</v>
      </c>
      <c r="D840" s="1" t="s">
        <v>4</v>
      </c>
      <c r="E840" s="1" t="s">
        <v>14</v>
      </c>
      <c r="F840" s="26">
        <v>0</v>
      </c>
      <c r="G840" s="26">
        <v>600</v>
      </c>
      <c r="H840" s="26">
        <v>600</v>
      </c>
      <c r="I840" s="26">
        <v>2845320.0000000005</v>
      </c>
      <c r="J840" s="26">
        <v>29400000</v>
      </c>
    </row>
    <row r="841" spans="1:10">
      <c r="A841" s="24">
        <v>839</v>
      </c>
      <c r="B841" s="24">
        <f t="shared" si="15"/>
        <v>656</v>
      </c>
      <c r="C841" s="1" t="s">
        <v>1342</v>
      </c>
      <c r="D841" s="1" t="s">
        <v>4</v>
      </c>
      <c r="E841" s="1" t="s">
        <v>14</v>
      </c>
      <c r="F841" s="26">
        <v>0</v>
      </c>
      <c r="G841" s="26">
        <v>800</v>
      </c>
      <c r="H841" s="26">
        <v>800</v>
      </c>
      <c r="I841" s="26">
        <v>4073760.0000000005</v>
      </c>
      <c r="J841" s="26">
        <v>39200000</v>
      </c>
    </row>
    <row r="842" spans="1:10">
      <c r="A842" s="24">
        <v>840</v>
      </c>
      <c r="B842" s="24">
        <f t="shared" si="15"/>
        <v>657</v>
      </c>
      <c r="C842" s="1" t="s">
        <v>1343</v>
      </c>
      <c r="D842" s="1" t="s">
        <v>4</v>
      </c>
      <c r="E842" s="1" t="s">
        <v>14</v>
      </c>
      <c r="F842" s="26">
        <v>0</v>
      </c>
      <c r="G842" s="26">
        <v>600</v>
      </c>
      <c r="H842" s="26">
        <v>600</v>
      </c>
      <c r="I842" s="26">
        <v>3055320.0000000005</v>
      </c>
      <c r="J842" s="26">
        <v>29400000</v>
      </c>
    </row>
    <row r="843" spans="1:10">
      <c r="A843" s="24">
        <v>841</v>
      </c>
      <c r="B843" s="24">
        <f t="shared" si="15"/>
        <v>658</v>
      </c>
      <c r="C843" s="1" t="s">
        <v>1350</v>
      </c>
      <c r="D843" s="1" t="s">
        <v>4</v>
      </c>
      <c r="E843" s="1" t="s">
        <v>14</v>
      </c>
      <c r="F843" s="26">
        <v>0</v>
      </c>
      <c r="G843" s="26">
        <v>600</v>
      </c>
      <c r="H843" s="26">
        <v>600</v>
      </c>
      <c r="I843" s="26">
        <v>3055320.0000000005</v>
      </c>
      <c r="J843" s="26">
        <v>29400000</v>
      </c>
    </row>
    <row r="844" spans="1:10">
      <c r="A844" s="24">
        <v>842</v>
      </c>
      <c r="B844" s="24">
        <f t="shared" si="15"/>
        <v>659</v>
      </c>
      <c r="C844" s="1" t="s">
        <v>775</v>
      </c>
      <c r="F844" s="26">
        <v>0</v>
      </c>
      <c r="G844" s="26">
        <v>5100</v>
      </c>
      <c r="H844" s="26">
        <v>5100</v>
      </c>
      <c r="I844" s="26">
        <v>25270220.000000004</v>
      </c>
      <c r="J844" s="26">
        <v>248300000</v>
      </c>
    </row>
    <row r="845" spans="1:10">
      <c r="A845" s="24">
        <v>843</v>
      </c>
      <c r="B845" s="24">
        <f t="shared" si="15"/>
        <v>660</v>
      </c>
      <c r="C845" s="1" t="s">
        <v>1344</v>
      </c>
      <c r="D845" s="1" t="s">
        <v>4</v>
      </c>
      <c r="E845" s="1" t="s">
        <v>14</v>
      </c>
      <c r="F845" s="26">
        <v>0</v>
      </c>
      <c r="G845" s="26">
        <v>600</v>
      </c>
      <c r="H845" s="26">
        <v>600</v>
      </c>
      <c r="I845" s="26">
        <v>5387369.3527500005</v>
      </c>
      <c r="J845" s="26">
        <v>27000000</v>
      </c>
    </row>
    <row r="846" spans="1:10">
      <c r="A846" s="24">
        <v>844</v>
      </c>
      <c r="B846" s="24">
        <f t="shared" si="15"/>
        <v>661</v>
      </c>
      <c r="C846" s="1" t="s">
        <v>1345</v>
      </c>
      <c r="D846" s="1" t="s">
        <v>4</v>
      </c>
      <c r="E846" s="1" t="s">
        <v>14</v>
      </c>
      <c r="F846" s="26">
        <v>0</v>
      </c>
      <c r="G846" s="26">
        <v>600</v>
      </c>
      <c r="H846" s="26">
        <v>600</v>
      </c>
      <c r="I846" s="26">
        <v>5252977.5952500002</v>
      </c>
      <c r="J846" s="26">
        <v>27000000</v>
      </c>
    </row>
    <row r="847" spans="1:10">
      <c r="A847" s="24">
        <v>845</v>
      </c>
      <c r="B847" s="24">
        <f t="shared" si="15"/>
        <v>662</v>
      </c>
      <c r="C847" s="1" t="s">
        <v>1346</v>
      </c>
      <c r="D847" s="1" t="s">
        <v>4</v>
      </c>
      <c r="E847" s="1" t="s">
        <v>14</v>
      </c>
      <c r="F847" s="26">
        <v>0</v>
      </c>
      <c r="G847" s="26">
        <v>800</v>
      </c>
      <c r="H847" s="26">
        <v>800</v>
      </c>
      <c r="I847" s="26">
        <v>6809512.9410000006</v>
      </c>
      <c r="J847" s="26">
        <v>36000000</v>
      </c>
    </row>
    <row r="848" spans="1:10">
      <c r="A848" s="24">
        <v>846</v>
      </c>
      <c r="B848" s="24">
        <f t="shared" si="15"/>
        <v>663</v>
      </c>
      <c r="C848" s="1" t="s">
        <v>1347</v>
      </c>
      <c r="D848" s="1" t="s">
        <v>4</v>
      </c>
      <c r="E848" s="1" t="s">
        <v>14</v>
      </c>
      <c r="F848" s="26">
        <v>0</v>
      </c>
      <c r="G848" s="26">
        <v>600</v>
      </c>
      <c r="H848" s="26">
        <v>600</v>
      </c>
      <c r="I848" s="26">
        <v>5107134.7057500007</v>
      </c>
      <c r="J848" s="26">
        <v>27000000</v>
      </c>
    </row>
    <row r="849" spans="1:10">
      <c r="A849" s="24">
        <v>847</v>
      </c>
      <c r="B849" s="24">
        <f t="shared" si="15"/>
        <v>664</v>
      </c>
      <c r="C849" s="1" t="s">
        <v>1348</v>
      </c>
      <c r="D849" s="1" t="s">
        <v>4</v>
      </c>
      <c r="E849" s="1" t="s">
        <v>14</v>
      </c>
      <c r="F849" s="26">
        <v>0</v>
      </c>
      <c r="G849" s="26">
        <v>600</v>
      </c>
      <c r="H849" s="26">
        <v>600</v>
      </c>
      <c r="I849" s="26">
        <v>5512124.9452499999</v>
      </c>
      <c r="J849" s="26">
        <v>29400000</v>
      </c>
    </row>
    <row r="850" spans="1:10">
      <c r="A850" s="24">
        <v>848</v>
      </c>
      <c r="B850" s="24">
        <f t="shared" ref="B850:B898" si="16">IF(C849=C850,B849,B849+1)</f>
        <v>665</v>
      </c>
      <c r="C850" s="1" t="s">
        <v>1349</v>
      </c>
      <c r="D850" s="1" t="s">
        <v>4</v>
      </c>
      <c r="E850" s="1" t="s">
        <v>14</v>
      </c>
      <c r="F850" s="26">
        <v>0</v>
      </c>
      <c r="G850" s="26">
        <v>600</v>
      </c>
      <c r="H850" s="26">
        <v>600</v>
      </c>
      <c r="I850" s="26">
        <v>5957630.5140000032</v>
      </c>
      <c r="J850" s="26">
        <v>29400000</v>
      </c>
    </row>
    <row r="851" spans="1:10">
      <c r="A851" s="24">
        <v>849</v>
      </c>
      <c r="B851" s="24">
        <f t="shared" si="16"/>
        <v>666</v>
      </c>
      <c r="C851" s="1" t="s">
        <v>775</v>
      </c>
      <c r="F851" s="26">
        <v>0</v>
      </c>
      <c r="G851" s="26">
        <v>3800</v>
      </c>
      <c r="H851" s="26">
        <v>3800</v>
      </c>
      <c r="I851" s="26">
        <v>34026750.054000005</v>
      </c>
      <c r="J851" s="26">
        <v>175800000</v>
      </c>
    </row>
    <row r="852" spans="1:10">
      <c r="A852" s="24">
        <v>850</v>
      </c>
      <c r="B852" s="24">
        <f t="shared" si="16"/>
        <v>667</v>
      </c>
      <c r="C852" s="1" t="s">
        <v>1364</v>
      </c>
      <c r="D852" s="1" t="s">
        <v>4</v>
      </c>
      <c r="E852" s="1" t="s">
        <v>14</v>
      </c>
      <c r="F852" s="26">
        <v>0</v>
      </c>
      <c r="G852" s="26">
        <v>1200</v>
      </c>
      <c r="H852" s="26">
        <v>1200</v>
      </c>
      <c r="I852" s="26">
        <v>12037033.999999998</v>
      </c>
      <c r="J852" s="26">
        <v>75600000</v>
      </c>
    </row>
    <row r="853" spans="1:10">
      <c r="A853" s="24">
        <v>851</v>
      </c>
      <c r="B853" s="24">
        <f t="shared" si="16"/>
        <v>668</v>
      </c>
      <c r="C853" s="1" t="s">
        <v>775</v>
      </c>
      <c r="F853" s="26">
        <v>0</v>
      </c>
      <c r="G853" s="26">
        <v>1200</v>
      </c>
      <c r="H853" s="26">
        <v>1200</v>
      </c>
      <c r="I853" s="26">
        <v>12037033.999999998</v>
      </c>
      <c r="J853" s="26">
        <v>75600000</v>
      </c>
    </row>
    <row r="854" spans="1:10">
      <c r="A854" s="24">
        <v>852</v>
      </c>
      <c r="B854" s="24">
        <f t="shared" si="16"/>
        <v>669</v>
      </c>
      <c r="C854" s="1" t="s">
        <v>1012</v>
      </c>
      <c r="D854" s="1" t="s">
        <v>4</v>
      </c>
      <c r="E854" s="1" t="s">
        <v>14</v>
      </c>
      <c r="F854" s="26">
        <v>0</v>
      </c>
      <c r="G854" s="26">
        <v>200</v>
      </c>
      <c r="H854" s="26">
        <v>200</v>
      </c>
      <c r="I854" s="26">
        <v>1970896.0000000002</v>
      </c>
      <c r="J854" s="26">
        <v>11800000</v>
      </c>
    </row>
    <row r="855" spans="1:10">
      <c r="A855" s="24">
        <v>853</v>
      </c>
      <c r="B855" s="24">
        <f t="shared" si="16"/>
        <v>670</v>
      </c>
      <c r="C855" s="1" t="s">
        <v>1013</v>
      </c>
      <c r="D855" s="1" t="s">
        <v>4</v>
      </c>
      <c r="E855" s="1" t="s">
        <v>14</v>
      </c>
      <c r="F855" s="26">
        <v>0</v>
      </c>
      <c r="G855" s="26">
        <v>200</v>
      </c>
      <c r="H855" s="26">
        <v>200</v>
      </c>
      <c r="I855" s="26">
        <v>1958896.0000000002</v>
      </c>
      <c r="J855" s="26">
        <v>11000000</v>
      </c>
    </row>
    <row r="856" spans="1:10">
      <c r="A856" s="24">
        <v>854</v>
      </c>
      <c r="B856" s="24">
        <f t="shared" si="16"/>
        <v>671</v>
      </c>
      <c r="C856" s="1" t="s">
        <v>775</v>
      </c>
      <c r="F856" s="26">
        <v>0</v>
      </c>
      <c r="G856" s="26">
        <v>400</v>
      </c>
      <c r="H856" s="26">
        <v>400</v>
      </c>
      <c r="I856" s="26">
        <v>3929792.0000000005</v>
      </c>
      <c r="J856" s="26">
        <v>22800000</v>
      </c>
    </row>
    <row r="857" spans="1:10">
      <c r="A857" s="24">
        <v>855</v>
      </c>
      <c r="B857" s="24">
        <f t="shared" si="16"/>
        <v>672</v>
      </c>
      <c r="C857" s="1" t="s">
        <v>1046</v>
      </c>
      <c r="D857" s="1" t="s">
        <v>4</v>
      </c>
      <c r="E857" s="1" t="s">
        <v>14</v>
      </c>
      <c r="F857" s="26">
        <v>0</v>
      </c>
      <c r="G857" s="26">
        <v>400</v>
      </c>
      <c r="H857" s="26">
        <v>400</v>
      </c>
      <c r="I857" s="26">
        <v>3051656</v>
      </c>
      <c r="J857" s="26">
        <v>19600000</v>
      </c>
    </row>
    <row r="858" spans="1:10">
      <c r="A858" s="24">
        <v>856</v>
      </c>
      <c r="B858" s="24">
        <f t="shared" si="16"/>
        <v>673</v>
      </c>
      <c r="C858" s="1" t="s">
        <v>1047</v>
      </c>
      <c r="D858" s="1" t="s">
        <v>4</v>
      </c>
      <c r="E858" s="1" t="s">
        <v>14</v>
      </c>
      <c r="F858" s="26">
        <v>0</v>
      </c>
      <c r="G858" s="26">
        <v>400</v>
      </c>
      <c r="H858" s="26">
        <v>400</v>
      </c>
      <c r="I858" s="26">
        <v>3001760.0000000005</v>
      </c>
      <c r="J858" s="26">
        <v>17200000</v>
      </c>
    </row>
    <row r="859" spans="1:10">
      <c r="A859" s="24">
        <v>857</v>
      </c>
      <c r="B859" s="24">
        <f t="shared" si="16"/>
        <v>674</v>
      </c>
      <c r="C859" s="1" t="s">
        <v>1048</v>
      </c>
      <c r="D859" s="1" t="s">
        <v>4</v>
      </c>
      <c r="E859" s="1" t="s">
        <v>14</v>
      </c>
      <c r="F859" s="26">
        <v>0</v>
      </c>
      <c r="G859" s="26">
        <v>400</v>
      </c>
      <c r="H859" s="26">
        <v>400</v>
      </c>
      <c r="I859" s="26">
        <v>3051656</v>
      </c>
      <c r="J859" s="26">
        <v>19600000</v>
      </c>
    </row>
    <row r="860" spans="1:10">
      <c r="A860" s="24">
        <v>858</v>
      </c>
      <c r="B860" s="24">
        <f t="shared" si="16"/>
        <v>675</v>
      </c>
      <c r="C860" s="1" t="s">
        <v>1049</v>
      </c>
      <c r="D860" s="1" t="s">
        <v>4</v>
      </c>
      <c r="E860" s="1" t="s">
        <v>14</v>
      </c>
      <c r="F860" s="26">
        <v>0</v>
      </c>
      <c r="G860" s="26">
        <v>400</v>
      </c>
      <c r="H860" s="26">
        <v>400</v>
      </c>
      <c r="I860" s="26">
        <v>3001760.0000000005</v>
      </c>
      <c r="J860" s="26">
        <v>17200000</v>
      </c>
    </row>
    <row r="861" spans="1:10">
      <c r="A861" s="24">
        <v>859</v>
      </c>
      <c r="B861" s="24">
        <f t="shared" si="16"/>
        <v>676</v>
      </c>
      <c r="C861" s="1" t="s">
        <v>1050</v>
      </c>
      <c r="D861" s="1" t="s">
        <v>4</v>
      </c>
      <c r="E861" s="1" t="s">
        <v>14</v>
      </c>
      <c r="F861" s="26">
        <v>0</v>
      </c>
      <c r="G861" s="26">
        <v>400</v>
      </c>
      <c r="H861" s="26">
        <v>400</v>
      </c>
      <c r="I861" s="26">
        <v>3151448.0000000005</v>
      </c>
      <c r="J861" s="26">
        <v>19600000</v>
      </c>
    </row>
    <row r="862" spans="1:10">
      <c r="A862" s="24">
        <v>860</v>
      </c>
      <c r="B862" s="24">
        <f t="shared" si="16"/>
        <v>677</v>
      </c>
      <c r="C862" s="1" t="s">
        <v>1051</v>
      </c>
      <c r="D862" s="1" t="s">
        <v>4</v>
      </c>
      <c r="E862" s="1" t="s">
        <v>14</v>
      </c>
      <c r="F862" s="26">
        <v>0</v>
      </c>
      <c r="G862" s="26">
        <v>400</v>
      </c>
      <c r="H862" s="26">
        <v>400</v>
      </c>
      <c r="I862" s="26">
        <v>3101552.0000000005</v>
      </c>
      <c r="J862" s="26">
        <v>17200000</v>
      </c>
    </row>
    <row r="863" spans="1:10">
      <c r="A863" s="24">
        <v>861</v>
      </c>
      <c r="B863" s="24">
        <f t="shared" si="16"/>
        <v>678</v>
      </c>
      <c r="C863" s="1" t="s">
        <v>1052</v>
      </c>
      <c r="D863" s="1" t="s">
        <v>4</v>
      </c>
      <c r="E863" s="1" t="s">
        <v>14</v>
      </c>
      <c r="F863" s="26">
        <v>0</v>
      </c>
      <c r="G863" s="26">
        <v>200</v>
      </c>
      <c r="H863" s="26">
        <v>200</v>
      </c>
      <c r="I863" s="26">
        <v>1900048</v>
      </c>
      <c r="J863" s="26">
        <v>9800000</v>
      </c>
    </row>
    <row r="864" spans="1:10">
      <c r="A864" s="24">
        <v>862</v>
      </c>
      <c r="B864" s="24">
        <f t="shared" si="16"/>
        <v>679</v>
      </c>
      <c r="C864" s="1" t="s">
        <v>775</v>
      </c>
      <c r="F864" s="26">
        <v>0</v>
      </c>
      <c r="G864" s="26">
        <v>2600</v>
      </c>
      <c r="H864" s="26">
        <v>2600</v>
      </c>
      <c r="I864" s="26">
        <v>20259880</v>
      </c>
      <c r="J864" s="26">
        <v>120200000</v>
      </c>
    </row>
    <row r="865" spans="1:10">
      <c r="A865" s="24">
        <v>863</v>
      </c>
      <c r="B865" s="24">
        <f t="shared" si="16"/>
        <v>680</v>
      </c>
      <c r="C865" s="1" t="s">
        <v>1083</v>
      </c>
      <c r="D865" s="1" t="s">
        <v>4</v>
      </c>
      <c r="E865" s="1" t="s">
        <v>14</v>
      </c>
      <c r="F865" s="26">
        <v>0</v>
      </c>
      <c r="G865" s="26">
        <v>500</v>
      </c>
      <c r="H865" s="26">
        <v>500</v>
      </c>
      <c r="I865" s="26">
        <v>4166666.666666666</v>
      </c>
      <c r="J865" s="26">
        <v>27500000</v>
      </c>
    </row>
    <row r="866" spans="1:10">
      <c r="A866" s="24">
        <v>864</v>
      </c>
      <c r="B866" s="24">
        <f t="shared" si="16"/>
        <v>681</v>
      </c>
      <c r="C866" s="1" t="s">
        <v>1084</v>
      </c>
      <c r="D866" s="1" t="s">
        <v>4</v>
      </c>
      <c r="E866" s="1" t="s">
        <v>14</v>
      </c>
      <c r="F866" s="26">
        <v>0</v>
      </c>
      <c r="G866" s="26">
        <v>300</v>
      </c>
      <c r="H866" s="26">
        <v>300</v>
      </c>
      <c r="I866" s="26">
        <v>2409090.9090909087</v>
      </c>
      <c r="J866" s="26">
        <v>15900000</v>
      </c>
    </row>
    <row r="867" spans="1:10">
      <c r="A867" s="24">
        <v>865</v>
      </c>
      <c r="B867" s="24">
        <f t="shared" si="16"/>
        <v>682</v>
      </c>
      <c r="C867" s="1" t="s">
        <v>1092</v>
      </c>
      <c r="D867" s="1" t="s">
        <v>4</v>
      </c>
      <c r="E867" s="1" t="s">
        <v>14</v>
      </c>
      <c r="F867" s="26">
        <v>0</v>
      </c>
      <c r="G867" s="26">
        <v>300</v>
      </c>
      <c r="H867" s="26">
        <v>300</v>
      </c>
      <c r="I867" s="26">
        <v>2954545.4545454546</v>
      </c>
      <c r="J867" s="26">
        <v>19500000</v>
      </c>
    </row>
    <row r="868" spans="1:10">
      <c r="A868" s="24">
        <v>866</v>
      </c>
      <c r="B868" s="24">
        <f t="shared" si="16"/>
        <v>683</v>
      </c>
      <c r="C868" s="1" t="s">
        <v>775</v>
      </c>
      <c r="F868" s="26">
        <v>0</v>
      </c>
      <c r="G868" s="26">
        <v>1100</v>
      </c>
      <c r="H868" s="26">
        <v>1100</v>
      </c>
      <c r="I868" s="26">
        <v>9530303.0303030293</v>
      </c>
      <c r="J868" s="26">
        <v>62900000</v>
      </c>
    </row>
    <row r="869" spans="1:10">
      <c r="A869" s="24">
        <v>867</v>
      </c>
      <c r="B869" s="24">
        <f t="shared" si="16"/>
        <v>684</v>
      </c>
      <c r="C869" s="1" t="s">
        <v>1381</v>
      </c>
      <c r="D869" s="1" t="s">
        <v>4</v>
      </c>
      <c r="E869" s="1" t="s">
        <v>14</v>
      </c>
      <c r="F869" s="26">
        <v>0</v>
      </c>
      <c r="G869" s="26">
        <v>300</v>
      </c>
      <c r="H869" s="26">
        <v>300</v>
      </c>
      <c r="I869" s="26">
        <v>4022727.2727272725</v>
      </c>
      <c r="J869" s="26">
        <v>17700000</v>
      </c>
    </row>
    <row r="870" spans="1:10">
      <c r="A870" s="24">
        <v>868</v>
      </c>
      <c r="B870" s="24">
        <f t="shared" si="16"/>
        <v>685</v>
      </c>
      <c r="C870" s="1" t="s">
        <v>1382</v>
      </c>
      <c r="D870" s="1" t="s">
        <v>4</v>
      </c>
      <c r="E870" s="1" t="s">
        <v>14</v>
      </c>
      <c r="F870" s="26">
        <v>0</v>
      </c>
      <c r="G870" s="26">
        <v>200</v>
      </c>
      <c r="H870" s="26">
        <v>200</v>
      </c>
      <c r="I870" s="26">
        <v>2499999.9999999995</v>
      </c>
      <c r="J870" s="26">
        <v>11000000</v>
      </c>
    </row>
    <row r="871" spans="1:10">
      <c r="A871" s="24">
        <v>869</v>
      </c>
      <c r="B871" s="24">
        <f t="shared" si="16"/>
        <v>686</v>
      </c>
      <c r="C871" s="1" t="s">
        <v>775</v>
      </c>
      <c r="F871" s="26">
        <v>0</v>
      </c>
      <c r="G871" s="26">
        <v>500</v>
      </c>
      <c r="H871" s="26">
        <v>500</v>
      </c>
      <c r="I871" s="26">
        <v>6522727.2727272715</v>
      </c>
      <c r="J871" s="26">
        <v>28700000</v>
      </c>
    </row>
    <row r="872" spans="1:10">
      <c r="A872" s="24">
        <v>870</v>
      </c>
      <c r="B872" s="24">
        <f t="shared" si="16"/>
        <v>687</v>
      </c>
      <c r="C872" s="1" t="s">
        <v>827</v>
      </c>
      <c r="D872" s="1" t="s">
        <v>4</v>
      </c>
      <c r="E872" s="1" t="s">
        <v>14</v>
      </c>
      <c r="F872" s="26">
        <v>0</v>
      </c>
      <c r="G872" s="26">
        <v>500</v>
      </c>
      <c r="H872" s="26">
        <v>500</v>
      </c>
      <c r="I872" s="26">
        <v>3399165.0000000005</v>
      </c>
      <c r="J872" s="26">
        <v>21500000</v>
      </c>
    </row>
    <row r="873" spans="1:10">
      <c r="A873" s="24">
        <v>871</v>
      </c>
      <c r="B873" s="24">
        <f t="shared" si="16"/>
        <v>688</v>
      </c>
      <c r="C873" s="1" t="s">
        <v>828</v>
      </c>
      <c r="D873" s="1" t="s">
        <v>4</v>
      </c>
      <c r="E873" s="1" t="s">
        <v>14</v>
      </c>
      <c r="F873" s="26">
        <v>0</v>
      </c>
      <c r="G873" s="26">
        <v>500</v>
      </c>
      <c r="H873" s="26">
        <v>500</v>
      </c>
      <c r="I873" s="26">
        <v>3399165.0000000005</v>
      </c>
      <c r="J873" s="26">
        <v>21500000</v>
      </c>
    </row>
    <row r="874" spans="1:10">
      <c r="A874" s="24">
        <v>872</v>
      </c>
      <c r="B874" s="24">
        <f t="shared" si="16"/>
        <v>689</v>
      </c>
      <c r="C874" s="1" t="s">
        <v>775</v>
      </c>
      <c r="F874" s="26">
        <v>0</v>
      </c>
      <c r="G874" s="26">
        <v>1000</v>
      </c>
      <c r="H874" s="26">
        <v>1000</v>
      </c>
      <c r="I874" s="26">
        <v>6798330.0000000009</v>
      </c>
      <c r="J874" s="26">
        <v>43000000</v>
      </c>
    </row>
    <row r="875" spans="1:10">
      <c r="A875" s="24">
        <v>873</v>
      </c>
      <c r="B875" s="24">
        <f t="shared" si="16"/>
        <v>690</v>
      </c>
      <c r="C875" s="1" t="s">
        <v>1365</v>
      </c>
      <c r="D875" s="1" t="s">
        <v>4</v>
      </c>
      <c r="E875" s="1" t="s">
        <v>14</v>
      </c>
      <c r="F875" s="26">
        <v>0</v>
      </c>
      <c r="G875" s="26">
        <v>700</v>
      </c>
      <c r="H875" s="26">
        <v>700</v>
      </c>
      <c r="I875" s="26">
        <v>4307799.0000000009</v>
      </c>
      <c r="J875" s="26">
        <v>30100000</v>
      </c>
    </row>
    <row r="876" spans="1:10">
      <c r="A876" s="24">
        <v>874</v>
      </c>
      <c r="B876" s="24">
        <f t="shared" si="16"/>
        <v>691</v>
      </c>
      <c r="C876" s="1" t="s">
        <v>1366</v>
      </c>
      <c r="D876" s="1" t="s">
        <v>4</v>
      </c>
      <c r="E876" s="1" t="s">
        <v>14</v>
      </c>
      <c r="F876" s="26">
        <v>0</v>
      </c>
      <c r="G876" s="26">
        <v>700</v>
      </c>
      <c r="H876" s="26">
        <v>700</v>
      </c>
      <c r="I876" s="26">
        <v>3723799.0000000005</v>
      </c>
      <c r="J876" s="26">
        <v>30100000</v>
      </c>
    </row>
    <row r="877" spans="1:10">
      <c r="A877" s="24">
        <v>875</v>
      </c>
      <c r="B877" s="24">
        <f t="shared" si="16"/>
        <v>692</v>
      </c>
      <c r="C877" s="1" t="s">
        <v>1367</v>
      </c>
      <c r="D877" s="1" t="s">
        <v>4</v>
      </c>
      <c r="E877" s="1" t="s">
        <v>14</v>
      </c>
      <c r="F877" s="26">
        <v>0</v>
      </c>
      <c r="G877" s="26">
        <v>500</v>
      </c>
      <c r="H877" s="26">
        <v>500</v>
      </c>
      <c r="I877" s="26">
        <v>3234915</v>
      </c>
      <c r="J877" s="26">
        <v>22500000</v>
      </c>
    </row>
    <row r="878" spans="1:10">
      <c r="A878" s="24">
        <v>876</v>
      </c>
      <c r="B878" s="24">
        <f t="shared" si="16"/>
        <v>693</v>
      </c>
      <c r="C878" s="1" t="s">
        <v>775</v>
      </c>
      <c r="F878" s="26">
        <v>0</v>
      </c>
      <c r="G878" s="26">
        <v>1900</v>
      </c>
      <c r="H878" s="26">
        <v>1900</v>
      </c>
      <c r="I878" s="26">
        <v>11266513.000000002</v>
      </c>
      <c r="J878" s="26">
        <v>82700000</v>
      </c>
    </row>
    <row r="879" spans="1:10">
      <c r="A879" s="24">
        <v>877</v>
      </c>
      <c r="B879" s="24">
        <f t="shared" si="16"/>
        <v>694</v>
      </c>
      <c r="C879" s="1" t="s">
        <v>1368</v>
      </c>
      <c r="D879" s="1" t="s">
        <v>4</v>
      </c>
      <c r="E879" s="1" t="s">
        <v>14</v>
      </c>
      <c r="F879" s="26">
        <v>0</v>
      </c>
      <c r="G879" s="26">
        <v>800</v>
      </c>
      <c r="H879" s="26">
        <v>800</v>
      </c>
      <c r="I879" s="26">
        <v>6381588.0000000009</v>
      </c>
      <c r="J879" s="26">
        <v>39200000</v>
      </c>
    </row>
    <row r="880" spans="1:10">
      <c r="A880" s="24">
        <v>878</v>
      </c>
      <c r="B880" s="24">
        <f t="shared" si="16"/>
        <v>695</v>
      </c>
      <c r="C880" s="1" t="s">
        <v>1369</v>
      </c>
      <c r="D880" s="1" t="s">
        <v>4</v>
      </c>
      <c r="E880" s="1" t="s">
        <v>14</v>
      </c>
      <c r="F880" s="26">
        <v>0</v>
      </c>
      <c r="G880" s="26">
        <v>800</v>
      </c>
      <c r="H880" s="26">
        <v>800</v>
      </c>
      <c r="I880" s="26">
        <v>6380188.0000000009</v>
      </c>
      <c r="J880" s="26">
        <v>39200000</v>
      </c>
    </row>
    <row r="881" spans="1:10">
      <c r="A881" s="24">
        <v>879</v>
      </c>
      <c r="B881" s="24">
        <f t="shared" si="16"/>
        <v>696</v>
      </c>
      <c r="C881" s="1" t="s">
        <v>775</v>
      </c>
      <c r="F881" s="26">
        <v>0</v>
      </c>
      <c r="G881" s="26">
        <v>1600</v>
      </c>
      <c r="H881" s="26">
        <v>1600</v>
      </c>
      <c r="I881" s="26">
        <v>12761776.000000002</v>
      </c>
      <c r="J881" s="26">
        <v>78400000</v>
      </c>
    </row>
    <row r="882" spans="1:10">
      <c r="A882" s="24">
        <v>880</v>
      </c>
      <c r="B882" s="24">
        <f t="shared" si="16"/>
        <v>697</v>
      </c>
      <c r="C882" s="1" t="s">
        <v>1370</v>
      </c>
      <c r="D882" s="1" t="s">
        <v>4</v>
      </c>
      <c r="E882" s="1" t="s">
        <v>14</v>
      </c>
      <c r="F882" s="26">
        <v>0</v>
      </c>
      <c r="G882" s="26">
        <v>1000</v>
      </c>
      <c r="H882" s="26">
        <v>1000</v>
      </c>
      <c r="I882" s="26">
        <v>11598260</v>
      </c>
      <c r="J882" s="26">
        <v>69000000</v>
      </c>
    </row>
    <row r="883" spans="1:10">
      <c r="A883" s="24">
        <v>881</v>
      </c>
      <c r="B883" s="24">
        <f t="shared" si="16"/>
        <v>698</v>
      </c>
      <c r="C883" s="1" t="s">
        <v>1371</v>
      </c>
      <c r="D883" s="1" t="s">
        <v>4</v>
      </c>
      <c r="E883" s="1" t="s">
        <v>14</v>
      </c>
      <c r="F883" s="26">
        <v>0</v>
      </c>
      <c r="G883" s="26">
        <v>1000</v>
      </c>
      <c r="H883" s="26">
        <v>1000</v>
      </c>
      <c r="I883" s="26">
        <v>11182780</v>
      </c>
      <c r="J883" s="26">
        <v>65000000</v>
      </c>
    </row>
    <row r="884" spans="1:10">
      <c r="A884" s="24">
        <v>882</v>
      </c>
      <c r="B884" s="24">
        <f t="shared" si="16"/>
        <v>699</v>
      </c>
      <c r="C884" s="1" t="s">
        <v>1372</v>
      </c>
      <c r="D884" s="1" t="s">
        <v>4</v>
      </c>
      <c r="E884" s="1" t="s">
        <v>14</v>
      </c>
      <c r="F884" s="26">
        <v>0</v>
      </c>
      <c r="G884" s="26">
        <v>1500</v>
      </c>
      <c r="H884" s="26">
        <v>1500</v>
      </c>
      <c r="I884" s="26">
        <v>16401170.000000002</v>
      </c>
      <c r="J884" s="26">
        <v>88500000</v>
      </c>
    </row>
    <row r="885" spans="1:10">
      <c r="A885" s="24">
        <v>883</v>
      </c>
      <c r="B885" s="24">
        <f t="shared" si="16"/>
        <v>700</v>
      </c>
      <c r="C885" s="1" t="s">
        <v>1373</v>
      </c>
      <c r="D885" s="1" t="s">
        <v>4</v>
      </c>
      <c r="E885" s="1" t="s">
        <v>14</v>
      </c>
      <c r="F885" s="26">
        <v>0</v>
      </c>
      <c r="G885" s="26">
        <v>1500</v>
      </c>
      <c r="H885" s="26">
        <v>1500</v>
      </c>
      <c r="I885" s="26">
        <v>15473140.000000002</v>
      </c>
      <c r="J885" s="26">
        <v>82500000</v>
      </c>
    </row>
    <row r="886" spans="1:10">
      <c r="A886" s="24">
        <v>884</v>
      </c>
      <c r="B886" s="24">
        <f t="shared" si="16"/>
        <v>701</v>
      </c>
      <c r="C886" s="1" t="s">
        <v>1374</v>
      </c>
      <c r="D886" s="1" t="s">
        <v>4</v>
      </c>
      <c r="E886" s="1" t="s">
        <v>14</v>
      </c>
      <c r="F886" s="26">
        <v>0</v>
      </c>
      <c r="G886" s="26">
        <v>800</v>
      </c>
      <c r="H886" s="26">
        <v>800</v>
      </c>
      <c r="I886" s="26">
        <v>8870646</v>
      </c>
      <c r="J886" s="26">
        <v>47200000</v>
      </c>
    </row>
    <row r="887" spans="1:10">
      <c r="A887" s="24">
        <v>885</v>
      </c>
      <c r="B887" s="24">
        <f t="shared" si="16"/>
        <v>702</v>
      </c>
      <c r="C887" s="1" t="s">
        <v>1375</v>
      </c>
      <c r="D887" s="1" t="s">
        <v>4</v>
      </c>
      <c r="E887" s="1" t="s">
        <v>14</v>
      </c>
      <c r="F887" s="26">
        <v>0</v>
      </c>
      <c r="G887" s="26">
        <v>800</v>
      </c>
      <c r="H887" s="26">
        <v>800</v>
      </c>
      <c r="I887" s="26">
        <v>8440758</v>
      </c>
      <c r="J887" s="26">
        <v>44000000</v>
      </c>
    </row>
    <row r="888" spans="1:10">
      <c r="A888" s="24">
        <v>886</v>
      </c>
      <c r="B888" s="24">
        <f t="shared" si="16"/>
        <v>703</v>
      </c>
      <c r="C888" s="1" t="s">
        <v>775</v>
      </c>
      <c r="F888" s="26">
        <v>0</v>
      </c>
      <c r="G888" s="26">
        <v>6600</v>
      </c>
      <c r="H888" s="26">
        <v>6600</v>
      </c>
      <c r="I888" s="26">
        <v>71966754</v>
      </c>
      <c r="J888" s="26">
        <v>396200000</v>
      </c>
    </row>
    <row r="889" spans="1:10">
      <c r="A889" s="24">
        <v>887</v>
      </c>
      <c r="B889" s="24">
        <f t="shared" si="16"/>
        <v>704</v>
      </c>
      <c r="C889" s="1" t="s">
        <v>1376</v>
      </c>
      <c r="D889" s="1" t="s">
        <v>4</v>
      </c>
      <c r="E889" s="1" t="s">
        <v>14</v>
      </c>
      <c r="F889" s="26">
        <v>0</v>
      </c>
      <c r="G889" s="26">
        <v>1000</v>
      </c>
      <c r="H889" s="26">
        <v>1000</v>
      </c>
      <c r="I889" s="26">
        <v>9001280</v>
      </c>
      <c r="J889" s="26">
        <v>49000000</v>
      </c>
    </row>
    <row r="890" spans="1:10">
      <c r="A890" s="24">
        <v>888</v>
      </c>
      <c r="B890" s="24">
        <f t="shared" si="16"/>
        <v>705</v>
      </c>
      <c r="C890" s="1" t="s">
        <v>1377</v>
      </c>
      <c r="D890" s="1" t="s">
        <v>4</v>
      </c>
      <c r="E890" s="1" t="s">
        <v>14</v>
      </c>
      <c r="F890" s="26">
        <v>0</v>
      </c>
      <c r="G890" s="26">
        <v>1000</v>
      </c>
      <c r="H890" s="26">
        <v>1000</v>
      </c>
      <c r="I890" s="26">
        <v>9001280</v>
      </c>
      <c r="J890" s="26">
        <v>43000000</v>
      </c>
    </row>
    <row r="891" spans="1:10">
      <c r="A891" s="24">
        <v>889</v>
      </c>
      <c r="B891" s="24">
        <f t="shared" si="16"/>
        <v>706</v>
      </c>
      <c r="C891" s="1" t="s">
        <v>775</v>
      </c>
      <c r="F891" s="26">
        <v>0</v>
      </c>
      <c r="G891" s="26">
        <v>2000</v>
      </c>
      <c r="H891" s="26">
        <v>2000</v>
      </c>
      <c r="I891" s="26">
        <v>18002560</v>
      </c>
      <c r="J891" s="26">
        <v>92000000</v>
      </c>
    </row>
    <row r="892" spans="1:10">
      <c r="A892" s="24">
        <v>890</v>
      </c>
      <c r="B892" s="24">
        <f t="shared" si="16"/>
        <v>707</v>
      </c>
      <c r="C892" s="1" t="s">
        <v>974</v>
      </c>
      <c r="D892" s="1" t="s">
        <v>4</v>
      </c>
      <c r="E892" s="1" t="s">
        <v>14</v>
      </c>
      <c r="F892" s="26">
        <v>0</v>
      </c>
      <c r="G892" s="26">
        <v>2000</v>
      </c>
      <c r="H892" s="26">
        <v>2000</v>
      </c>
      <c r="I892" s="26">
        <v>12518380.000000002</v>
      </c>
      <c r="J892" s="26">
        <v>98000000</v>
      </c>
    </row>
    <row r="893" spans="1:10">
      <c r="A893" s="24">
        <v>891</v>
      </c>
      <c r="B893" s="24">
        <f t="shared" si="16"/>
        <v>708</v>
      </c>
      <c r="C893" s="1" t="s">
        <v>1378</v>
      </c>
      <c r="D893" s="1" t="s">
        <v>4</v>
      </c>
      <c r="E893" s="1" t="s">
        <v>14</v>
      </c>
      <c r="F893" s="26">
        <v>0</v>
      </c>
      <c r="G893" s="26">
        <v>2000</v>
      </c>
      <c r="H893" s="26">
        <v>2000</v>
      </c>
      <c r="I893" s="26">
        <v>12144160.000000002</v>
      </c>
      <c r="J893" s="26">
        <v>86000000</v>
      </c>
    </row>
    <row r="894" spans="1:10">
      <c r="A894" s="24">
        <v>892</v>
      </c>
      <c r="B894" s="24">
        <f t="shared" si="16"/>
        <v>709</v>
      </c>
      <c r="C894" s="1" t="s">
        <v>775</v>
      </c>
      <c r="F894" s="26">
        <v>0</v>
      </c>
      <c r="G894" s="26">
        <v>4000</v>
      </c>
      <c r="H894" s="26">
        <v>4000</v>
      </c>
      <c r="I894" s="26">
        <v>24662540.000000004</v>
      </c>
      <c r="J894" s="26">
        <v>184000000</v>
      </c>
    </row>
    <row r="895" spans="1:10">
      <c r="A895" s="24">
        <v>893</v>
      </c>
      <c r="B895" s="24">
        <f t="shared" si="16"/>
        <v>710</v>
      </c>
      <c r="C895" s="1" t="s">
        <v>1379</v>
      </c>
      <c r="D895" s="1" t="s">
        <v>4</v>
      </c>
      <c r="E895" s="1" t="s">
        <v>14</v>
      </c>
      <c r="F895" s="26">
        <v>0</v>
      </c>
      <c r="G895" s="26">
        <v>1000</v>
      </c>
      <c r="H895" s="26">
        <v>1000</v>
      </c>
      <c r="I895" s="26">
        <v>6673590</v>
      </c>
      <c r="J895" s="26">
        <v>45000000</v>
      </c>
    </row>
    <row r="896" spans="1:10">
      <c r="A896" s="24">
        <v>894</v>
      </c>
      <c r="B896" s="24">
        <f t="shared" si="16"/>
        <v>711</v>
      </c>
      <c r="C896" s="1" t="s">
        <v>775</v>
      </c>
      <c r="F896" s="26">
        <v>0</v>
      </c>
      <c r="G896" s="26">
        <v>1000</v>
      </c>
      <c r="H896" s="26">
        <v>1000</v>
      </c>
      <c r="I896" s="26">
        <v>6673590</v>
      </c>
      <c r="J896" s="26">
        <v>45000000</v>
      </c>
    </row>
    <row r="897" spans="1:10">
      <c r="A897" s="24">
        <v>895</v>
      </c>
      <c r="B897" s="24">
        <f t="shared" si="16"/>
        <v>712</v>
      </c>
      <c r="C897" s="1" t="s">
        <v>1380</v>
      </c>
      <c r="D897" s="1" t="s">
        <v>4</v>
      </c>
      <c r="E897" s="1" t="s">
        <v>14</v>
      </c>
      <c r="F897" s="26">
        <v>0</v>
      </c>
      <c r="G897" s="26">
        <v>700</v>
      </c>
      <c r="H897" s="26">
        <v>700</v>
      </c>
      <c r="I897" s="26">
        <v>7795454.5454545449</v>
      </c>
      <c r="J897" s="26">
        <v>34300000</v>
      </c>
    </row>
    <row r="898" spans="1:10">
      <c r="A898" s="24">
        <v>896</v>
      </c>
      <c r="B898" s="24">
        <f t="shared" si="16"/>
        <v>713</v>
      </c>
      <c r="C898" s="1" t="s">
        <v>775</v>
      </c>
      <c r="F898" s="26">
        <v>0</v>
      </c>
      <c r="G898" s="26">
        <v>700</v>
      </c>
      <c r="H898" s="26">
        <v>700</v>
      </c>
      <c r="I898" s="26">
        <v>7795454.5454545449</v>
      </c>
      <c r="J898" s="26">
        <v>34300000</v>
      </c>
    </row>
    <row r="899" spans="1:10">
      <c r="A899" s="24">
        <v>897</v>
      </c>
      <c r="B899" s="24">
        <f t="shared" ref="B899:B962" si="17">IF(C898=C899,B898,B898+1)</f>
        <v>714</v>
      </c>
      <c r="C899" s="1" t="s">
        <v>1480</v>
      </c>
      <c r="D899" s="1" t="s">
        <v>7</v>
      </c>
      <c r="E899" s="1" t="s">
        <v>14</v>
      </c>
      <c r="F899" s="26">
        <v>0</v>
      </c>
      <c r="G899" s="26">
        <v>250</v>
      </c>
      <c r="H899" s="26">
        <v>250</v>
      </c>
      <c r="I899" s="26">
        <v>8516187.5</v>
      </c>
      <c r="J899" s="26">
        <v>39750000</v>
      </c>
    </row>
    <row r="900" spans="1:10">
      <c r="A900" s="24">
        <v>898</v>
      </c>
      <c r="B900" s="24">
        <f t="shared" si="17"/>
        <v>714</v>
      </c>
      <c r="C900" s="1" t="s">
        <v>1480</v>
      </c>
      <c r="D900" s="1" t="s">
        <v>8</v>
      </c>
      <c r="E900" s="1" t="s">
        <v>14</v>
      </c>
      <c r="F900" s="26">
        <v>0</v>
      </c>
      <c r="G900" s="26">
        <v>300</v>
      </c>
      <c r="H900" s="26">
        <v>300</v>
      </c>
      <c r="I900" s="26">
        <v>10219425</v>
      </c>
      <c r="J900" s="26">
        <v>47700000</v>
      </c>
    </row>
    <row r="901" spans="1:10">
      <c r="A901" s="24">
        <v>899</v>
      </c>
      <c r="B901" s="24">
        <f t="shared" si="17"/>
        <v>714</v>
      </c>
      <c r="C901" s="1" t="s">
        <v>1480</v>
      </c>
      <c r="D901" s="1" t="s">
        <v>9</v>
      </c>
      <c r="E901" s="1" t="s">
        <v>14</v>
      </c>
      <c r="F901" s="26">
        <v>0</v>
      </c>
      <c r="G901" s="26">
        <v>250</v>
      </c>
      <c r="H901" s="26">
        <v>250</v>
      </c>
      <c r="I901" s="26">
        <v>8516187.5</v>
      </c>
      <c r="J901" s="26">
        <v>39750000</v>
      </c>
    </row>
    <row r="902" spans="1:10">
      <c r="A902" s="24">
        <v>900</v>
      </c>
      <c r="B902" s="24">
        <f t="shared" si="17"/>
        <v>715</v>
      </c>
      <c r="C902" s="1" t="s">
        <v>1385</v>
      </c>
      <c r="D902" s="1" t="s">
        <v>6</v>
      </c>
      <c r="E902" s="1" t="s">
        <v>14</v>
      </c>
      <c r="F902" s="26">
        <v>0</v>
      </c>
      <c r="G902" s="26">
        <v>250</v>
      </c>
      <c r="H902" s="26">
        <v>250</v>
      </c>
      <c r="I902" s="26">
        <v>6798125</v>
      </c>
      <c r="J902" s="26">
        <v>34750000</v>
      </c>
    </row>
    <row r="903" spans="1:10">
      <c r="A903" s="24">
        <v>901</v>
      </c>
      <c r="B903" s="24">
        <f t="shared" si="17"/>
        <v>715</v>
      </c>
      <c r="C903" s="1" t="s">
        <v>1385</v>
      </c>
      <c r="D903" s="1" t="s">
        <v>8</v>
      </c>
      <c r="E903" s="1" t="s">
        <v>14</v>
      </c>
      <c r="F903" s="26">
        <v>0</v>
      </c>
      <c r="G903" s="26">
        <v>300</v>
      </c>
      <c r="H903" s="26">
        <v>300</v>
      </c>
      <c r="I903" s="26">
        <v>8157750</v>
      </c>
      <c r="J903" s="26">
        <v>41700000</v>
      </c>
    </row>
    <row r="904" spans="1:10">
      <c r="A904" s="24">
        <v>902</v>
      </c>
      <c r="B904" s="24">
        <f t="shared" si="17"/>
        <v>715</v>
      </c>
      <c r="C904" s="1" t="s">
        <v>1385</v>
      </c>
      <c r="D904" s="1" t="s">
        <v>10</v>
      </c>
      <c r="E904" s="1" t="s">
        <v>14</v>
      </c>
      <c r="F904" s="26">
        <v>0</v>
      </c>
      <c r="G904" s="26">
        <v>250</v>
      </c>
      <c r="H904" s="26">
        <v>250</v>
      </c>
      <c r="I904" s="26">
        <v>6798125</v>
      </c>
      <c r="J904" s="26">
        <v>34750000</v>
      </c>
    </row>
    <row r="905" spans="1:10">
      <c r="A905" s="24">
        <v>903</v>
      </c>
      <c r="B905" s="24">
        <f t="shared" si="17"/>
        <v>716</v>
      </c>
      <c r="C905" s="1" t="s">
        <v>775</v>
      </c>
      <c r="F905" s="26">
        <v>0</v>
      </c>
      <c r="G905" s="26">
        <v>1600</v>
      </c>
      <c r="H905" s="26">
        <v>1600</v>
      </c>
      <c r="I905" s="26">
        <v>49005800</v>
      </c>
      <c r="J905" s="26">
        <v>238400000</v>
      </c>
    </row>
    <row r="906" spans="1:10">
      <c r="A906" s="24">
        <v>904</v>
      </c>
      <c r="B906" s="24">
        <f t="shared" si="17"/>
        <v>717</v>
      </c>
      <c r="C906" s="1" t="s">
        <v>1386</v>
      </c>
      <c r="D906" s="1" t="s">
        <v>7</v>
      </c>
      <c r="E906" s="1" t="s">
        <v>14</v>
      </c>
      <c r="F906" s="26">
        <v>0</v>
      </c>
      <c r="G906" s="26">
        <v>400</v>
      </c>
      <c r="H906" s="26">
        <v>400</v>
      </c>
      <c r="I906" s="26">
        <v>8808000</v>
      </c>
      <c r="J906" s="26">
        <v>35600000</v>
      </c>
    </row>
    <row r="907" spans="1:10">
      <c r="A907" s="24">
        <v>905</v>
      </c>
      <c r="B907" s="24">
        <f t="shared" si="17"/>
        <v>717</v>
      </c>
      <c r="C907" s="1" t="s">
        <v>1386</v>
      </c>
      <c r="D907" s="1" t="s">
        <v>8</v>
      </c>
      <c r="E907" s="1" t="s">
        <v>14</v>
      </c>
      <c r="F907" s="26">
        <v>0</v>
      </c>
      <c r="G907" s="26">
        <v>300</v>
      </c>
      <c r="H907" s="26">
        <v>300</v>
      </c>
      <c r="I907" s="26">
        <v>6606000</v>
      </c>
      <c r="J907" s="26">
        <v>26700000</v>
      </c>
    </row>
    <row r="908" spans="1:10">
      <c r="A908" s="24">
        <v>906</v>
      </c>
      <c r="B908" s="24">
        <f t="shared" si="17"/>
        <v>717</v>
      </c>
      <c r="C908" s="1" t="s">
        <v>1386</v>
      </c>
      <c r="D908" s="1" t="s">
        <v>9</v>
      </c>
      <c r="E908" s="1" t="s">
        <v>14</v>
      </c>
      <c r="F908" s="26">
        <v>0</v>
      </c>
      <c r="G908" s="26">
        <v>300</v>
      </c>
      <c r="H908" s="26">
        <v>300</v>
      </c>
      <c r="I908" s="26">
        <v>6606000</v>
      </c>
      <c r="J908" s="26">
        <v>26700000</v>
      </c>
    </row>
    <row r="909" spans="1:10">
      <c r="A909" s="24">
        <v>907</v>
      </c>
      <c r="B909" s="24">
        <f t="shared" si="17"/>
        <v>718</v>
      </c>
      <c r="C909" s="1" t="s">
        <v>1387</v>
      </c>
      <c r="D909" s="1" t="s">
        <v>6</v>
      </c>
      <c r="E909" s="1" t="s">
        <v>14</v>
      </c>
      <c r="F909" s="26">
        <v>0</v>
      </c>
      <c r="G909" s="26">
        <v>300</v>
      </c>
      <c r="H909" s="26">
        <v>300</v>
      </c>
      <c r="I909" s="26">
        <v>5736000</v>
      </c>
      <c r="J909" s="26">
        <v>23700000</v>
      </c>
    </row>
    <row r="910" spans="1:10">
      <c r="A910" s="24">
        <v>908</v>
      </c>
      <c r="B910" s="24">
        <f t="shared" si="17"/>
        <v>718</v>
      </c>
      <c r="C910" s="1" t="s">
        <v>1387</v>
      </c>
      <c r="D910" s="1" t="s">
        <v>8</v>
      </c>
      <c r="E910" s="1" t="s">
        <v>14</v>
      </c>
      <c r="F910" s="26">
        <v>0</v>
      </c>
      <c r="G910" s="26">
        <v>400</v>
      </c>
      <c r="H910" s="26">
        <v>400</v>
      </c>
      <c r="I910" s="26">
        <v>7648000</v>
      </c>
      <c r="J910" s="26">
        <v>31600000</v>
      </c>
    </row>
    <row r="911" spans="1:10">
      <c r="A911" s="24">
        <v>909</v>
      </c>
      <c r="B911" s="24">
        <f t="shared" si="17"/>
        <v>718</v>
      </c>
      <c r="C911" s="1" t="s">
        <v>1387</v>
      </c>
      <c r="D911" s="1" t="s">
        <v>10</v>
      </c>
      <c r="E911" s="1" t="s">
        <v>14</v>
      </c>
      <c r="F911" s="26">
        <v>0</v>
      </c>
      <c r="G911" s="26">
        <v>300</v>
      </c>
      <c r="H911" s="26">
        <v>300</v>
      </c>
      <c r="I911" s="26">
        <v>5736000</v>
      </c>
      <c r="J911" s="26">
        <v>23700000</v>
      </c>
    </row>
    <row r="912" spans="1:10">
      <c r="A912" s="24">
        <v>910</v>
      </c>
      <c r="B912" s="24">
        <f t="shared" si="17"/>
        <v>719</v>
      </c>
      <c r="C912" s="1" t="s">
        <v>1388</v>
      </c>
      <c r="D912" s="1" t="s">
        <v>7</v>
      </c>
      <c r="E912" s="1" t="s">
        <v>14</v>
      </c>
      <c r="F912" s="26">
        <v>0</v>
      </c>
      <c r="G912" s="26">
        <v>400</v>
      </c>
      <c r="H912" s="26">
        <v>400</v>
      </c>
      <c r="I912" s="26">
        <v>9208000</v>
      </c>
      <c r="J912" s="26">
        <v>35600000</v>
      </c>
    </row>
    <row r="913" spans="1:10">
      <c r="A913" s="24">
        <v>911</v>
      </c>
      <c r="B913" s="24">
        <f t="shared" si="17"/>
        <v>719</v>
      </c>
      <c r="C913" s="1" t="s">
        <v>1388</v>
      </c>
      <c r="D913" s="1" t="s">
        <v>8</v>
      </c>
      <c r="E913" s="1" t="s">
        <v>14</v>
      </c>
      <c r="F913" s="26">
        <v>0</v>
      </c>
      <c r="G913" s="26">
        <v>300</v>
      </c>
      <c r="H913" s="26">
        <v>300</v>
      </c>
      <c r="I913" s="26">
        <v>6906000</v>
      </c>
      <c r="J913" s="26">
        <v>26700000</v>
      </c>
    </row>
    <row r="914" spans="1:10">
      <c r="A914" s="24">
        <v>912</v>
      </c>
      <c r="B914" s="24">
        <f t="shared" si="17"/>
        <v>719</v>
      </c>
      <c r="C914" s="1" t="s">
        <v>1388</v>
      </c>
      <c r="D914" s="1" t="s">
        <v>9</v>
      </c>
      <c r="E914" s="1" t="s">
        <v>14</v>
      </c>
      <c r="F914" s="26">
        <v>0</v>
      </c>
      <c r="G914" s="26">
        <v>300</v>
      </c>
      <c r="H914" s="26">
        <v>300</v>
      </c>
      <c r="I914" s="26">
        <v>6906000</v>
      </c>
      <c r="J914" s="26">
        <v>26700000</v>
      </c>
    </row>
    <row r="915" spans="1:10">
      <c r="A915" s="24">
        <v>913</v>
      </c>
      <c r="B915" s="24">
        <f t="shared" si="17"/>
        <v>720</v>
      </c>
      <c r="C915" s="1" t="s">
        <v>1389</v>
      </c>
      <c r="D915" s="1" t="s">
        <v>6</v>
      </c>
      <c r="E915" s="1" t="s">
        <v>14</v>
      </c>
      <c r="F915" s="26">
        <v>0</v>
      </c>
      <c r="G915" s="26">
        <v>300</v>
      </c>
      <c r="H915" s="26">
        <v>300</v>
      </c>
      <c r="I915" s="26">
        <v>6006000</v>
      </c>
      <c r="J915" s="26">
        <v>23700000</v>
      </c>
    </row>
    <row r="916" spans="1:10">
      <c r="A916" s="24">
        <v>914</v>
      </c>
      <c r="B916" s="24">
        <f t="shared" si="17"/>
        <v>720</v>
      </c>
      <c r="C916" s="1" t="s">
        <v>1389</v>
      </c>
      <c r="D916" s="1" t="s">
        <v>8</v>
      </c>
      <c r="E916" s="1" t="s">
        <v>14</v>
      </c>
      <c r="F916" s="26">
        <v>0</v>
      </c>
      <c r="G916" s="26">
        <v>400</v>
      </c>
      <c r="H916" s="26">
        <v>400</v>
      </c>
      <c r="I916" s="26">
        <v>8008000</v>
      </c>
      <c r="J916" s="26">
        <v>31600000</v>
      </c>
    </row>
    <row r="917" spans="1:10">
      <c r="A917" s="24">
        <v>915</v>
      </c>
      <c r="B917" s="24">
        <f t="shared" si="17"/>
        <v>720</v>
      </c>
      <c r="C917" s="1" t="s">
        <v>1389</v>
      </c>
      <c r="D917" s="1" t="s">
        <v>10</v>
      </c>
      <c r="E917" s="1" t="s">
        <v>14</v>
      </c>
      <c r="F917" s="26">
        <v>0</v>
      </c>
      <c r="G917" s="26">
        <v>300</v>
      </c>
      <c r="H917" s="26">
        <v>300</v>
      </c>
      <c r="I917" s="26">
        <v>6006000</v>
      </c>
      <c r="J917" s="26">
        <v>23700000</v>
      </c>
    </row>
    <row r="918" spans="1:10">
      <c r="A918" s="24">
        <v>916</v>
      </c>
      <c r="B918" s="24">
        <f t="shared" si="17"/>
        <v>721</v>
      </c>
      <c r="C918" s="1" t="s">
        <v>775</v>
      </c>
      <c r="F918" s="26">
        <v>0</v>
      </c>
      <c r="G918" s="26">
        <v>4000</v>
      </c>
      <c r="H918" s="26">
        <v>4000</v>
      </c>
      <c r="I918" s="26">
        <v>84180000</v>
      </c>
      <c r="J918" s="26">
        <v>336000000</v>
      </c>
    </row>
    <row r="919" spans="1:10">
      <c r="A919" s="24">
        <v>917</v>
      </c>
      <c r="B919" s="24">
        <f t="shared" si="17"/>
        <v>722</v>
      </c>
      <c r="C919" s="1" t="s">
        <v>1390</v>
      </c>
      <c r="D919" s="1" t="s">
        <v>4</v>
      </c>
      <c r="E919" s="1" t="s">
        <v>14</v>
      </c>
      <c r="F919" s="26">
        <v>0</v>
      </c>
      <c r="G919" s="26">
        <v>1000</v>
      </c>
      <c r="H919" s="26">
        <v>1000</v>
      </c>
      <c r="I919" s="26">
        <v>13409090.909090908</v>
      </c>
      <c r="J919" s="26">
        <v>59000000</v>
      </c>
    </row>
    <row r="920" spans="1:10">
      <c r="A920" s="24">
        <v>918</v>
      </c>
      <c r="B920" s="24">
        <f t="shared" si="17"/>
        <v>723</v>
      </c>
      <c r="C920" s="1" t="s">
        <v>775</v>
      </c>
      <c r="F920" s="26">
        <v>0</v>
      </c>
      <c r="G920" s="26">
        <v>1000</v>
      </c>
      <c r="H920" s="26">
        <v>1000</v>
      </c>
      <c r="I920" s="26">
        <v>13409090.909090908</v>
      </c>
      <c r="J920" s="26">
        <v>59000000</v>
      </c>
    </row>
    <row r="921" spans="1:10">
      <c r="A921" s="24">
        <v>919</v>
      </c>
      <c r="B921" s="24">
        <f t="shared" si="17"/>
        <v>724</v>
      </c>
      <c r="C921" s="1" t="s">
        <v>1391</v>
      </c>
      <c r="D921" s="1" t="s">
        <v>4</v>
      </c>
      <c r="E921" s="1" t="s">
        <v>14</v>
      </c>
      <c r="F921" s="26">
        <v>0</v>
      </c>
      <c r="G921" s="26">
        <v>3000</v>
      </c>
      <c r="H921" s="26">
        <v>3000</v>
      </c>
      <c r="I921" s="26">
        <v>12215040</v>
      </c>
      <c r="J921" s="26">
        <v>147000000</v>
      </c>
    </row>
    <row r="922" spans="1:10">
      <c r="A922" s="24">
        <v>920</v>
      </c>
      <c r="B922" s="24">
        <f t="shared" si="17"/>
        <v>725</v>
      </c>
      <c r="C922" s="1" t="s">
        <v>1392</v>
      </c>
      <c r="D922" s="1" t="s">
        <v>2</v>
      </c>
      <c r="E922" s="1" t="s">
        <v>14</v>
      </c>
      <c r="F922" s="26">
        <v>0</v>
      </c>
      <c r="G922" s="26">
        <v>1500</v>
      </c>
      <c r="H922" s="26">
        <v>1500</v>
      </c>
      <c r="I922" s="26">
        <v>5673300.0000000009</v>
      </c>
      <c r="J922" s="26">
        <v>73500000</v>
      </c>
    </row>
    <row r="923" spans="1:10">
      <c r="A923" s="24">
        <v>921</v>
      </c>
      <c r="B923" s="24">
        <f t="shared" si="17"/>
        <v>725</v>
      </c>
      <c r="C923" s="1" t="s">
        <v>1392</v>
      </c>
      <c r="D923" s="1" t="s">
        <v>3</v>
      </c>
      <c r="E923" s="1" t="s">
        <v>14</v>
      </c>
      <c r="F923" s="26">
        <v>0</v>
      </c>
      <c r="G923" s="26">
        <v>1500</v>
      </c>
      <c r="H923" s="26">
        <v>1500</v>
      </c>
      <c r="I923" s="26">
        <v>5673300.0000000009</v>
      </c>
      <c r="J923" s="26">
        <v>73500000</v>
      </c>
    </row>
    <row r="924" spans="1:10">
      <c r="A924" s="24">
        <v>922</v>
      </c>
      <c r="B924" s="24">
        <f t="shared" si="17"/>
        <v>725</v>
      </c>
      <c r="C924" s="1" t="s">
        <v>1392</v>
      </c>
      <c r="D924" s="1" t="s">
        <v>5</v>
      </c>
      <c r="E924" s="1" t="s">
        <v>14</v>
      </c>
      <c r="F924" s="26">
        <v>0</v>
      </c>
      <c r="G924" s="26">
        <v>500</v>
      </c>
      <c r="H924" s="26">
        <v>500</v>
      </c>
      <c r="I924" s="26">
        <v>1891100.0000000005</v>
      </c>
      <c r="J924" s="26">
        <v>24500000</v>
      </c>
    </row>
    <row r="925" spans="1:10">
      <c r="A925" s="24">
        <v>923</v>
      </c>
      <c r="B925" s="24">
        <f t="shared" si="17"/>
        <v>726</v>
      </c>
      <c r="C925" s="1" t="s">
        <v>775</v>
      </c>
      <c r="F925" s="26">
        <v>0</v>
      </c>
      <c r="G925" s="26">
        <v>6500</v>
      </c>
      <c r="H925" s="26">
        <v>6500</v>
      </c>
      <c r="I925" s="26">
        <v>25452740</v>
      </c>
      <c r="J925" s="26">
        <v>318500000</v>
      </c>
    </row>
    <row r="926" spans="1:10">
      <c r="A926" s="24">
        <v>924</v>
      </c>
      <c r="B926" s="24">
        <f t="shared" si="17"/>
        <v>727</v>
      </c>
      <c r="C926" s="1" t="s">
        <v>1393</v>
      </c>
      <c r="D926" s="1" t="s">
        <v>2</v>
      </c>
      <c r="E926" s="1" t="s">
        <v>14</v>
      </c>
      <c r="F926" s="26">
        <v>0</v>
      </c>
      <c r="G926" s="26">
        <v>800</v>
      </c>
      <c r="H926" s="26">
        <v>800</v>
      </c>
      <c r="I926" s="26">
        <v>3025760.0000000005</v>
      </c>
      <c r="J926" s="26">
        <v>39200000</v>
      </c>
    </row>
    <row r="927" spans="1:10">
      <c r="A927" s="24">
        <v>925</v>
      </c>
      <c r="B927" s="24">
        <f t="shared" si="17"/>
        <v>727</v>
      </c>
      <c r="C927" s="1" t="s">
        <v>1393</v>
      </c>
      <c r="D927" s="1" t="s">
        <v>3</v>
      </c>
      <c r="E927" s="1" t="s">
        <v>14</v>
      </c>
      <c r="F927" s="26">
        <v>0</v>
      </c>
      <c r="G927" s="26">
        <v>500</v>
      </c>
      <c r="H927" s="26">
        <v>500</v>
      </c>
      <c r="I927" s="26">
        <v>1891100.0000000005</v>
      </c>
      <c r="J927" s="26">
        <v>24500000</v>
      </c>
    </row>
    <row r="928" spans="1:10">
      <c r="A928" s="24">
        <v>926</v>
      </c>
      <c r="B928" s="24">
        <f t="shared" si="17"/>
        <v>727</v>
      </c>
      <c r="C928" s="1" t="s">
        <v>1393</v>
      </c>
      <c r="D928" s="1" t="s">
        <v>5</v>
      </c>
      <c r="E928" s="1" t="s">
        <v>14</v>
      </c>
      <c r="F928" s="26">
        <v>0</v>
      </c>
      <c r="G928" s="26">
        <v>200</v>
      </c>
      <c r="H928" s="26">
        <v>200</v>
      </c>
      <c r="I928" s="26">
        <v>756440.00000000012</v>
      </c>
      <c r="J928" s="26">
        <v>9800000</v>
      </c>
    </row>
    <row r="929" spans="1:10">
      <c r="A929" s="24">
        <v>927</v>
      </c>
      <c r="B929" s="24">
        <f t="shared" si="17"/>
        <v>728</v>
      </c>
      <c r="C929" s="1" t="s">
        <v>1394</v>
      </c>
      <c r="D929" s="1" t="s">
        <v>2</v>
      </c>
      <c r="E929" s="1" t="s">
        <v>14</v>
      </c>
      <c r="F929" s="26">
        <v>0</v>
      </c>
      <c r="G929" s="26">
        <v>800</v>
      </c>
      <c r="H929" s="26">
        <v>800</v>
      </c>
      <c r="I929" s="26">
        <v>3025760.0000000005</v>
      </c>
      <c r="J929" s="26">
        <v>39200000</v>
      </c>
    </row>
    <row r="930" spans="1:10">
      <c r="A930" s="24">
        <v>928</v>
      </c>
      <c r="B930" s="24">
        <f t="shared" si="17"/>
        <v>728</v>
      </c>
      <c r="C930" s="1" t="s">
        <v>1394</v>
      </c>
      <c r="D930" s="1" t="s">
        <v>3</v>
      </c>
      <c r="E930" s="1" t="s">
        <v>14</v>
      </c>
      <c r="F930" s="26">
        <v>0</v>
      </c>
      <c r="G930" s="26">
        <v>1000</v>
      </c>
      <c r="H930" s="26">
        <v>1000</v>
      </c>
      <c r="I930" s="26">
        <v>3782200.0000000009</v>
      </c>
      <c r="J930" s="26">
        <v>49000000</v>
      </c>
    </row>
    <row r="931" spans="1:10">
      <c r="A931" s="24">
        <v>929</v>
      </c>
      <c r="B931" s="24">
        <f t="shared" si="17"/>
        <v>729</v>
      </c>
      <c r="C931" s="1" t="s">
        <v>1395</v>
      </c>
      <c r="D931" s="1" t="s">
        <v>2</v>
      </c>
      <c r="E931" s="1" t="s">
        <v>14</v>
      </c>
      <c r="F931" s="26">
        <v>0</v>
      </c>
      <c r="G931" s="26">
        <v>500</v>
      </c>
      <c r="H931" s="26">
        <v>500</v>
      </c>
      <c r="I931" s="26">
        <v>1661620.0000000002</v>
      </c>
      <c r="J931" s="26">
        <v>24500000</v>
      </c>
    </row>
    <row r="932" spans="1:10">
      <c r="A932" s="24">
        <v>930</v>
      </c>
      <c r="B932" s="24">
        <f t="shared" si="17"/>
        <v>729</v>
      </c>
      <c r="C932" s="1" t="s">
        <v>1395</v>
      </c>
      <c r="D932" s="1" t="s">
        <v>3</v>
      </c>
      <c r="E932" s="1" t="s">
        <v>14</v>
      </c>
      <c r="F932" s="26">
        <v>0</v>
      </c>
      <c r="G932" s="26">
        <v>800</v>
      </c>
      <c r="H932" s="26">
        <v>800</v>
      </c>
      <c r="I932" s="26">
        <v>2658592.0000000005</v>
      </c>
      <c r="J932" s="26">
        <v>39200000</v>
      </c>
    </row>
    <row r="933" spans="1:10">
      <c r="A933" s="24">
        <v>931</v>
      </c>
      <c r="B933" s="24">
        <f t="shared" si="17"/>
        <v>729</v>
      </c>
      <c r="C933" s="1" t="s">
        <v>1395</v>
      </c>
      <c r="D933" s="1" t="s">
        <v>5</v>
      </c>
      <c r="E933" s="1" t="s">
        <v>14</v>
      </c>
      <c r="F933" s="26">
        <v>0</v>
      </c>
      <c r="G933" s="26">
        <v>200</v>
      </c>
      <c r="H933" s="26">
        <v>200</v>
      </c>
      <c r="I933" s="26">
        <v>664648.00000000012</v>
      </c>
      <c r="J933" s="26">
        <v>9800000</v>
      </c>
    </row>
    <row r="934" spans="1:10">
      <c r="A934" s="24">
        <v>932</v>
      </c>
      <c r="B934" s="24">
        <f t="shared" si="17"/>
        <v>730</v>
      </c>
      <c r="C934" s="1" t="s">
        <v>775</v>
      </c>
      <c r="F934" s="26">
        <v>0</v>
      </c>
      <c r="G934" s="26">
        <v>4800</v>
      </c>
      <c r="H934" s="26">
        <v>4800</v>
      </c>
      <c r="I934" s="26">
        <v>17466120.000000004</v>
      </c>
      <c r="J934" s="26">
        <v>235200000</v>
      </c>
    </row>
    <row r="935" spans="1:10">
      <c r="A935" s="24">
        <v>933</v>
      </c>
      <c r="B935" s="24">
        <f t="shared" si="17"/>
        <v>731</v>
      </c>
      <c r="C935" s="1" t="s">
        <v>1396</v>
      </c>
      <c r="D935" s="1" t="s">
        <v>4</v>
      </c>
      <c r="E935" s="1" t="s">
        <v>14</v>
      </c>
      <c r="F935" s="26">
        <v>0</v>
      </c>
      <c r="G935" s="26">
        <v>3000</v>
      </c>
      <c r="H935" s="26">
        <v>3000</v>
      </c>
      <c r="I935" s="26">
        <v>18944250</v>
      </c>
      <c r="J935" s="26">
        <v>147000000</v>
      </c>
    </row>
    <row r="936" spans="1:10">
      <c r="A936" s="24">
        <v>934</v>
      </c>
      <c r="B936" s="24">
        <f t="shared" si="17"/>
        <v>732</v>
      </c>
      <c r="C936" s="1" t="s">
        <v>1397</v>
      </c>
      <c r="D936" s="1" t="s">
        <v>4</v>
      </c>
      <c r="E936" s="1" t="s">
        <v>14</v>
      </c>
      <c r="F936" s="26">
        <v>0</v>
      </c>
      <c r="G936" s="26">
        <v>3000</v>
      </c>
      <c r="H936" s="26">
        <v>3000</v>
      </c>
      <c r="I936" s="26">
        <v>18597750</v>
      </c>
      <c r="J936" s="26">
        <v>129000000</v>
      </c>
    </row>
    <row r="937" spans="1:10">
      <c r="A937" s="24">
        <v>935</v>
      </c>
      <c r="B937" s="24">
        <f t="shared" si="17"/>
        <v>733</v>
      </c>
      <c r="C937" s="1" t="s">
        <v>1398</v>
      </c>
      <c r="D937" s="1" t="s">
        <v>4</v>
      </c>
      <c r="E937" s="1" t="s">
        <v>14</v>
      </c>
      <c r="F937" s="26">
        <v>0</v>
      </c>
      <c r="G937" s="26">
        <v>3000</v>
      </c>
      <c r="H937" s="26">
        <v>3000</v>
      </c>
      <c r="I937" s="26">
        <v>16518750</v>
      </c>
      <c r="J937" s="26">
        <v>129000000</v>
      </c>
    </row>
    <row r="938" spans="1:10">
      <c r="A938" s="24">
        <v>936</v>
      </c>
      <c r="B938" s="24">
        <f t="shared" si="17"/>
        <v>734</v>
      </c>
      <c r="C938" s="1" t="s">
        <v>775</v>
      </c>
      <c r="F938" s="26">
        <v>0</v>
      </c>
      <c r="G938" s="26">
        <v>9000</v>
      </c>
      <c r="H938" s="26">
        <v>9000</v>
      </c>
      <c r="I938" s="26">
        <v>54060750</v>
      </c>
      <c r="J938" s="26">
        <v>405000000</v>
      </c>
    </row>
    <row r="939" spans="1:10">
      <c r="A939" s="24">
        <v>937</v>
      </c>
      <c r="B939" s="24">
        <f t="shared" si="17"/>
        <v>735</v>
      </c>
      <c r="C939" s="1" t="s">
        <v>1035</v>
      </c>
      <c r="D939" s="1" t="s">
        <v>4</v>
      </c>
      <c r="E939" s="1" t="s">
        <v>14</v>
      </c>
      <c r="F939" s="26">
        <v>0</v>
      </c>
      <c r="G939" s="26">
        <v>1200</v>
      </c>
      <c r="H939" s="26">
        <v>1200</v>
      </c>
      <c r="I939" s="26">
        <v>7854900.0000000009</v>
      </c>
      <c r="J939" s="26">
        <v>66000000</v>
      </c>
    </row>
    <row r="940" spans="1:10">
      <c r="A940" s="24">
        <v>938</v>
      </c>
      <c r="B940" s="24">
        <f t="shared" si="17"/>
        <v>736</v>
      </c>
      <c r="C940" s="1" t="s">
        <v>775</v>
      </c>
      <c r="F940" s="26">
        <v>0</v>
      </c>
      <c r="G940" s="26">
        <v>1200</v>
      </c>
      <c r="H940" s="26">
        <v>1200</v>
      </c>
      <c r="I940" s="26">
        <v>7854900.0000000009</v>
      </c>
      <c r="J940" s="26">
        <v>66000000</v>
      </c>
    </row>
    <row r="941" spans="1:10">
      <c r="A941" s="24">
        <v>939</v>
      </c>
      <c r="B941" s="24">
        <f t="shared" si="17"/>
        <v>737</v>
      </c>
      <c r="C941" s="1" t="s">
        <v>1399</v>
      </c>
      <c r="D941" s="1" t="s">
        <v>2</v>
      </c>
      <c r="E941" s="1" t="s">
        <v>14</v>
      </c>
      <c r="F941" s="26">
        <v>0</v>
      </c>
      <c r="G941" s="26">
        <v>1200</v>
      </c>
      <c r="H941" s="26">
        <v>1200</v>
      </c>
      <c r="I941" s="26">
        <v>15600000</v>
      </c>
      <c r="J941" s="26">
        <v>70800000</v>
      </c>
    </row>
    <row r="942" spans="1:10">
      <c r="A942" s="24">
        <v>940</v>
      </c>
      <c r="B942" s="24">
        <f t="shared" si="17"/>
        <v>737</v>
      </c>
      <c r="C942" s="1" t="s">
        <v>1399</v>
      </c>
      <c r="D942" s="1" t="s">
        <v>3</v>
      </c>
      <c r="E942" s="1" t="s">
        <v>14</v>
      </c>
      <c r="F942" s="26">
        <v>0</v>
      </c>
      <c r="G942" s="26">
        <v>300</v>
      </c>
      <c r="H942" s="26">
        <v>300</v>
      </c>
      <c r="I942" s="26">
        <v>3900000</v>
      </c>
      <c r="J942" s="26">
        <v>17700000</v>
      </c>
    </row>
    <row r="943" spans="1:10">
      <c r="A943" s="24">
        <v>941</v>
      </c>
      <c r="B943" s="24">
        <f t="shared" si="17"/>
        <v>737</v>
      </c>
      <c r="C943" s="1" t="s">
        <v>1399</v>
      </c>
      <c r="D943" s="1" t="s">
        <v>5</v>
      </c>
      <c r="E943" s="1" t="s">
        <v>14</v>
      </c>
      <c r="F943" s="26">
        <v>0</v>
      </c>
      <c r="G943" s="26">
        <v>100</v>
      </c>
      <c r="H943" s="26">
        <v>100</v>
      </c>
      <c r="I943" s="26">
        <v>1300000</v>
      </c>
      <c r="J943" s="26">
        <v>5900000</v>
      </c>
    </row>
    <row r="944" spans="1:10">
      <c r="A944" s="24">
        <v>942</v>
      </c>
      <c r="B944" s="24">
        <f t="shared" si="17"/>
        <v>738</v>
      </c>
      <c r="C944" s="1" t="s">
        <v>1400</v>
      </c>
      <c r="D944" s="1" t="s">
        <v>4</v>
      </c>
      <c r="E944" s="1" t="s">
        <v>14</v>
      </c>
      <c r="F944" s="26">
        <v>0</v>
      </c>
      <c r="G944" s="26">
        <v>1000</v>
      </c>
      <c r="H944" s="26">
        <v>1000</v>
      </c>
      <c r="I944" s="26">
        <v>12500000</v>
      </c>
      <c r="J944" s="26">
        <v>55000000</v>
      </c>
    </row>
    <row r="945" spans="1:10">
      <c r="A945" s="24">
        <v>943</v>
      </c>
      <c r="B945" s="24">
        <f t="shared" si="17"/>
        <v>739</v>
      </c>
      <c r="C945" s="1" t="s">
        <v>1401</v>
      </c>
      <c r="D945" s="1" t="s">
        <v>4</v>
      </c>
      <c r="E945" s="1" t="s">
        <v>14</v>
      </c>
      <c r="F945" s="26">
        <v>0</v>
      </c>
      <c r="G945" s="26">
        <v>1000</v>
      </c>
      <c r="H945" s="26">
        <v>1000</v>
      </c>
      <c r="I945" s="26">
        <v>12500000</v>
      </c>
      <c r="J945" s="26">
        <v>55000000</v>
      </c>
    </row>
    <row r="946" spans="1:10">
      <c r="A946" s="24">
        <v>944</v>
      </c>
      <c r="B946" s="24">
        <f t="shared" si="17"/>
        <v>740</v>
      </c>
      <c r="C946" s="1" t="s">
        <v>775</v>
      </c>
      <c r="F946" s="26">
        <v>0</v>
      </c>
      <c r="G946" s="26">
        <v>3600</v>
      </c>
      <c r="H946" s="26">
        <v>3600</v>
      </c>
      <c r="I946" s="26">
        <v>45800000</v>
      </c>
      <c r="J946" s="26">
        <v>204400000</v>
      </c>
    </row>
    <row r="947" spans="1:10">
      <c r="A947" s="24">
        <v>945</v>
      </c>
      <c r="B947" s="24">
        <f t="shared" si="17"/>
        <v>741</v>
      </c>
      <c r="C947" s="1" t="s">
        <v>1402</v>
      </c>
      <c r="D947" s="1" t="s">
        <v>2</v>
      </c>
      <c r="E947" s="1" t="s">
        <v>14</v>
      </c>
      <c r="F947" s="26">
        <v>0</v>
      </c>
      <c r="G947" s="26">
        <v>750</v>
      </c>
      <c r="H947" s="26">
        <v>750</v>
      </c>
      <c r="I947" s="26">
        <v>9375000</v>
      </c>
      <c r="J947" s="26">
        <v>44250000</v>
      </c>
    </row>
    <row r="948" spans="1:10">
      <c r="A948" s="24">
        <v>946</v>
      </c>
      <c r="B948" s="24">
        <f t="shared" si="17"/>
        <v>741</v>
      </c>
      <c r="C948" s="1" t="s">
        <v>1402</v>
      </c>
      <c r="D948" s="1" t="s">
        <v>3</v>
      </c>
      <c r="E948" s="1" t="s">
        <v>14</v>
      </c>
      <c r="F948" s="26">
        <v>0</v>
      </c>
      <c r="G948" s="26">
        <v>150</v>
      </c>
      <c r="H948" s="26">
        <v>150</v>
      </c>
      <c r="I948" s="26">
        <v>1875000</v>
      </c>
      <c r="J948" s="26">
        <v>8850000</v>
      </c>
    </row>
    <row r="949" spans="1:10">
      <c r="A949" s="24">
        <v>947</v>
      </c>
      <c r="B949" s="24">
        <f t="shared" si="17"/>
        <v>741</v>
      </c>
      <c r="C949" s="1" t="s">
        <v>1402</v>
      </c>
      <c r="D949" s="1" t="s">
        <v>5</v>
      </c>
      <c r="E949" s="1" t="s">
        <v>14</v>
      </c>
      <c r="F949" s="26">
        <v>0</v>
      </c>
      <c r="G949" s="26">
        <v>100</v>
      </c>
      <c r="H949" s="26">
        <v>100</v>
      </c>
      <c r="I949" s="26">
        <v>1250000</v>
      </c>
      <c r="J949" s="26">
        <v>5900000</v>
      </c>
    </row>
    <row r="950" spans="1:10">
      <c r="A950" s="24">
        <v>948</v>
      </c>
      <c r="B950" s="24">
        <f t="shared" si="17"/>
        <v>742</v>
      </c>
      <c r="C950" s="1" t="s">
        <v>1403</v>
      </c>
      <c r="D950" s="1" t="s">
        <v>4</v>
      </c>
      <c r="E950" s="1" t="s">
        <v>14</v>
      </c>
      <c r="F950" s="26">
        <v>0</v>
      </c>
      <c r="G950" s="26">
        <v>1000</v>
      </c>
      <c r="H950" s="26">
        <v>1000</v>
      </c>
      <c r="I950" s="26">
        <v>13000000</v>
      </c>
      <c r="J950" s="26">
        <v>55000000</v>
      </c>
    </row>
    <row r="951" spans="1:10">
      <c r="A951" s="24">
        <v>949</v>
      </c>
      <c r="B951" s="24">
        <f t="shared" si="17"/>
        <v>743</v>
      </c>
      <c r="C951" s="1" t="s">
        <v>775</v>
      </c>
      <c r="F951" s="26">
        <v>0</v>
      </c>
      <c r="G951" s="26">
        <v>2000</v>
      </c>
      <c r="H951" s="26">
        <v>2000</v>
      </c>
      <c r="I951" s="26">
        <v>25500000</v>
      </c>
      <c r="J951" s="26">
        <v>114000000</v>
      </c>
    </row>
    <row r="952" spans="1:10">
      <c r="A952" s="24">
        <v>950</v>
      </c>
      <c r="B952" s="24">
        <f t="shared" si="17"/>
        <v>744</v>
      </c>
      <c r="C952" s="1" t="s">
        <v>1404</v>
      </c>
      <c r="D952" s="1" t="s">
        <v>4</v>
      </c>
      <c r="E952" s="1" t="s">
        <v>14</v>
      </c>
      <c r="F952" s="26">
        <v>0</v>
      </c>
      <c r="G952" s="26">
        <v>1000</v>
      </c>
      <c r="H952" s="26">
        <v>1000</v>
      </c>
      <c r="I952" s="26">
        <v>6314750</v>
      </c>
      <c r="J952" s="26">
        <v>45000000</v>
      </c>
    </row>
    <row r="953" spans="1:10">
      <c r="A953" s="24">
        <v>951</v>
      </c>
      <c r="B953" s="24">
        <f t="shared" si="17"/>
        <v>745</v>
      </c>
      <c r="C953" s="1" t="s">
        <v>1405</v>
      </c>
      <c r="D953" s="1" t="s">
        <v>4</v>
      </c>
      <c r="E953" s="1" t="s">
        <v>14</v>
      </c>
      <c r="F953" s="26">
        <v>0</v>
      </c>
      <c r="G953" s="26">
        <v>700</v>
      </c>
      <c r="H953" s="26">
        <v>700</v>
      </c>
      <c r="I953" s="26">
        <v>4904199.9999999991</v>
      </c>
      <c r="J953" s="26">
        <v>34300000</v>
      </c>
    </row>
    <row r="954" spans="1:10">
      <c r="A954" s="24">
        <v>952</v>
      </c>
      <c r="B954" s="24">
        <f t="shared" si="17"/>
        <v>746</v>
      </c>
      <c r="C954" s="1" t="s">
        <v>1406</v>
      </c>
      <c r="D954" s="1" t="s">
        <v>4</v>
      </c>
      <c r="E954" s="1" t="s">
        <v>14</v>
      </c>
      <c r="F954" s="26">
        <v>0</v>
      </c>
      <c r="G954" s="26">
        <v>500</v>
      </c>
      <c r="H954" s="26">
        <v>500</v>
      </c>
      <c r="I954" s="26">
        <v>3300875</v>
      </c>
      <c r="J954" s="26">
        <v>24500000</v>
      </c>
    </row>
    <row r="955" spans="1:10">
      <c r="A955" s="24">
        <v>953</v>
      </c>
      <c r="B955" s="24">
        <f t="shared" si="17"/>
        <v>747</v>
      </c>
      <c r="C955" s="1" t="s">
        <v>1407</v>
      </c>
      <c r="D955" s="1" t="s">
        <v>4</v>
      </c>
      <c r="E955" s="1" t="s">
        <v>14</v>
      </c>
      <c r="F955" s="26">
        <v>0</v>
      </c>
      <c r="G955" s="26">
        <v>1500</v>
      </c>
      <c r="H955" s="26">
        <v>1500</v>
      </c>
      <c r="I955" s="26">
        <v>8692500</v>
      </c>
      <c r="J955" s="26">
        <v>73500000</v>
      </c>
    </row>
    <row r="956" spans="1:10">
      <c r="A956" s="24">
        <v>954</v>
      </c>
      <c r="B956" s="24">
        <f t="shared" si="17"/>
        <v>748</v>
      </c>
      <c r="C956" s="1" t="s">
        <v>1408</v>
      </c>
      <c r="D956" s="1" t="s">
        <v>4</v>
      </c>
      <c r="E956" s="1" t="s">
        <v>14</v>
      </c>
      <c r="F956" s="26">
        <v>0</v>
      </c>
      <c r="G956" s="26">
        <v>1500</v>
      </c>
      <c r="H956" s="26">
        <v>1500</v>
      </c>
      <c r="I956" s="26">
        <v>9902625</v>
      </c>
      <c r="J956" s="26">
        <v>64500000</v>
      </c>
    </row>
    <row r="957" spans="1:10">
      <c r="A957" s="24">
        <v>955</v>
      </c>
      <c r="B957" s="24">
        <f t="shared" si="17"/>
        <v>749</v>
      </c>
      <c r="C957" s="1" t="s">
        <v>1409</v>
      </c>
      <c r="D957" s="1" t="s">
        <v>4</v>
      </c>
      <c r="E957" s="1" t="s">
        <v>14</v>
      </c>
      <c r="F957" s="26">
        <v>0</v>
      </c>
      <c r="G957" s="26">
        <v>1500</v>
      </c>
      <c r="H957" s="26">
        <v>1500</v>
      </c>
      <c r="I957" s="26">
        <v>6960000</v>
      </c>
      <c r="J957" s="26">
        <v>67500000</v>
      </c>
    </row>
    <row r="958" spans="1:10">
      <c r="A958" s="24">
        <v>956</v>
      </c>
      <c r="B958" s="24">
        <f t="shared" si="17"/>
        <v>750</v>
      </c>
      <c r="C958" s="1" t="s">
        <v>1410</v>
      </c>
      <c r="D958" s="1" t="s">
        <v>4</v>
      </c>
      <c r="E958" s="1" t="s">
        <v>14</v>
      </c>
      <c r="F958" s="26">
        <v>0</v>
      </c>
      <c r="G958" s="26">
        <v>1500</v>
      </c>
      <c r="H958" s="26">
        <v>1500</v>
      </c>
      <c r="I958" s="26">
        <v>9296250.0000000019</v>
      </c>
      <c r="J958" s="26">
        <v>73500000</v>
      </c>
    </row>
    <row r="959" spans="1:10">
      <c r="A959" s="24">
        <v>957</v>
      </c>
      <c r="B959" s="24">
        <f t="shared" si="17"/>
        <v>751</v>
      </c>
      <c r="C959" s="1" t="s">
        <v>1411</v>
      </c>
      <c r="D959" s="1" t="s">
        <v>4</v>
      </c>
      <c r="E959" s="1" t="s">
        <v>14</v>
      </c>
      <c r="F959" s="26">
        <v>0</v>
      </c>
      <c r="G959" s="26">
        <v>500</v>
      </c>
      <c r="H959" s="26">
        <v>500</v>
      </c>
      <c r="I959" s="26">
        <v>3271999.9999999995</v>
      </c>
      <c r="J959" s="26">
        <v>21500000</v>
      </c>
    </row>
    <row r="960" spans="1:10">
      <c r="A960" s="24">
        <v>958</v>
      </c>
      <c r="B960" s="24">
        <f t="shared" si="17"/>
        <v>752</v>
      </c>
      <c r="C960" s="1" t="s">
        <v>775</v>
      </c>
      <c r="F960" s="26">
        <v>0</v>
      </c>
      <c r="G960" s="26">
        <v>8700</v>
      </c>
      <c r="H960" s="26">
        <v>8700</v>
      </c>
      <c r="I960" s="26">
        <v>52643200</v>
      </c>
      <c r="J960" s="26">
        <v>404300000</v>
      </c>
    </row>
    <row r="961" spans="1:10">
      <c r="A961" s="24">
        <v>959</v>
      </c>
      <c r="B961" s="24">
        <f t="shared" si="17"/>
        <v>753</v>
      </c>
      <c r="C961" s="1" t="s">
        <v>1412</v>
      </c>
      <c r="D961" s="1" t="s">
        <v>4</v>
      </c>
      <c r="E961" s="1" t="s">
        <v>14</v>
      </c>
      <c r="F961" s="26">
        <v>0</v>
      </c>
      <c r="G961" s="26">
        <v>1000</v>
      </c>
      <c r="H961" s="26">
        <v>1000</v>
      </c>
      <c r="I961" s="26">
        <v>9020000</v>
      </c>
      <c r="J961" s="26">
        <v>55000000</v>
      </c>
    </row>
    <row r="962" spans="1:10">
      <c r="A962" s="24">
        <v>960</v>
      </c>
      <c r="B962" s="24">
        <f t="shared" si="17"/>
        <v>754</v>
      </c>
      <c r="C962" s="1" t="s">
        <v>775</v>
      </c>
      <c r="F962" s="26">
        <v>0</v>
      </c>
      <c r="G962" s="26">
        <v>1000</v>
      </c>
      <c r="H962" s="26">
        <v>1000</v>
      </c>
      <c r="I962" s="26">
        <v>9020000</v>
      </c>
      <c r="J962" s="26">
        <v>55000000</v>
      </c>
    </row>
    <row r="963" spans="1:10">
      <c r="A963" s="24">
        <v>961</v>
      </c>
      <c r="B963" s="24">
        <f t="shared" ref="B963:B1026" si="18">IF(C962=C963,B962,B962+1)</f>
        <v>755</v>
      </c>
      <c r="C963" s="1" t="s">
        <v>1413</v>
      </c>
      <c r="D963" s="1" t="s">
        <v>4</v>
      </c>
      <c r="E963" s="1" t="s">
        <v>14</v>
      </c>
      <c r="F963" s="26">
        <v>0</v>
      </c>
      <c r="G963" s="26">
        <v>500</v>
      </c>
      <c r="H963" s="26">
        <v>500</v>
      </c>
      <c r="I963" s="26">
        <v>4910000</v>
      </c>
      <c r="J963" s="26">
        <v>24500000</v>
      </c>
    </row>
    <row r="964" spans="1:10">
      <c r="A964" s="24">
        <v>962</v>
      </c>
      <c r="B964" s="24">
        <f t="shared" si="18"/>
        <v>756</v>
      </c>
      <c r="C964" s="1" t="s">
        <v>1414</v>
      </c>
      <c r="D964" s="1" t="s">
        <v>4</v>
      </c>
      <c r="E964" s="1" t="s">
        <v>14</v>
      </c>
      <c r="F964" s="26">
        <v>0</v>
      </c>
      <c r="G964" s="26">
        <v>500</v>
      </c>
      <c r="H964" s="26">
        <v>500</v>
      </c>
      <c r="I964" s="26">
        <v>4910000</v>
      </c>
      <c r="J964" s="26">
        <v>24500000</v>
      </c>
    </row>
    <row r="965" spans="1:10">
      <c r="A965" s="24">
        <v>963</v>
      </c>
      <c r="B965" s="24">
        <f t="shared" si="18"/>
        <v>757</v>
      </c>
      <c r="C965" s="1" t="s">
        <v>775</v>
      </c>
      <c r="F965" s="26">
        <v>0</v>
      </c>
      <c r="G965" s="26">
        <v>1000</v>
      </c>
      <c r="H965" s="26">
        <v>1000</v>
      </c>
      <c r="I965" s="26">
        <v>9820000</v>
      </c>
      <c r="J965" s="26">
        <v>49000000</v>
      </c>
    </row>
    <row r="966" spans="1:10">
      <c r="A966" s="24">
        <v>964</v>
      </c>
      <c r="B966" s="24">
        <f t="shared" si="18"/>
        <v>758</v>
      </c>
      <c r="C966" s="1" t="s">
        <v>1415</v>
      </c>
      <c r="D966" s="1" t="s">
        <v>4</v>
      </c>
      <c r="E966" s="1" t="s">
        <v>14</v>
      </c>
      <c r="F966" s="26">
        <v>0</v>
      </c>
      <c r="G966" s="26">
        <v>700</v>
      </c>
      <c r="H966" s="26">
        <v>700</v>
      </c>
      <c r="I966" s="26">
        <v>4810575.0000000009</v>
      </c>
      <c r="J966" s="26">
        <v>30100000</v>
      </c>
    </row>
    <row r="967" spans="1:10">
      <c r="A967" s="24">
        <v>965</v>
      </c>
      <c r="B967" s="24">
        <f t="shared" si="18"/>
        <v>759</v>
      </c>
      <c r="C967" s="1" t="s">
        <v>1416</v>
      </c>
      <c r="D967" s="1" t="s">
        <v>4</v>
      </c>
      <c r="E967" s="1" t="s">
        <v>14</v>
      </c>
      <c r="F967" s="26">
        <v>0</v>
      </c>
      <c r="G967" s="26">
        <v>700</v>
      </c>
      <c r="H967" s="26">
        <v>700</v>
      </c>
      <c r="I967" s="26">
        <v>4931850.0000000009</v>
      </c>
      <c r="J967" s="26">
        <v>30100000</v>
      </c>
    </row>
    <row r="968" spans="1:10">
      <c r="A968" s="24">
        <v>966</v>
      </c>
      <c r="B968" s="24">
        <f t="shared" si="18"/>
        <v>760</v>
      </c>
      <c r="C968" s="1" t="s">
        <v>1417</v>
      </c>
      <c r="D968" s="1" t="s">
        <v>4</v>
      </c>
      <c r="E968" s="1" t="s">
        <v>14</v>
      </c>
      <c r="F968" s="26">
        <v>0</v>
      </c>
      <c r="G968" s="26">
        <v>500</v>
      </c>
      <c r="H968" s="26">
        <v>500</v>
      </c>
      <c r="I968" s="26">
        <v>3436125.0000000005</v>
      </c>
      <c r="J968" s="26">
        <v>21500000</v>
      </c>
    </row>
    <row r="969" spans="1:10">
      <c r="A969" s="24">
        <v>967</v>
      </c>
      <c r="B969" s="24">
        <f t="shared" si="18"/>
        <v>761</v>
      </c>
      <c r="C969" s="1" t="s">
        <v>1418</v>
      </c>
      <c r="D969" s="1" t="s">
        <v>4</v>
      </c>
      <c r="E969" s="1" t="s">
        <v>14</v>
      </c>
      <c r="F969" s="26">
        <v>0</v>
      </c>
      <c r="G969" s="26">
        <v>500</v>
      </c>
      <c r="H969" s="26">
        <v>500</v>
      </c>
      <c r="I969" s="26">
        <v>3436125.0000000005</v>
      </c>
      <c r="J969" s="26">
        <v>21500000</v>
      </c>
    </row>
    <row r="970" spans="1:10">
      <c r="A970" s="24">
        <v>968</v>
      </c>
      <c r="B970" s="24">
        <f t="shared" si="18"/>
        <v>762</v>
      </c>
      <c r="C970" s="1" t="s">
        <v>1419</v>
      </c>
      <c r="D970" s="1" t="s">
        <v>4</v>
      </c>
      <c r="E970" s="1" t="s">
        <v>14</v>
      </c>
      <c r="F970" s="26">
        <v>0</v>
      </c>
      <c r="G970" s="26">
        <v>500</v>
      </c>
      <c r="H970" s="26">
        <v>500</v>
      </c>
      <c r="I970" s="26">
        <v>3436125.0000000005</v>
      </c>
      <c r="J970" s="26">
        <v>21500000</v>
      </c>
    </row>
    <row r="971" spans="1:10">
      <c r="A971" s="24">
        <v>969</v>
      </c>
      <c r="B971" s="24">
        <f t="shared" si="18"/>
        <v>763</v>
      </c>
      <c r="C971" s="1" t="s">
        <v>1420</v>
      </c>
      <c r="D971" s="1" t="s">
        <v>4</v>
      </c>
      <c r="E971" s="1" t="s">
        <v>14</v>
      </c>
      <c r="F971" s="26">
        <v>0</v>
      </c>
      <c r="G971" s="26">
        <v>700</v>
      </c>
      <c r="H971" s="26">
        <v>700</v>
      </c>
      <c r="I971" s="26">
        <v>5619075</v>
      </c>
      <c r="J971" s="26">
        <v>31500000</v>
      </c>
    </row>
    <row r="972" spans="1:10">
      <c r="A972" s="24">
        <v>970</v>
      </c>
      <c r="B972" s="24">
        <f t="shared" si="18"/>
        <v>764</v>
      </c>
      <c r="C972" s="1" t="s">
        <v>1421</v>
      </c>
      <c r="D972" s="1" t="s">
        <v>4</v>
      </c>
      <c r="E972" s="1" t="s">
        <v>14</v>
      </c>
      <c r="F972" s="26">
        <v>0</v>
      </c>
      <c r="G972" s="26">
        <v>700</v>
      </c>
      <c r="H972" s="26">
        <v>700</v>
      </c>
      <c r="I972" s="26">
        <v>5174400.0000000009</v>
      </c>
      <c r="J972" s="26">
        <v>31500000</v>
      </c>
    </row>
    <row r="973" spans="1:10">
      <c r="A973" s="24">
        <v>971</v>
      </c>
      <c r="B973" s="24">
        <f t="shared" si="18"/>
        <v>765</v>
      </c>
      <c r="C973" s="1" t="s">
        <v>1422</v>
      </c>
      <c r="D973" s="1" t="s">
        <v>4</v>
      </c>
      <c r="E973" s="1" t="s">
        <v>14</v>
      </c>
      <c r="F973" s="26">
        <v>0</v>
      </c>
      <c r="G973" s="26">
        <v>700</v>
      </c>
      <c r="H973" s="26">
        <v>700</v>
      </c>
      <c r="I973" s="26">
        <v>5012700.0000000009</v>
      </c>
      <c r="J973" s="26">
        <v>31500000</v>
      </c>
    </row>
    <row r="974" spans="1:10">
      <c r="A974" s="24">
        <v>972</v>
      </c>
      <c r="B974" s="24">
        <f t="shared" si="18"/>
        <v>766</v>
      </c>
      <c r="C974" s="1" t="s">
        <v>1423</v>
      </c>
      <c r="D974" s="1" t="s">
        <v>6</v>
      </c>
      <c r="E974" s="1" t="s">
        <v>14</v>
      </c>
      <c r="F974" s="26">
        <v>0</v>
      </c>
      <c r="G974" s="26">
        <v>100</v>
      </c>
      <c r="H974" s="26">
        <v>100</v>
      </c>
      <c r="I974" s="26">
        <v>681450</v>
      </c>
      <c r="J974" s="26">
        <v>4500000</v>
      </c>
    </row>
    <row r="975" spans="1:10">
      <c r="A975" s="24">
        <v>973</v>
      </c>
      <c r="B975" s="24">
        <f t="shared" si="18"/>
        <v>766</v>
      </c>
      <c r="C975" s="1" t="s">
        <v>1423</v>
      </c>
      <c r="D975" s="1" t="s">
        <v>2</v>
      </c>
      <c r="E975" s="1" t="s">
        <v>14</v>
      </c>
      <c r="F975" s="26">
        <v>0</v>
      </c>
      <c r="G975" s="26">
        <v>200</v>
      </c>
      <c r="H975" s="26">
        <v>200</v>
      </c>
      <c r="I975" s="26">
        <v>1362900</v>
      </c>
      <c r="J975" s="26">
        <v>9000000</v>
      </c>
    </row>
    <row r="976" spans="1:10">
      <c r="A976" s="24">
        <v>974</v>
      </c>
      <c r="B976" s="24">
        <f t="shared" si="18"/>
        <v>766</v>
      </c>
      <c r="C976" s="1" t="s">
        <v>1423</v>
      </c>
      <c r="D976" s="1" t="s">
        <v>3</v>
      </c>
      <c r="E976" s="1" t="s">
        <v>14</v>
      </c>
      <c r="F976" s="26">
        <v>0</v>
      </c>
      <c r="G976" s="26">
        <v>200</v>
      </c>
      <c r="H976" s="26">
        <v>200</v>
      </c>
      <c r="I976" s="26">
        <v>1362900</v>
      </c>
      <c r="J976" s="26">
        <v>9000000</v>
      </c>
    </row>
    <row r="977" spans="1:10">
      <c r="A977" s="24">
        <v>975</v>
      </c>
      <c r="B977" s="24">
        <f t="shared" si="18"/>
        <v>767</v>
      </c>
      <c r="C977" s="1" t="s">
        <v>1424</v>
      </c>
      <c r="D977" s="1" t="s">
        <v>6</v>
      </c>
      <c r="E977" s="1" t="s">
        <v>14</v>
      </c>
      <c r="F977" s="26">
        <v>0</v>
      </c>
      <c r="G977" s="26">
        <v>200</v>
      </c>
      <c r="H977" s="26">
        <v>200</v>
      </c>
      <c r="I977" s="26">
        <v>1374450.0000000002</v>
      </c>
      <c r="J977" s="26">
        <v>9000000</v>
      </c>
    </row>
    <row r="978" spans="1:10">
      <c r="A978" s="24">
        <v>976</v>
      </c>
      <c r="B978" s="24">
        <f t="shared" si="18"/>
        <v>767</v>
      </c>
      <c r="C978" s="1" t="s">
        <v>1424</v>
      </c>
      <c r="D978" s="1" t="s">
        <v>2</v>
      </c>
      <c r="E978" s="1" t="s">
        <v>14</v>
      </c>
      <c r="F978" s="26">
        <v>0</v>
      </c>
      <c r="G978" s="26">
        <v>200</v>
      </c>
      <c r="H978" s="26">
        <v>200</v>
      </c>
      <c r="I978" s="26">
        <v>1374450.0000000002</v>
      </c>
      <c r="J978" s="26">
        <v>9000000</v>
      </c>
    </row>
    <row r="979" spans="1:10">
      <c r="A979" s="24">
        <v>977</v>
      </c>
      <c r="B979" s="24">
        <f t="shared" si="18"/>
        <v>767</v>
      </c>
      <c r="C979" s="1" t="s">
        <v>1424</v>
      </c>
      <c r="D979" s="1" t="s">
        <v>3</v>
      </c>
      <c r="E979" s="1" t="s">
        <v>14</v>
      </c>
      <c r="F979" s="26">
        <v>0</v>
      </c>
      <c r="G979" s="26">
        <v>100</v>
      </c>
      <c r="H979" s="26">
        <v>100</v>
      </c>
      <c r="I979" s="26">
        <v>687225.00000000012</v>
      </c>
      <c r="J979" s="26">
        <v>4500000</v>
      </c>
    </row>
    <row r="980" spans="1:10">
      <c r="A980" s="24">
        <v>978</v>
      </c>
      <c r="B980" s="24">
        <f t="shared" si="18"/>
        <v>768</v>
      </c>
      <c r="C980" s="1" t="s">
        <v>1425</v>
      </c>
      <c r="D980" s="1" t="s">
        <v>4</v>
      </c>
      <c r="E980" s="1" t="s">
        <v>14</v>
      </c>
      <c r="F980" s="26">
        <v>0</v>
      </c>
      <c r="G980" s="26">
        <v>700</v>
      </c>
      <c r="H980" s="26">
        <v>700</v>
      </c>
      <c r="I980" s="26">
        <v>4689300</v>
      </c>
      <c r="J980" s="26">
        <v>34300000</v>
      </c>
    </row>
    <row r="981" spans="1:10">
      <c r="A981" s="24">
        <v>979</v>
      </c>
      <c r="B981" s="24">
        <f t="shared" si="18"/>
        <v>769</v>
      </c>
      <c r="C981" s="1" t="s">
        <v>1426</v>
      </c>
      <c r="D981" s="1" t="s">
        <v>4</v>
      </c>
      <c r="E981" s="1" t="s">
        <v>14</v>
      </c>
      <c r="F981" s="26">
        <v>0</v>
      </c>
      <c r="G981" s="26">
        <v>700</v>
      </c>
      <c r="H981" s="26">
        <v>700</v>
      </c>
      <c r="I981" s="26">
        <v>5174400.0000000009</v>
      </c>
      <c r="J981" s="26">
        <v>34300000</v>
      </c>
    </row>
    <row r="982" spans="1:10">
      <c r="A982" s="24">
        <v>980</v>
      </c>
      <c r="B982" s="24">
        <f t="shared" si="18"/>
        <v>770</v>
      </c>
      <c r="C982" s="1" t="s">
        <v>1427</v>
      </c>
      <c r="D982" s="1" t="s">
        <v>4</v>
      </c>
      <c r="E982" s="1" t="s">
        <v>14</v>
      </c>
      <c r="F982" s="26">
        <v>0</v>
      </c>
      <c r="G982" s="26">
        <v>700</v>
      </c>
      <c r="H982" s="26">
        <v>700</v>
      </c>
      <c r="I982" s="26">
        <v>4851000.0000000009</v>
      </c>
      <c r="J982" s="26">
        <v>34300000</v>
      </c>
    </row>
    <row r="983" spans="1:10">
      <c r="A983" s="24">
        <v>981</v>
      </c>
      <c r="B983" s="24">
        <f t="shared" si="18"/>
        <v>771</v>
      </c>
      <c r="C983" s="1" t="s">
        <v>1428</v>
      </c>
      <c r="D983" s="1" t="s">
        <v>4</v>
      </c>
      <c r="E983" s="1" t="s">
        <v>14</v>
      </c>
      <c r="F983" s="26">
        <v>0</v>
      </c>
      <c r="G983" s="26">
        <v>700</v>
      </c>
      <c r="H983" s="26">
        <v>700</v>
      </c>
      <c r="I983" s="26">
        <v>4851000.0000000009</v>
      </c>
      <c r="J983" s="26">
        <v>34300000</v>
      </c>
    </row>
    <row r="984" spans="1:10">
      <c r="A984" s="24">
        <v>982</v>
      </c>
      <c r="B984" s="24">
        <f t="shared" si="18"/>
        <v>772</v>
      </c>
      <c r="C984" s="1" t="s">
        <v>1429</v>
      </c>
      <c r="D984" s="1" t="s">
        <v>4</v>
      </c>
      <c r="E984" s="1" t="s">
        <v>14</v>
      </c>
      <c r="F984" s="26">
        <v>0</v>
      </c>
      <c r="G984" s="26">
        <v>700</v>
      </c>
      <c r="H984" s="26">
        <v>700</v>
      </c>
      <c r="I984" s="26">
        <v>5012700.0000000009</v>
      </c>
      <c r="J984" s="26">
        <v>34300000</v>
      </c>
    </row>
    <row r="985" spans="1:10">
      <c r="A985" s="24">
        <v>983</v>
      </c>
      <c r="B985" s="24">
        <f t="shared" si="18"/>
        <v>773</v>
      </c>
      <c r="C985" s="1" t="s">
        <v>1430</v>
      </c>
      <c r="D985" s="1" t="s">
        <v>4</v>
      </c>
      <c r="E985" s="1" t="s">
        <v>14</v>
      </c>
      <c r="F985" s="26">
        <v>0</v>
      </c>
      <c r="G985" s="26">
        <v>700</v>
      </c>
      <c r="H985" s="26">
        <v>700</v>
      </c>
      <c r="I985" s="26">
        <v>4972275.0000000009</v>
      </c>
      <c r="J985" s="26">
        <v>34300000</v>
      </c>
    </row>
    <row r="986" spans="1:10">
      <c r="A986" s="24">
        <v>984</v>
      </c>
      <c r="B986" s="24">
        <f t="shared" si="18"/>
        <v>774</v>
      </c>
      <c r="C986" s="1" t="s">
        <v>1431</v>
      </c>
      <c r="D986" s="1" t="s">
        <v>4</v>
      </c>
      <c r="E986" s="1" t="s">
        <v>14</v>
      </c>
      <c r="F986" s="26">
        <v>0</v>
      </c>
      <c r="G986" s="26">
        <v>700</v>
      </c>
      <c r="H986" s="26">
        <v>700</v>
      </c>
      <c r="I986" s="26">
        <v>4851000.0000000009</v>
      </c>
      <c r="J986" s="26">
        <v>34300000</v>
      </c>
    </row>
    <row r="987" spans="1:10">
      <c r="A987" s="24">
        <v>985</v>
      </c>
      <c r="B987" s="24">
        <f t="shared" si="18"/>
        <v>775</v>
      </c>
      <c r="C987" s="1" t="s">
        <v>1432</v>
      </c>
      <c r="D987" s="1" t="s">
        <v>4</v>
      </c>
      <c r="E987" s="1" t="s">
        <v>14</v>
      </c>
      <c r="F987" s="26">
        <v>0</v>
      </c>
      <c r="G987" s="26">
        <v>700</v>
      </c>
      <c r="H987" s="26">
        <v>700</v>
      </c>
      <c r="I987" s="26">
        <v>4972275.0000000009</v>
      </c>
      <c r="J987" s="26">
        <v>34300000</v>
      </c>
    </row>
    <row r="988" spans="1:10">
      <c r="A988" s="24">
        <v>986</v>
      </c>
      <c r="B988" s="24">
        <f t="shared" si="18"/>
        <v>776</v>
      </c>
      <c r="C988" s="1" t="s">
        <v>775</v>
      </c>
      <c r="F988" s="26">
        <v>0</v>
      </c>
      <c r="G988" s="26">
        <v>11600</v>
      </c>
      <c r="H988" s="26">
        <v>11600</v>
      </c>
      <c r="I988" s="26">
        <v>82074300.000000015</v>
      </c>
      <c r="J988" s="26">
        <v>538600000</v>
      </c>
    </row>
    <row r="989" spans="1:10">
      <c r="A989" s="24">
        <v>987</v>
      </c>
      <c r="B989" s="24">
        <f t="shared" si="18"/>
        <v>777</v>
      </c>
      <c r="C989" s="1" t="s">
        <v>1433</v>
      </c>
      <c r="D989" s="1" t="s">
        <v>7</v>
      </c>
      <c r="E989" s="1" t="s">
        <v>15</v>
      </c>
      <c r="F989" s="26">
        <v>0</v>
      </c>
      <c r="G989" s="26">
        <v>24</v>
      </c>
      <c r="H989" s="26">
        <v>24</v>
      </c>
      <c r="I989" s="26">
        <v>418181.81818181812</v>
      </c>
      <c r="J989" s="26">
        <v>1656000</v>
      </c>
    </row>
    <row r="990" spans="1:10">
      <c r="A990" s="24">
        <v>988</v>
      </c>
      <c r="B990" s="24">
        <f t="shared" si="18"/>
        <v>777</v>
      </c>
      <c r="C990" s="1" t="s">
        <v>1433</v>
      </c>
      <c r="D990" s="1" t="s">
        <v>8</v>
      </c>
      <c r="E990" s="1" t="s">
        <v>15</v>
      </c>
      <c r="F990" s="26">
        <v>0</v>
      </c>
      <c r="G990" s="26">
        <v>48</v>
      </c>
      <c r="H990" s="26">
        <v>48</v>
      </c>
      <c r="I990" s="26">
        <v>836363.63636363624</v>
      </c>
      <c r="J990" s="26">
        <v>3312000</v>
      </c>
    </row>
    <row r="991" spans="1:10">
      <c r="A991" s="24">
        <v>989</v>
      </c>
      <c r="B991" s="24">
        <f t="shared" si="18"/>
        <v>777</v>
      </c>
      <c r="C991" s="1" t="s">
        <v>1433</v>
      </c>
      <c r="D991" s="1" t="s">
        <v>9</v>
      </c>
      <c r="E991" s="1" t="s">
        <v>15</v>
      </c>
      <c r="F991" s="26">
        <v>0</v>
      </c>
      <c r="G991" s="26">
        <v>24</v>
      </c>
      <c r="H991" s="26">
        <v>24</v>
      </c>
      <c r="I991" s="26">
        <v>418181.81818181812</v>
      </c>
      <c r="J991" s="26">
        <v>1656000</v>
      </c>
    </row>
    <row r="992" spans="1:10">
      <c r="A992" s="24">
        <v>990</v>
      </c>
      <c r="B992" s="24">
        <f t="shared" si="18"/>
        <v>778</v>
      </c>
      <c r="C992" s="1" t="s">
        <v>1434</v>
      </c>
      <c r="D992" s="1" t="s">
        <v>7</v>
      </c>
      <c r="E992" s="1" t="s">
        <v>15</v>
      </c>
      <c r="F992" s="26">
        <v>0</v>
      </c>
      <c r="G992" s="26">
        <v>20</v>
      </c>
      <c r="H992" s="26">
        <v>20</v>
      </c>
      <c r="I992" s="26">
        <v>348484.84848484839</v>
      </c>
      <c r="J992" s="26">
        <v>1380000</v>
      </c>
    </row>
    <row r="993" spans="1:10">
      <c r="A993" s="24">
        <v>991</v>
      </c>
      <c r="B993" s="24">
        <f t="shared" si="18"/>
        <v>778</v>
      </c>
      <c r="C993" s="1" t="s">
        <v>1434</v>
      </c>
      <c r="D993" s="1" t="s">
        <v>8</v>
      </c>
      <c r="E993" s="1" t="s">
        <v>15</v>
      </c>
      <c r="F993" s="26">
        <v>0</v>
      </c>
      <c r="G993" s="26">
        <v>40</v>
      </c>
      <c r="H993" s="26">
        <v>40</v>
      </c>
      <c r="I993" s="26">
        <v>696969.69696969679</v>
      </c>
      <c r="J993" s="26">
        <v>2760000</v>
      </c>
    </row>
    <row r="994" spans="1:10">
      <c r="A994" s="24">
        <v>992</v>
      </c>
      <c r="B994" s="24">
        <f t="shared" si="18"/>
        <v>778</v>
      </c>
      <c r="C994" s="1" t="s">
        <v>1434</v>
      </c>
      <c r="D994" s="1" t="s">
        <v>9</v>
      </c>
      <c r="E994" s="1" t="s">
        <v>15</v>
      </c>
      <c r="F994" s="26">
        <v>0</v>
      </c>
      <c r="G994" s="26">
        <v>12</v>
      </c>
      <c r="H994" s="26">
        <v>12</v>
      </c>
      <c r="I994" s="26">
        <v>209090.90909090906</v>
      </c>
      <c r="J994" s="26">
        <v>828000</v>
      </c>
    </row>
    <row r="995" spans="1:10">
      <c r="A995" s="24">
        <v>993</v>
      </c>
      <c r="B995" s="24">
        <f t="shared" si="18"/>
        <v>779</v>
      </c>
      <c r="C995" s="1" t="s">
        <v>1435</v>
      </c>
      <c r="D995" s="1" t="s">
        <v>8</v>
      </c>
      <c r="E995" s="1" t="s">
        <v>15</v>
      </c>
      <c r="F995" s="26">
        <v>0</v>
      </c>
      <c r="G995" s="26">
        <v>72</v>
      </c>
      <c r="H995" s="26">
        <v>72</v>
      </c>
      <c r="I995" s="26">
        <v>1181818.1818181816</v>
      </c>
      <c r="J995" s="26">
        <v>4680000</v>
      </c>
    </row>
    <row r="996" spans="1:10">
      <c r="A996" s="24">
        <v>994</v>
      </c>
      <c r="B996" s="24">
        <f t="shared" si="18"/>
        <v>779</v>
      </c>
      <c r="C996" s="1" t="s">
        <v>1435</v>
      </c>
      <c r="D996" s="1" t="s">
        <v>9</v>
      </c>
      <c r="E996" s="1" t="s">
        <v>15</v>
      </c>
      <c r="F996" s="26">
        <v>0</v>
      </c>
      <c r="G996" s="26">
        <v>72</v>
      </c>
      <c r="H996" s="26">
        <v>72</v>
      </c>
      <c r="I996" s="26">
        <v>1181818.1818181816</v>
      </c>
      <c r="J996" s="26">
        <v>4680000</v>
      </c>
    </row>
    <row r="997" spans="1:10">
      <c r="A997" s="24">
        <v>995</v>
      </c>
      <c r="B997" s="24">
        <f t="shared" si="18"/>
        <v>780</v>
      </c>
      <c r="C997" s="1" t="s">
        <v>1436</v>
      </c>
      <c r="D997" s="1" t="s">
        <v>8</v>
      </c>
      <c r="E997" s="1" t="s">
        <v>15</v>
      </c>
      <c r="F997" s="26">
        <v>0</v>
      </c>
      <c r="G997" s="26">
        <v>72</v>
      </c>
      <c r="H997" s="26">
        <v>72</v>
      </c>
      <c r="I997" s="26">
        <v>1181818.1818181816</v>
      </c>
      <c r="J997" s="26">
        <v>4680000</v>
      </c>
    </row>
    <row r="998" spans="1:10">
      <c r="A998" s="24">
        <v>996</v>
      </c>
      <c r="B998" s="24">
        <f t="shared" si="18"/>
        <v>780</v>
      </c>
      <c r="C998" s="1" t="s">
        <v>1436</v>
      </c>
      <c r="D998" s="1" t="s">
        <v>9</v>
      </c>
      <c r="E998" s="1" t="s">
        <v>15</v>
      </c>
      <c r="F998" s="26">
        <v>0</v>
      </c>
      <c r="G998" s="26">
        <v>72</v>
      </c>
      <c r="H998" s="26">
        <v>72</v>
      </c>
      <c r="I998" s="26">
        <v>1181818.1818181816</v>
      </c>
      <c r="J998" s="26">
        <v>4680000</v>
      </c>
    </row>
    <row r="999" spans="1:10">
      <c r="A999" s="24">
        <v>997</v>
      </c>
      <c r="B999" s="24">
        <f t="shared" si="18"/>
        <v>781</v>
      </c>
      <c r="C999" s="1" t="s">
        <v>1437</v>
      </c>
      <c r="D999" s="1" t="s">
        <v>8</v>
      </c>
      <c r="E999" s="1" t="s">
        <v>15</v>
      </c>
      <c r="F999" s="26">
        <v>0</v>
      </c>
      <c r="G999" s="26">
        <v>72</v>
      </c>
      <c r="H999" s="26">
        <v>72</v>
      </c>
      <c r="I999" s="26">
        <v>999999.99999999988</v>
      </c>
      <c r="J999" s="26">
        <v>3960000</v>
      </c>
    </row>
    <row r="1000" spans="1:10">
      <c r="A1000" s="24">
        <v>998</v>
      </c>
      <c r="B1000" s="24">
        <f t="shared" si="18"/>
        <v>781</v>
      </c>
      <c r="C1000" s="1" t="s">
        <v>1437</v>
      </c>
      <c r="D1000" s="1" t="s">
        <v>9</v>
      </c>
      <c r="E1000" s="1" t="s">
        <v>15</v>
      </c>
      <c r="F1000" s="26">
        <v>0</v>
      </c>
      <c r="G1000" s="26">
        <v>72</v>
      </c>
      <c r="H1000" s="26">
        <v>72</v>
      </c>
      <c r="I1000" s="26">
        <v>999999.99999999988</v>
      </c>
      <c r="J1000" s="26">
        <v>3960000</v>
      </c>
    </row>
    <row r="1001" spans="1:10">
      <c r="A1001" s="24">
        <v>999</v>
      </c>
      <c r="B1001" s="24">
        <f t="shared" si="18"/>
        <v>782</v>
      </c>
      <c r="C1001" s="1" t="s">
        <v>1438</v>
      </c>
      <c r="D1001" s="1" t="s">
        <v>8</v>
      </c>
      <c r="E1001" s="1" t="s">
        <v>15</v>
      </c>
      <c r="F1001" s="26">
        <v>0</v>
      </c>
      <c r="G1001" s="26">
        <v>72</v>
      </c>
      <c r="H1001" s="26">
        <v>72</v>
      </c>
      <c r="I1001" s="26">
        <v>999999.99999999988</v>
      </c>
      <c r="J1001" s="26">
        <v>3960000</v>
      </c>
    </row>
    <row r="1002" spans="1:10">
      <c r="A1002" s="24">
        <v>1000</v>
      </c>
      <c r="B1002" s="24">
        <f t="shared" si="18"/>
        <v>782</v>
      </c>
      <c r="C1002" s="1" t="s">
        <v>1438</v>
      </c>
      <c r="D1002" s="1" t="s">
        <v>9</v>
      </c>
      <c r="E1002" s="1" t="s">
        <v>15</v>
      </c>
      <c r="F1002" s="26">
        <v>0</v>
      </c>
      <c r="G1002" s="26">
        <v>72</v>
      </c>
      <c r="H1002" s="26">
        <v>72</v>
      </c>
      <c r="I1002" s="26">
        <v>999999.99999999988</v>
      </c>
      <c r="J1002" s="26">
        <v>3960000</v>
      </c>
    </row>
    <row r="1003" spans="1:10">
      <c r="A1003" s="24">
        <v>1001</v>
      </c>
      <c r="B1003" s="24">
        <f t="shared" si="18"/>
        <v>783</v>
      </c>
      <c r="C1003" s="1" t="s">
        <v>1439</v>
      </c>
      <c r="D1003" s="1" t="s">
        <v>8</v>
      </c>
      <c r="E1003" s="1" t="s">
        <v>15</v>
      </c>
      <c r="F1003" s="26">
        <v>0</v>
      </c>
      <c r="G1003" s="26">
        <v>180</v>
      </c>
      <c r="H1003" s="26">
        <v>180</v>
      </c>
      <c r="I1003" s="26">
        <v>2499999.9999999995</v>
      </c>
      <c r="J1003" s="26">
        <v>9900000</v>
      </c>
    </row>
    <row r="1004" spans="1:10">
      <c r="A1004" s="24">
        <v>1002</v>
      </c>
      <c r="B1004" s="24">
        <f t="shared" si="18"/>
        <v>783</v>
      </c>
      <c r="C1004" s="1" t="s">
        <v>1439</v>
      </c>
      <c r="D1004" s="1" t="s">
        <v>9</v>
      </c>
      <c r="E1004" s="1" t="s">
        <v>15</v>
      </c>
      <c r="F1004" s="26">
        <v>0</v>
      </c>
      <c r="G1004" s="26">
        <v>180</v>
      </c>
      <c r="H1004" s="26">
        <v>180</v>
      </c>
      <c r="I1004" s="26">
        <v>2499999.9999999995</v>
      </c>
      <c r="J1004" s="26">
        <v>9900000</v>
      </c>
    </row>
    <row r="1005" spans="1:10">
      <c r="A1005" s="24">
        <v>1003</v>
      </c>
      <c r="B1005" s="24">
        <f t="shared" si="18"/>
        <v>784</v>
      </c>
      <c r="C1005" s="1" t="s">
        <v>1440</v>
      </c>
      <c r="D1005" s="1" t="s">
        <v>8</v>
      </c>
      <c r="E1005" s="1" t="s">
        <v>15</v>
      </c>
      <c r="F1005" s="26">
        <v>0</v>
      </c>
      <c r="G1005" s="26">
        <v>120</v>
      </c>
      <c r="H1005" s="26">
        <v>120</v>
      </c>
      <c r="I1005" s="26">
        <v>1666666.6666666665</v>
      </c>
      <c r="J1005" s="26">
        <v>6600000</v>
      </c>
    </row>
    <row r="1006" spans="1:10">
      <c r="A1006" s="24">
        <v>1004</v>
      </c>
      <c r="B1006" s="24">
        <f t="shared" si="18"/>
        <v>784</v>
      </c>
      <c r="C1006" s="1" t="s">
        <v>1440</v>
      </c>
      <c r="D1006" s="1" t="s">
        <v>9</v>
      </c>
      <c r="E1006" s="1" t="s">
        <v>15</v>
      </c>
      <c r="F1006" s="26">
        <v>0</v>
      </c>
      <c r="G1006" s="26">
        <v>120</v>
      </c>
      <c r="H1006" s="26">
        <v>120</v>
      </c>
      <c r="I1006" s="26">
        <v>1666666.6666666665</v>
      </c>
      <c r="J1006" s="26">
        <v>6600000</v>
      </c>
    </row>
    <row r="1007" spans="1:10">
      <c r="A1007" s="24">
        <v>1005</v>
      </c>
      <c r="B1007" s="24">
        <f t="shared" si="18"/>
        <v>785</v>
      </c>
      <c r="C1007" s="1" t="s">
        <v>1441</v>
      </c>
      <c r="D1007" s="1" t="s">
        <v>8</v>
      </c>
      <c r="E1007" s="1" t="s">
        <v>15</v>
      </c>
      <c r="F1007" s="26">
        <v>0</v>
      </c>
      <c r="G1007" s="26">
        <v>120</v>
      </c>
      <c r="H1007" s="26">
        <v>120</v>
      </c>
      <c r="I1007" s="26">
        <v>1666666.6666666665</v>
      </c>
      <c r="J1007" s="26">
        <v>6600000</v>
      </c>
    </row>
    <row r="1008" spans="1:10">
      <c r="A1008" s="24">
        <v>1006</v>
      </c>
      <c r="B1008" s="24">
        <f t="shared" si="18"/>
        <v>785</v>
      </c>
      <c r="C1008" s="1" t="s">
        <v>1441</v>
      </c>
      <c r="D1008" s="1" t="s">
        <v>9</v>
      </c>
      <c r="E1008" s="1" t="s">
        <v>15</v>
      </c>
      <c r="F1008" s="26">
        <v>0</v>
      </c>
      <c r="G1008" s="26">
        <v>120</v>
      </c>
      <c r="H1008" s="26">
        <v>120</v>
      </c>
      <c r="I1008" s="26">
        <v>1666666.6666666665</v>
      </c>
      <c r="J1008" s="26">
        <v>6600000</v>
      </c>
    </row>
    <row r="1009" spans="1:10">
      <c r="A1009" s="24">
        <v>1007</v>
      </c>
      <c r="B1009" s="24">
        <f t="shared" si="18"/>
        <v>786</v>
      </c>
      <c r="C1009" s="1" t="s">
        <v>1442</v>
      </c>
      <c r="D1009" s="1" t="s">
        <v>8</v>
      </c>
      <c r="E1009" s="1" t="s">
        <v>15</v>
      </c>
      <c r="F1009" s="26">
        <v>0</v>
      </c>
      <c r="G1009" s="26">
        <v>120</v>
      </c>
      <c r="H1009" s="26">
        <v>120</v>
      </c>
      <c r="I1009" s="26">
        <v>1787878.7878787876</v>
      </c>
      <c r="J1009" s="26">
        <v>7080000</v>
      </c>
    </row>
    <row r="1010" spans="1:10">
      <c r="A1010" s="24">
        <v>1008</v>
      </c>
      <c r="B1010" s="24">
        <f t="shared" si="18"/>
        <v>786</v>
      </c>
      <c r="C1010" s="1" t="s">
        <v>1442</v>
      </c>
      <c r="D1010" s="1" t="s">
        <v>9</v>
      </c>
      <c r="E1010" s="1" t="s">
        <v>15</v>
      </c>
      <c r="F1010" s="26">
        <v>0</v>
      </c>
      <c r="G1010" s="26">
        <v>120</v>
      </c>
      <c r="H1010" s="26">
        <v>120</v>
      </c>
      <c r="I1010" s="26">
        <v>1787878.7878787876</v>
      </c>
      <c r="J1010" s="26">
        <v>7080000</v>
      </c>
    </row>
    <row r="1011" spans="1:10">
      <c r="A1011" s="24">
        <v>1009</v>
      </c>
      <c r="B1011" s="24">
        <f t="shared" si="18"/>
        <v>787</v>
      </c>
      <c r="C1011" s="1" t="s">
        <v>1443</v>
      </c>
      <c r="D1011" s="1" t="s">
        <v>8</v>
      </c>
      <c r="E1011" s="1" t="s">
        <v>15</v>
      </c>
      <c r="F1011" s="26">
        <v>0</v>
      </c>
      <c r="G1011" s="26">
        <v>72</v>
      </c>
      <c r="H1011" s="26">
        <v>72</v>
      </c>
      <c r="I1011" s="26">
        <v>1181818.1818181816</v>
      </c>
      <c r="J1011" s="26">
        <v>4680000</v>
      </c>
    </row>
    <row r="1012" spans="1:10">
      <c r="A1012" s="24">
        <v>1010</v>
      </c>
      <c r="B1012" s="24">
        <f t="shared" si="18"/>
        <v>787</v>
      </c>
      <c r="C1012" s="1" t="s">
        <v>1443</v>
      </c>
      <c r="D1012" s="1" t="s">
        <v>9</v>
      </c>
      <c r="E1012" s="1" t="s">
        <v>15</v>
      </c>
      <c r="F1012" s="26">
        <v>0</v>
      </c>
      <c r="G1012" s="26">
        <v>72</v>
      </c>
      <c r="H1012" s="26">
        <v>72</v>
      </c>
      <c r="I1012" s="26">
        <v>1181818.1818181816</v>
      </c>
      <c r="J1012" s="26">
        <v>4680000</v>
      </c>
    </row>
    <row r="1013" spans="1:10">
      <c r="A1013" s="24">
        <v>1011</v>
      </c>
      <c r="B1013" s="24">
        <f t="shared" si="18"/>
        <v>788</v>
      </c>
      <c r="C1013" s="1" t="s">
        <v>1444</v>
      </c>
      <c r="D1013" s="1" t="s">
        <v>8</v>
      </c>
      <c r="E1013" s="1" t="s">
        <v>15</v>
      </c>
      <c r="F1013" s="26">
        <v>0</v>
      </c>
      <c r="G1013" s="26">
        <v>120</v>
      </c>
      <c r="H1013" s="26">
        <v>120</v>
      </c>
      <c r="I1013" s="26">
        <v>1787878.7878787876</v>
      </c>
      <c r="J1013" s="26">
        <v>7080000</v>
      </c>
    </row>
    <row r="1014" spans="1:10">
      <c r="A1014" s="24">
        <v>1012</v>
      </c>
      <c r="B1014" s="24">
        <f t="shared" si="18"/>
        <v>788</v>
      </c>
      <c r="C1014" s="1" t="s">
        <v>1444</v>
      </c>
      <c r="D1014" s="1" t="s">
        <v>9</v>
      </c>
      <c r="E1014" s="1" t="s">
        <v>15</v>
      </c>
      <c r="F1014" s="26">
        <v>0</v>
      </c>
      <c r="G1014" s="26">
        <v>120</v>
      </c>
      <c r="H1014" s="26">
        <v>120</v>
      </c>
      <c r="I1014" s="26">
        <v>1787878.7878787876</v>
      </c>
      <c r="J1014" s="26">
        <v>7080000</v>
      </c>
    </row>
    <row r="1015" spans="1:10">
      <c r="A1015" s="24">
        <v>1013</v>
      </c>
      <c r="B1015" s="24">
        <f t="shared" si="18"/>
        <v>789</v>
      </c>
      <c r="C1015" s="1" t="s">
        <v>1445</v>
      </c>
      <c r="D1015" s="1" t="s">
        <v>8</v>
      </c>
      <c r="E1015" s="1" t="s">
        <v>15</v>
      </c>
      <c r="F1015" s="26">
        <v>0</v>
      </c>
      <c r="G1015" s="26">
        <v>180</v>
      </c>
      <c r="H1015" s="26">
        <v>180</v>
      </c>
      <c r="I1015" s="26">
        <v>2499999.9999999995</v>
      </c>
      <c r="J1015" s="26">
        <v>9900000</v>
      </c>
    </row>
    <row r="1016" spans="1:10">
      <c r="A1016" s="24">
        <v>1014</v>
      </c>
      <c r="B1016" s="24">
        <f t="shared" si="18"/>
        <v>789</v>
      </c>
      <c r="C1016" s="1" t="s">
        <v>1445</v>
      </c>
      <c r="D1016" s="1" t="s">
        <v>9</v>
      </c>
      <c r="E1016" s="1" t="s">
        <v>15</v>
      </c>
      <c r="F1016" s="26">
        <v>0</v>
      </c>
      <c r="G1016" s="26">
        <v>180</v>
      </c>
      <c r="H1016" s="26">
        <v>180</v>
      </c>
      <c r="I1016" s="26">
        <v>2499999.9999999995</v>
      </c>
      <c r="J1016" s="26">
        <v>9900000</v>
      </c>
    </row>
    <row r="1017" spans="1:10">
      <c r="A1017" s="24">
        <v>1015</v>
      </c>
      <c r="B1017" s="24">
        <f t="shared" si="18"/>
        <v>790</v>
      </c>
      <c r="C1017" s="1" t="s">
        <v>1446</v>
      </c>
      <c r="D1017" s="1" t="s">
        <v>8</v>
      </c>
      <c r="E1017" s="1" t="s">
        <v>15</v>
      </c>
      <c r="F1017" s="26">
        <v>0</v>
      </c>
      <c r="G1017" s="26">
        <v>180</v>
      </c>
      <c r="H1017" s="26">
        <v>180</v>
      </c>
      <c r="I1017" s="26">
        <v>2499999.9999999995</v>
      </c>
      <c r="J1017" s="26">
        <v>9900000</v>
      </c>
    </row>
    <row r="1018" spans="1:10">
      <c r="A1018" s="24">
        <v>1016</v>
      </c>
      <c r="B1018" s="24">
        <f t="shared" si="18"/>
        <v>790</v>
      </c>
      <c r="C1018" s="1" t="s">
        <v>1446</v>
      </c>
      <c r="D1018" s="1" t="s">
        <v>9</v>
      </c>
      <c r="E1018" s="1" t="s">
        <v>15</v>
      </c>
      <c r="F1018" s="26">
        <v>0</v>
      </c>
      <c r="G1018" s="26">
        <v>180</v>
      </c>
      <c r="H1018" s="26">
        <v>180</v>
      </c>
      <c r="I1018" s="26">
        <v>2499999.9999999995</v>
      </c>
      <c r="J1018" s="26">
        <v>9900000</v>
      </c>
    </row>
    <row r="1019" spans="1:10">
      <c r="A1019" s="24">
        <v>1017</v>
      </c>
      <c r="B1019" s="24">
        <f t="shared" si="18"/>
        <v>791</v>
      </c>
      <c r="C1019" s="1" t="s">
        <v>1447</v>
      </c>
      <c r="D1019" s="1" t="s">
        <v>7</v>
      </c>
      <c r="E1019" s="1" t="s">
        <v>15</v>
      </c>
      <c r="F1019" s="26">
        <v>0</v>
      </c>
      <c r="G1019" s="26">
        <v>96</v>
      </c>
      <c r="H1019" s="26">
        <v>96</v>
      </c>
      <c r="I1019" s="26">
        <v>1187878.7878787878</v>
      </c>
      <c r="J1019" s="26">
        <v>4704000</v>
      </c>
    </row>
    <row r="1020" spans="1:10">
      <c r="A1020" s="24">
        <v>1018</v>
      </c>
      <c r="B1020" s="24">
        <f t="shared" si="18"/>
        <v>791</v>
      </c>
      <c r="C1020" s="1" t="s">
        <v>1447</v>
      </c>
      <c r="D1020" s="1" t="s">
        <v>8</v>
      </c>
      <c r="E1020" s="1" t="s">
        <v>15</v>
      </c>
      <c r="F1020" s="26">
        <v>0</v>
      </c>
      <c r="G1020" s="26">
        <v>132</v>
      </c>
      <c r="H1020" s="26">
        <v>132</v>
      </c>
      <c r="I1020" s="26">
        <v>1633333.3333333333</v>
      </c>
      <c r="J1020" s="26">
        <v>6468000</v>
      </c>
    </row>
    <row r="1021" spans="1:10">
      <c r="A1021" s="24">
        <v>1019</v>
      </c>
      <c r="B1021" s="24">
        <f t="shared" si="18"/>
        <v>791</v>
      </c>
      <c r="C1021" s="1" t="s">
        <v>1447</v>
      </c>
      <c r="D1021" s="1" t="s">
        <v>9</v>
      </c>
      <c r="E1021" s="1" t="s">
        <v>15</v>
      </c>
      <c r="F1021" s="26">
        <v>0</v>
      </c>
      <c r="G1021" s="26">
        <v>132</v>
      </c>
      <c r="H1021" s="26">
        <v>132</v>
      </c>
      <c r="I1021" s="26">
        <v>1633333.3333333333</v>
      </c>
      <c r="J1021" s="26">
        <v>6468000</v>
      </c>
    </row>
    <row r="1022" spans="1:10">
      <c r="A1022" s="24">
        <v>1020</v>
      </c>
      <c r="B1022" s="24">
        <f t="shared" si="18"/>
        <v>792</v>
      </c>
      <c r="C1022" s="1" t="s">
        <v>1448</v>
      </c>
      <c r="D1022" s="1" t="s">
        <v>7</v>
      </c>
      <c r="E1022" s="1" t="s">
        <v>15</v>
      </c>
      <c r="F1022" s="26">
        <v>0</v>
      </c>
      <c r="G1022" s="26">
        <v>96</v>
      </c>
      <c r="H1022" s="26">
        <v>96</v>
      </c>
      <c r="I1022" s="26">
        <v>1187878.7878787878</v>
      </c>
      <c r="J1022" s="26">
        <v>4704000</v>
      </c>
    </row>
    <row r="1023" spans="1:10">
      <c r="A1023" s="24">
        <v>1021</v>
      </c>
      <c r="B1023" s="24">
        <f t="shared" si="18"/>
        <v>792</v>
      </c>
      <c r="C1023" s="1" t="s">
        <v>1448</v>
      </c>
      <c r="D1023" s="1" t="s">
        <v>8</v>
      </c>
      <c r="E1023" s="1" t="s">
        <v>15</v>
      </c>
      <c r="F1023" s="26">
        <v>0</v>
      </c>
      <c r="G1023" s="26">
        <v>132</v>
      </c>
      <c r="H1023" s="26">
        <v>132</v>
      </c>
      <c r="I1023" s="26">
        <v>1633333.3333333333</v>
      </c>
      <c r="J1023" s="26">
        <v>6468000</v>
      </c>
    </row>
    <row r="1024" spans="1:10">
      <c r="A1024" s="24">
        <v>1022</v>
      </c>
      <c r="B1024" s="24">
        <f t="shared" si="18"/>
        <v>792</v>
      </c>
      <c r="C1024" s="1" t="s">
        <v>1448</v>
      </c>
      <c r="D1024" s="1" t="s">
        <v>9</v>
      </c>
      <c r="E1024" s="1" t="s">
        <v>15</v>
      </c>
      <c r="F1024" s="26">
        <v>0</v>
      </c>
      <c r="G1024" s="26">
        <v>132</v>
      </c>
      <c r="H1024" s="26">
        <v>132</v>
      </c>
      <c r="I1024" s="26">
        <v>1633333.3333333333</v>
      </c>
      <c r="J1024" s="26">
        <v>6468000</v>
      </c>
    </row>
    <row r="1025" spans="1:10">
      <c r="A1025" s="24">
        <v>1023</v>
      </c>
      <c r="B1025" s="24">
        <f t="shared" si="18"/>
        <v>793</v>
      </c>
      <c r="C1025" s="1" t="s">
        <v>1449</v>
      </c>
      <c r="D1025" s="1" t="s">
        <v>7</v>
      </c>
      <c r="E1025" s="1" t="s">
        <v>15</v>
      </c>
      <c r="F1025" s="26">
        <v>0</v>
      </c>
      <c r="G1025" s="26">
        <v>96</v>
      </c>
      <c r="H1025" s="26">
        <v>96</v>
      </c>
      <c r="I1025" s="26">
        <v>1187878.7878787878</v>
      </c>
      <c r="J1025" s="26">
        <v>4704000</v>
      </c>
    </row>
    <row r="1026" spans="1:10">
      <c r="A1026" s="24">
        <v>1024</v>
      </c>
      <c r="B1026" s="24">
        <f t="shared" si="18"/>
        <v>793</v>
      </c>
      <c r="C1026" s="1" t="s">
        <v>1449</v>
      </c>
      <c r="D1026" s="1" t="s">
        <v>8</v>
      </c>
      <c r="E1026" s="1" t="s">
        <v>15</v>
      </c>
      <c r="F1026" s="26">
        <v>0</v>
      </c>
      <c r="G1026" s="26">
        <v>132</v>
      </c>
      <c r="H1026" s="26">
        <v>132</v>
      </c>
      <c r="I1026" s="26">
        <v>1633333.3333333333</v>
      </c>
      <c r="J1026" s="26">
        <v>6468000</v>
      </c>
    </row>
    <row r="1027" spans="1:10">
      <c r="A1027" s="24">
        <v>1025</v>
      </c>
      <c r="B1027" s="24">
        <f t="shared" ref="B1027:B1057" si="19">IF(C1026=C1027,B1026,B1026+1)</f>
        <v>793</v>
      </c>
      <c r="C1027" s="1" t="s">
        <v>1449</v>
      </c>
      <c r="D1027" s="1" t="s">
        <v>9</v>
      </c>
      <c r="E1027" s="1" t="s">
        <v>15</v>
      </c>
      <c r="F1027" s="26">
        <v>0</v>
      </c>
      <c r="G1027" s="26">
        <v>132</v>
      </c>
      <c r="H1027" s="26">
        <v>132</v>
      </c>
      <c r="I1027" s="26">
        <v>1633333.3333333333</v>
      </c>
      <c r="J1027" s="26">
        <v>6468000</v>
      </c>
    </row>
    <row r="1028" spans="1:10">
      <c r="A1028" s="24">
        <v>1026</v>
      </c>
      <c r="B1028" s="24">
        <f t="shared" si="19"/>
        <v>794</v>
      </c>
      <c r="C1028" s="1" t="s">
        <v>1450</v>
      </c>
      <c r="D1028" s="1" t="s">
        <v>7</v>
      </c>
      <c r="E1028" s="1" t="s">
        <v>15</v>
      </c>
      <c r="F1028" s="26">
        <v>0</v>
      </c>
      <c r="G1028" s="26">
        <v>60</v>
      </c>
      <c r="H1028" s="26">
        <v>60</v>
      </c>
      <c r="I1028" s="26">
        <v>742424.24242424231</v>
      </c>
      <c r="J1028" s="26">
        <v>2940000</v>
      </c>
    </row>
    <row r="1029" spans="1:10">
      <c r="A1029" s="24">
        <v>1027</v>
      </c>
      <c r="B1029" s="24">
        <f t="shared" si="19"/>
        <v>794</v>
      </c>
      <c r="C1029" s="1" t="s">
        <v>1450</v>
      </c>
      <c r="D1029" s="1" t="s">
        <v>8</v>
      </c>
      <c r="E1029" s="1" t="s">
        <v>15</v>
      </c>
      <c r="F1029" s="26">
        <v>0</v>
      </c>
      <c r="G1029" s="26">
        <v>96</v>
      </c>
      <c r="H1029" s="26">
        <v>96</v>
      </c>
      <c r="I1029" s="26">
        <v>1187878.7878787878</v>
      </c>
      <c r="J1029" s="26">
        <v>4704000</v>
      </c>
    </row>
    <row r="1030" spans="1:10">
      <c r="A1030" s="24">
        <v>1028</v>
      </c>
      <c r="B1030" s="24">
        <f t="shared" si="19"/>
        <v>794</v>
      </c>
      <c r="C1030" s="1" t="s">
        <v>1450</v>
      </c>
      <c r="D1030" s="1" t="s">
        <v>9</v>
      </c>
      <c r="E1030" s="1" t="s">
        <v>15</v>
      </c>
      <c r="F1030" s="26">
        <v>0</v>
      </c>
      <c r="G1030" s="26">
        <v>84</v>
      </c>
      <c r="H1030" s="26">
        <v>84</v>
      </c>
      <c r="I1030" s="26">
        <v>1039393.9393939393</v>
      </c>
      <c r="J1030" s="26">
        <v>4116000</v>
      </c>
    </row>
    <row r="1031" spans="1:10">
      <c r="A1031" s="24">
        <v>1029</v>
      </c>
      <c r="B1031" s="24">
        <f t="shared" si="19"/>
        <v>795</v>
      </c>
      <c r="C1031" s="1" t="s">
        <v>775</v>
      </c>
      <c r="F1031" s="26">
        <v>0</v>
      </c>
      <c r="G1031" s="26">
        <v>4248</v>
      </c>
      <c r="H1031" s="26">
        <v>4248</v>
      </c>
      <c r="I1031" s="26">
        <v>59169696.969696991</v>
      </c>
      <c r="J1031" s="26">
        <v>234312000</v>
      </c>
    </row>
    <row r="1032" spans="1:10">
      <c r="A1032" s="24">
        <v>1030</v>
      </c>
      <c r="B1032" s="24">
        <f t="shared" si="19"/>
        <v>796</v>
      </c>
      <c r="C1032" s="1" t="s">
        <v>1451</v>
      </c>
      <c r="D1032" s="1" t="s">
        <v>4</v>
      </c>
      <c r="E1032" s="1" t="s">
        <v>14</v>
      </c>
      <c r="F1032" s="26">
        <v>0</v>
      </c>
      <c r="G1032" s="26">
        <v>700</v>
      </c>
      <c r="H1032" s="26">
        <v>700</v>
      </c>
      <c r="I1032" s="26">
        <v>3388448</v>
      </c>
      <c r="J1032" s="26">
        <v>27300000</v>
      </c>
    </row>
    <row r="1033" spans="1:10">
      <c r="A1033" s="24">
        <v>1031</v>
      </c>
      <c r="B1033" s="24">
        <f t="shared" si="19"/>
        <v>797</v>
      </c>
      <c r="C1033" s="1" t="s">
        <v>1452</v>
      </c>
      <c r="D1033" s="1" t="s">
        <v>4</v>
      </c>
      <c r="E1033" s="1" t="s">
        <v>14</v>
      </c>
      <c r="F1033" s="26">
        <v>0</v>
      </c>
      <c r="G1033" s="26">
        <v>700</v>
      </c>
      <c r="H1033" s="26">
        <v>700</v>
      </c>
      <c r="I1033" s="26">
        <v>3388448</v>
      </c>
      <c r="J1033" s="26">
        <v>27300000</v>
      </c>
    </row>
    <row r="1034" spans="1:10">
      <c r="A1034" s="24">
        <v>1032</v>
      </c>
      <c r="B1034" s="24">
        <f t="shared" si="19"/>
        <v>798</v>
      </c>
      <c r="C1034" s="1" t="s">
        <v>1453</v>
      </c>
      <c r="D1034" s="1" t="s">
        <v>4</v>
      </c>
      <c r="E1034" s="1" t="s">
        <v>14</v>
      </c>
      <c r="F1034" s="26">
        <v>0</v>
      </c>
      <c r="G1034" s="26">
        <v>700</v>
      </c>
      <c r="H1034" s="26">
        <v>700</v>
      </c>
      <c r="I1034" s="26">
        <v>3388448</v>
      </c>
      <c r="J1034" s="26">
        <v>27300000</v>
      </c>
    </row>
    <row r="1035" spans="1:10">
      <c r="A1035" s="24">
        <v>1033</v>
      </c>
      <c r="B1035" s="24">
        <f t="shared" si="19"/>
        <v>799</v>
      </c>
      <c r="C1035" s="1" t="s">
        <v>1454</v>
      </c>
      <c r="D1035" s="1" t="s">
        <v>4</v>
      </c>
      <c r="E1035" s="1" t="s">
        <v>14</v>
      </c>
      <c r="F1035" s="26">
        <v>0</v>
      </c>
      <c r="G1035" s="26">
        <v>400</v>
      </c>
      <c r="H1035" s="26">
        <v>400</v>
      </c>
      <c r="I1035" s="26">
        <v>5135808</v>
      </c>
      <c r="J1035" s="26">
        <v>26000000</v>
      </c>
    </row>
    <row r="1036" spans="1:10">
      <c r="A1036" s="24">
        <v>1034</v>
      </c>
      <c r="B1036" s="24">
        <f t="shared" si="19"/>
        <v>800</v>
      </c>
      <c r="C1036" s="1" t="s">
        <v>1455</v>
      </c>
      <c r="D1036" s="1" t="s">
        <v>4</v>
      </c>
      <c r="E1036" s="1" t="s">
        <v>14</v>
      </c>
      <c r="F1036" s="26">
        <v>0</v>
      </c>
      <c r="G1036" s="26">
        <v>400</v>
      </c>
      <c r="H1036" s="26">
        <v>400</v>
      </c>
      <c r="I1036" s="26">
        <v>5135808</v>
      </c>
      <c r="J1036" s="26">
        <v>26000000</v>
      </c>
    </row>
    <row r="1037" spans="1:10">
      <c r="A1037" s="24">
        <v>1035</v>
      </c>
      <c r="B1037" s="24">
        <f t="shared" si="19"/>
        <v>801</v>
      </c>
      <c r="C1037" s="1" t="s">
        <v>775</v>
      </c>
      <c r="F1037" s="26">
        <v>0</v>
      </c>
      <c r="G1037" s="26">
        <v>2900</v>
      </c>
      <c r="H1037" s="26">
        <v>2900</v>
      </c>
      <c r="I1037" s="26">
        <v>20436960</v>
      </c>
      <c r="J1037" s="26">
        <v>133900000</v>
      </c>
    </row>
    <row r="1038" spans="1:10">
      <c r="A1038" s="24">
        <v>1036</v>
      </c>
      <c r="B1038" s="24">
        <f t="shared" si="19"/>
        <v>802</v>
      </c>
      <c r="C1038" s="1" t="s">
        <v>1456</v>
      </c>
      <c r="D1038" s="1" t="s">
        <v>4</v>
      </c>
      <c r="E1038" s="1" t="s">
        <v>14</v>
      </c>
      <c r="F1038" s="26">
        <v>0</v>
      </c>
      <c r="G1038" s="26">
        <v>700</v>
      </c>
      <c r="H1038" s="26">
        <v>700</v>
      </c>
      <c r="I1038" s="26">
        <v>4434827.6000000015</v>
      </c>
      <c r="J1038" s="26">
        <v>31500000</v>
      </c>
    </row>
    <row r="1039" spans="1:10">
      <c r="A1039" s="24">
        <v>1037</v>
      </c>
      <c r="B1039" s="24">
        <f t="shared" si="19"/>
        <v>803</v>
      </c>
      <c r="C1039" s="1" t="s">
        <v>1457</v>
      </c>
      <c r="D1039" s="1" t="s">
        <v>4</v>
      </c>
      <c r="E1039" s="1" t="s">
        <v>14</v>
      </c>
      <c r="F1039" s="26">
        <v>0</v>
      </c>
      <c r="G1039" s="26">
        <v>700</v>
      </c>
      <c r="H1039" s="26">
        <v>700</v>
      </c>
      <c r="I1039" s="26">
        <v>4434827.6000000015</v>
      </c>
      <c r="J1039" s="26">
        <v>31500000</v>
      </c>
    </row>
    <row r="1040" spans="1:10">
      <c r="A1040" s="24">
        <v>1038</v>
      </c>
      <c r="B1040" s="24">
        <f t="shared" si="19"/>
        <v>804</v>
      </c>
      <c r="C1040" s="1" t="s">
        <v>1458</v>
      </c>
      <c r="D1040" s="1" t="s">
        <v>4</v>
      </c>
      <c r="E1040" s="1" t="s">
        <v>14</v>
      </c>
      <c r="F1040" s="26">
        <v>0</v>
      </c>
      <c r="G1040" s="26">
        <v>700</v>
      </c>
      <c r="H1040" s="26">
        <v>700</v>
      </c>
      <c r="I1040" s="26">
        <v>3006021.2000000007</v>
      </c>
      <c r="J1040" s="26">
        <v>31500000</v>
      </c>
    </row>
    <row r="1041" spans="1:10">
      <c r="A1041" s="24">
        <v>1039</v>
      </c>
      <c r="B1041" s="24">
        <f t="shared" si="19"/>
        <v>805</v>
      </c>
      <c r="C1041" s="1" t="s">
        <v>775</v>
      </c>
      <c r="F1041" s="26">
        <v>0</v>
      </c>
      <c r="G1041" s="26">
        <v>2100</v>
      </c>
      <c r="H1041" s="26">
        <v>2100</v>
      </c>
      <c r="I1041" s="26">
        <v>11875676.400000004</v>
      </c>
      <c r="J1041" s="26">
        <v>94500000</v>
      </c>
    </row>
    <row r="1042" spans="1:10">
      <c r="A1042" s="24">
        <v>1040</v>
      </c>
      <c r="B1042" s="24">
        <f t="shared" si="19"/>
        <v>806</v>
      </c>
      <c r="C1042" s="1" t="s">
        <v>1459</v>
      </c>
      <c r="D1042" s="1" t="s">
        <v>4</v>
      </c>
      <c r="E1042" s="1" t="s">
        <v>14</v>
      </c>
      <c r="F1042" s="26">
        <v>0</v>
      </c>
      <c r="G1042" s="26">
        <v>500</v>
      </c>
      <c r="H1042" s="26">
        <v>500</v>
      </c>
      <c r="I1042" s="26">
        <v>3970495</v>
      </c>
      <c r="J1042" s="26">
        <v>22500000</v>
      </c>
    </row>
    <row r="1043" spans="1:10">
      <c r="A1043" s="24">
        <v>1041</v>
      </c>
      <c r="B1043" s="24">
        <f t="shared" si="19"/>
        <v>807</v>
      </c>
      <c r="C1043" s="1" t="s">
        <v>1460</v>
      </c>
      <c r="D1043" s="1" t="s">
        <v>4</v>
      </c>
      <c r="E1043" s="1" t="s">
        <v>14</v>
      </c>
      <c r="F1043" s="26">
        <v>0</v>
      </c>
      <c r="G1043" s="26">
        <v>300</v>
      </c>
      <c r="H1043" s="26">
        <v>300</v>
      </c>
      <c r="I1043" s="26">
        <v>2384913.0000000005</v>
      </c>
      <c r="J1043" s="26">
        <v>14700000</v>
      </c>
    </row>
    <row r="1044" spans="1:10">
      <c r="A1044" s="24">
        <v>1042</v>
      </c>
      <c r="B1044" s="24">
        <f t="shared" si="19"/>
        <v>808</v>
      </c>
      <c r="C1044" s="1" t="s">
        <v>775</v>
      </c>
      <c r="F1044" s="26">
        <v>0</v>
      </c>
      <c r="G1044" s="26">
        <v>800</v>
      </c>
      <c r="H1044" s="26">
        <v>800</v>
      </c>
      <c r="I1044" s="26">
        <v>6355408</v>
      </c>
      <c r="J1044" s="26">
        <v>37200000</v>
      </c>
    </row>
    <row r="1045" spans="1:10">
      <c r="A1045" s="24">
        <v>1043</v>
      </c>
      <c r="B1045" s="24">
        <f t="shared" si="19"/>
        <v>809</v>
      </c>
      <c r="C1045" s="1" t="s">
        <v>1461</v>
      </c>
      <c r="D1045" s="1" t="s">
        <v>4</v>
      </c>
      <c r="E1045" s="1" t="s">
        <v>15</v>
      </c>
      <c r="F1045" s="26">
        <v>70</v>
      </c>
      <c r="G1045" s="26">
        <v>0</v>
      </c>
      <c r="H1045" s="26">
        <v>70</v>
      </c>
      <c r="I1045" s="26">
        <v>1403181.8181818181</v>
      </c>
      <c r="J1045" s="26">
        <v>3430000</v>
      </c>
    </row>
    <row r="1046" spans="1:10">
      <c r="A1046" s="24">
        <v>1044</v>
      </c>
      <c r="B1046" s="24">
        <f t="shared" si="19"/>
        <v>810</v>
      </c>
      <c r="C1046" s="1" t="s">
        <v>1462</v>
      </c>
      <c r="D1046" s="1" t="s">
        <v>4</v>
      </c>
      <c r="E1046" s="1" t="s">
        <v>15</v>
      </c>
      <c r="F1046" s="26">
        <v>20</v>
      </c>
      <c r="G1046" s="26">
        <v>0</v>
      </c>
      <c r="H1046" s="26">
        <v>20</v>
      </c>
      <c r="I1046" s="26">
        <v>400909.09090909088</v>
      </c>
      <c r="J1046" s="26">
        <v>980000</v>
      </c>
    </row>
    <row r="1047" spans="1:10">
      <c r="A1047" s="24">
        <v>1045</v>
      </c>
      <c r="B1047" s="24">
        <f t="shared" si="19"/>
        <v>811</v>
      </c>
      <c r="C1047" s="1" t="s">
        <v>1463</v>
      </c>
      <c r="D1047" s="1" t="s">
        <v>4</v>
      </c>
      <c r="E1047" s="1" t="s">
        <v>15</v>
      </c>
      <c r="F1047" s="26">
        <v>50</v>
      </c>
      <c r="G1047" s="26">
        <v>0</v>
      </c>
      <c r="H1047" s="26">
        <v>50</v>
      </c>
      <c r="I1047" s="26">
        <v>1002272.7272727272</v>
      </c>
      <c r="J1047" s="26">
        <v>2450000</v>
      </c>
    </row>
    <row r="1048" spans="1:10">
      <c r="A1048" s="24">
        <v>1046</v>
      </c>
      <c r="B1048" s="24">
        <f t="shared" si="19"/>
        <v>812</v>
      </c>
      <c r="C1048" s="1" t="s">
        <v>1464</v>
      </c>
      <c r="D1048" s="1" t="s">
        <v>4</v>
      </c>
      <c r="E1048" s="1" t="s">
        <v>15</v>
      </c>
      <c r="F1048" s="26">
        <v>35</v>
      </c>
      <c r="G1048" s="26">
        <v>0</v>
      </c>
      <c r="H1048" s="26">
        <v>35</v>
      </c>
      <c r="I1048" s="26">
        <v>701590.90909090906</v>
      </c>
      <c r="J1048" s="26">
        <v>1715000</v>
      </c>
    </row>
    <row r="1049" spans="1:10">
      <c r="A1049" s="24">
        <v>1047</v>
      </c>
      <c r="B1049" s="24">
        <f t="shared" si="19"/>
        <v>813</v>
      </c>
      <c r="C1049" s="1" t="s">
        <v>1465</v>
      </c>
      <c r="D1049" s="1" t="s">
        <v>4</v>
      </c>
      <c r="E1049" s="1" t="s">
        <v>15</v>
      </c>
      <c r="F1049" s="26">
        <v>37</v>
      </c>
      <c r="G1049" s="26">
        <v>0</v>
      </c>
      <c r="H1049" s="26">
        <v>37</v>
      </c>
      <c r="I1049" s="26">
        <v>741681.81818181812</v>
      </c>
      <c r="J1049" s="26">
        <v>1813000</v>
      </c>
    </row>
    <row r="1050" spans="1:10">
      <c r="A1050" s="24">
        <v>1048</v>
      </c>
      <c r="B1050" s="24">
        <f t="shared" si="19"/>
        <v>814</v>
      </c>
      <c r="C1050" s="1" t="s">
        <v>1466</v>
      </c>
      <c r="D1050" s="1" t="s">
        <v>4</v>
      </c>
      <c r="E1050" s="1" t="s">
        <v>15</v>
      </c>
      <c r="F1050" s="26">
        <v>10</v>
      </c>
      <c r="G1050" s="26">
        <v>0</v>
      </c>
      <c r="H1050" s="26">
        <v>10</v>
      </c>
      <c r="I1050" s="26">
        <v>200454.54545454544</v>
      </c>
      <c r="J1050" s="26">
        <v>490000</v>
      </c>
    </row>
    <row r="1051" spans="1:10">
      <c r="A1051" s="24">
        <v>1049</v>
      </c>
      <c r="B1051" s="24">
        <f t="shared" si="19"/>
        <v>815</v>
      </c>
      <c r="C1051" s="1" t="s">
        <v>1467</v>
      </c>
      <c r="D1051" s="1" t="s">
        <v>4</v>
      </c>
      <c r="E1051" s="1" t="s">
        <v>15</v>
      </c>
      <c r="F1051" s="26">
        <v>62</v>
      </c>
      <c r="G1051" s="26">
        <v>0</v>
      </c>
      <c r="H1051" s="26">
        <v>62</v>
      </c>
      <c r="I1051" s="26">
        <v>1242818.1818181816</v>
      </c>
      <c r="J1051" s="26">
        <v>3038000</v>
      </c>
    </row>
    <row r="1052" spans="1:10">
      <c r="A1052" s="24">
        <v>1050</v>
      </c>
      <c r="B1052" s="24">
        <f t="shared" si="19"/>
        <v>816</v>
      </c>
      <c r="C1052" s="1" t="s">
        <v>1468</v>
      </c>
      <c r="D1052" s="1" t="s">
        <v>4</v>
      </c>
      <c r="E1052" s="1" t="s">
        <v>15</v>
      </c>
      <c r="F1052" s="26">
        <v>13</v>
      </c>
      <c r="G1052" s="26">
        <v>0</v>
      </c>
      <c r="H1052" s="26">
        <v>13</v>
      </c>
      <c r="I1052" s="26">
        <v>260590.90909090906</v>
      </c>
      <c r="J1052" s="26">
        <v>637000</v>
      </c>
    </row>
    <row r="1053" spans="1:10">
      <c r="A1053" s="24">
        <v>1051</v>
      </c>
      <c r="B1053" s="24">
        <f t="shared" si="19"/>
        <v>817</v>
      </c>
      <c r="C1053" s="1" t="s">
        <v>1469</v>
      </c>
      <c r="D1053" s="1" t="s">
        <v>4</v>
      </c>
      <c r="E1053" s="1" t="s">
        <v>15</v>
      </c>
      <c r="F1053" s="26">
        <v>10</v>
      </c>
      <c r="G1053" s="26">
        <v>0</v>
      </c>
      <c r="H1053" s="26">
        <v>10</v>
      </c>
      <c r="I1053" s="26">
        <v>200454.54545454544</v>
      </c>
      <c r="J1053" s="26">
        <v>490000</v>
      </c>
    </row>
    <row r="1054" spans="1:10">
      <c r="A1054" s="24">
        <v>1052</v>
      </c>
      <c r="B1054" s="24">
        <f t="shared" si="19"/>
        <v>818</v>
      </c>
      <c r="C1054" s="1" t="s">
        <v>1470</v>
      </c>
      <c r="D1054" s="1" t="s">
        <v>4</v>
      </c>
      <c r="E1054" s="1" t="s">
        <v>15</v>
      </c>
      <c r="F1054" s="26">
        <v>14</v>
      </c>
      <c r="G1054" s="26">
        <v>0</v>
      </c>
      <c r="H1054" s="26">
        <v>14</v>
      </c>
      <c r="I1054" s="26">
        <v>280636.36363636365</v>
      </c>
      <c r="J1054" s="26">
        <v>686000</v>
      </c>
    </row>
    <row r="1055" spans="1:10">
      <c r="A1055" s="24">
        <v>1053</v>
      </c>
      <c r="B1055" s="24">
        <f t="shared" si="19"/>
        <v>819</v>
      </c>
      <c r="C1055" s="1" t="s">
        <v>1471</v>
      </c>
      <c r="D1055" s="1" t="s">
        <v>4</v>
      </c>
      <c r="E1055" s="1" t="s">
        <v>15</v>
      </c>
      <c r="F1055" s="26">
        <v>70</v>
      </c>
      <c r="G1055" s="26">
        <v>0</v>
      </c>
      <c r="H1055" s="26">
        <v>70</v>
      </c>
      <c r="I1055" s="26">
        <v>1403181.8181818181</v>
      </c>
      <c r="J1055" s="26">
        <v>3430000</v>
      </c>
    </row>
    <row r="1056" spans="1:10">
      <c r="A1056" s="24">
        <v>1054</v>
      </c>
      <c r="B1056" s="24">
        <f t="shared" si="19"/>
        <v>820</v>
      </c>
      <c r="C1056" s="1" t="s">
        <v>1472</v>
      </c>
      <c r="D1056" s="1" t="s">
        <v>4</v>
      </c>
      <c r="E1056" s="1" t="s">
        <v>15</v>
      </c>
      <c r="F1056" s="26">
        <v>50</v>
      </c>
      <c r="G1056" s="26">
        <v>0</v>
      </c>
      <c r="H1056" s="26">
        <v>50</v>
      </c>
      <c r="I1056" s="26">
        <v>1002272.7272727272</v>
      </c>
      <c r="J1056" s="26">
        <v>2450000</v>
      </c>
    </row>
    <row r="1057" spans="1:10">
      <c r="A1057" s="24">
        <v>1055</v>
      </c>
      <c r="B1057" s="24">
        <f t="shared" si="19"/>
        <v>821</v>
      </c>
      <c r="C1057" s="1" t="s">
        <v>1473</v>
      </c>
      <c r="D1057" s="1" t="s">
        <v>4</v>
      </c>
      <c r="E1057" s="1" t="s">
        <v>15</v>
      </c>
      <c r="F1057" s="26">
        <v>50</v>
      </c>
      <c r="G1057" s="26">
        <v>0</v>
      </c>
      <c r="H1057" s="26">
        <v>50</v>
      </c>
      <c r="I1057" s="26">
        <v>1206818.1818181819</v>
      </c>
      <c r="J1057" s="26">
        <v>2950000</v>
      </c>
    </row>
    <row r="1058" spans="1:10">
      <c r="A1058" s="24">
        <v>1056</v>
      </c>
      <c r="B1058" s="24">
        <f t="shared" ref="B1058:B1121" si="20">IF(C1057=C1058,B1057,B1057+1)</f>
        <v>822</v>
      </c>
      <c r="C1058" s="1" t="s">
        <v>1474</v>
      </c>
      <c r="D1058" s="1" t="s">
        <v>4</v>
      </c>
      <c r="E1058" s="1" t="s">
        <v>15</v>
      </c>
      <c r="F1058" s="26">
        <v>12</v>
      </c>
      <c r="G1058" s="26">
        <v>0</v>
      </c>
      <c r="H1058" s="26">
        <v>12</v>
      </c>
      <c r="I1058" s="26">
        <v>240545.45454545453</v>
      </c>
      <c r="J1058" s="26">
        <v>588000</v>
      </c>
    </row>
    <row r="1059" spans="1:10">
      <c r="A1059" s="24">
        <v>1057</v>
      </c>
      <c r="B1059" s="24">
        <f t="shared" si="20"/>
        <v>823</v>
      </c>
      <c r="C1059" s="1" t="s">
        <v>775</v>
      </c>
      <c r="F1059" s="26">
        <v>503</v>
      </c>
      <c r="G1059" s="26">
        <v>0</v>
      </c>
      <c r="H1059" s="26">
        <v>503</v>
      </c>
      <c r="I1059" s="26">
        <v>10287409.090909092</v>
      </c>
      <c r="J1059" s="26">
        <v>25147000</v>
      </c>
    </row>
    <row r="1060" spans="1:10">
      <c r="A1060" s="24">
        <v>1058</v>
      </c>
      <c r="B1060" s="24">
        <f t="shared" si="20"/>
        <v>824</v>
      </c>
      <c r="C1060" s="1" t="s">
        <v>1475</v>
      </c>
      <c r="D1060" s="1" t="s">
        <v>4</v>
      </c>
      <c r="E1060" s="1" t="s">
        <v>14</v>
      </c>
      <c r="F1060" s="26">
        <v>0</v>
      </c>
      <c r="G1060" s="26">
        <v>700</v>
      </c>
      <c r="H1060" s="26">
        <v>700</v>
      </c>
      <c r="I1060" s="26">
        <v>3332084</v>
      </c>
      <c r="J1060" s="26">
        <v>27300000</v>
      </c>
    </row>
    <row r="1061" spans="1:10">
      <c r="A1061" s="24">
        <v>1059</v>
      </c>
      <c r="B1061" s="24">
        <f t="shared" si="20"/>
        <v>825</v>
      </c>
      <c r="C1061" s="1" t="s">
        <v>1476</v>
      </c>
      <c r="D1061" s="1" t="s">
        <v>4</v>
      </c>
      <c r="E1061" s="1" t="s">
        <v>14</v>
      </c>
      <c r="F1061" s="26">
        <v>0</v>
      </c>
      <c r="G1061" s="26">
        <v>700</v>
      </c>
      <c r="H1061" s="26">
        <v>700</v>
      </c>
      <c r="I1061" s="26">
        <v>3332084</v>
      </c>
      <c r="J1061" s="26">
        <v>27300000</v>
      </c>
    </row>
    <row r="1062" spans="1:10">
      <c r="A1062" s="24">
        <v>1060</v>
      </c>
      <c r="B1062" s="24">
        <f t="shared" si="20"/>
        <v>826</v>
      </c>
      <c r="C1062" s="1" t="s">
        <v>775</v>
      </c>
      <c r="F1062" s="26">
        <v>0</v>
      </c>
      <c r="G1062" s="26">
        <v>1400</v>
      </c>
      <c r="H1062" s="26">
        <v>1400</v>
      </c>
      <c r="I1062" s="26">
        <v>6664168</v>
      </c>
      <c r="J1062" s="26">
        <v>54600000</v>
      </c>
    </row>
    <row r="1063" spans="1:10">
      <c r="A1063" s="24">
        <v>1061</v>
      </c>
      <c r="B1063" s="24">
        <f t="shared" si="20"/>
        <v>827</v>
      </c>
      <c r="C1063" s="1" t="s">
        <v>1481</v>
      </c>
      <c r="D1063" s="1" t="s">
        <v>4</v>
      </c>
      <c r="E1063" s="1" t="s">
        <v>14</v>
      </c>
      <c r="F1063" s="26">
        <v>0</v>
      </c>
      <c r="G1063" s="26">
        <v>1000</v>
      </c>
      <c r="H1063" s="26">
        <v>1000</v>
      </c>
      <c r="I1063" s="26">
        <v>7733880.0000000009</v>
      </c>
      <c r="J1063" s="26">
        <v>59000000</v>
      </c>
    </row>
    <row r="1064" spans="1:10">
      <c r="A1064" s="24">
        <v>1062</v>
      </c>
      <c r="B1064" s="24">
        <f t="shared" si="20"/>
        <v>828</v>
      </c>
      <c r="C1064" s="1" t="s">
        <v>1482</v>
      </c>
      <c r="D1064" s="1" t="s">
        <v>4</v>
      </c>
      <c r="E1064" s="1" t="s">
        <v>14</v>
      </c>
      <c r="F1064" s="26">
        <v>0</v>
      </c>
      <c r="G1064" s="26">
        <v>500</v>
      </c>
      <c r="H1064" s="26">
        <v>500</v>
      </c>
      <c r="I1064" s="26">
        <v>3866940.0000000005</v>
      </c>
      <c r="J1064" s="26">
        <v>29500000</v>
      </c>
    </row>
    <row r="1065" spans="1:10">
      <c r="A1065" s="24">
        <v>1063</v>
      </c>
      <c r="B1065" s="24">
        <f t="shared" si="20"/>
        <v>829</v>
      </c>
      <c r="C1065" s="1" t="s">
        <v>1483</v>
      </c>
      <c r="D1065" s="1" t="s">
        <v>4</v>
      </c>
      <c r="E1065" s="1" t="s">
        <v>14</v>
      </c>
      <c r="F1065" s="26">
        <v>0</v>
      </c>
      <c r="G1065" s="26">
        <v>1000</v>
      </c>
      <c r="H1065" s="26">
        <v>1000</v>
      </c>
      <c r="I1065" s="26">
        <v>7733880.0000000009</v>
      </c>
      <c r="J1065" s="26">
        <v>59000000</v>
      </c>
    </row>
    <row r="1066" spans="1:10">
      <c r="A1066" s="24">
        <v>1064</v>
      </c>
      <c r="B1066" s="24">
        <f t="shared" si="20"/>
        <v>830</v>
      </c>
      <c r="C1066" s="1" t="s">
        <v>1484</v>
      </c>
      <c r="D1066" s="1" t="s">
        <v>4</v>
      </c>
      <c r="E1066" s="1" t="s">
        <v>14</v>
      </c>
      <c r="F1066" s="26">
        <v>0</v>
      </c>
      <c r="G1066" s="26">
        <v>500</v>
      </c>
      <c r="H1066" s="26">
        <v>500</v>
      </c>
      <c r="I1066" s="26">
        <v>3866940.0000000005</v>
      </c>
      <c r="J1066" s="26">
        <v>29500000</v>
      </c>
    </row>
    <row r="1067" spans="1:10">
      <c r="A1067" s="24">
        <v>1065</v>
      </c>
      <c r="B1067" s="24">
        <f t="shared" si="20"/>
        <v>831</v>
      </c>
      <c r="C1067" s="1" t="s">
        <v>1485</v>
      </c>
      <c r="D1067" s="1" t="s">
        <v>4</v>
      </c>
      <c r="E1067" s="1" t="s">
        <v>14</v>
      </c>
      <c r="F1067" s="26">
        <v>0</v>
      </c>
      <c r="G1067" s="26">
        <v>700</v>
      </c>
      <c r="H1067" s="26">
        <v>700</v>
      </c>
      <c r="I1067" s="26">
        <v>5413716.0000000009</v>
      </c>
      <c r="J1067" s="26">
        <v>41300000</v>
      </c>
    </row>
    <row r="1068" spans="1:10">
      <c r="A1068" s="24">
        <v>1066</v>
      </c>
      <c r="B1068" s="24">
        <f t="shared" si="20"/>
        <v>832</v>
      </c>
      <c r="C1068" s="1" t="s">
        <v>775</v>
      </c>
      <c r="F1068" s="26">
        <v>0</v>
      </c>
      <c r="G1068" s="26">
        <v>3700</v>
      </c>
      <c r="H1068" s="26">
        <v>3700</v>
      </c>
      <c r="I1068" s="26">
        <v>28615356.000000004</v>
      </c>
      <c r="J1068" s="26">
        <v>218300000</v>
      </c>
    </row>
    <row r="1069" spans="1:10">
      <c r="A1069" s="24">
        <v>1067</v>
      </c>
      <c r="B1069" s="24">
        <f t="shared" si="20"/>
        <v>833</v>
      </c>
      <c r="C1069" s="1" t="s">
        <v>1486</v>
      </c>
      <c r="D1069" s="1" t="s">
        <v>6</v>
      </c>
      <c r="E1069" s="1" t="s">
        <v>14</v>
      </c>
      <c r="F1069" s="26">
        <v>0</v>
      </c>
      <c r="G1069" s="26">
        <v>350</v>
      </c>
      <c r="H1069" s="26">
        <v>350</v>
      </c>
      <c r="I1069" s="26">
        <v>8400000</v>
      </c>
      <c r="J1069" s="26">
        <v>34650000</v>
      </c>
    </row>
    <row r="1070" spans="1:10">
      <c r="A1070" s="24">
        <v>1068</v>
      </c>
      <c r="B1070" s="24">
        <f t="shared" si="20"/>
        <v>833</v>
      </c>
      <c r="C1070" s="1" t="s">
        <v>1486</v>
      </c>
      <c r="D1070" s="1" t="s">
        <v>7</v>
      </c>
      <c r="E1070" s="1" t="s">
        <v>14</v>
      </c>
      <c r="F1070" s="26">
        <v>0</v>
      </c>
      <c r="G1070" s="26">
        <v>350</v>
      </c>
      <c r="H1070" s="26">
        <v>350</v>
      </c>
      <c r="I1070" s="26">
        <v>8400000</v>
      </c>
      <c r="J1070" s="26">
        <v>34650000</v>
      </c>
    </row>
    <row r="1071" spans="1:10">
      <c r="A1071" s="24">
        <v>1069</v>
      </c>
      <c r="B1071" s="24">
        <f t="shared" si="20"/>
        <v>833</v>
      </c>
      <c r="C1071" s="1" t="s">
        <v>1486</v>
      </c>
      <c r="D1071" s="1" t="s">
        <v>8</v>
      </c>
      <c r="E1071" s="1" t="s">
        <v>14</v>
      </c>
      <c r="F1071" s="26">
        <v>0</v>
      </c>
      <c r="G1071" s="26">
        <v>200</v>
      </c>
      <c r="H1071" s="26">
        <v>200</v>
      </c>
      <c r="I1071" s="26">
        <v>4800000</v>
      </c>
      <c r="J1071" s="26">
        <v>19800000</v>
      </c>
    </row>
    <row r="1072" spans="1:10">
      <c r="A1072" s="24">
        <v>1070</v>
      </c>
      <c r="B1072" s="24">
        <f t="shared" si="20"/>
        <v>833</v>
      </c>
      <c r="C1072" s="1" t="s">
        <v>1486</v>
      </c>
      <c r="D1072" s="1" t="s">
        <v>9</v>
      </c>
      <c r="E1072" s="1" t="s">
        <v>14</v>
      </c>
      <c r="F1072" s="26">
        <v>0</v>
      </c>
      <c r="G1072" s="26">
        <v>100</v>
      </c>
      <c r="H1072" s="26">
        <v>100</v>
      </c>
      <c r="I1072" s="26">
        <v>2400000</v>
      </c>
      <c r="J1072" s="26">
        <v>9900000</v>
      </c>
    </row>
    <row r="1073" spans="1:10">
      <c r="A1073" s="24">
        <v>1071</v>
      </c>
      <c r="B1073" s="24">
        <f t="shared" si="20"/>
        <v>834</v>
      </c>
      <c r="C1073" s="1" t="s">
        <v>1487</v>
      </c>
      <c r="D1073" s="1" t="s">
        <v>7</v>
      </c>
      <c r="E1073" s="1" t="s">
        <v>14</v>
      </c>
      <c r="F1073" s="26">
        <v>0</v>
      </c>
      <c r="G1073" s="26">
        <v>350</v>
      </c>
      <c r="H1073" s="26">
        <v>350</v>
      </c>
      <c r="I1073" s="26">
        <v>5460000</v>
      </c>
      <c r="J1073" s="26">
        <v>24150000</v>
      </c>
    </row>
    <row r="1074" spans="1:10">
      <c r="A1074" s="24">
        <v>1072</v>
      </c>
      <c r="B1074" s="24">
        <f t="shared" si="20"/>
        <v>834</v>
      </c>
      <c r="C1074" s="1" t="s">
        <v>1487</v>
      </c>
      <c r="D1074" s="1" t="s">
        <v>8</v>
      </c>
      <c r="E1074" s="1" t="s">
        <v>14</v>
      </c>
      <c r="F1074" s="26">
        <v>0</v>
      </c>
      <c r="G1074" s="26">
        <v>300</v>
      </c>
      <c r="H1074" s="26">
        <v>300</v>
      </c>
      <c r="I1074" s="26">
        <v>4680000</v>
      </c>
      <c r="J1074" s="26">
        <v>20700000</v>
      </c>
    </row>
    <row r="1075" spans="1:10">
      <c r="A1075" s="24">
        <v>1073</v>
      </c>
      <c r="B1075" s="24">
        <f t="shared" si="20"/>
        <v>834</v>
      </c>
      <c r="C1075" s="1" t="s">
        <v>1487</v>
      </c>
      <c r="D1075" s="1" t="s">
        <v>9</v>
      </c>
      <c r="E1075" s="1" t="s">
        <v>14</v>
      </c>
      <c r="F1075" s="26">
        <v>0</v>
      </c>
      <c r="G1075" s="26">
        <v>150</v>
      </c>
      <c r="H1075" s="26">
        <v>150</v>
      </c>
      <c r="I1075" s="26">
        <v>2340000</v>
      </c>
      <c r="J1075" s="26">
        <v>10350000</v>
      </c>
    </row>
    <row r="1076" spans="1:10">
      <c r="A1076" s="24">
        <v>1074</v>
      </c>
      <c r="B1076" s="24">
        <f t="shared" si="20"/>
        <v>835</v>
      </c>
      <c r="C1076" s="1" t="s">
        <v>1488</v>
      </c>
      <c r="D1076" s="1" t="s">
        <v>7</v>
      </c>
      <c r="E1076" s="1" t="s">
        <v>14</v>
      </c>
      <c r="F1076" s="26">
        <v>0</v>
      </c>
      <c r="G1076" s="26">
        <v>400</v>
      </c>
      <c r="H1076" s="26">
        <v>400</v>
      </c>
      <c r="I1076" s="26">
        <v>9600000</v>
      </c>
      <c r="J1076" s="26">
        <v>39600000</v>
      </c>
    </row>
    <row r="1077" spans="1:10">
      <c r="A1077" s="24">
        <v>1075</v>
      </c>
      <c r="B1077" s="24">
        <f t="shared" si="20"/>
        <v>835</v>
      </c>
      <c r="C1077" s="1" t="s">
        <v>1488</v>
      </c>
      <c r="D1077" s="1" t="s">
        <v>8</v>
      </c>
      <c r="E1077" s="1" t="s">
        <v>14</v>
      </c>
      <c r="F1077" s="26">
        <v>0</v>
      </c>
      <c r="G1077" s="26">
        <v>500</v>
      </c>
      <c r="H1077" s="26">
        <v>500</v>
      </c>
      <c r="I1077" s="26">
        <v>12000000</v>
      </c>
      <c r="J1077" s="26">
        <v>49500000</v>
      </c>
    </row>
    <row r="1078" spans="1:10">
      <c r="A1078" s="24">
        <v>1076</v>
      </c>
      <c r="B1078" s="24">
        <f t="shared" si="20"/>
        <v>835</v>
      </c>
      <c r="C1078" s="1" t="s">
        <v>1488</v>
      </c>
      <c r="D1078" s="1" t="s">
        <v>9</v>
      </c>
      <c r="E1078" s="1" t="s">
        <v>14</v>
      </c>
      <c r="F1078" s="26">
        <v>0</v>
      </c>
      <c r="G1078" s="26">
        <v>350</v>
      </c>
      <c r="H1078" s="26">
        <v>350</v>
      </c>
      <c r="I1078" s="26">
        <v>8400000</v>
      </c>
      <c r="J1078" s="26">
        <v>34650000</v>
      </c>
    </row>
    <row r="1079" spans="1:10">
      <c r="A1079" s="24">
        <v>1077</v>
      </c>
      <c r="B1079" s="24">
        <f t="shared" si="20"/>
        <v>835</v>
      </c>
      <c r="C1079" s="1" t="s">
        <v>1488</v>
      </c>
      <c r="D1079" s="1" t="s">
        <v>10</v>
      </c>
      <c r="E1079" s="1" t="s">
        <v>14</v>
      </c>
      <c r="F1079" s="26">
        <v>0</v>
      </c>
      <c r="G1079" s="26">
        <v>250</v>
      </c>
      <c r="H1079" s="26">
        <v>250</v>
      </c>
      <c r="I1079" s="26">
        <v>6000000</v>
      </c>
      <c r="J1079" s="26">
        <v>24750000</v>
      </c>
    </row>
    <row r="1080" spans="1:10">
      <c r="A1080" s="24">
        <v>1078</v>
      </c>
      <c r="B1080" s="24">
        <f t="shared" si="20"/>
        <v>836</v>
      </c>
      <c r="C1080" s="1" t="s">
        <v>1489</v>
      </c>
      <c r="D1080" s="1" t="s">
        <v>7</v>
      </c>
      <c r="E1080" s="1" t="s">
        <v>14</v>
      </c>
      <c r="F1080" s="26">
        <v>0</v>
      </c>
      <c r="G1080" s="26">
        <v>400</v>
      </c>
      <c r="H1080" s="26">
        <v>400</v>
      </c>
      <c r="I1080" s="26">
        <v>6240000</v>
      </c>
      <c r="J1080" s="26">
        <v>27600000</v>
      </c>
    </row>
    <row r="1081" spans="1:10">
      <c r="A1081" s="24">
        <v>1079</v>
      </c>
      <c r="B1081" s="24">
        <f t="shared" si="20"/>
        <v>836</v>
      </c>
      <c r="C1081" s="1" t="s">
        <v>1489</v>
      </c>
      <c r="D1081" s="1" t="s">
        <v>8</v>
      </c>
      <c r="E1081" s="1" t="s">
        <v>14</v>
      </c>
      <c r="F1081" s="26">
        <v>0</v>
      </c>
      <c r="G1081" s="26">
        <v>500</v>
      </c>
      <c r="H1081" s="26">
        <v>500</v>
      </c>
      <c r="I1081" s="26">
        <v>7800000</v>
      </c>
      <c r="J1081" s="26">
        <v>34500000</v>
      </c>
    </row>
    <row r="1082" spans="1:10">
      <c r="A1082" s="24">
        <v>1080</v>
      </c>
      <c r="B1082" s="24">
        <f t="shared" si="20"/>
        <v>836</v>
      </c>
      <c r="C1082" s="1" t="s">
        <v>1489</v>
      </c>
      <c r="D1082" s="1" t="s">
        <v>9</v>
      </c>
      <c r="E1082" s="1" t="s">
        <v>14</v>
      </c>
      <c r="F1082" s="26">
        <v>0</v>
      </c>
      <c r="G1082" s="26">
        <v>300</v>
      </c>
      <c r="H1082" s="26">
        <v>300</v>
      </c>
      <c r="I1082" s="26">
        <v>4680000</v>
      </c>
      <c r="J1082" s="26">
        <v>20700000</v>
      </c>
    </row>
    <row r="1083" spans="1:10">
      <c r="A1083" s="24">
        <v>1081</v>
      </c>
      <c r="B1083" s="24">
        <f t="shared" si="20"/>
        <v>837</v>
      </c>
      <c r="C1083" s="1" t="s">
        <v>1490</v>
      </c>
      <c r="D1083" s="1" t="s">
        <v>7</v>
      </c>
      <c r="E1083" s="1" t="s">
        <v>14</v>
      </c>
      <c r="F1083" s="26">
        <v>0</v>
      </c>
      <c r="G1083" s="26">
        <v>550</v>
      </c>
      <c r="H1083" s="26">
        <v>550</v>
      </c>
      <c r="I1083" s="26">
        <v>13200000</v>
      </c>
      <c r="J1083" s="26">
        <v>54450000</v>
      </c>
    </row>
    <row r="1084" spans="1:10">
      <c r="A1084" s="24">
        <v>1082</v>
      </c>
      <c r="B1084" s="24">
        <f t="shared" si="20"/>
        <v>837</v>
      </c>
      <c r="C1084" s="1" t="s">
        <v>1490</v>
      </c>
      <c r="D1084" s="1" t="s">
        <v>8</v>
      </c>
      <c r="E1084" s="1" t="s">
        <v>14</v>
      </c>
      <c r="F1084" s="26">
        <v>0</v>
      </c>
      <c r="G1084" s="26">
        <v>450</v>
      </c>
      <c r="H1084" s="26">
        <v>450</v>
      </c>
      <c r="I1084" s="26">
        <v>10800000</v>
      </c>
      <c r="J1084" s="26">
        <v>44550000</v>
      </c>
    </row>
    <row r="1085" spans="1:10">
      <c r="A1085" s="24">
        <v>1083</v>
      </c>
      <c r="B1085" s="24">
        <f t="shared" si="20"/>
        <v>837</v>
      </c>
      <c r="C1085" s="1" t="s">
        <v>1490</v>
      </c>
      <c r="D1085" s="1" t="s">
        <v>9</v>
      </c>
      <c r="E1085" s="1" t="s">
        <v>14</v>
      </c>
      <c r="F1085" s="26">
        <v>0</v>
      </c>
      <c r="G1085" s="26">
        <v>300</v>
      </c>
      <c r="H1085" s="26">
        <v>300</v>
      </c>
      <c r="I1085" s="26">
        <v>7200000</v>
      </c>
      <c r="J1085" s="26">
        <v>29700000</v>
      </c>
    </row>
    <row r="1086" spans="1:10">
      <c r="A1086" s="24">
        <v>1084</v>
      </c>
      <c r="B1086" s="24">
        <f t="shared" si="20"/>
        <v>837</v>
      </c>
      <c r="C1086" s="1" t="s">
        <v>1490</v>
      </c>
      <c r="D1086" s="1" t="s">
        <v>10</v>
      </c>
      <c r="E1086" s="1" t="s">
        <v>14</v>
      </c>
      <c r="F1086" s="26">
        <v>0</v>
      </c>
      <c r="G1086" s="26">
        <v>200</v>
      </c>
      <c r="H1086" s="26">
        <v>200</v>
      </c>
      <c r="I1086" s="26">
        <v>4800000</v>
      </c>
      <c r="J1086" s="26">
        <v>19800000</v>
      </c>
    </row>
    <row r="1087" spans="1:10">
      <c r="A1087" s="24">
        <v>1085</v>
      </c>
      <c r="B1087" s="24">
        <f t="shared" si="20"/>
        <v>838</v>
      </c>
      <c r="C1087" s="1" t="s">
        <v>1491</v>
      </c>
      <c r="D1087" s="1" t="s">
        <v>7</v>
      </c>
      <c r="E1087" s="1" t="s">
        <v>14</v>
      </c>
      <c r="F1087" s="26">
        <v>0</v>
      </c>
      <c r="G1087" s="26">
        <v>500</v>
      </c>
      <c r="H1087" s="26">
        <v>500</v>
      </c>
      <c r="I1087" s="26">
        <v>7800000</v>
      </c>
      <c r="J1087" s="26">
        <v>34500000</v>
      </c>
    </row>
    <row r="1088" spans="1:10">
      <c r="A1088" s="24">
        <v>1086</v>
      </c>
      <c r="B1088" s="24">
        <f t="shared" si="20"/>
        <v>838</v>
      </c>
      <c r="C1088" s="1" t="s">
        <v>1491</v>
      </c>
      <c r="D1088" s="1" t="s">
        <v>8</v>
      </c>
      <c r="E1088" s="1" t="s">
        <v>14</v>
      </c>
      <c r="F1088" s="26">
        <v>0</v>
      </c>
      <c r="G1088" s="26">
        <v>400</v>
      </c>
      <c r="H1088" s="26">
        <v>400</v>
      </c>
      <c r="I1088" s="26">
        <v>6240000</v>
      </c>
      <c r="J1088" s="26">
        <v>27600000</v>
      </c>
    </row>
    <row r="1089" spans="1:10">
      <c r="A1089" s="24">
        <v>1087</v>
      </c>
      <c r="B1089" s="24">
        <f t="shared" si="20"/>
        <v>838</v>
      </c>
      <c r="C1089" s="1" t="s">
        <v>1491</v>
      </c>
      <c r="D1089" s="1" t="s">
        <v>9</v>
      </c>
      <c r="E1089" s="1" t="s">
        <v>14</v>
      </c>
      <c r="F1089" s="26">
        <v>0</v>
      </c>
      <c r="G1089" s="26">
        <v>300</v>
      </c>
      <c r="H1089" s="26">
        <v>300</v>
      </c>
      <c r="I1089" s="26">
        <v>4680000</v>
      </c>
      <c r="J1089" s="26">
        <v>20700000</v>
      </c>
    </row>
    <row r="1090" spans="1:10">
      <c r="A1090" s="24">
        <v>1088</v>
      </c>
      <c r="B1090" s="24">
        <f t="shared" si="20"/>
        <v>839</v>
      </c>
      <c r="C1090" s="1" t="s">
        <v>1492</v>
      </c>
      <c r="D1090" s="1" t="s">
        <v>6</v>
      </c>
      <c r="E1090" s="1" t="s">
        <v>14</v>
      </c>
      <c r="F1090" s="26">
        <v>0</v>
      </c>
      <c r="G1090" s="26">
        <v>300</v>
      </c>
      <c r="H1090" s="26">
        <v>300</v>
      </c>
      <c r="I1090" s="26">
        <v>7200000</v>
      </c>
      <c r="J1090" s="26">
        <v>29700000</v>
      </c>
    </row>
    <row r="1091" spans="1:10">
      <c r="A1091" s="24">
        <v>1089</v>
      </c>
      <c r="B1091" s="24">
        <f t="shared" si="20"/>
        <v>839</v>
      </c>
      <c r="C1091" s="1" t="s">
        <v>1492</v>
      </c>
      <c r="D1091" s="1" t="s">
        <v>7</v>
      </c>
      <c r="E1091" s="1" t="s">
        <v>14</v>
      </c>
      <c r="F1091" s="26">
        <v>0</v>
      </c>
      <c r="G1091" s="26">
        <v>450</v>
      </c>
      <c r="H1091" s="26">
        <v>450</v>
      </c>
      <c r="I1091" s="26">
        <v>10800000</v>
      </c>
      <c r="J1091" s="26">
        <v>44550000</v>
      </c>
    </row>
    <row r="1092" spans="1:10">
      <c r="A1092" s="24">
        <v>1090</v>
      </c>
      <c r="B1092" s="24">
        <f t="shared" si="20"/>
        <v>839</v>
      </c>
      <c r="C1092" s="1" t="s">
        <v>1492</v>
      </c>
      <c r="D1092" s="1" t="s">
        <v>8</v>
      </c>
      <c r="E1092" s="1" t="s">
        <v>14</v>
      </c>
      <c r="F1092" s="26">
        <v>0</v>
      </c>
      <c r="G1092" s="26">
        <v>550</v>
      </c>
      <c r="H1092" s="26">
        <v>550</v>
      </c>
      <c r="I1092" s="26">
        <v>13200000</v>
      </c>
      <c r="J1092" s="26">
        <v>54450000</v>
      </c>
    </row>
    <row r="1093" spans="1:10">
      <c r="A1093" s="24">
        <v>1091</v>
      </c>
      <c r="B1093" s="24">
        <f t="shared" si="20"/>
        <v>839</v>
      </c>
      <c r="C1093" s="1" t="s">
        <v>1492</v>
      </c>
      <c r="D1093" s="1" t="s">
        <v>9</v>
      </c>
      <c r="E1093" s="1" t="s">
        <v>14</v>
      </c>
      <c r="F1093" s="26">
        <v>0</v>
      </c>
      <c r="G1093" s="26">
        <v>400</v>
      </c>
      <c r="H1093" s="26">
        <v>400</v>
      </c>
      <c r="I1093" s="26">
        <v>9600000</v>
      </c>
      <c r="J1093" s="26">
        <v>39600000</v>
      </c>
    </row>
    <row r="1094" spans="1:10">
      <c r="A1094" s="24">
        <v>1092</v>
      </c>
      <c r="B1094" s="24">
        <f t="shared" si="20"/>
        <v>839</v>
      </c>
      <c r="C1094" s="1" t="s">
        <v>1492</v>
      </c>
      <c r="D1094" s="1" t="s">
        <v>10</v>
      </c>
      <c r="E1094" s="1" t="s">
        <v>14</v>
      </c>
      <c r="F1094" s="26">
        <v>0</v>
      </c>
      <c r="G1094" s="26">
        <v>300</v>
      </c>
      <c r="H1094" s="26">
        <v>300</v>
      </c>
      <c r="I1094" s="26">
        <v>7200000</v>
      </c>
      <c r="J1094" s="26">
        <v>29700000</v>
      </c>
    </row>
    <row r="1095" spans="1:10">
      <c r="A1095" s="24">
        <v>1093</v>
      </c>
      <c r="B1095" s="24">
        <f t="shared" si="20"/>
        <v>840</v>
      </c>
      <c r="C1095" s="1" t="s">
        <v>1493</v>
      </c>
      <c r="D1095" s="1" t="s">
        <v>7</v>
      </c>
      <c r="E1095" s="1" t="s">
        <v>14</v>
      </c>
      <c r="F1095" s="26">
        <v>0</v>
      </c>
      <c r="G1095" s="26">
        <v>500</v>
      </c>
      <c r="H1095" s="26">
        <v>500</v>
      </c>
      <c r="I1095" s="26">
        <v>7800000</v>
      </c>
      <c r="J1095" s="26">
        <v>34500000</v>
      </c>
    </row>
    <row r="1096" spans="1:10">
      <c r="A1096" s="24">
        <v>1094</v>
      </c>
      <c r="B1096" s="24">
        <f t="shared" si="20"/>
        <v>840</v>
      </c>
      <c r="C1096" s="1" t="s">
        <v>1493</v>
      </c>
      <c r="D1096" s="1" t="s">
        <v>8</v>
      </c>
      <c r="E1096" s="1" t="s">
        <v>14</v>
      </c>
      <c r="F1096" s="26">
        <v>0</v>
      </c>
      <c r="G1096" s="26">
        <v>600</v>
      </c>
      <c r="H1096" s="26">
        <v>600</v>
      </c>
      <c r="I1096" s="26">
        <v>9360000</v>
      </c>
      <c r="J1096" s="26">
        <v>41400000</v>
      </c>
    </row>
    <row r="1097" spans="1:10">
      <c r="A1097" s="24">
        <v>1095</v>
      </c>
      <c r="B1097" s="24">
        <f t="shared" si="20"/>
        <v>840</v>
      </c>
      <c r="C1097" s="1" t="s">
        <v>1493</v>
      </c>
      <c r="D1097" s="1" t="s">
        <v>9</v>
      </c>
      <c r="E1097" s="1" t="s">
        <v>14</v>
      </c>
      <c r="F1097" s="26">
        <v>0</v>
      </c>
      <c r="G1097" s="26">
        <v>400</v>
      </c>
      <c r="H1097" s="26">
        <v>400</v>
      </c>
      <c r="I1097" s="26">
        <v>6240000</v>
      </c>
      <c r="J1097" s="26">
        <v>27600000</v>
      </c>
    </row>
    <row r="1098" spans="1:10">
      <c r="A1098" s="24">
        <v>1096</v>
      </c>
      <c r="B1098" s="24">
        <f t="shared" si="20"/>
        <v>841</v>
      </c>
      <c r="C1098" s="1" t="s">
        <v>1494</v>
      </c>
      <c r="D1098" s="1" t="s">
        <v>6</v>
      </c>
      <c r="E1098" s="1" t="s">
        <v>14</v>
      </c>
      <c r="F1098" s="26">
        <v>0</v>
      </c>
      <c r="G1098" s="26">
        <v>400</v>
      </c>
      <c r="H1098" s="26">
        <v>400</v>
      </c>
      <c r="I1098" s="26">
        <v>8000000</v>
      </c>
      <c r="J1098" s="26">
        <v>35600000</v>
      </c>
    </row>
    <row r="1099" spans="1:10">
      <c r="A1099" s="24">
        <v>1097</v>
      </c>
      <c r="B1099" s="24">
        <f t="shared" si="20"/>
        <v>841</v>
      </c>
      <c r="C1099" s="1" t="s">
        <v>1494</v>
      </c>
      <c r="D1099" s="1" t="s">
        <v>8</v>
      </c>
      <c r="E1099" s="1" t="s">
        <v>14</v>
      </c>
      <c r="F1099" s="26">
        <v>0</v>
      </c>
      <c r="G1099" s="26">
        <v>600</v>
      </c>
      <c r="H1099" s="26">
        <v>600</v>
      </c>
      <c r="I1099" s="26">
        <v>12000000</v>
      </c>
      <c r="J1099" s="26">
        <v>53400000</v>
      </c>
    </row>
    <row r="1100" spans="1:10">
      <c r="A1100" s="24">
        <v>1098</v>
      </c>
      <c r="B1100" s="24">
        <f t="shared" si="20"/>
        <v>841</v>
      </c>
      <c r="C1100" s="1" t="s">
        <v>1494</v>
      </c>
      <c r="D1100" s="1" t="s">
        <v>10</v>
      </c>
      <c r="E1100" s="1" t="s">
        <v>14</v>
      </c>
      <c r="F1100" s="26">
        <v>0</v>
      </c>
      <c r="G1100" s="26">
        <v>500</v>
      </c>
      <c r="H1100" s="26">
        <v>500</v>
      </c>
      <c r="I1100" s="26">
        <v>10000000</v>
      </c>
      <c r="J1100" s="26">
        <v>44500000</v>
      </c>
    </row>
    <row r="1101" spans="1:10">
      <c r="A1101" s="24">
        <v>1099</v>
      </c>
      <c r="B1101" s="24">
        <f t="shared" si="20"/>
        <v>842</v>
      </c>
      <c r="C1101" s="1" t="s">
        <v>1495</v>
      </c>
      <c r="D1101" s="1" t="s">
        <v>6</v>
      </c>
      <c r="E1101" s="1" t="s">
        <v>14</v>
      </c>
      <c r="F1101" s="26">
        <v>0</v>
      </c>
      <c r="G1101" s="26">
        <v>300</v>
      </c>
      <c r="H1101" s="26">
        <v>300</v>
      </c>
      <c r="I1101" s="26">
        <v>3660000</v>
      </c>
      <c r="J1101" s="26">
        <v>17700000</v>
      </c>
    </row>
    <row r="1102" spans="1:10">
      <c r="A1102" s="24">
        <v>1100</v>
      </c>
      <c r="B1102" s="24">
        <f t="shared" si="20"/>
        <v>842</v>
      </c>
      <c r="C1102" s="1" t="s">
        <v>1495</v>
      </c>
      <c r="D1102" s="1" t="s">
        <v>8</v>
      </c>
      <c r="E1102" s="1" t="s">
        <v>14</v>
      </c>
      <c r="F1102" s="26">
        <v>0</v>
      </c>
      <c r="G1102" s="26">
        <v>500</v>
      </c>
      <c r="H1102" s="26">
        <v>500</v>
      </c>
      <c r="I1102" s="26">
        <v>6100000</v>
      </c>
      <c r="J1102" s="26">
        <v>29500000</v>
      </c>
    </row>
    <row r="1103" spans="1:10">
      <c r="A1103" s="24">
        <v>1101</v>
      </c>
      <c r="B1103" s="24">
        <f t="shared" si="20"/>
        <v>842</v>
      </c>
      <c r="C1103" s="1" t="s">
        <v>1495</v>
      </c>
      <c r="D1103" s="1" t="s">
        <v>10</v>
      </c>
      <c r="E1103" s="1" t="s">
        <v>14</v>
      </c>
      <c r="F1103" s="26">
        <v>0</v>
      </c>
      <c r="G1103" s="26">
        <v>400</v>
      </c>
      <c r="H1103" s="26">
        <v>400</v>
      </c>
      <c r="I1103" s="26">
        <v>4880000</v>
      </c>
      <c r="J1103" s="26">
        <v>23600000</v>
      </c>
    </row>
    <row r="1104" spans="1:10">
      <c r="A1104" s="24">
        <v>1102</v>
      </c>
      <c r="B1104" s="24">
        <f t="shared" si="20"/>
        <v>843</v>
      </c>
      <c r="C1104" s="1" t="s">
        <v>1496</v>
      </c>
      <c r="D1104" s="1" t="s">
        <v>6</v>
      </c>
      <c r="E1104" s="1" t="s">
        <v>14</v>
      </c>
      <c r="F1104" s="26">
        <v>0</v>
      </c>
      <c r="G1104" s="26">
        <v>400</v>
      </c>
      <c r="H1104" s="26">
        <v>400</v>
      </c>
      <c r="I1104" s="26">
        <v>8400000</v>
      </c>
      <c r="J1104" s="26">
        <v>35600000</v>
      </c>
    </row>
    <row r="1105" spans="1:10">
      <c r="A1105" s="24">
        <v>1103</v>
      </c>
      <c r="B1105" s="24">
        <f t="shared" si="20"/>
        <v>843</v>
      </c>
      <c r="C1105" s="1" t="s">
        <v>1496</v>
      </c>
      <c r="D1105" s="1" t="s">
        <v>8</v>
      </c>
      <c r="E1105" s="1" t="s">
        <v>14</v>
      </c>
      <c r="F1105" s="26">
        <v>0</v>
      </c>
      <c r="G1105" s="26">
        <v>600</v>
      </c>
      <c r="H1105" s="26">
        <v>600</v>
      </c>
      <c r="I1105" s="26">
        <v>12600000</v>
      </c>
      <c r="J1105" s="26">
        <v>53400000</v>
      </c>
    </row>
    <row r="1106" spans="1:10">
      <c r="A1106" s="24">
        <v>1104</v>
      </c>
      <c r="B1106" s="24">
        <f t="shared" si="20"/>
        <v>843</v>
      </c>
      <c r="C1106" s="1" t="s">
        <v>1496</v>
      </c>
      <c r="D1106" s="1" t="s">
        <v>10</v>
      </c>
      <c r="E1106" s="1" t="s">
        <v>14</v>
      </c>
      <c r="F1106" s="26">
        <v>0</v>
      </c>
      <c r="G1106" s="26">
        <v>500</v>
      </c>
      <c r="H1106" s="26">
        <v>500</v>
      </c>
      <c r="I1106" s="26">
        <v>10500000</v>
      </c>
      <c r="J1106" s="26">
        <v>44500000</v>
      </c>
    </row>
    <row r="1107" spans="1:10">
      <c r="A1107" s="24">
        <v>1105</v>
      </c>
      <c r="B1107" s="24">
        <f t="shared" si="20"/>
        <v>844</v>
      </c>
      <c r="C1107" s="1" t="s">
        <v>1497</v>
      </c>
      <c r="D1107" s="1" t="s">
        <v>6</v>
      </c>
      <c r="E1107" s="1" t="s">
        <v>14</v>
      </c>
      <c r="F1107" s="26">
        <v>0</v>
      </c>
      <c r="G1107" s="26">
        <v>300</v>
      </c>
      <c r="H1107" s="26">
        <v>300</v>
      </c>
      <c r="I1107" s="26">
        <v>3750000</v>
      </c>
      <c r="J1107" s="26">
        <v>17700000</v>
      </c>
    </row>
    <row r="1108" spans="1:10">
      <c r="A1108" s="24">
        <v>1106</v>
      </c>
      <c r="B1108" s="24">
        <f t="shared" si="20"/>
        <v>844</v>
      </c>
      <c r="C1108" s="1" t="s">
        <v>1497</v>
      </c>
      <c r="D1108" s="1" t="s">
        <v>8</v>
      </c>
      <c r="E1108" s="1" t="s">
        <v>14</v>
      </c>
      <c r="F1108" s="26">
        <v>0</v>
      </c>
      <c r="G1108" s="26">
        <v>500</v>
      </c>
      <c r="H1108" s="26">
        <v>500</v>
      </c>
      <c r="I1108" s="26">
        <v>6250000</v>
      </c>
      <c r="J1108" s="26">
        <v>29500000</v>
      </c>
    </row>
    <row r="1109" spans="1:10">
      <c r="A1109" s="24">
        <v>1107</v>
      </c>
      <c r="B1109" s="24">
        <f t="shared" si="20"/>
        <v>844</v>
      </c>
      <c r="C1109" s="1" t="s">
        <v>1497</v>
      </c>
      <c r="D1109" s="1" t="s">
        <v>10</v>
      </c>
      <c r="E1109" s="1" t="s">
        <v>14</v>
      </c>
      <c r="F1109" s="26">
        <v>0</v>
      </c>
      <c r="G1109" s="26">
        <v>400</v>
      </c>
      <c r="H1109" s="26">
        <v>400</v>
      </c>
      <c r="I1109" s="26">
        <v>5000000</v>
      </c>
      <c r="J1109" s="26">
        <v>23600000</v>
      </c>
    </row>
    <row r="1110" spans="1:10">
      <c r="A1110" s="24">
        <v>1108</v>
      </c>
      <c r="B1110" s="24">
        <f t="shared" si="20"/>
        <v>845</v>
      </c>
      <c r="C1110" s="1" t="s">
        <v>1498</v>
      </c>
      <c r="D1110" s="1" t="s">
        <v>6</v>
      </c>
      <c r="E1110" s="1" t="s">
        <v>14</v>
      </c>
      <c r="F1110" s="26">
        <v>0</v>
      </c>
      <c r="G1110" s="26">
        <v>400</v>
      </c>
      <c r="H1110" s="26">
        <v>400</v>
      </c>
      <c r="I1110" s="26">
        <v>8400000</v>
      </c>
      <c r="J1110" s="26">
        <v>35600000</v>
      </c>
    </row>
    <row r="1111" spans="1:10">
      <c r="A1111" s="24">
        <v>1109</v>
      </c>
      <c r="B1111" s="24">
        <f t="shared" si="20"/>
        <v>845</v>
      </c>
      <c r="C1111" s="1" t="s">
        <v>1498</v>
      </c>
      <c r="D1111" s="1" t="s">
        <v>8</v>
      </c>
      <c r="E1111" s="1" t="s">
        <v>14</v>
      </c>
      <c r="F1111" s="26">
        <v>0</v>
      </c>
      <c r="G1111" s="26">
        <v>600</v>
      </c>
      <c r="H1111" s="26">
        <v>600</v>
      </c>
      <c r="I1111" s="26">
        <v>12600000</v>
      </c>
      <c r="J1111" s="26">
        <v>53400000</v>
      </c>
    </row>
    <row r="1112" spans="1:10">
      <c r="A1112" s="24">
        <v>1110</v>
      </c>
      <c r="B1112" s="24">
        <f t="shared" si="20"/>
        <v>845</v>
      </c>
      <c r="C1112" s="1" t="s">
        <v>1498</v>
      </c>
      <c r="D1112" s="1" t="s">
        <v>10</v>
      </c>
      <c r="E1112" s="1" t="s">
        <v>14</v>
      </c>
      <c r="F1112" s="26">
        <v>0</v>
      </c>
      <c r="G1112" s="26">
        <v>500</v>
      </c>
      <c r="H1112" s="26">
        <v>500</v>
      </c>
      <c r="I1112" s="26">
        <v>10500000</v>
      </c>
      <c r="J1112" s="26">
        <v>44500000</v>
      </c>
    </row>
    <row r="1113" spans="1:10">
      <c r="A1113" s="24">
        <v>1111</v>
      </c>
      <c r="B1113" s="24">
        <f t="shared" si="20"/>
        <v>846</v>
      </c>
      <c r="C1113" s="1" t="s">
        <v>1499</v>
      </c>
      <c r="D1113" s="1" t="s">
        <v>6</v>
      </c>
      <c r="E1113" s="1" t="s">
        <v>14</v>
      </c>
      <c r="F1113" s="26">
        <v>0</v>
      </c>
      <c r="G1113" s="26">
        <v>300</v>
      </c>
      <c r="H1113" s="26">
        <v>300</v>
      </c>
      <c r="I1113" s="26">
        <v>3750000</v>
      </c>
      <c r="J1113" s="26">
        <v>17700000</v>
      </c>
    </row>
    <row r="1114" spans="1:10">
      <c r="A1114" s="24">
        <v>1112</v>
      </c>
      <c r="B1114" s="24">
        <f t="shared" si="20"/>
        <v>846</v>
      </c>
      <c r="C1114" s="1" t="s">
        <v>1499</v>
      </c>
      <c r="D1114" s="1" t="s">
        <v>8</v>
      </c>
      <c r="E1114" s="1" t="s">
        <v>14</v>
      </c>
      <c r="F1114" s="26">
        <v>0</v>
      </c>
      <c r="G1114" s="26">
        <v>500</v>
      </c>
      <c r="H1114" s="26">
        <v>500</v>
      </c>
      <c r="I1114" s="26">
        <v>6250000</v>
      </c>
      <c r="J1114" s="26">
        <v>29500000</v>
      </c>
    </row>
    <row r="1115" spans="1:10">
      <c r="A1115" s="24">
        <v>1113</v>
      </c>
      <c r="B1115" s="24">
        <f t="shared" si="20"/>
        <v>846</v>
      </c>
      <c r="C1115" s="1" t="s">
        <v>1499</v>
      </c>
      <c r="D1115" s="1" t="s">
        <v>10</v>
      </c>
      <c r="E1115" s="1" t="s">
        <v>14</v>
      </c>
      <c r="F1115" s="26">
        <v>0</v>
      </c>
      <c r="G1115" s="26">
        <v>400</v>
      </c>
      <c r="H1115" s="26">
        <v>400</v>
      </c>
      <c r="I1115" s="26">
        <v>5000000</v>
      </c>
      <c r="J1115" s="26">
        <v>23600000</v>
      </c>
    </row>
    <row r="1116" spans="1:10">
      <c r="A1116" s="24">
        <v>1114</v>
      </c>
      <c r="B1116" s="24">
        <f t="shared" si="20"/>
        <v>847</v>
      </c>
      <c r="C1116" s="1" t="s">
        <v>775</v>
      </c>
      <c r="F1116" s="26">
        <v>0</v>
      </c>
      <c r="G1116" s="26">
        <v>18800</v>
      </c>
      <c r="H1116" s="26">
        <v>18800</v>
      </c>
      <c r="I1116" s="26">
        <v>354960000</v>
      </c>
      <c r="J1116" s="26">
        <v>1531200000</v>
      </c>
    </row>
    <row r="1117" spans="1:10">
      <c r="A1117" s="24">
        <v>1115</v>
      </c>
      <c r="B1117" s="24">
        <f t="shared" si="20"/>
        <v>848</v>
      </c>
      <c r="C1117" s="1" t="s">
        <v>1500</v>
      </c>
      <c r="D1117" s="1" t="s">
        <v>4</v>
      </c>
      <c r="E1117" s="1" t="s">
        <v>14</v>
      </c>
      <c r="F1117" s="26">
        <v>0</v>
      </c>
      <c r="G1117" s="26">
        <v>2000</v>
      </c>
      <c r="H1117" s="26">
        <v>2000</v>
      </c>
      <c r="I1117" s="26">
        <v>18220000</v>
      </c>
      <c r="J1117" s="26">
        <v>118000000</v>
      </c>
    </row>
    <row r="1118" spans="1:10">
      <c r="A1118" s="24">
        <v>1116</v>
      </c>
      <c r="B1118" s="24">
        <f t="shared" si="20"/>
        <v>849</v>
      </c>
      <c r="C1118" s="1" t="s">
        <v>1501</v>
      </c>
      <c r="D1118" s="1" t="s">
        <v>4</v>
      </c>
      <c r="E1118" s="1" t="s">
        <v>14</v>
      </c>
      <c r="F1118" s="26">
        <v>0</v>
      </c>
      <c r="G1118" s="26">
        <v>2000</v>
      </c>
      <c r="H1118" s="26">
        <v>2000</v>
      </c>
      <c r="I1118" s="26">
        <v>17873500</v>
      </c>
      <c r="J1118" s="26">
        <v>110000000</v>
      </c>
    </row>
    <row r="1119" spans="1:10">
      <c r="A1119" s="24">
        <v>1117</v>
      </c>
      <c r="B1119" s="24">
        <f t="shared" si="20"/>
        <v>850</v>
      </c>
      <c r="C1119" s="1" t="s">
        <v>1502</v>
      </c>
      <c r="D1119" s="1" t="s">
        <v>4</v>
      </c>
      <c r="E1119" s="1" t="s">
        <v>14</v>
      </c>
      <c r="F1119" s="26">
        <v>0</v>
      </c>
      <c r="G1119" s="26">
        <v>1200</v>
      </c>
      <c r="H1119" s="26">
        <v>1200</v>
      </c>
      <c r="I1119" s="26">
        <v>9583200.0000000019</v>
      </c>
      <c r="J1119" s="26">
        <v>70800000</v>
      </c>
    </row>
    <row r="1120" spans="1:10">
      <c r="A1120" s="24">
        <v>1118</v>
      </c>
      <c r="B1120" s="24">
        <f t="shared" si="20"/>
        <v>851</v>
      </c>
      <c r="C1120" s="1" t="s">
        <v>1503</v>
      </c>
      <c r="D1120" s="1" t="s">
        <v>4</v>
      </c>
      <c r="E1120" s="1" t="s">
        <v>14</v>
      </c>
      <c r="F1120" s="26">
        <v>0</v>
      </c>
      <c r="G1120" s="26">
        <v>800</v>
      </c>
      <c r="H1120" s="26">
        <v>800</v>
      </c>
      <c r="I1120" s="26">
        <v>6250200</v>
      </c>
      <c r="J1120" s="26">
        <v>44000000</v>
      </c>
    </row>
    <row r="1121" spans="1:10">
      <c r="A1121" s="24">
        <v>1119</v>
      </c>
      <c r="B1121" s="24">
        <f t="shared" si="20"/>
        <v>852</v>
      </c>
      <c r="C1121" s="1" t="s">
        <v>1504</v>
      </c>
      <c r="D1121" s="1" t="s">
        <v>4</v>
      </c>
      <c r="E1121" s="1" t="s">
        <v>14</v>
      </c>
      <c r="F1121" s="26">
        <v>0</v>
      </c>
      <c r="G1121" s="26">
        <v>1000</v>
      </c>
      <c r="H1121" s="26">
        <v>1000</v>
      </c>
      <c r="I1121" s="26">
        <v>6199250</v>
      </c>
      <c r="J1121" s="26">
        <v>45000000</v>
      </c>
    </row>
    <row r="1122" spans="1:10">
      <c r="A1122" s="24">
        <v>1120</v>
      </c>
      <c r="B1122" s="24">
        <f t="shared" ref="B1122:B1185" si="21">IF(C1121=C1122,B1121,B1121+1)</f>
        <v>853</v>
      </c>
      <c r="C1122" s="1" t="s">
        <v>1505</v>
      </c>
      <c r="D1122" s="1" t="s">
        <v>4</v>
      </c>
      <c r="E1122" s="1" t="s">
        <v>14</v>
      </c>
      <c r="F1122" s="26">
        <v>0</v>
      </c>
      <c r="G1122" s="26">
        <v>1200</v>
      </c>
      <c r="H1122" s="26">
        <v>1200</v>
      </c>
      <c r="I1122" s="26">
        <v>5568000</v>
      </c>
      <c r="J1122" s="26">
        <v>54000000</v>
      </c>
    </row>
    <row r="1123" spans="1:10">
      <c r="A1123" s="24">
        <v>1121</v>
      </c>
      <c r="B1123" s="24">
        <f t="shared" si="21"/>
        <v>854</v>
      </c>
      <c r="C1123" s="1" t="s">
        <v>775</v>
      </c>
      <c r="F1123" s="26">
        <v>0</v>
      </c>
      <c r="G1123" s="26">
        <v>8200</v>
      </c>
      <c r="H1123" s="26">
        <v>8200</v>
      </c>
      <c r="I1123" s="26">
        <v>63694150</v>
      </c>
      <c r="J1123" s="26">
        <v>441800000</v>
      </c>
    </row>
    <row r="1124" spans="1:10">
      <c r="A1124" s="24">
        <v>1122</v>
      </c>
      <c r="B1124" s="24">
        <f t="shared" si="21"/>
        <v>855</v>
      </c>
      <c r="C1124" s="1" t="s">
        <v>996</v>
      </c>
      <c r="D1124" s="1" t="s">
        <v>4</v>
      </c>
      <c r="E1124" s="1" t="s">
        <v>14</v>
      </c>
      <c r="F1124" s="26">
        <v>0</v>
      </c>
      <c r="G1124" s="26">
        <v>6000</v>
      </c>
      <c r="H1124" s="26">
        <v>6000</v>
      </c>
      <c r="I1124" s="26">
        <v>25120080</v>
      </c>
      <c r="J1124" s="26">
        <v>330000000</v>
      </c>
    </row>
    <row r="1125" spans="1:10">
      <c r="A1125" s="24">
        <v>1123</v>
      </c>
      <c r="B1125" s="24">
        <f t="shared" si="21"/>
        <v>856</v>
      </c>
      <c r="C1125" s="1" t="s">
        <v>997</v>
      </c>
      <c r="D1125" s="1" t="s">
        <v>4</v>
      </c>
      <c r="E1125" s="1" t="s">
        <v>14</v>
      </c>
      <c r="F1125" s="26">
        <v>0</v>
      </c>
      <c r="G1125" s="26">
        <v>3000</v>
      </c>
      <c r="H1125" s="26">
        <v>3000</v>
      </c>
      <c r="I1125" s="26">
        <v>13635090.000000002</v>
      </c>
      <c r="J1125" s="26">
        <v>165000000</v>
      </c>
    </row>
    <row r="1126" spans="1:10">
      <c r="A1126" s="24">
        <v>1124</v>
      </c>
      <c r="B1126" s="24">
        <f t="shared" si="21"/>
        <v>857</v>
      </c>
      <c r="C1126" s="1" t="s">
        <v>775</v>
      </c>
      <c r="F1126" s="26">
        <v>0</v>
      </c>
      <c r="G1126" s="26">
        <v>9000</v>
      </c>
      <c r="H1126" s="26">
        <v>9000</v>
      </c>
      <c r="I1126" s="26">
        <v>38755170</v>
      </c>
      <c r="J1126" s="26">
        <v>495000000</v>
      </c>
    </row>
    <row r="1127" spans="1:10">
      <c r="A1127" s="24">
        <v>1125</v>
      </c>
      <c r="B1127" s="24">
        <f t="shared" si="21"/>
        <v>858</v>
      </c>
      <c r="C1127" s="1" t="s">
        <v>998</v>
      </c>
      <c r="D1127" s="1" t="s">
        <v>4</v>
      </c>
      <c r="E1127" s="1" t="s">
        <v>14</v>
      </c>
      <c r="F1127" s="26">
        <v>0</v>
      </c>
      <c r="G1127" s="26">
        <v>3000</v>
      </c>
      <c r="H1127" s="26">
        <v>3000</v>
      </c>
      <c r="I1127" s="26">
        <v>30681818.18181818</v>
      </c>
      <c r="J1127" s="26">
        <v>135000000</v>
      </c>
    </row>
    <row r="1128" spans="1:10">
      <c r="A1128" s="24">
        <v>1126</v>
      </c>
      <c r="B1128" s="24">
        <f t="shared" si="21"/>
        <v>859</v>
      </c>
      <c r="C1128" s="1" t="s">
        <v>775</v>
      </c>
      <c r="F1128" s="26">
        <v>0</v>
      </c>
      <c r="G1128" s="26">
        <v>3000</v>
      </c>
      <c r="H1128" s="26">
        <v>3000</v>
      </c>
      <c r="I1128" s="26">
        <v>30681818.18181818</v>
      </c>
      <c r="J1128" s="26">
        <v>135000000</v>
      </c>
    </row>
    <row r="1129" spans="1:10">
      <c r="A1129" s="24">
        <v>1127</v>
      </c>
      <c r="B1129" s="24">
        <f t="shared" si="21"/>
        <v>860</v>
      </c>
      <c r="C1129" s="1" t="s">
        <v>999</v>
      </c>
      <c r="D1129" s="1" t="s">
        <v>4</v>
      </c>
      <c r="E1129" s="1" t="s">
        <v>14</v>
      </c>
      <c r="F1129" s="26">
        <v>0</v>
      </c>
      <c r="G1129" s="26">
        <v>1200</v>
      </c>
      <c r="H1129" s="26">
        <v>1200</v>
      </c>
      <c r="I1129" s="26">
        <v>9729720</v>
      </c>
      <c r="J1129" s="26">
        <v>70800000</v>
      </c>
    </row>
    <row r="1130" spans="1:10">
      <c r="A1130" s="24">
        <v>1128</v>
      </c>
      <c r="B1130" s="24">
        <f t="shared" si="21"/>
        <v>861</v>
      </c>
      <c r="C1130" s="1" t="s">
        <v>775</v>
      </c>
      <c r="F1130" s="26">
        <v>0</v>
      </c>
      <c r="G1130" s="26">
        <v>1200</v>
      </c>
      <c r="H1130" s="26">
        <v>1200</v>
      </c>
      <c r="I1130" s="26">
        <v>9729720</v>
      </c>
      <c r="J1130" s="26">
        <v>70800000</v>
      </c>
    </row>
    <row r="1131" spans="1:10">
      <c r="A1131" s="24">
        <v>1129</v>
      </c>
      <c r="B1131" s="24">
        <f t="shared" si="21"/>
        <v>862</v>
      </c>
      <c r="C1131" s="1" t="s">
        <v>1500</v>
      </c>
      <c r="D1131" s="1" t="s">
        <v>4</v>
      </c>
      <c r="E1131" s="1" t="s">
        <v>14</v>
      </c>
      <c r="F1131" s="26">
        <v>0</v>
      </c>
      <c r="G1131" s="26">
        <v>3000</v>
      </c>
      <c r="H1131" s="26">
        <v>3000</v>
      </c>
      <c r="I1131" s="26">
        <v>22987012.987012986</v>
      </c>
      <c r="J1131" s="26">
        <v>177000000</v>
      </c>
    </row>
    <row r="1132" spans="1:10">
      <c r="A1132" s="24">
        <v>1130</v>
      </c>
      <c r="B1132" s="24">
        <f t="shared" si="21"/>
        <v>863</v>
      </c>
      <c r="C1132" s="1" t="s">
        <v>1501</v>
      </c>
      <c r="D1132" s="1" t="s">
        <v>4</v>
      </c>
      <c r="E1132" s="1" t="s">
        <v>14</v>
      </c>
      <c r="F1132" s="26">
        <v>0</v>
      </c>
      <c r="G1132" s="26">
        <v>3000</v>
      </c>
      <c r="H1132" s="26">
        <v>3000</v>
      </c>
      <c r="I1132" s="26">
        <v>21428571.428571425</v>
      </c>
      <c r="J1132" s="26">
        <v>165000000</v>
      </c>
    </row>
    <row r="1133" spans="1:10">
      <c r="A1133" s="24">
        <v>1131</v>
      </c>
      <c r="B1133" s="24">
        <f t="shared" si="21"/>
        <v>864</v>
      </c>
      <c r="C1133" s="1" t="s">
        <v>1502</v>
      </c>
      <c r="D1133" s="1" t="s">
        <v>4</v>
      </c>
      <c r="E1133" s="1" t="s">
        <v>14</v>
      </c>
      <c r="F1133" s="26">
        <v>0</v>
      </c>
      <c r="G1133" s="26">
        <v>1800</v>
      </c>
      <c r="H1133" s="26">
        <v>1800</v>
      </c>
      <c r="I1133" s="26">
        <v>13792207.792207791</v>
      </c>
      <c r="J1133" s="26">
        <v>106200000</v>
      </c>
    </row>
    <row r="1134" spans="1:10">
      <c r="A1134" s="24">
        <v>1132</v>
      </c>
      <c r="B1134" s="24">
        <f t="shared" si="21"/>
        <v>865</v>
      </c>
      <c r="C1134" s="1" t="s">
        <v>1503</v>
      </c>
      <c r="D1134" s="1" t="s">
        <v>4</v>
      </c>
      <c r="E1134" s="1" t="s">
        <v>14</v>
      </c>
      <c r="F1134" s="26">
        <v>0</v>
      </c>
      <c r="G1134" s="26">
        <v>1200</v>
      </c>
      <c r="H1134" s="26">
        <v>1200</v>
      </c>
      <c r="I1134" s="26">
        <v>8571428.5714285709</v>
      </c>
      <c r="J1134" s="26">
        <v>66000000</v>
      </c>
    </row>
    <row r="1135" spans="1:10">
      <c r="A1135" s="24">
        <v>1133</v>
      </c>
      <c r="B1135" s="24">
        <f t="shared" si="21"/>
        <v>866</v>
      </c>
      <c r="C1135" s="1" t="s">
        <v>1504</v>
      </c>
      <c r="D1135" s="1" t="s">
        <v>4</v>
      </c>
      <c r="E1135" s="1" t="s">
        <v>14</v>
      </c>
      <c r="F1135" s="26">
        <v>0</v>
      </c>
      <c r="G1135" s="26">
        <v>1500</v>
      </c>
      <c r="H1135" s="26">
        <v>1500</v>
      </c>
      <c r="I1135" s="26">
        <v>8766233.7662337646</v>
      </c>
      <c r="J1135" s="26">
        <v>67500000</v>
      </c>
    </row>
    <row r="1136" spans="1:10">
      <c r="A1136" s="24">
        <v>1134</v>
      </c>
      <c r="B1136" s="24">
        <f t="shared" si="21"/>
        <v>867</v>
      </c>
      <c r="C1136" s="1" t="s">
        <v>1505</v>
      </c>
      <c r="D1136" s="1" t="s">
        <v>4</v>
      </c>
      <c r="E1136" s="1" t="s">
        <v>14</v>
      </c>
      <c r="F1136" s="26">
        <v>0</v>
      </c>
      <c r="G1136" s="26">
        <v>1800</v>
      </c>
      <c r="H1136" s="26">
        <v>1800</v>
      </c>
      <c r="I1136" s="26">
        <v>10519480.519480519</v>
      </c>
      <c r="J1136" s="26">
        <v>81000000</v>
      </c>
    </row>
    <row r="1137" spans="1:10">
      <c r="A1137" s="24">
        <v>1135</v>
      </c>
      <c r="B1137" s="24">
        <f t="shared" si="21"/>
        <v>868</v>
      </c>
      <c r="C1137" s="1" t="s">
        <v>775</v>
      </c>
      <c r="F1137" s="26">
        <v>0</v>
      </c>
      <c r="G1137" s="26">
        <v>12300</v>
      </c>
      <c r="H1137" s="26">
        <v>12300</v>
      </c>
      <c r="I1137" s="26">
        <v>86064935.064935058</v>
      </c>
      <c r="J1137" s="26">
        <v>662700000</v>
      </c>
    </row>
    <row r="1138" spans="1:10">
      <c r="A1138" s="24">
        <v>1136</v>
      </c>
      <c r="B1138" s="24">
        <f t="shared" si="21"/>
        <v>869</v>
      </c>
      <c r="C1138" s="1" t="s">
        <v>999</v>
      </c>
      <c r="D1138" s="1" t="s">
        <v>4</v>
      </c>
      <c r="E1138" s="1" t="s">
        <v>14</v>
      </c>
      <c r="F1138" s="26">
        <v>0</v>
      </c>
      <c r="G1138" s="26">
        <v>1800</v>
      </c>
      <c r="H1138" s="26">
        <v>1800</v>
      </c>
      <c r="I1138" s="26">
        <v>14594580</v>
      </c>
      <c r="J1138" s="26">
        <v>106200000</v>
      </c>
    </row>
    <row r="1139" spans="1:10">
      <c r="A1139" s="24">
        <v>1137</v>
      </c>
      <c r="B1139" s="24">
        <f t="shared" si="21"/>
        <v>870</v>
      </c>
      <c r="C1139" s="1" t="s">
        <v>775</v>
      </c>
      <c r="F1139" s="26">
        <v>0</v>
      </c>
      <c r="G1139" s="26">
        <v>1800</v>
      </c>
      <c r="H1139" s="26">
        <v>1800</v>
      </c>
      <c r="I1139" s="26">
        <v>14594580</v>
      </c>
      <c r="J1139" s="26">
        <v>106200000</v>
      </c>
    </row>
    <row r="1140" spans="1:10">
      <c r="A1140" s="24">
        <v>1138</v>
      </c>
      <c r="B1140" s="24">
        <f t="shared" si="21"/>
        <v>871</v>
      </c>
      <c r="C1140" s="1" t="s">
        <v>1506</v>
      </c>
      <c r="D1140" s="1" t="s">
        <v>4</v>
      </c>
      <c r="E1140" s="1" t="s">
        <v>14</v>
      </c>
      <c r="F1140" s="26">
        <v>0</v>
      </c>
      <c r="G1140" s="26">
        <v>700</v>
      </c>
      <c r="H1140" s="26">
        <v>700</v>
      </c>
      <c r="I1140" s="26">
        <v>2458904</v>
      </c>
      <c r="J1140" s="26">
        <v>27300000</v>
      </c>
    </row>
    <row r="1141" spans="1:10">
      <c r="A1141" s="24">
        <v>1139</v>
      </c>
      <c r="B1141" s="24">
        <f t="shared" si="21"/>
        <v>872</v>
      </c>
      <c r="C1141" s="1" t="s">
        <v>1507</v>
      </c>
      <c r="D1141" s="1" t="s">
        <v>4</v>
      </c>
      <c r="E1141" s="1" t="s">
        <v>14</v>
      </c>
      <c r="F1141" s="26">
        <v>0</v>
      </c>
      <c r="G1141" s="26">
        <v>700</v>
      </c>
      <c r="H1141" s="26">
        <v>700</v>
      </c>
      <c r="I1141" s="26">
        <v>2458904</v>
      </c>
      <c r="J1141" s="26">
        <v>27300000</v>
      </c>
    </row>
    <row r="1142" spans="1:10">
      <c r="A1142" s="24">
        <v>1140</v>
      </c>
      <c r="B1142" s="24">
        <f t="shared" si="21"/>
        <v>873</v>
      </c>
      <c r="C1142" s="1" t="s">
        <v>775</v>
      </c>
      <c r="F1142" s="26">
        <v>0</v>
      </c>
      <c r="G1142" s="26">
        <v>1400</v>
      </c>
      <c r="H1142" s="26">
        <v>1400</v>
      </c>
      <c r="I1142" s="26">
        <v>4917808</v>
      </c>
      <c r="J1142" s="26">
        <v>54600000</v>
      </c>
    </row>
    <row r="1143" spans="1:10">
      <c r="A1143" s="24">
        <v>1141</v>
      </c>
      <c r="B1143" s="24">
        <f t="shared" si="21"/>
        <v>874</v>
      </c>
      <c r="C1143" s="1" t="s">
        <v>1508</v>
      </c>
      <c r="D1143" s="1" t="s">
        <v>4</v>
      </c>
      <c r="E1143" s="1" t="s">
        <v>15</v>
      </c>
      <c r="F1143" s="26">
        <v>20</v>
      </c>
      <c r="G1143" s="26">
        <v>0</v>
      </c>
      <c r="H1143" s="26">
        <v>20</v>
      </c>
      <c r="I1143" s="26">
        <v>400909.09090909088</v>
      </c>
      <c r="J1143" s="26">
        <v>980000</v>
      </c>
    </row>
    <row r="1144" spans="1:10">
      <c r="A1144" s="24">
        <v>1142</v>
      </c>
      <c r="B1144" s="24">
        <f t="shared" si="21"/>
        <v>875</v>
      </c>
      <c r="C1144" s="1" t="s">
        <v>1509</v>
      </c>
      <c r="D1144" s="1" t="s">
        <v>4</v>
      </c>
      <c r="E1144" s="1" t="s">
        <v>15</v>
      </c>
      <c r="F1144" s="26">
        <v>28</v>
      </c>
      <c r="G1144" s="26">
        <v>0</v>
      </c>
      <c r="H1144" s="26">
        <v>30</v>
      </c>
      <c r="I1144" s="26">
        <v>601363.63636363635</v>
      </c>
      <c r="J1144" s="26">
        <v>1470000</v>
      </c>
    </row>
    <row r="1145" spans="1:10">
      <c r="A1145" s="24">
        <v>1143</v>
      </c>
      <c r="B1145" s="24">
        <f t="shared" si="21"/>
        <v>876</v>
      </c>
      <c r="C1145" s="1" t="s">
        <v>1510</v>
      </c>
      <c r="D1145" s="1" t="s">
        <v>4</v>
      </c>
      <c r="E1145" s="1" t="s">
        <v>15</v>
      </c>
      <c r="F1145" s="26">
        <v>30</v>
      </c>
      <c r="G1145" s="26">
        <v>0</v>
      </c>
      <c r="H1145" s="26">
        <v>30</v>
      </c>
      <c r="I1145" s="26">
        <v>601363.63636363635</v>
      </c>
      <c r="J1145" s="26">
        <v>1470000</v>
      </c>
    </row>
    <row r="1146" spans="1:10">
      <c r="A1146" s="24">
        <v>1144</v>
      </c>
      <c r="B1146" s="24">
        <f t="shared" si="21"/>
        <v>877</v>
      </c>
      <c r="C1146" s="1" t="s">
        <v>1511</v>
      </c>
      <c r="D1146" s="1" t="s">
        <v>4</v>
      </c>
      <c r="E1146" s="1" t="s">
        <v>15</v>
      </c>
      <c r="F1146" s="26">
        <v>25</v>
      </c>
      <c r="G1146" s="26">
        <v>0</v>
      </c>
      <c r="H1146" s="26">
        <v>25</v>
      </c>
      <c r="I1146" s="26">
        <v>501136.36363636359</v>
      </c>
      <c r="J1146" s="26">
        <v>1225000</v>
      </c>
    </row>
    <row r="1147" spans="1:10">
      <c r="A1147" s="24">
        <v>1145</v>
      </c>
      <c r="B1147" s="24">
        <f t="shared" si="21"/>
        <v>878</v>
      </c>
      <c r="C1147" s="1" t="s">
        <v>1512</v>
      </c>
      <c r="D1147" s="1" t="s">
        <v>4</v>
      </c>
      <c r="E1147" s="1" t="s">
        <v>15</v>
      </c>
      <c r="F1147" s="26">
        <v>25</v>
      </c>
      <c r="G1147" s="26">
        <v>0</v>
      </c>
      <c r="H1147" s="26">
        <v>25</v>
      </c>
      <c r="I1147" s="26">
        <v>501136.36363636359</v>
      </c>
      <c r="J1147" s="26">
        <v>1225000</v>
      </c>
    </row>
    <row r="1148" spans="1:10">
      <c r="A1148" s="24">
        <v>1146</v>
      </c>
      <c r="B1148" s="24">
        <f t="shared" si="21"/>
        <v>879</v>
      </c>
      <c r="C1148" s="1" t="s">
        <v>1513</v>
      </c>
      <c r="D1148" s="1" t="s">
        <v>4</v>
      </c>
      <c r="E1148" s="1" t="s">
        <v>15</v>
      </c>
      <c r="F1148" s="26">
        <v>20</v>
      </c>
      <c r="G1148" s="26">
        <v>0</v>
      </c>
      <c r="H1148" s="26">
        <v>20</v>
      </c>
      <c r="I1148" s="26">
        <v>400909.09090909088</v>
      </c>
      <c r="J1148" s="26">
        <v>980000</v>
      </c>
    </row>
    <row r="1149" spans="1:10">
      <c r="A1149" s="24">
        <v>1147</v>
      </c>
      <c r="B1149" s="24">
        <f t="shared" si="21"/>
        <v>880</v>
      </c>
      <c r="C1149" s="1" t="s">
        <v>1514</v>
      </c>
      <c r="D1149" s="1" t="s">
        <v>4</v>
      </c>
      <c r="E1149" s="1" t="s">
        <v>15</v>
      </c>
      <c r="F1149" s="26">
        <v>25</v>
      </c>
      <c r="G1149" s="26">
        <v>0</v>
      </c>
      <c r="H1149" s="26">
        <v>25</v>
      </c>
      <c r="I1149" s="26">
        <v>501136.36363636359</v>
      </c>
      <c r="J1149" s="26">
        <v>1225000</v>
      </c>
    </row>
    <row r="1150" spans="1:10">
      <c r="A1150" s="24">
        <v>1148</v>
      </c>
      <c r="B1150" s="24">
        <f t="shared" si="21"/>
        <v>881</v>
      </c>
      <c r="C1150" s="1" t="s">
        <v>1515</v>
      </c>
      <c r="D1150" s="1" t="s">
        <v>4</v>
      </c>
      <c r="E1150" s="1" t="s">
        <v>15</v>
      </c>
      <c r="F1150" s="26">
        <v>15</v>
      </c>
      <c r="G1150" s="26">
        <v>0</v>
      </c>
      <c r="H1150" s="26">
        <v>15</v>
      </c>
      <c r="I1150" s="26">
        <v>300681.81818181818</v>
      </c>
      <c r="J1150" s="26">
        <v>735000</v>
      </c>
    </row>
    <row r="1151" spans="1:10">
      <c r="A1151" s="24">
        <v>1149</v>
      </c>
      <c r="B1151" s="24">
        <f t="shared" si="21"/>
        <v>882</v>
      </c>
      <c r="C1151" s="1" t="s">
        <v>1516</v>
      </c>
      <c r="D1151" s="1" t="s">
        <v>4</v>
      </c>
      <c r="E1151" s="1" t="s">
        <v>15</v>
      </c>
      <c r="F1151" s="26">
        <v>20</v>
      </c>
      <c r="G1151" s="26">
        <v>0</v>
      </c>
      <c r="H1151" s="26">
        <v>20</v>
      </c>
      <c r="I1151" s="26">
        <v>400909.09090909088</v>
      </c>
      <c r="J1151" s="26">
        <v>980000</v>
      </c>
    </row>
    <row r="1152" spans="1:10">
      <c r="A1152" s="24">
        <v>1150</v>
      </c>
      <c r="B1152" s="24">
        <f t="shared" si="21"/>
        <v>883</v>
      </c>
      <c r="C1152" s="1" t="s">
        <v>1517</v>
      </c>
      <c r="D1152" s="1" t="s">
        <v>4</v>
      </c>
      <c r="E1152" s="1" t="s">
        <v>15</v>
      </c>
      <c r="F1152" s="26">
        <v>25</v>
      </c>
      <c r="G1152" s="26">
        <v>0</v>
      </c>
      <c r="H1152" s="26">
        <v>25</v>
      </c>
      <c r="I1152" s="26">
        <v>501136.36363636359</v>
      </c>
      <c r="J1152" s="26">
        <v>1225000</v>
      </c>
    </row>
    <row r="1153" spans="1:10">
      <c r="A1153" s="24">
        <v>1151</v>
      </c>
      <c r="B1153" s="24">
        <f t="shared" si="21"/>
        <v>884</v>
      </c>
      <c r="C1153" s="1" t="s">
        <v>1518</v>
      </c>
      <c r="D1153" s="1" t="s">
        <v>4</v>
      </c>
      <c r="E1153" s="1" t="s">
        <v>15</v>
      </c>
      <c r="F1153" s="26">
        <v>20</v>
      </c>
      <c r="G1153" s="26">
        <v>0</v>
      </c>
      <c r="H1153" s="26">
        <v>20</v>
      </c>
      <c r="I1153" s="26">
        <v>400909.09090909088</v>
      </c>
      <c r="J1153" s="26">
        <v>980000</v>
      </c>
    </row>
    <row r="1154" spans="1:10">
      <c r="A1154" s="24">
        <v>1152</v>
      </c>
      <c r="B1154" s="24">
        <f t="shared" si="21"/>
        <v>885</v>
      </c>
      <c r="C1154" s="1" t="s">
        <v>775</v>
      </c>
      <c r="F1154" s="26">
        <v>253</v>
      </c>
      <c r="G1154" s="26">
        <v>0</v>
      </c>
      <c r="H1154" s="26">
        <v>255</v>
      </c>
      <c r="I1154" s="26">
        <v>5111590.9090909092</v>
      </c>
      <c r="J1154" s="26">
        <v>12495000</v>
      </c>
    </row>
    <row r="1155" spans="1:10">
      <c r="A1155" s="24">
        <v>1153</v>
      </c>
      <c r="B1155" s="24">
        <f t="shared" si="21"/>
        <v>886</v>
      </c>
      <c r="C1155" s="1" t="s">
        <v>1519</v>
      </c>
      <c r="D1155" s="1" t="s">
        <v>4</v>
      </c>
      <c r="E1155" s="1" t="s">
        <v>14</v>
      </c>
      <c r="F1155" s="26">
        <v>0</v>
      </c>
      <c r="G1155" s="26">
        <v>300</v>
      </c>
      <c r="H1155" s="26">
        <v>300</v>
      </c>
      <c r="I1155" s="26">
        <v>2499999.9999999995</v>
      </c>
      <c r="J1155" s="26">
        <v>16500000</v>
      </c>
    </row>
    <row r="1156" spans="1:10">
      <c r="A1156" s="24">
        <v>1154</v>
      </c>
      <c r="B1156" s="24">
        <f t="shared" si="21"/>
        <v>887</v>
      </c>
      <c r="C1156" s="1" t="s">
        <v>1520</v>
      </c>
      <c r="D1156" s="1" t="s">
        <v>4</v>
      </c>
      <c r="E1156" s="1" t="s">
        <v>14</v>
      </c>
      <c r="F1156" s="26">
        <v>0</v>
      </c>
      <c r="G1156" s="26">
        <v>500</v>
      </c>
      <c r="H1156" s="26">
        <v>500</v>
      </c>
      <c r="I1156" s="26">
        <v>3712121.2121212119</v>
      </c>
      <c r="J1156" s="26">
        <v>24500000</v>
      </c>
    </row>
    <row r="1157" spans="1:10">
      <c r="A1157" s="24">
        <v>1155</v>
      </c>
      <c r="B1157" s="24">
        <f t="shared" si="21"/>
        <v>888</v>
      </c>
      <c r="C1157" s="1" t="s">
        <v>1521</v>
      </c>
      <c r="D1157" s="1" t="s">
        <v>4</v>
      </c>
      <c r="E1157" s="1" t="s">
        <v>14</v>
      </c>
      <c r="F1157" s="26">
        <v>0</v>
      </c>
      <c r="G1157" s="26">
        <v>500</v>
      </c>
      <c r="H1157" s="26">
        <v>500</v>
      </c>
      <c r="I1157" s="26">
        <v>3712121.2121212119</v>
      </c>
      <c r="J1157" s="26">
        <v>24500000</v>
      </c>
    </row>
    <row r="1158" spans="1:10">
      <c r="A1158" s="24">
        <v>1156</v>
      </c>
      <c r="B1158" s="24">
        <f t="shared" si="21"/>
        <v>889</v>
      </c>
      <c r="C1158" s="1" t="s">
        <v>1522</v>
      </c>
      <c r="D1158" s="1" t="s">
        <v>4</v>
      </c>
      <c r="E1158" s="1" t="s">
        <v>14</v>
      </c>
      <c r="F1158" s="26">
        <v>0</v>
      </c>
      <c r="G1158" s="26">
        <v>800</v>
      </c>
      <c r="H1158" s="26">
        <v>800</v>
      </c>
      <c r="I1158" s="26">
        <v>4727272.7272727266</v>
      </c>
      <c r="J1158" s="26">
        <v>31200000</v>
      </c>
    </row>
    <row r="1159" spans="1:10">
      <c r="A1159" s="24">
        <v>1157</v>
      </c>
      <c r="B1159" s="24">
        <f t="shared" si="21"/>
        <v>890</v>
      </c>
      <c r="C1159" s="1" t="s">
        <v>1523</v>
      </c>
      <c r="D1159" s="1" t="s">
        <v>4</v>
      </c>
      <c r="E1159" s="1" t="s">
        <v>14</v>
      </c>
      <c r="F1159" s="26">
        <v>0</v>
      </c>
      <c r="G1159" s="26">
        <v>800</v>
      </c>
      <c r="H1159" s="26">
        <v>800</v>
      </c>
      <c r="I1159" s="26">
        <v>4727272.7272727266</v>
      </c>
      <c r="J1159" s="26">
        <v>31200000</v>
      </c>
    </row>
    <row r="1160" spans="1:10">
      <c r="A1160" s="24">
        <v>1158</v>
      </c>
      <c r="B1160" s="24">
        <f t="shared" si="21"/>
        <v>891</v>
      </c>
      <c r="C1160" s="1" t="s">
        <v>1524</v>
      </c>
      <c r="D1160" s="1" t="s">
        <v>4</v>
      </c>
      <c r="E1160" s="1" t="s">
        <v>14</v>
      </c>
      <c r="F1160" s="26">
        <v>0</v>
      </c>
      <c r="G1160" s="26">
        <v>700</v>
      </c>
      <c r="H1160" s="26">
        <v>700</v>
      </c>
      <c r="I1160" s="26">
        <v>4772727.2727272715</v>
      </c>
      <c r="J1160" s="26">
        <v>31500000</v>
      </c>
    </row>
    <row r="1161" spans="1:10">
      <c r="A1161" s="24">
        <v>1159</v>
      </c>
      <c r="B1161" s="24">
        <f t="shared" si="21"/>
        <v>892</v>
      </c>
      <c r="C1161" s="1" t="s">
        <v>1525</v>
      </c>
      <c r="D1161" s="1" t="s">
        <v>4</v>
      </c>
      <c r="E1161" s="1" t="s">
        <v>14</v>
      </c>
      <c r="F1161" s="26">
        <v>0</v>
      </c>
      <c r="G1161" s="26">
        <v>700</v>
      </c>
      <c r="H1161" s="26">
        <v>700</v>
      </c>
      <c r="I1161" s="26">
        <v>4772727.2727272715</v>
      </c>
      <c r="J1161" s="26">
        <v>31500000</v>
      </c>
    </row>
    <row r="1162" spans="1:10">
      <c r="A1162" s="24">
        <v>1160</v>
      </c>
      <c r="B1162" s="24">
        <f t="shared" si="21"/>
        <v>893</v>
      </c>
      <c r="C1162" s="1" t="s">
        <v>1526</v>
      </c>
      <c r="D1162" s="1" t="s">
        <v>4</v>
      </c>
      <c r="E1162" s="1" t="s">
        <v>14</v>
      </c>
      <c r="F1162" s="26">
        <v>0</v>
      </c>
      <c r="G1162" s="26">
        <v>700</v>
      </c>
      <c r="H1162" s="26">
        <v>700</v>
      </c>
      <c r="I1162" s="26">
        <v>4772727.2727272715</v>
      </c>
      <c r="J1162" s="26">
        <v>31500000</v>
      </c>
    </row>
    <row r="1163" spans="1:10">
      <c r="A1163" s="24">
        <v>1161</v>
      </c>
      <c r="B1163" s="24">
        <f t="shared" si="21"/>
        <v>894</v>
      </c>
      <c r="C1163" s="1" t="s">
        <v>775</v>
      </c>
      <c r="F1163" s="26">
        <v>0</v>
      </c>
      <c r="G1163" s="26">
        <v>5000</v>
      </c>
      <c r="H1163" s="26">
        <v>5000</v>
      </c>
      <c r="I1163" s="26">
        <v>33696969.696969695</v>
      </c>
      <c r="J1163" s="26">
        <v>222400000</v>
      </c>
    </row>
    <row r="1164" spans="1:10">
      <c r="A1164" s="24">
        <v>1162</v>
      </c>
      <c r="B1164" s="24">
        <f t="shared" si="21"/>
        <v>895</v>
      </c>
      <c r="C1164" s="1" t="s">
        <v>1527</v>
      </c>
      <c r="D1164" s="1" t="s">
        <v>4</v>
      </c>
      <c r="E1164" s="1" t="s">
        <v>14</v>
      </c>
      <c r="F1164" s="26">
        <v>0</v>
      </c>
      <c r="G1164" s="26">
        <v>700</v>
      </c>
      <c r="H1164" s="26">
        <v>700</v>
      </c>
      <c r="I1164" s="26">
        <v>4232103.2</v>
      </c>
      <c r="J1164" s="26">
        <v>31500000</v>
      </c>
    </row>
    <row r="1165" spans="1:10">
      <c r="A1165" s="24">
        <v>1163</v>
      </c>
      <c r="B1165" s="24">
        <f t="shared" si="21"/>
        <v>896</v>
      </c>
      <c r="C1165" s="1" t="s">
        <v>1528</v>
      </c>
      <c r="D1165" s="1" t="s">
        <v>4</v>
      </c>
      <c r="E1165" s="1" t="s">
        <v>14</v>
      </c>
      <c r="F1165" s="26">
        <v>0</v>
      </c>
      <c r="G1165" s="26">
        <v>500</v>
      </c>
      <c r="H1165" s="26">
        <v>500</v>
      </c>
      <c r="I1165" s="26">
        <v>2834944.0000000005</v>
      </c>
      <c r="J1165" s="26">
        <v>24500000</v>
      </c>
    </row>
    <row r="1166" spans="1:10">
      <c r="A1166" s="24">
        <v>1164</v>
      </c>
      <c r="B1166" s="24">
        <f t="shared" si="21"/>
        <v>897</v>
      </c>
      <c r="C1166" s="1" t="s">
        <v>1529</v>
      </c>
      <c r="D1166" s="1" t="s">
        <v>4</v>
      </c>
      <c r="E1166" s="1" t="s">
        <v>14</v>
      </c>
      <c r="F1166" s="26">
        <v>0</v>
      </c>
      <c r="G1166" s="26">
        <v>1000</v>
      </c>
      <c r="H1166" s="26">
        <v>1000</v>
      </c>
      <c r="I1166" s="26">
        <v>8091200.0000000009</v>
      </c>
      <c r="J1166" s="26">
        <v>49000000</v>
      </c>
    </row>
    <row r="1167" spans="1:10">
      <c r="A1167" s="24">
        <v>1165</v>
      </c>
      <c r="B1167" s="24">
        <f t="shared" si="21"/>
        <v>898</v>
      </c>
      <c r="C1167" s="1" t="s">
        <v>1530</v>
      </c>
      <c r="D1167" s="1" t="s">
        <v>4</v>
      </c>
      <c r="E1167" s="1" t="s">
        <v>14</v>
      </c>
      <c r="F1167" s="26">
        <v>0</v>
      </c>
      <c r="G1167" s="26">
        <v>1000</v>
      </c>
      <c r="H1167" s="26">
        <v>1000</v>
      </c>
      <c r="I1167" s="26">
        <v>8091200.0000000009</v>
      </c>
      <c r="J1167" s="26">
        <v>45000000</v>
      </c>
    </row>
    <row r="1168" spans="1:10">
      <c r="A1168" s="24">
        <v>1166</v>
      </c>
      <c r="B1168" s="24">
        <f t="shared" si="21"/>
        <v>899</v>
      </c>
      <c r="C1168" s="1" t="s">
        <v>1531</v>
      </c>
      <c r="D1168" s="1" t="s">
        <v>4</v>
      </c>
      <c r="E1168" s="1" t="s">
        <v>14</v>
      </c>
      <c r="F1168" s="26">
        <v>0</v>
      </c>
      <c r="G1168" s="26">
        <v>700</v>
      </c>
      <c r="H1168" s="26">
        <v>700</v>
      </c>
      <c r="I1168" s="26">
        <v>3141195.1999999997</v>
      </c>
      <c r="J1168" s="26">
        <v>31500000</v>
      </c>
    </row>
    <row r="1169" spans="1:10">
      <c r="A1169" s="24">
        <v>1167</v>
      </c>
      <c r="B1169" s="24">
        <f t="shared" si="21"/>
        <v>900</v>
      </c>
      <c r="C1169" s="1" t="s">
        <v>1532</v>
      </c>
      <c r="D1169" s="1" t="s">
        <v>4</v>
      </c>
      <c r="E1169" s="1" t="s">
        <v>14</v>
      </c>
      <c r="F1169" s="26">
        <v>0</v>
      </c>
      <c r="G1169" s="26">
        <v>700</v>
      </c>
      <c r="H1169" s="26">
        <v>700</v>
      </c>
      <c r="I1169" s="26">
        <v>5338821.6000000006</v>
      </c>
      <c r="J1169" s="26">
        <v>31500000</v>
      </c>
    </row>
    <row r="1170" spans="1:10">
      <c r="A1170" s="24">
        <v>1168</v>
      </c>
      <c r="B1170" s="24">
        <f t="shared" si="21"/>
        <v>901</v>
      </c>
      <c r="C1170" s="1" t="s">
        <v>1533</v>
      </c>
      <c r="D1170" s="1" t="s">
        <v>4</v>
      </c>
      <c r="E1170" s="1" t="s">
        <v>14</v>
      </c>
      <c r="F1170" s="26">
        <v>0</v>
      </c>
      <c r="G1170" s="26">
        <v>500</v>
      </c>
      <c r="H1170" s="26">
        <v>500</v>
      </c>
      <c r="I1170" s="26">
        <v>3319944.0000000005</v>
      </c>
      <c r="J1170" s="26">
        <v>29500000</v>
      </c>
    </row>
    <row r="1171" spans="1:10">
      <c r="A1171" s="24">
        <v>1169</v>
      </c>
      <c r="B1171" s="24">
        <f t="shared" si="21"/>
        <v>902</v>
      </c>
      <c r="C1171" s="1" t="s">
        <v>1534</v>
      </c>
      <c r="D1171" s="1" t="s">
        <v>4</v>
      </c>
      <c r="E1171" s="1" t="s">
        <v>14</v>
      </c>
      <c r="F1171" s="26">
        <v>0</v>
      </c>
      <c r="G1171" s="26">
        <v>700</v>
      </c>
      <c r="H1171" s="26">
        <v>700</v>
      </c>
      <c r="I1171" s="26">
        <v>4488994</v>
      </c>
      <c r="J1171" s="26">
        <v>41300000</v>
      </c>
    </row>
    <row r="1172" spans="1:10">
      <c r="A1172" s="24">
        <v>1170</v>
      </c>
      <c r="B1172" s="24">
        <f t="shared" si="21"/>
        <v>903</v>
      </c>
      <c r="C1172" s="1" t="s">
        <v>1535</v>
      </c>
      <c r="D1172" s="1" t="s">
        <v>4</v>
      </c>
      <c r="E1172" s="1" t="s">
        <v>14</v>
      </c>
      <c r="F1172" s="26">
        <v>0</v>
      </c>
      <c r="G1172" s="26">
        <v>700</v>
      </c>
      <c r="H1172" s="26">
        <v>700</v>
      </c>
      <c r="I1172" s="26">
        <v>4488994</v>
      </c>
      <c r="J1172" s="26">
        <v>38500000</v>
      </c>
    </row>
    <row r="1173" spans="1:10">
      <c r="A1173" s="24">
        <v>1171</v>
      </c>
      <c r="B1173" s="24">
        <f t="shared" si="21"/>
        <v>904</v>
      </c>
      <c r="C1173" s="1" t="s">
        <v>775</v>
      </c>
      <c r="F1173" s="26">
        <v>0</v>
      </c>
      <c r="G1173" s="26">
        <v>6500</v>
      </c>
      <c r="H1173" s="26">
        <v>6500</v>
      </c>
      <c r="I1173" s="26">
        <v>44027396.000000007</v>
      </c>
      <c r="J1173" s="26">
        <v>322300000</v>
      </c>
    </row>
    <row r="1174" spans="1:10">
      <c r="A1174" s="24">
        <v>1172</v>
      </c>
      <c r="B1174" s="24">
        <f t="shared" si="21"/>
        <v>905</v>
      </c>
      <c r="C1174" s="1" t="s">
        <v>920</v>
      </c>
      <c r="D1174" s="1" t="s">
        <v>4</v>
      </c>
      <c r="E1174" s="1" t="s">
        <v>14</v>
      </c>
      <c r="F1174" s="26">
        <v>0</v>
      </c>
      <c r="G1174" s="26">
        <v>3000</v>
      </c>
      <c r="H1174" s="26">
        <v>3000</v>
      </c>
      <c r="I1174" s="26">
        <v>33409090.909090906</v>
      </c>
      <c r="J1174" s="26">
        <v>147000000</v>
      </c>
    </row>
    <row r="1175" spans="1:10">
      <c r="A1175" s="24">
        <v>1173</v>
      </c>
      <c r="B1175" s="24">
        <f t="shared" si="21"/>
        <v>906</v>
      </c>
      <c r="C1175" s="1" t="s">
        <v>1023</v>
      </c>
      <c r="D1175" s="1" t="s">
        <v>4</v>
      </c>
      <c r="E1175" s="1" t="s">
        <v>14</v>
      </c>
      <c r="F1175" s="26">
        <v>0</v>
      </c>
      <c r="G1175" s="26">
        <v>1000</v>
      </c>
      <c r="H1175" s="26">
        <v>1000</v>
      </c>
      <c r="I1175" s="26">
        <v>11136363.636363637</v>
      </c>
      <c r="J1175" s="26">
        <v>49000000</v>
      </c>
    </row>
    <row r="1176" spans="1:10">
      <c r="A1176" s="24">
        <v>1174</v>
      </c>
      <c r="B1176" s="24">
        <f t="shared" si="21"/>
        <v>907</v>
      </c>
      <c r="C1176" s="1" t="s">
        <v>775</v>
      </c>
      <c r="F1176" s="26">
        <v>0</v>
      </c>
      <c r="G1176" s="26">
        <v>4000</v>
      </c>
      <c r="H1176" s="26">
        <v>4000</v>
      </c>
      <c r="I1176" s="26">
        <v>44545454.545454547</v>
      </c>
      <c r="J1176" s="26">
        <v>196000000</v>
      </c>
    </row>
    <row r="1177" spans="1:10">
      <c r="A1177" s="24">
        <v>1175</v>
      </c>
      <c r="B1177" s="24">
        <f t="shared" si="21"/>
        <v>908</v>
      </c>
      <c r="C1177" s="1" t="s">
        <v>1536</v>
      </c>
      <c r="D1177" s="1" t="s">
        <v>4</v>
      </c>
      <c r="E1177" s="1" t="s">
        <v>14</v>
      </c>
      <c r="F1177" s="26">
        <v>0</v>
      </c>
      <c r="G1177" s="26">
        <v>1500</v>
      </c>
      <c r="H1177" s="26">
        <v>1500</v>
      </c>
      <c r="I1177" s="26">
        <v>7596855</v>
      </c>
      <c r="J1177" s="26">
        <v>64500000</v>
      </c>
    </row>
    <row r="1178" spans="1:10">
      <c r="A1178" s="24">
        <v>1176</v>
      </c>
      <c r="B1178" s="24">
        <f t="shared" si="21"/>
        <v>909</v>
      </c>
      <c r="C1178" s="1" t="s">
        <v>775</v>
      </c>
      <c r="F1178" s="26">
        <v>0</v>
      </c>
      <c r="G1178" s="26">
        <v>1500</v>
      </c>
      <c r="H1178" s="26">
        <v>1500</v>
      </c>
      <c r="I1178" s="26">
        <v>7596855</v>
      </c>
      <c r="J1178" s="26">
        <v>64500000</v>
      </c>
    </row>
    <row r="1179" spans="1:10">
      <c r="A1179" s="24">
        <v>1177</v>
      </c>
      <c r="B1179" s="24">
        <f t="shared" si="21"/>
        <v>910</v>
      </c>
      <c r="C1179" s="1" t="s">
        <v>1537</v>
      </c>
      <c r="D1179" s="1" t="s">
        <v>2</v>
      </c>
      <c r="E1179" s="1" t="s">
        <v>14</v>
      </c>
      <c r="F1179" s="26">
        <v>0</v>
      </c>
      <c r="G1179" s="26">
        <v>550</v>
      </c>
      <c r="H1179" s="26">
        <v>550</v>
      </c>
      <c r="I1179" s="26">
        <v>3155487.5000000005</v>
      </c>
      <c r="J1179" s="26">
        <v>26950000</v>
      </c>
    </row>
    <row r="1180" spans="1:10">
      <c r="A1180" s="24">
        <v>1178</v>
      </c>
      <c r="B1180" s="24">
        <f t="shared" si="21"/>
        <v>910</v>
      </c>
      <c r="C1180" s="1" t="s">
        <v>1537</v>
      </c>
      <c r="D1180" s="1" t="s">
        <v>3</v>
      </c>
      <c r="E1180" s="1" t="s">
        <v>14</v>
      </c>
      <c r="F1180" s="26">
        <v>0</v>
      </c>
      <c r="G1180" s="26">
        <v>300</v>
      </c>
      <c r="H1180" s="26">
        <v>300</v>
      </c>
      <c r="I1180" s="26">
        <v>1721175.0000000002</v>
      </c>
      <c r="J1180" s="26">
        <v>14700000</v>
      </c>
    </row>
    <row r="1181" spans="1:10">
      <c r="A1181" s="24">
        <v>1179</v>
      </c>
      <c r="B1181" s="24">
        <f t="shared" si="21"/>
        <v>910</v>
      </c>
      <c r="C1181" s="1" t="s">
        <v>1537</v>
      </c>
      <c r="D1181" s="1" t="s">
        <v>5</v>
      </c>
      <c r="E1181" s="1" t="s">
        <v>14</v>
      </c>
      <c r="F1181" s="26">
        <v>0</v>
      </c>
      <c r="G1181" s="26">
        <v>150</v>
      </c>
      <c r="H1181" s="26">
        <v>150</v>
      </c>
      <c r="I1181" s="26">
        <v>860587.50000000012</v>
      </c>
      <c r="J1181" s="26">
        <v>7350000</v>
      </c>
    </row>
    <row r="1182" spans="1:10">
      <c r="A1182" s="24">
        <v>1180</v>
      </c>
      <c r="B1182" s="24">
        <f t="shared" si="21"/>
        <v>911</v>
      </c>
      <c r="C1182" s="1" t="s">
        <v>775</v>
      </c>
      <c r="F1182" s="26">
        <v>0</v>
      </c>
      <c r="G1182" s="26">
        <v>1000</v>
      </c>
      <c r="H1182" s="26">
        <v>1000</v>
      </c>
      <c r="I1182" s="26">
        <v>5737250.0000000009</v>
      </c>
      <c r="J1182" s="26">
        <v>49000000</v>
      </c>
    </row>
    <row r="1183" spans="1:10">
      <c r="A1183" s="24">
        <v>1181</v>
      </c>
      <c r="B1183" s="24">
        <f t="shared" si="21"/>
        <v>912</v>
      </c>
      <c r="C1183" s="1" t="s">
        <v>1538</v>
      </c>
      <c r="D1183" s="1" t="s">
        <v>2</v>
      </c>
      <c r="E1183" s="1" t="s">
        <v>14</v>
      </c>
      <c r="F1183" s="26">
        <v>0</v>
      </c>
      <c r="G1183" s="26">
        <v>400</v>
      </c>
      <c r="H1183" s="26">
        <v>400</v>
      </c>
      <c r="I1183" s="26">
        <v>5000000</v>
      </c>
      <c r="J1183" s="26">
        <v>23600000</v>
      </c>
    </row>
    <row r="1184" spans="1:10">
      <c r="A1184" s="24">
        <v>1182</v>
      </c>
      <c r="B1184" s="24">
        <f t="shared" si="21"/>
        <v>912</v>
      </c>
      <c r="C1184" s="1" t="s">
        <v>1538</v>
      </c>
      <c r="D1184" s="1" t="s">
        <v>3</v>
      </c>
      <c r="E1184" s="1" t="s">
        <v>14</v>
      </c>
      <c r="F1184" s="26">
        <v>0</v>
      </c>
      <c r="G1184" s="26">
        <v>300</v>
      </c>
      <c r="H1184" s="26">
        <v>300</v>
      </c>
      <c r="I1184" s="26">
        <v>3750000</v>
      </c>
      <c r="J1184" s="26">
        <v>17700000</v>
      </c>
    </row>
    <row r="1185" spans="1:10">
      <c r="A1185" s="24">
        <v>1183</v>
      </c>
      <c r="B1185" s="24">
        <f t="shared" si="21"/>
        <v>913</v>
      </c>
      <c r="C1185" s="1" t="s">
        <v>775</v>
      </c>
      <c r="F1185" s="26">
        <v>0</v>
      </c>
      <c r="G1185" s="26">
        <v>700</v>
      </c>
      <c r="H1185" s="26">
        <v>700</v>
      </c>
      <c r="I1185" s="26">
        <v>8750000</v>
      </c>
      <c r="J1185" s="26">
        <v>41300000</v>
      </c>
    </row>
    <row r="1186" spans="1:10">
      <c r="A1186" s="24">
        <v>1184</v>
      </c>
      <c r="B1186" s="24">
        <f t="shared" ref="B1186:B1232" si="22">IF(C1185=C1186,B1185,B1185+1)</f>
        <v>914</v>
      </c>
      <c r="C1186" s="1" t="s">
        <v>1539</v>
      </c>
      <c r="D1186" s="1" t="s">
        <v>6</v>
      </c>
      <c r="E1186" s="1" t="s">
        <v>14</v>
      </c>
      <c r="F1186" s="26">
        <v>0</v>
      </c>
      <c r="G1186" s="26">
        <v>500</v>
      </c>
      <c r="H1186" s="26">
        <v>500</v>
      </c>
      <c r="I1186" s="26">
        <v>2977835</v>
      </c>
      <c r="J1186" s="26">
        <v>22500000</v>
      </c>
    </row>
    <row r="1187" spans="1:10">
      <c r="A1187" s="24">
        <v>1185</v>
      </c>
      <c r="B1187" s="24">
        <f t="shared" si="22"/>
        <v>914</v>
      </c>
      <c r="C1187" s="1" t="s">
        <v>1539</v>
      </c>
      <c r="D1187" s="1" t="s">
        <v>5</v>
      </c>
      <c r="E1187" s="1" t="s">
        <v>14</v>
      </c>
      <c r="F1187" s="26">
        <v>0</v>
      </c>
      <c r="G1187" s="26">
        <v>500</v>
      </c>
      <c r="H1187" s="26">
        <v>500</v>
      </c>
      <c r="I1187" s="26">
        <v>2977835</v>
      </c>
      <c r="J1187" s="26">
        <v>22500000</v>
      </c>
    </row>
    <row r="1188" spans="1:10">
      <c r="A1188" s="24">
        <v>1186</v>
      </c>
      <c r="B1188" s="24">
        <f t="shared" si="22"/>
        <v>915</v>
      </c>
      <c r="C1188" s="1" t="s">
        <v>1040</v>
      </c>
      <c r="D1188" s="1" t="s">
        <v>6</v>
      </c>
      <c r="E1188" s="1" t="s">
        <v>14</v>
      </c>
      <c r="F1188" s="26">
        <v>0</v>
      </c>
      <c r="G1188" s="26">
        <v>500</v>
      </c>
      <c r="H1188" s="26">
        <v>500</v>
      </c>
      <c r="I1188" s="26">
        <v>3336795</v>
      </c>
      <c r="J1188" s="26">
        <v>22500000</v>
      </c>
    </row>
    <row r="1189" spans="1:10">
      <c r="A1189" s="24">
        <v>1187</v>
      </c>
      <c r="B1189" s="24">
        <f t="shared" si="22"/>
        <v>915</v>
      </c>
      <c r="C1189" s="1" t="s">
        <v>1040</v>
      </c>
      <c r="D1189" s="1" t="s">
        <v>5</v>
      </c>
      <c r="E1189" s="1" t="s">
        <v>14</v>
      </c>
      <c r="F1189" s="26">
        <v>0</v>
      </c>
      <c r="G1189" s="26">
        <v>500</v>
      </c>
      <c r="H1189" s="26">
        <v>500</v>
      </c>
      <c r="I1189" s="26">
        <v>3336795</v>
      </c>
      <c r="J1189" s="26">
        <v>22500000</v>
      </c>
    </row>
    <row r="1190" spans="1:10">
      <c r="A1190" s="24">
        <v>1188</v>
      </c>
      <c r="B1190" s="24">
        <f t="shared" si="22"/>
        <v>916</v>
      </c>
      <c r="C1190" s="1" t="s">
        <v>775</v>
      </c>
      <c r="F1190" s="26">
        <v>0</v>
      </c>
      <c r="G1190" s="26">
        <v>2000</v>
      </c>
      <c r="H1190" s="26">
        <v>2000</v>
      </c>
      <c r="I1190" s="26">
        <v>12629260</v>
      </c>
      <c r="J1190" s="26">
        <v>90000000</v>
      </c>
    </row>
    <row r="1191" spans="1:10">
      <c r="A1191" s="24">
        <v>1189</v>
      </c>
      <c r="B1191" s="24">
        <f t="shared" si="22"/>
        <v>917</v>
      </c>
      <c r="C1191" s="1" t="s">
        <v>1130</v>
      </c>
      <c r="D1191" s="1" t="s">
        <v>4</v>
      </c>
      <c r="E1191" s="1" t="s">
        <v>14</v>
      </c>
      <c r="F1191" s="26">
        <v>0</v>
      </c>
      <c r="G1191" s="26">
        <v>500</v>
      </c>
      <c r="H1191" s="26">
        <v>500</v>
      </c>
      <c r="I1191" s="26">
        <v>3829518</v>
      </c>
      <c r="J1191" s="26">
        <v>29500000</v>
      </c>
    </row>
    <row r="1192" spans="1:10">
      <c r="A1192" s="24">
        <v>1190</v>
      </c>
      <c r="B1192" s="24">
        <f t="shared" si="22"/>
        <v>918</v>
      </c>
      <c r="C1192" s="1" t="s">
        <v>775</v>
      </c>
      <c r="F1192" s="26">
        <v>0</v>
      </c>
      <c r="G1192" s="26">
        <v>500</v>
      </c>
      <c r="H1192" s="26">
        <v>500</v>
      </c>
      <c r="I1192" s="26">
        <v>3829518</v>
      </c>
      <c r="J1192" s="26">
        <v>29500000</v>
      </c>
    </row>
    <row r="1193" spans="1:10">
      <c r="A1193" s="24">
        <v>1191</v>
      </c>
      <c r="B1193" s="24">
        <f t="shared" si="22"/>
        <v>919</v>
      </c>
      <c r="C1193" s="1" t="s">
        <v>1540</v>
      </c>
      <c r="D1193" s="1" t="s">
        <v>4</v>
      </c>
      <c r="E1193" s="1" t="s">
        <v>14</v>
      </c>
      <c r="F1193" s="26">
        <v>0</v>
      </c>
      <c r="G1193" s="26">
        <v>300</v>
      </c>
      <c r="H1193" s="26">
        <v>300</v>
      </c>
      <c r="I1193" s="26">
        <v>3037182.0000000009</v>
      </c>
      <c r="J1193" s="26">
        <v>17700000</v>
      </c>
    </row>
    <row r="1194" spans="1:10">
      <c r="A1194" s="24">
        <v>1192</v>
      </c>
      <c r="B1194" s="24">
        <f t="shared" si="22"/>
        <v>920</v>
      </c>
      <c r="C1194" s="1" t="s">
        <v>1541</v>
      </c>
      <c r="D1194" s="1" t="s">
        <v>4</v>
      </c>
      <c r="E1194" s="1" t="s">
        <v>14</v>
      </c>
      <c r="F1194" s="26">
        <v>0</v>
      </c>
      <c r="G1194" s="26">
        <v>300</v>
      </c>
      <c r="H1194" s="26">
        <v>300</v>
      </c>
      <c r="I1194" s="26">
        <v>2625540.0000000005</v>
      </c>
      <c r="J1194" s="26">
        <v>16500000</v>
      </c>
    </row>
    <row r="1195" spans="1:10">
      <c r="A1195" s="24">
        <v>1193</v>
      </c>
      <c r="B1195" s="24">
        <f t="shared" si="22"/>
        <v>921</v>
      </c>
      <c r="C1195" s="1" t="s">
        <v>1542</v>
      </c>
      <c r="D1195" s="1" t="s">
        <v>4</v>
      </c>
      <c r="E1195" s="1" t="s">
        <v>14</v>
      </c>
      <c r="F1195" s="26">
        <v>0</v>
      </c>
      <c r="G1195" s="26">
        <v>400</v>
      </c>
      <c r="H1195" s="26">
        <v>400</v>
      </c>
      <c r="I1195" s="26">
        <v>3500720.0000000005</v>
      </c>
      <c r="J1195" s="26">
        <v>23600000</v>
      </c>
    </row>
    <row r="1196" spans="1:10">
      <c r="A1196" s="24">
        <v>1194</v>
      </c>
      <c r="B1196" s="24">
        <f t="shared" si="22"/>
        <v>922</v>
      </c>
      <c r="C1196" s="1" t="s">
        <v>1543</v>
      </c>
      <c r="D1196" s="1" t="s">
        <v>4</v>
      </c>
      <c r="E1196" s="1" t="s">
        <v>14</v>
      </c>
      <c r="F1196" s="26">
        <v>0</v>
      </c>
      <c r="G1196" s="26">
        <v>400</v>
      </c>
      <c r="H1196" s="26">
        <v>400</v>
      </c>
      <c r="I1196" s="26">
        <v>3333333.333333333</v>
      </c>
      <c r="J1196" s="26">
        <v>22000000</v>
      </c>
    </row>
    <row r="1197" spans="1:10">
      <c r="A1197" s="24">
        <v>1195</v>
      </c>
      <c r="B1197" s="24">
        <f t="shared" si="22"/>
        <v>923</v>
      </c>
      <c r="C1197" s="1" t="s">
        <v>1544</v>
      </c>
      <c r="D1197" s="1" t="s">
        <v>4</v>
      </c>
      <c r="E1197" s="1" t="s">
        <v>14</v>
      </c>
      <c r="F1197" s="26">
        <v>0</v>
      </c>
      <c r="G1197" s="26">
        <v>300</v>
      </c>
      <c r="H1197" s="26">
        <v>300</v>
      </c>
      <c r="I1197" s="26">
        <v>3299136.0000000009</v>
      </c>
      <c r="J1197" s="26">
        <v>14700000</v>
      </c>
    </row>
    <row r="1198" spans="1:10">
      <c r="A1198" s="24">
        <v>1196</v>
      </c>
      <c r="B1198" s="24">
        <f t="shared" si="22"/>
        <v>924</v>
      </c>
      <c r="C1198" s="1" t="s">
        <v>775</v>
      </c>
      <c r="F1198" s="26">
        <v>0</v>
      </c>
      <c r="G1198" s="26">
        <v>1700</v>
      </c>
      <c r="H1198" s="26">
        <v>1700</v>
      </c>
      <c r="I1198" s="26">
        <v>15795911.333333336</v>
      </c>
      <c r="J1198" s="26">
        <v>94500000</v>
      </c>
    </row>
    <row r="1199" spans="1:10">
      <c r="A1199" s="24">
        <v>1197</v>
      </c>
      <c r="B1199" s="24">
        <f t="shared" si="22"/>
        <v>925</v>
      </c>
      <c r="C1199" s="1" t="s">
        <v>1464</v>
      </c>
      <c r="D1199" s="1" t="s">
        <v>4</v>
      </c>
      <c r="E1199" s="1" t="s">
        <v>15</v>
      </c>
      <c r="F1199" s="26">
        <v>70</v>
      </c>
      <c r="G1199" s="26">
        <v>0</v>
      </c>
      <c r="H1199" s="26">
        <v>70</v>
      </c>
      <c r="I1199" s="26">
        <v>1403181.8181818181</v>
      </c>
      <c r="J1199" s="26">
        <v>3430000</v>
      </c>
    </row>
    <row r="1200" spans="1:10">
      <c r="A1200" s="24">
        <v>1198</v>
      </c>
      <c r="B1200" s="24">
        <f t="shared" si="22"/>
        <v>926</v>
      </c>
      <c r="C1200" s="1" t="s">
        <v>1465</v>
      </c>
      <c r="D1200" s="1" t="s">
        <v>4</v>
      </c>
      <c r="E1200" s="1" t="s">
        <v>15</v>
      </c>
      <c r="F1200" s="26">
        <v>35</v>
      </c>
      <c r="G1200" s="26">
        <v>0</v>
      </c>
      <c r="H1200" s="26">
        <v>35</v>
      </c>
      <c r="I1200" s="26">
        <v>701590.90909090906</v>
      </c>
      <c r="J1200" s="26">
        <v>1715000</v>
      </c>
    </row>
    <row r="1201" spans="1:10">
      <c r="A1201" s="24">
        <v>1199</v>
      </c>
      <c r="B1201" s="24">
        <f t="shared" si="22"/>
        <v>927</v>
      </c>
      <c r="C1201" s="1" t="s">
        <v>1545</v>
      </c>
      <c r="D1201" s="1" t="s">
        <v>4</v>
      </c>
      <c r="E1201" s="1" t="s">
        <v>15</v>
      </c>
      <c r="F1201" s="26">
        <v>70</v>
      </c>
      <c r="G1201" s="26">
        <v>0</v>
      </c>
      <c r="H1201" s="26">
        <v>70</v>
      </c>
      <c r="I1201" s="26">
        <v>1403181.8181818181</v>
      </c>
      <c r="J1201" s="26">
        <v>3430000</v>
      </c>
    </row>
    <row r="1202" spans="1:10">
      <c r="A1202" s="24">
        <v>1200</v>
      </c>
      <c r="B1202" s="24">
        <f t="shared" si="22"/>
        <v>928</v>
      </c>
      <c r="C1202" s="1" t="s">
        <v>1546</v>
      </c>
      <c r="D1202" s="1" t="s">
        <v>4</v>
      </c>
      <c r="E1202" s="1" t="s">
        <v>15</v>
      </c>
      <c r="F1202" s="26">
        <v>35</v>
      </c>
      <c r="G1202" s="26">
        <v>0</v>
      </c>
      <c r="H1202" s="26">
        <v>35</v>
      </c>
      <c r="I1202" s="26">
        <v>701590.90909090906</v>
      </c>
      <c r="J1202" s="26">
        <v>1715000</v>
      </c>
    </row>
    <row r="1203" spans="1:10">
      <c r="A1203" s="24">
        <v>1201</v>
      </c>
      <c r="B1203" s="24">
        <f t="shared" si="22"/>
        <v>929</v>
      </c>
      <c r="C1203" s="1" t="s">
        <v>1547</v>
      </c>
      <c r="D1203" s="1" t="s">
        <v>4</v>
      </c>
      <c r="E1203" s="1" t="s">
        <v>15</v>
      </c>
      <c r="F1203" s="26">
        <v>80</v>
      </c>
      <c r="G1203" s="26">
        <v>0</v>
      </c>
      <c r="H1203" s="26">
        <v>80</v>
      </c>
      <c r="I1203" s="26">
        <v>1603636.3636363635</v>
      </c>
      <c r="J1203" s="26">
        <v>3920000</v>
      </c>
    </row>
    <row r="1204" spans="1:10">
      <c r="A1204" s="24">
        <v>1202</v>
      </c>
      <c r="B1204" s="24">
        <f t="shared" si="22"/>
        <v>930</v>
      </c>
      <c r="C1204" s="1" t="s">
        <v>1468</v>
      </c>
      <c r="D1204" s="1" t="s">
        <v>4</v>
      </c>
      <c r="E1204" s="1" t="s">
        <v>15</v>
      </c>
      <c r="F1204" s="26">
        <v>35</v>
      </c>
      <c r="G1204" s="26">
        <v>0</v>
      </c>
      <c r="H1204" s="26">
        <v>35</v>
      </c>
      <c r="I1204" s="26">
        <v>701590.90909090906</v>
      </c>
      <c r="J1204" s="26">
        <v>1715000</v>
      </c>
    </row>
    <row r="1205" spans="1:10">
      <c r="A1205" s="24">
        <v>1203</v>
      </c>
      <c r="B1205" s="24">
        <f t="shared" si="22"/>
        <v>931</v>
      </c>
      <c r="C1205" s="1" t="s">
        <v>1471</v>
      </c>
      <c r="D1205" s="1" t="s">
        <v>4</v>
      </c>
      <c r="E1205" s="1" t="s">
        <v>15</v>
      </c>
      <c r="F1205" s="26">
        <v>50</v>
      </c>
      <c r="G1205" s="26">
        <v>0</v>
      </c>
      <c r="H1205" s="26">
        <v>50</v>
      </c>
      <c r="I1205" s="26">
        <v>1002272.7272727272</v>
      </c>
      <c r="J1205" s="26">
        <v>2450000</v>
      </c>
    </row>
    <row r="1206" spans="1:10">
      <c r="A1206" s="24">
        <v>1204</v>
      </c>
      <c r="B1206" s="24">
        <f t="shared" si="22"/>
        <v>932</v>
      </c>
      <c r="C1206" s="1" t="s">
        <v>1472</v>
      </c>
      <c r="D1206" s="1" t="s">
        <v>4</v>
      </c>
      <c r="E1206" s="1" t="s">
        <v>15</v>
      </c>
      <c r="F1206" s="26">
        <v>50</v>
      </c>
      <c r="G1206" s="26">
        <v>0</v>
      </c>
      <c r="H1206" s="26">
        <v>50</v>
      </c>
      <c r="I1206" s="26">
        <v>1002272.7272727272</v>
      </c>
      <c r="J1206" s="26">
        <v>2450000</v>
      </c>
    </row>
    <row r="1207" spans="1:10">
      <c r="A1207" s="24">
        <v>1205</v>
      </c>
      <c r="B1207" s="24">
        <f t="shared" si="22"/>
        <v>933</v>
      </c>
      <c r="C1207" s="1" t="s">
        <v>1548</v>
      </c>
      <c r="D1207" s="1" t="s">
        <v>4</v>
      </c>
      <c r="E1207" s="1" t="s">
        <v>15</v>
      </c>
      <c r="F1207" s="26">
        <v>190</v>
      </c>
      <c r="G1207" s="26">
        <v>0</v>
      </c>
      <c r="H1207" s="26">
        <v>200</v>
      </c>
      <c r="I1207" s="26">
        <v>4009090.9090909087</v>
      </c>
      <c r="J1207" s="26">
        <v>9800000</v>
      </c>
    </row>
    <row r="1208" spans="1:10">
      <c r="A1208" s="24">
        <v>1206</v>
      </c>
      <c r="B1208" s="24">
        <f t="shared" si="22"/>
        <v>934</v>
      </c>
      <c r="C1208" s="1" t="s">
        <v>1549</v>
      </c>
      <c r="D1208" s="1" t="s">
        <v>4</v>
      </c>
      <c r="E1208" s="1" t="s">
        <v>15</v>
      </c>
      <c r="F1208" s="26">
        <v>85</v>
      </c>
      <c r="G1208" s="26">
        <v>0</v>
      </c>
      <c r="H1208" s="26">
        <v>85</v>
      </c>
      <c r="I1208" s="26">
        <v>1703863.6363636362</v>
      </c>
      <c r="J1208" s="26">
        <v>4165000</v>
      </c>
    </row>
    <row r="1209" spans="1:10">
      <c r="A1209" s="24">
        <v>1207</v>
      </c>
      <c r="B1209" s="24">
        <f t="shared" si="22"/>
        <v>935</v>
      </c>
      <c r="C1209" s="1" t="s">
        <v>1550</v>
      </c>
      <c r="D1209" s="1" t="s">
        <v>4</v>
      </c>
      <c r="E1209" s="1" t="s">
        <v>15</v>
      </c>
      <c r="F1209" s="26">
        <v>80</v>
      </c>
      <c r="G1209" s="26">
        <v>0</v>
      </c>
      <c r="H1209" s="26">
        <v>80</v>
      </c>
      <c r="I1209" s="26">
        <v>1603636.3636363635</v>
      </c>
      <c r="J1209" s="26">
        <v>3920000</v>
      </c>
    </row>
    <row r="1210" spans="1:10">
      <c r="A1210" s="24">
        <v>1208</v>
      </c>
      <c r="B1210" s="24">
        <f t="shared" si="22"/>
        <v>936</v>
      </c>
      <c r="C1210" s="1" t="s">
        <v>1551</v>
      </c>
      <c r="D1210" s="1" t="s">
        <v>4</v>
      </c>
      <c r="E1210" s="1" t="s">
        <v>15</v>
      </c>
      <c r="F1210" s="26">
        <v>80</v>
      </c>
      <c r="G1210" s="26">
        <v>0</v>
      </c>
      <c r="H1210" s="26">
        <v>80</v>
      </c>
      <c r="I1210" s="26">
        <v>1603636.3636363635</v>
      </c>
      <c r="J1210" s="26">
        <v>3920000</v>
      </c>
    </row>
    <row r="1211" spans="1:10">
      <c r="A1211" s="24">
        <v>1209</v>
      </c>
      <c r="B1211" s="24">
        <f t="shared" si="22"/>
        <v>937</v>
      </c>
      <c r="C1211" s="1" t="s">
        <v>1473</v>
      </c>
      <c r="D1211" s="1" t="s">
        <v>4</v>
      </c>
      <c r="E1211" s="1" t="s">
        <v>15</v>
      </c>
      <c r="F1211" s="26">
        <v>50</v>
      </c>
      <c r="G1211" s="26">
        <v>0</v>
      </c>
      <c r="H1211" s="26">
        <v>50</v>
      </c>
      <c r="I1211" s="26">
        <v>1206818.1818181819</v>
      </c>
      <c r="J1211" s="26">
        <v>2950000</v>
      </c>
    </row>
    <row r="1212" spans="1:10">
      <c r="A1212" s="24">
        <v>1210</v>
      </c>
      <c r="B1212" s="24">
        <f t="shared" si="22"/>
        <v>938</v>
      </c>
      <c r="C1212" s="1" t="s">
        <v>1552</v>
      </c>
      <c r="D1212" s="1" t="s">
        <v>4</v>
      </c>
      <c r="E1212" s="1" t="s">
        <v>15</v>
      </c>
      <c r="F1212" s="26">
        <v>120</v>
      </c>
      <c r="G1212" s="26">
        <v>0</v>
      </c>
      <c r="H1212" s="26">
        <v>120</v>
      </c>
      <c r="I1212" s="26">
        <v>2405454.5454545454</v>
      </c>
      <c r="J1212" s="26">
        <v>5880000</v>
      </c>
    </row>
    <row r="1213" spans="1:10">
      <c r="A1213" s="24">
        <v>1211</v>
      </c>
      <c r="B1213" s="24">
        <f t="shared" si="22"/>
        <v>939</v>
      </c>
      <c r="C1213" s="1" t="s">
        <v>1553</v>
      </c>
      <c r="D1213" s="1" t="s">
        <v>4</v>
      </c>
      <c r="E1213" s="1" t="s">
        <v>15</v>
      </c>
      <c r="F1213" s="26">
        <v>135</v>
      </c>
      <c r="G1213" s="26">
        <v>0</v>
      </c>
      <c r="H1213" s="26">
        <v>135</v>
      </c>
      <c r="I1213" s="26">
        <v>2706136.3636363633</v>
      </c>
      <c r="J1213" s="26">
        <v>6615000</v>
      </c>
    </row>
    <row r="1214" spans="1:10">
      <c r="A1214" s="24">
        <v>1212</v>
      </c>
      <c r="B1214" s="24">
        <f t="shared" si="22"/>
        <v>940</v>
      </c>
      <c r="C1214" s="1" t="s">
        <v>1554</v>
      </c>
      <c r="D1214" s="1" t="s">
        <v>4</v>
      </c>
      <c r="E1214" s="1" t="s">
        <v>15</v>
      </c>
      <c r="F1214" s="26">
        <v>35</v>
      </c>
      <c r="G1214" s="26">
        <v>0</v>
      </c>
      <c r="H1214" s="26">
        <v>35</v>
      </c>
      <c r="I1214" s="26">
        <v>701590.90909090906</v>
      </c>
      <c r="J1214" s="26">
        <v>1715000</v>
      </c>
    </row>
    <row r="1215" spans="1:10">
      <c r="A1215" s="24">
        <v>1213</v>
      </c>
      <c r="B1215" s="24">
        <f t="shared" si="22"/>
        <v>941</v>
      </c>
      <c r="C1215" s="1" t="s">
        <v>1555</v>
      </c>
      <c r="D1215" s="1" t="s">
        <v>4</v>
      </c>
      <c r="E1215" s="1" t="s">
        <v>15</v>
      </c>
      <c r="F1215" s="26">
        <v>15</v>
      </c>
      <c r="G1215" s="26">
        <v>0</v>
      </c>
      <c r="H1215" s="26">
        <v>15</v>
      </c>
      <c r="I1215" s="26">
        <v>300681.81818181818</v>
      </c>
      <c r="J1215" s="26">
        <v>735000</v>
      </c>
    </row>
    <row r="1216" spans="1:10">
      <c r="A1216" s="24">
        <v>1214</v>
      </c>
      <c r="B1216" s="24">
        <f t="shared" si="22"/>
        <v>942</v>
      </c>
      <c r="C1216" s="1" t="s">
        <v>1556</v>
      </c>
      <c r="D1216" s="1" t="s">
        <v>4</v>
      </c>
      <c r="E1216" s="1" t="s">
        <v>15</v>
      </c>
      <c r="F1216" s="26">
        <v>50</v>
      </c>
      <c r="G1216" s="26">
        <v>0</v>
      </c>
      <c r="H1216" s="26">
        <v>50</v>
      </c>
      <c r="I1216" s="26">
        <v>1002272.7272727272</v>
      </c>
      <c r="J1216" s="26">
        <v>2450000</v>
      </c>
    </row>
    <row r="1217" spans="1:10">
      <c r="A1217" s="24">
        <v>1215</v>
      </c>
      <c r="B1217" s="24">
        <f t="shared" si="22"/>
        <v>943</v>
      </c>
      <c r="C1217" s="1" t="s">
        <v>1557</v>
      </c>
      <c r="D1217" s="1" t="s">
        <v>4</v>
      </c>
      <c r="E1217" s="1" t="s">
        <v>15</v>
      </c>
      <c r="F1217" s="26">
        <v>35</v>
      </c>
      <c r="G1217" s="26">
        <v>0</v>
      </c>
      <c r="H1217" s="26">
        <v>35</v>
      </c>
      <c r="I1217" s="26">
        <v>701590.90909090906</v>
      </c>
      <c r="J1217" s="26">
        <v>1715000</v>
      </c>
    </row>
    <row r="1218" spans="1:10">
      <c r="A1218" s="24">
        <v>1216</v>
      </c>
      <c r="B1218" s="24">
        <f t="shared" si="22"/>
        <v>944</v>
      </c>
      <c r="C1218" s="1" t="s">
        <v>1558</v>
      </c>
      <c r="D1218" s="1" t="s">
        <v>4</v>
      </c>
      <c r="E1218" s="1" t="s">
        <v>15</v>
      </c>
      <c r="F1218" s="26">
        <v>85</v>
      </c>
      <c r="G1218" s="26">
        <v>0</v>
      </c>
      <c r="H1218" s="26">
        <v>85</v>
      </c>
      <c r="I1218" s="26">
        <v>1703863.6363636362</v>
      </c>
      <c r="J1218" s="26">
        <v>4165000</v>
      </c>
    </row>
    <row r="1219" spans="1:10">
      <c r="A1219" s="24">
        <v>1217</v>
      </c>
      <c r="B1219" s="24">
        <f t="shared" si="22"/>
        <v>945</v>
      </c>
      <c r="C1219" s="1" t="s">
        <v>1559</v>
      </c>
      <c r="D1219" s="1" t="s">
        <v>4</v>
      </c>
      <c r="E1219" s="1" t="s">
        <v>15</v>
      </c>
      <c r="F1219" s="26">
        <v>130</v>
      </c>
      <c r="G1219" s="26">
        <v>0</v>
      </c>
      <c r="H1219" s="26">
        <v>130</v>
      </c>
      <c r="I1219" s="26">
        <v>2393181.8181818179</v>
      </c>
      <c r="J1219" s="26">
        <v>5850000</v>
      </c>
    </row>
    <row r="1220" spans="1:10">
      <c r="A1220" s="24">
        <v>1218</v>
      </c>
      <c r="B1220" s="24">
        <f t="shared" si="22"/>
        <v>946</v>
      </c>
      <c r="C1220" s="1" t="s">
        <v>1560</v>
      </c>
      <c r="D1220" s="1" t="s">
        <v>4</v>
      </c>
      <c r="E1220" s="1" t="s">
        <v>15</v>
      </c>
      <c r="F1220" s="26">
        <v>80</v>
      </c>
      <c r="G1220" s="26">
        <v>0</v>
      </c>
      <c r="H1220" s="26">
        <v>80</v>
      </c>
      <c r="I1220" s="26">
        <v>1603636.3636363635</v>
      </c>
      <c r="J1220" s="26">
        <v>3920000</v>
      </c>
    </row>
    <row r="1221" spans="1:10">
      <c r="A1221" s="24">
        <v>1219</v>
      </c>
      <c r="B1221" s="24">
        <f t="shared" si="22"/>
        <v>947</v>
      </c>
      <c r="C1221" s="1" t="s">
        <v>1561</v>
      </c>
      <c r="D1221" s="1" t="s">
        <v>4</v>
      </c>
      <c r="E1221" s="1" t="s">
        <v>15</v>
      </c>
      <c r="F1221" s="26">
        <v>80</v>
      </c>
      <c r="G1221" s="26">
        <v>0</v>
      </c>
      <c r="H1221" s="26">
        <v>80</v>
      </c>
      <c r="I1221" s="26">
        <v>1603636.3636363635</v>
      </c>
      <c r="J1221" s="26">
        <v>3920000</v>
      </c>
    </row>
    <row r="1222" spans="1:10">
      <c r="A1222" s="24">
        <v>1220</v>
      </c>
      <c r="B1222" s="24">
        <f t="shared" si="22"/>
        <v>948</v>
      </c>
      <c r="C1222" s="1" t="s">
        <v>1562</v>
      </c>
      <c r="D1222" s="1" t="s">
        <v>4</v>
      </c>
      <c r="E1222" s="1" t="s">
        <v>15</v>
      </c>
      <c r="F1222" s="26">
        <v>30</v>
      </c>
      <c r="G1222" s="26">
        <v>0</v>
      </c>
      <c r="H1222" s="26">
        <v>30</v>
      </c>
      <c r="I1222" s="26">
        <v>601363.63636363635</v>
      </c>
      <c r="J1222" s="26">
        <v>1470000</v>
      </c>
    </row>
    <row r="1223" spans="1:10">
      <c r="A1223" s="24">
        <v>1221</v>
      </c>
      <c r="B1223" s="24">
        <f t="shared" si="22"/>
        <v>949</v>
      </c>
      <c r="C1223" s="1" t="s">
        <v>1563</v>
      </c>
      <c r="D1223" s="1" t="s">
        <v>4</v>
      </c>
      <c r="E1223" s="1" t="s">
        <v>15</v>
      </c>
      <c r="F1223" s="26">
        <v>30</v>
      </c>
      <c r="G1223" s="26">
        <v>0</v>
      </c>
      <c r="H1223" s="26">
        <v>30</v>
      </c>
      <c r="I1223" s="26">
        <v>601363.63636363635</v>
      </c>
      <c r="J1223" s="26">
        <v>1470000</v>
      </c>
    </row>
    <row r="1224" spans="1:10">
      <c r="A1224" s="24">
        <v>1222</v>
      </c>
      <c r="B1224" s="24">
        <f t="shared" si="22"/>
        <v>950</v>
      </c>
      <c r="C1224" s="1" t="s">
        <v>1564</v>
      </c>
      <c r="D1224" s="1" t="s">
        <v>4</v>
      </c>
      <c r="E1224" s="1" t="s">
        <v>15</v>
      </c>
      <c r="F1224" s="26">
        <v>30</v>
      </c>
      <c r="G1224" s="26">
        <v>0</v>
      </c>
      <c r="H1224" s="26">
        <v>30</v>
      </c>
      <c r="I1224" s="26">
        <v>601363.63636363635</v>
      </c>
      <c r="J1224" s="26">
        <v>1470000</v>
      </c>
    </row>
    <row r="1225" spans="1:10">
      <c r="A1225" s="24">
        <v>1223</v>
      </c>
      <c r="B1225" s="24">
        <f t="shared" si="22"/>
        <v>951</v>
      </c>
      <c r="C1225" s="1" t="s">
        <v>1565</v>
      </c>
      <c r="D1225" s="1" t="s">
        <v>4</v>
      </c>
      <c r="E1225" s="1" t="s">
        <v>15</v>
      </c>
      <c r="F1225" s="26">
        <v>27</v>
      </c>
      <c r="G1225" s="26">
        <v>0</v>
      </c>
      <c r="H1225" s="26">
        <v>30</v>
      </c>
      <c r="I1225" s="26">
        <v>601363.63636363635</v>
      </c>
      <c r="J1225" s="26">
        <v>1470000</v>
      </c>
    </row>
    <row r="1226" spans="1:10">
      <c r="A1226" s="24">
        <v>1224</v>
      </c>
      <c r="B1226" s="24">
        <f t="shared" si="22"/>
        <v>952</v>
      </c>
      <c r="C1226" s="1" t="s">
        <v>1566</v>
      </c>
      <c r="D1226" s="1" t="s">
        <v>4</v>
      </c>
      <c r="E1226" s="1" t="s">
        <v>15</v>
      </c>
      <c r="F1226" s="26">
        <v>30</v>
      </c>
      <c r="G1226" s="26">
        <v>0</v>
      </c>
      <c r="H1226" s="26">
        <v>30</v>
      </c>
      <c r="I1226" s="26">
        <v>601363.63636363635</v>
      </c>
      <c r="J1226" s="26">
        <v>1470000</v>
      </c>
    </row>
    <row r="1227" spans="1:10">
      <c r="A1227" s="24">
        <v>1225</v>
      </c>
      <c r="B1227" s="24">
        <f t="shared" si="22"/>
        <v>953</v>
      </c>
      <c r="C1227" s="1" t="s">
        <v>1567</v>
      </c>
      <c r="D1227" s="1" t="s">
        <v>4</v>
      </c>
      <c r="E1227" s="1" t="s">
        <v>15</v>
      </c>
      <c r="F1227" s="26">
        <v>150</v>
      </c>
      <c r="G1227" s="26">
        <v>0</v>
      </c>
      <c r="H1227" s="26">
        <v>150</v>
      </c>
      <c r="I1227" s="26">
        <v>3006818.1818181816</v>
      </c>
      <c r="J1227" s="26">
        <v>7350000</v>
      </c>
    </row>
    <row r="1228" spans="1:10">
      <c r="A1228" s="24">
        <v>1226</v>
      </c>
      <c r="B1228" s="24">
        <f t="shared" si="22"/>
        <v>954</v>
      </c>
      <c r="C1228" s="1" t="s">
        <v>1568</v>
      </c>
      <c r="D1228" s="1" t="s">
        <v>4</v>
      </c>
      <c r="E1228" s="1" t="s">
        <v>15</v>
      </c>
      <c r="F1228" s="26">
        <v>150</v>
      </c>
      <c r="G1228" s="26">
        <v>0</v>
      </c>
      <c r="H1228" s="26">
        <v>150</v>
      </c>
      <c r="I1228" s="26">
        <v>3006818.1818181816</v>
      </c>
      <c r="J1228" s="26">
        <v>7350000</v>
      </c>
    </row>
    <row r="1229" spans="1:10">
      <c r="A1229" s="24">
        <v>1227</v>
      </c>
      <c r="B1229" s="24">
        <f t="shared" si="22"/>
        <v>955</v>
      </c>
      <c r="C1229" s="1" t="s">
        <v>1569</v>
      </c>
      <c r="D1229" s="1" t="s">
        <v>4</v>
      </c>
      <c r="E1229" s="1" t="s">
        <v>15</v>
      </c>
      <c r="F1229" s="26">
        <v>30</v>
      </c>
      <c r="G1229" s="26">
        <v>0</v>
      </c>
      <c r="H1229" s="26">
        <v>30</v>
      </c>
      <c r="I1229" s="26">
        <v>601363.63636363635</v>
      </c>
      <c r="J1229" s="26">
        <v>1470000</v>
      </c>
    </row>
    <row r="1230" spans="1:10">
      <c r="A1230" s="24">
        <v>1228</v>
      </c>
      <c r="B1230" s="24">
        <f t="shared" si="22"/>
        <v>956</v>
      </c>
      <c r="C1230" s="1" t="s">
        <v>775</v>
      </c>
      <c r="F1230" s="26">
        <v>2152</v>
      </c>
      <c r="G1230" s="26">
        <v>0</v>
      </c>
      <c r="H1230" s="26">
        <v>2165</v>
      </c>
      <c r="I1230" s="26">
        <v>43390227.272727251</v>
      </c>
      <c r="J1230" s="26">
        <v>106065000</v>
      </c>
    </row>
    <row r="1231" spans="1:10">
      <c r="A1231" s="24">
        <v>1229</v>
      </c>
      <c r="B1231" s="24">
        <f t="shared" si="22"/>
        <v>957</v>
      </c>
      <c r="C1231" s="1" t="s">
        <v>1570</v>
      </c>
      <c r="D1231" s="1" t="s">
        <v>4</v>
      </c>
      <c r="E1231" s="1" t="s">
        <v>14</v>
      </c>
      <c r="F1231" s="26">
        <v>0</v>
      </c>
      <c r="G1231" s="26">
        <v>1000</v>
      </c>
      <c r="H1231" s="26">
        <v>1000</v>
      </c>
      <c r="I1231" s="26">
        <v>13500000</v>
      </c>
      <c r="J1231" s="26">
        <v>65000000</v>
      </c>
    </row>
    <row r="1232" spans="1:10">
      <c r="A1232" s="24">
        <v>1230</v>
      </c>
      <c r="B1232" s="24">
        <f t="shared" si="22"/>
        <v>958</v>
      </c>
      <c r="C1232" s="1" t="s">
        <v>775</v>
      </c>
      <c r="F1232" s="26">
        <v>0</v>
      </c>
      <c r="G1232" s="26">
        <v>1000</v>
      </c>
      <c r="H1232" s="26">
        <v>1000</v>
      </c>
      <c r="I1232" s="26">
        <v>13500000</v>
      </c>
      <c r="J1232" s="26">
        <v>65000000</v>
      </c>
    </row>
    <row r="1233" spans="1:10">
      <c r="A1233" s="24">
        <v>1231</v>
      </c>
      <c r="B1233" s="24">
        <f t="shared" ref="B1233:B1296" si="23">IF(C1232=C1233,B1232,B1232+1)</f>
        <v>959</v>
      </c>
      <c r="C1233" s="1" t="s">
        <v>1571</v>
      </c>
      <c r="D1233" s="1" t="s">
        <v>4</v>
      </c>
      <c r="E1233" s="1" t="s">
        <v>14</v>
      </c>
      <c r="F1233" s="26">
        <v>0</v>
      </c>
      <c r="G1233" s="26">
        <v>700</v>
      </c>
      <c r="H1233" s="26">
        <v>700</v>
      </c>
      <c r="I1233" s="26">
        <v>4420325</v>
      </c>
      <c r="J1233" s="26">
        <v>34300000</v>
      </c>
    </row>
    <row r="1234" spans="1:10">
      <c r="A1234" s="24">
        <v>1232</v>
      </c>
      <c r="B1234" s="24">
        <f t="shared" si="23"/>
        <v>960</v>
      </c>
      <c r="C1234" s="1" t="s">
        <v>1572</v>
      </c>
      <c r="D1234" s="1" t="s">
        <v>6</v>
      </c>
      <c r="E1234" s="1" t="s">
        <v>14</v>
      </c>
      <c r="F1234" s="26">
        <v>0</v>
      </c>
      <c r="G1234" s="26">
        <v>150</v>
      </c>
      <c r="H1234" s="26">
        <v>150</v>
      </c>
      <c r="I1234" s="26">
        <v>877912.5</v>
      </c>
      <c r="J1234" s="26">
        <v>6450000</v>
      </c>
    </row>
    <row r="1235" spans="1:10">
      <c r="A1235" s="24">
        <v>1233</v>
      </c>
      <c r="B1235" s="24">
        <f t="shared" si="23"/>
        <v>960</v>
      </c>
      <c r="C1235" s="1" t="s">
        <v>1572</v>
      </c>
      <c r="D1235" s="1" t="s">
        <v>2</v>
      </c>
      <c r="E1235" s="1" t="s">
        <v>14</v>
      </c>
      <c r="F1235" s="26">
        <v>0</v>
      </c>
      <c r="G1235" s="26">
        <v>250</v>
      </c>
      <c r="H1235" s="26">
        <v>250</v>
      </c>
      <c r="I1235" s="26">
        <v>1463187.5</v>
      </c>
      <c r="J1235" s="26">
        <v>10750000</v>
      </c>
    </row>
    <row r="1236" spans="1:10">
      <c r="A1236" s="24">
        <v>1234</v>
      </c>
      <c r="B1236" s="24">
        <f t="shared" si="23"/>
        <v>960</v>
      </c>
      <c r="C1236" s="1" t="s">
        <v>1572</v>
      </c>
      <c r="D1236" s="1" t="s">
        <v>3</v>
      </c>
      <c r="E1236" s="1" t="s">
        <v>14</v>
      </c>
      <c r="F1236" s="26">
        <v>0</v>
      </c>
      <c r="G1236" s="26">
        <v>100</v>
      </c>
      <c r="H1236" s="26">
        <v>100</v>
      </c>
      <c r="I1236" s="26">
        <v>585275</v>
      </c>
      <c r="J1236" s="26">
        <v>4300000</v>
      </c>
    </row>
    <row r="1237" spans="1:10">
      <c r="A1237" s="24">
        <v>1235</v>
      </c>
      <c r="B1237" s="24">
        <f t="shared" si="23"/>
        <v>960</v>
      </c>
      <c r="C1237" s="1" t="s">
        <v>1572</v>
      </c>
      <c r="D1237" s="1" t="s">
        <v>5</v>
      </c>
      <c r="E1237" s="1" t="s">
        <v>14</v>
      </c>
      <c r="F1237" s="26">
        <v>0</v>
      </c>
      <c r="G1237" s="26">
        <v>200</v>
      </c>
      <c r="H1237" s="26">
        <v>200</v>
      </c>
      <c r="I1237" s="26">
        <v>1170550</v>
      </c>
      <c r="J1237" s="26">
        <v>8600000</v>
      </c>
    </row>
    <row r="1238" spans="1:10">
      <c r="A1238" s="24">
        <v>1236</v>
      </c>
      <c r="B1238" s="24">
        <f t="shared" si="23"/>
        <v>961</v>
      </c>
      <c r="C1238" s="1" t="s">
        <v>1573</v>
      </c>
      <c r="D1238" s="1" t="s">
        <v>6</v>
      </c>
      <c r="E1238" s="1" t="s">
        <v>14</v>
      </c>
      <c r="F1238" s="26">
        <v>0</v>
      </c>
      <c r="G1238" s="26">
        <v>100</v>
      </c>
      <c r="H1238" s="26">
        <v>100</v>
      </c>
      <c r="I1238" s="26">
        <v>608375</v>
      </c>
      <c r="J1238" s="26">
        <v>4300000</v>
      </c>
    </row>
    <row r="1239" spans="1:10">
      <c r="A1239" s="24">
        <v>1237</v>
      </c>
      <c r="B1239" s="24">
        <f t="shared" si="23"/>
        <v>961</v>
      </c>
      <c r="C1239" s="1" t="s">
        <v>1573</v>
      </c>
      <c r="D1239" s="1" t="s">
        <v>2</v>
      </c>
      <c r="E1239" s="1" t="s">
        <v>14</v>
      </c>
      <c r="F1239" s="26">
        <v>0</v>
      </c>
      <c r="G1239" s="26">
        <v>300</v>
      </c>
      <c r="H1239" s="26">
        <v>300</v>
      </c>
      <c r="I1239" s="26">
        <v>1825125</v>
      </c>
      <c r="J1239" s="26">
        <v>12900000</v>
      </c>
    </row>
    <row r="1240" spans="1:10">
      <c r="A1240" s="24">
        <v>1238</v>
      </c>
      <c r="B1240" s="24">
        <f t="shared" si="23"/>
        <v>961</v>
      </c>
      <c r="C1240" s="1" t="s">
        <v>1573</v>
      </c>
      <c r="D1240" s="1" t="s">
        <v>3</v>
      </c>
      <c r="E1240" s="1" t="s">
        <v>14</v>
      </c>
      <c r="F1240" s="26">
        <v>0</v>
      </c>
      <c r="G1240" s="26">
        <v>100</v>
      </c>
      <c r="H1240" s="26">
        <v>100</v>
      </c>
      <c r="I1240" s="26">
        <v>608375</v>
      </c>
      <c r="J1240" s="26">
        <v>4300000</v>
      </c>
    </row>
    <row r="1241" spans="1:10">
      <c r="A1241" s="24">
        <v>1239</v>
      </c>
      <c r="B1241" s="24">
        <f t="shared" si="23"/>
        <v>961</v>
      </c>
      <c r="C1241" s="1" t="s">
        <v>1573</v>
      </c>
      <c r="D1241" s="1" t="s">
        <v>5</v>
      </c>
      <c r="E1241" s="1" t="s">
        <v>14</v>
      </c>
      <c r="F1241" s="26">
        <v>0</v>
      </c>
      <c r="G1241" s="26">
        <v>200</v>
      </c>
      <c r="H1241" s="26">
        <v>200</v>
      </c>
      <c r="I1241" s="26">
        <v>1216750</v>
      </c>
      <c r="J1241" s="26">
        <v>8600000</v>
      </c>
    </row>
    <row r="1242" spans="1:10">
      <c r="A1242" s="24">
        <v>1240</v>
      </c>
      <c r="B1242" s="24">
        <f t="shared" si="23"/>
        <v>962</v>
      </c>
      <c r="C1242" s="1" t="s">
        <v>1574</v>
      </c>
      <c r="D1242" s="1" t="s">
        <v>2</v>
      </c>
      <c r="E1242" s="1" t="s">
        <v>14</v>
      </c>
      <c r="F1242" s="26">
        <v>0</v>
      </c>
      <c r="G1242" s="26">
        <v>100</v>
      </c>
      <c r="H1242" s="26">
        <v>100</v>
      </c>
      <c r="I1242" s="26">
        <v>591049.99999999988</v>
      </c>
      <c r="J1242" s="26">
        <v>4300000</v>
      </c>
    </row>
    <row r="1243" spans="1:10">
      <c r="A1243" s="24">
        <v>1241</v>
      </c>
      <c r="B1243" s="24">
        <f t="shared" si="23"/>
        <v>962</v>
      </c>
      <c r="C1243" s="1" t="s">
        <v>1574</v>
      </c>
      <c r="D1243" s="1" t="s">
        <v>5</v>
      </c>
      <c r="E1243" s="1" t="s">
        <v>14</v>
      </c>
      <c r="F1243" s="26">
        <v>0</v>
      </c>
      <c r="G1243" s="26">
        <v>200</v>
      </c>
      <c r="H1243" s="26">
        <v>200</v>
      </c>
      <c r="I1243" s="26">
        <v>1182099.9999999998</v>
      </c>
      <c r="J1243" s="26">
        <v>8600000</v>
      </c>
    </row>
    <row r="1244" spans="1:10">
      <c r="A1244" s="24">
        <v>1242</v>
      </c>
      <c r="B1244" s="24">
        <f t="shared" si="23"/>
        <v>963</v>
      </c>
      <c r="C1244" s="1" t="s">
        <v>1575</v>
      </c>
      <c r="D1244" s="1" t="s">
        <v>2</v>
      </c>
      <c r="E1244" s="1" t="s">
        <v>14</v>
      </c>
      <c r="F1244" s="26">
        <v>0</v>
      </c>
      <c r="G1244" s="26">
        <v>200</v>
      </c>
      <c r="H1244" s="26">
        <v>200</v>
      </c>
      <c r="I1244" s="26">
        <v>1124350</v>
      </c>
      <c r="J1244" s="26">
        <v>9000000</v>
      </c>
    </row>
    <row r="1245" spans="1:10">
      <c r="A1245" s="24">
        <v>1243</v>
      </c>
      <c r="B1245" s="24">
        <f t="shared" si="23"/>
        <v>963</v>
      </c>
      <c r="C1245" s="1" t="s">
        <v>1575</v>
      </c>
      <c r="D1245" s="1" t="s">
        <v>3</v>
      </c>
      <c r="E1245" s="1" t="s">
        <v>14</v>
      </c>
      <c r="F1245" s="26">
        <v>0</v>
      </c>
      <c r="G1245" s="26">
        <v>100</v>
      </c>
      <c r="H1245" s="26">
        <v>100</v>
      </c>
      <c r="I1245" s="26">
        <v>562175</v>
      </c>
      <c r="J1245" s="26">
        <v>4500000</v>
      </c>
    </row>
    <row r="1246" spans="1:10">
      <c r="A1246" s="24">
        <v>1244</v>
      </c>
      <c r="B1246" s="24">
        <f t="shared" si="23"/>
        <v>963</v>
      </c>
      <c r="C1246" s="1" t="s">
        <v>1575</v>
      </c>
      <c r="D1246" s="1" t="s">
        <v>5</v>
      </c>
      <c r="E1246" s="1" t="s">
        <v>14</v>
      </c>
      <c r="F1246" s="26">
        <v>0</v>
      </c>
      <c r="G1246" s="26">
        <v>200</v>
      </c>
      <c r="H1246" s="26">
        <v>200</v>
      </c>
      <c r="I1246" s="26">
        <v>1124350</v>
      </c>
      <c r="J1246" s="26">
        <v>9000000</v>
      </c>
    </row>
    <row r="1247" spans="1:10">
      <c r="A1247" s="24">
        <v>1245</v>
      </c>
      <c r="B1247" s="24">
        <f t="shared" si="23"/>
        <v>964</v>
      </c>
      <c r="C1247" s="1" t="s">
        <v>775</v>
      </c>
      <c r="F1247" s="26">
        <v>0</v>
      </c>
      <c r="G1247" s="26">
        <v>2900</v>
      </c>
      <c r="H1247" s="26">
        <v>2900</v>
      </c>
      <c r="I1247" s="26">
        <v>17359900</v>
      </c>
      <c r="J1247" s="26">
        <v>129900000</v>
      </c>
    </row>
    <row r="1248" spans="1:10">
      <c r="A1248" s="24">
        <v>1246</v>
      </c>
      <c r="B1248" s="24">
        <f t="shared" si="23"/>
        <v>965</v>
      </c>
      <c r="C1248" s="1" t="s">
        <v>1576</v>
      </c>
      <c r="D1248" s="1" t="s">
        <v>4</v>
      </c>
      <c r="E1248" s="1" t="s">
        <v>14</v>
      </c>
      <c r="F1248" s="26">
        <v>0</v>
      </c>
      <c r="G1248" s="26">
        <v>1000</v>
      </c>
      <c r="H1248" s="26">
        <v>1000</v>
      </c>
      <c r="I1248" s="26">
        <v>7662337.6623376617</v>
      </c>
      <c r="J1248" s="26">
        <v>59000000</v>
      </c>
    </row>
    <row r="1249" spans="1:10">
      <c r="A1249" s="24">
        <v>1247</v>
      </c>
      <c r="B1249" s="24">
        <f t="shared" si="23"/>
        <v>966</v>
      </c>
      <c r="C1249" s="1" t="s">
        <v>775</v>
      </c>
      <c r="F1249" s="26">
        <v>0</v>
      </c>
      <c r="G1249" s="26">
        <v>1000</v>
      </c>
      <c r="H1249" s="26">
        <v>1000</v>
      </c>
      <c r="I1249" s="26">
        <v>7662337.6623376617</v>
      </c>
      <c r="J1249" s="26">
        <v>59000000</v>
      </c>
    </row>
    <row r="1250" spans="1:10">
      <c r="A1250" s="24">
        <v>1248</v>
      </c>
      <c r="B1250" s="24">
        <f t="shared" si="23"/>
        <v>967</v>
      </c>
      <c r="C1250" s="1" t="s">
        <v>1577</v>
      </c>
      <c r="D1250" s="1" t="s">
        <v>4</v>
      </c>
      <c r="E1250" s="1" t="s">
        <v>14</v>
      </c>
      <c r="F1250" s="26">
        <v>0</v>
      </c>
      <c r="G1250" s="26">
        <v>1000</v>
      </c>
      <c r="H1250" s="26">
        <v>1000</v>
      </c>
      <c r="I1250" s="26">
        <v>5844155.8441558434</v>
      </c>
      <c r="J1250" s="26">
        <v>45000000</v>
      </c>
    </row>
    <row r="1251" spans="1:10">
      <c r="A1251" s="24">
        <v>1249</v>
      </c>
      <c r="B1251" s="24">
        <f t="shared" si="23"/>
        <v>968</v>
      </c>
      <c r="C1251" s="1" t="s">
        <v>775</v>
      </c>
      <c r="F1251" s="26">
        <v>0</v>
      </c>
      <c r="G1251" s="26">
        <v>1000</v>
      </c>
      <c r="H1251" s="26">
        <v>1000</v>
      </c>
      <c r="I1251" s="26">
        <v>5844155.8441558434</v>
      </c>
      <c r="J1251" s="26">
        <v>45000000</v>
      </c>
    </row>
    <row r="1252" spans="1:10">
      <c r="A1252" s="24">
        <v>1250</v>
      </c>
      <c r="B1252" s="24">
        <f t="shared" si="23"/>
        <v>969</v>
      </c>
      <c r="C1252" s="1" t="s">
        <v>1578</v>
      </c>
      <c r="D1252" s="1" t="s">
        <v>4</v>
      </c>
      <c r="E1252" s="1" t="s">
        <v>14</v>
      </c>
      <c r="F1252" s="26">
        <v>0</v>
      </c>
      <c r="G1252" s="26">
        <v>1000</v>
      </c>
      <c r="H1252" s="26">
        <v>1000</v>
      </c>
      <c r="I1252" s="26">
        <v>6818181.8181818174</v>
      </c>
      <c r="J1252" s="26">
        <v>45000000</v>
      </c>
    </row>
    <row r="1253" spans="1:10">
      <c r="A1253" s="24">
        <v>1251</v>
      </c>
      <c r="B1253" s="24">
        <f t="shared" si="23"/>
        <v>970</v>
      </c>
      <c r="C1253" s="1" t="s">
        <v>909</v>
      </c>
      <c r="D1253" s="1" t="s">
        <v>4</v>
      </c>
      <c r="E1253" s="1" t="s">
        <v>14</v>
      </c>
      <c r="F1253" s="26">
        <v>0</v>
      </c>
      <c r="G1253" s="26">
        <v>2000</v>
      </c>
      <c r="H1253" s="26">
        <v>2000</v>
      </c>
      <c r="I1253" s="26">
        <v>10606060.606060605</v>
      </c>
      <c r="J1253" s="26">
        <v>70000000</v>
      </c>
    </row>
    <row r="1254" spans="1:10">
      <c r="A1254" s="24">
        <v>1252</v>
      </c>
      <c r="B1254" s="24">
        <f t="shared" si="23"/>
        <v>971</v>
      </c>
      <c r="C1254" s="1" t="s">
        <v>775</v>
      </c>
      <c r="F1254" s="26">
        <v>0</v>
      </c>
      <c r="G1254" s="26">
        <v>3000</v>
      </c>
      <c r="H1254" s="26">
        <v>3000</v>
      </c>
      <c r="I1254" s="26">
        <v>17424242.424242422</v>
      </c>
      <c r="J1254" s="26">
        <v>115000000</v>
      </c>
    </row>
    <row r="1255" spans="1:10">
      <c r="A1255" s="24">
        <v>1253</v>
      </c>
      <c r="B1255" s="24">
        <f t="shared" si="23"/>
        <v>972</v>
      </c>
      <c r="C1255" s="1" t="s">
        <v>1579</v>
      </c>
      <c r="D1255" s="1" t="s">
        <v>4</v>
      </c>
      <c r="E1255" s="1" t="s">
        <v>14</v>
      </c>
      <c r="F1255" s="26">
        <v>0</v>
      </c>
      <c r="G1255" s="26">
        <v>1000</v>
      </c>
      <c r="H1255" s="26">
        <v>1000</v>
      </c>
      <c r="I1255" s="26">
        <v>6673590</v>
      </c>
      <c r="J1255" s="26">
        <v>45000000</v>
      </c>
    </row>
    <row r="1256" spans="1:10">
      <c r="A1256" s="24">
        <v>1254</v>
      </c>
      <c r="B1256" s="24">
        <f t="shared" si="23"/>
        <v>973</v>
      </c>
      <c r="C1256" s="1" t="s">
        <v>1580</v>
      </c>
      <c r="D1256" s="1" t="s">
        <v>4</v>
      </c>
      <c r="E1256" s="1" t="s">
        <v>14</v>
      </c>
      <c r="F1256" s="26">
        <v>0</v>
      </c>
      <c r="G1256" s="26">
        <v>700</v>
      </c>
      <c r="H1256" s="26">
        <v>700</v>
      </c>
      <c r="I1256" s="26">
        <v>4671513</v>
      </c>
      <c r="J1256" s="26">
        <v>31500000</v>
      </c>
    </row>
    <row r="1257" spans="1:10">
      <c r="A1257" s="24">
        <v>1255</v>
      </c>
      <c r="B1257" s="24">
        <f t="shared" si="23"/>
        <v>974</v>
      </c>
      <c r="C1257" s="1" t="s">
        <v>912</v>
      </c>
      <c r="D1257" s="1" t="s">
        <v>4</v>
      </c>
      <c r="E1257" s="1" t="s">
        <v>14</v>
      </c>
      <c r="F1257" s="26">
        <v>0</v>
      </c>
      <c r="G1257" s="26">
        <v>3000</v>
      </c>
      <c r="H1257" s="26">
        <v>3000</v>
      </c>
      <c r="I1257" s="26">
        <v>14285178.000000002</v>
      </c>
      <c r="J1257" s="26">
        <v>87000000</v>
      </c>
    </row>
    <row r="1258" spans="1:10">
      <c r="A1258" s="24">
        <v>1256</v>
      </c>
      <c r="B1258" s="24">
        <f t="shared" si="23"/>
        <v>975</v>
      </c>
      <c r="C1258" s="1" t="s">
        <v>913</v>
      </c>
      <c r="D1258" s="1" t="s">
        <v>4</v>
      </c>
      <c r="E1258" s="1" t="s">
        <v>14</v>
      </c>
      <c r="F1258" s="26">
        <v>0</v>
      </c>
      <c r="G1258" s="26">
        <v>5000</v>
      </c>
      <c r="H1258" s="26">
        <v>5000</v>
      </c>
      <c r="I1258" s="26">
        <v>22658630.000000004</v>
      </c>
      <c r="J1258" s="26">
        <v>145000000</v>
      </c>
    </row>
    <row r="1259" spans="1:10">
      <c r="A1259" s="24">
        <v>1257</v>
      </c>
      <c r="B1259" s="24">
        <f t="shared" si="23"/>
        <v>976</v>
      </c>
      <c r="C1259" s="1" t="s">
        <v>916</v>
      </c>
      <c r="D1259" s="1" t="s">
        <v>4</v>
      </c>
      <c r="E1259" s="1" t="s">
        <v>14</v>
      </c>
      <c r="F1259" s="26">
        <v>0</v>
      </c>
      <c r="G1259" s="26">
        <v>3000</v>
      </c>
      <c r="H1259" s="26">
        <v>3000</v>
      </c>
      <c r="I1259" s="26">
        <v>15302178.000000002</v>
      </c>
      <c r="J1259" s="26">
        <v>87000000</v>
      </c>
    </row>
    <row r="1260" spans="1:10">
      <c r="A1260" s="24">
        <v>1258</v>
      </c>
      <c r="B1260" s="24">
        <f t="shared" si="23"/>
        <v>977</v>
      </c>
      <c r="C1260" s="1" t="s">
        <v>775</v>
      </c>
      <c r="F1260" s="26">
        <v>0</v>
      </c>
      <c r="G1260" s="26">
        <v>12700</v>
      </c>
      <c r="H1260" s="26">
        <v>12700</v>
      </c>
      <c r="I1260" s="26">
        <v>63591089</v>
      </c>
      <c r="J1260" s="26">
        <v>395500000</v>
      </c>
    </row>
    <row r="1261" spans="1:10">
      <c r="A1261" s="24">
        <v>1259</v>
      </c>
      <c r="B1261" s="24">
        <f t="shared" si="23"/>
        <v>978</v>
      </c>
      <c r="C1261" s="1" t="s">
        <v>918</v>
      </c>
      <c r="D1261" s="1" t="s">
        <v>2</v>
      </c>
      <c r="E1261" s="1" t="s">
        <v>14</v>
      </c>
      <c r="F1261" s="26">
        <v>0</v>
      </c>
      <c r="G1261" s="26">
        <v>2000</v>
      </c>
      <c r="H1261" s="26">
        <v>2000</v>
      </c>
      <c r="I1261" s="26">
        <v>13020980.000000002</v>
      </c>
      <c r="J1261" s="26">
        <v>58000000</v>
      </c>
    </row>
    <row r="1262" spans="1:10">
      <c r="A1262" s="24">
        <v>1260</v>
      </c>
      <c r="B1262" s="24">
        <f t="shared" si="23"/>
        <v>978</v>
      </c>
      <c r="C1262" s="1" t="s">
        <v>918</v>
      </c>
      <c r="D1262" s="1" t="s">
        <v>3</v>
      </c>
      <c r="E1262" s="1" t="s">
        <v>14</v>
      </c>
      <c r="F1262" s="26">
        <v>0</v>
      </c>
      <c r="G1262" s="26">
        <v>1500</v>
      </c>
      <c r="H1262" s="26">
        <v>1500</v>
      </c>
      <c r="I1262" s="26">
        <v>9765735.0000000019</v>
      </c>
      <c r="J1262" s="26">
        <v>43500000</v>
      </c>
    </row>
    <row r="1263" spans="1:10">
      <c r="A1263" s="24">
        <v>1261</v>
      </c>
      <c r="B1263" s="24">
        <f t="shared" si="23"/>
        <v>979</v>
      </c>
      <c r="C1263" s="1" t="s">
        <v>775</v>
      </c>
      <c r="F1263" s="26">
        <v>0</v>
      </c>
      <c r="G1263" s="26">
        <v>3500</v>
      </c>
      <c r="H1263" s="26">
        <v>3500</v>
      </c>
      <c r="I1263" s="26">
        <v>22786715.000000004</v>
      </c>
      <c r="J1263" s="26">
        <v>101500000</v>
      </c>
    </row>
    <row r="1264" spans="1:10">
      <c r="A1264" s="24">
        <v>1262</v>
      </c>
      <c r="B1264" s="24">
        <f t="shared" si="23"/>
        <v>980</v>
      </c>
      <c r="C1264" s="1" t="s">
        <v>1025</v>
      </c>
      <c r="D1264" s="1" t="s">
        <v>4</v>
      </c>
      <c r="E1264" s="1" t="s">
        <v>14</v>
      </c>
      <c r="F1264" s="26">
        <v>0</v>
      </c>
      <c r="G1264" s="26">
        <v>1000</v>
      </c>
      <c r="H1264" s="26">
        <v>1000</v>
      </c>
      <c r="I1264" s="26">
        <v>10020000</v>
      </c>
      <c r="J1264" s="26">
        <v>49000000</v>
      </c>
    </row>
    <row r="1265" spans="1:10">
      <c r="A1265" s="24">
        <v>1263</v>
      </c>
      <c r="B1265" s="24">
        <f t="shared" si="23"/>
        <v>981</v>
      </c>
      <c r="C1265" s="1" t="s">
        <v>775</v>
      </c>
      <c r="F1265" s="26">
        <v>0</v>
      </c>
      <c r="G1265" s="26">
        <v>1000</v>
      </c>
      <c r="H1265" s="26">
        <v>1000</v>
      </c>
      <c r="I1265" s="26">
        <v>10020000</v>
      </c>
      <c r="J1265" s="26">
        <v>49000000</v>
      </c>
    </row>
    <row r="1266" spans="1:10">
      <c r="A1266" s="24">
        <v>1264</v>
      </c>
      <c r="B1266" s="24">
        <f t="shared" si="23"/>
        <v>982</v>
      </c>
      <c r="C1266" s="1" t="s">
        <v>1137</v>
      </c>
      <c r="D1266" s="1" t="s">
        <v>4</v>
      </c>
      <c r="E1266" s="1" t="s">
        <v>14</v>
      </c>
      <c r="F1266" s="26">
        <v>0</v>
      </c>
      <c r="G1266" s="26">
        <v>1000</v>
      </c>
      <c r="H1266" s="26">
        <v>1000</v>
      </c>
      <c r="I1266" s="26">
        <v>9000000</v>
      </c>
      <c r="J1266" s="26">
        <v>55000000</v>
      </c>
    </row>
    <row r="1267" spans="1:10">
      <c r="A1267" s="24">
        <v>1265</v>
      </c>
      <c r="B1267" s="24">
        <f t="shared" si="23"/>
        <v>983</v>
      </c>
      <c r="C1267" s="1" t="s">
        <v>1138</v>
      </c>
      <c r="D1267" s="1" t="s">
        <v>4</v>
      </c>
      <c r="E1267" s="1" t="s">
        <v>14</v>
      </c>
      <c r="F1267" s="26">
        <v>0</v>
      </c>
      <c r="G1267" s="26">
        <v>2000</v>
      </c>
      <c r="H1267" s="26">
        <v>2000</v>
      </c>
      <c r="I1267" s="26">
        <v>18000000</v>
      </c>
      <c r="J1267" s="26">
        <v>110000000</v>
      </c>
    </row>
    <row r="1268" spans="1:10">
      <c r="A1268" s="24">
        <v>1266</v>
      </c>
      <c r="B1268" s="24">
        <f t="shared" si="23"/>
        <v>984</v>
      </c>
      <c r="C1268" s="1" t="s">
        <v>1412</v>
      </c>
      <c r="D1268" s="1" t="s">
        <v>4</v>
      </c>
      <c r="E1268" s="1" t="s">
        <v>14</v>
      </c>
      <c r="F1268" s="26">
        <v>0</v>
      </c>
      <c r="G1268" s="26">
        <v>1000</v>
      </c>
      <c r="H1268" s="26">
        <v>1000</v>
      </c>
      <c r="I1268" s="26">
        <v>9000000</v>
      </c>
      <c r="J1268" s="26">
        <v>55000000</v>
      </c>
    </row>
    <row r="1269" spans="1:10">
      <c r="A1269" s="24">
        <v>1267</v>
      </c>
      <c r="B1269" s="24">
        <f t="shared" si="23"/>
        <v>985</v>
      </c>
      <c r="C1269" s="1" t="s">
        <v>775</v>
      </c>
      <c r="F1269" s="26">
        <v>0</v>
      </c>
      <c r="G1269" s="26">
        <v>4000</v>
      </c>
      <c r="H1269" s="26">
        <v>4000</v>
      </c>
      <c r="I1269" s="26">
        <v>36000000</v>
      </c>
      <c r="J1269" s="26">
        <v>220000000</v>
      </c>
    </row>
    <row r="1270" spans="1:10">
      <c r="A1270" s="24">
        <v>1268</v>
      </c>
      <c r="B1270" s="24">
        <f t="shared" si="23"/>
        <v>986</v>
      </c>
      <c r="C1270" s="1" t="s">
        <v>1581</v>
      </c>
      <c r="D1270" s="1" t="s">
        <v>4</v>
      </c>
      <c r="E1270" s="1" t="s">
        <v>14</v>
      </c>
      <c r="F1270" s="26">
        <v>0</v>
      </c>
      <c r="G1270" s="26">
        <v>1000</v>
      </c>
      <c r="H1270" s="26">
        <v>1000</v>
      </c>
      <c r="I1270" s="26">
        <v>25720000</v>
      </c>
      <c r="J1270" s="26">
        <v>139000000</v>
      </c>
    </row>
    <row r="1271" spans="1:10">
      <c r="A1271" s="24">
        <v>1269</v>
      </c>
      <c r="B1271" s="24">
        <f t="shared" si="23"/>
        <v>987</v>
      </c>
      <c r="C1271" s="1" t="s">
        <v>1131</v>
      </c>
      <c r="D1271" s="1" t="s">
        <v>8</v>
      </c>
      <c r="E1271" s="1" t="s">
        <v>14</v>
      </c>
      <c r="F1271" s="26">
        <v>0</v>
      </c>
      <c r="G1271" s="26">
        <v>700</v>
      </c>
      <c r="H1271" s="26">
        <v>700</v>
      </c>
      <c r="I1271" s="26">
        <v>16044000</v>
      </c>
      <c r="J1271" s="26">
        <v>76300000</v>
      </c>
    </row>
    <row r="1272" spans="1:10">
      <c r="A1272" s="24">
        <v>1270</v>
      </c>
      <c r="B1272" s="24">
        <f t="shared" si="23"/>
        <v>988</v>
      </c>
      <c r="C1272" s="1" t="s">
        <v>1582</v>
      </c>
      <c r="D1272" s="1" t="s">
        <v>4</v>
      </c>
      <c r="E1272" s="1" t="s">
        <v>14</v>
      </c>
      <c r="F1272" s="26">
        <v>0</v>
      </c>
      <c r="G1272" s="26">
        <v>500</v>
      </c>
      <c r="H1272" s="26">
        <v>500</v>
      </c>
      <c r="I1272" s="26">
        <v>12510000</v>
      </c>
      <c r="J1272" s="26">
        <v>49500000</v>
      </c>
    </row>
    <row r="1273" spans="1:10">
      <c r="A1273" s="24">
        <v>1271</v>
      </c>
      <c r="B1273" s="24">
        <f t="shared" si="23"/>
        <v>989</v>
      </c>
      <c r="C1273" s="1" t="s">
        <v>1583</v>
      </c>
      <c r="D1273" s="1" t="s">
        <v>7</v>
      </c>
      <c r="E1273" s="1" t="s">
        <v>14</v>
      </c>
      <c r="F1273" s="26">
        <v>0</v>
      </c>
      <c r="G1273" s="26">
        <v>500</v>
      </c>
      <c r="H1273" s="26">
        <v>500</v>
      </c>
      <c r="I1273" s="26">
        <v>9510000</v>
      </c>
      <c r="J1273" s="26">
        <v>44500000</v>
      </c>
    </row>
    <row r="1274" spans="1:10">
      <c r="A1274" s="24">
        <v>1272</v>
      </c>
      <c r="B1274" s="24">
        <f t="shared" si="23"/>
        <v>990</v>
      </c>
      <c r="C1274" s="1" t="s">
        <v>1584</v>
      </c>
      <c r="D1274" s="1" t="s">
        <v>8</v>
      </c>
      <c r="E1274" s="1" t="s">
        <v>14</v>
      </c>
      <c r="F1274" s="26">
        <v>0</v>
      </c>
      <c r="G1274" s="26">
        <v>500</v>
      </c>
      <c r="H1274" s="26">
        <v>500</v>
      </c>
      <c r="I1274" s="26">
        <v>11460000</v>
      </c>
      <c r="J1274" s="26">
        <v>54500000</v>
      </c>
    </row>
    <row r="1275" spans="1:10">
      <c r="A1275" s="24">
        <v>1273</v>
      </c>
      <c r="B1275" s="24">
        <f t="shared" si="23"/>
        <v>991</v>
      </c>
      <c r="C1275" s="1" t="s">
        <v>1585</v>
      </c>
      <c r="D1275" s="1" t="s">
        <v>4</v>
      </c>
      <c r="E1275" s="1" t="s">
        <v>14</v>
      </c>
      <c r="F1275" s="26">
        <v>0</v>
      </c>
      <c r="G1275" s="26">
        <v>500</v>
      </c>
      <c r="H1275" s="26">
        <v>500</v>
      </c>
      <c r="I1275" s="26">
        <v>12860000</v>
      </c>
      <c r="J1275" s="26">
        <v>69500000</v>
      </c>
    </row>
    <row r="1276" spans="1:10">
      <c r="A1276" s="24">
        <v>1274</v>
      </c>
      <c r="B1276" s="24">
        <f t="shared" si="23"/>
        <v>992</v>
      </c>
      <c r="C1276" s="1" t="s">
        <v>1586</v>
      </c>
      <c r="D1276" s="1" t="s">
        <v>8</v>
      </c>
      <c r="E1276" s="1" t="s">
        <v>14</v>
      </c>
      <c r="F1276" s="26">
        <v>0</v>
      </c>
      <c r="G1276" s="26">
        <v>500</v>
      </c>
      <c r="H1276" s="26">
        <v>500</v>
      </c>
      <c r="I1276" s="26">
        <v>11460000</v>
      </c>
      <c r="J1276" s="26">
        <v>54500000</v>
      </c>
    </row>
    <row r="1277" spans="1:10">
      <c r="A1277" s="24">
        <v>1275</v>
      </c>
      <c r="B1277" s="24">
        <f t="shared" si="23"/>
        <v>993</v>
      </c>
      <c r="C1277" s="1" t="s">
        <v>1133</v>
      </c>
      <c r="D1277" s="1" t="s">
        <v>8</v>
      </c>
      <c r="E1277" s="1" t="s">
        <v>14</v>
      </c>
      <c r="F1277" s="26">
        <v>0</v>
      </c>
      <c r="G1277" s="26">
        <v>1000</v>
      </c>
      <c r="H1277" s="26">
        <v>1000</v>
      </c>
      <c r="I1277" s="26">
        <v>22920000</v>
      </c>
      <c r="J1277" s="26">
        <v>109000000</v>
      </c>
    </row>
    <row r="1278" spans="1:10">
      <c r="A1278" s="24">
        <v>1276</v>
      </c>
      <c r="B1278" s="24">
        <f t="shared" si="23"/>
        <v>994</v>
      </c>
      <c r="C1278" s="1" t="s">
        <v>1587</v>
      </c>
      <c r="D1278" s="1" t="s">
        <v>7</v>
      </c>
      <c r="E1278" s="1" t="s">
        <v>14</v>
      </c>
      <c r="F1278" s="26">
        <v>0</v>
      </c>
      <c r="G1278" s="26">
        <v>500</v>
      </c>
      <c r="H1278" s="26">
        <v>500</v>
      </c>
      <c r="I1278" s="26">
        <v>10010000</v>
      </c>
      <c r="J1278" s="26">
        <v>49500000</v>
      </c>
    </row>
    <row r="1279" spans="1:10">
      <c r="A1279" s="24">
        <v>1277</v>
      </c>
      <c r="B1279" s="24">
        <f t="shared" si="23"/>
        <v>995</v>
      </c>
      <c r="C1279" s="1" t="s">
        <v>1588</v>
      </c>
      <c r="D1279" s="1" t="s">
        <v>7</v>
      </c>
      <c r="E1279" s="1" t="s">
        <v>14</v>
      </c>
      <c r="F1279" s="26">
        <v>0</v>
      </c>
      <c r="G1279" s="26">
        <v>500</v>
      </c>
      <c r="H1279" s="26">
        <v>500</v>
      </c>
      <c r="I1279" s="26">
        <v>11260000</v>
      </c>
      <c r="J1279" s="26">
        <v>49500000</v>
      </c>
    </row>
    <row r="1280" spans="1:10">
      <c r="A1280" s="24">
        <v>1278</v>
      </c>
      <c r="B1280" s="24">
        <f t="shared" si="23"/>
        <v>996</v>
      </c>
      <c r="C1280" s="1" t="s">
        <v>797</v>
      </c>
      <c r="D1280" s="1" t="s">
        <v>4</v>
      </c>
      <c r="E1280" s="1" t="s">
        <v>14</v>
      </c>
      <c r="F1280" s="26">
        <v>0</v>
      </c>
      <c r="G1280" s="26">
        <v>500</v>
      </c>
      <c r="H1280" s="26">
        <v>500</v>
      </c>
      <c r="I1280" s="26">
        <v>5010000</v>
      </c>
      <c r="J1280" s="26">
        <v>22500000</v>
      </c>
    </row>
    <row r="1281" spans="1:10">
      <c r="A1281" s="24">
        <v>1279</v>
      </c>
      <c r="B1281" s="24">
        <f t="shared" si="23"/>
        <v>997</v>
      </c>
      <c r="C1281" s="1" t="s">
        <v>800</v>
      </c>
      <c r="D1281" s="1" t="s">
        <v>4</v>
      </c>
      <c r="E1281" s="1" t="s">
        <v>14</v>
      </c>
      <c r="F1281" s="26">
        <v>0</v>
      </c>
      <c r="G1281" s="26">
        <v>500</v>
      </c>
      <c r="H1281" s="26">
        <v>500</v>
      </c>
      <c r="I1281" s="26">
        <v>5010000</v>
      </c>
      <c r="J1281" s="26">
        <v>22500000</v>
      </c>
    </row>
    <row r="1282" spans="1:10">
      <c r="A1282" s="24">
        <v>1280</v>
      </c>
      <c r="B1282" s="24">
        <f t="shared" si="23"/>
        <v>998</v>
      </c>
      <c r="C1282" s="1" t="s">
        <v>775</v>
      </c>
      <c r="F1282" s="26">
        <v>0</v>
      </c>
      <c r="G1282" s="26">
        <v>7200</v>
      </c>
      <c r="H1282" s="26">
        <v>7200</v>
      </c>
      <c r="I1282" s="26">
        <v>153774000</v>
      </c>
      <c r="J1282" s="26">
        <v>740800000</v>
      </c>
    </row>
    <row r="1283" spans="1:10">
      <c r="A1283" s="24">
        <v>1281</v>
      </c>
      <c r="B1283" s="24">
        <f t="shared" si="23"/>
        <v>999</v>
      </c>
      <c r="C1283" s="1" t="s">
        <v>1589</v>
      </c>
      <c r="D1283" s="1" t="s">
        <v>4</v>
      </c>
      <c r="E1283" s="1" t="s">
        <v>15</v>
      </c>
      <c r="F1283" s="26">
        <v>300</v>
      </c>
      <c r="G1283" s="26">
        <v>0</v>
      </c>
      <c r="H1283" s="26">
        <v>300</v>
      </c>
      <c r="I1283" s="26">
        <v>6013636.3636363633</v>
      </c>
      <c r="J1283" s="26">
        <v>14700000</v>
      </c>
    </row>
    <row r="1284" spans="1:10">
      <c r="A1284" s="24">
        <v>1282</v>
      </c>
      <c r="B1284" s="24">
        <f t="shared" si="23"/>
        <v>1000</v>
      </c>
      <c r="C1284" s="1" t="s">
        <v>1590</v>
      </c>
      <c r="D1284" s="1" t="s">
        <v>4</v>
      </c>
      <c r="E1284" s="1" t="s">
        <v>15</v>
      </c>
      <c r="F1284" s="26">
        <v>150</v>
      </c>
      <c r="G1284" s="26">
        <v>0</v>
      </c>
      <c r="H1284" s="26">
        <v>150</v>
      </c>
      <c r="I1284" s="26">
        <v>3006818.1818181816</v>
      </c>
      <c r="J1284" s="26">
        <v>7350000</v>
      </c>
    </row>
    <row r="1285" spans="1:10">
      <c r="A1285" s="24">
        <v>1283</v>
      </c>
      <c r="B1285" s="24">
        <f t="shared" si="23"/>
        <v>1001</v>
      </c>
      <c r="C1285" s="1" t="s">
        <v>1462</v>
      </c>
      <c r="D1285" s="1" t="s">
        <v>4</v>
      </c>
      <c r="E1285" s="1" t="s">
        <v>15</v>
      </c>
      <c r="F1285" s="26">
        <v>50</v>
      </c>
      <c r="G1285" s="26">
        <v>0</v>
      </c>
      <c r="H1285" s="26">
        <v>50</v>
      </c>
      <c r="I1285" s="26">
        <v>1002272.7272727272</v>
      </c>
      <c r="J1285" s="26">
        <v>2450000</v>
      </c>
    </row>
    <row r="1286" spans="1:10">
      <c r="A1286" s="24">
        <v>1284</v>
      </c>
      <c r="B1286" s="24">
        <f t="shared" si="23"/>
        <v>1002</v>
      </c>
      <c r="C1286" s="1" t="s">
        <v>1591</v>
      </c>
      <c r="D1286" s="1" t="s">
        <v>4</v>
      </c>
      <c r="E1286" s="1" t="s">
        <v>15</v>
      </c>
      <c r="F1286" s="26">
        <v>100</v>
      </c>
      <c r="G1286" s="26">
        <v>0</v>
      </c>
      <c r="H1286" s="26">
        <v>100</v>
      </c>
      <c r="I1286" s="26">
        <v>2004545.4545454544</v>
      </c>
      <c r="J1286" s="26">
        <v>4900000</v>
      </c>
    </row>
    <row r="1287" spans="1:10">
      <c r="A1287" s="24">
        <v>1285</v>
      </c>
      <c r="B1287" s="24">
        <f t="shared" si="23"/>
        <v>1003</v>
      </c>
      <c r="C1287" s="1" t="s">
        <v>1463</v>
      </c>
      <c r="D1287" s="1" t="s">
        <v>4</v>
      </c>
      <c r="E1287" s="1" t="s">
        <v>15</v>
      </c>
      <c r="F1287" s="26">
        <v>100</v>
      </c>
      <c r="G1287" s="26">
        <v>0</v>
      </c>
      <c r="H1287" s="26">
        <v>100</v>
      </c>
      <c r="I1287" s="26">
        <v>2004545.4545454544</v>
      </c>
      <c r="J1287" s="26">
        <v>4900000</v>
      </c>
    </row>
    <row r="1288" spans="1:10">
      <c r="A1288" s="24">
        <v>1286</v>
      </c>
      <c r="B1288" s="24">
        <f t="shared" si="23"/>
        <v>1004</v>
      </c>
      <c r="C1288" s="1" t="s">
        <v>1464</v>
      </c>
      <c r="D1288" s="1" t="s">
        <v>4</v>
      </c>
      <c r="E1288" s="1" t="s">
        <v>15</v>
      </c>
      <c r="F1288" s="26">
        <v>150</v>
      </c>
      <c r="G1288" s="26">
        <v>0</v>
      </c>
      <c r="H1288" s="26">
        <v>150</v>
      </c>
      <c r="I1288" s="26">
        <v>3006818.1818181816</v>
      </c>
      <c r="J1288" s="26">
        <v>7350000</v>
      </c>
    </row>
    <row r="1289" spans="1:10">
      <c r="A1289" s="24">
        <v>1287</v>
      </c>
      <c r="B1289" s="24">
        <f t="shared" si="23"/>
        <v>1005</v>
      </c>
      <c r="C1289" s="1" t="s">
        <v>1592</v>
      </c>
      <c r="D1289" s="1" t="s">
        <v>4</v>
      </c>
      <c r="E1289" s="1" t="s">
        <v>15</v>
      </c>
      <c r="F1289" s="26">
        <v>150</v>
      </c>
      <c r="G1289" s="26">
        <v>0</v>
      </c>
      <c r="H1289" s="26">
        <v>150</v>
      </c>
      <c r="I1289" s="26">
        <v>3006818.1818181816</v>
      </c>
      <c r="J1289" s="26">
        <v>7350000</v>
      </c>
    </row>
    <row r="1290" spans="1:10">
      <c r="A1290" s="24">
        <v>1288</v>
      </c>
      <c r="B1290" s="24">
        <f t="shared" si="23"/>
        <v>1006</v>
      </c>
      <c r="C1290" s="1" t="s">
        <v>1466</v>
      </c>
      <c r="D1290" s="1" t="s">
        <v>4</v>
      </c>
      <c r="E1290" s="1" t="s">
        <v>15</v>
      </c>
      <c r="F1290" s="26">
        <v>150</v>
      </c>
      <c r="G1290" s="26">
        <v>0</v>
      </c>
      <c r="H1290" s="26">
        <v>150</v>
      </c>
      <c r="I1290" s="26">
        <v>3006818.1818181816</v>
      </c>
      <c r="J1290" s="26">
        <v>7350000</v>
      </c>
    </row>
    <row r="1291" spans="1:10">
      <c r="A1291" s="24">
        <v>1289</v>
      </c>
      <c r="B1291" s="24">
        <f t="shared" si="23"/>
        <v>1007</v>
      </c>
      <c r="C1291" s="1" t="s">
        <v>1467</v>
      </c>
      <c r="D1291" s="1" t="s">
        <v>4</v>
      </c>
      <c r="E1291" s="1" t="s">
        <v>15</v>
      </c>
      <c r="F1291" s="26">
        <v>150</v>
      </c>
      <c r="G1291" s="26">
        <v>0</v>
      </c>
      <c r="H1291" s="26">
        <v>150</v>
      </c>
      <c r="I1291" s="26">
        <v>3006818.1818181816</v>
      </c>
      <c r="J1291" s="26">
        <v>7350000</v>
      </c>
    </row>
    <row r="1292" spans="1:10">
      <c r="A1292" s="24">
        <v>1290</v>
      </c>
      <c r="B1292" s="24">
        <f t="shared" si="23"/>
        <v>1008</v>
      </c>
      <c r="C1292" s="1" t="s">
        <v>1547</v>
      </c>
      <c r="D1292" s="1" t="s">
        <v>4</v>
      </c>
      <c r="E1292" s="1" t="s">
        <v>15</v>
      </c>
      <c r="F1292" s="26">
        <v>100</v>
      </c>
      <c r="G1292" s="26">
        <v>0</v>
      </c>
      <c r="H1292" s="26">
        <v>100</v>
      </c>
      <c r="I1292" s="26">
        <v>2004545.4545454544</v>
      </c>
      <c r="J1292" s="26">
        <v>4900000</v>
      </c>
    </row>
    <row r="1293" spans="1:10">
      <c r="A1293" s="24">
        <v>1291</v>
      </c>
      <c r="B1293" s="24">
        <f t="shared" si="23"/>
        <v>1009</v>
      </c>
      <c r="C1293" s="1" t="s">
        <v>1468</v>
      </c>
      <c r="D1293" s="1" t="s">
        <v>4</v>
      </c>
      <c r="E1293" s="1" t="s">
        <v>15</v>
      </c>
      <c r="F1293" s="26">
        <v>80</v>
      </c>
      <c r="G1293" s="26">
        <v>0</v>
      </c>
      <c r="H1293" s="26">
        <v>80</v>
      </c>
      <c r="I1293" s="26">
        <v>1603636.3636363635</v>
      </c>
      <c r="J1293" s="26">
        <v>3920000</v>
      </c>
    </row>
    <row r="1294" spans="1:10">
      <c r="A1294" s="24">
        <v>1292</v>
      </c>
      <c r="B1294" s="24">
        <f t="shared" si="23"/>
        <v>1010</v>
      </c>
      <c r="C1294" s="1" t="s">
        <v>1469</v>
      </c>
      <c r="D1294" s="1" t="s">
        <v>4</v>
      </c>
      <c r="E1294" s="1" t="s">
        <v>15</v>
      </c>
      <c r="F1294" s="26">
        <v>200</v>
      </c>
      <c r="G1294" s="26">
        <v>0</v>
      </c>
      <c r="H1294" s="26">
        <v>200</v>
      </c>
      <c r="I1294" s="26">
        <v>4009090.9090909087</v>
      </c>
      <c r="J1294" s="26">
        <v>9800000</v>
      </c>
    </row>
    <row r="1295" spans="1:10">
      <c r="A1295" s="24">
        <v>1293</v>
      </c>
      <c r="B1295" s="24">
        <f t="shared" si="23"/>
        <v>1011</v>
      </c>
      <c r="C1295" s="1" t="s">
        <v>1471</v>
      </c>
      <c r="D1295" s="1" t="s">
        <v>4</v>
      </c>
      <c r="E1295" s="1" t="s">
        <v>15</v>
      </c>
      <c r="F1295" s="26">
        <v>200</v>
      </c>
      <c r="G1295" s="26">
        <v>0</v>
      </c>
      <c r="H1295" s="26">
        <v>200</v>
      </c>
      <c r="I1295" s="26">
        <v>4009090.9090909087</v>
      </c>
      <c r="J1295" s="26">
        <v>9800000</v>
      </c>
    </row>
    <row r="1296" spans="1:10">
      <c r="A1296" s="24">
        <v>1294</v>
      </c>
      <c r="B1296" s="24">
        <f t="shared" si="23"/>
        <v>1012</v>
      </c>
      <c r="C1296" s="1" t="s">
        <v>1472</v>
      </c>
      <c r="D1296" s="1" t="s">
        <v>4</v>
      </c>
      <c r="E1296" s="1" t="s">
        <v>15</v>
      </c>
      <c r="F1296" s="26">
        <v>100</v>
      </c>
      <c r="G1296" s="26">
        <v>0</v>
      </c>
      <c r="H1296" s="26">
        <v>100</v>
      </c>
      <c r="I1296" s="26">
        <v>2004545.4545454544</v>
      </c>
      <c r="J1296" s="26">
        <v>4900000</v>
      </c>
    </row>
    <row r="1297" spans="1:10">
      <c r="A1297" s="24">
        <v>1295</v>
      </c>
      <c r="B1297" s="24">
        <f t="shared" ref="B1297:B1308" si="24">IF(C1296=C1297,B1296,B1296+1)</f>
        <v>1013</v>
      </c>
      <c r="C1297" s="1" t="s">
        <v>1548</v>
      </c>
      <c r="D1297" s="1" t="s">
        <v>4</v>
      </c>
      <c r="E1297" s="1" t="s">
        <v>15</v>
      </c>
      <c r="F1297" s="26">
        <v>200</v>
      </c>
      <c r="G1297" s="26">
        <v>0</v>
      </c>
      <c r="H1297" s="26">
        <v>200</v>
      </c>
      <c r="I1297" s="26">
        <v>4009090.9090909087</v>
      </c>
      <c r="J1297" s="26">
        <v>9800000</v>
      </c>
    </row>
    <row r="1298" spans="1:10">
      <c r="A1298" s="24">
        <v>1296</v>
      </c>
      <c r="B1298" s="24">
        <f t="shared" si="24"/>
        <v>1014</v>
      </c>
      <c r="C1298" s="1" t="s">
        <v>1551</v>
      </c>
      <c r="D1298" s="1" t="s">
        <v>4</v>
      </c>
      <c r="E1298" s="1" t="s">
        <v>15</v>
      </c>
      <c r="F1298" s="26">
        <v>120</v>
      </c>
      <c r="G1298" s="26">
        <v>0</v>
      </c>
      <c r="H1298" s="26">
        <v>150</v>
      </c>
      <c r="I1298" s="26">
        <v>3006818.1818181816</v>
      </c>
      <c r="J1298" s="26">
        <v>7350000</v>
      </c>
    </row>
    <row r="1299" spans="1:10">
      <c r="A1299" s="24">
        <v>1297</v>
      </c>
      <c r="B1299" s="24">
        <f t="shared" si="24"/>
        <v>1015</v>
      </c>
      <c r="C1299" s="1" t="s">
        <v>1473</v>
      </c>
      <c r="D1299" s="1" t="s">
        <v>4</v>
      </c>
      <c r="E1299" s="1" t="s">
        <v>15</v>
      </c>
      <c r="F1299" s="26">
        <v>100</v>
      </c>
      <c r="G1299" s="26">
        <v>0</v>
      </c>
      <c r="H1299" s="26">
        <v>100</v>
      </c>
      <c r="I1299" s="26">
        <v>2413636.3636363638</v>
      </c>
      <c r="J1299" s="26">
        <v>5900000</v>
      </c>
    </row>
    <row r="1300" spans="1:10">
      <c r="A1300" s="24">
        <v>1298</v>
      </c>
      <c r="B1300" s="24">
        <f t="shared" si="24"/>
        <v>1016</v>
      </c>
      <c r="C1300" s="1" t="s">
        <v>1593</v>
      </c>
      <c r="D1300" s="1" t="s">
        <v>4</v>
      </c>
      <c r="E1300" s="1" t="s">
        <v>15</v>
      </c>
      <c r="F1300" s="26">
        <v>200</v>
      </c>
      <c r="G1300" s="26">
        <v>0</v>
      </c>
      <c r="H1300" s="26">
        <v>200</v>
      </c>
      <c r="I1300" s="26">
        <v>4009090.9090909087</v>
      </c>
      <c r="J1300" s="26">
        <v>9800000</v>
      </c>
    </row>
    <row r="1301" spans="1:10">
      <c r="A1301" s="24">
        <v>1299</v>
      </c>
      <c r="B1301" s="24">
        <f t="shared" si="24"/>
        <v>1017</v>
      </c>
      <c r="C1301" s="1" t="s">
        <v>1554</v>
      </c>
      <c r="D1301" s="1" t="s">
        <v>4</v>
      </c>
      <c r="E1301" s="1" t="s">
        <v>15</v>
      </c>
      <c r="F1301" s="26">
        <v>80</v>
      </c>
      <c r="G1301" s="26">
        <v>0</v>
      </c>
      <c r="H1301" s="26">
        <v>80</v>
      </c>
      <c r="I1301" s="26">
        <v>1603636.3636363635</v>
      </c>
      <c r="J1301" s="26">
        <v>3920000</v>
      </c>
    </row>
    <row r="1302" spans="1:10">
      <c r="A1302" s="24">
        <v>1300</v>
      </c>
      <c r="B1302" s="24">
        <f t="shared" si="24"/>
        <v>1018</v>
      </c>
      <c r="C1302" s="1" t="s">
        <v>1555</v>
      </c>
      <c r="D1302" s="1" t="s">
        <v>4</v>
      </c>
      <c r="E1302" s="1" t="s">
        <v>15</v>
      </c>
      <c r="F1302" s="26">
        <v>100</v>
      </c>
      <c r="G1302" s="26">
        <v>0</v>
      </c>
      <c r="H1302" s="26">
        <v>100</v>
      </c>
      <c r="I1302" s="26">
        <v>2004545.4545454544</v>
      </c>
      <c r="J1302" s="26">
        <v>4900000</v>
      </c>
    </row>
    <row r="1303" spans="1:10">
      <c r="A1303" s="24">
        <v>1301</v>
      </c>
      <c r="B1303" s="24">
        <f t="shared" si="24"/>
        <v>1019</v>
      </c>
      <c r="C1303" s="1" t="s">
        <v>1557</v>
      </c>
      <c r="D1303" s="1" t="s">
        <v>4</v>
      </c>
      <c r="E1303" s="1" t="s">
        <v>15</v>
      </c>
      <c r="F1303" s="26">
        <v>80</v>
      </c>
      <c r="G1303" s="26">
        <v>0</v>
      </c>
      <c r="H1303" s="26">
        <v>80</v>
      </c>
      <c r="I1303" s="26">
        <v>1603636.3636363635</v>
      </c>
      <c r="J1303" s="26">
        <v>3920000</v>
      </c>
    </row>
    <row r="1304" spans="1:10">
      <c r="A1304" s="24">
        <v>1302</v>
      </c>
      <c r="B1304" s="24">
        <f t="shared" si="24"/>
        <v>1020</v>
      </c>
      <c r="C1304" s="1" t="s">
        <v>1594</v>
      </c>
      <c r="D1304" s="1" t="s">
        <v>4</v>
      </c>
      <c r="E1304" s="1" t="s">
        <v>15</v>
      </c>
      <c r="F1304" s="26">
        <v>50</v>
      </c>
      <c r="G1304" s="26">
        <v>0</v>
      </c>
      <c r="H1304" s="26">
        <v>50</v>
      </c>
      <c r="I1304" s="26">
        <v>1002272.7272727272</v>
      </c>
      <c r="J1304" s="26">
        <v>2450000</v>
      </c>
    </row>
    <row r="1305" spans="1:10">
      <c r="A1305" s="24">
        <v>1303</v>
      </c>
      <c r="B1305" s="24">
        <f t="shared" si="24"/>
        <v>1021</v>
      </c>
      <c r="C1305" s="1" t="s">
        <v>1558</v>
      </c>
      <c r="D1305" s="1" t="s">
        <v>4</v>
      </c>
      <c r="E1305" s="1" t="s">
        <v>15</v>
      </c>
      <c r="F1305" s="26">
        <v>80</v>
      </c>
      <c r="G1305" s="26">
        <v>0</v>
      </c>
      <c r="H1305" s="26">
        <v>80</v>
      </c>
      <c r="I1305" s="26">
        <v>1603636.3636363635</v>
      </c>
      <c r="J1305" s="26">
        <v>3920000</v>
      </c>
    </row>
    <row r="1306" spans="1:10">
      <c r="A1306" s="24">
        <v>1304</v>
      </c>
      <c r="B1306" s="24">
        <f t="shared" si="24"/>
        <v>1022</v>
      </c>
      <c r="C1306" s="1" t="s">
        <v>1559</v>
      </c>
      <c r="D1306" s="1" t="s">
        <v>4</v>
      </c>
      <c r="E1306" s="1" t="s">
        <v>15</v>
      </c>
      <c r="F1306" s="26">
        <v>50</v>
      </c>
      <c r="G1306" s="26">
        <v>0</v>
      </c>
      <c r="H1306" s="26">
        <v>50</v>
      </c>
      <c r="I1306" s="26">
        <v>920454.54545454541</v>
      </c>
      <c r="J1306" s="26">
        <v>2250000</v>
      </c>
    </row>
    <row r="1307" spans="1:10">
      <c r="A1307" s="24">
        <v>1305</v>
      </c>
      <c r="B1307" s="24">
        <f t="shared" si="24"/>
        <v>1023</v>
      </c>
      <c r="C1307" s="1" t="s">
        <v>1595</v>
      </c>
      <c r="D1307" s="1" t="s">
        <v>4</v>
      </c>
      <c r="E1307" s="1" t="s">
        <v>15</v>
      </c>
      <c r="F1307" s="26">
        <v>150</v>
      </c>
      <c r="G1307" s="26">
        <v>0</v>
      </c>
      <c r="H1307" s="26">
        <v>150</v>
      </c>
      <c r="I1307" s="26">
        <v>3006818.1818181816</v>
      </c>
      <c r="J1307" s="26">
        <v>7350000</v>
      </c>
    </row>
    <row r="1308" spans="1:10">
      <c r="A1308" s="24">
        <v>1306</v>
      </c>
      <c r="B1308" s="24">
        <f t="shared" si="24"/>
        <v>1024</v>
      </c>
      <c r="C1308" s="1" t="s">
        <v>775</v>
      </c>
      <c r="F1308" s="26">
        <v>3190</v>
      </c>
      <c r="G1308" s="26">
        <v>0</v>
      </c>
      <c r="H1308" s="26">
        <v>3220</v>
      </c>
      <c r="I1308" s="26">
        <v>64873636.36363636</v>
      </c>
      <c r="J1308" s="26">
        <v>158580000</v>
      </c>
    </row>
    <row r="1309" spans="1:10">
      <c r="A1309" s="24">
        <v>1307</v>
      </c>
      <c r="B1309" s="24">
        <f t="shared" ref="B1309:B1372" si="25">IF(C1308=C1309,B1308,B1308+1)</f>
        <v>1025</v>
      </c>
      <c r="C1309" s="1" t="s">
        <v>1597</v>
      </c>
      <c r="D1309" s="1" t="s">
        <v>4</v>
      </c>
      <c r="E1309" s="1" t="s">
        <v>14</v>
      </c>
      <c r="F1309" s="26">
        <v>0</v>
      </c>
      <c r="G1309" s="26">
        <v>1000</v>
      </c>
      <c r="H1309" s="26">
        <v>1000</v>
      </c>
      <c r="I1309" s="26">
        <v>6363636.3636363633</v>
      </c>
      <c r="J1309" s="26">
        <v>49000000</v>
      </c>
    </row>
    <row r="1310" spans="1:10">
      <c r="A1310" s="24">
        <v>1308</v>
      </c>
      <c r="B1310" s="24">
        <f t="shared" si="25"/>
        <v>1026</v>
      </c>
      <c r="C1310" s="1" t="s">
        <v>1598</v>
      </c>
      <c r="D1310" s="1" t="s">
        <v>4</v>
      </c>
      <c r="E1310" s="1" t="s">
        <v>14</v>
      </c>
      <c r="F1310" s="26">
        <v>0</v>
      </c>
      <c r="G1310" s="26">
        <v>500</v>
      </c>
      <c r="H1310" s="26">
        <v>500</v>
      </c>
      <c r="I1310" s="26">
        <v>3181818.1818181816</v>
      </c>
      <c r="J1310" s="26">
        <v>24500000</v>
      </c>
    </row>
    <row r="1311" spans="1:10">
      <c r="A1311" s="24">
        <v>1309</v>
      </c>
      <c r="B1311" s="24">
        <f t="shared" si="25"/>
        <v>1027</v>
      </c>
      <c r="C1311" s="1" t="s">
        <v>1599</v>
      </c>
      <c r="D1311" s="1" t="s">
        <v>4</v>
      </c>
      <c r="E1311" s="1" t="s">
        <v>14</v>
      </c>
      <c r="F1311" s="26">
        <v>0</v>
      </c>
      <c r="G1311" s="26">
        <v>1000</v>
      </c>
      <c r="H1311" s="26">
        <v>1000</v>
      </c>
      <c r="I1311" s="26">
        <v>5584415.5844155839</v>
      </c>
      <c r="J1311" s="26">
        <v>43000000</v>
      </c>
    </row>
    <row r="1312" spans="1:10">
      <c r="A1312" s="24">
        <v>1310</v>
      </c>
      <c r="B1312" s="24">
        <f t="shared" si="25"/>
        <v>1028</v>
      </c>
      <c r="C1312" s="1" t="s">
        <v>1600</v>
      </c>
      <c r="D1312" s="1" t="s">
        <v>4</v>
      </c>
      <c r="E1312" s="1" t="s">
        <v>14</v>
      </c>
      <c r="F1312" s="26">
        <v>0</v>
      </c>
      <c r="G1312" s="26">
        <v>700</v>
      </c>
      <c r="H1312" s="26">
        <v>700</v>
      </c>
      <c r="I1312" s="26">
        <v>3909090.9090909087</v>
      </c>
      <c r="J1312" s="26">
        <v>30100000</v>
      </c>
    </row>
    <row r="1313" spans="1:10">
      <c r="A1313" s="24">
        <v>1311</v>
      </c>
      <c r="B1313" s="24">
        <f t="shared" si="25"/>
        <v>1029</v>
      </c>
      <c r="C1313" s="1" t="s">
        <v>775</v>
      </c>
      <c r="F1313" s="26">
        <v>0</v>
      </c>
      <c r="G1313" s="26">
        <v>3200</v>
      </c>
      <c r="H1313" s="26">
        <v>3200</v>
      </c>
      <c r="I1313" s="26">
        <v>19038961.038961038</v>
      </c>
      <c r="J1313" s="26">
        <v>146600000</v>
      </c>
    </row>
    <row r="1314" spans="1:10">
      <c r="A1314" s="24">
        <v>1312</v>
      </c>
      <c r="B1314" s="24">
        <f t="shared" si="25"/>
        <v>1030</v>
      </c>
      <c r="C1314" s="1" t="s">
        <v>1601</v>
      </c>
      <c r="D1314" s="1" t="s">
        <v>4</v>
      </c>
      <c r="E1314" s="1" t="s">
        <v>14</v>
      </c>
      <c r="F1314" s="26">
        <v>0</v>
      </c>
      <c r="G1314" s="26">
        <v>1000</v>
      </c>
      <c r="H1314" s="26">
        <v>1000</v>
      </c>
      <c r="I1314" s="26">
        <v>4949494.9494949495</v>
      </c>
      <c r="J1314" s="26">
        <v>49000000</v>
      </c>
    </row>
    <row r="1315" spans="1:10">
      <c r="A1315" s="24">
        <v>1313</v>
      </c>
      <c r="B1315" s="24">
        <f t="shared" si="25"/>
        <v>1031</v>
      </c>
      <c r="C1315" s="1" t="s">
        <v>1602</v>
      </c>
      <c r="D1315" s="1" t="s">
        <v>4</v>
      </c>
      <c r="E1315" s="1" t="s">
        <v>14</v>
      </c>
      <c r="F1315" s="26">
        <v>0</v>
      </c>
      <c r="G1315" s="26">
        <v>1000</v>
      </c>
      <c r="H1315" s="26">
        <v>1000</v>
      </c>
      <c r="I1315" s="26">
        <v>4545454.5454545449</v>
      </c>
      <c r="J1315" s="26">
        <v>45000000</v>
      </c>
    </row>
    <row r="1316" spans="1:10">
      <c r="A1316" s="24">
        <v>1314</v>
      </c>
      <c r="B1316" s="24">
        <f t="shared" si="25"/>
        <v>1032</v>
      </c>
      <c r="C1316" s="1" t="s">
        <v>1603</v>
      </c>
      <c r="D1316" s="1" t="s">
        <v>4</v>
      </c>
      <c r="E1316" s="1" t="s">
        <v>14</v>
      </c>
      <c r="F1316" s="26">
        <v>0</v>
      </c>
      <c r="G1316" s="26">
        <v>1000</v>
      </c>
      <c r="H1316" s="26">
        <v>1000</v>
      </c>
      <c r="I1316" s="26">
        <v>5959595.9595959596</v>
      </c>
      <c r="J1316" s="26">
        <v>59000000</v>
      </c>
    </row>
    <row r="1317" spans="1:10">
      <c r="A1317" s="24">
        <v>1315</v>
      </c>
      <c r="B1317" s="24">
        <f t="shared" si="25"/>
        <v>1033</v>
      </c>
      <c r="C1317" s="1" t="s">
        <v>1604</v>
      </c>
      <c r="D1317" s="1" t="s">
        <v>4</v>
      </c>
      <c r="E1317" s="1" t="s">
        <v>14</v>
      </c>
      <c r="F1317" s="26">
        <v>0</v>
      </c>
      <c r="G1317" s="26">
        <v>1000</v>
      </c>
      <c r="H1317" s="26">
        <v>1000</v>
      </c>
      <c r="I1317" s="26">
        <v>5555555.555555555</v>
      </c>
      <c r="J1317" s="26">
        <v>55000000</v>
      </c>
    </row>
    <row r="1318" spans="1:10">
      <c r="A1318" s="24">
        <v>1316</v>
      </c>
      <c r="B1318" s="24">
        <f t="shared" si="25"/>
        <v>1034</v>
      </c>
      <c r="C1318" s="1" t="s">
        <v>1605</v>
      </c>
      <c r="D1318" s="1" t="s">
        <v>4</v>
      </c>
      <c r="E1318" s="1" t="s">
        <v>14</v>
      </c>
      <c r="F1318" s="26">
        <v>0</v>
      </c>
      <c r="G1318" s="26">
        <v>1000</v>
      </c>
      <c r="H1318" s="26">
        <v>1000</v>
      </c>
      <c r="I1318" s="26">
        <v>4949494.9494949495</v>
      </c>
      <c r="J1318" s="26">
        <v>49000000</v>
      </c>
    </row>
    <row r="1319" spans="1:10">
      <c r="A1319" s="24">
        <v>1317</v>
      </c>
      <c r="B1319" s="24">
        <f t="shared" si="25"/>
        <v>1035</v>
      </c>
      <c r="C1319" s="1" t="s">
        <v>775</v>
      </c>
      <c r="F1319" s="26">
        <v>0</v>
      </c>
      <c r="G1319" s="26">
        <v>5000</v>
      </c>
      <c r="H1319" s="26">
        <v>5000</v>
      </c>
      <c r="I1319" s="26">
        <v>25959595.95959596</v>
      </c>
      <c r="J1319" s="26">
        <v>257000000</v>
      </c>
    </row>
    <row r="1320" spans="1:10">
      <c r="A1320" s="24">
        <v>1318</v>
      </c>
      <c r="B1320" s="24">
        <f t="shared" si="25"/>
        <v>1036</v>
      </c>
      <c r="C1320" s="1" t="s">
        <v>1606</v>
      </c>
      <c r="D1320" s="1" t="s">
        <v>4</v>
      </c>
      <c r="E1320" s="1" t="s">
        <v>14</v>
      </c>
      <c r="F1320" s="26">
        <v>0</v>
      </c>
      <c r="G1320" s="26">
        <v>700</v>
      </c>
      <c r="H1320" s="26">
        <v>700</v>
      </c>
      <c r="I1320" s="26">
        <v>5196969.6969696973</v>
      </c>
      <c r="J1320" s="26">
        <v>34300000</v>
      </c>
    </row>
    <row r="1321" spans="1:10">
      <c r="A1321" s="24">
        <v>1319</v>
      </c>
      <c r="B1321" s="24">
        <f t="shared" si="25"/>
        <v>1037</v>
      </c>
      <c r="C1321" s="1" t="s">
        <v>1607</v>
      </c>
      <c r="D1321" s="1" t="s">
        <v>4</v>
      </c>
      <c r="E1321" s="1" t="s">
        <v>14</v>
      </c>
      <c r="F1321" s="26">
        <v>0</v>
      </c>
      <c r="G1321" s="26">
        <v>700</v>
      </c>
      <c r="H1321" s="26">
        <v>700</v>
      </c>
      <c r="I1321" s="26">
        <v>4772727.2727272715</v>
      </c>
      <c r="J1321" s="26">
        <v>31500000</v>
      </c>
    </row>
    <row r="1322" spans="1:10">
      <c r="A1322" s="24">
        <v>1320</v>
      </c>
      <c r="B1322" s="24">
        <f t="shared" si="25"/>
        <v>1038</v>
      </c>
      <c r="C1322" s="1" t="s">
        <v>1608</v>
      </c>
      <c r="D1322" s="1" t="s">
        <v>4</v>
      </c>
      <c r="E1322" s="1" t="s">
        <v>14</v>
      </c>
      <c r="F1322" s="26">
        <v>0</v>
      </c>
      <c r="G1322" s="26">
        <v>500</v>
      </c>
      <c r="H1322" s="26">
        <v>500</v>
      </c>
      <c r="I1322" s="26">
        <v>2954545.4545454541</v>
      </c>
      <c r="J1322" s="26">
        <v>19500000</v>
      </c>
    </row>
    <row r="1323" spans="1:10">
      <c r="A1323" s="24">
        <v>1321</v>
      </c>
      <c r="B1323" s="24">
        <f t="shared" si="25"/>
        <v>1039</v>
      </c>
      <c r="C1323" s="1" t="s">
        <v>1609</v>
      </c>
      <c r="D1323" s="1" t="s">
        <v>4</v>
      </c>
      <c r="E1323" s="1" t="s">
        <v>14</v>
      </c>
      <c r="F1323" s="26">
        <v>0</v>
      </c>
      <c r="G1323" s="26">
        <v>500</v>
      </c>
      <c r="H1323" s="26">
        <v>500</v>
      </c>
      <c r="I1323" s="26">
        <v>2651515.1515151514</v>
      </c>
      <c r="J1323" s="26">
        <v>17500000</v>
      </c>
    </row>
    <row r="1324" spans="1:10">
      <c r="A1324" s="24">
        <v>1322</v>
      </c>
      <c r="B1324" s="24">
        <f t="shared" si="25"/>
        <v>1040</v>
      </c>
      <c r="C1324" s="1" t="s">
        <v>1610</v>
      </c>
      <c r="D1324" s="1" t="s">
        <v>4</v>
      </c>
      <c r="E1324" s="1" t="s">
        <v>14</v>
      </c>
      <c r="F1324" s="26">
        <v>0</v>
      </c>
      <c r="G1324" s="26">
        <v>700</v>
      </c>
      <c r="H1324" s="26">
        <v>700</v>
      </c>
      <c r="I1324" s="26">
        <v>5196969.6969696973</v>
      </c>
      <c r="J1324" s="26">
        <v>34300000</v>
      </c>
    </row>
    <row r="1325" spans="1:10">
      <c r="A1325" s="24">
        <v>1323</v>
      </c>
      <c r="B1325" s="24">
        <f t="shared" si="25"/>
        <v>1041</v>
      </c>
      <c r="C1325" s="1" t="s">
        <v>1611</v>
      </c>
      <c r="D1325" s="1" t="s">
        <v>4</v>
      </c>
      <c r="E1325" s="1" t="s">
        <v>14</v>
      </c>
      <c r="F1325" s="26">
        <v>0</v>
      </c>
      <c r="G1325" s="26">
        <v>700</v>
      </c>
      <c r="H1325" s="26">
        <v>700</v>
      </c>
      <c r="I1325" s="26">
        <v>4772727.2727272715</v>
      </c>
      <c r="J1325" s="26">
        <v>31500000</v>
      </c>
    </row>
    <row r="1326" spans="1:10">
      <c r="A1326" s="24">
        <v>1324</v>
      </c>
      <c r="B1326" s="24">
        <f t="shared" si="25"/>
        <v>1042</v>
      </c>
      <c r="C1326" s="1" t="s">
        <v>775</v>
      </c>
      <c r="F1326" s="26">
        <v>0</v>
      </c>
      <c r="G1326" s="26">
        <v>3800</v>
      </c>
      <c r="H1326" s="26">
        <v>3800</v>
      </c>
      <c r="I1326" s="26">
        <v>25545454.545454547</v>
      </c>
      <c r="J1326" s="26">
        <v>168600000</v>
      </c>
    </row>
    <row r="1327" spans="1:10">
      <c r="A1327" s="24">
        <v>1325</v>
      </c>
      <c r="B1327" s="24">
        <f t="shared" si="25"/>
        <v>1043</v>
      </c>
      <c r="C1327" s="1" t="s">
        <v>1612</v>
      </c>
      <c r="D1327" s="1" t="s">
        <v>4</v>
      </c>
      <c r="E1327" s="1" t="s">
        <v>14</v>
      </c>
      <c r="F1327" s="26">
        <v>0</v>
      </c>
      <c r="G1327" s="26">
        <v>500</v>
      </c>
      <c r="H1327" s="26">
        <v>500</v>
      </c>
      <c r="I1327" s="26">
        <v>3181818.1818181816</v>
      </c>
      <c r="J1327" s="26">
        <v>24500000</v>
      </c>
    </row>
    <row r="1328" spans="1:10">
      <c r="A1328" s="24">
        <v>1326</v>
      </c>
      <c r="B1328" s="24">
        <f t="shared" si="25"/>
        <v>1044</v>
      </c>
      <c r="C1328" s="1" t="s">
        <v>1613</v>
      </c>
      <c r="D1328" s="1" t="s">
        <v>4</v>
      </c>
      <c r="E1328" s="1" t="s">
        <v>14</v>
      </c>
      <c r="F1328" s="26">
        <v>0</v>
      </c>
      <c r="G1328" s="26">
        <v>700</v>
      </c>
      <c r="H1328" s="26">
        <v>700</v>
      </c>
      <c r="I1328" s="26">
        <v>4090909.0909090904</v>
      </c>
      <c r="J1328" s="26">
        <v>31500000</v>
      </c>
    </row>
    <row r="1329" spans="1:10">
      <c r="A1329" s="24">
        <v>1327</v>
      </c>
      <c r="B1329" s="24">
        <f t="shared" si="25"/>
        <v>1045</v>
      </c>
      <c r="C1329" s="1" t="s">
        <v>775</v>
      </c>
      <c r="F1329" s="26">
        <v>0</v>
      </c>
      <c r="G1329" s="26">
        <v>1200</v>
      </c>
      <c r="H1329" s="26">
        <v>1200</v>
      </c>
      <c r="I1329" s="26">
        <v>7272727.2727272715</v>
      </c>
      <c r="J1329" s="26">
        <v>56000000</v>
      </c>
    </row>
    <row r="1330" spans="1:10">
      <c r="A1330" s="24">
        <v>1328</v>
      </c>
      <c r="B1330" s="24">
        <f t="shared" si="25"/>
        <v>1046</v>
      </c>
      <c r="C1330" s="1" t="s">
        <v>1614</v>
      </c>
      <c r="D1330" s="1" t="s">
        <v>6</v>
      </c>
      <c r="E1330" s="1" t="s">
        <v>14</v>
      </c>
      <c r="F1330" s="26">
        <v>0</v>
      </c>
      <c r="G1330" s="26">
        <v>300</v>
      </c>
      <c r="H1330" s="26">
        <v>300</v>
      </c>
      <c r="I1330" s="26">
        <v>2200274.9999999995</v>
      </c>
      <c r="J1330" s="26">
        <v>13500000</v>
      </c>
    </row>
    <row r="1331" spans="1:10">
      <c r="A1331" s="24">
        <v>1329</v>
      </c>
      <c r="B1331" s="24">
        <f t="shared" si="25"/>
        <v>1046</v>
      </c>
      <c r="C1331" s="1" t="s">
        <v>1614</v>
      </c>
      <c r="D1331" s="1" t="s">
        <v>2</v>
      </c>
      <c r="E1331" s="1" t="s">
        <v>14</v>
      </c>
      <c r="F1331" s="26">
        <v>0</v>
      </c>
      <c r="G1331" s="26">
        <v>250</v>
      </c>
      <c r="H1331" s="26">
        <v>250</v>
      </c>
      <c r="I1331" s="26">
        <v>1833562.4999999998</v>
      </c>
      <c r="J1331" s="26">
        <v>11250000</v>
      </c>
    </row>
    <row r="1332" spans="1:10">
      <c r="A1332" s="24">
        <v>1330</v>
      </c>
      <c r="B1332" s="24">
        <f t="shared" si="25"/>
        <v>1046</v>
      </c>
      <c r="C1332" s="1" t="s">
        <v>1614</v>
      </c>
      <c r="D1332" s="1" t="s">
        <v>3</v>
      </c>
      <c r="E1332" s="1" t="s">
        <v>14</v>
      </c>
      <c r="F1332" s="26">
        <v>0</v>
      </c>
      <c r="G1332" s="26">
        <v>150</v>
      </c>
      <c r="H1332" s="26">
        <v>150</v>
      </c>
      <c r="I1332" s="26">
        <v>1100137.4999999998</v>
      </c>
      <c r="J1332" s="26">
        <v>6750000</v>
      </c>
    </row>
    <row r="1333" spans="1:10">
      <c r="A1333" s="24">
        <v>1331</v>
      </c>
      <c r="B1333" s="24">
        <f t="shared" si="25"/>
        <v>1047</v>
      </c>
      <c r="C1333" s="1" t="s">
        <v>1615</v>
      </c>
      <c r="D1333" s="1" t="s">
        <v>4</v>
      </c>
      <c r="E1333" s="1" t="s">
        <v>14</v>
      </c>
      <c r="F1333" s="26">
        <v>0</v>
      </c>
      <c r="G1333" s="26">
        <v>500</v>
      </c>
      <c r="H1333" s="26">
        <v>500</v>
      </c>
      <c r="I1333" s="26">
        <v>3667124.9999999995</v>
      </c>
      <c r="J1333" s="26">
        <v>21500000</v>
      </c>
    </row>
    <row r="1334" spans="1:10">
      <c r="A1334" s="24">
        <v>1332</v>
      </c>
      <c r="B1334" s="24">
        <f t="shared" si="25"/>
        <v>1048</v>
      </c>
      <c r="C1334" s="1" t="s">
        <v>1616</v>
      </c>
      <c r="D1334" s="1" t="s">
        <v>6</v>
      </c>
      <c r="E1334" s="1" t="s">
        <v>14</v>
      </c>
      <c r="F1334" s="26">
        <v>0</v>
      </c>
      <c r="G1334" s="26">
        <v>300</v>
      </c>
      <c r="H1334" s="26">
        <v>300</v>
      </c>
      <c r="I1334" s="26">
        <v>2113650</v>
      </c>
      <c r="J1334" s="26">
        <v>13500000</v>
      </c>
    </row>
    <row r="1335" spans="1:10">
      <c r="A1335" s="24">
        <v>1333</v>
      </c>
      <c r="B1335" s="24">
        <f t="shared" si="25"/>
        <v>1048</v>
      </c>
      <c r="C1335" s="1" t="s">
        <v>1616</v>
      </c>
      <c r="D1335" s="1" t="s">
        <v>2</v>
      </c>
      <c r="E1335" s="1" t="s">
        <v>14</v>
      </c>
      <c r="F1335" s="26">
        <v>0</v>
      </c>
      <c r="G1335" s="26">
        <v>250</v>
      </c>
      <c r="H1335" s="26">
        <v>250</v>
      </c>
      <c r="I1335" s="26">
        <v>1761375</v>
      </c>
      <c r="J1335" s="26">
        <v>11250000</v>
      </c>
    </row>
    <row r="1336" spans="1:10">
      <c r="A1336" s="24">
        <v>1334</v>
      </c>
      <c r="B1336" s="24">
        <f t="shared" si="25"/>
        <v>1048</v>
      </c>
      <c r="C1336" s="1" t="s">
        <v>1616</v>
      </c>
      <c r="D1336" s="1" t="s">
        <v>3</v>
      </c>
      <c r="E1336" s="1" t="s">
        <v>14</v>
      </c>
      <c r="F1336" s="26">
        <v>0</v>
      </c>
      <c r="G1336" s="26">
        <v>150</v>
      </c>
      <c r="H1336" s="26">
        <v>150</v>
      </c>
      <c r="I1336" s="26">
        <v>1056825</v>
      </c>
      <c r="J1336" s="26">
        <v>6750000</v>
      </c>
    </row>
    <row r="1337" spans="1:10">
      <c r="A1337" s="24">
        <v>1335</v>
      </c>
      <c r="B1337" s="24">
        <f t="shared" si="25"/>
        <v>1049</v>
      </c>
      <c r="C1337" s="1" t="s">
        <v>1617</v>
      </c>
      <c r="D1337" s="1" t="s">
        <v>4</v>
      </c>
      <c r="E1337" s="1" t="s">
        <v>14</v>
      </c>
      <c r="F1337" s="26">
        <v>0</v>
      </c>
      <c r="G1337" s="26">
        <v>500</v>
      </c>
      <c r="H1337" s="26">
        <v>500</v>
      </c>
      <c r="I1337" s="26">
        <v>3522750</v>
      </c>
      <c r="J1337" s="26">
        <v>21500000</v>
      </c>
    </row>
    <row r="1338" spans="1:10">
      <c r="A1338" s="24">
        <v>1336</v>
      </c>
      <c r="B1338" s="24">
        <f t="shared" si="25"/>
        <v>1050</v>
      </c>
      <c r="C1338" s="1" t="s">
        <v>1618</v>
      </c>
      <c r="D1338" s="1" t="s">
        <v>6</v>
      </c>
      <c r="E1338" s="1" t="s">
        <v>14</v>
      </c>
      <c r="F1338" s="26">
        <v>0</v>
      </c>
      <c r="G1338" s="26">
        <v>300</v>
      </c>
      <c r="H1338" s="26">
        <v>300</v>
      </c>
      <c r="I1338" s="26">
        <v>1992375.0000000002</v>
      </c>
      <c r="J1338" s="26">
        <v>13500000</v>
      </c>
    </row>
    <row r="1339" spans="1:10">
      <c r="A1339" s="24">
        <v>1337</v>
      </c>
      <c r="B1339" s="24">
        <f t="shared" si="25"/>
        <v>1050</v>
      </c>
      <c r="C1339" s="1" t="s">
        <v>1618</v>
      </c>
      <c r="D1339" s="1" t="s">
        <v>2</v>
      </c>
      <c r="E1339" s="1" t="s">
        <v>14</v>
      </c>
      <c r="F1339" s="26">
        <v>0</v>
      </c>
      <c r="G1339" s="26">
        <v>250</v>
      </c>
      <c r="H1339" s="26">
        <v>250</v>
      </c>
      <c r="I1339" s="26">
        <v>1660312.5000000002</v>
      </c>
      <c r="J1339" s="26">
        <v>11250000</v>
      </c>
    </row>
    <row r="1340" spans="1:10">
      <c r="A1340" s="24">
        <v>1338</v>
      </c>
      <c r="B1340" s="24">
        <f t="shared" si="25"/>
        <v>1050</v>
      </c>
      <c r="C1340" s="1" t="s">
        <v>1618</v>
      </c>
      <c r="D1340" s="1" t="s">
        <v>3</v>
      </c>
      <c r="E1340" s="1" t="s">
        <v>14</v>
      </c>
      <c r="F1340" s="26">
        <v>0</v>
      </c>
      <c r="G1340" s="26">
        <v>150</v>
      </c>
      <c r="H1340" s="26">
        <v>150</v>
      </c>
      <c r="I1340" s="26">
        <v>996187.50000000012</v>
      </c>
      <c r="J1340" s="26">
        <v>6750000</v>
      </c>
    </row>
    <row r="1341" spans="1:10">
      <c r="A1341" s="24">
        <v>1339</v>
      </c>
      <c r="B1341" s="24">
        <f t="shared" si="25"/>
        <v>1051</v>
      </c>
      <c r="C1341" s="1" t="s">
        <v>1619</v>
      </c>
      <c r="D1341" s="1" t="s">
        <v>4</v>
      </c>
      <c r="E1341" s="1" t="s">
        <v>14</v>
      </c>
      <c r="F1341" s="26">
        <v>0</v>
      </c>
      <c r="G1341" s="26">
        <v>500</v>
      </c>
      <c r="H1341" s="26">
        <v>500</v>
      </c>
      <c r="I1341" s="26">
        <v>3320625.0000000005</v>
      </c>
      <c r="J1341" s="26">
        <v>21500000</v>
      </c>
    </row>
    <row r="1342" spans="1:10">
      <c r="A1342" s="24">
        <v>1340</v>
      </c>
      <c r="B1342" s="24">
        <f t="shared" si="25"/>
        <v>1052</v>
      </c>
      <c r="C1342" s="1" t="s">
        <v>1620</v>
      </c>
      <c r="D1342" s="1" t="s">
        <v>6</v>
      </c>
      <c r="E1342" s="1" t="s">
        <v>14</v>
      </c>
      <c r="F1342" s="26">
        <v>0</v>
      </c>
      <c r="G1342" s="26">
        <v>200</v>
      </c>
      <c r="H1342" s="26">
        <v>200</v>
      </c>
      <c r="I1342" s="26">
        <v>1351350</v>
      </c>
      <c r="J1342" s="26">
        <v>9000000</v>
      </c>
    </row>
    <row r="1343" spans="1:10">
      <c r="A1343" s="24">
        <v>1341</v>
      </c>
      <c r="B1343" s="24">
        <f t="shared" si="25"/>
        <v>1052</v>
      </c>
      <c r="C1343" s="1" t="s">
        <v>1620</v>
      </c>
      <c r="D1343" s="1" t="s">
        <v>2</v>
      </c>
      <c r="E1343" s="1" t="s">
        <v>14</v>
      </c>
      <c r="F1343" s="26">
        <v>0</v>
      </c>
      <c r="G1343" s="26">
        <v>300</v>
      </c>
      <c r="H1343" s="26">
        <v>300</v>
      </c>
      <c r="I1343" s="26">
        <v>2027025</v>
      </c>
      <c r="J1343" s="26">
        <v>13500000</v>
      </c>
    </row>
    <row r="1344" spans="1:10">
      <c r="A1344" s="24">
        <v>1342</v>
      </c>
      <c r="B1344" s="24">
        <f t="shared" si="25"/>
        <v>1052</v>
      </c>
      <c r="C1344" s="1" t="s">
        <v>1620</v>
      </c>
      <c r="D1344" s="1" t="s">
        <v>3</v>
      </c>
      <c r="E1344" s="1" t="s">
        <v>14</v>
      </c>
      <c r="F1344" s="26">
        <v>0</v>
      </c>
      <c r="G1344" s="26">
        <v>200</v>
      </c>
      <c r="H1344" s="26">
        <v>200</v>
      </c>
      <c r="I1344" s="26">
        <v>1351350</v>
      </c>
      <c r="J1344" s="26">
        <v>9000000</v>
      </c>
    </row>
    <row r="1345" spans="1:10">
      <c r="A1345" s="24">
        <v>1343</v>
      </c>
      <c r="B1345" s="24">
        <f t="shared" si="25"/>
        <v>1053</v>
      </c>
      <c r="C1345" s="1" t="s">
        <v>1621</v>
      </c>
      <c r="D1345" s="1" t="s">
        <v>6</v>
      </c>
      <c r="E1345" s="1" t="s">
        <v>14</v>
      </c>
      <c r="F1345" s="26">
        <v>0</v>
      </c>
      <c r="G1345" s="26">
        <v>200</v>
      </c>
      <c r="H1345" s="26">
        <v>200</v>
      </c>
      <c r="I1345" s="26">
        <v>1432200.0000000002</v>
      </c>
      <c r="J1345" s="26">
        <v>9000000</v>
      </c>
    </row>
    <row r="1346" spans="1:10">
      <c r="A1346" s="24">
        <v>1344</v>
      </c>
      <c r="B1346" s="24">
        <f t="shared" si="25"/>
        <v>1053</v>
      </c>
      <c r="C1346" s="1" t="s">
        <v>1621</v>
      </c>
      <c r="D1346" s="1" t="s">
        <v>2</v>
      </c>
      <c r="E1346" s="1" t="s">
        <v>14</v>
      </c>
      <c r="F1346" s="26">
        <v>0</v>
      </c>
      <c r="G1346" s="26">
        <v>300</v>
      </c>
      <c r="H1346" s="26">
        <v>300</v>
      </c>
      <c r="I1346" s="26">
        <v>2148300.0000000005</v>
      </c>
      <c r="J1346" s="26">
        <v>13500000</v>
      </c>
    </row>
    <row r="1347" spans="1:10">
      <c r="A1347" s="24">
        <v>1345</v>
      </c>
      <c r="B1347" s="24">
        <f t="shared" si="25"/>
        <v>1053</v>
      </c>
      <c r="C1347" s="1" t="s">
        <v>1621</v>
      </c>
      <c r="D1347" s="1" t="s">
        <v>3</v>
      </c>
      <c r="E1347" s="1" t="s">
        <v>14</v>
      </c>
      <c r="F1347" s="26">
        <v>0</v>
      </c>
      <c r="G1347" s="26">
        <v>200</v>
      </c>
      <c r="H1347" s="26">
        <v>200</v>
      </c>
      <c r="I1347" s="26">
        <v>1432200.0000000002</v>
      </c>
      <c r="J1347" s="26">
        <v>9000000</v>
      </c>
    </row>
    <row r="1348" spans="1:10">
      <c r="A1348" s="24">
        <v>1346</v>
      </c>
      <c r="B1348" s="24">
        <f t="shared" si="25"/>
        <v>1053</v>
      </c>
      <c r="C1348" s="1" t="s">
        <v>1621</v>
      </c>
      <c r="D1348" s="1" t="s">
        <v>5</v>
      </c>
      <c r="E1348" s="1" t="s">
        <v>14</v>
      </c>
      <c r="F1348" s="26">
        <v>0</v>
      </c>
      <c r="G1348" s="26">
        <v>100</v>
      </c>
      <c r="H1348" s="26">
        <v>100</v>
      </c>
      <c r="I1348" s="26">
        <v>716100.00000000012</v>
      </c>
      <c r="J1348" s="26">
        <v>4500000</v>
      </c>
    </row>
    <row r="1349" spans="1:10">
      <c r="A1349" s="24">
        <v>1347</v>
      </c>
      <c r="B1349" s="24">
        <f t="shared" si="25"/>
        <v>1054</v>
      </c>
      <c r="C1349" s="1" t="s">
        <v>1622</v>
      </c>
      <c r="D1349" s="1" t="s">
        <v>6</v>
      </c>
      <c r="E1349" s="1" t="s">
        <v>14</v>
      </c>
      <c r="F1349" s="26">
        <v>0</v>
      </c>
      <c r="G1349" s="26">
        <v>250</v>
      </c>
      <c r="H1349" s="26">
        <v>250</v>
      </c>
      <c r="I1349" s="26">
        <v>1905750</v>
      </c>
      <c r="J1349" s="26">
        <v>11250000</v>
      </c>
    </row>
    <row r="1350" spans="1:10">
      <c r="A1350" s="24">
        <v>1348</v>
      </c>
      <c r="B1350" s="24">
        <f t="shared" si="25"/>
        <v>1054</v>
      </c>
      <c r="C1350" s="1" t="s">
        <v>1622</v>
      </c>
      <c r="D1350" s="1" t="s">
        <v>2</v>
      </c>
      <c r="E1350" s="1" t="s">
        <v>14</v>
      </c>
      <c r="F1350" s="26">
        <v>0</v>
      </c>
      <c r="G1350" s="26">
        <v>300</v>
      </c>
      <c r="H1350" s="26">
        <v>300</v>
      </c>
      <c r="I1350" s="26">
        <v>2286900</v>
      </c>
      <c r="J1350" s="26">
        <v>13500000</v>
      </c>
    </row>
    <row r="1351" spans="1:10">
      <c r="A1351" s="24">
        <v>1349</v>
      </c>
      <c r="B1351" s="24">
        <f t="shared" si="25"/>
        <v>1054</v>
      </c>
      <c r="C1351" s="1" t="s">
        <v>1622</v>
      </c>
      <c r="D1351" s="1" t="s">
        <v>3</v>
      </c>
      <c r="E1351" s="1" t="s">
        <v>14</v>
      </c>
      <c r="F1351" s="26">
        <v>0</v>
      </c>
      <c r="G1351" s="26">
        <v>150</v>
      </c>
      <c r="H1351" s="26">
        <v>150</v>
      </c>
      <c r="I1351" s="26">
        <v>1143450</v>
      </c>
      <c r="J1351" s="26">
        <v>6750000</v>
      </c>
    </row>
    <row r="1352" spans="1:10">
      <c r="A1352" s="24">
        <v>1350</v>
      </c>
      <c r="B1352" s="24">
        <f t="shared" si="25"/>
        <v>1054</v>
      </c>
      <c r="C1352" s="1" t="s">
        <v>1622</v>
      </c>
      <c r="D1352" s="1" t="s">
        <v>5</v>
      </c>
      <c r="E1352" s="1" t="s">
        <v>14</v>
      </c>
      <c r="F1352" s="26">
        <v>0</v>
      </c>
      <c r="G1352" s="26">
        <v>100</v>
      </c>
      <c r="H1352" s="26">
        <v>100</v>
      </c>
      <c r="I1352" s="26">
        <v>762300</v>
      </c>
      <c r="J1352" s="26">
        <v>4500000</v>
      </c>
    </row>
    <row r="1353" spans="1:10">
      <c r="A1353" s="24">
        <v>1351</v>
      </c>
      <c r="B1353" s="24">
        <f t="shared" si="25"/>
        <v>1055</v>
      </c>
      <c r="C1353" s="1" t="s">
        <v>1623</v>
      </c>
      <c r="D1353" s="1" t="s">
        <v>4</v>
      </c>
      <c r="E1353" s="1" t="s">
        <v>14</v>
      </c>
      <c r="F1353" s="26">
        <v>0</v>
      </c>
      <c r="G1353" s="26">
        <v>500</v>
      </c>
      <c r="H1353" s="26">
        <v>500</v>
      </c>
      <c r="I1353" s="26">
        <v>3811500</v>
      </c>
      <c r="J1353" s="26">
        <v>21500000</v>
      </c>
    </row>
    <row r="1354" spans="1:10">
      <c r="A1354" s="24">
        <v>1352</v>
      </c>
      <c r="B1354" s="24">
        <f t="shared" si="25"/>
        <v>1056</v>
      </c>
      <c r="C1354" s="1" t="s">
        <v>1624</v>
      </c>
      <c r="D1354" s="1" t="s">
        <v>6</v>
      </c>
      <c r="E1354" s="1" t="s">
        <v>14</v>
      </c>
      <c r="F1354" s="26">
        <v>0</v>
      </c>
      <c r="G1354" s="26">
        <v>250</v>
      </c>
      <c r="H1354" s="26">
        <v>250</v>
      </c>
      <c r="I1354" s="26">
        <v>1732500.0000000002</v>
      </c>
      <c r="J1354" s="26">
        <v>11250000</v>
      </c>
    </row>
    <row r="1355" spans="1:10">
      <c r="A1355" s="24">
        <v>1353</v>
      </c>
      <c r="B1355" s="24">
        <f t="shared" si="25"/>
        <v>1056</v>
      </c>
      <c r="C1355" s="1" t="s">
        <v>1624</v>
      </c>
      <c r="D1355" s="1" t="s">
        <v>2</v>
      </c>
      <c r="E1355" s="1" t="s">
        <v>14</v>
      </c>
      <c r="F1355" s="26">
        <v>0</v>
      </c>
      <c r="G1355" s="26">
        <v>300</v>
      </c>
      <c r="H1355" s="26">
        <v>300</v>
      </c>
      <c r="I1355" s="26">
        <v>2079000.0000000002</v>
      </c>
      <c r="J1355" s="26">
        <v>13500000</v>
      </c>
    </row>
    <row r="1356" spans="1:10">
      <c r="A1356" s="24">
        <v>1354</v>
      </c>
      <c r="B1356" s="24">
        <f t="shared" si="25"/>
        <v>1056</v>
      </c>
      <c r="C1356" s="1" t="s">
        <v>1624</v>
      </c>
      <c r="D1356" s="1" t="s">
        <v>3</v>
      </c>
      <c r="E1356" s="1" t="s">
        <v>14</v>
      </c>
      <c r="F1356" s="26">
        <v>0</v>
      </c>
      <c r="G1356" s="26">
        <v>150</v>
      </c>
      <c r="H1356" s="26">
        <v>150</v>
      </c>
      <c r="I1356" s="26">
        <v>1039500.0000000001</v>
      </c>
      <c r="J1356" s="26">
        <v>6750000</v>
      </c>
    </row>
    <row r="1357" spans="1:10">
      <c r="A1357" s="24">
        <v>1355</v>
      </c>
      <c r="B1357" s="24">
        <f t="shared" si="25"/>
        <v>1057</v>
      </c>
      <c r="C1357" s="1" t="s">
        <v>1625</v>
      </c>
      <c r="D1357" s="1" t="s">
        <v>6</v>
      </c>
      <c r="E1357" s="1" t="s">
        <v>14</v>
      </c>
      <c r="F1357" s="26">
        <v>0</v>
      </c>
      <c r="G1357" s="26">
        <v>250</v>
      </c>
      <c r="H1357" s="26">
        <v>250</v>
      </c>
      <c r="I1357" s="26">
        <v>1689187.5</v>
      </c>
      <c r="J1357" s="26">
        <v>11250000</v>
      </c>
    </row>
    <row r="1358" spans="1:10">
      <c r="A1358" s="24">
        <v>1356</v>
      </c>
      <c r="B1358" s="24">
        <f t="shared" si="25"/>
        <v>1057</v>
      </c>
      <c r="C1358" s="1" t="s">
        <v>1625</v>
      </c>
      <c r="D1358" s="1" t="s">
        <v>2</v>
      </c>
      <c r="E1358" s="1" t="s">
        <v>14</v>
      </c>
      <c r="F1358" s="26">
        <v>0</v>
      </c>
      <c r="G1358" s="26">
        <v>300</v>
      </c>
      <c r="H1358" s="26">
        <v>300</v>
      </c>
      <c r="I1358" s="26">
        <v>2027025</v>
      </c>
      <c r="J1358" s="26">
        <v>13500000</v>
      </c>
    </row>
    <row r="1359" spans="1:10">
      <c r="A1359" s="24">
        <v>1357</v>
      </c>
      <c r="B1359" s="24">
        <f t="shared" si="25"/>
        <v>1057</v>
      </c>
      <c r="C1359" s="1" t="s">
        <v>1625</v>
      </c>
      <c r="D1359" s="1" t="s">
        <v>3</v>
      </c>
      <c r="E1359" s="1" t="s">
        <v>14</v>
      </c>
      <c r="F1359" s="26">
        <v>0</v>
      </c>
      <c r="G1359" s="26">
        <v>150</v>
      </c>
      <c r="H1359" s="26">
        <v>150</v>
      </c>
      <c r="I1359" s="26">
        <v>1013512.5</v>
      </c>
      <c r="J1359" s="26">
        <v>6750000</v>
      </c>
    </row>
    <row r="1360" spans="1:10">
      <c r="A1360" s="24">
        <v>1358</v>
      </c>
      <c r="B1360" s="24">
        <f t="shared" si="25"/>
        <v>1057</v>
      </c>
      <c r="C1360" s="1" t="s">
        <v>1625</v>
      </c>
      <c r="D1360" s="1" t="s">
        <v>5</v>
      </c>
      <c r="E1360" s="1" t="s">
        <v>14</v>
      </c>
      <c r="F1360" s="26">
        <v>0</v>
      </c>
      <c r="G1360" s="26">
        <v>100</v>
      </c>
      <c r="H1360" s="26">
        <v>100</v>
      </c>
      <c r="I1360" s="26">
        <v>675675</v>
      </c>
      <c r="J1360" s="26">
        <v>4500000</v>
      </c>
    </row>
    <row r="1361" spans="1:10">
      <c r="A1361" s="24">
        <v>1359</v>
      </c>
      <c r="B1361" s="24">
        <f t="shared" si="25"/>
        <v>1058</v>
      </c>
      <c r="C1361" s="1" t="s">
        <v>1626</v>
      </c>
      <c r="D1361" s="1" t="s">
        <v>6</v>
      </c>
      <c r="E1361" s="1" t="s">
        <v>14</v>
      </c>
      <c r="F1361" s="26">
        <v>0</v>
      </c>
      <c r="G1361" s="26">
        <v>250</v>
      </c>
      <c r="H1361" s="26">
        <v>250</v>
      </c>
      <c r="I1361" s="26">
        <v>1963062.5000000002</v>
      </c>
      <c r="J1361" s="26">
        <v>12250000</v>
      </c>
    </row>
    <row r="1362" spans="1:10">
      <c r="A1362" s="24">
        <v>1360</v>
      </c>
      <c r="B1362" s="24">
        <f t="shared" si="25"/>
        <v>1058</v>
      </c>
      <c r="C1362" s="1" t="s">
        <v>1626</v>
      </c>
      <c r="D1362" s="1" t="s">
        <v>2</v>
      </c>
      <c r="E1362" s="1" t="s">
        <v>14</v>
      </c>
      <c r="F1362" s="26">
        <v>0</v>
      </c>
      <c r="G1362" s="26">
        <v>300</v>
      </c>
      <c r="H1362" s="26">
        <v>300</v>
      </c>
      <c r="I1362" s="26">
        <v>2355675.0000000005</v>
      </c>
      <c r="J1362" s="26">
        <v>14700000</v>
      </c>
    </row>
    <row r="1363" spans="1:10">
      <c r="A1363" s="24">
        <v>1361</v>
      </c>
      <c r="B1363" s="24">
        <f t="shared" si="25"/>
        <v>1058</v>
      </c>
      <c r="C1363" s="1" t="s">
        <v>1626</v>
      </c>
      <c r="D1363" s="1" t="s">
        <v>3</v>
      </c>
      <c r="E1363" s="1" t="s">
        <v>14</v>
      </c>
      <c r="F1363" s="26">
        <v>0</v>
      </c>
      <c r="G1363" s="26">
        <v>150</v>
      </c>
      <c r="H1363" s="26">
        <v>150</v>
      </c>
      <c r="I1363" s="26">
        <v>1177837.5000000002</v>
      </c>
      <c r="J1363" s="26">
        <v>7350000</v>
      </c>
    </row>
    <row r="1364" spans="1:10">
      <c r="A1364" s="24">
        <v>1362</v>
      </c>
      <c r="B1364" s="24">
        <f t="shared" si="25"/>
        <v>1058</v>
      </c>
      <c r="C1364" s="1" t="s">
        <v>1626</v>
      </c>
      <c r="D1364" s="1" t="s">
        <v>5</v>
      </c>
      <c r="E1364" s="1" t="s">
        <v>14</v>
      </c>
      <c r="F1364" s="26">
        <v>0</v>
      </c>
      <c r="G1364" s="26">
        <v>100</v>
      </c>
      <c r="H1364" s="26">
        <v>100</v>
      </c>
      <c r="I1364" s="26">
        <v>785225.00000000012</v>
      </c>
      <c r="J1364" s="26">
        <v>4900000</v>
      </c>
    </row>
    <row r="1365" spans="1:10">
      <c r="A1365" s="24">
        <v>1363</v>
      </c>
      <c r="B1365" s="24">
        <f t="shared" si="25"/>
        <v>1059</v>
      </c>
      <c r="C1365" s="1" t="s">
        <v>1627</v>
      </c>
      <c r="D1365" s="1" t="s">
        <v>4</v>
      </c>
      <c r="E1365" s="1" t="s">
        <v>14</v>
      </c>
      <c r="F1365" s="26">
        <v>0</v>
      </c>
      <c r="G1365" s="26">
        <v>500</v>
      </c>
      <c r="H1365" s="26">
        <v>500</v>
      </c>
      <c r="I1365" s="26">
        <v>3926125.0000000005</v>
      </c>
      <c r="J1365" s="26">
        <v>22500000</v>
      </c>
    </row>
    <row r="1366" spans="1:10">
      <c r="A1366" s="24">
        <v>1364</v>
      </c>
      <c r="B1366" s="24">
        <f t="shared" si="25"/>
        <v>1060</v>
      </c>
      <c r="C1366" s="1" t="s">
        <v>1628</v>
      </c>
      <c r="D1366" s="1" t="s">
        <v>6</v>
      </c>
      <c r="E1366" s="1" t="s">
        <v>14</v>
      </c>
      <c r="F1366" s="26">
        <v>0</v>
      </c>
      <c r="G1366" s="26">
        <v>200</v>
      </c>
      <c r="H1366" s="26">
        <v>200</v>
      </c>
      <c r="I1366" s="26">
        <v>1397550</v>
      </c>
      <c r="J1366" s="26">
        <v>9000000</v>
      </c>
    </row>
    <row r="1367" spans="1:10">
      <c r="A1367" s="24">
        <v>1365</v>
      </c>
      <c r="B1367" s="24">
        <f t="shared" si="25"/>
        <v>1060</v>
      </c>
      <c r="C1367" s="1" t="s">
        <v>1628</v>
      </c>
      <c r="D1367" s="1" t="s">
        <v>2</v>
      </c>
      <c r="E1367" s="1" t="s">
        <v>14</v>
      </c>
      <c r="F1367" s="26">
        <v>0</v>
      </c>
      <c r="G1367" s="26">
        <v>300</v>
      </c>
      <c r="H1367" s="26">
        <v>300</v>
      </c>
      <c r="I1367" s="26">
        <v>2096325</v>
      </c>
      <c r="J1367" s="26">
        <v>13500000</v>
      </c>
    </row>
    <row r="1368" spans="1:10">
      <c r="A1368" s="24">
        <v>1366</v>
      </c>
      <c r="B1368" s="24">
        <f t="shared" si="25"/>
        <v>1060</v>
      </c>
      <c r="C1368" s="1" t="s">
        <v>1628</v>
      </c>
      <c r="D1368" s="1" t="s">
        <v>3</v>
      </c>
      <c r="E1368" s="1" t="s">
        <v>14</v>
      </c>
      <c r="F1368" s="26">
        <v>0</v>
      </c>
      <c r="G1368" s="26">
        <v>200</v>
      </c>
      <c r="H1368" s="26">
        <v>200</v>
      </c>
      <c r="I1368" s="26">
        <v>1397550</v>
      </c>
      <c r="J1368" s="26">
        <v>9000000</v>
      </c>
    </row>
    <row r="1369" spans="1:10">
      <c r="A1369" s="24">
        <v>1367</v>
      </c>
      <c r="B1369" s="24">
        <f t="shared" si="25"/>
        <v>1060</v>
      </c>
      <c r="C1369" s="1" t="s">
        <v>1628</v>
      </c>
      <c r="D1369" s="1" t="s">
        <v>5</v>
      </c>
      <c r="E1369" s="1" t="s">
        <v>14</v>
      </c>
      <c r="F1369" s="26">
        <v>0</v>
      </c>
      <c r="G1369" s="26">
        <v>100</v>
      </c>
      <c r="H1369" s="26">
        <v>100</v>
      </c>
      <c r="I1369" s="26">
        <v>698775</v>
      </c>
      <c r="J1369" s="26">
        <v>4500000</v>
      </c>
    </row>
    <row r="1370" spans="1:10">
      <c r="A1370" s="24">
        <v>1368</v>
      </c>
      <c r="B1370" s="24">
        <f t="shared" si="25"/>
        <v>1061</v>
      </c>
      <c r="C1370" s="1" t="s">
        <v>1629</v>
      </c>
      <c r="D1370" s="1" t="s">
        <v>4</v>
      </c>
      <c r="E1370" s="1" t="s">
        <v>14</v>
      </c>
      <c r="F1370" s="26">
        <v>0</v>
      </c>
      <c r="G1370" s="26">
        <v>500</v>
      </c>
      <c r="H1370" s="26">
        <v>500</v>
      </c>
      <c r="I1370" s="26">
        <v>4099375</v>
      </c>
      <c r="J1370" s="26">
        <v>24500000</v>
      </c>
    </row>
    <row r="1371" spans="1:10">
      <c r="A1371" s="24">
        <v>1369</v>
      </c>
      <c r="B1371" s="24">
        <f t="shared" si="25"/>
        <v>1062</v>
      </c>
      <c r="C1371" s="1" t="s">
        <v>1630</v>
      </c>
      <c r="D1371" s="1" t="s">
        <v>4</v>
      </c>
      <c r="E1371" s="1" t="s">
        <v>14</v>
      </c>
      <c r="F1371" s="26">
        <v>0</v>
      </c>
      <c r="G1371" s="26">
        <v>500</v>
      </c>
      <c r="H1371" s="26">
        <v>500</v>
      </c>
      <c r="I1371" s="26">
        <v>4272625</v>
      </c>
      <c r="J1371" s="26">
        <v>24500000</v>
      </c>
    </row>
    <row r="1372" spans="1:10">
      <c r="A1372" s="24">
        <v>1370</v>
      </c>
      <c r="B1372" s="24">
        <f t="shared" si="25"/>
        <v>1063</v>
      </c>
      <c r="C1372" s="1" t="s">
        <v>1631</v>
      </c>
      <c r="D1372" s="1" t="s">
        <v>4</v>
      </c>
      <c r="E1372" s="1" t="s">
        <v>14</v>
      </c>
      <c r="F1372" s="26">
        <v>0</v>
      </c>
      <c r="G1372" s="26">
        <v>700</v>
      </c>
      <c r="H1372" s="26">
        <v>700</v>
      </c>
      <c r="I1372" s="26">
        <v>6062525</v>
      </c>
      <c r="J1372" s="26">
        <v>34300000</v>
      </c>
    </row>
    <row r="1373" spans="1:10">
      <c r="A1373" s="24">
        <v>1371</v>
      </c>
      <c r="B1373" s="24">
        <f t="shared" ref="B1373:B1393" si="26">IF(C1372=C1373,B1372,B1372+1)</f>
        <v>1064</v>
      </c>
      <c r="C1373" s="1" t="s">
        <v>1632</v>
      </c>
      <c r="D1373" s="1" t="s">
        <v>4</v>
      </c>
      <c r="E1373" s="1" t="s">
        <v>14</v>
      </c>
      <c r="F1373" s="26">
        <v>0</v>
      </c>
      <c r="G1373" s="26">
        <v>700</v>
      </c>
      <c r="H1373" s="26">
        <v>700</v>
      </c>
      <c r="I1373" s="26">
        <v>5981675</v>
      </c>
      <c r="J1373" s="26">
        <v>34300000</v>
      </c>
    </row>
    <row r="1374" spans="1:10">
      <c r="A1374" s="24">
        <v>1372</v>
      </c>
      <c r="B1374" s="24">
        <f t="shared" si="26"/>
        <v>1065</v>
      </c>
      <c r="C1374" s="1" t="s">
        <v>1633</v>
      </c>
      <c r="D1374" s="1" t="s">
        <v>6</v>
      </c>
      <c r="E1374" s="1" t="s">
        <v>14</v>
      </c>
      <c r="F1374" s="26">
        <v>0</v>
      </c>
      <c r="G1374" s="26">
        <v>250</v>
      </c>
      <c r="H1374" s="26">
        <v>250</v>
      </c>
      <c r="I1374" s="26">
        <v>2136312.5</v>
      </c>
      <c r="J1374" s="26">
        <v>12250000</v>
      </c>
    </row>
    <row r="1375" spans="1:10">
      <c r="A1375" s="24">
        <v>1373</v>
      </c>
      <c r="B1375" s="24">
        <f t="shared" si="26"/>
        <v>1065</v>
      </c>
      <c r="C1375" s="1" t="s">
        <v>1633</v>
      </c>
      <c r="D1375" s="1" t="s">
        <v>2</v>
      </c>
      <c r="E1375" s="1" t="s">
        <v>14</v>
      </c>
      <c r="F1375" s="26">
        <v>0</v>
      </c>
      <c r="G1375" s="26">
        <v>300</v>
      </c>
      <c r="H1375" s="26">
        <v>300</v>
      </c>
      <c r="I1375" s="26">
        <v>2563575</v>
      </c>
      <c r="J1375" s="26">
        <v>14700000</v>
      </c>
    </row>
    <row r="1376" spans="1:10">
      <c r="A1376" s="24">
        <v>1374</v>
      </c>
      <c r="B1376" s="24">
        <f t="shared" si="26"/>
        <v>1065</v>
      </c>
      <c r="C1376" s="1" t="s">
        <v>1633</v>
      </c>
      <c r="D1376" s="1" t="s">
        <v>3</v>
      </c>
      <c r="E1376" s="1" t="s">
        <v>14</v>
      </c>
      <c r="F1376" s="26">
        <v>0</v>
      </c>
      <c r="G1376" s="26">
        <v>150</v>
      </c>
      <c r="H1376" s="26">
        <v>150</v>
      </c>
      <c r="I1376" s="26">
        <v>1281787.5</v>
      </c>
      <c r="J1376" s="26">
        <v>7350000</v>
      </c>
    </row>
    <row r="1377" spans="1:10">
      <c r="A1377" s="24">
        <v>1375</v>
      </c>
      <c r="B1377" s="24">
        <f t="shared" si="26"/>
        <v>1065</v>
      </c>
      <c r="C1377" s="1" t="s">
        <v>1633</v>
      </c>
      <c r="D1377" s="1" t="s">
        <v>5</v>
      </c>
      <c r="E1377" s="1" t="s">
        <v>14</v>
      </c>
      <c r="F1377" s="26">
        <v>0</v>
      </c>
      <c r="G1377" s="26">
        <v>100</v>
      </c>
      <c r="H1377" s="26">
        <v>100</v>
      </c>
      <c r="I1377" s="26">
        <v>854525</v>
      </c>
      <c r="J1377" s="26">
        <v>4900000</v>
      </c>
    </row>
    <row r="1378" spans="1:10">
      <c r="A1378" s="24">
        <v>1376</v>
      </c>
      <c r="B1378" s="24">
        <f t="shared" si="26"/>
        <v>1066</v>
      </c>
      <c r="C1378" s="1" t="s">
        <v>1634</v>
      </c>
      <c r="D1378" s="1" t="s">
        <v>4</v>
      </c>
      <c r="E1378" s="1" t="s">
        <v>14</v>
      </c>
      <c r="F1378" s="26">
        <v>0</v>
      </c>
      <c r="G1378" s="26">
        <v>500</v>
      </c>
      <c r="H1378" s="26">
        <v>500</v>
      </c>
      <c r="I1378" s="26">
        <v>4272625</v>
      </c>
      <c r="J1378" s="26">
        <v>22500000</v>
      </c>
    </row>
    <row r="1379" spans="1:10">
      <c r="A1379" s="24">
        <v>1377</v>
      </c>
      <c r="B1379" s="24">
        <f t="shared" si="26"/>
        <v>1067</v>
      </c>
      <c r="C1379" s="1" t="s">
        <v>1635</v>
      </c>
      <c r="D1379" s="1" t="s">
        <v>6</v>
      </c>
      <c r="E1379" s="1" t="s">
        <v>14</v>
      </c>
      <c r="F1379" s="26">
        <v>0</v>
      </c>
      <c r="G1379" s="26">
        <v>200</v>
      </c>
      <c r="H1379" s="26">
        <v>200</v>
      </c>
      <c r="I1379" s="26">
        <v>1305150.0000000002</v>
      </c>
      <c r="J1379" s="26">
        <v>9000000</v>
      </c>
    </row>
    <row r="1380" spans="1:10">
      <c r="A1380" s="24">
        <v>1378</v>
      </c>
      <c r="B1380" s="24">
        <f t="shared" si="26"/>
        <v>1067</v>
      </c>
      <c r="C1380" s="1" t="s">
        <v>1635</v>
      </c>
      <c r="D1380" s="1" t="s">
        <v>2</v>
      </c>
      <c r="E1380" s="1" t="s">
        <v>14</v>
      </c>
      <c r="F1380" s="26">
        <v>0</v>
      </c>
      <c r="G1380" s="26">
        <v>250</v>
      </c>
      <c r="H1380" s="26">
        <v>250</v>
      </c>
      <c r="I1380" s="26">
        <v>1631437.5000000002</v>
      </c>
      <c r="J1380" s="26">
        <v>11250000</v>
      </c>
    </row>
    <row r="1381" spans="1:10">
      <c r="A1381" s="24">
        <v>1379</v>
      </c>
      <c r="B1381" s="24">
        <f t="shared" si="26"/>
        <v>1067</v>
      </c>
      <c r="C1381" s="1" t="s">
        <v>1635</v>
      </c>
      <c r="D1381" s="1" t="s">
        <v>3</v>
      </c>
      <c r="E1381" s="1" t="s">
        <v>14</v>
      </c>
      <c r="F1381" s="26">
        <v>0</v>
      </c>
      <c r="G1381" s="26">
        <v>150</v>
      </c>
      <c r="H1381" s="26">
        <v>150</v>
      </c>
      <c r="I1381" s="26">
        <v>978862.50000000012</v>
      </c>
      <c r="J1381" s="26">
        <v>6750000</v>
      </c>
    </row>
    <row r="1382" spans="1:10">
      <c r="A1382" s="24">
        <v>1380</v>
      </c>
      <c r="B1382" s="24">
        <f t="shared" si="26"/>
        <v>1068</v>
      </c>
      <c r="C1382" s="1" t="s">
        <v>1636</v>
      </c>
      <c r="D1382" s="1" t="s">
        <v>6</v>
      </c>
      <c r="E1382" s="1" t="s">
        <v>14</v>
      </c>
      <c r="F1382" s="26">
        <v>0</v>
      </c>
      <c r="G1382" s="26">
        <v>200</v>
      </c>
      <c r="H1382" s="26">
        <v>200</v>
      </c>
      <c r="I1382" s="26">
        <v>1489950.0000000002</v>
      </c>
      <c r="J1382" s="26">
        <v>9000000</v>
      </c>
    </row>
    <row r="1383" spans="1:10">
      <c r="A1383" s="24">
        <v>1381</v>
      </c>
      <c r="B1383" s="24">
        <f t="shared" si="26"/>
        <v>1068</v>
      </c>
      <c r="C1383" s="1" t="s">
        <v>1636</v>
      </c>
      <c r="D1383" s="1" t="s">
        <v>2</v>
      </c>
      <c r="E1383" s="1" t="s">
        <v>14</v>
      </c>
      <c r="F1383" s="26">
        <v>0</v>
      </c>
      <c r="G1383" s="26">
        <v>250</v>
      </c>
      <c r="H1383" s="26">
        <v>250</v>
      </c>
      <c r="I1383" s="26">
        <v>1862437.5000000002</v>
      </c>
      <c r="J1383" s="26">
        <v>11250000</v>
      </c>
    </row>
    <row r="1384" spans="1:10">
      <c r="A1384" s="24">
        <v>1382</v>
      </c>
      <c r="B1384" s="24">
        <f t="shared" si="26"/>
        <v>1068</v>
      </c>
      <c r="C1384" s="1" t="s">
        <v>1636</v>
      </c>
      <c r="D1384" s="1" t="s">
        <v>3</v>
      </c>
      <c r="E1384" s="1" t="s">
        <v>14</v>
      </c>
      <c r="F1384" s="26">
        <v>0</v>
      </c>
      <c r="G1384" s="26">
        <v>150</v>
      </c>
      <c r="H1384" s="26">
        <v>150</v>
      </c>
      <c r="I1384" s="26">
        <v>1117462.5000000002</v>
      </c>
      <c r="J1384" s="26">
        <v>6750000</v>
      </c>
    </row>
    <row r="1385" spans="1:10">
      <c r="A1385" s="24">
        <v>1383</v>
      </c>
      <c r="B1385" s="24">
        <f t="shared" si="26"/>
        <v>1069</v>
      </c>
      <c r="C1385" s="1" t="s">
        <v>1637</v>
      </c>
      <c r="D1385" s="1" t="s">
        <v>6</v>
      </c>
      <c r="E1385" s="1" t="s">
        <v>14</v>
      </c>
      <c r="F1385" s="26">
        <v>0</v>
      </c>
      <c r="G1385" s="26">
        <v>200</v>
      </c>
      <c r="H1385" s="26">
        <v>200</v>
      </c>
      <c r="I1385" s="26">
        <v>1432200.0000000002</v>
      </c>
      <c r="J1385" s="26">
        <v>9000000</v>
      </c>
    </row>
    <row r="1386" spans="1:10">
      <c r="A1386" s="24">
        <v>1384</v>
      </c>
      <c r="B1386" s="24">
        <f t="shared" si="26"/>
        <v>1069</v>
      </c>
      <c r="C1386" s="1" t="s">
        <v>1637</v>
      </c>
      <c r="D1386" s="1" t="s">
        <v>2</v>
      </c>
      <c r="E1386" s="1" t="s">
        <v>14</v>
      </c>
      <c r="F1386" s="26">
        <v>0</v>
      </c>
      <c r="G1386" s="26">
        <v>250</v>
      </c>
      <c r="H1386" s="26">
        <v>250</v>
      </c>
      <c r="I1386" s="26">
        <v>1790250.0000000002</v>
      </c>
      <c r="J1386" s="26">
        <v>11250000</v>
      </c>
    </row>
    <row r="1387" spans="1:10">
      <c r="A1387" s="24">
        <v>1385</v>
      </c>
      <c r="B1387" s="24">
        <f t="shared" si="26"/>
        <v>1069</v>
      </c>
      <c r="C1387" s="1" t="s">
        <v>1637</v>
      </c>
      <c r="D1387" s="1" t="s">
        <v>3</v>
      </c>
      <c r="E1387" s="1" t="s">
        <v>14</v>
      </c>
      <c r="F1387" s="26">
        <v>0</v>
      </c>
      <c r="G1387" s="26">
        <v>150</v>
      </c>
      <c r="H1387" s="26">
        <v>150</v>
      </c>
      <c r="I1387" s="26">
        <v>1074150.0000000002</v>
      </c>
      <c r="J1387" s="26">
        <v>6750000</v>
      </c>
    </row>
    <row r="1388" spans="1:10">
      <c r="A1388" s="24">
        <v>1386</v>
      </c>
      <c r="B1388" s="24">
        <f t="shared" si="26"/>
        <v>1070</v>
      </c>
      <c r="C1388" s="1" t="s">
        <v>775</v>
      </c>
      <c r="F1388" s="26">
        <v>0</v>
      </c>
      <c r="G1388" s="26">
        <v>15500</v>
      </c>
      <c r="H1388" s="26">
        <v>15500</v>
      </c>
      <c r="I1388" s="26">
        <v>115855075</v>
      </c>
      <c r="J1388" s="26">
        <v>709500000</v>
      </c>
    </row>
    <row r="1389" spans="1:10">
      <c r="A1389" s="24">
        <v>1387</v>
      </c>
      <c r="B1389" s="24">
        <f t="shared" si="26"/>
        <v>1071</v>
      </c>
      <c r="C1389" s="1" t="s">
        <v>1638</v>
      </c>
      <c r="D1389" s="1" t="s">
        <v>4</v>
      </c>
      <c r="E1389" s="1" t="s">
        <v>14</v>
      </c>
      <c r="F1389" s="26">
        <v>0</v>
      </c>
      <c r="G1389" s="26">
        <v>1000</v>
      </c>
      <c r="H1389" s="26">
        <v>1000</v>
      </c>
      <c r="I1389" s="26">
        <v>12499999.999999998</v>
      </c>
      <c r="J1389" s="26">
        <v>55000000</v>
      </c>
    </row>
    <row r="1390" spans="1:10">
      <c r="A1390" s="24">
        <v>1388</v>
      </c>
      <c r="B1390" s="24">
        <f t="shared" si="26"/>
        <v>1072</v>
      </c>
      <c r="C1390" s="1" t="s">
        <v>1639</v>
      </c>
      <c r="D1390" s="1" t="s">
        <v>4</v>
      </c>
      <c r="E1390" s="1" t="s">
        <v>14</v>
      </c>
      <c r="F1390" s="26">
        <v>0</v>
      </c>
      <c r="G1390" s="26">
        <v>1000</v>
      </c>
      <c r="H1390" s="26">
        <v>1000</v>
      </c>
      <c r="I1390" s="26">
        <v>12045454.545454545</v>
      </c>
      <c r="J1390" s="26">
        <v>53000000</v>
      </c>
    </row>
    <row r="1391" spans="1:10">
      <c r="A1391" s="24">
        <v>1389</v>
      </c>
      <c r="B1391" s="24">
        <f t="shared" si="26"/>
        <v>1073</v>
      </c>
      <c r="C1391" s="1" t="s">
        <v>1640</v>
      </c>
      <c r="D1391" s="1" t="s">
        <v>4</v>
      </c>
      <c r="E1391" s="1" t="s">
        <v>14</v>
      </c>
      <c r="F1391" s="26">
        <v>0</v>
      </c>
      <c r="G1391" s="26">
        <v>1000</v>
      </c>
      <c r="H1391" s="26">
        <v>1000</v>
      </c>
      <c r="I1391" s="26">
        <v>12499999.999999998</v>
      </c>
      <c r="J1391" s="26">
        <v>55000000</v>
      </c>
    </row>
    <row r="1392" spans="1:10">
      <c r="A1392" s="24">
        <v>1390</v>
      </c>
      <c r="B1392" s="24">
        <f t="shared" si="26"/>
        <v>1074</v>
      </c>
      <c r="C1392" s="1" t="s">
        <v>1641</v>
      </c>
      <c r="D1392" s="1" t="s">
        <v>4</v>
      </c>
      <c r="E1392" s="1" t="s">
        <v>14</v>
      </c>
      <c r="F1392" s="26">
        <v>0</v>
      </c>
      <c r="G1392" s="26">
        <v>1000</v>
      </c>
      <c r="H1392" s="26">
        <v>1000</v>
      </c>
      <c r="I1392" s="26">
        <v>12045454.545454545</v>
      </c>
      <c r="J1392" s="26">
        <v>53000000</v>
      </c>
    </row>
    <row r="1393" spans="1:10">
      <c r="A1393" s="24">
        <v>1391</v>
      </c>
      <c r="B1393" s="24">
        <f t="shared" si="26"/>
        <v>1075</v>
      </c>
      <c r="C1393" s="1" t="s">
        <v>775</v>
      </c>
      <c r="F1393" s="26">
        <v>0</v>
      </c>
      <c r="G1393" s="26">
        <v>4000</v>
      </c>
      <c r="H1393" s="26">
        <v>4000</v>
      </c>
      <c r="I1393" s="26">
        <v>49090909.090909086</v>
      </c>
      <c r="J1393" s="26">
        <v>216000000</v>
      </c>
    </row>
    <row r="1394" spans="1:10">
      <c r="A1394" s="24"/>
      <c r="B1394" s="24"/>
    </row>
    <row r="1395" spans="1:10">
      <c r="A1395" s="24"/>
      <c r="B1395" s="24"/>
    </row>
    <row r="1396" spans="1:10">
      <c r="A1396" s="24"/>
      <c r="B1396" s="24"/>
    </row>
    <row r="1397" spans="1:10">
      <c r="A1397" s="24"/>
      <c r="B1397" s="24"/>
    </row>
    <row r="1398" spans="1:10">
      <c r="A1398" s="24"/>
      <c r="B1398" s="24"/>
    </row>
    <row r="1399" spans="1:10">
      <c r="A1399" s="24"/>
      <c r="B1399" s="24"/>
    </row>
    <row r="1400" spans="1:10">
      <c r="A1400" s="24"/>
      <c r="B1400" s="24"/>
    </row>
    <row r="1401" spans="1:10">
      <c r="A1401" s="24"/>
      <c r="B1401" s="24"/>
    </row>
    <row r="1402" spans="1:10">
      <c r="A1402" s="24"/>
      <c r="B1402" s="24"/>
    </row>
    <row r="1403" spans="1:10">
      <c r="A1403" s="24"/>
      <c r="B1403" s="24"/>
    </row>
    <row r="1404" spans="1:10">
      <c r="A1404" s="24"/>
      <c r="B1404" s="24"/>
    </row>
    <row r="1405" spans="1:10">
      <c r="A1405" s="24"/>
      <c r="B1405" s="24"/>
    </row>
    <row r="1406" spans="1:10">
      <c r="A1406" s="24"/>
      <c r="B1406" s="24"/>
    </row>
    <row r="1407" spans="1:10">
      <c r="A1407" s="24"/>
      <c r="B1407" s="24"/>
    </row>
    <row r="1408" spans="1:10">
      <c r="A1408" s="24"/>
      <c r="B1408" s="24"/>
    </row>
    <row r="1409" spans="1:2">
      <c r="A1409" s="24"/>
      <c r="B1409" s="24"/>
    </row>
    <row r="1410" spans="1:2">
      <c r="A1410" s="24"/>
      <c r="B1410" s="24"/>
    </row>
    <row r="1411" spans="1:2">
      <c r="A1411" s="24"/>
      <c r="B1411" s="24"/>
    </row>
    <row r="1412" spans="1:2">
      <c r="A1412" s="24"/>
      <c r="B1412" s="24"/>
    </row>
    <row r="1413" spans="1:2">
      <c r="A1413" s="24"/>
      <c r="B1413" s="24"/>
    </row>
    <row r="1414" spans="1:2">
      <c r="A1414" s="24"/>
      <c r="B1414" s="24"/>
    </row>
    <row r="1415" spans="1:2">
      <c r="A1415" s="24"/>
      <c r="B1415" s="24"/>
    </row>
    <row r="1416" spans="1:2">
      <c r="A1416" s="24"/>
      <c r="B1416" s="24"/>
    </row>
    <row r="1417" spans="1:2">
      <c r="A1417" s="24"/>
      <c r="B1417" s="24"/>
    </row>
    <row r="1418" spans="1:2">
      <c r="A1418" s="24"/>
      <c r="B1418" s="24"/>
    </row>
    <row r="1419" spans="1:2">
      <c r="A1419" s="24"/>
      <c r="B1419" s="24"/>
    </row>
    <row r="1420" spans="1:2">
      <c r="A1420" s="24"/>
      <c r="B1420" s="24"/>
    </row>
    <row r="1421" spans="1:2">
      <c r="A1421" s="24"/>
      <c r="B1421" s="24"/>
    </row>
    <row r="1422" spans="1:2">
      <c r="A1422" s="24"/>
      <c r="B1422" s="24"/>
    </row>
    <row r="1423" spans="1:2">
      <c r="A1423" s="24"/>
      <c r="B1423" s="24"/>
    </row>
    <row r="1424" spans="1:2">
      <c r="A1424" s="24"/>
      <c r="B1424" s="24"/>
    </row>
    <row r="1425" spans="1:2">
      <c r="A1425" s="24"/>
      <c r="B1425" s="24"/>
    </row>
    <row r="1426" spans="1:2">
      <c r="A1426" s="24"/>
      <c r="B1426" s="24"/>
    </row>
    <row r="1427" spans="1:2">
      <c r="A1427" s="24"/>
      <c r="B1427" s="24"/>
    </row>
    <row r="1428" spans="1:2">
      <c r="A1428" s="24"/>
      <c r="B1428" s="24"/>
    </row>
    <row r="1429" spans="1:2">
      <c r="A1429" s="24"/>
      <c r="B1429" s="24"/>
    </row>
    <row r="1430" spans="1:2">
      <c r="A1430" s="24"/>
      <c r="B1430" s="24"/>
    </row>
    <row r="1431" spans="1:2">
      <c r="A1431" s="24"/>
      <c r="B1431" s="24"/>
    </row>
    <row r="1432" spans="1:2">
      <c r="A1432" s="24"/>
      <c r="B1432" s="24"/>
    </row>
    <row r="1433" spans="1:2">
      <c r="A1433" s="24"/>
      <c r="B1433" s="24"/>
    </row>
    <row r="1434" spans="1:2">
      <c r="A1434" s="24"/>
      <c r="B1434" s="24"/>
    </row>
    <row r="1435" spans="1:2">
      <c r="A1435" s="24"/>
      <c r="B1435" s="24"/>
    </row>
    <row r="1436" spans="1:2">
      <c r="A1436" s="24"/>
      <c r="B1436" s="24"/>
    </row>
    <row r="1437" spans="1:2">
      <c r="A1437" s="24"/>
      <c r="B1437" s="24"/>
    </row>
    <row r="1438" spans="1:2">
      <c r="A1438" s="24"/>
      <c r="B1438" s="24"/>
    </row>
    <row r="1439" spans="1:2">
      <c r="A1439" s="24"/>
      <c r="B1439" s="24"/>
    </row>
    <row r="1440" spans="1:2">
      <c r="A1440" s="24"/>
      <c r="B1440" s="24"/>
    </row>
    <row r="1441" spans="1:2">
      <c r="A1441" s="24"/>
      <c r="B1441" s="24"/>
    </row>
    <row r="1442" spans="1:2">
      <c r="A1442" s="24"/>
      <c r="B1442" s="24"/>
    </row>
    <row r="1443" spans="1:2">
      <c r="A1443" s="24"/>
      <c r="B1443" s="24"/>
    </row>
    <row r="1444" spans="1:2">
      <c r="A1444" s="24"/>
      <c r="B1444" s="24"/>
    </row>
    <row r="1445" spans="1:2">
      <c r="A1445" s="24"/>
      <c r="B1445" s="24"/>
    </row>
    <row r="1446" spans="1:2">
      <c r="A1446" s="24"/>
      <c r="B1446" s="24"/>
    </row>
    <row r="1447" spans="1:2">
      <c r="A1447" s="24"/>
      <c r="B1447" s="24"/>
    </row>
    <row r="1448" spans="1:2">
      <c r="A1448" s="24"/>
      <c r="B1448" s="24"/>
    </row>
    <row r="1449" spans="1:2">
      <c r="A1449" s="24"/>
      <c r="B1449" s="24"/>
    </row>
    <row r="1450" spans="1:2">
      <c r="A1450" s="24"/>
      <c r="B1450" s="24"/>
    </row>
    <row r="1451" spans="1:2">
      <c r="A1451" s="24"/>
      <c r="B1451" s="24"/>
    </row>
    <row r="1452" spans="1:2">
      <c r="A1452" s="24"/>
      <c r="B1452" s="24"/>
    </row>
    <row r="1453" spans="1:2">
      <c r="A1453" s="24"/>
      <c r="B1453" s="24"/>
    </row>
    <row r="1454" spans="1:2">
      <c r="A1454" s="24"/>
      <c r="B1454" s="24"/>
    </row>
    <row r="1455" spans="1:2">
      <c r="A1455" s="24"/>
      <c r="B1455" s="24"/>
    </row>
    <row r="1456" spans="1:2">
      <c r="A1456" s="24"/>
      <c r="B1456" s="24"/>
    </row>
    <row r="1457" spans="1:2">
      <c r="A1457" s="24"/>
      <c r="B1457" s="24"/>
    </row>
    <row r="1458" spans="1:2">
      <c r="A1458" s="24"/>
      <c r="B1458" s="24"/>
    </row>
    <row r="1459" spans="1:2">
      <c r="A1459" s="24"/>
      <c r="B1459" s="24"/>
    </row>
    <row r="1460" spans="1:2">
      <c r="A1460" s="24"/>
      <c r="B1460" s="24"/>
    </row>
    <row r="1461" spans="1:2">
      <c r="A1461" s="24"/>
      <c r="B1461" s="24"/>
    </row>
    <row r="1462" spans="1:2">
      <c r="A1462" s="24"/>
      <c r="B1462" s="24"/>
    </row>
    <row r="1463" spans="1:2">
      <c r="A1463" s="24"/>
      <c r="B1463" s="24"/>
    </row>
    <row r="1464" spans="1:2">
      <c r="A1464" s="24"/>
      <c r="B1464" s="24"/>
    </row>
    <row r="1465" spans="1:2">
      <c r="A1465" s="24"/>
      <c r="B1465" s="24"/>
    </row>
    <row r="1466" spans="1:2">
      <c r="A1466" s="24"/>
      <c r="B1466" s="24"/>
    </row>
    <row r="1467" spans="1:2">
      <c r="A1467" s="24"/>
      <c r="B1467" s="24"/>
    </row>
    <row r="1468" spans="1:2">
      <c r="A1468" s="24"/>
      <c r="B1468" s="24"/>
    </row>
    <row r="1469" spans="1:2">
      <c r="A1469" s="24"/>
      <c r="B1469" s="24"/>
    </row>
    <row r="1470" spans="1:2">
      <c r="A1470" s="24"/>
      <c r="B1470" s="24"/>
    </row>
    <row r="1471" spans="1:2">
      <c r="A1471" s="24"/>
      <c r="B1471" s="24"/>
    </row>
    <row r="1472" spans="1:2">
      <c r="A1472" s="24"/>
      <c r="B1472" s="24"/>
    </row>
    <row r="1473" spans="1:2">
      <c r="A1473" s="24"/>
      <c r="B1473" s="24"/>
    </row>
    <row r="1474" spans="1:2">
      <c r="A1474" s="24"/>
      <c r="B1474" s="24"/>
    </row>
    <row r="1475" spans="1:2">
      <c r="A1475" s="24"/>
      <c r="B1475" s="24"/>
    </row>
    <row r="1476" spans="1:2">
      <c r="A1476" s="24"/>
      <c r="B1476" s="24"/>
    </row>
    <row r="1477" spans="1:2">
      <c r="A1477" s="24"/>
      <c r="B1477" s="24"/>
    </row>
    <row r="1478" spans="1:2">
      <c r="A1478" s="24"/>
      <c r="B1478" s="24"/>
    </row>
    <row r="1479" spans="1:2">
      <c r="A1479" s="24"/>
      <c r="B1479" s="24"/>
    </row>
    <row r="1480" spans="1:2">
      <c r="A1480" s="24"/>
      <c r="B1480" s="24"/>
    </row>
    <row r="1481" spans="1:2">
      <c r="A1481" s="24"/>
      <c r="B1481" s="24"/>
    </row>
    <row r="1482" spans="1:2">
      <c r="A1482" s="24"/>
      <c r="B1482" s="24"/>
    </row>
    <row r="1483" spans="1:2">
      <c r="A1483" s="24"/>
      <c r="B1483" s="24"/>
    </row>
    <row r="1484" spans="1:2">
      <c r="A1484" s="24"/>
      <c r="B1484" s="24"/>
    </row>
    <row r="1485" spans="1:2">
      <c r="A1485" s="24"/>
      <c r="B1485" s="24"/>
    </row>
    <row r="1486" spans="1:2">
      <c r="A1486" s="24"/>
      <c r="B1486" s="24"/>
    </row>
    <row r="1487" spans="1:2">
      <c r="A1487" s="24"/>
      <c r="B1487" s="24"/>
    </row>
    <row r="1488" spans="1:2">
      <c r="A1488" s="24"/>
      <c r="B1488" s="24"/>
    </row>
    <row r="1489" spans="1:2">
      <c r="A1489" s="24"/>
      <c r="B1489" s="24"/>
    </row>
    <row r="1490" spans="1:2">
      <c r="A1490" s="24"/>
      <c r="B1490" s="24"/>
    </row>
    <row r="1491" spans="1:2">
      <c r="A1491" s="24"/>
      <c r="B1491" s="24"/>
    </row>
    <row r="1492" spans="1:2">
      <c r="A1492" s="24"/>
      <c r="B1492" s="24"/>
    </row>
    <row r="1493" spans="1:2">
      <c r="A1493" s="24"/>
      <c r="B1493" s="24"/>
    </row>
    <row r="1494" spans="1:2">
      <c r="A1494" s="24"/>
      <c r="B1494" s="24"/>
    </row>
    <row r="1495" spans="1:2">
      <c r="A1495" s="24"/>
      <c r="B1495" s="24"/>
    </row>
    <row r="1496" spans="1:2">
      <c r="A1496" s="24"/>
      <c r="B1496" s="24"/>
    </row>
    <row r="1497" spans="1:2">
      <c r="A1497" s="24"/>
      <c r="B1497" s="24"/>
    </row>
    <row r="1498" spans="1:2">
      <c r="A1498" s="24"/>
      <c r="B1498" s="24"/>
    </row>
    <row r="1499" spans="1:2">
      <c r="A1499" s="24"/>
      <c r="B1499" s="24"/>
    </row>
    <row r="1500" spans="1:2">
      <c r="A1500" s="24"/>
      <c r="B1500" s="24"/>
    </row>
    <row r="1501" spans="1:2">
      <c r="A1501" s="24"/>
      <c r="B1501" s="24"/>
    </row>
    <row r="1502" spans="1:2">
      <c r="A1502" s="24"/>
      <c r="B1502" s="24"/>
    </row>
    <row r="1503" spans="1:2">
      <c r="A1503" s="24"/>
      <c r="B1503" s="24"/>
    </row>
    <row r="1504" spans="1:2">
      <c r="A1504" s="24"/>
      <c r="B1504" s="24"/>
    </row>
    <row r="1505" spans="1:2">
      <c r="A1505" s="24"/>
      <c r="B1505" s="24"/>
    </row>
    <row r="1506" spans="1:2">
      <c r="A1506" s="24"/>
      <c r="B1506" s="24"/>
    </row>
    <row r="1507" spans="1:2">
      <c r="A1507" s="24"/>
      <c r="B1507" s="24"/>
    </row>
    <row r="1508" spans="1:2">
      <c r="A1508" s="24"/>
      <c r="B1508" s="24"/>
    </row>
    <row r="1509" spans="1:2">
      <c r="A1509" s="24"/>
      <c r="B1509" s="24"/>
    </row>
    <row r="1510" spans="1:2">
      <c r="A1510" s="24"/>
      <c r="B1510" s="24"/>
    </row>
    <row r="1511" spans="1:2">
      <c r="A1511" s="24"/>
      <c r="B1511" s="24"/>
    </row>
    <row r="1512" spans="1:2">
      <c r="A1512" s="24"/>
      <c r="B1512" s="24"/>
    </row>
    <row r="1513" spans="1:2">
      <c r="A1513" s="24"/>
      <c r="B1513" s="24"/>
    </row>
    <row r="1514" spans="1:2">
      <c r="A1514" s="24"/>
      <c r="B1514" s="24"/>
    </row>
    <row r="1515" spans="1:2">
      <c r="A1515" s="24"/>
      <c r="B1515" s="24"/>
    </row>
    <row r="1516" spans="1:2">
      <c r="A1516" s="24"/>
      <c r="B1516" s="24"/>
    </row>
    <row r="1517" spans="1:2">
      <c r="A1517" s="24"/>
      <c r="B1517" s="24"/>
    </row>
    <row r="1518" spans="1:2">
      <c r="A1518" s="24"/>
      <c r="B1518" s="24"/>
    </row>
    <row r="1519" spans="1:2">
      <c r="A1519" s="24"/>
      <c r="B1519" s="24"/>
    </row>
    <row r="1520" spans="1:2">
      <c r="A1520" s="24"/>
      <c r="B1520" s="24"/>
    </row>
    <row r="1521" spans="1:2">
      <c r="A1521" s="24"/>
      <c r="B1521" s="24"/>
    </row>
    <row r="1522" spans="1:2">
      <c r="A1522" s="24"/>
      <c r="B1522" s="24"/>
    </row>
    <row r="1523" spans="1:2">
      <c r="A1523" s="24"/>
      <c r="B1523" s="24"/>
    </row>
    <row r="1524" spans="1:2">
      <c r="A1524" s="24"/>
      <c r="B1524" s="24"/>
    </row>
    <row r="1525" spans="1:2">
      <c r="A1525" s="24"/>
      <c r="B1525" s="24"/>
    </row>
    <row r="1526" spans="1:2">
      <c r="A1526" s="24"/>
      <c r="B1526" s="24"/>
    </row>
    <row r="1527" spans="1:2">
      <c r="A1527" s="24"/>
      <c r="B1527" s="24"/>
    </row>
    <row r="1528" spans="1:2">
      <c r="A1528" s="24"/>
      <c r="B1528" s="24"/>
    </row>
    <row r="1529" spans="1:2">
      <c r="A1529" s="24"/>
      <c r="B1529" s="24"/>
    </row>
    <row r="1530" spans="1:2">
      <c r="A1530" s="24"/>
      <c r="B1530" s="24"/>
    </row>
    <row r="1531" spans="1:2">
      <c r="A1531" s="24"/>
      <c r="B1531" s="24"/>
    </row>
    <row r="1532" spans="1:2">
      <c r="A1532" s="24"/>
      <c r="B1532" s="24"/>
    </row>
    <row r="1533" spans="1:2">
      <c r="A1533" s="24"/>
      <c r="B1533" s="24"/>
    </row>
    <row r="1534" spans="1:2">
      <c r="A1534" s="24"/>
      <c r="B1534" s="24"/>
    </row>
    <row r="1535" spans="1:2">
      <c r="A1535" s="24"/>
      <c r="B1535" s="24"/>
    </row>
    <row r="1536" spans="1:2">
      <c r="A1536" s="24"/>
      <c r="B1536" s="24"/>
    </row>
    <row r="1537" spans="1:2">
      <c r="A1537" s="24"/>
      <c r="B1537" s="24"/>
    </row>
    <row r="1538" spans="1:2">
      <c r="A1538" s="24"/>
      <c r="B1538" s="24"/>
    </row>
    <row r="1539" spans="1:2">
      <c r="A1539" s="24"/>
      <c r="B1539" s="24"/>
    </row>
    <row r="1540" spans="1:2">
      <c r="A1540" s="24"/>
      <c r="B1540" s="24"/>
    </row>
    <row r="1541" spans="1:2">
      <c r="A1541" s="24"/>
      <c r="B1541" s="24"/>
    </row>
    <row r="1542" spans="1:2">
      <c r="A1542" s="24"/>
      <c r="B1542" s="24"/>
    </row>
    <row r="1543" spans="1:2">
      <c r="A1543" s="24"/>
      <c r="B1543" s="24"/>
    </row>
    <row r="1544" spans="1:2">
      <c r="A1544" s="24"/>
      <c r="B1544" s="24"/>
    </row>
    <row r="1545" spans="1:2">
      <c r="A1545" s="24"/>
      <c r="B1545" s="24"/>
    </row>
    <row r="1546" spans="1:2">
      <c r="A1546" s="24"/>
      <c r="B1546" s="24"/>
    </row>
    <row r="1547" spans="1:2">
      <c r="A1547" s="24"/>
      <c r="B1547" s="24"/>
    </row>
    <row r="1548" spans="1:2">
      <c r="A1548" s="24"/>
      <c r="B1548" s="24"/>
    </row>
    <row r="1549" spans="1:2">
      <c r="A1549" s="24"/>
      <c r="B1549" s="24"/>
    </row>
    <row r="1550" spans="1:2">
      <c r="A1550" s="24"/>
      <c r="B1550" s="24"/>
    </row>
    <row r="1551" spans="1:2">
      <c r="A1551" s="24"/>
      <c r="B1551" s="24"/>
    </row>
    <row r="1552" spans="1:2">
      <c r="A1552" s="24"/>
      <c r="B1552" s="24"/>
    </row>
    <row r="1553" spans="1:2">
      <c r="A1553" s="24"/>
      <c r="B1553" s="24"/>
    </row>
    <row r="1554" spans="1:2">
      <c r="A1554" s="24"/>
      <c r="B1554" s="24"/>
    </row>
    <row r="1555" spans="1:2">
      <c r="A1555" s="24"/>
      <c r="B1555" s="24"/>
    </row>
    <row r="1556" spans="1:2">
      <c r="A1556" s="24"/>
      <c r="B1556" s="24"/>
    </row>
    <row r="1557" spans="1:2">
      <c r="A1557" s="24"/>
      <c r="B1557" s="24"/>
    </row>
    <row r="1558" spans="1:2">
      <c r="A1558" s="24"/>
      <c r="B1558" s="24"/>
    </row>
    <row r="1559" spans="1:2">
      <c r="A1559" s="24"/>
      <c r="B1559" s="24"/>
    </row>
    <row r="1560" spans="1:2">
      <c r="A1560" s="24"/>
      <c r="B1560" s="24"/>
    </row>
    <row r="1561" spans="1:2">
      <c r="A1561" s="24"/>
      <c r="B1561" s="24"/>
    </row>
    <row r="1562" spans="1:2">
      <c r="A1562" s="24"/>
      <c r="B1562" s="24"/>
    </row>
    <row r="1563" spans="1:2">
      <c r="A1563" s="24"/>
      <c r="B1563" s="24"/>
    </row>
    <row r="1564" spans="1:2">
      <c r="A1564" s="24"/>
      <c r="B1564" s="24"/>
    </row>
    <row r="1565" spans="1:2">
      <c r="A1565" s="24"/>
      <c r="B1565" s="24"/>
    </row>
    <row r="1566" spans="1:2">
      <c r="A1566" s="24"/>
      <c r="B1566" s="24"/>
    </row>
    <row r="1567" spans="1:2">
      <c r="A1567" s="24"/>
      <c r="B1567" s="24"/>
    </row>
    <row r="1568" spans="1:2">
      <c r="A1568" s="24"/>
      <c r="B1568" s="24"/>
    </row>
    <row r="1569" spans="1:2">
      <c r="A1569" s="24"/>
      <c r="B1569" s="24"/>
    </row>
    <row r="1570" spans="1:2">
      <c r="A1570" s="24"/>
      <c r="B1570" s="24"/>
    </row>
    <row r="1571" spans="1:2">
      <c r="A1571" s="24"/>
      <c r="B1571" s="24"/>
    </row>
    <row r="1572" spans="1:2">
      <c r="A1572" s="24"/>
      <c r="B1572" s="24"/>
    </row>
    <row r="1573" spans="1:2">
      <c r="A1573" s="24"/>
      <c r="B1573" s="24"/>
    </row>
    <row r="1574" spans="1:2">
      <c r="A1574" s="24"/>
      <c r="B1574" s="24"/>
    </row>
    <row r="1575" spans="1:2">
      <c r="A1575" s="24"/>
      <c r="B1575" s="24"/>
    </row>
    <row r="1576" spans="1:2">
      <c r="A1576" s="24"/>
      <c r="B1576" s="24"/>
    </row>
    <row r="1577" spans="1:2">
      <c r="A1577" s="24"/>
      <c r="B1577" s="24"/>
    </row>
    <row r="1578" spans="1:2">
      <c r="A1578" s="24"/>
      <c r="B1578" s="24"/>
    </row>
    <row r="1579" spans="1:2">
      <c r="A1579" s="24"/>
      <c r="B1579" s="24"/>
    </row>
    <row r="1580" spans="1:2">
      <c r="A1580" s="24"/>
      <c r="B1580" s="24"/>
    </row>
    <row r="1581" spans="1:2">
      <c r="A1581" s="24"/>
      <c r="B1581" s="24"/>
    </row>
    <row r="1582" spans="1:2">
      <c r="A1582" s="24"/>
      <c r="B1582" s="24"/>
    </row>
    <row r="1583" spans="1:2">
      <c r="A1583" s="24"/>
      <c r="B1583" s="24"/>
    </row>
    <row r="1584" spans="1:2">
      <c r="A1584" s="24"/>
      <c r="B1584" s="24"/>
    </row>
    <row r="1585" spans="1:2">
      <c r="A1585" s="24"/>
      <c r="B1585" s="24"/>
    </row>
    <row r="1586" spans="1:2">
      <c r="A1586" s="24"/>
      <c r="B1586" s="24"/>
    </row>
    <row r="1587" spans="1:2">
      <c r="A1587" s="24"/>
      <c r="B1587" s="24"/>
    </row>
    <row r="1588" spans="1:2">
      <c r="A1588" s="24"/>
      <c r="B1588" s="24"/>
    </row>
    <row r="1589" spans="1:2">
      <c r="A1589" s="24"/>
      <c r="B1589" s="24"/>
    </row>
    <row r="1590" spans="1:2">
      <c r="A1590" s="24"/>
      <c r="B1590" s="24"/>
    </row>
    <row r="1591" spans="1:2">
      <c r="A1591" s="24"/>
      <c r="B1591" s="24"/>
    </row>
    <row r="1592" spans="1:2">
      <c r="A1592" s="24"/>
      <c r="B1592" s="24"/>
    </row>
    <row r="1593" spans="1:2">
      <c r="A1593" s="24"/>
      <c r="B1593" s="24"/>
    </row>
    <row r="1594" spans="1:2">
      <c r="A1594" s="24"/>
      <c r="B1594" s="24"/>
    </row>
    <row r="1595" spans="1:2">
      <c r="A1595" s="24"/>
      <c r="B1595" s="24"/>
    </row>
    <row r="1596" spans="1:2">
      <c r="A1596" s="24"/>
      <c r="B1596" s="24"/>
    </row>
    <row r="1597" spans="1:2">
      <c r="A1597" s="24"/>
      <c r="B1597" s="24"/>
    </row>
    <row r="1598" spans="1:2">
      <c r="A1598" s="24"/>
      <c r="B1598" s="24"/>
    </row>
    <row r="1599" spans="1:2">
      <c r="A1599" s="24"/>
      <c r="B1599" s="24"/>
    </row>
    <row r="1600" spans="1:2">
      <c r="A1600" s="24"/>
      <c r="B1600" s="24"/>
    </row>
    <row r="1601" spans="1:2">
      <c r="A1601" s="24"/>
      <c r="B1601" s="24"/>
    </row>
    <row r="1602" spans="1:2">
      <c r="A1602" s="24"/>
      <c r="B1602" s="24"/>
    </row>
    <row r="1603" spans="1:2">
      <c r="A1603" s="24"/>
      <c r="B1603" s="24"/>
    </row>
    <row r="1604" spans="1:2">
      <c r="A1604" s="24"/>
      <c r="B1604" s="24"/>
    </row>
    <row r="1605" spans="1:2">
      <c r="A1605" s="24"/>
      <c r="B1605" s="24"/>
    </row>
    <row r="1606" spans="1:2">
      <c r="A1606" s="24"/>
      <c r="B1606" s="24"/>
    </row>
    <row r="1607" spans="1:2">
      <c r="A1607" s="24"/>
      <c r="B1607" s="24"/>
    </row>
    <row r="1608" spans="1:2">
      <c r="A1608" s="24"/>
      <c r="B1608" s="24"/>
    </row>
    <row r="1609" spans="1:2">
      <c r="A1609" s="24"/>
      <c r="B1609" s="24"/>
    </row>
    <row r="1610" spans="1:2">
      <c r="A1610" s="24"/>
      <c r="B1610" s="24"/>
    </row>
    <row r="1611" spans="1:2">
      <c r="A1611" s="24"/>
      <c r="B1611" s="24"/>
    </row>
    <row r="1612" spans="1:2">
      <c r="A1612" s="24"/>
      <c r="B1612" s="24"/>
    </row>
    <row r="1613" spans="1:2">
      <c r="A1613" s="24"/>
      <c r="B1613" s="24"/>
    </row>
    <row r="1614" spans="1:2">
      <c r="A1614" s="24"/>
      <c r="B1614" s="24"/>
    </row>
    <row r="1615" spans="1:2">
      <c r="A1615" s="24"/>
      <c r="B1615" s="24"/>
    </row>
    <row r="1616" spans="1:2">
      <c r="A1616" s="24"/>
      <c r="B1616" s="24"/>
    </row>
    <row r="1617" spans="1:2">
      <c r="A1617" s="24"/>
      <c r="B1617" s="24"/>
    </row>
    <row r="1618" spans="1:2">
      <c r="A1618" s="24"/>
      <c r="B1618" s="24"/>
    </row>
    <row r="1619" spans="1:2">
      <c r="A1619" s="24"/>
      <c r="B1619" s="24"/>
    </row>
    <row r="1620" spans="1:2">
      <c r="A1620" s="24"/>
      <c r="B1620" s="24"/>
    </row>
    <row r="1621" spans="1:2">
      <c r="A1621" s="24"/>
      <c r="B1621" s="24"/>
    </row>
    <row r="1622" spans="1:2">
      <c r="A1622" s="24"/>
      <c r="B1622" s="24"/>
    </row>
    <row r="1623" spans="1:2">
      <c r="A1623" s="24"/>
      <c r="B1623" s="24"/>
    </row>
    <row r="1624" spans="1:2">
      <c r="A1624" s="24"/>
      <c r="B1624" s="24"/>
    </row>
    <row r="1625" spans="1:2">
      <c r="A1625" s="24"/>
      <c r="B1625" s="24"/>
    </row>
    <row r="1626" spans="1:2">
      <c r="A1626" s="24"/>
      <c r="B1626" s="24"/>
    </row>
    <row r="1627" spans="1:2">
      <c r="A1627" s="24"/>
      <c r="B1627" s="24"/>
    </row>
    <row r="1628" spans="1:2">
      <c r="A1628" s="24"/>
      <c r="B1628" s="24"/>
    </row>
    <row r="1629" spans="1:2">
      <c r="A1629" s="24"/>
      <c r="B1629" s="24"/>
    </row>
    <row r="1630" spans="1:2">
      <c r="A1630" s="24"/>
      <c r="B1630" s="24"/>
    </row>
    <row r="1631" spans="1:2">
      <c r="A1631" s="24"/>
      <c r="B1631" s="24"/>
    </row>
    <row r="1632" spans="1:2">
      <c r="A1632" s="24"/>
      <c r="B1632" s="24"/>
    </row>
    <row r="1633" spans="1:2">
      <c r="A1633" s="24"/>
      <c r="B1633" s="24"/>
    </row>
    <row r="1634" spans="1:2">
      <c r="A1634" s="24"/>
      <c r="B1634" s="24"/>
    </row>
    <row r="1635" spans="1:2">
      <c r="A1635" s="24"/>
      <c r="B1635" s="24"/>
    </row>
    <row r="1636" spans="1:2">
      <c r="A1636" s="24"/>
      <c r="B1636" s="24"/>
    </row>
    <row r="1637" spans="1:2">
      <c r="A1637" s="24"/>
      <c r="B1637" s="24"/>
    </row>
    <row r="1638" spans="1:2">
      <c r="A1638" s="24"/>
      <c r="B1638" s="24"/>
    </row>
    <row r="1639" spans="1:2">
      <c r="A1639" s="24"/>
      <c r="B1639" s="24"/>
    </row>
    <row r="1640" spans="1:2">
      <c r="A1640" s="24"/>
      <c r="B1640" s="24"/>
    </row>
    <row r="1641" spans="1:2">
      <c r="A1641" s="24"/>
      <c r="B1641" s="24"/>
    </row>
    <row r="1642" spans="1:2">
      <c r="A1642" s="24"/>
      <c r="B1642" s="24"/>
    </row>
    <row r="1643" spans="1:2">
      <c r="A1643" s="24"/>
      <c r="B1643" s="24"/>
    </row>
    <row r="1644" spans="1:2">
      <c r="A1644" s="24"/>
      <c r="B1644" s="24"/>
    </row>
    <row r="1645" spans="1:2">
      <c r="A1645" s="24"/>
      <c r="B1645" s="24"/>
    </row>
    <row r="1646" spans="1:2">
      <c r="A1646" s="24"/>
      <c r="B1646" s="24"/>
    </row>
    <row r="1647" spans="1:2">
      <c r="A1647" s="24"/>
      <c r="B1647" s="24"/>
    </row>
    <row r="1648" spans="1:2">
      <c r="A1648" s="24"/>
      <c r="B1648" s="24"/>
    </row>
    <row r="1649" spans="1:2">
      <c r="A1649" s="24"/>
      <c r="B1649" s="24"/>
    </row>
    <row r="1650" spans="1:2">
      <c r="A1650" s="24"/>
      <c r="B1650" s="24"/>
    </row>
    <row r="1651" spans="1:2">
      <c r="A1651" s="24"/>
      <c r="B1651" s="24"/>
    </row>
    <row r="1652" spans="1:2">
      <c r="A1652" s="24"/>
      <c r="B1652" s="24"/>
    </row>
    <row r="1653" spans="1:2">
      <c r="A1653" s="24"/>
      <c r="B1653" s="24"/>
    </row>
    <row r="1654" spans="1:2">
      <c r="A1654" s="24"/>
      <c r="B1654" s="24"/>
    </row>
    <row r="1655" spans="1:2">
      <c r="A1655" s="24"/>
      <c r="B1655" s="24"/>
    </row>
    <row r="1656" spans="1:2">
      <c r="A1656" s="24"/>
      <c r="B1656" s="24"/>
    </row>
    <row r="1657" spans="1:2">
      <c r="A1657" s="24"/>
      <c r="B1657" s="24"/>
    </row>
    <row r="1658" spans="1:2">
      <c r="A1658" s="24"/>
      <c r="B1658" s="24"/>
    </row>
    <row r="1659" spans="1:2">
      <c r="A1659" s="24"/>
      <c r="B1659" s="24"/>
    </row>
    <row r="1660" spans="1:2">
      <c r="A1660" s="24"/>
      <c r="B1660" s="24"/>
    </row>
    <row r="1661" spans="1:2">
      <c r="A1661" s="24"/>
      <c r="B1661" s="24"/>
    </row>
    <row r="1662" spans="1:2">
      <c r="A1662" s="24"/>
      <c r="B1662" s="24"/>
    </row>
    <row r="1663" spans="1:2">
      <c r="A1663" s="24"/>
      <c r="B1663" s="24"/>
    </row>
    <row r="1664" spans="1:2">
      <c r="A1664" s="24"/>
      <c r="B1664" s="24"/>
    </row>
    <row r="1665" spans="1:2">
      <c r="A1665" s="24"/>
      <c r="B1665" s="24"/>
    </row>
    <row r="1666" spans="1:2">
      <c r="A1666" s="24"/>
      <c r="B1666" s="24"/>
    </row>
    <row r="1667" spans="1:2">
      <c r="A1667" s="24"/>
      <c r="B1667" s="24"/>
    </row>
    <row r="1668" spans="1:2">
      <c r="A1668" s="24"/>
      <c r="B1668" s="24"/>
    </row>
    <row r="1669" spans="1:2">
      <c r="A1669" s="24"/>
      <c r="B1669" s="24"/>
    </row>
    <row r="1670" spans="1:2">
      <c r="A1670" s="24"/>
      <c r="B1670" s="24"/>
    </row>
    <row r="1671" spans="1:2">
      <c r="A1671" s="24"/>
      <c r="B1671" s="24"/>
    </row>
    <row r="1672" spans="1:2">
      <c r="A1672" s="24"/>
      <c r="B1672" s="24"/>
    </row>
    <row r="1673" spans="1:2">
      <c r="A1673" s="24"/>
      <c r="B1673" s="24"/>
    </row>
    <row r="1674" spans="1:2">
      <c r="A1674" s="24"/>
      <c r="B1674" s="24"/>
    </row>
    <row r="1675" spans="1:2">
      <c r="A1675" s="24"/>
      <c r="B1675" s="24"/>
    </row>
    <row r="1676" spans="1:2">
      <c r="A1676" s="24"/>
      <c r="B1676" s="24"/>
    </row>
    <row r="1677" spans="1:2">
      <c r="A1677" s="24"/>
      <c r="B1677" s="24"/>
    </row>
    <row r="1678" spans="1:2">
      <c r="A1678" s="24"/>
      <c r="B1678" s="24"/>
    </row>
    <row r="1679" spans="1:2">
      <c r="A1679" s="24"/>
      <c r="B1679" s="24"/>
    </row>
    <row r="1680" spans="1:2">
      <c r="A1680" s="24"/>
      <c r="B1680" s="24"/>
    </row>
    <row r="1681" spans="1:2">
      <c r="A1681" s="24"/>
      <c r="B1681" s="24"/>
    </row>
    <row r="1682" spans="1:2">
      <c r="A1682" s="24"/>
      <c r="B1682" s="24"/>
    </row>
    <row r="1683" spans="1:2">
      <c r="A1683" s="24"/>
      <c r="B1683" s="24"/>
    </row>
    <row r="1684" spans="1:2">
      <c r="A1684" s="24"/>
      <c r="B1684" s="24"/>
    </row>
    <row r="1685" spans="1:2">
      <c r="A1685" s="24"/>
      <c r="B1685" s="24"/>
    </row>
    <row r="1686" spans="1:2">
      <c r="A1686" s="24"/>
      <c r="B1686" s="24"/>
    </row>
    <row r="1687" spans="1:2">
      <c r="A1687" s="24"/>
      <c r="B1687" s="24"/>
    </row>
    <row r="1688" spans="1:2">
      <c r="A1688" s="24"/>
      <c r="B1688" s="24"/>
    </row>
    <row r="1689" spans="1:2">
      <c r="A1689" s="24"/>
      <c r="B1689" s="24"/>
    </row>
    <row r="1690" spans="1:2">
      <c r="A1690" s="24"/>
      <c r="B1690" s="24"/>
    </row>
    <row r="1691" spans="1:2">
      <c r="A1691" s="24"/>
      <c r="B1691" s="24"/>
    </row>
    <row r="1692" spans="1:2">
      <c r="A1692" s="24"/>
      <c r="B1692" s="24"/>
    </row>
    <row r="1693" spans="1:2">
      <c r="A1693" s="24"/>
      <c r="B1693" s="24"/>
    </row>
    <row r="1694" spans="1:2">
      <c r="A1694" s="24"/>
      <c r="B1694" s="24"/>
    </row>
    <row r="1695" spans="1:2">
      <c r="A1695" s="24"/>
      <c r="B1695" s="24"/>
    </row>
    <row r="1696" spans="1:2">
      <c r="A1696" s="24"/>
      <c r="B1696" s="24"/>
    </row>
    <row r="1697" spans="1:2">
      <c r="A1697" s="24"/>
      <c r="B1697" s="24"/>
    </row>
    <row r="1698" spans="1:2">
      <c r="A1698" s="24"/>
      <c r="B1698" s="24"/>
    </row>
    <row r="1699" spans="1:2">
      <c r="A1699" s="24"/>
      <c r="B1699" s="24"/>
    </row>
    <row r="1700" spans="1:2">
      <c r="A1700" s="24"/>
      <c r="B1700" s="24"/>
    </row>
    <row r="1701" spans="1:2">
      <c r="A1701" s="24"/>
      <c r="B1701" s="24"/>
    </row>
    <row r="1702" spans="1:2">
      <c r="A1702" s="24"/>
      <c r="B1702" s="24"/>
    </row>
    <row r="1703" spans="1:2">
      <c r="A1703" s="24"/>
      <c r="B1703" s="24"/>
    </row>
    <row r="1704" spans="1:2">
      <c r="A1704" s="24"/>
      <c r="B1704" s="24"/>
    </row>
    <row r="1705" spans="1:2">
      <c r="A1705" s="24"/>
      <c r="B1705" s="24"/>
    </row>
    <row r="1706" spans="1:2">
      <c r="A1706" s="24"/>
      <c r="B1706" s="24"/>
    </row>
    <row r="1707" spans="1:2">
      <c r="A1707" s="24"/>
      <c r="B1707" s="24"/>
    </row>
    <row r="1708" spans="1:2">
      <c r="A1708" s="24"/>
      <c r="B1708" s="24"/>
    </row>
    <row r="1709" spans="1:2">
      <c r="A1709" s="24"/>
      <c r="B1709" s="24"/>
    </row>
    <row r="1710" spans="1:2">
      <c r="A1710" s="24"/>
      <c r="B1710" s="24"/>
    </row>
    <row r="1711" spans="1:2">
      <c r="A1711" s="24"/>
      <c r="B1711" s="24"/>
    </row>
    <row r="1712" spans="1:2">
      <c r="A1712" s="24"/>
      <c r="B1712" s="24"/>
    </row>
    <row r="1713" spans="1:2">
      <c r="A1713" s="24"/>
      <c r="B1713" s="24"/>
    </row>
    <row r="1714" spans="1:2">
      <c r="A1714" s="24"/>
      <c r="B1714" s="24"/>
    </row>
    <row r="1715" spans="1:2">
      <c r="A1715" s="24"/>
      <c r="B1715" s="24"/>
    </row>
    <row r="1716" spans="1:2">
      <c r="A1716" s="24"/>
      <c r="B1716" s="24"/>
    </row>
    <row r="1717" spans="1:2">
      <c r="A1717" s="24"/>
      <c r="B1717" s="24"/>
    </row>
    <row r="1718" spans="1:2">
      <c r="A1718" s="24"/>
      <c r="B1718" s="24"/>
    </row>
    <row r="1719" spans="1:2">
      <c r="A1719" s="24"/>
      <c r="B1719" s="24"/>
    </row>
    <row r="1720" spans="1:2">
      <c r="A1720" s="24"/>
      <c r="B1720" s="24"/>
    </row>
    <row r="1721" spans="1:2">
      <c r="A1721" s="24"/>
      <c r="B1721" s="24"/>
    </row>
    <row r="1722" spans="1:2">
      <c r="A1722" s="24"/>
      <c r="B1722" s="24"/>
    </row>
    <row r="1723" spans="1:2">
      <c r="A1723" s="24"/>
      <c r="B1723" s="24"/>
    </row>
    <row r="1724" spans="1:2">
      <c r="A1724" s="24"/>
      <c r="B1724" s="24"/>
    </row>
    <row r="1725" spans="1:2">
      <c r="A1725" s="24"/>
      <c r="B1725" s="24"/>
    </row>
    <row r="1726" spans="1:2">
      <c r="A1726" s="24"/>
      <c r="B1726" s="24"/>
    </row>
    <row r="1727" spans="1:2">
      <c r="A1727" s="24"/>
      <c r="B1727" s="24"/>
    </row>
    <row r="1728" spans="1:2">
      <c r="A1728" s="24"/>
      <c r="B1728" s="24"/>
    </row>
    <row r="1729" spans="1:2">
      <c r="A1729" s="24"/>
      <c r="B1729" s="24"/>
    </row>
    <row r="1730" spans="1:2">
      <c r="A1730" s="24"/>
      <c r="B1730" s="24"/>
    </row>
    <row r="1731" spans="1:2">
      <c r="A1731" s="24"/>
      <c r="B1731" s="24"/>
    </row>
    <row r="1732" spans="1:2">
      <c r="A1732" s="24"/>
      <c r="B1732" s="24"/>
    </row>
    <row r="1733" spans="1:2">
      <c r="A1733" s="24"/>
      <c r="B1733" s="24"/>
    </row>
    <row r="1734" spans="1:2">
      <c r="A1734" s="24"/>
      <c r="B1734" s="24"/>
    </row>
    <row r="1735" spans="1:2">
      <c r="A1735" s="24"/>
      <c r="B1735" s="24"/>
    </row>
    <row r="1736" spans="1:2">
      <c r="A1736" s="24"/>
      <c r="B1736" s="24"/>
    </row>
    <row r="1737" spans="1:2">
      <c r="A1737" s="24"/>
      <c r="B1737" s="24"/>
    </row>
    <row r="1738" spans="1:2">
      <c r="A1738" s="24"/>
      <c r="B1738" s="24"/>
    </row>
    <row r="1739" spans="1:2">
      <c r="A1739" s="24"/>
      <c r="B1739" s="24"/>
    </row>
    <row r="1740" spans="1:2">
      <c r="A1740" s="24"/>
      <c r="B1740" s="24"/>
    </row>
    <row r="1741" spans="1:2">
      <c r="A1741" s="24"/>
      <c r="B1741" s="24"/>
    </row>
    <row r="1742" spans="1:2">
      <c r="A1742" s="24"/>
      <c r="B1742" s="24"/>
    </row>
    <row r="1743" spans="1:2">
      <c r="A1743" s="24"/>
      <c r="B1743" s="24"/>
    </row>
    <row r="1744" spans="1:2">
      <c r="A1744" s="24"/>
      <c r="B1744" s="24"/>
    </row>
    <row r="1745" spans="1:2">
      <c r="A1745" s="24"/>
      <c r="B1745" s="24"/>
    </row>
    <row r="1746" spans="1:2">
      <c r="A1746" s="24"/>
      <c r="B1746" s="24"/>
    </row>
    <row r="1747" spans="1:2">
      <c r="A1747" s="24"/>
      <c r="B1747" s="24"/>
    </row>
    <row r="1748" spans="1:2">
      <c r="A1748" s="24"/>
      <c r="B1748" s="24"/>
    </row>
    <row r="1749" spans="1:2">
      <c r="A1749" s="24"/>
      <c r="B1749" s="24"/>
    </row>
    <row r="1750" spans="1:2">
      <c r="A1750" s="24"/>
      <c r="B1750" s="24"/>
    </row>
    <row r="1751" spans="1:2">
      <c r="A1751" s="24"/>
      <c r="B1751" s="24"/>
    </row>
    <row r="1752" spans="1:2">
      <c r="A1752" s="24"/>
      <c r="B1752" s="24"/>
    </row>
    <row r="1753" spans="1:2">
      <c r="A1753" s="24"/>
      <c r="B1753" s="24"/>
    </row>
    <row r="1754" spans="1:2">
      <c r="A1754" s="24"/>
      <c r="B1754" s="24"/>
    </row>
    <row r="1755" spans="1:2">
      <c r="A1755" s="24"/>
      <c r="B1755" s="24"/>
    </row>
    <row r="1756" spans="1:2">
      <c r="A1756" s="24"/>
      <c r="B1756" s="24"/>
    </row>
    <row r="1757" spans="1:2">
      <c r="A1757" s="24"/>
      <c r="B1757" s="24"/>
    </row>
    <row r="1758" spans="1:2">
      <c r="A1758" s="24"/>
      <c r="B1758" s="24"/>
    </row>
    <row r="1759" spans="1:2">
      <c r="A1759" s="24"/>
      <c r="B1759" s="24"/>
    </row>
    <row r="1760" spans="1:2">
      <c r="A1760" s="24"/>
      <c r="B1760" s="24"/>
    </row>
    <row r="1761" spans="1:2">
      <c r="A1761" s="24"/>
      <c r="B1761" s="24"/>
    </row>
    <row r="1762" spans="1:2">
      <c r="A1762" s="24"/>
      <c r="B1762" s="24"/>
    </row>
    <row r="1763" spans="1:2">
      <c r="A1763" s="24"/>
      <c r="B1763" s="24"/>
    </row>
    <row r="1764" spans="1:2">
      <c r="A1764" s="24"/>
      <c r="B1764" s="24"/>
    </row>
    <row r="1765" spans="1:2">
      <c r="A1765" s="24"/>
      <c r="B1765" s="24"/>
    </row>
    <row r="1766" spans="1:2">
      <c r="A1766" s="24"/>
      <c r="B1766" s="24"/>
    </row>
    <row r="1767" spans="1:2">
      <c r="A1767" s="24"/>
      <c r="B1767" s="24"/>
    </row>
    <row r="1768" spans="1:2">
      <c r="A1768" s="24"/>
      <c r="B1768" s="24"/>
    </row>
    <row r="1769" spans="1:2">
      <c r="A1769" s="24"/>
      <c r="B1769" s="24"/>
    </row>
    <row r="1770" spans="1:2">
      <c r="A1770" s="24"/>
      <c r="B1770" s="24"/>
    </row>
    <row r="1771" spans="1:2">
      <c r="A1771" s="24"/>
      <c r="B1771" s="24"/>
    </row>
    <row r="1772" spans="1:2">
      <c r="A1772" s="24"/>
      <c r="B1772" s="24"/>
    </row>
    <row r="1773" spans="1:2">
      <c r="A1773" s="24"/>
      <c r="B1773" s="24"/>
    </row>
    <row r="1774" spans="1:2">
      <c r="A1774" s="24"/>
      <c r="B1774" s="24"/>
    </row>
    <row r="1775" spans="1:2">
      <c r="A1775" s="24"/>
      <c r="B1775" s="24"/>
    </row>
    <row r="1776" spans="1:2">
      <c r="A1776" s="24"/>
      <c r="B1776" s="24"/>
    </row>
    <row r="1777" spans="1:2">
      <c r="A1777" s="24"/>
      <c r="B1777" s="24"/>
    </row>
    <row r="1778" spans="1:2">
      <c r="A1778" s="24"/>
      <c r="B1778" s="24"/>
    </row>
    <row r="1779" spans="1:2">
      <c r="A1779" s="24"/>
      <c r="B1779" s="24"/>
    </row>
    <row r="1780" spans="1:2">
      <c r="A1780" s="24"/>
      <c r="B1780" s="24"/>
    </row>
    <row r="1781" spans="1:2">
      <c r="A1781" s="24"/>
      <c r="B1781" s="24"/>
    </row>
    <row r="1782" spans="1:2">
      <c r="A1782" s="24"/>
      <c r="B1782" s="24"/>
    </row>
    <row r="1783" spans="1:2">
      <c r="A1783" s="24"/>
      <c r="B1783" s="24"/>
    </row>
    <row r="1784" spans="1:2">
      <c r="A1784" s="24"/>
      <c r="B1784" s="24"/>
    </row>
    <row r="1785" spans="1:2">
      <c r="A1785" s="24"/>
      <c r="B1785" s="24"/>
    </row>
    <row r="1786" spans="1:2">
      <c r="A1786" s="24"/>
      <c r="B1786" s="24"/>
    </row>
    <row r="1787" spans="1:2">
      <c r="A1787" s="24"/>
      <c r="B1787" s="24"/>
    </row>
    <row r="1788" spans="1:2">
      <c r="A1788" s="24"/>
      <c r="B1788" s="24"/>
    </row>
    <row r="1789" spans="1:2">
      <c r="A1789" s="24"/>
      <c r="B1789" s="24"/>
    </row>
    <row r="1790" spans="1:2">
      <c r="A1790" s="24"/>
      <c r="B1790" s="24"/>
    </row>
    <row r="1791" spans="1:2">
      <c r="A1791" s="24"/>
      <c r="B1791" s="24"/>
    </row>
    <row r="1792" spans="1:2">
      <c r="A1792" s="24"/>
      <c r="B1792" s="24"/>
    </row>
    <row r="1793" spans="1:2">
      <c r="A1793" s="24"/>
      <c r="B1793" s="24"/>
    </row>
    <row r="1794" spans="1:2">
      <c r="A1794" s="24"/>
      <c r="B1794" s="24"/>
    </row>
    <row r="1795" spans="1:2">
      <c r="A1795" s="24"/>
      <c r="B1795" s="24"/>
    </row>
    <row r="1796" spans="1:2">
      <c r="A1796" s="24"/>
      <c r="B1796" s="24"/>
    </row>
    <row r="1797" spans="1:2">
      <c r="A1797" s="24"/>
      <c r="B1797" s="24"/>
    </row>
    <row r="1798" spans="1:2">
      <c r="A1798" s="24"/>
      <c r="B1798" s="24"/>
    </row>
    <row r="1799" spans="1:2">
      <c r="A1799" s="24"/>
      <c r="B1799" s="24"/>
    </row>
    <row r="1800" spans="1:2">
      <c r="A1800" s="24"/>
      <c r="B1800" s="24"/>
    </row>
    <row r="1801" spans="1:2">
      <c r="A1801" s="24"/>
      <c r="B1801" s="24"/>
    </row>
    <row r="1802" spans="1:2">
      <c r="A1802" s="24"/>
      <c r="B1802" s="24"/>
    </row>
    <row r="1803" spans="1:2">
      <c r="A1803" s="24"/>
      <c r="B1803" s="24"/>
    </row>
    <row r="1804" spans="1:2">
      <c r="A1804" s="24"/>
      <c r="B1804" s="24"/>
    </row>
    <row r="1805" spans="1:2">
      <c r="A1805" s="24"/>
      <c r="B1805" s="24"/>
    </row>
    <row r="1806" spans="1:2">
      <c r="A1806" s="24"/>
      <c r="B1806" s="24"/>
    </row>
    <row r="1807" spans="1:2">
      <c r="A1807" s="24"/>
      <c r="B1807" s="24"/>
    </row>
    <row r="1808" spans="1:2">
      <c r="A1808" s="24"/>
      <c r="B1808" s="24"/>
    </row>
    <row r="1809" spans="1:2">
      <c r="A1809" s="24"/>
      <c r="B1809" s="24"/>
    </row>
    <row r="1810" spans="1:2">
      <c r="A1810" s="24"/>
      <c r="B1810" s="24"/>
    </row>
    <row r="1811" spans="1:2">
      <c r="A1811" s="24"/>
      <c r="B1811" s="24"/>
    </row>
    <row r="1812" spans="1:2">
      <c r="A1812" s="24"/>
      <c r="B1812" s="24"/>
    </row>
    <row r="1813" spans="1:2">
      <c r="A1813" s="24"/>
      <c r="B1813" s="24"/>
    </row>
    <row r="1814" spans="1:2">
      <c r="A1814" s="24"/>
      <c r="B1814" s="24"/>
    </row>
    <row r="1815" spans="1:2">
      <c r="A1815" s="24"/>
      <c r="B1815" s="24"/>
    </row>
    <row r="1816" spans="1:2">
      <c r="A1816" s="24"/>
      <c r="B1816" s="24"/>
    </row>
    <row r="1817" spans="1:2">
      <c r="A1817" s="24"/>
      <c r="B1817" s="24"/>
    </row>
    <row r="1818" spans="1:2">
      <c r="A1818" s="24"/>
      <c r="B1818" s="24"/>
    </row>
    <row r="1819" spans="1:2">
      <c r="A1819" s="24"/>
      <c r="B1819" s="24"/>
    </row>
    <row r="1820" spans="1:2">
      <c r="A1820" s="24"/>
      <c r="B1820" s="24"/>
    </row>
    <row r="1821" spans="1:2">
      <c r="A1821" s="24"/>
      <c r="B1821" s="24"/>
    </row>
    <row r="1822" spans="1:2">
      <c r="A1822" s="24"/>
      <c r="B1822" s="24"/>
    </row>
    <row r="1823" spans="1:2">
      <c r="A1823" s="24"/>
      <c r="B1823" s="24"/>
    </row>
    <row r="1824" spans="1:2">
      <c r="A1824" s="24"/>
      <c r="B1824" s="24"/>
    </row>
    <row r="1825" spans="1:2">
      <c r="A1825" s="24"/>
      <c r="B1825" s="24"/>
    </row>
    <row r="1826" spans="1:2">
      <c r="A1826" s="24"/>
      <c r="B1826" s="24"/>
    </row>
    <row r="1827" spans="1:2">
      <c r="A1827" s="24"/>
      <c r="B1827" s="24"/>
    </row>
    <row r="1828" spans="1:2">
      <c r="A1828" s="24"/>
      <c r="B1828" s="24"/>
    </row>
    <row r="1829" spans="1:2">
      <c r="A1829" s="24"/>
      <c r="B1829" s="24"/>
    </row>
    <row r="1830" spans="1:2">
      <c r="A1830" s="24"/>
      <c r="B1830" s="24"/>
    </row>
    <row r="1831" spans="1:2">
      <c r="A1831" s="24"/>
      <c r="B1831" s="24"/>
    </row>
    <row r="1832" spans="1:2">
      <c r="A1832" s="24"/>
      <c r="B1832" s="24"/>
    </row>
    <row r="1833" spans="1:2">
      <c r="A1833" s="24"/>
      <c r="B1833" s="24"/>
    </row>
    <row r="1834" spans="1:2">
      <c r="A1834" s="24"/>
      <c r="B1834" s="24"/>
    </row>
    <row r="1835" spans="1:2">
      <c r="A1835" s="24"/>
      <c r="B1835" s="24"/>
    </row>
    <row r="1836" spans="1:2">
      <c r="A1836" s="24"/>
      <c r="B1836" s="24"/>
    </row>
    <row r="1837" spans="1:2">
      <c r="A1837" s="24"/>
      <c r="B1837" s="24"/>
    </row>
    <row r="1838" spans="1:2">
      <c r="A1838" s="24"/>
      <c r="B1838" s="24"/>
    </row>
    <row r="1839" spans="1:2">
      <c r="A1839" s="24"/>
      <c r="B1839" s="24"/>
    </row>
    <row r="1840" spans="1:2">
      <c r="A1840" s="24"/>
      <c r="B1840" s="24"/>
    </row>
    <row r="1841" spans="1:2">
      <c r="A1841" s="24"/>
      <c r="B1841" s="24"/>
    </row>
    <row r="1842" spans="1:2">
      <c r="A1842" s="24"/>
      <c r="B1842" s="24"/>
    </row>
    <row r="1843" spans="1:2">
      <c r="A1843" s="24"/>
      <c r="B1843" s="24"/>
    </row>
    <row r="1844" spans="1:2">
      <c r="A1844" s="24"/>
      <c r="B1844" s="24"/>
    </row>
    <row r="1845" spans="1:2">
      <c r="A1845" s="24"/>
      <c r="B1845" s="24"/>
    </row>
    <row r="1846" spans="1:2">
      <c r="A1846" s="24"/>
      <c r="B1846" s="24"/>
    </row>
    <row r="1847" spans="1:2">
      <c r="A1847" s="24"/>
      <c r="B1847" s="24"/>
    </row>
    <row r="1848" spans="1:2">
      <c r="A1848" s="24"/>
      <c r="B1848" s="24"/>
    </row>
    <row r="1849" spans="1:2">
      <c r="A1849" s="24"/>
      <c r="B1849" s="24"/>
    </row>
    <row r="1850" spans="1:2">
      <c r="A1850" s="24"/>
      <c r="B1850" s="24"/>
    </row>
    <row r="1851" spans="1:2">
      <c r="A1851" s="24"/>
      <c r="B1851" s="24"/>
    </row>
    <row r="1852" spans="1:2">
      <c r="A1852" s="24"/>
      <c r="B1852" s="24"/>
    </row>
    <row r="1853" spans="1:2">
      <c r="A1853" s="24"/>
      <c r="B1853" s="24"/>
    </row>
    <row r="1854" spans="1:2">
      <c r="A1854" s="24"/>
      <c r="B1854" s="24"/>
    </row>
    <row r="1855" spans="1:2">
      <c r="A1855" s="24"/>
      <c r="B1855" s="24"/>
    </row>
    <row r="1856" spans="1:2">
      <c r="A1856" s="24"/>
      <c r="B1856" s="24"/>
    </row>
    <row r="1857" spans="1:2">
      <c r="A1857" s="24"/>
      <c r="B1857" s="24"/>
    </row>
    <row r="1858" spans="1:2">
      <c r="A1858" s="24"/>
      <c r="B1858" s="24"/>
    </row>
    <row r="1859" spans="1:2">
      <c r="A1859" s="24"/>
      <c r="B1859" s="24"/>
    </row>
    <row r="1860" spans="1:2">
      <c r="A1860" s="24"/>
      <c r="B1860" s="24"/>
    </row>
    <row r="1861" spans="1:2">
      <c r="A1861" s="24"/>
      <c r="B1861" s="24"/>
    </row>
    <row r="1862" spans="1:2">
      <c r="A1862" s="24"/>
      <c r="B1862" s="24"/>
    </row>
    <row r="1863" spans="1:2">
      <c r="A1863" s="24"/>
      <c r="B1863" s="24"/>
    </row>
    <row r="1864" spans="1:2">
      <c r="A1864" s="24"/>
      <c r="B1864" s="24"/>
    </row>
    <row r="1865" spans="1:2">
      <c r="A1865" s="24"/>
      <c r="B1865" s="24"/>
    </row>
    <row r="1866" spans="1:2">
      <c r="A1866" s="24"/>
      <c r="B1866" s="24"/>
    </row>
    <row r="1867" spans="1:2">
      <c r="A1867" s="24"/>
      <c r="B1867" s="24"/>
    </row>
    <row r="1868" spans="1:2">
      <c r="A1868" s="24"/>
      <c r="B1868" s="24"/>
    </row>
    <row r="1869" spans="1:2">
      <c r="A1869" s="24"/>
      <c r="B1869" s="24"/>
    </row>
    <row r="1870" spans="1:2">
      <c r="A1870" s="24"/>
      <c r="B1870" s="24"/>
    </row>
    <row r="1871" spans="1:2">
      <c r="A1871" s="24"/>
      <c r="B1871" s="24"/>
    </row>
    <row r="1872" spans="1:2">
      <c r="A1872" s="24"/>
      <c r="B1872" s="24"/>
    </row>
    <row r="1873" spans="1:2">
      <c r="A1873" s="24"/>
      <c r="B1873" s="24"/>
    </row>
    <row r="1874" spans="1:2">
      <c r="A1874" s="24"/>
      <c r="B1874" s="24"/>
    </row>
    <row r="1875" spans="1:2">
      <c r="A1875" s="24"/>
      <c r="B1875" s="24"/>
    </row>
    <row r="1876" spans="1:2">
      <c r="A1876" s="24"/>
      <c r="B1876" s="24"/>
    </row>
    <row r="1877" spans="1:2">
      <c r="A1877" s="24"/>
      <c r="B1877" s="24"/>
    </row>
    <row r="1878" spans="1:2">
      <c r="A1878" s="24"/>
      <c r="B1878" s="24"/>
    </row>
    <row r="1879" spans="1:2">
      <c r="A1879" s="24"/>
      <c r="B1879" s="24"/>
    </row>
    <row r="1880" spans="1:2">
      <c r="A1880" s="24"/>
      <c r="B1880" s="24"/>
    </row>
    <row r="1881" spans="1:2">
      <c r="A1881" s="24"/>
      <c r="B1881" s="24"/>
    </row>
    <row r="1882" spans="1:2">
      <c r="A1882" s="24"/>
      <c r="B1882" s="24"/>
    </row>
    <row r="1883" spans="1:2">
      <c r="A1883" s="24"/>
      <c r="B1883" s="24"/>
    </row>
    <row r="1884" spans="1:2">
      <c r="A1884" s="24"/>
      <c r="B1884" s="24"/>
    </row>
    <row r="1885" spans="1:2">
      <c r="A1885" s="24"/>
      <c r="B1885" s="24"/>
    </row>
    <row r="1886" spans="1:2">
      <c r="A1886" s="24"/>
      <c r="B1886" s="24"/>
    </row>
    <row r="1887" spans="1:2">
      <c r="A1887" s="24"/>
      <c r="B1887" s="24"/>
    </row>
    <row r="1888" spans="1:2">
      <c r="A1888" s="24"/>
      <c r="B1888" s="24"/>
    </row>
    <row r="1889" spans="1:2">
      <c r="A1889" s="24"/>
      <c r="B1889" s="24"/>
    </row>
    <row r="1890" spans="1:2">
      <c r="A1890" s="24"/>
      <c r="B1890" s="24"/>
    </row>
    <row r="1891" spans="1:2">
      <c r="A1891" s="24"/>
      <c r="B1891" s="24"/>
    </row>
    <row r="1892" spans="1:2">
      <c r="A1892" s="24"/>
      <c r="B1892" s="24"/>
    </row>
    <row r="1893" spans="1:2">
      <c r="A1893" s="24"/>
      <c r="B1893" s="24"/>
    </row>
    <row r="1894" spans="1:2">
      <c r="A1894" s="24"/>
      <c r="B1894" s="24"/>
    </row>
    <row r="1895" spans="1:2">
      <c r="A1895" s="24"/>
      <c r="B1895" s="24"/>
    </row>
    <row r="1896" spans="1:2">
      <c r="A1896" s="24"/>
      <c r="B1896" s="24"/>
    </row>
    <row r="1897" spans="1:2">
      <c r="A1897" s="24"/>
      <c r="B1897" s="24"/>
    </row>
    <row r="1898" spans="1:2">
      <c r="A1898" s="24"/>
      <c r="B1898" s="24"/>
    </row>
    <row r="1899" spans="1:2">
      <c r="A1899" s="24"/>
      <c r="B1899" s="24"/>
    </row>
    <row r="1900" spans="1:2">
      <c r="A1900" s="24"/>
      <c r="B1900" s="24"/>
    </row>
    <row r="1901" spans="1:2">
      <c r="A1901" s="24"/>
      <c r="B1901" s="24"/>
    </row>
    <row r="1902" spans="1:2">
      <c r="A1902" s="24"/>
      <c r="B1902" s="24"/>
    </row>
    <row r="1903" spans="1:2">
      <c r="A1903" s="24"/>
      <c r="B1903" s="24"/>
    </row>
    <row r="1904" spans="1:2">
      <c r="A1904" s="24"/>
      <c r="B1904" s="24"/>
    </row>
    <row r="1905" spans="1:2">
      <c r="A1905" s="24"/>
      <c r="B1905" s="24"/>
    </row>
    <row r="1906" spans="1:2">
      <c r="A1906" s="24"/>
      <c r="B1906" s="24"/>
    </row>
    <row r="1907" spans="1:2">
      <c r="A1907" s="24"/>
      <c r="B1907" s="24"/>
    </row>
    <row r="1908" spans="1:2">
      <c r="A1908" s="24"/>
      <c r="B1908" s="24"/>
    </row>
    <row r="1909" spans="1:2">
      <c r="A1909" s="24"/>
      <c r="B1909" s="24"/>
    </row>
    <row r="1910" spans="1:2">
      <c r="A1910" s="24"/>
      <c r="B1910" s="24"/>
    </row>
    <row r="1911" spans="1:2">
      <c r="A1911" s="24"/>
      <c r="B1911" s="24"/>
    </row>
    <row r="1912" spans="1:2">
      <c r="A1912" s="24"/>
      <c r="B1912" s="24"/>
    </row>
    <row r="1913" spans="1:2">
      <c r="A1913" s="24"/>
      <c r="B1913" s="24"/>
    </row>
    <row r="1914" spans="1:2">
      <c r="A1914" s="24"/>
      <c r="B1914" s="24"/>
    </row>
    <row r="1915" spans="1:2">
      <c r="A1915" s="24"/>
      <c r="B1915" s="24"/>
    </row>
    <row r="1916" spans="1:2">
      <c r="A1916" s="24"/>
      <c r="B1916" s="24"/>
    </row>
    <row r="1917" spans="1:2">
      <c r="A1917" s="24"/>
      <c r="B1917" s="24"/>
    </row>
    <row r="1918" spans="1:2">
      <c r="A1918" s="24"/>
      <c r="B1918" s="24"/>
    </row>
    <row r="1919" spans="1:2">
      <c r="A1919" s="24"/>
      <c r="B1919" s="24"/>
    </row>
    <row r="1920" spans="1:2">
      <c r="A1920" s="24"/>
      <c r="B1920" s="24"/>
    </row>
    <row r="1921" spans="1:2">
      <c r="A1921" s="24"/>
      <c r="B1921" s="24"/>
    </row>
    <row r="1922" spans="1:2">
      <c r="A1922" s="24"/>
      <c r="B1922" s="24"/>
    </row>
    <row r="1923" spans="1:2">
      <c r="A1923" s="24"/>
      <c r="B1923" s="24"/>
    </row>
    <row r="1924" spans="1:2">
      <c r="A1924" s="24"/>
      <c r="B1924" s="24"/>
    </row>
    <row r="1925" spans="1:2">
      <c r="A1925" s="24"/>
      <c r="B1925" s="24"/>
    </row>
    <row r="1926" spans="1:2">
      <c r="A1926" s="24"/>
      <c r="B1926" s="24"/>
    </row>
    <row r="1927" spans="1:2">
      <c r="A1927" s="24"/>
      <c r="B1927" s="24"/>
    </row>
    <row r="1928" spans="1:2">
      <c r="A1928" s="24"/>
      <c r="B1928" s="24"/>
    </row>
    <row r="1929" spans="1:2">
      <c r="A1929" s="24"/>
      <c r="B1929" s="24"/>
    </row>
    <row r="1930" spans="1:2">
      <c r="A1930" s="24"/>
      <c r="B1930" s="24"/>
    </row>
    <row r="1931" spans="1:2">
      <c r="A1931" s="24"/>
      <c r="B1931" s="24"/>
    </row>
    <row r="1932" spans="1:2">
      <c r="A1932" s="24"/>
      <c r="B1932" s="24"/>
    </row>
    <row r="1933" spans="1:2">
      <c r="A1933" s="24"/>
      <c r="B1933" s="24"/>
    </row>
    <row r="1934" spans="1:2">
      <c r="A1934" s="24"/>
      <c r="B1934" s="24"/>
    </row>
    <row r="1935" spans="1:2">
      <c r="A1935" s="24"/>
      <c r="B1935" s="24"/>
    </row>
    <row r="1936" spans="1:2">
      <c r="A1936" s="24"/>
      <c r="B1936" s="24"/>
    </row>
    <row r="1937" spans="1:2">
      <c r="A1937" s="24"/>
      <c r="B1937" s="24"/>
    </row>
    <row r="1938" spans="1:2">
      <c r="A1938" s="24"/>
      <c r="B1938" s="24"/>
    </row>
    <row r="1939" spans="1:2">
      <c r="A1939" s="24"/>
      <c r="B1939" s="24"/>
    </row>
    <row r="1940" spans="1:2">
      <c r="A1940" s="24"/>
      <c r="B1940" s="24"/>
    </row>
    <row r="1941" spans="1:2">
      <c r="A1941" s="24"/>
      <c r="B1941" s="24"/>
    </row>
    <row r="1942" spans="1:2">
      <c r="A1942" s="24"/>
      <c r="B1942" s="24"/>
    </row>
    <row r="1943" spans="1:2">
      <c r="A1943" s="24"/>
      <c r="B1943" s="24"/>
    </row>
    <row r="1944" spans="1:2">
      <c r="A1944" s="24"/>
      <c r="B1944" s="24"/>
    </row>
    <row r="1945" spans="1:2">
      <c r="A1945" s="24"/>
      <c r="B1945" s="24"/>
    </row>
    <row r="1946" spans="1:2">
      <c r="A1946" s="24"/>
      <c r="B1946" s="24"/>
    </row>
    <row r="1947" spans="1:2">
      <c r="A1947" s="24"/>
      <c r="B1947" s="24"/>
    </row>
    <row r="1948" spans="1:2">
      <c r="A1948" s="24"/>
      <c r="B1948" s="24"/>
    </row>
    <row r="1949" spans="1:2">
      <c r="A1949" s="24"/>
      <c r="B1949" s="24"/>
    </row>
    <row r="1950" spans="1:2">
      <c r="A1950" s="24"/>
      <c r="B1950" s="24"/>
    </row>
    <row r="1951" spans="1:2">
      <c r="A1951" s="24"/>
      <c r="B1951" s="24"/>
    </row>
    <row r="1952" spans="1:2">
      <c r="A1952" s="24"/>
      <c r="B1952" s="24"/>
    </row>
    <row r="1953" spans="1:2">
      <c r="A1953" s="24"/>
      <c r="B1953" s="24"/>
    </row>
    <row r="1954" spans="1:2">
      <c r="A1954" s="24"/>
      <c r="B1954" s="24"/>
    </row>
    <row r="1955" spans="1:2">
      <c r="A1955" s="24"/>
      <c r="B1955" s="24"/>
    </row>
    <row r="1956" spans="1:2">
      <c r="A1956" s="24"/>
      <c r="B1956" s="24"/>
    </row>
    <row r="1957" spans="1:2">
      <c r="A1957" s="24"/>
      <c r="B1957" s="24"/>
    </row>
    <row r="1958" spans="1:2">
      <c r="A1958" s="24"/>
      <c r="B1958" s="24"/>
    </row>
    <row r="1959" spans="1:2">
      <c r="A1959" s="24"/>
      <c r="B1959" s="24"/>
    </row>
    <row r="1960" spans="1:2">
      <c r="A1960" s="24"/>
      <c r="B1960" s="24"/>
    </row>
    <row r="1961" spans="1:2">
      <c r="A1961" s="24"/>
      <c r="B1961" s="24"/>
    </row>
    <row r="1962" spans="1:2">
      <c r="A1962" s="24"/>
      <c r="B1962" s="24"/>
    </row>
    <row r="1963" spans="1:2">
      <c r="A1963" s="24"/>
      <c r="B1963" s="24"/>
    </row>
    <row r="1964" spans="1:2">
      <c r="A1964" s="24"/>
      <c r="B1964" s="24"/>
    </row>
    <row r="1965" spans="1:2">
      <c r="A1965" s="24"/>
      <c r="B1965" s="24"/>
    </row>
    <row r="1966" spans="1:2">
      <c r="A1966" s="24"/>
      <c r="B1966" s="24"/>
    </row>
    <row r="1967" spans="1:2">
      <c r="A1967" s="24"/>
      <c r="B1967" s="24"/>
    </row>
    <row r="1968" spans="1:2">
      <c r="A1968" s="24"/>
      <c r="B1968" s="24"/>
    </row>
    <row r="1969" spans="1:2">
      <c r="A1969" s="24"/>
      <c r="B1969" s="24"/>
    </row>
    <row r="1970" spans="1:2">
      <c r="A1970" s="24"/>
      <c r="B1970" s="24"/>
    </row>
    <row r="1971" spans="1:2">
      <c r="A1971" s="24"/>
      <c r="B1971" s="24"/>
    </row>
    <row r="1972" spans="1:2">
      <c r="A1972" s="24"/>
      <c r="B1972" s="24"/>
    </row>
    <row r="1973" spans="1:2">
      <c r="A1973" s="24"/>
      <c r="B1973" s="24"/>
    </row>
    <row r="1974" spans="1:2">
      <c r="A1974" s="24"/>
      <c r="B1974" s="24"/>
    </row>
    <row r="1975" spans="1:2">
      <c r="A1975" s="24"/>
      <c r="B1975" s="24"/>
    </row>
    <row r="1976" spans="1:2">
      <c r="A1976" s="24"/>
      <c r="B1976" s="24"/>
    </row>
    <row r="1977" spans="1:2">
      <c r="A1977" s="24"/>
      <c r="B1977" s="24"/>
    </row>
    <row r="1978" spans="1:2">
      <c r="A1978" s="24"/>
      <c r="B1978" s="24"/>
    </row>
    <row r="1979" spans="1:2">
      <c r="A1979" s="24"/>
      <c r="B1979" s="24"/>
    </row>
    <row r="1980" spans="1:2">
      <c r="A1980" s="24"/>
      <c r="B1980" s="24"/>
    </row>
    <row r="1981" spans="1:2">
      <c r="A1981" s="24"/>
      <c r="B1981" s="24"/>
    </row>
    <row r="1982" spans="1:2">
      <c r="A1982" s="24"/>
      <c r="B1982" s="24"/>
    </row>
    <row r="1983" spans="1:2">
      <c r="A1983" s="24"/>
      <c r="B1983" s="24"/>
    </row>
    <row r="1984" spans="1:2">
      <c r="A1984" s="24"/>
      <c r="B1984" s="24"/>
    </row>
    <row r="1985" spans="1:2">
      <c r="A1985" s="24"/>
      <c r="B1985" s="24"/>
    </row>
    <row r="1986" spans="1:2">
      <c r="A1986" s="24"/>
      <c r="B1986" s="24"/>
    </row>
    <row r="1987" spans="1:2">
      <c r="A1987" s="24"/>
      <c r="B1987" s="24"/>
    </row>
    <row r="1988" spans="1:2">
      <c r="A1988" s="24"/>
      <c r="B1988" s="24"/>
    </row>
    <row r="1989" spans="1:2">
      <c r="A1989" s="24"/>
      <c r="B1989" s="24"/>
    </row>
    <row r="1990" spans="1:2">
      <c r="A1990" s="24"/>
      <c r="B1990" s="24"/>
    </row>
    <row r="1991" spans="1:2">
      <c r="A1991" s="24"/>
      <c r="B1991" s="24"/>
    </row>
    <row r="1992" spans="1:2">
      <c r="A1992" s="24"/>
      <c r="B1992" s="24"/>
    </row>
    <row r="1993" spans="1:2">
      <c r="A1993" s="24"/>
      <c r="B1993" s="24"/>
    </row>
    <row r="1994" spans="1:2">
      <c r="A1994" s="24"/>
      <c r="B1994" s="24"/>
    </row>
    <row r="1995" spans="1:2">
      <c r="A1995" s="24"/>
      <c r="B1995" s="24"/>
    </row>
    <row r="1996" spans="1:2">
      <c r="A1996" s="24"/>
      <c r="B1996" s="24"/>
    </row>
    <row r="1997" spans="1:2">
      <c r="A1997" s="24"/>
      <c r="B1997" s="24"/>
    </row>
    <row r="1998" spans="1:2">
      <c r="A1998" s="24"/>
      <c r="B1998" s="24"/>
    </row>
    <row r="1999" spans="1:2">
      <c r="A1999" s="24"/>
      <c r="B1999" s="24"/>
    </row>
    <row r="2000" spans="1:2">
      <c r="A2000" s="24"/>
      <c r="B2000" s="24"/>
    </row>
    <row r="2001" spans="1:2">
      <c r="A2001" s="24"/>
      <c r="B2001" s="24"/>
    </row>
    <row r="2002" spans="1:2">
      <c r="A2002" s="24"/>
      <c r="B2002" s="24"/>
    </row>
    <row r="2003" spans="1:2">
      <c r="A2003" s="24"/>
      <c r="B2003" s="24"/>
    </row>
    <row r="2004" spans="1:2">
      <c r="A2004" s="24"/>
      <c r="B2004" s="24"/>
    </row>
    <row r="2005" spans="1:2">
      <c r="A2005" s="24"/>
      <c r="B2005" s="24"/>
    </row>
    <row r="2006" spans="1:2">
      <c r="A2006" s="24"/>
      <c r="B2006" s="24"/>
    </row>
    <row r="2007" spans="1:2">
      <c r="A2007" s="24"/>
      <c r="B2007" s="24"/>
    </row>
    <row r="2008" spans="1:2">
      <c r="A2008" s="24"/>
      <c r="B2008" s="24"/>
    </row>
    <row r="2009" spans="1:2">
      <c r="A2009" s="24"/>
      <c r="B2009" s="24"/>
    </row>
    <row r="2010" spans="1:2">
      <c r="A2010" s="24"/>
      <c r="B2010" s="24"/>
    </row>
    <row r="2011" spans="1:2">
      <c r="A2011" s="24"/>
      <c r="B2011" s="24"/>
    </row>
    <row r="2012" spans="1:2">
      <c r="A2012" s="24"/>
      <c r="B2012" s="24"/>
    </row>
    <row r="2013" spans="1:2">
      <c r="A2013" s="24"/>
      <c r="B2013" s="24"/>
    </row>
    <row r="2014" spans="1:2">
      <c r="A2014" s="24"/>
      <c r="B2014" s="24"/>
    </row>
    <row r="2015" spans="1:2">
      <c r="A2015" s="24"/>
      <c r="B2015" s="24"/>
    </row>
    <row r="2016" spans="1:2">
      <c r="A2016" s="24"/>
      <c r="B2016" s="24"/>
    </row>
    <row r="2017" spans="1:2">
      <c r="A2017" s="24"/>
      <c r="B2017" s="24"/>
    </row>
    <row r="2018" spans="1:2">
      <c r="A2018" s="24"/>
      <c r="B2018" s="24"/>
    </row>
    <row r="2019" spans="1:2">
      <c r="A2019" s="24"/>
      <c r="B2019" s="24"/>
    </row>
    <row r="2020" spans="1:2">
      <c r="A2020" s="24"/>
      <c r="B2020" s="24"/>
    </row>
    <row r="2021" spans="1:2">
      <c r="A2021" s="24"/>
      <c r="B2021" s="24"/>
    </row>
    <row r="2022" spans="1:2">
      <c r="A2022" s="24"/>
      <c r="B2022" s="24"/>
    </row>
    <row r="2023" spans="1:2">
      <c r="A2023" s="24"/>
      <c r="B2023" s="24"/>
    </row>
    <row r="2024" spans="1:2">
      <c r="A2024" s="24"/>
      <c r="B2024" s="24"/>
    </row>
    <row r="2025" spans="1:2">
      <c r="A2025" s="24"/>
      <c r="B2025" s="24"/>
    </row>
    <row r="2026" spans="1:2">
      <c r="A2026" s="24"/>
      <c r="B2026" s="24"/>
    </row>
    <row r="2027" spans="1:2">
      <c r="A2027" s="24"/>
      <c r="B2027" s="24"/>
    </row>
    <row r="2028" spans="1:2">
      <c r="A2028" s="24"/>
      <c r="B2028" s="24"/>
    </row>
    <row r="2029" spans="1:2">
      <c r="A2029" s="24"/>
      <c r="B2029" s="24"/>
    </row>
    <row r="2030" spans="1:2">
      <c r="A2030" s="24"/>
      <c r="B2030" s="24"/>
    </row>
    <row r="2031" spans="1:2">
      <c r="A2031" s="24"/>
      <c r="B2031" s="24"/>
    </row>
    <row r="2032" spans="1:2">
      <c r="A2032" s="24"/>
      <c r="B2032" s="24"/>
    </row>
    <row r="2033" spans="1:2">
      <c r="A2033" s="24"/>
      <c r="B2033" s="24"/>
    </row>
    <row r="2034" spans="1:2">
      <c r="A2034" s="24"/>
      <c r="B2034" s="24"/>
    </row>
    <row r="2035" spans="1:2">
      <c r="A2035" s="24"/>
      <c r="B2035" s="24"/>
    </row>
    <row r="2036" spans="1:2">
      <c r="A2036" s="24"/>
      <c r="B2036" s="24"/>
    </row>
    <row r="2037" spans="1:2">
      <c r="A2037" s="24"/>
      <c r="B2037" s="24"/>
    </row>
    <row r="2038" spans="1:2">
      <c r="A2038" s="24"/>
      <c r="B2038" s="24"/>
    </row>
    <row r="2039" spans="1:2">
      <c r="A2039" s="24"/>
      <c r="B2039" s="24"/>
    </row>
    <row r="2040" spans="1:2">
      <c r="A2040" s="24"/>
      <c r="B2040" s="24"/>
    </row>
    <row r="2041" spans="1:2">
      <c r="A2041" s="24"/>
      <c r="B2041" s="24"/>
    </row>
    <row r="2042" spans="1:2">
      <c r="A2042" s="24"/>
      <c r="B2042" s="24"/>
    </row>
    <row r="2043" spans="1:2">
      <c r="A2043" s="24"/>
      <c r="B2043" s="24"/>
    </row>
    <row r="2044" spans="1:2">
      <c r="A2044" s="24"/>
      <c r="B2044" s="24"/>
    </row>
    <row r="2045" spans="1:2">
      <c r="A2045" s="24"/>
      <c r="B2045" s="24"/>
    </row>
    <row r="2046" spans="1:2">
      <c r="A2046" s="24"/>
      <c r="B2046" s="24"/>
    </row>
    <row r="2047" spans="1:2">
      <c r="A2047" s="24"/>
      <c r="B2047" s="24"/>
    </row>
  </sheetData>
  <autoFilter ref="A2:J2047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695"/>
  <sheetViews>
    <sheetView zoomScale="80" zoomScaleNormal="80" workbookViewId="0">
      <pane xSplit="4" ySplit="5" topLeftCell="E903" activePane="bottomRight" state="frozen"/>
      <selection pane="topRight" activeCell="E1" sqref="E1"/>
      <selection pane="bottomLeft" activeCell="A6" sqref="A6"/>
      <selection pane="bottomRight" activeCell="B5" sqref="B5:I905"/>
    </sheetView>
  </sheetViews>
  <sheetFormatPr defaultRowHeight="16.5"/>
  <cols>
    <col min="1" max="1" width="15.75" style="3" customWidth="1"/>
    <col min="2" max="2" width="15.75" style="5" bestFit="1" customWidth="1"/>
    <col min="3" max="3" width="7.75" style="3" customWidth="1"/>
    <col min="4" max="4" width="9.5" style="3" customWidth="1"/>
    <col min="5" max="7" width="12.125" style="3" customWidth="1"/>
    <col min="8" max="8" width="9.375" style="3" customWidth="1"/>
    <col min="9" max="9" width="11.125" style="3" customWidth="1"/>
  </cols>
  <sheetData>
    <row r="1" spans="1:9">
      <c r="A1"/>
      <c r="B1"/>
      <c r="G1" s="4"/>
    </row>
    <row r="2" spans="1:9">
      <c r="G2" s="4"/>
    </row>
    <row r="3" spans="1:9">
      <c r="A3" s="9"/>
      <c r="B3" s="12"/>
      <c r="C3" s="12"/>
      <c r="D3" s="8" t="s">
        <v>17</v>
      </c>
      <c r="E3" s="12"/>
      <c r="F3" s="14"/>
      <c r="G3" s="12"/>
      <c r="H3" s="12"/>
      <c r="I3" s="15"/>
    </row>
    <row r="4" spans="1:9">
      <c r="A4" s="8" t="s">
        <v>42</v>
      </c>
      <c r="B4" s="8" t="s">
        <v>0</v>
      </c>
      <c r="C4" s="8" t="s">
        <v>13</v>
      </c>
      <c r="D4" s="9" t="s">
        <v>776</v>
      </c>
      <c r="E4" s="10" t="s">
        <v>778</v>
      </c>
      <c r="F4" s="10" t="s">
        <v>777</v>
      </c>
      <c r="G4" s="10" t="s">
        <v>779</v>
      </c>
      <c r="H4" s="10" t="s">
        <v>40</v>
      </c>
      <c r="I4" s="11" t="s">
        <v>41</v>
      </c>
    </row>
    <row r="5" spans="1:9">
      <c r="A5" s="9">
        <v>1</v>
      </c>
      <c r="B5" s="9" t="s">
        <v>797</v>
      </c>
      <c r="C5" s="9" t="s">
        <v>14</v>
      </c>
      <c r="D5" s="21">
        <v>500</v>
      </c>
      <c r="E5" s="18">
        <v>22500000</v>
      </c>
      <c r="F5" s="18">
        <v>5010000</v>
      </c>
      <c r="G5" s="18">
        <v>4.0827436037016875</v>
      </c>
      <c r="H5" s="18">
        <v>500</v>
      </c>
      <c r="I5" s="16">
        <v>0</v>
      </c>
    </row>
    <row r="6" spans="1:9">
      <c r="A6" s="9">
        <v>2</v>
      </c>
      <c r="B6" s="9" t="s">
        <v>798</v>
      </c>
      <c r="C6" s="9" t="s">
        <v>14</v>
      </c>
      <c r="D6" s="21">
        <v>500</v>
      </c>
      <c r="E6" s="18">
        <v>22500000</v>
      </c>
      <c r="F6" s="18">
        <v>5010000</v>
      </c>
      <c r="G6" s="18">
        <v>4.0827436037016875</v>
      </c>
      <c r="H6" s="18">
        <v>500</v>
      </c>
      <c r="I6" s="16">
        <v>0</v>
      </c>
    </row>
    <row r="7" spans="1:9">
      <c r="A7" s="9">
        <v>3</v>
      </c>
      <c r="B7" s="9" t="s">
        <v>799</v>
      </c>
      <c r="C7" s="9" t="s">
        <v>14</v>
      </c>
      <c r="D7" s="21">
        <v>500</v>
      </c>
      <c r="E7" s="18">
        <v>22500000</v>
      </c>
      <c r="F7" s="18">
        <v>5010000</v>
      </c>
      <c r="G7" s="18">
        <v>4.0827436037016875</v>
      </c>
      <c r="H7" s="18">
        <v>500</v>
      </c>
      <c r="I7" s="16">
        <v>0</v>
      </c>
    </row>
    <row r="8" spans="1:9">
      <c r="A8" s="9">
        <v>4</v>
      </c>
      <c r="B8" s="9" t="s">
        <v>800</v>
      </c>
      <c r="C8" s="9" t="s">
        <v>14</v>
      </c>
      <c r="D8" s="21">
        <v>500</v>
      </c>
      <c r="E8" s="18">
        <v>22500000</v>
      </c>
      <c r="F8" s="18">
        <v>5010000</v>
      </c>
      <c r="G8" s="18">
        <v>4.0827436037016875</v>
      </c>
      <c r="H8" s="18">
        <v>500</v>
      </c>
      <c r="I8" s="16">
        <v>0</v>
      </c>
    </row>
    <row r="9" spans="1:9">
      <c r="A9" s="9">
        <v>6</v>
      </c>
      <c r="B9" s="9" t="s">
        <v>801</v>
      </c>
      <c r="C9" s="9" t="s">
        <v>15</v>
      </c>
      <c r="D9" s="21">
        <v>360</v>
      </c>
      <c r="E9" s="18">
        <v>12600000</v>
      </c>
      <c r="F9" s="18">
        <v>3436363.6363636358</v>
      </c>
      <c r="G9" s="18">
        <v>3.3333333333333339</v>
      </c>
      <c r="H9" s="18">
        <v>0</v>
      </c>
      <c r="I9" s="16">
        <v>360</v>
      </c>
    </row>
    <row r="10" spans="1:9">
      <c r="A10" s="9">
        <v>7</v>
      </c>
      <c r="B10" s="9" t="s">
        <v>802</v>
      </c>
      <c r="C10" s="9" t="s">
        <v>15</v>
      </c>
      <c r="D10" s="21">
        <v>480</v>
      </c>
      <c r="E10" s="18">
        <v>13920000</v>
      </c>
      <c r="F10" s="18">
        <v>3796363.6363636358</v>
      </c>
      <c r="G10" s="18">
        <v>3.3333333333333339</v>
      </c>
      <c r="H10" s="18">
        <v>0</v>
      </c>
      <c r="I10" s="16">
        <v>480</v>
      </c>
    </row>
    <row r="11" spans="1:9">
      <c r="A11" s="9">
        <v>8</v>
      </c>
      <c r="B11" s="9" t="s">
        <v>803</v>
      </c>
      <c r="C11" s="9" t="s">
        <v>15</v>
      </c>
      <c r="D11" s="21">
        <v>480</v>
      </c>
      <c r="E11" s="18">
        <v>13920000</v>
      </c>
      <c r="F11" s="18">
        <v>3796363.6363636358</v>
      </c>
      <c r="G11" s="18">
        <v>3.3333333333333339</v>
      </c>
      <c r="H11" s="18">
        <v>0</v>
      </c>
      <c r="I11" s="16">
        <v>480</v>
      </c>
    </row>
    <row r="12" spans="1:9">
      <c r="A12" s="9">
        <v>9</v>
      </c>
      <c r="B12" s="9" t="s">
        <v>804</v>
      </c>
      <c r="C12" s="9" t="s">
        <v>15</v>
      </c>
      <c r="D12" s="21">
        <v>240</v>
      </c>
      <c r="E12" s="18">
        <v>14160000</v>
      </c>
      <c r="F12" s="18">
        <v>3861818.1818181816</v>
      </c>
      <c r="G12" s="18">
        <v>3.3333333333333335</v>
      </c>
      <c r="H12" s="18">
        <v>0</v>
      </c>
      <c r="I12" s="16">
        <v>240</v>
      </c>
    </row>
    <row r="13" spans="1:9">
      <c r="A13" s="9">
        <v>10</v>
      </c>
      <c r="B13" s="9" t="s">
        <v>805</v>
      </c>
      <c r="C13" s="9" t="s">
        <v>15</v>
      </c>
      <c r="D13" s="21">
        <v>360</v>
      </c>
      <c r="E13" s="18">
        <v>9000000</v>
      </c>
      <c r="F13" s="18">
        <v>2454545.4545454546</v>
      </c>
      <c r="G13" s="18">
        <v>3.3333333333333326</v>
      </c>
      <c r="H13" s="18">
        <v>0</v>
      </c>
      <c r="I13" s="16">
        <v>360</v>
      </c>
    </row>
    <row r="14" spans="1:9">
      <c r="A14" s="9">
        <v>11</v>
      </c>
      <c r="B14" s="9" t="s">
        <v>806</v>
      </c>
      <c r="C14" s="9" t="s">
        <v>15</v>
      </c>
      <c r="D14" s="21">
        <v>360</v>
      </c>
      <c r="E14" s="18">
        <v>14040000</v>
      </c>
      <c r="F14" s="18">
        <v>3829090.9090909092</v>
      </c>
      <c r="G14" s="18">
        <v>3.3333333333333335</v>
      </c>
      <c r="H14" s="18">
        <v>0</v>
      </c>
      <c r="I14" s="16">
        <v>360</v>
      </c>
    </row>
    <row r="15" spans="1:9">
      <c r="A15" s="9">
        <v>12</v>
      </c>
      <c r="B15" s="9" t="s">
        <v>807</v>
      </c>
      <c r="C15" s="9" t="s">
        <v>15</v>
      </c>
      <c r="D15" s="21">
        <v>240</v>
      </c>
      <c r="E15" s="18">
        <v>9360000</v>
      </c>
      <c r="F15" s="18">
        <v>2552727.2727272725</v>
      </c>
      <c r="G15" s="18">
        <v>3.3333333333333335</v>
      </c>
      <c r="H15" s="18">
        <v>0</v>
      </c>
      <c r="I15" s="16">
        <v>240</v>
      </c>
    </row>
    <row r="16" spans="1:9">
      <c r="A16" s="9">
        <v>13</v>
      </c>
      <c r="B16" s="9" t="s">
        <v>808</v>
      </c>
      <c r="C16" s="9" t="s">
        <v>15</v>
      </c>
      <c r="D16" s="21">
        <v>360</v>
      </c>
      <c r="E16" s="18">
        <v>14040000</v>
      </c>
      <c r="F16" s="18">
        <v>3829090.9090909092</v>
      </c>
      <c r="G16" s="18">
        <v>3.3333333333333335</v>
      </c>
      <c r="H16" s="18">
        <v>0</v>
      </c>
      <c r="I16" s="16">
        <v>360</v>
      </c>
    </row>
    <row r="17" spans="1:9">
      <c r="A17" s="9">
        <v>14</v>
      </c>
      <c r="B17" s="9" t="s">
        <v>809</v>
      </c>
      <c r="C17" s="9" t="s">
        <v>15</v>
      </c>
      <c r="D17" s="21">
        <v>360</v>
      </c>
      <c r="E17" s="18">
        <v>14040000</v>
      </c>
      <c r="F17" s="18">
        <v>3829090.9090909092</v>
      </c>
      <c r="G17" s="18">
        <v>3.3333333333333335</v>
      </c>
      <c r="H17" s="18">
        <v>0</v>
      </c>
      <c r="I17" s="16">
        <v>360</v>
      </c>
    </row>
    <row r="18" spans="1:9">
      <c r="A18" s="9">
        <v>15</v>
      </c>
      <c r="B18" s="9" t="s">
        <v>810</v>
      </c>
      <c r="C18" s="9" t="s">
        <v>15</v>
      </c>
      <c r="D18" s="21">
        <v>480</v>
      </c>
      <c r="E18" s="18">
        <v>18720000</v>
      </c>
      <c r="F18" s="18">
        <v>5105454.5454545449</v>
      </c>
      <c r="G18" s="18">
        <v>3.3333333333333335</v>
      </c>
      <c r="H18" s="18">
        <v>0</v>
      </c>
      <c r="I18" s="16">
        <v>480</v>
      </c>
    </row>
    <row r="19" spans="1:9">
      <c r="A19" s="9">
        <v>16</v>
      </c>
      <c r="B19" s="9" t="s">
        <v>811</v>
      </c>
      <c r="C19" s="9" t="s">
        <v>15</v>
      </c>
      <c r="D19" s="21">
        <v>480</v>
      </c>
      <c r="E19" s="18">
        <v>18720000</v>
      </c>
      <c r="F19" s="18">
        <v>5105454.5454545449</v>
      </c>
      <c r="G19" s="18">
        <v>3.3333333333333335</v>
      </c>
      <c r="H19" s="18">
        <v>0</v>
      </c>
      <c r="I19" s="16">
        <v>480</v>
      </c>
    </row>
    <row r="20" spans="1:9">
      <c r="A20" s="9">
        <v>17</v>
      </c>
      <c r="B20" s="9" t="s">
        <v>812</v>
      </c>
      <c r="C20" s="9" t="s">
        <v>15</v>
      </c>
      <c r="D20" s="21">
        <v>480</v>
      </c>
      <c r="E20" s="18">
        <v>18720000</v>
      </c>
      <c r="F20" s="18">
        <v>5105454.5454545449</v>
      </c>
      <c r="G20" s="18">
        <v>3.3333333333333335</v>
      </c>
      <c r="H20" s="18">
        <v>0</v>
      </c>
      <c r="I20" s="16">
        <v>480</v>
      </c>
    </row>
    <row r="21" spans="1:9">
      <c r="A21" s="9">
        <v>18</v>
      </c>
      <c r="B21" s="9" t="s">
        <v>813</v>
      </c>
      <c r="C21" s="9" t="s">
        <v>15</v>
      </c>
      <c r="D21" s="21">
        <v>360</v>
      </c>
      <c r="E21" s="18">
        <v>14040000</v>
      </c>
      <c r="F21" s="18">
        <v>3829090.9090909092</v>
      </c>
      <c r="G21" s="18">
        <v>3.3333333333333335</v>
      </c>
      <c r="H21" s="18">
        <v>0</v>
      </c>
      <c r="I21" s="16">
        <v>360</v>
      </c>
    </row>
    <row r="22" spans="1:9">
      <c r="A22" s="9">
        <v>19</v>
      </c>
      <c r="B22" s="9" t="s">
        <v>814</v>
      </c>
      <c r="C22" s="9" t="s">
        <v>15</v>
      </c>
      <c r="D22" s="21">
        <v>240</v>
      </c>
      <c r="E22" s="18">
        <v>13200000</v>
      </c>
      <c r="F22" s="18">
        <v>3599999.9999999995</v>
      </c>
      <c r="G22" s="18">
        <v>3.3333333333333335</v>
      </c>
      <c r="H22" s="18">
        <v>0</v>
      </c>
      <c r="I22" s="16">
        <v>240</v>
      </c>
    </row>
    <row r="23" spans="1:9">
      <c r="A23" s="9">
        <v>20</v>
      </c>
      <c r="B23" s="9" t="s">
        <v>815</v>
      </c>
      <c r="C23" s="9" t="s">
        <v>15</v>
      </c>
      <c r="D23" s="21">
        <v>240</v>
      </c>
      <c r="E23" s="18">
        <v>13200000</v>
      </c>
      <c r="F23" s="18">
        <v>3599999.9999999995</v>
      </c>
      <c r="G23" s="18">
        <v>3.3333333333333335</v>
      </c>
      <c r="H23" s="18">
        <v>0</v>
      </c>
      <c r="I23" s="16">
        <v>240</v>
      </c>
    </row>
    <row r="24" spans="1:9">
      <c r="A24" s="9">
        <v>21</v>
      </c>
      <c r="B24" s="9" t="s">
        <v>816</v>
      </c>
      <c r="C24" s="9" t="s">
        <v>15</v>
      </c>
      <c r="D24" s="21">
        <v>120</v>
      </c>
      <c r="E24" s="18">
        <v>4200000</v>
      </c>
      <c r="F24" s="18">
        <v>1145454.5454545454</v>
      </c>
      <c r="G24" s="18">
        <v>3.3333333333333335</v>
      </c>
      <c r="H24" s="18">
        <v>0</v>
      </c>
      <c r="I24" s="16">
        <v>120</v>
      </c>
    </row>
    <row r="25" spans="1:9">
      <c r="A25" s="9">
        <v>22</v>
      </c>
      <c r="B25" s="9" t="s">
        <v>817</v>
      </c>
      <c r="C25" s="9" t="s">
        <v>15</v>
      </c>
      <c r="D25" s="21">
        <v>120</v>
      </c>
      <c r="E25" s="18">
        <v>4200000</v>
      </c>
      <c r="F25" s="18">
        <v>1145454.5454545454</v>
      </c>
      <c r="G25" s="18">
        <v>3.3333333333333335</v>
      </c>
      <c r="H25" s="18">
        <v>0</v>
      </c>
      <c r="I25" s="16">
        <v>120</v>
      </c>
    </row>
    <row r="26" spans="1:9">
      <c r="A26" s="9">
        <v>24</v>
      </c>
      <c r="B26" s="9" t="s">
        <v>818</v>
      </c>
      <c r="C26" s="9" t="s">
        <v>14</v>
      </c>
      <c r="D26" s="21">
        <v>500</v>
      </c>
      <c r="E26" s="18">
        <v>19500000</v>
      </c>
      <c r="F26" s="18">
        <v>4157605.0000000005</v>
      </c>
      <c r="G26" s="18">
        <v>4.2638184068165987</v>
      </c>
      <c r="H26" s="18">
        <v>0</v>
      </c>
      <c r="I26" s="16">
        <v>500</v>
      </c>
    </row>
    <row r="27" spans="1:9">
      <c r="A27" s="9">
        <v>25</v>
      </c>
      <c r="B27" s="9" t="s">
        <v>819</v>
      </c>
      <c r="C27" s="9" t="s">
        <v>14</v>
      </c>
      <c r="D27" s="21">
        <v>500</v>
      </c>
      <c r="E27" s="18">
        <v>19500000</v>
      </c>
      <c r="F27" s="18">
        <v>4157605.0000000005</v>
      </c>
      <c r="G27" s="18">
        <v>4.2638184068165987</v>
      </c>
      <c r="H27" s="18">
        <v>0</v>
      </c>
      <c r="I27" s="16">
        <v>500</v>
      </c>
    </row>
    <row r="28" spans="1:9">
      <c r="A28" s="9">
        <v>26</v>
      </c>
      <c r="B28" s="9" t="s">
        <v>820</v>
      </c>
      <c r="C28" s="9" t="s">
        <v>14</v>
      </c>
      <c r="D28" s="21">
        <v>500</v>
      </c>
      <c r="E28" s="18">
        <v>14500000</v>
      </c>
      <c r="F28" s="18">
        <v>2592005</v>
      </c>
      <c r="G28" s="18">
        <v>5.0855681921208413</v>
      </c>
      <c r="H28" s="18">
        <v>0</v>
      </c>
      <c r="I28" s="16">
        <v>500</v>
      </c>
    </row>
    <row r="29" spans="1:9">
      <c r="A29" s="9">
        <v>27</v>
      </c>
      <c r="B29" s="9" t="s">
        <v>821</v>
      </c>
      <c r="C29" s="9" t="s">
        <v>14</v>
      </c>
      <c r="D29" s="21">
        <v>500</v>
      </c>
      <c r="E29" s="18">
        <v>14500000</v>
      </c>
      <c r="F29" s="18">
        <v>2592005</v>
      </c>
      <c r="G29" s="18">
        <v>5.0855681921208413</v>
      </c>
      <c r="H29" s="18">
        <v>0</v>
      </c>
      <c r="I29" s="16">
        <v>500</v>
      </c>
    </row>
    <row r="30" spans="1:9">
      <c r="A30" s="9">
        <v>28</v>
      </c>
      <c r="B30" s="9" t="s">
        <v>822</v>
      </c>
      <c r="C30" s="9" t="s">
        <v>14</v>
      </c>
      <c r="D30" s="21">
        <v>1000</v>
      </c>
      <c r="E30" s="18">
        <v>55000000</v>
      </c>
      <c r="F30" s="18">
        <v>8795510.0000000019</v>
      </c>
      <c r="G30" s="18">
        <v>5.6847186803266645</v>
      </c>
      <c r="H30" s="18">
        <v>0</v>
      </c>
      <c r="I30" s="16">
        <v>1000</v>
      </c>
    </row>
    <row r="31" spans="1:9">
      <c r="A31" s="9">
        <v>29</v>
      </c>
      <c r="B31" s="9" t="s">
        <v>823</v>
      </c>
      <c r="C31" s="9" t="s">
        <v>14</v>
      </c>
      <c r="D31" s="21">
        <v>1000</v>
      </c>
      <c r="E31" s="18">
        <v>49000000</v>
      </c>
      <c r="F31" s="18">
        <v>8633510.0000000019</v>
      </c>
      <c r="G31" s="18">
        <v>5.1595995771655474</v>
      </c>
      <c r="H31" s="18">
        <v>0</v>
      </c>
      <c r="I31" s="16">
        <v>1000</v>
      </c>
    </row>
    <row r="32" spans="1:9">
      <c r="A32" s="9">
        <v>31</v>
      </c>
      <c r="B32" s="9" t="s">
        <v>824</v>
      </c>
      <c r="C32" s="9" t="s">
        <v>14</v>
      </c>
      <c r="D32" s="21">
        <v>1000</v>
      </c>
      <c r="E32" s="18">
        <v>39000000</v>
      </c>
      <c r="F32" s="18">
        <v>6186444</v>
      </c>
      <c r="G32" s="18">
        <v>5.7310056398385649</v>
      </c>
      <c r="H32" s="18">
        <v>0</v>
      </c>
      <c r="I32" s="16">
        <v>1000</v>
      </c>
    </row>
    <row r="33" spans="1:9">
      <c r="A33" s="9">
        <v>32</v>
      </c>
      <c r="B33" s="9" t="s">
        <v>825</v>
      </c>
      <c r="C33" s="9" t="s">
        <v>14</v>
      </c>
      <c r="D33" s="21">
        <v>1000</v>
      </c>
      <c r="E33" s="18">
        <v>39000000</v>
      </c>
      <c r="F33" s="18">
        <v>6186444</v>
      </c>
      <c r="G33" s="18">
        <v>5.7310056398385649</v>
      </c>
      <c r="H33" s="18">
        <v>0</v>
      </c>
      <c r="I33" s="16">
        <v>1000</v>
      </c>
    </row>
    <row r="34" spans="1:9">
      <c r="A34" s="9">
        <v>33</v>
      </c>
      <c r="B34" s="9" t="s">
        <v>826</v>
      </c>
      <c r="C34" s="9" t="s">
        <v>14</v>
      </c>
      <c r="D34" s="21">
        <v>1500</v>
      </c>
      <c r="E34" s="18">
        <v>64500000</v>
      </c>
      <c r="F34" s="18">
        <v>10197495.000000002</v>
      </c>
      <c r="G34" s="18">
        <v>5.7500752524383305</v>
      </c>
      <c r="H34" s="18">
        <v>0</v>
      </c>
      <c r="I34" s="16">
        <v>1500</v>
      </c>
    </row>
    <row r="35" spans="1:9">
      <c r="A35" s="9">
        <v>34</v>
      </c>
      <c r="B35" s="9" t="s">
        <v>827</v>
      </c>
      <c r="C35" s="9" t="s">
        <v>14</v>
      </c>
      <c r="D35" s="21">
        <v>1500</v>
      </c>
      <c r="E35" s="18">
        <v>64500000</v>
      </c>
      <c r="F35" s="18">
        <v>10197495.000000002</v>
      </c>
      <c r="G35" s="18">
        <v>5.7500752524383305</v>
      </c>
      <c r="H35" s="18">
        <v>0</v>
      </c>
      <c r="I35" s="16">
        <v>1500</v>
      </c>
    </row>
    <row r="36" spans="1:9">
      <c r="A36" s="9">
        <v>35</v>
      </c>
      <c r="B36" s="9" t="s">
        <v>828</v>
      </c>
      <c r="C36" s="9" t="s">
        <v>14</v>
      </c>
      <c r="D36" s="21">
        <v>1000</v>
      </c>
      <c r="E36" s="18">
        <v>43000000</v>
      </c>
      <c r="F36" s="18">
        <v>6798330.0000000009</v>
      </c>
      <c r="G36" s="18">
        <v>5.7500752524383314</v>
      </c>
      <c r="H36" s="18">
        <v>0</v>
      </c>
      <c r="I36" s="16">
        <v>1000</v>
      </c>
    </row>
    <row r="37" spans="1:9">
      <c r="A37" s="9">
        <v>36</v>
      </c>
      <c r="B37" s="9" t="s">
        <v>829</v>
      </c>
      <c r="C37" s="9" t="s">
        <v>14</v>
      </c>
      <c r="D37" s="21">
        <v>800</v>
      </c>
      <c r="E37" s="18">
        <v>31200000</v>
      </c>
      <c r="F37" s="18">
        <v>6160560.0000000009</v>
      </c>
      <c r="G37" s="18">
        <v>4.6040678710435996</v>
      </c>
      <c r="H37" s="18">
        <v>0</v>
      </c>
      <c r="I37" s="16">
        <v>800</v>
      </c>
    </row>
    <row r="38" spans="1:9">
      <c r="A38" s="9">
        <v>37</v>
      </c>
      <c r="B38" s="9" t="s">
        <v>830</v>
      </c>
      <c r="C38" s="9" t="s">
        <v>14</v>
      </c>
      <c r="D38" s="21">
        <v>1000</v>
      </c>
      <c r="E38" s="18">
        <v>65000000</v>
      </c>
      <c r="F38" s="18">
        <v>6752143.9999999991</v>
      </c>
      <c r="G38" s="18">
        <v>8.7514290410437177</v>
      </c>
      <c r="H38" s="18">
        <v>0</v>
      </c>
      <c r="I38" s="16">
        <v>1000</v>
      </c>
    </row>
    <row r="39" spans="1:9">
      <c r="A39" s="9">
        <v>38</v>
      </c>
      <c r="B39" s="9" t="s">
        <v>831</v>
      </c>
      <c r="C39" s="9" t="s">
        <v>14</v>
      </c>
      <c r="D39" s="21">
        <v>1000</v>
      </c>
      <c r="E39" s="18">
        <v>65000000</v>
      </c>
      <c r="F39" s="18">
        <v>6752143.9999999991</v>
      </c>
      <c r="G39" s="18">
        <v>8.7514290410437177</v>
      </c>
      <c r="H39" s="18">
        <v>0</v>
      </c>
      <c r="I39" s="16">
        <v>1000</v>
      </c>
    </row>
    <row r="40" spans="1:9">
      <c r="A40" s="9">
        <v>40</v>
      </c>
      <c r="B40" s="9" t="s">
        <v>832</v>
      </c>
      <c r="C40" s="9" t="s">
        <v>14</v>
      </c>
      <c r="D40" s="21">
        <v>1000</v>
      </c>
      <c r="E40" s="18">
        <v>39000000</v>
      </c>
      <c r="F40" s="18">
        <v>4783750</v>
      </c>
      <c r="G40" s="18">
        <v>7.4114544979452219</v>
      </c>
      <c r="H40" s="18">
        <v>0</v>
      </c>
      <c r="I40" s="16">
        <v>1000</v>
      </c>
    </row>
    <row r="41" spans="1:9">
      <c r="A41" s="9">
        <v>41</v>
      </c>
      <c r="B41" s="9" t="s">
        <v>833</v>
      </c>
      <c r="C41" s="9" t="s">
        <v>14</v>
      </c>
      <c r="D41" s="21">
        <v>1000</v>
      </c>
      <c r="E41" s="18">
        <v>39000000</v>
      </c>
      <c r="F41" s="18">
        <v>4783750</v>
      </c>
      <c r="G41" s="18">
        <v>7.4114544979452219</v>
      </c>
      <c r="H41" s="18">
        <v>0</v>
      </c>
      <c r="I41" s="16">
        <v>1000</v>
      </c>
    </row>
    <row r="42" spans="1:9">
      <c r="A42" s="9">
        <v>42</v>
      </c>
      <c r="B42" s="9" t="s">
        <v>834</v>
      </c>
      <c r="C42" s="9" t="s">
        <v>14</v>
      </c>
      <c r="D42" s="21">
        <v>1500</v>
      </c>
      <c r="E42" s="18">
        <v>58500000</v>
      </c>
      <c r="F42" s="18">
        <v>6710850.0000000009</v>
      </c>
      <c r="G42" s="18">
        <v>7.9247514371231915</v>
      </c>
      <c r="H42" s="18">
        <v>0</v>
      </c>
      <c r="I42" s="16">
        <v>1500</v>
      </c>
    </row>
    <row r="43" spans="1:9">
      <c r="A43" s="9">
        <v>43</v>
      </c>
      <c r="B43" s="9" t="s">
        <v>835</v>
      </c>
      <c r="C43" s="9" t="s">
        <v>14</v>
      </c>
      <c r="D43" s="21">
        <v>1500</v>
      </c>
      <c r="E43" s="18">
        <v>58500000</v>
      </c>
      <c r="F43" s="18">
        <v>6710850.0000000009</v>
      </c>
      <c r="G43" s="18">
        <v>7.9247514371231915</v>
      </c>
      <c r="H43" s="18">
        <v>0</v>
      </c>
      <c r="I43" s="16">
        <v>1500</v>
      </c>
    </row>
    <row r="44" spans="1:9">
      <c r="A44" s="9">
        <v>44</v>
      </c>
      <c r="B44" s="9" t="s">
        <v>836</v>
      </c>
      <c r="C44" s="9" t="s">
        <v>14</v>
      </c>
      <c r="D44" s="21">
        <v>1000</v>
      </c>
      <c r="E44" s="18">
        <v>45000000</v>
      </c>
      <c r="F44" s="18">
        <v>7216180.0000000009</v>
      </c>
      <c r="G44" s="18">
        <v>5.6690785026275536</v>
      </c>
      <c r="H44" s="18">
        <v>0</v>
      </c>
      <c r="I44" s="16">
        <v>1000</v>
      </c>
    </row>
    <row r="45" spans="1:9">
      <c r="A45" s="9">
        <v>45</v>
      </c>
      <c r="B45" s="9" t="s">
        <v>837</v>
      </c>
      <c r="C45" s="9" t="s">
        <v>14</v>
      </c>
      <c r="D45" s="21">
        <v>2000</v>
      </c>
      <c r="E45" s="18">
        <v>78000000</v>
      </c>
      <c r="F45" s="18">
        <v>9696240</v>
      </c>
      <c r="G45" s="18">
        <v>7.3130503070356045</v>
      </c>
      <c r="H45" s="18">
        <v>0</v>
      </c>
      <c r="I45" s="16">
        <v>2000</v>
      </c>
    </row>
    <row r="46" spans="1:9">
      <c r="A46" s="9">
        <v>46</v>
      </c>
      <c r="B46" s="9" t="s">
        <v>838</v>
      </c>
      <c r="C46" s="9" t="s">
        <v>14</v>
      </c>
      <c r="D46" s="21">
        <v>1500</v>
      </c>
      <c r="E46" s="18">
        <v>58500000</v>
      </c>
      <c r="F46" s="18">
        <v>7272180</v>
      </c>
      <c r="G46" s="18">
        <v>7.3130503070356037</v>
      </c>
      <c r="H46" s="18">
        <v>0</v>
      </c>
      <c r="I46" s="16">
        <v>1500</v>
      </c>
    </row>
    <row r="47" spans="1:9">
      <c r="A47" s="9">
        <v>47</v>
      </c>
      <c r="B47" s="9" t="s">
        <v>839</v>
      </c>
      <c r="C47" s="9" t="s">
        <v>14</v>
      </c>
      <c r="D47" s="21">
        <v>1000</v>
      </c>
      <c r="E47" s="18">
        <v>39000000</v>
      </c>
      <c r="F47" s="18">
        <v>3848200.0000000009</v>
      </c>
      <c r="G47" s="18">
        <v>9.2132803530340013</v>
      </c>
      <c r="H47" s="18">
        <v>0</v>
      </c>
      <c r="I47" s="16">
        <v>1000</v>
      </c>
    </row>
    <row r="48" spans="1:9">
      <c r="A48" s="9">
        <v>48</v>
      </c>
      <c r="B48" s="9" t="s">
        <v>840</v>
      </c>
      <c r="C48" s="9" t="s">
        <v>14</v>
      </c>
      <c r="D48" s="21">
        <v>1000</v>
      </c>
      <c r="E48" s="18">
        <v>43000000</v>
      </c>
      <c r="F48" s="18">
        <v>5200542</v>
      </c>
      <c r="G48" s="18">
        <v>7.5166990461588599</v>
      </c>
      <c r="H48" s="18">
        <v>0</v>
      </c>
      <c r="I48" s="16">
        <v>1000</v>
      </c>
    </row>
    <row r="49" spans="1:9">
      <c r="A49" s="9">
        <v>49</v>
      </c>
      <c r="B49" s="9" t="s">
        <v>841</v>
      </c>
      <c r="C49" s="9" t="s">
        <v>14</v>
      </c>
      <c r="D49" s="21">
        <v>500</v>
      </c>
      <c r="E49" s="18">
        <v>14500000</v>
      </c>
      <c r="F49" s="18">
        <v>2470505</v>
      </c>
      <c r="G49" s="18">
        <v>5.3356775970168782</v>
      </c>
      <c r="H49" s="18">
        <v>0</v>
      </c>
      <c r="I49" s="16">
        <v>500</v>
      </c>
    </row>
    <row r="50" spans="1:9">
      <c r="A50" s="9">
        <v>50</v>
      </c>
      <c r="B50" s="9" t="s">
        <v>842</v>
      </c>
      <c r="C50" s="9" t="s">
        <v>14</v>
      </c>
      <c r="D50" s="21">
        <v>500</v>
      </c>
      <c r="E50" s="18">
        <v>14500000</v>
      </c>
      <c r="F50" s="18">
        <v>2470505</v>
      </c>
      <c r="G50" s="18">
        <v>5.3356775970168782</v>
      </c>
      <c r="H50" s="18">
        <v>0</v>
      </c>
      <c r="I50" s="16">
        <v>500</v>
      </c>
    </row>
    <row r="51" spans="1:9">
      <c r="A51" s="9">
        <v>52</v>
      </c>
      <c r="B51" s="9" t="s">
        <v>843</v>
      </c>
      <c r="C51" s="9" t="s">
        <v>14</v>
      </c>
      <c r="D51" s="21">
        <v>500</v>
      </c>
      <c r="E51" s="18">
        <v>29500000</v>
      </c>
      <c r="F51" s="18">
        <v>3657535.0000000005</v>
      </c>
      <c r="G51" s="18">
        <v>7.3323103724726657</v>
      </c>
      <c r="H51" s="18">
        <v>0</v>
      </c>
      <c r="I51" s="16">
        <v>500</v>
      </c>
    </row>
    <row r="52" spans="1:9">
      <c r="A52" s="9">
        <v>53</v>
      </c>
      <c r="B52" s="9" t="s">
        <v>844</v>
      </c>
      <c r="C52" s="9" t="s">
        <v>14</v>
      </c>
      <c r="D52" s="21">
        <v>200</v>
      </c>
      <c r="E52" s="18">
        <v>9800000</v>
      </c>
      <c r="F52" s="18">
        <v>1451866.0000000002</v>
      </c>
      <c r="G52" s="18">
        <v>6.13630383870888</v>
      </c>
      <c r="H52" s="18">
        <v>0</v>
      </c>
      <c r="I52" s="16">
        <v>200</v>
      </c>
    </row>
    <row r="53" spans="1:9">
      <c r="A53" s="9">
        <v>55</v>
      </c>
      <c r="B53" s="9" t="s">
        <v>845</v>
      </c>
      <c r="C53" s="9" t="s">
        <v>14</v>
      </c>
      <c r="D53" s="21">
        <v>500</v>
      </c>
      <c r="E53" s="18">
        <v>29500000</v>
      </c>
      <c r="F53" s="18">
        <v>4095235</v>
      </c>
      <c r="G53" s="18">
        <v>6.5486307423583305</v>
      </c>
      <c r="H53" s="18">
        <v>0</v>
      </c>
      <c r="I53" s="16">
        <v>500</v>
      </c>
    </row>
    <row r="54" spans="1:9">
      <c r="A54" s="9">
        <v>56</v>
      </c>
      <c r="B54" s="9" t="s">
        <v>846</v>
      </c>
      <c r="C54" s="9" t="s">
        <v>14</v>
      </c>
      <c r="D54" s="21">
        <v>500</v>
      </c>
      <c r="E54" s="18">
        <v>27500000</v>
      </c>
      <c r="F54" s="18">
        <v>4349395</v>
      </c>
      <c r="G54" s="18">
        <v>5.7479258609530754</v>
      </c>
      <c r="H54" s="18">
        <v>0</v>
      </c>
      <c r="I54" s="16">
        <v>500</v>
      </c>
    </row>
    <row r="55" spans="1:9">
      <c r="A55" s="9">
        <v>57</v>
      </c>
      <c r="B55" s="9" t="s">
        <v>847</v>
      </c>
      <c r="C55" s="9" t="s">
        <v>14</v>
      </c>
      <c r="D55" s="21">
        <v>500</v>
      </c>
      <c r="E55" s="18">
        <v>26500000</v>
      </c>
      <c r="F55" s="18">
        <v>3752200.0000000009</v>
      </c>
      <c r="G55" s="18">
        <v>6.4204757451386074</v>
      </c>
      <c r="H55" s="18">
        <v>0</v>
      </c>
      <c r="I55" s="16">
        <v>500</v>
      </c>
    </row>
    <row r="56" spans="1:9">
      <c r="A56" s="9">
        <v>58</v>
      </c>
      <c r="B56" s="9" t="s">
        <v>848</v>
      </c>
      <c r="C56" s="9" t="s">
        <v>14</v>
      </c>
      <c r="D56" s="21">
        <v>500</v>
      </c>
      <c r="E56" s="18">
        <v>26500000</v>
      </c>
      <c r="F56" s="18">
        <v>3970495</v>
      </c>
      <c r="G56" s="18">
        <v>6.0674825408189887</v>
      </c>
      <c r="H56" s="18">
        <v>0</v>
      </c>
      <c r="I56" s="16">
        <v>500</v>
      </c>
    </row>
    <row r="57" spans="1:9">
      <c r="A57" s="9">
        <v>60</v>
      </c>
      <c r="B57" s="9" t="s">
        <v>849</v>
      </c>
      <c r="C57" s="9" t="s">
        <v>14</v>
      </c>
      <c r="D57" s="21">
        <v>500</v>
      </c>
      <c r="E57" s="18">
        <v>29500000</v>
      </c>
      <c r="F57" s="18">
        <v>4970570</v>
      </c>
      <c r="G57" s="18">
        <v>5.3953936506641726</v>
      </c>
      <c r="H57" s="18">
        <v>0</v>
      </c>
      <c r="I57" s="16">
        <v>500</v>
      </c>
    </row>
    <row r="58" spans="1:9">
      <c r="A58" s="9">
        <v>61</v>
      </c>
      <c r="B58" s="9" t="s">
        <v>850</v>
      </c>
      <c r="C58" s="9" t="s">
        <v>14</v>
      </c>
      <c r="D58" s="21">
        <v>500</v>
      </c>
      <c r="E58" s="18">
        <v>29500000</v>
      </c>
      <c r="F58" s="18">
        <v>4699330</v>
      </c>
      <c r="G58" s="18">
        <v>5.7068096554576542</v>
      </c>
      <c r="H58" s="18">
        <v>0</v>
      </c>
      <c r="I58" s="16">
        <v>500</v>
      </c>
    </row>
    <row r="59" spans="1:9">
      <c r="A59" s="9">
        <v>62</v>
      </c>
      <c r="B59" s="9" t="s">
        <v>851</v>
      </c>
      <c r="C59" s="9" t="s">
        <v>14</v>
      </c>
      <c r="D59" s="21">
        <v>500</v>
      </c>
      <c r="E59" s="18">
        <v>29500000</v>
      </c>
      <c r="F59" s="18">
        <v>4919660</v>
      </c>
      <c r="G59" s="18">
        <v>5.4512266738314876</v>
      </c>
      <c r="H59" s="18">
        <v>0</v>
      </c>
      <c r="I59" s="16">
        <v>500</v>
      </c>
    </row>
    <row r="60" spans="1:9">
      <c r="A60" s="9">
        <v>63</v>
      </c>
      <c r="B60" s="9" t="s">
        <v>852</v>
      </c>
      <c r="C60" s="9" t="s">
        <v>14</v>
      </c>
      <c r="D60" s="21">
        <v>800</v>
      </c>
      <c r="E60" s="18">
        <v>47200000</v>
      </c>
      <c r="F60" s="18">
        <v>6529064.0000000009</v>
      </c>
      <c r="G60" s="18">
        <v>6.5720126053429562</v>
      </c>
      <c r="H60" s="18">
        <v>0</v>
      </c>
      <c r="I60" s="16">
        <v>800</v>
      </c>
    </row>
    <row r="61" spans="1:9">
      <c r="A61" s="9">
        <v>64</v>
      </c>
      <c r="B61" s="9" t="s">
        <v>853</v>
      </c>
      <c r="C61" s="9" t="s">
        <v>14</v>
      </c>
      <c r="D61" s="21">
        <v>500</v>
      </c>
      <c r="E61" s="18">
        <v>27500000</v>
      </c>
      <c r="F61" s="18">
        <v>5555330</v>
      </c>
      <c r="G61" s="18">
        <v>4.5001827074179204</v>
      </c>
      <c r="H61" s="18">
        <v>0</v>
      </c>
      <c r="I61" s="16">
        <v>500</v>
      </c>
    </row>
    <row r="62" spans="1:9">
      <c r="A62" s="9">
        <v>66</v>
      </c>
      <c r="B62" s="9" t="s">
        <v>854</v>
      </c>
      <c r="C62" s="9" t="s">
        <v>14</v>
      </c>
      <c r="D62" s="21">
        <v>800</v>
      </c>
      <c r="E62" s="18">
        <v>63200000</v>
      </c>
      <c r="F62" s="18">
        <v>12774622.4</v>
      </c>
      <c r="G62" s="18">
        <v>4.4975533252979316</v>
      </c>
      <c r="H62" s="18">
        <v>0</v>
      </c>
      <c r="I62" s="16">
        <v>800</v>
      </c>
    </row>
    <row r="63" spans="1:9">
      <c r="A63" s="9">
        <v>68</v>
      </c>
      <c r="B63" s="9" t="s">
        <v>855</v>
      </c>
      <c r="C63" s="9" t="s">
        <v>15</v>
      </c>
      <c r="D63" s="21">
        <v>168</v>
      </c>
      <c r="E63" s="18">
        <v>28392000</v>
      </c>
      <c r="F63" s="18">
        <v>7470096.8160000015</v>
      </c>
      <c r="G63" s="18">
        <v>3.455230866034479</v>
      </c>
      <c r="H63" s="18">
        <v>0</v>
      </c>
      <c r="I63" s="16">
        <v>168</v>
      </c>
    </row>
    <row r="64" spans="1:9">
      <c r="A64" s="9">
        <v>69</v>
      </c>
      <c r="B64" s="9" t="s">
        <v>856</v>
      </c>
      <c r="C64" s="9" t="s">
        <v>15</v>
      </c>
      <c r="D64" s="21">
        <v>168</v>
      </c>
      <c r="E64" s="18">
        <v>23352000</v>
      </c>
      <c r="F64" s="18">
        <v>5898372.8160000006</v>
      </c>
      <c r="G64" s="18">
        <v>3.5991436233912864</v>
      </c>
      <c r="H64" s="18">
        <v>0</v>
      </c>
      <c r="I64" s="16">
        <v>168</v>
      </c>
    </row>
    <row r="65" spans="1:9">
      <c r="A65" s="9">
        <v>70</v>
      </c>
      <c r="B65" s="9" t="s">
        <v>857</v>
      </c>
      <c r="C65" s="9" t="s">
        <v>15</v>
      </c>
      <c r="D65" s="21">
        <v>144</v>
      </c>
      <c r="E65" s="18">
        <v>20016000</v>
      </c>
      <c r="F65" s="18">
        <v>5055748.1280000005</v>
      </c>
      <c r="G65" s="18">
        <v>3.5991436233912864</v>
      </c>
      <c r="H65" s="18">
        <v>0</v>
      </c>
      <c r="I65" s="16">
        <v>144</v>
      </c>
    </row>
    <row r="66" spans="1:9">
      <c r="A66" s="9">
        <v>71</v>
      </c>
      <c r="B66" s="9" t="s">
        <v>858</v>
      </c>
      <c r="C66" s="9" t="s">
        <v>15</v>
      </c>
      <c r="D66" s="21">
        <v>108</v>
      </c>
      <c r="E66" s="18">
        <v>18252000</v>
      </c>
      <c r="F66" s="18">
        <v>4802205.0960000008</v>
      </c>
      <c r="G66" s="18">
        <v>3.455230866034479</v>
      </c>
      <c r="H66" s="18">
        <v>0</v>
      </c>
      <c r="I66" s="16">
        <v>108</v>
      </c>
    </row>
    <row r="67" spans="1:9">
      <c r="A67" s="9">
        <v>72</v>
      </c>
      <c r="B67" s="9" t="s">
        <v>859</v>
      </c>
      <c r="C67" s="9" t="s">
        <v>15</v>
      </c>
      <c r="D67" s="21">
        <v>168</v>
      </c>
      <c r="E67" s="18">
        <v>28392000</v>
      </c>
      <c r="F67" s="18">
        <v>7470096.8160000015</v>
      </c>
      <c r="G67" s="18">
        <v>3.455230866034479</v>
      </c>
      <c r="H67" s="18">
        <v>0</v>
      </c>
      <c r="I67" s="16">
        <v>168</v>
      </c>
    </row>
    <row r="68" spans="1:9">
      <c r="A68" s="9">
        <v>73</v>
      </c>
      <c r="B68" s="9" t="s">
        <v>860</v>
      </c>
      <c r="C68" s="9" t="s">
        <v>15</v>
      </c>
      <c r="D68" s="21">
        <v>108</v>
      </c>
      <c r="E68" s="18">
        <v>18252000</v>
      </c>
      <c r="F68" s="18">
        <v>4802205.0960000008</v>
      </c>
      <c r="G68" s="18">
        <v>3.455230866034479</v>
      </c>
      <c r="H68" s="18">
        <v>0</v>
      </c>
      <c r="I68" s="16">
        <v>108</v>
      </c>
    </row>
    <row r="69" spans="1:9">
      <c r="A69" s="9">
        <v>74</v>
      </c>
      <c r="B69" s="9" t="s">
        <v>858</v>
      </c>
      <c r="C69" s="9" t="s">
        <v>15</v>
      </c>
      <c r="D69" s="21">
        <v>108</v>
      </c>
      <c r="E69" s="18">
        <v>18252000</v>
      </c>
      <c r="F69" s="18">
        <v>4802205.0960000008</v>
      </c>
      <c r="G69" s="18">
        <v>3.455230866034479</v>
      </c>
      <c r="H69" s="18">
        <v>0</v>
      </c>
      <c r="I69" s="16">
        <v>108</v>
      </c>
    </row>
    <row r="70" spans="1:9">
      <c r="A70" s="9">
        <v>75</v>
      </c>
      <c r="B70" s="9" t="s">
        <v>861</v>
      </c>
      <c r="C70" s="9" t="s">
        <v>15</v>
      </c>
      <c r="D70" s="21">
        <v>108</v>
      </c>
      <c r="E70" s="18">
        <v>12420000</v>
      </c>
      <c r="F70" s="18">
        <v>3286614.0959999999</v>
      </c>
      <c r="G70" s="18">
        <v>3.4354228275996204</v>
      </c>
      <c r="H70" s="18">
        <v>0</v>
      </c>
      <c r="I70" s="16">
        <v>108</v>
      </c>
    </row>
    <row r="71" spans="1:9">
      <c r="A71" s="9">
        <v>76</v>
      </c>
      <c r="B71" s="9" t="s">
        <v>862</v>
      </c>
      <c r="C71" s="9" t="s">
        <v>15</v>
      </c>
      <c r="D71" s="21">
        <v>144</v>
      </c>
      <c r="E71" s="18">
        <v>16560000</v>
      </c>
      <c r="F71" s="18">
        <v>4382152.1280000005</v>
      </c>
      <c r="G71" s="18">
        <v>3.4354228275996195</v>
      </c>
      <c r="H71" s="18">
        <v>0</v>
      </c>
      <c r="I71" s="16">
        <v>144</v>
      </c>
    </row>
    <row r="72" spans="1:9">
      <c r="A72" s="9">
        <v>77</v>
      </c>
      <c r="B72" s="9" t="s">
        <v>863</v>
      </c>
      <c r="C72" s="9" t="s">
        <v>15</v>
      </c>
      <c r="D72" s="21">
        <v>168</v>
      </c>
      <c r="E72" s="18">
        <v>19320000</v>
      </c>
      <c r="F72" s="18">
        <v>5112510.8160000006</v>
      </c>
      <c r="G72" s="18">
        <v>3.4354228275996204</v>
      </c>
      <c r="H72" s="18">
        <v>0</v>
      </c>
      <c r="I72" s="16">
        <v>168</v>
      </c>
    </row>
    <row r="73" spans="1:9">
      <c r="A73" s="9">
        <v>78</v>
      </c>
      <c r="B73" s="9" t="s">
        <v>864</v>
      </c>
      <c r="C73" s="9" t="s">
        <v>15</v>
      </c>
      <c r="D73" s="21">
        <v>96</v>
      </c>
      <c r="E73" s="18">
        <v>9504000</v>
      </c>
      <c r="F73" s="18">
        <v>2472370.7520000003</v>
      </c>
      <c r="G73" s="18">
        <v>3.4946215056988339</v>
      </c>
      <c r="H73" s="18">
        <v>0</v>
      </c>
      <c r="I73" s="16">
        <v>96</v>
      </c>
    </row>
    <row r="74" spans="1:9">
      <c r="A74" s="9">
        <v>79</v>
      </c>
      <c r="B74" s="9" t="s">
        <v>865</v>
      </c>
      <c r="C74" s="9" t="s">
        <v>15</v>
      </c>
      <c r="D74" s="21">
        <v>96</v>
      </c>
      <c r="E74" s="18">
        <v>9504000</v>
      </c>
      <c r="F74" s="18">
        <v>2472370.7520000003</v>
      </c>
      <c r="G74" s="18">
        <v>3.4946215056988339</v>
      </c>
      <c r="H74" s="18">
        <v>0</v>
      </c>
      <c r="I74" s="16">
        <v>96</v>
      </c>
    </row>
    <row r="75" spans="1:9">
      <c r="A75" s="9">
        <v>80</v>
      </c>
      <c r="B75" s="9" t="s">
        <v>866</v>
      </c>
      <c r="C75" s="9" t="s">
        <v>15</v>
      </c>
      <c r="D75" s="21">
        <v>72</v>
      </c>
      <c r="E75" s="18">
        <v>7128000</v>
      </c>
      <c r="F75" s="18">
        <v>1854278.064</v>
      </c>
      <c r="G75" s="18">
        <v>3.4946215056988343</v>
      </c>
      <c r="H75" s="18">
        <v>0</v>
      </c>
      <c r="I75" s="16">
        <v>72</v>
      </c>
    </row>
    <row r="76" spans="1:9">
      <c r="A76" s="9">
        <v>81</v>
      </c>
      <c r="B76" s="9" t="s">
        <v>867</v>
      </c>
      <c r="C76" s="9" t="s">
        <v>15</v>
      </c>
      <c r="D76" s="21">
        <v>96</v>
      </c>
      <c r="E76" s="18">
        <v>9504000</v>
      </c>
      <c r="F76" s="18">
        <v>2472370.7520000003</v>
      </c>
      <c r="G76" s="18">
        <v>3.4946215056988339</v>
      </c>
      <c r="H76" s="18">
        <v>0</v>
      </c>
      <c r="I76" s="16">
        <v>96</v>
      </c>
    </row>
    <row r="77" spans="1:9">
      <c r="A77" s="9">
        <v>82</v>
      </c>
      <c r="B77" s="9" t="s">
        <v>868</v>
      </c>
      <c r="C77" s="9" t="s">
        <v>15</v>
      </c>
      <c r="D77" s="21">
        <v>96</v>
      </c>
      <c r="E77" s="18">
        <v>11040000</v>
      </c>
      <c r="F77" s="18">
        <v>2921434.7520000003</v>
      </c>
      <c r="G77" s="18">
        <v>3.4354228275996199</v>
      </c>
      <c r="H77" s="18">
        <v>0</v>
      </c>
      <c r="I77" s="16">
        <v>96</v>
      </c>
    </row>
    <row r="78" spans="1:9">
      <c r="A78" s="9">
        <v>83</v>
      </c>
      <c r="B78" s="9" t="s">
        <v>869</v>
      </c>
      <c r="C78" s="9" t="s">
        <v>15</v>
      </c>
      <c r="D78" s="21">
        <v>96</v>
      </c>
      <c r="E78" s="18">
        <v>11040000</v>
      </c>
      <c r="F78" s="18">
        <v>2921434.7520000003</v>
      </c>
      <c r="G78" s="18">
        <v>3.4354228275996199</v>
      </c>
      <c r="H78" s="18">
        <v>0</v>
      </c>
      <c r="I78" s="16">
        <v>96</v>
      </c>
    </row>
    <row r="79" spans="1:9">
      <c r="A79" s="9">
        <v>84</v>
      </c>
      <c r="B79" s="9" t="s">
        <v>870</v>
      </c>
      <c r="C79" s="9" t="s">
        <v>15</v>
      </c>
      <c r="D79" s="21">
        <v>72</v>
      </c>
      <c r="E79" s="18">
        <v>8280000</v>
      </c>
      <c r="F79" s="18">
        <v>2191076.0640000002</v>
      </c>
      <c r="G79" s="18">
        <v>3.4354228275996195</v>
      </c>
      <c r="H79" s="18">
        <v>0</v>
      </c>
      <c r="I79" s="16">
        <v>72</v>
      </c>
    </row>
    <row r="80" spans="1:9">
      <c r="A80" s="9">
        <v>86</v>
      </c>
      <c r="B80" s="9" t="s">
        <v>871</v>
      </c>
      <c r="C80" s="9" t="s">
        <v>14</v>
      </c>
      <c r="D80" s="21">
        <v>500</v>
      </c>
      <c r="E80" s="18">
        <v>24500000</v>
      </c>
      <c r="F80" s="18">
        <v>3580970.0000000005</v>
      </c>
      <c r="G80" s="18">
        <v>6.2197469603842723</v>
      </c>
      <c r="H80" s="18">
        <v>0</v>
      </c>
      <c r="I80" s="16">
        <v>500</v>
      </c>
    </row>
    <row r="81" spans="1:9">
      <c r="A81" s="9">
        <v>87</v>
      </c>
      <c r="B81" s="9" t="s">
        <v>872</v>
      </c>
      <c r="C81" s="9" t="s">
        <v>14</v>
      </c>
      <c r="D81" s="21">
        <v>500</v>
      </c>
      <c r="E81" s="18">
        <v>24500000</v>
      </c>
      <c r="F81" s="18">
        <v>3205070</v>
      </c>
      <c r="G81" s="18">
        <v>6.9492171068735686</v>
      </c>
      <c r="H81" s="18">
        <v>0</v>
      </c>
      <c r="I81" s="16">
        <v>500</v>
      </c>
    </row>
    <row r="82" spans="1:9">
      <c r="A82" s="9">
        <v>88</v>
      </c>
      <c r="B82" s="9" t="s">
        <v>873</v>
      </c>
      <c r="C82" s="9" t="s">
        <v>14</v>
      </c>
      <c r="D82" s="21">
        <v>500</v>
      </c>
      <c r="E82" s="18">
        <v>24500000</v>
      </c>
      <c r="F82" s="18">
        <v>3347245.0000000009</v>
      </c>
      <c r="G82" s="18">
        <v>6.6540475145163454</v>
      </c>
      <c r="H82" s="18">
        <v>0</v>
      </c>
      <c r="I82" s="16">
        <v>500</v>
      </c>
    </row>
    <row r="83" spans="1:9">
      <c r="A83" s="9">
        <v>89</v>
      </c>
      <c r="B83" s="9" t="s">
        <v>874</v>
      </c>
      <c r="C83" s="9" t="s">
        <v>14</v>
      </c>
      <c r="D83" s="21">
        <v>500</v>
      </c>
      <c r="E83" s="18">
        <v>29500000</v>
      </c>
      <c r="F83" s="18">
        <v>4475250</v>
      </c>
      <c r="G83" s="18">
        <v>5.992555012162855</v>
      </c>
      <c r="H83" s="18">
        <v>0</v>
      </c>
      <c r="I83" s="16">
        <v>500</v>
      </c>
    </row>
    <row r="84" spans="1:9">
      <c r="A84" s="9">
        <v>90</v>
      </c>
      <c r="B84" s="9" t="s">
        <v>875</v>
      </c>
      <c r="C84" s="9" t="s">
        <v>14</v>
      </c>
      <c r="D84" s="21">
        <v>500</v>
      </c>
      <c r="E84" s="18">
        <v>27500000</v>
      </c>
      <c r="F84" s="18">
        <v>3348510</v>
      </c>
      <c r="G84" s="18">
        <v>7.4660072689046757</v>
      </c>
      <c r="H84" s="18">
        <v>0</v>
      </c>
      <c r="I84" s="16">
        <v>500</v>
      </c>
    </row>
    <row r="85" spans="1:9">
      <c r="A85" s="9">
        <v>91</v>
      </c>
      <c r="B85" s="9" t="s">
        <v>876</v>
      </c>
      <c r="C85" s="9" t="s">
        <v>14</v>
      </c>
      <c r="D85" s="21">
        <v>700</v>
      </c>
      <c r="E85" s="18">
        <v>41300000</v>
      </c>
      <c r="F85" s="18">
        <v>5856582.4000000004</v>
      </c>
      <c r="G85" s="18">
        <v>6.4108129931638187</v>
      </c>
      <c r="H85" s="18">
        <v>0</v>
      </c>
      <c r="I85" s="16">
        <v>700</v>
      </c>
    </row>
    <row r="86" spans="1:9">
      <c r="A86" s="9">
        <v>92</v>
      </c>
      <c r="B86" s="9" t="s">
        <v>877</v>
      </c>
      <c r="C86" s="9" t="s">
        <v>14</v>
      </c>
      <c r="D86" s="21">
        <v>500</v>
      </c>
      <c r="E86" s="18">
        <v>27500000</v>
      </c>
      <c r="F86" s="18">
        <v>4172226.0000000005</v>
      </c>
      <c r="G86" s="18">
        <v>5.9920052269459987</v>
      </c>
      <c r="H86" s="18">
        <v>0</v>
      </c>
      <c r="I86" s="16">
        <v>500</v>
      </c>
    </row>
    <row r="87" spans="1:9">
      <c r="A87" s="9">
        <v>93</v>
      </c>
      <c r="B87" s="9" t="s">
        <v>878</v>
      </c>
      <c r="C87" s="9" t="s">
        <v>14</v>
      </c>
      <c r="D87" s="21">
        <v>700</v>
      </c>
      <c r="E87" s="18">
        <v>41300000</v>
      </c>
      <c r="F87" s="18">
        <v>5524974</v>
      </c>
      <c r="G87" s="18">
        <v>6.795589363036739</v>
      </c>
      <c r="H87" s="18">
        <v>0</v>
      </c>
      <c r="I87" s="16">
        <v>700</v>
      </c>
    </row>
    <row r="88" spans="1:9">
      <c r="A88" s="9">
        <v>94</v>
      </c>
      <c r="B88" s="9" t="s">
        <v>879</v>
      </c>
      <c r="C88" s="9" t="s">
        <v>14</v>
      </c>
      <c r="D88" s="21">
        <v>500</v>
      </c>
      <c r="E88" s="18">
        <v>27500000</v>
      </c>
      <c r="F88" s="18">
        <v>4067540.0000000005</v>
      </c>
      <c r="G88" s="18">
        <v>6.1462210574450395</v>
      </c>
      <c r="H88" s="18">
        <v>0</v>
      </c>
      <c r="I88" s="16">
        <v>500</v>
      </c>
    </row>
    <row r="89" spans="1:9">
      <c r="A89" s="9">
        <v>95</v>
      </c>
      <c r="B89" s="9" t="s">
        <v>880</v>
      </c>
      <c r="C89" s="9" t="s">
        <v>14</v>
      </c>
      <c r="D89" s="21">
        <v>400</v>
      </c>
      <c r="E89" s="18">
        <v>19600000</v>
      </c>
      <c r="F89" s="18">
        <v>2762672</v>
      </c>
      <c r="G89" s="18">
        <v>6.4496189986295214</v>
      </c>
      <c r="H89" s="18">
        <v>0</v>
      </c>
      <c r="I89" s="16">
        <v>400</v>
      </c>
    </row>
    <row r="90" spans="1:9">
      <c r="A90" s="9">
        <v>96</v>
      </c>
      <c r="B90" s="9" t="s">
        <v>881</v>
      </c>
      <c r="C90" s="9" t="s">
        <v>14</v>
      </c>
      <c r="D90" s="21">
        <v>700</v>
      </c>
      <c r="E90" s="18">
        <v>34300000</v>
      </c>
      <c r="F90" s="18">
        <v>5555862</v>
      </c>
      <c r="G90" s="18">
        <v>5.6124176917673942</v>
      </c>
      <c r="H90" s="18">
        <v>0</v>
      </c>
      <c r="I90" s="16">
        <v>700</v>
      </c>
    </row>
    <row r="91" spans="1:9">
      <c r="A91" s="9">
        <v>97</v>
      </c>
      <c r="B91" s="9" t="s">
        <v>882</v>
      </c>
      <c r="C91" s="9" t="s">
        <v>14</v>
      </c>
      <c r="D91" s="21">
        <v>500</v>
      </c>
      <c r="E91" s="18">
        <v>22500000</v>
      </c>
      <c r="F91" s="18">
        <v>4106899.9999999995</v>
      </c>
      <c r="G91" s="18">
        <v>4.980531655152415</v>
      </c>
      <c r="H91" s="18">
        <v>0</v>
      </c>
      <c r="I91" s="16">
        <v>500</v>
      </c>
    </row>
    <row r="92" spans="1:9">
      <c r="A92" s="9">
        <v>98</v>
      </c>
      <c r="B92" s="9" t="s">
        <v>883</v>
      </c>
      <c r="C92" s="9" t="s">
        <v>14</v>
      </c>
      <c r="D92" s="21">
        <v>500</v>
      </c>
      <c r="E92" s="18">
        <v>24500000</v>
      </c>
      <c r="F92" s="18">
        <v>3755110.0000000005</v>
      </c>
      <c r="G92" s="18">
        <v>5.9313115388703039</v>
      </c>
      <c r="H92" s="18">
        <v>0</v>
      </c>
      <c r="I92" s="16">
        <v>500</v>
      </c>
    </row>
    <row r="93" spans="1:9">
      <c r="A93" s="9">
        <v>100</v>
      </c>
      <c r="B93" s="9" t="s">
        <v>884</v>
      </c>
      <c r="C93" s="9" t="s">
        <v>14</v>
      </c>
      <c r="D93" s="21">
        <v>400</v>
      </c>
      <c r="E93" s="18">
        <v>23600000</v>
      </c>
      <c r="F93" s="18">
        <v>3135896.0000000005</v>
      </c>
      <c r="G93" s="18">
        <v>6.8415998025908547</v>
      </c>
      <c r="H93" s="18">
        <v>0</v>
      </c>
      <c r="I93" s="16">
        <v>400</v>
      </c>
    </row>
    <row r="94" spans="1:9">
      <c r="A94" s="9">
        <v>102</v>
      </c>
      <c r="B94" s="9" t="s">
        <v>1381</v>
      </c>
      <c r="C94" s="9" t="s">
        <v>14</v>
      </c>
      <c r="D94" s="21">
        <v>700</v>
      </c>
      <c r="E94" s="18">
        <v>41300000</v>
      </c>
      <c r="F94" s="18">
        <v>11214000</v>
      </c>
      <c r="G94" s="18">
        <v>3.3480876177505388</v>
      </c>
      <c r="H94" s="18">
        <v>0</v>
      </c>
      <c r="I94" s="16">
        <v>700</v>
      </c>
    </row>
    <row r="95" spans="1:9">
      <c r="A95" s="9">
        <v>103</v>
      </c>
      <c r="B95" s="9" t="s">
        <v>1382</v>
      </c>
      <c r="C95" s="9" t="s">
        <v>14</v>
      </c>
      <c r="D95" s="21">
        <v>500</v>
      </c>
      <c r="E95" s="18">
        <v>27500000</v>
      </c>
      <c r="F95" s="18">
        <v>7760000</v>
      </c>
      <c r="G95" s="18">
        <v>3.2216494845360826</v>
      </c>
      <c r="H95" s="18">
        <v>0</v>
      </c>
      <c r="I95" s="16">
        <v>500</v>
      </c>
    </row>
    <row r="96" spans="1:9">
      <c r="A96" s="9">
        <v>105</v>
      </c>
      <c r="B96" s="9" t="s">
        <v>885</v>
      </c>
      <c r="C96" s="9" t="s">
        <v>14</v>
      </c>
      <c r="D96" s="21">
        <v>700</v>
      </c>
      <c r="E96" s="18">
        <v>38500000</v>
      </c>
      <c r="F96" s="18">
        <v>3191622</v>
      </c>
      <c r="G96" s="18">
        <v>10.966210910941207</v>
      </c>
      <c r="H96" s="18">
        <v>0</v>
      </c>
      <c r="I96" s="16">
        <v>700</v>
      </c>
    </row>
    <row r="97" spans="1:9">
      <c r="A97" s="9">
        <v>106</v>
      </c>
      <c r="B97" s="9" t="s">
        <v>886</v>
      </c>
      <c r="C97" s="9" t="s">
        <v>14</v>
      </c>
      <c r="D97" s="21">
        <v>500</v>
      </c>
      <c r="E97" s="18">
        <v>24500000</v>
      </c>
      <c r="F97" s="18">
        <v>2312230</v>
      </c>
      <c r="G97" s="18">
        <v>9.6325742995840695</v>
      </c>
      <c r="H97" s="18">
        <v>0</v>
      </c>
      <c r="I97" s="16">
        <v>500</v>
      </c>
    </row>
    <row r="98" spans="1:9">
      <c r="A98" s="9">
        <v>107</v>
      </c>
      <c r="B98" s="9" t="s">
        <v>887</v>
      </c>
      <c r="C98" s="9" t="s">
        <v>14</v>
      </c>
      <c r="D98" s="21">
        <v>700</v>
      </c>
      <c r="E98" s="18">
        <v>38500000</v>
      </c>
      <c r="F98" s="18">
        <v>3277022</v>
      </c>
      <c r="G98" s="18">
        <v>10.680428755131945</v>
      </c>
      <c r="H98" s="18">
        <v>0</v>
      </c>
      <c r="I98" s="16">
        <v>700</v>
      </c>
    </row>
    <row r="99" spans="1:9">
      <c r="A99" s="9">
        <v>108</v>
      </c>
      <c r="B99" s="9" t="s">
        <v>888</v>
      </c>
      <c r="C99" s="9" t="s">
        <v>14</v>
      </c>
      <c r="D99" s="21">
        <v>400</v>
      </c>
      <c r="E99" s="18">
        <v>22000000</v>
      </c>
      <c r="F99" s="18">
        <v>1988984</v>
      </c>
      <c r="G99" s="18">
        <v>10.055385060915521</v>
      </c>
      <c r="H99" s="18">
        <v>0</v>
      </c>
      <c r="I99" s="16">
        <v>400</v>
      </c>
    </row>
    <row r="100" spans="1:9">
      <c r="A100" s="9">
        <v>110</v>
      </c>
      <c r="B100" s="9" t="s">
        <v>889</v>
      </c>
      <c r="C100" s="9" t="s">
        <v>14</v>
      </c>
      <c r="D100" s="21">
        <v>500</v>
      </c>
      <c r="E100" s="18">
        <v>24500000</v>
      </c>
      <c r="F100" s="18">
        <v>2351045</v>
      </c>
      <c r="G100" s="18">
        <v>9.4735435828439147</v>
      </c>
      <c r="H100" s="18">
        <v>0</v>
      </c>
      <c r="I100" s="16">
        <v>500</v>
      </c>
    </row>
    <row r="101" spans="1:9">
      <c r="A101" s="9">
        <v>111</v>
      </c>
      <c r="B101" s="9" t="s">
        <v>890</v>
      </c>
      <c r="C101" s="9" t="s">
        <v>14</v>
      </c>
      <c r="D101" s="21">
        <v>500</v>
      </c>
      <c r="E101" s="18">
        <v>24500000</v>
      </c>
      <c r="F101" s="18">
        <v>2295545</v>
      </c>
      <c r="G101" s="18">
        <v>9.7025879574250435</v>
      </c>
      <c r="H101" s="18">
        <v>0</v>
      </c>
      <c r="I101" s="16">
        <v>500</v>
      </c>
    </row>
    <row r="102" spans="1:9">
      <c r="A102" s="9">
        <v>112</v>
      </c>
      <c r="B102" s="9" t="s">
        <v>891</v>
      </c>
      <c r="C102" s="9" t="s">
        <v>14</v>
      </c>
      <c r="D102" s="21">
        <v>700</v>
      </c>
      <c r="E102" s="18">
        <v>34300000</v>
      </c>
      <c r="F102" s="18">
        <v>3292604</v>
      </c>
      <c r="G102" s="18">
        <v>9.4702606756895698</v>
      </c>
      <c r="H102" s="18">
        <v>0</v>
      </c>
      <c r="I102" s="16">
        <v>700</v>
      </c>
    </row>
    <row r="103" spans="1:9">
      <c r="A103" s="9">
        <v>113</v>
      </c>
      <c r="B103" s="9" t="s">
        <v>892</v>
      </c>
      <c r="C103" s="9" t="s">
        <v>14</v>
      </c>
      <c r="D103" s="21">
        <v>700</v>
      </c>
      <c r="E103" s="18">
        <v>34300000</v>
      </c>
      <c r="F103" s="18">
        <v>3239404</v>
      </c>
      <c r="G103" s="18">
        <v>9.625788627111092</v>
      </c>
      <c r="H103" s="18">
        <v>0</v>
      </c>
      <c r="I103" s="16">
        <v>700</v>
      </c>
    </row>
    <row r="104" spans="1:9">
      <c r="A104" s="9">
        <v>114</v>
      </c>
      <c r="B104" s="9" t="s">
        <v>893</v>
      </c>
      <c r="C104" s="9" t="s">
        <v>14</v>
      </c>
      <c r="D104" s="21">
        <v>500</v>
      </c>
      <c r="E104" s="18">
        <v>22500000</v>
      </c>
      <c r="F104" s="18">
        <v>2339360</v>
      </c>
      <c r="G104" s="18">
        <v>8.743650166945427</v>
      </c>
      <c r="H104" s="18">
        <v>0</v>
      </c>
      <c r="I104" s="16">
        <v>500</v>
      </c>
    </row>
    <row r="105" spans="1:9">
      <c r="A105" s="9">
        <v>115</v>
      </c>
      <c r="B105" s="9" t="s">
        <v>894</v>
      </c>
      <c r="C105" s="9" t="s">
        <v>14</v>
      </c>
      <c r="D105" s="21">
        <v>400</v>
      </c>
      <c r="E105" s="18">
        <v>27600000</v>
      </c>
      <c r="F105" s="18">
        <v>4073320.0000000005</v>
      </c>
      <c r="G105" s="18">
        <v>6.1598178122291118</v>
      </c>
      <c r="H105" s="18">
        <v>0</v>
      </c>
      <c r="I105" s="16">
        <v>400</v>
      </c>
    </row>
    <row r="106" spans="1:9">
      <c r="A106" s="9">
        <v>116</v>
      </c>
      <c r="B106" s="9" t="s">
        <v>895</v>
      </c>
      <c r="C106" s="9" t="s">
        <v>14</v>
      </c>
      <c r="D106" s="21">
        <v>400</v>
      </c>
      <c r="E106" s="18">
        <v>27600000</v>
      </c>
      <c r="F106" s="18">
        <v>3822520.0000000005</v>
      </c>
      <c r="G106" s="18">
        <v>6.5639706504894901</v>
      </c>
      <c r="H106" s="18">
        <v>0</v>
      </c>
      <c r="I106" s="16">
        <v>400</v>
      </c>
    </row>
    <row r="107" spans="1:9">
      <c r="A107" s="9">
        <v>117</v>
      </c>
      <c r="B107" s="9" t="s">
        <v>896</v>
      </c>
      <c r="C107" s="9" t="s">
        <v>14</v>
      </c>
      <c r="D107" s="21">
        <v>400</v>
      </c>
      <c r="E107" s="18">
        <v>27600000</v>
      </c>
      <c r="F107" s="18">
        <v>3542520.0000000005</v>
      </c>
      <c r="G107" s="18">
        <v>7.0827854439520692</v>
      </c>
      <c r="H107" s="18">
        <v>0</v>
      </c>
      <c r="I107" s="16">
        <v>400</v>
      </c>
    </row>
    <row r="108" spans="1:9">
      <c r="A108" s="9">
        <v>118</v>
      </c>
      <c r="B108" s="9" t="s">
        <v>897</v>
      </c>
      <c r="C108" s="9" t="s">
        <v>14</v>
      </c>
      <c r="D108" s="21">
        <v>300</v>
      </c>
      <c r="E108" s="18">
        <v>19500000</v>
      </c>
      <c r="F108" s="18">
        <v>2658279</v>
      </c>
      <c r="G108" s="18">
        <v>6.668702843935014</v>
      </c>
      <c r="H108" s="18">
        <v>0</v>
      </c>
      <c r="I108" s="16">
        <v>300</v>
      </c>
    </row>
    <row r="109" spans="1:9">
      <c r="A109" s="9">
        <v>119</v>
      </c>
      <c r="B109" s="9" t="s">
        <v>898</v>
      </c>
      <c r="C109" s="9" t="s">
        <v>14</v>
      </c>
      <c r="D109" s="21">
        <v>600</v>
      </c>
      <c r="E109" s="18">
        <v>41400000</v>
      </c>
      <c r="F109" s="18">
        <v>5415780.0000000009</v>
      </c>
      <c r="G109" s="18">
        <v>6.949389309824924</v>
      </c>
      <c r="H109" s="18">
        <v>0</v>
      </c>
      <c r="I109" s="16">
        <v>600</v>
      </c>
    </row>
    <row r="110" spans="1:9">
      <c r="A110" s="9">
        <v>120</v>
      </c>
      <c r="B110" s="9" t="s">
        <v>899</v>
      </c>
      <c r="C110" s="9" t="s">
        <v>14</v>
      </c>
      <c r="D110" s="21">
        <v>600</v>
      </c>
      <c r="E110" s="18">
        <v>41400000</v>
      </c>
      <c r="F110" s="18">
        <v>5415780.0000000009</v>
      </c>
      <c r="G110" s="18">
        <v>6.949389309824924</v>
      </c>
      <c r="H110" s="18">
        <v>0</v>
      </c>
      <c r="I110" s="16">
        <v>600</v>
      </c>
    </row>
    <row r="111" spans="1:9">
      <c r="A111" s="9">
        <v>121</v>
      </c>
      <c r="B111" s="9" t="s">
        <v>900</v>
      </c>
      <c r="C111" s="9" t="s">
        <v>14</v>
      </c>
      <c r="D111" s="21">
        <v>600</v>
      </c>
      <c r="E111" s="18">
        <v>41400000</v>
      </c>
      <c r="F111" s="18">
        <v>5350380.0000000009</v>
      </c>
      <c r="G111" s="18">
        <v>7.0343346895666521</v>
      </c>
      <c r="H111" s="18">
        <v>0</v>
      </c>
      <c r="I111" s="16">
        <v>600</v>
      </c>
    </row>
    <row r="112" spans="1:9">
      <c r="A112" s="9">
        <v>122</v>
      </c>
      <c r="B112" s="9" t="s">
        <v>901</v>
      </c>
      <c r="C112" s="9" t="s">
        <v>14</v>
      </c>
      <c r="D112" s="21">
        <v>400</v>
      </c>
      <c r="E112" s="18">
        <v>26000000</v>
      </c>
      <c r="F112" s="18">
        <v>3229172</v>
      </c>
      <c r="G112" s="18">
        <v>7.3196360046363695</v>
      </c>
      <c r="H112" s="18">
        <v>0</v>
      </c>
      <c r="I112" s="16">
        <v>400</v>
      </c>
    </row>
    <row r="113" spans="1:9">
      <c r="A113" s="9">
        <v>123</v>
      </c>
      <c r="B113" s="9" t="s">
        <v>902</v>
      </c>
      <c r="C113" s="9" t="s">
        <v>14</v>
      </c>
      <c r="D113" s="21">
        <v>600</v>
      </c>
      <c r="E113" s="18">
        <v>41400000</v>
      </c>
      <c r="F113" s="18">
        <v>5462580.0000000009</v>
      </c>
      <c r="G113" s="18">
        <v>6.889851249110059</v>
      </c>
      <c r="H113" s="18">
        <v>0</v>
      </c>
      <c r="I113" s="16">
        <v>600</v>
      </c>
    </row>
    <row r="114" spans="1:9">
      <c r="A114" s="9">
        <v>124</v>
      </c>
      <c r="B114" s="9" t="s">
        <v>903</v>
      </c>
      <c r="C114" s="9" t="s">
        <v>14</v>
      </c>
      <c r="D114" s="21">
        <v>400</v>
      </c>
      <c r="E114" s="18">
        <v>27600000</v>
      </c>
      <c r="F114" s="18">
        <v>4189320.0000000005</v>
      </c>
      <c r="G114" s="18">
        <v>5.9892557959069936</v>
      </c>
      <c r="H114" s="18">
        <v>0</v>
      </c>
      <c r="I114" s="16">
        <v>400</v>
      </c>
    </row>
    <row r="115" spans="1:9">
      <c r="A115" s="9">
        <v>125</v>
      </c>
      <c r="B115" s="9" t="s">
        <v>904</v>
      </c>
      <c r="C115" s="9" t="s">
        <v>14</v>
      </c>
      <c r="D115" s="21">
        <v>300</v>
      </c>
      <c r="E115" s="18">
        <v>19500000</v>
      </c>
      <c r="F115" s="18">
        <v>2655279</v>
      </c>
      <c r="G115" s="18">
        <v>6.6762373096283758</v>
      </c>
      <c r="H115" s="18">
        <v>0</v>
      </c>
      <c r="I115" s="16">
        <v>300</v>
      </c>
    </row>
    <row r="116" spans="1:9">
      <c r="A116" s="9">
        <v>126</v>
      </c>
      <c r="B116" s="9" t="s">
        <v>905</v>
      </c>
      <c r="C116" s="9" t="s">
        <v>14</v>
      </c>
      <c r="D116" s="21">
        <v>600</v>
      </c>
      <c r="E116" s="18">
        <v>41400000</v>
      </c>
      <c r="F116" s="18">
        <v>5350380.0000000009</v>
      </c>
      <c r="G116" s="18">
        <v>7.0343346895666521</v>
      </c>
      <c r="H116" s="18">
        <v>0</v>
      </c>
      <c r="I116" s="16">
        <v>600</v>
      </c>
    </row>
    <row r="117" spans="1:9">
      <c r="A117" s="9">
        <v>128</v>
      </c>
      <c r="B117" s="9" t="s">
        <v>906</v>
      </c>
      <c r="C117" s="9" t="s">
        <v>14</v>
      </c>
      <c r="D117" s="21">
        <v>3000</v>
      </c>
      <c r="E117" s="18">
        <v>105000000</v>
      </c>
      <c r="F117" s="18">
        <v>17000700</v>
      </c>
      <c r="G117" s="18">
        <v>5.6147420667705124</v>
      </c>
      <c r="H117" s="18">
        <v>2999</v>
      </c>
      <c r="I117" s="16">
        <v>0</v>
      </c>
    </row>
    <row r="118" spans="1:9">
      <c r="A118" s="9">
        <v>129</v>
      </c>
      <c r="B118" s="9" t="s">
        <v>907</v>
      </c>
      <c r="C118" s="9" t="s">
        <v>14</v>
      </c>
      <c r="D118" s="21">
        <v>2000</v>
      </c>
      <c r="E118" s="18">
        <v>70000000</v>
      </c>
      <c r="F118" s="18">
        <v>11345360</v>
      </c>
      <c r="G118" s="18">
        <v>5.6090211008168653</v>
      </c>
      <c r="H118" s="18">
        <v>2000</v>
      </c>
      <c r="I118" s="16">
        <v>0</v>
      </c>
    </row>
    <row r="119" spans="1:9">
      <c r="A119" s="9">
        <v>130</v>
      </c>
      <c r="B119" s="9" t="s">
        <v>908</v>
      </c>
      <c r="C119" s="9" t="s">
        <v>14</v>
      </c>
      <c r="D119" s="21">
        <v>3000</v>
      </c>
      <c r="E119" s="18">
        <v>105000000</v>
      </c>
      <c r="F119" s="18">
        <v>22047360</v>
      </c>
      <c r="G119" s="18">
        <v>4.3295226936261502</v>
      </c>
      <c r="H119" s="18">
        <v>1200</v>
      </c>
      <c r="I119" s="16">
        <v>0</v>
      </c>
    </row>
    <row r="120" spans="1:9">
      <c r="A120" s="9">
        <v>131</v>
      </c>
      <c r="B120" s="9" t="s">
        <v>909</v>
      </c>
      <c r="C120" s="9" t="s">
        <v>14</v>
      </c>
      <c r="D120" s="21">
        <v>1000</v>
      </c>
      <c r="E120" s="18">
        <v>35000000</v>
      </c>
      <c r="F120" s="18">
        <v>7358210.0000000009</v>
      </c>
      <c r="G120" s="18">
        <v>4.3241741970101168</v>
      </c>
      <c r="H120" s="18">
        <v>500</v>
      </c>
      <c r="I120" s="16">
        <v>0</v>
      </c>
    </row>
    <row r="121" spans="1:9">
      <c r="A121" s="9">
        <v>133</v>
      </c>
      <c r="B121" s="9" t="s">
        <v>910</v>
      </c>
      <c r="C121" s="9" t="s">
        <v>14</v>
      </c>
      <c r="D121" s="21">
        <v>3000</v>
      </c>
      <c r="E121" s="18">
        <v>135000000</v>
      </c>
      <c r="F121" s="18">
        <v>22513200.000000007</v>
      </c>
      <c r="G121" s="18">
        <v>5.451347330778062</v>
      </c>
      <c r="H121" s="18">
        <v>3000</v>
      </c>
      <c r="I121" s="16">
        <v>0</v>
      </c>
    </row>
    <row r="122" spans="1:9">
      <c r="A122" s="9">
        <v>134</v>
      </c>
      <c r="B122" s="9" t="s">
        <v>911</v>
      </c>
      <c r="C122" s="9" t="s">
        <v>14</v>
      </c>
      <c r="D122" s="21">
        <v>2000</v>
      </c>
      <c r="E122" s="18">
        <v>90000000</v>
      </c>
      <c r="F122" s="18">
        <v>15008800.000000004</v>
      </c>
      <c r="G122" s="18">
        <v>5.4513473307780629</v>
      </c>
      <c r="H122" s="18">
        <v>1998</v>
      </c>
      <c r="I122" s="16">
        <v>0</v>
      </c>
    </row>
    <row r="123" spans="1:9">
      <c r="A123" s="9">
        <v>136</v>
      </c>
      <c r="B123" s="9" t="s">
        <v>912</v>
      </c>
      <c r="C123" s="9" t="s">
        <v>14</v>
      </c>
      <c r="D123" s="21">
        <v>3000</v>
      </c>
      <c r="E123" s="18">
        <v>87000000</v>
      </c>
      <c r="F123" s="18">
        <v>16363550.332458442</v>
      </c>
      <c r="G123" s="18">
        <v>4.8333587445278177</v>
      </c>
      <c r="H123" s="18">
        <v>3059</v>
      </c>
      <c r="I123" s="16">
        <v>0</v>
      </c>
    </row>
    <row r="124" spans="1:9">
      <c r="A124" s="9">
        <v>137</v>
      </c>
      <c r="B124" s="9" t="s">
        <v>913</v>
      </c>
      <c r="C124" s="9" t="s">
        <v>14</v>
      </c>
      <c r="D124" s="21">
        <v>1000</v>
      </c>
      <c r="E124" s="18">
        <v>29000000</v>
      </c>
      <c r="F124" s="18">
        <v>5337578.748906387</v>
      </c>
      <c r="G124" s="18">
        <v>4.939250098940084</v>
      </c>
      <c r="H124" s="18">
        <v>999</v>
      </c>
      <c r="I124" s="16">
        <v>0</v>
      </c>
    </row>
    <row r="125" spans="1:9">
      <c r="A125" s="9">
        <v>138</v>
      </c>
      <c r="B125" s="9" t="s">
        <v>914</v>
      </c>
      <c r="C125" s="9" t="s">
        <v>14</v>
      </c>
      <c r="D125" s="21">
        <v>3000</v>
      </c>
      <c r="E125" s="18">
        <v>87000000</v>
      </c>
      <c r="F125" s="18">
        <v>16035089.798775153</v>
      </c>
      <c r="G125" s="18">
        <v>4.9323645881266263</v>
      </c>
      <c r="H125" s="18">
        <v>2998</v>
      </c>
      <c r="I125" s="16">
        <v>0</v>
      </c>
    </row>
    <row r="126" spans="1:9">
      <c r="A126" s="9">
        <v>139</v>
      </c>
      <c r="B126" s="9" t="s">
        <v>915</v>
      </c>
      <c r="C126" s="9" t="s">
        <v>14</v>
      </c>
      <c r="D126" s="21">
        <v>2000</v>
      </c>
      <c r="E126" s="18">
        <v>58000000</v>
      </c>
      <c r="F126" s="18">
        <v>10697678.705161856</v>
      </c>
      <c r="G126" s="18">
        <v>4.9288517799502332</v>
      </c>
      <c r="H126" s="18">
        <v>1999</v>
      </c>
      <c r="I126" s="16">
        <v>0</v>
      </c>
    </row>
    <row r="127" spans="1:9">
      <c r="A127" s="9">
        <v>140</v>
      </c>
      <c r="B127" s="9" t="s">
        <v>916</v>
      </c>
      <c r="C127" s="9" t="s">
        <v>14</v>
      </c>
      <c r="D127" s="21">
        <v>3000</v>
      </c>
      <c r="E127" s="18">
        <v>87000000</v>
      </c>
      <c r="F127" s="18">
        <v>17600982.528433945</v>
      </c>
      <c r="G127" s="18">
        <v>4.4935507982659324</v>
      </c>
      <c r="H127" s="18">
        <v>2999</v>
      </c>
      <c r="I127" s="16">
        <v>0</v>
      </c>
    </row>
    <row r="128" spans="1:9">
      <c r="A128" s="9">
        <v>141</v>
      </c>
      <c r="B128" s="9" t="s">
        <v>917</v>
      </c>
      <c r="C128" s="9" t="s">
        <v>14</v>
      </c>
      <c r="D128" s="21">
        <v>2000</v>
      </c>
      <c r="E128" s="18">
        <v>58000000</v>
      </c>
      <c r="F128" s="18">
        <v>10986644.374453193</v>
      </c>
      <c r="G128" s="18">
        <v>4.7992153864447777</v>
      </c>
      <c r="H128" s="18">
        <v>2000</v>
      </c>
      <c r="I128" s="16">
        <v>0</v>
      </c>
    </row>
    <row r="129" spans="1:9">
      <c r="A129" s="9">
        <v>143</v>
      </c>
      <c r="B129" s="9" t="s">
        <v>918</v>
      </c>
      <c r="C129" s="9" t="s">
        <v>14</v>
      </c>
      <c r="D129" s="21">
        <v>3000</v>
      </c>
      <c r="E129" s="18">
        <v>87000000</v>
      </c>
      <c r="F129" s="18">
        <v>19573470.000000004</v>
      </c>
      <c r="G129" s="18">
        <v>4.0407198667844311</v>
      </c>
      <c r="H129" s="18">
        <v>3015</v>
      </c>
      <c r="I129" s="16">
        <v>0</v>
      </c>
    </row>
    <row r="130" spans="1:9">
      <c r="A130" s="9">
        <v>144</v>
      </c>
      <c r="B130" s="9" t="s">
        <v>919</v>
      </c>
      <c r="C130" s="9" t="s">
        <v>14</v>
      </c>
      <c r="D130" s="21">
        <v>2000</v>
      </c>
      <c r="E130" s="18">
        <v>58000000</v>
      </c>
      <c r="F130" s="18">
        <v>13040980</v>
      </c>
      <c r="G130" s="18">
        <v>4.0431986497389554</v>
      </c>
      <c r="H130" s="18">
        <v>2009</v>
      </c>
      <c r="I130" s="16">
        <v>0</v>
      </c>
    </row>
    <row r="131" spans="1:9">
      <c r="A131" s="9">
        <v>146</v>
      </c>
      <c r="B131" s="9" t="s">
        <v>920</v>
      </c>
      <c r="C131" s="9" t="s">
        <v>14</v>
      </c>
      <c r="D131" s="21">
        <v>3000</v>
      </c>
      <c r="E131" s="18">
        <v>147000000</v>
      </c>
      <c r="F131" s="18">
        <v>30060000</v>
      </c>
      <c r="G131" s="18">
        <v>4.4456541462529477</v>
      </c>
      <c r="H131" s="18">
        <v>2967</v>
      </c>
      <c r="I131" s="16">
        <v>0</v>
      </c>
    </row>
    <row r="132" spans="1:9">
      <c r="A132" s="9">
        <v>147</v>
      </c>
      <c r="B132" s="9" t="s">
        <v>921</v>
      </c>
      <c r="C132" s="9" t="s">
        <v>14</v>
      </c>
      <c r="D132" s="21">
        <v>700</v>
      </c>
      <c r="E132" s="18">
        <v>30100000</v>
      </c>
      <c r="F132" s="18">
        <v>6664000</v>
      </c>
      <c r="G132" s="18">
        <v>4.1061879297173407</v>
      </c>
      <c r="H132" s="18">
        <v>700</v>
      </c>
      <c r="I132" s="16">
        <v>0</v>
      </c>
    </row>
    <row r="133" spans="1:9">
      <c r="A133" s="9">
        <v>149</v>
      </c>
      <c r="B133" s="9" t="s">
        <v>922</v>
      </c>
      <c r="C133" s="9" t="s">
        <v>14</v>
      </c>
      <c r="D133" s="21">
        <v>500</v>
      </c>
      <c r="E133" s="18">
        <v>27500000</v>
      </c>
      <c r="F133" s="18">
        <v>5510000</v>
      </c>
      <c r="G133" s="18">
        <v>4.5372050816696907</v>
      </c>
      <c r="H133" s="18">
        <v>0</v>
      </c>
      <c r="I133" s="16">
        <v>500</v>
      </c>
    </row>
    <row r="134" spans="1:9">
      <c r="A134" s="9">
        <v>150</v>
      </c>
      <c r="B134" s="9" t="s">
        <v>923</v>
      </c>
      <c r="C134" s="9" t="s">
        <v>14</v>
      </c>
      <c r="D134" s="21">
        <v>400</v>
      </c>
      <c r="E134" s="18">
        <v>22000000</v>
      </c>
      <c r="F134" s="18">
        <v>5008000</v>
      </c>
      <c r="G134" s="18">
        <v>3.9936102236421727</v>
      </c>
      <c r="H134" s="18">
        <v>0</v>
      </c>
      <c r="I134" s="16">
        <v>400</v>
      </c>
    </row>
    <row r="135" spans="1:9">
      <c r="A135" s="9">
        <v>151</v>
      </c>
      <c r="B135" s="9" t="s">
        <v>924</v>
      </c>
      <c r="C135" s="9" t="s">
        <v>14</v>
      </c>
      <c r="D135" s="21">
        <v>400</v>
      </c>
      <c r="E135" s="18">
        <v>19600000</v>
      </c>
      <c r="F135" s="18">
        <v>4808000</v>
      </c>
      <c r="G135" s="18">
        <v>3.7059446377250036</v>
      </c>
      <c r="H135" s="18">
        <v>0</v>
      </c>
      <c r="I135" s="16">
        <v>400</v>
      </c>
    </row>
    <row r="136" spans="1:9">
      <c r="A136" s="9">
        <v>153</v>
      </c>
      <c r="B136" s="9" t="s">
        <v>925</v>
      </c>
      <c r="C136" s="9" t="s">
        <v>14</v>
      </c>
      <c r="D136" s="21">
        <v>500</v>
      </c>
      <c r="E136" s="18">
        <v>24500000</v>
      </c>
      <c r="F136" s="18">
        <v>3513000.0000000005</v>
      </c>
      <c r="G136" s="18">
        <v>6.3400874673291394</v>
      </c>
      <c r="H136" s="18">
        <v>500</v>
      </c>
      <c r="I136" s="16">
        <v>0</v>
      </c>
    </row>
    <row r="137" spans="1:9">
      <c r="A137" s="9">
        <v>154</v>
      </c>
      <c r="B137" s="9" t="s">
        <v>926</v>
      </c>
      <c r="C137" s="9" t="s">
        <v>14</v>
      </c>
      <c r="D137" s="21">
        <v>500</v>
      </c>
      <c r="E137" s="18">
        <v>24500000</v>
      </c>
      <c r="F137" s="18">
        <v>3484125.0000000005</v>
      </c>
      <c r="G137" s="18">
        <v>6.3926315137164327</v>
      </c>
      <c r="H137" s="18">
        <v>500</v>
      </c>
      <c r="I137" s="16">
        <v>0</v>
      </c>
    </row>
    <row r="138" spans="1:9">
      <c r="A138" s="9">
        <v>155</v>
      </c>
      <c r="B138" s="9" t="s">
        <v>927</v>
      </c>
      <c r="C138" s="9" t="s">
        <v>14</v>
      </c>
      <c r="D138" s="21">
        <v>1000</v>
      </c>
      <c r="E138" s="18">
        <v>43000000</v>
      </c>
      <c r="F138" s="18">
        <v>6852750</v>
      </c>
      <c r="G138" s="18">
        <v>5.7044119646724436</v>
      </c>
      <c r="H138" s="18">
        <v>999</v>
      </c>
      <c r="I138" s="16">
        <v>0</v>
      </c>
    </row>
    <row r="139" spans="1:9">
      <c r="A139" s="9">
        <v>156</v>
      </c>
      <c r="B139" s="9" t="s">
        <v>928</v>
      </c>
      <c r="C139" s="9" t="s">
        <v>14</v>
      </c>
      <c r="D139" s="21">
        <v>500</v>
      </c>
      <c r="E139" s="18">
        <v>24500000</v>
      </c>
      <c r="F139" s="18">
        <v>3426375</v>
      </c>
      <c r="G139" s="18">
        <v>6.5003764248592955</v>
      </c>
      <c r="H139" s="18">
        <v>500</v>
      </c>
      <c r="I139" s="16">
        <v>0</v>
      </c>
    </row>
    <row r="140" spans="1:9">
      <c r="A140" s="9">
        <v>157</v>
      </c>
      <c r="B140" s="9" t="s">
        <v>929</v>
      </c>
      <c r="C140" s="9" t="s">
        <v>14</v>
      </c>
      <c r="D140" s="21">
        <v>300</v>
      </c>
      <c r="E140" s="18">
        <v>12900000</v>
      </c>
      <c r="F140" s="18">
        <v>1934550.0000000002</v>
      </c>
      <c r="G140" s="18">
        <v>6.0620158317297177</v>
      </c>
      <c r="H140" s="18">
        <v>300</v>
      </c>
      <c r="I140" s="16">
        <v>0</v>
      </c>
    </row>
    <row r="141" spans="1:9">
      <c r="A141" s="9">
        <v>158</v>
      </c>
      <c r="B141" s="9" t="s">
        <v>930</v>
      </c>
      <c r="C141" s="9" t="s">
        <v>14</v>
      </c>
      <c r="D141" s="21">
        <v>300</v>
      </c>
      <c r="E141" s="18">
        <v>12900000</v>
      </c>
      <c r="F141" s="18">
        <v>1969200</v>
      </c>
      <c r="G141" s="18">
        <v>5.9553487341421532</v>
      </c>
      <c r="H141" s="18">
        <v>300</v>
      </c>
      <c r="I141" s="16">
        <v>0</v>
      </c>
    </row>
    <row r="142" spans="1:9">
      <c r="A142" s="9">
        <v>160</v>
      </c>
      <c r="B142" s="9" t="s">
        <v>931</v>
      </c>
      <c r="C142" s="9" t="s">
        <v>14</v>
      </c>
      <c r="D142" s="21">
        <v>200</v>
      </c>
      <c r="E142" s="18">
        <v>9000000</v>
      </c>
      <c r="F142" s="18">
        <v>1330640.0000000002</v>
      </c>
      <c r="G142" s="18">
        <v>6.1487841804080583</v>
      </c>
      <c r="H142" s="18">
        <v>0</v>
      </c>
      <c r="I142" s="16">
        <v>200</v>
      </c>
    </row>
    <row r="143" spans="1:9">
      <c r="A143" s="9">
        <v>161</v>
      </c>
      <c r="B143" s="9" t="s">
        <v>932</v>
      </c>
      <c r="C143" s="9" t="s">
        <v>14</v>
      </c>
      <c r="D143" s="21">
        <v>200</v>
      </c>
      <c r="E143" s="18">
        <v>9000000</v>
      </c>
      <c r="F143" s="18">
        <v>1335040.0000000002</v>
      </c>
      <c r="G143" s="18">
        <v>6.1285191318748344</v>
      </c>
      <c r="H143" s="18">
        <v>0</v>
      </c>
      <c r="I143" s="16">
        <v>200</v>
      </c>
    </row>
    <row r="144" spans="1:9">
      <c r="A144" s="9">
        <v>163</v>
      </c>
      <c r="B144" s="9" t="s">
        <v>933</v>
      </c>
      <c r="C144" s="9" t="s">
        <v>14</v>
      </c>
      <c r="D144" s="21">
        <v>1000</v>
      </c>
      <c r="E144" s="18">
        <v>179000000</v>
      </c>
      <c r="F144" s="18">
        <v>39079000</v>
      </c>
      <c r="G144" s="18">
        <v>4.1640592831769681</v>
      </c>
      <c r="H144" s="18">
        <v>0</v>
      </c>
      <c r="I144" s="16">
        <v>1000</v>
      </c>
    </row>
    <row r="145" spans="1:9">
      <c r="A145" s="9">
        <v>164</v>
      </c>
      <c r="B145" s="9" t="s">
        <v>934</v>
      </c>
      <c r="C145" s="9" t="s">
        <v>14</v>
      </c>
      <c r="D145" s="21">
        <v>800</v>
      </c>
      <c r="E145" s="18">
        <v>135200000</v>
      </c>
      <c r="F145" s="18">
        <v>27752000</v>
      </c>
      <c r="G145" s="18">
        <v>4.4288372336801274</v>
      </c>
      <c r="H145" s="18">
        <v>0</v>
      </c>
      <c r="I145" s="16">
        <v>800</v>
      </c>
    </row>
    <row r="146" spans="1:9">
      <c r="A146" s="9">
        <v>165</v>
      </c>
      <c r="B146" s="9" t="s">
        <v>935</v>
      </c>
      <c r="C146" s="9" t="s">
        <v>14</v>
      </c>
      <c r="D146" s="21">
        <v>1200</v>
      </c>
      <c r="E146" s="18">
        <v>190800000</v>
      </c>
      <c r="F146" s="18">
        <v>40519200</v>
      </c>
      <c r="G146" s="18">
        <v>4.2807988670690795</v>
      </c>
      <c r="H146" s="18">
        <v>0</v>
      </c>
      <c r="I146" s="16">
        <v>1200</v>
      </c>
    </row>
    <row r="147" spans="1:9">
      <c r="A147" s="9">
        <v>166</v>
      </c>
      <c r="B147" s="9" t="s">
        <v>936</v>
      </c>
      <c r="C147" s="9" t="s">
        <v>14</v>
      </c>
      <c r="D147" s="21">
        <v>1000</v>
      </c>
      <c r="E147" s="18">
        <v>139000000</v>
      </c>
      <c r="F147" s="18">
        <v>27760000.000000004</v>
      </c>
      <c r="G147" s="18">
        <v>4.5520041917736433</v>
      </c>
      <c r="H147" s="18">
        <v>0</v>
      </c>
      <c r="I147" s="16">
        <v>1000</v>
      </c>
    </row>
    <row r="148" spans="1:9">
      <c r="A148" s="9">
        <v>167</v>
      </c>
      <c r="B148" s="9" t="s">
        <v>937</v>
      </c>
      <c r="C148" s="9" t="s">
        <v>14</v>
      </c>
      <c r="D148" s="21">
        <v>1500</v>
      </c>
      <c r="E148" s="18">
        <v>208500000</v>
      </c>
      <c r="F148" s="18">
        <v>41640000.000000007</v>
      </c>
      <c r="G148" s="18">
        <v>4.5520041917736425</v>
      </c>
      <c r="H148" s="18">
        <v>0</v>
      </c>
      <c r="I148" s="16">
        <v>1500</v>
      </c>
    </row>
    <row r="149" spans="1:9">
      <c r="A149" s="9">
        <v>168</v>
      </c>
      <c r="B149" s="9" t="s">
        <v>938</v>
      </c>
      <c r="C149" s="9" t="s">
        <v>14</v>
      </c>
      <c r="D149" s="21">
        <v>1200</v>
      </c>
      <c r="E149" s="18">
        <v>154800000</v>
      </c>
      <c r="F149" s="18">
        <v>30540000</v>
      </c>
      <c r="G149" s="18">
        <v>4.6079657081621717</v>
      </c>
      <c r="H149" s="18">
        <v>0</v>
      </c>
      <c r="I149" s="16">
        <v>1200</v>
      </c>
    </row>
    <row r="150" spans="1:9">
      <c r="A150" s="9">
        <v>169</v>
      </c>
      <c r="B150" s="9" t="s">
        <v>939</v>
      </c>
      <c r="C150" s="9" t="s">
        <v>14</v>
      </c>
      <c r="D150" s="21">
        <v>1200</v>
      </c>
      <c r="E150" s="18">
        <v>94800000</v>
      </c>
      <c r="F150" s="18">
        <v>20838000</v>
      </c>
      <c r="G150" s="18">
        <v>4.135800853336125</v>
      </c>
      <c r="H150" s="18">
        <v>0</v>
      </c>
      <c r="I150" s="16">
        <v>1200</v>
      </c>
    </row>
    <row r="151" spans="1:9">
      <c r="A151" s="9">
        <v>170</v>
      </c>
      <c r="B151" s="9" t="s">
        <v>940</v>
      </c>
      <c r="C151" s="9" t="s">
        <v>14</v>
      </c>
      <c r="D151" s="21">
        <v>1000</v>
      </c>
      <c r="E151" s="18">
        <v>99000000</v>
      </c>
      <c r="F151" s="18">
        <v>20830000.000000004</v>
      </c>
      <c r="G151" s="18">
        <v>4.3206913106096962</v>
      </c>
      <c r="H151" s="18">
        <v>0</v>
      </c>
      <c r="I151" s="16">
        <v>1000</v>
      </c>
    </row>
    <row r="152" spans="1:9">
      <c r="A152" s="9">
        <v>171</v>
      </c>
      <c r="B152" s="9" t="s">
        <v>941</v>
      </c>
      <c r="C152" s="9" t="s">
        <v>14</v>
      </c>
      <c r="D152" s="21">
        <v>800</v>
      </c>
      <c r="E152" s="18">
        <v>71200000</v>
      </c>
      <c r="F152" s="18">
        <v>14354000.000000004</v>
      </c>
      <c r="G152" s="18">
        <v>4.5093543769870914</v>
      </c>
      <c r="H152" s="18">
        <v>0</v>
      </c>
      <c r="I152" s="16">
        <v>800</v>
      </c>
    </row>
    <row r="153" spans="1:9">
      <c r="A153" s="9">
        <v>172</v>
      </c>
      <c r="B153" s="9" t="s">
        <v>942</v>
      </c>
      <c r="C153" s="9" t="s">
        <v>14</v>
      </c>
      <c r="D153" s="21">
        <v>1000</v>
      </c>
      <c r="E153" s="18">
        <v>99000000</v>
      </c>
      <c r="F153" s="18">
        <v>20830000.000000004</v>
      </c>
      <c r="G153" s="18">
        <v>4.3206913106096962</v>
      </c>
      <c r="H153" s="18">
        <v>0</v>
      </c>
      <c r="I153" s="16">
        <v>1000</v>
      </c>
    </row>
    <row r="154" spans="1:9">
      <c r="A154" s="9">
        <v>173</v>
      </c>
      <c r="B154" s="9" t="s">
        <v>943</v>
      </c>
      <c r="C154" s="9" t="s">
        <v>14</v>
      </c>
      <c r="D154" s="21">
        <v>800</v>
      </c>
      <c r="E154" s="18">
        <v>71200000</v>
      </c>
      <c r="F154" s="18">
        <v>14354000.000000002</v>
      </c>
      <c r="G154" s="18">
        <v>4.5093543769870914</v>
      </c>
      <c r="H154" s="18">
        <v>0</v>
      </c>
      <c r="I154" s="16">
        <v>800</v>
      </c>
    </row>
    <row r="155" spans="1:9">
      <c r="A155" s="9">
        <v>175</v>
      </c>
      <c r="B155" s="9" t="s">
        <v>944</v>
      </c>
      <c r="C155" s="9" t="s">
        <v>15</v>
      </c>
      <c r="D155" s="21">
        <v>200</v>
      </c>
      <c r="E155" s="18">
        <v>13000000</v>
      </c>
      <c r="F155" s="18">
        <v>3184272</v>
      </c>
      <c r="G155" s="18">
        <v>3.7114234645098843</v>
      </c>
      <c r="H155" s="18">
        <v>0</v>
      </c>
      <c r="I155" s="16">
        <v>200</v>
      </c>
    </row>
    <row r="156" spans="1:9">
      <c r="A156" s="9">
        <v>176</v>
      </c>
      <c r="B156" s="9" t="s">
        <v>945</v>
      </c>
      <c r="C156" s="9" t="s">
        <v>15</v>
      </c>
      <c r="D156" s="21">
        <v>200</v>
      </c>
      <c r="E156" s="18">
        <v>13000000</v>
      </c>
      <c r="F156" s="18">
        <v>3184272</v>
      </c>
      <c r="G156" s="18">
        <v>3.7114234645098843</v>
      </c>
      <c r="H156" s="18">
        <v>0</v>
      </c>
      <c r="I156" s="16">
        <v>200</v>
      </c>
    </row>
    <row r="157" spans="1:9">
      <c r="A157" s="9">
        <v>177</v>
      </c>
      <c r="B157" s="9" t="s">
        <v>946</v>
      </c>
      <c r="C157" s="9" t="s">
        <v>15</v>
      </c>
      <c r="D157" s="21">
        <v>200</v>
      </c>
      <c r="E157" s="18">
        <v>14600000</v>
      </c>
      <c r="F157" s="18">
        <v>3449628.0000000005</v>
      </c>
      <c r="G157" s="18">
        <v>3.847582195160542</v>
      </c>
      <c r="H157" s="18">
        <v>0</v>
      </c>
      <c r="I157" s="16">
        <v>200</v>
      </c>
    </row>
    <row r="158" spans="1:9">
      <c r="A158" s="9">
        <v>178</v>
      </c>
      <c r="B158" s="9" t="s">
        <v>947</v>
      </c>
      <c r="C158" s="9" t="s">
        <v>15</v>
      </c>
      <c r="D158" s="21">
        <v>200</v>
      </c>
      <c r="E158" s="18">
        <v>14600000</v>
      </c>
      <c r="F158" s="18">
        <v>3449628.0000000005</v>
      </c>
      <c r="G158" s="18">
        <v>3.847582195160542</v>
      </c>
      <c r="H158" s="18">
        <v>0</v>
      </c>
      <c r="I158" s="16">
        <v>200</v>
      </c>
    </row>
    <row r="159" spans="1:9">
      <c r="A159" s="9">
        <v>179</v>
      </c>
      <c r="B159" s="9" t="s">
        <v>948</v>
      </c>
      <c r="C159" s="9" t="s">
        <v>15</v>
      </c>
      <c r="D159" s="21">
        <v>200</v>
      </c>
      <c r="E159" s="18">
        <v>14600000</v>
      </c>
      <c r="F159" s="18">
        <v>3449628.0000000005</v>
      </c>
      <c r="G159" s="18">
        <v>3.847582195160542</v>
      </c>
      <c r="H159" s="18">
        <v>0</v>
      </c>
      <c r="I159" s="16">
        <v>200</v>
      </c>
    </row>
    <row r="160" spans="1:9">
      <c r="A160" s="9">
        <v>180</v>
      </c>
      <c r="B160" s="9" t="s">
        <v>949</v>
      </c>
      <c r="C160" s="9" t="s">
        <v>15</v>
      </c>
      <c r="D160" s="21">
        <v>200</v>
      </c>
      <c r="E160" s="18">
        <v>14600000</v>
      </c>
      <c r="F160" s="18">
        <v>3449628.0000000005</v>
      </c>
      <c r="G160" s="18">
        <v>3.847582195160542</v>
      </c>
      <c r="H160" s="18">
        <v>0</v>
      </c>
      <c r="I160" s="16">
        <v>200</v>
      </c>
    </row>
    <row r="161" spans="1:9">
      <c r="A161" s="9">
        <v>181</v>
      </c>
      <c r="B161" s="9" t="s">
        <v>950</v>
      </c>
      <c r="C161" s="9" t="s">
        <v>15</v>
      </c>
      <c r="D161" s="21">
        <v>200</v>
      </c>
      <c r="E161" s="18">
        <v>14600000</v>
      </c>
      <c r="F161" s="18">
        <v>3449628.0000000005</v>
      </c>
      <c r="G161" s="18">
        <v>3.847582195160542</v>
      </c>
      <c r="H161" s="18">
        <v>0</v>
      </c>
      <c r="I161" s="16">
        <v>200</v>
      </c>
    </row>
    <row r="162" spans="1:9">
      <c r="A162" s="9">
        <v>182</v>
      </c>
      <c r="B162" s="9" t="s">
        <v>951</v>
      </c>
      <c r="C162" s="9" t="s">
        <v>15</v>
      </c>
      <c r="D162" s="21">
        <v>300</v>
      </c>
      <c r="E162" s="18">
        <v>21900000</v>
      </c>
      <c r="F162" s="18">
        <v>5174442.0000000009</v>
      </c>
      <c r="G162" s="18">
        <v>3.847582195160542</v>
      </c>
      <c r="H162" s="18">
        <v>0</v>
      </c>
      <c r="I162" s="16">
        <v>300</v>
      </c>
    </row>
    <row r="163" spans="1:9">
      <c r="A163" s="9">
        <v>183</v>
      </c>
      <c r="B163" s="9" t="s">
        <v>952</v>
      </c>
      <c r="C163" s="9" t="s">
        <v>15</v>
      </c>
      <c r="D163" s="21">
        <v>300</v>
      </c>
      <c r="E163" s="18">
        <v>21900000</v>
      </c>
      <c r="F163" s="18">
        <v>5174442.0000000009</v>
      </c>
      <c r="G163" s="18">
        <v>3.847582195160542</v>
      </c>
      <c r="H163" s="18">
        <v>0</v>
      </c>
      <c r="I163" s="16">
        <v>300</v>
      </c>
    </row>
    <row r="164" spans="1:9">
      <c r="A164" s="9">
        <v>184</v>
      </c>
      <c r="B164" s="9" t="s">
        <v>953</v>
      </c>
      <c r="C164" s="9" t="s">
        <v>15</v>
      </c>
      <c r="D164" s="21">
        <v>150</v>
      </c>
      <c r="E164" s="18">
        <v>9750000</v>
      </c>
      <c r="F164" s="18">
        <v>2388204</v>
      </c>
      <c r="G164" s="18">
        <v>3.7114234645098838</v>
      </c>
      <c r="H164" s="18">
        <v>0</v>
      </c>
      <c r="I164" s="16">
        <v>150</v>
      </c>
    </row>
    <row r="165" spans="1:9">
      <c r="A165" s="9">
        <v>185</v>
      </c>
      <c r="B165" s="9" t="s">
        <v>954</v>
      </c>
      <c r="C165" s="9" t="s">
        <v>15</v>
      </c>
      <c r="D165" s="21">
        <v>150</v>
      </c>
      <c r="E165" s="18">
        <v>9750000</v>
      </c>
      <c r="F165" s="18">
        <v>2388204</v>
      </c>
      <c r="G165" s="18">
        <v>3.7114234645098838</v>
      </c>
      <c r="H165" s="18">
        <v>0</v>
      </c>
      <c r="I165" s="16">
        <v>150</v>
      </c>
    </row>
    <row r="166" spans="1:9">
      <c r="A166" s="9">
        <v>186</v>
      </c>
      <c r="B166" s="9" t="s">
        <v>955</v>
      </c>
      <c r="C166" s="9" t="s">
        <v>15</v>
      </c>
      <c r="D166" s="21">
        <v>300</v>
      </c>
      <c r="E166" s="18">
        <v>21900000</v>
      </c>
      <c r="F166" s="18">
        <v>5174442.0000000009</v>
      </c>
      <c r="G166" s="18">
        <v>3.847582195160542</v>
      </c>
      <c r="H166" s="18">
        <v>0</v>
      </c>
      <c r="I166" s="16">
        <v>300</v>
      </c>
    </row>
    <row r="167" spans="1:9">
      <c r="A167" s="9">
        <v>187</v>
      </c>
      <c r="B167" s="9" t="s">
        <v>956</v>
      </c>
      <c r="C167" s="9" t="s">
        <v>15</v>
      </c>
      <c r="D167" s="21">
        <v>300</v>
      </c>
      <c r="E167" s="18">
        <v>21900000</v>
      </c>
      <c r="F167" s="18">
        <v>5174442.0000000009</v>
      </c>
      <c r="G167" s="18">
        <v>3.847582195160542</v>
      </c>
      <c r="H167" s="18">
        <v>0</v>
      </c>
      <c r="I167" s="16">
        <v>300</v>
      </c>
    </row>
    <row r="168" spans="1:9">
      <c r="A168" s="9">
        <v>188</v>
      </c>
      <c r="B168" s="9" t="s">
        <v>957</v>
      </c>
      <c r="C168" s="9" t="s">
        <v>15</v>
      </c>
      <c r="D168" s="21">
        <v>300</v>
      </c>
      <c r="E168" s="18">
        <v>21900000</v>
      </c>
      <c r="F168" s="18">
        <v>5174442.0000000009</v>
      </c>
      <c r="G168" s="18">
        <v>3.847582195160542</v>
      </c>
      <c r="H168" s="18">
        <v>0</v>
      </c>
      <c r="I168" s="16">
        <v>300</v>
      </c>
    </row>
    <row r="169" spans="1:9">
      <c r="A169" s="9">
        <v>189</v>
      </c>
      <c r="B169" s="9" t="s">
        <v>958</v>
      </c>
      <c r="C169" s="9" t="s">
        <v>15</v>
      </c>
      <c r="D169" s="21">
        <v>50</v>
      </c>
      <c r="E169" s="18">
        <v>4950000</v>
      </c>
      <c r="F169" s="18">
        <v>1171989.0000000002</v>
      </c>
      <c r="G169" s="18">
        <v>3.8396264811359142</v>
      </c>
      <c r="H169" s="18">
        <v>0</v>
      </c>
      <c r="I169" s="16">
        <v>50</v>
      </c>
    </row>
    <row r="170" spans="1:9">
      <c r="A170" s="9">
        <v>190</v>
      </c>
      <c r="B170" s="9" t="s">
        <v>959</v>
      </c>
      <c r="C170" s="9" t="s">
        <v>15</v>
      </c>
      <c r="D170" s="21">
        <v>50</v>
      </c>
      <c r="E170" s="18">
        <v>4950000</v>
      </c>
      <c r="F170" s="18">
        <v>1171989.0000000002</v>
      </c>
      <c r="G170" s="18">
        <v>3.8396264811359142</v>
      </c>
      <c r="H170" s="18">
        <v>0</v>
      </c>
      <c r="I170" s="16">
        <v>50</v>
      </c>
    </row>
    <row r="171" spans="1:9">
      <c r="A171" s="9">
        <v>191</v>
      </c>
      <c r="B171" s="9" t="s">
        <v>960</v>
      </c>
      <c r="C171" s="9" t="s">
        <v>15</v>
      </c>
      <c r="D171" s="21">
        <v>100</v>
      </c>
      <c r="E171" s="18">
        <v>8500000</v>
      </c>
      <c r="F171" s="18">
        <v>2034396</v>
      </c>
      <c r="G171" s="18">
        <v>3.7983129770569382</v>
      </c>
      <c r="H171" s="18">
        <v>0</v>
      </c>
      <c r="I171" s="16">
        <v>100</v>
      </c>
    </row>
    <row r="172" spans="1:9">
      <c r="A172" s="9">
        <v>192</v>
      </c>
      <c r="B172" s="9" t="s">
        <v>961</v>
      </c>
      <c r="C172" s="9" t="s">
        <v>15</v>
      </c>
      <c r="D172" s="21">
        <v>100</v>
      </c>
      <c r="E172" s="18">
        <v>8500000</v>
      </c>
      <c r="F172" s="18">
        <v>2034396</v>
      </c>
      <c r="G172" s="18">
        <v>3.7983129770569382</v>
      </c>
      <c r="H172" s="18">
        <v>0</v>
      </c>
      <c r="I172" s="16">
        <v>100</v>
      </c>
    </row>
    <row r="173" spans="1:9">
      <c r="A173" s="9">
        <v>193</v>
      </c>
      <c r="B173" s="9" t="s">
        <v>962</v>
      </c>
      <c r="C173" s="9" t="s">
        <v>15</v>
      </c>
      <c r="D173" s="21">
        <v>200</v>
      </c>
      <c r="E173" s="18">
        <v>17000000</v>
      </c>
      <c r="F173" s="18">
        <v>4068792</v>
      </c>
      <c r="G173" s="18">
        <v>3.7983129770569382</v>
      </c>
      <c r="H173" s="18">
        <v>0</v>
      </c>
      <c r="I173" s="16">
        <v>200</v>
      </c>
    </row>
    <row r="174" spans="1:9">
      <c r="A174" s="9">
        <v>194</v>
      </c>
      <c r="B174" s="9" t="s">
        <v>963</v>
      </c>
      <c r="C174" s="9" t="s">
        <v>15</v>
      </c>
      <c r="D174" s="21">
        <v>150</v>
      </c>
      <c r="E174" s="18">
        <v>12750000</v>
      </c>
      <c r="F174" s="18">
        <v>3051594</v>
      </c>
      <c r="G174" s="18">
        <v>3.7983129770569382</v>
      </c>
      <c r="H174" s="18">
        <v>0</v>
      </c>
      <c r="I174" s="16">
        <v>150</v>
      </c>
    </row>
    <row r="175" spans="1:9">
      <c r="A175" s="9">
        <v>195</v>
      </c>
      <c r="B175" s="9" t="s">
        <v>964</v>
      </c>
      <c r="C175" s="9" t="s">
        <v>15</v>
      </c>
      <c r="D175" s="21">
        <v>200</v>
      </c>
      <c r="E175" s="18">
        <v>17000000</v>
      </c>
      <c r="F175" s="18">
        <v>4068792</v>
      </c>
      <c r="G175" s="18">
        <v>3.7983129770569382</v>
      </c>
      <c r="H175" s="18">
        <v>0</v>
      </c>
      <c r="I175" s="16">
        <v>200</v>
      </c>
    </row>
    <row r="176" spans="1:9">
      <c r="A176" s="9">
        <v>196</v>
      </c>
      <c r="B176" s="9" t="s">
        <v>965</v>
      </c>
      <c r="C176" s="9" t="s">
        <v>15</v>
      </c>
      <c r="D176" s="21">
        <v>300</v>
      </c>
      <c r="E176" s="18">
        <v>21900000</v>
      </c>
      <c r="F176" s="18">
        <v>5174442.0000000009</v>
      </c>
      <c r="G176" s="18">
        <v>3.847582195160542</v>
      </c>
      <c r="H176" s="18">
        <v>0</v>
      </c>
      <c r="I176" s="16">
        <v>300</v>
      </c>
    </row>
    <row r="177" spans="1:9">
      <c r="A177" s="9">
        <v>197</v>
      </c>
      <c r="B177" s="9" t="s">
        <v>966</v>
      </c>
      <c r="C177" s="9" t="s">
        <v>15</v>
      </c>
      <c r="D177" s="21">
        <v>300</v>
      </c>
      <c r="E177" s="18">
        <v>21900000</v>
      </c>
      <c r="F177" s="18">
        <v>5174442.0000000009</v>
      </c>
      <c r="G177" s="18">
        <v>3.847582195160542</v>
      </c>
      <c r="H177" s="18">
        <v>0</v>
      </c>
      <c r="I177" s="16">
        <v>300</v>
      </c>
    </row>
    <row r="178" spans="1:9">
      <c r="A178" s="9">
        <v>198</v>
      </c>
      <c r="B178" s="9" t="s">
        <v>967</v>
      </c>
      <c r="C178" s="9" t="s">
        <v>15</v>
      </c>
      <c r="D178" s="21">
        <v>20</v>
      </c>
      <c r="E178" s="18">
        <v>2980000</v>
      </c>
      <c r="F178" s="18">
        <v>689925.60000000009</v>
      </c>
      <c r="G178" s="18">
        <v>3.9266421032802792</v>
      </c>
      <c r="H178" s="18">
        <v>0</v>
      </c>
      <c r="I178" s="16">
        <v>20</v>
      </c>
    </row>
    <row r="179" spans="1:9">
      <c r="A179" s="9">
        <v>199</v>
      </c>
      <c r="B179" s="9" t="s">
        <v>968</v>
      </c>
      <c r="C179" s="9" t="s">
        <v>15</v>
      </c>
      <c r="D179" s="21">
        <v>20</v>
      </c>
      <c r="E179" s="18">
        <v>2980000</v>
      </c>
      <c r="F179" s="18">
        <v>689925.60000000009</v>
      </c>
      <c r="G179" s="18">
        <v>3.9266421032802792</v>
      </c>
      <c r="H179" s="18">
        <v>0</v>
      </c>
      <c r="I179" s="16">
        <v>20</v>
      </c>
    </row>
    <row r="180" spans="1:9">
      <c r="A180" s="9">
        <v>200</v>
      </c>
      <c r="B180" s="9" t="s">
        <v>969</v>
      </c>
      <c r="C180" s="9" t="s">
        <v>15</v>
      </c>
      <c r="D180" s="21">
        <v>20</v>
      </c>
      <c r="E180" s="18">
        <v>1460000</v>
      </c>
      <c r="F180" s="18">
        <v>344962.80000000005</v>
      </c>
      <c r="G180" s="18">
        <v>3.847582195160542</v>
      </c>
      <c r="H180" s="18">
        <v>0</v>
      </c>
      <c r="I180" s="16">
        <v>20</v>
      </c>
    </row>
    <row r="181" spans="1:9">
      <c r="A181" s="9">
        <v>201</v>
      </c>
      <c r="B181" s="9" t="s">
        <v>970</v>
      </c>
      <c r="C181" s="9" t="s">
        <v>15</v>
      </c>
      <c r="D181" s="21">
        <v>20</v>
      </c>
      <c r="E181" s="18">
        <v>1460000</v>
      </c>
      <c r="F181" s="18">
        <v>344962.80000000005</v>
      </c>
      <c r="G181" s="18">
        <v>3.847582195160542</v>
      </c>
      <c r="H181" s="18">
        <v>0</v>
      </c>
      <c r="I181" s="16">
        <v>20</v>
      </c>
    </row>
    <row r="182" spans="1:9">
      <c r="A182" s="9">
        <v>202</v>
      </c>
      <c r="B182" s="9" t="s">
        <v>971</v>
      </c>
      <c r="C182" s="9" t="s">
        <v>15</v>
      </c>
      <c r="D182" s="21">
        <v>20</v>
      </c>
      <c r="E182" s="18">
        <v>1460000</v>
      </c>
      <c r="F182" s="18">
        <v>344962.80000000005</v>
      </c>
      <c r="G182" s="18">
        <v>3.847582195160542</v>
      </c>
      <c r="H182" s="18">
        <v>0</v>
      </c>
      <c r="I182" s="16">
        <v>20</v>
      </c>
    </row>
    <row r="183" spans="1:9">
      <c r="A183" s="9">
        <v>204</v>
      </c>
      <c r="B183" s="9" t="s">
        <v>972</v>
      </c>
      <c r="C183" s="9" t="s">
        <v>14</v>
      </c>
      <c r="D183" s="21">
        <v>1000</v>
      </c>
      <c r="E183" s="18">
        <v>43000000</v>
      </c>
      <c r="F183" s="18">
        <v>4524500</v>
      </c>
      <c r="G183" s="18">
        <v>8.6398296145229505</v>
      </c>
      <c r="H183" s="18">
        <v>1000</v>
      </c>
      <c r="I183" s="16">
        <v>0</v>
      </c>
    </row>
    <row r="184" spans="1:9">
      <c r="A184" s="9">
        <v>206</v>
      </c>
      <c r="B184" s="9" t="s">
        <v>973</v>
      </c>
      <c r="C184" s="9" t="s">
        <v>14</v>
      </c>
      <c r="D184" s="21">
        <v>800</v>
      </c>
      <c r="E184" s="18">
        <v>34400000</v>
      </c>
      <c r="F184" s="18">
        <v>5554456.0000000009</v>
      </c>
      <c r="G184" s="18">
        <v>5.6302052393118727</v>
      </c>
      <c r="H184" s="18">
        <v>700</v>
      </c>
      <c r="I184" s="16">
        <v>0</v>
      </c>
    </row>
    <row r="185" spans="1:9">
      <c r="A185" s="9">
        <v>208</v>
      </c>
      <c r="B185" s="9" t="s">
        <v>974</v>
      </c>
      <c r="C185" s="9" t="s">
        <v>14</v>
      </c>
      <c r="D185" s="21">
        <v>700</v>
      </c>
      <c r="E185" s="18">
        <v>34300000</v>
      </c>
      <c r="F185" s="18">
        <v>5460000</v>
      </c>
      <c r="G185" s="18">
        <v>5.7109557109557096</v>
      </c>
      <c r="H185" s="18">
        <v>700</v>
      </c>
      <c r="I185" s="16">
        <v>0</v>
      </c>
    </row>
    <row r="186" spans="1:9">
      <c r="A186" s="9">
        <v>210</v>
      </c>
      <c r="B186" s="9" t="s">
        <v>975</v>
      </c>
      <c r="C186" s="9" t="s">
        <v>14</v>
      </c>
      <c r="D186" s="21">
        <v>800</v>
      </c>
      <c r="E186" s="18">
        <v>44000000</v>
      </c>
      <c r="F186" s="18">
        <v>5638792.0000000009</v>
      </c>
      <c r="G186" s="18">
        <v>7.0937179452620338</v>
      </c>
      <c r="H186" s="18">
        <v>0</v>
      </c>
      <c r="I186" s="16">
        <v>800</v>
      </c>
    </row>
    <row r="187" spans="1:9">
      <c r="A187" s="9">
        <v>211</v>
      </c>
      <c r="B187" s="9" t="s">
        <v>976</v>
      </c>
      <c r="C187" s="9" t="s">
        <v>14</v>
      </c>
      <c r="D187" s="21">
        <v>800</v>
      </c>
      <c r="E187" s="18">
        <v>44000000</v>
      </c>
      <c r="F187" s="18">
        <v>6349160.0000000009</v>
      </c>
      <c r="G187" s="18">
        <v>6.300045990335728</v>
      </c>
      <c r="H187" s="18">
        <v>0</v>
      </c>
      <c r="I187" s="16">
        <v>800</v>
      </c>
    </row>
    <row r="188" spans="1:9">
      <c r="A188" s="9">
        <v>212</v>
      </c>
      <c r="B188" s="9" t="s">
        <v>977</v>
      </c>
      <c r="C188" s="9" t="s">
        <v>14</v>
      </c>
      <c r="D188" s="21">
        <v>800</v>
      </c>
      <c r="E188" s="18">
        <v>44000000</v>
      </c>
      <c r="F188" s="18">
        <v>5921292.0000000009</v>
      </c>
      <c r="G188" s="18">
        <v>6.7552824620032235</v>
      </c>
      <c r="H188" s="18">
        <v>0</v>
      </c>
      <c r="I188" s="16">
        <v>800</v>
      </c>
    </row>
    <row r="189" spans="1:9">
      <c r="A189" s="9">
        <v>213</v>
      </c>
      <c r="B189" s="9" t="s">
        <v>978</v>
      </c>
      <c r="C189" s="9" t="s">
        <v>14</v>
      </c>
      <c r="D189" s="21">
        <v>600</v>
      </c>
      <c r="E189" s="18">
        <v>33000000</v>
      </c>
      <c r="F189" s="18">
        <v>3117540.0000000005</v>
      </c>
      <c r="G189" s="18">
        <v>9.6229719586597096</v>
      </c>
      <c r="H189" s="18">
        <v>0</v>
      </c>
      <c r="I189" s="16">
        <v>600</v>
      </c>
    </row>
    <row r="190" spans="1:9">
      <c r="A190" s="9">
        <v>215</v>
      </c>
      <c r="B190" s="9" t="s">
        <v>979</v>
      </c>
      <c r="C190" s="9" t="s">
        <v>14</v>
      </c>
      <c r="D190" s="21">
        <v>400</v>
      </c>
      <c r="E190" s="18">
        <v>31600000</v>
      </c>
      <c r="F190" s="18">
        <v>5948280</v>
      </c>
      <c r="G190" s="18">
        <v>4.8295091568104933</v>
      </c>
      <c r="H190" s="18">
        <v>0</v>
      </c>
      <c r="I190" s="16">
        <v>400</v>
      </c>
    </row>
    <row r="191" spans="1:9">
      <c r="A191" s="9">
        <v>217</v>
      </c>
      <c r="B191" s="9" t="s">
        <v>980</v>
      </c>
      <c r="C191" s="9" t="s">
        <v>14</v>
      </c>
      <c r="D191" s="21">
        <v>500</v>
      </c>
      <c r="E191" s="18">
        <v>32500000</v>
      </c>
      <c r="F191" s="18">
        <v>7950000</v>
      </c>
      <c r="G191" s="18">
        <v>3.7164093767867352</v>
      </c>
      <c r="H191" s="18">
        <v>0</v>
      </c>
      <c r="I191" s="16">
        <v>500</v>
      </c>
    </row>
    <row r="192" spans="1:9">
      <c r="A192" s="9">
        <v>218</v>
      </c>
      <c r="B192" s="9" t="s">
        <v>981</v>
      </c>
      <c r="C192" s="9" t="s">
        <v>14</v>
      </c>
      <c r="D192" s="21">
        <v>300</v>
      </c>
      <c r="E192" s="18">
        <v>17700000</v>
      </c>
      <c r="F192" s="18">
        <v>4620000</v>
      </c>
      <c r="G192" s="18">
        <v>3.4828807556080283</v>
      </c>
      <c r="H192" s="18">
        <v>0</v>
      </c>
      <c r="I192" s="16">
        <v>300</v>
      </c>
    </row>
    <row r="193" spans="1:9">
      <c r="A193" s="9">
        <v>219</v>
      </c>
      <c r="B193" s="9" t="s">
        <v>982</v>
      </c>
      <c r="C193" s="9" t="s">
        <v>14</v>
      </c>
      <c r="D193" s="21">
        <v>600</v>
      </c>
      <c r="E193" s="18">
        <v>39000000</v>
      </c>
      <c r="F193" s="18">
        <v>9420000</v>
      </c>
      <c r="G193" s="18">
        <v>3.7637521713954833</v>
      </c>
      <c r="H193" s="18">
        <v>0</v>
      </c>
      <c r="I193" s="16">
        <v>600</v>
      </c>
    </row>
    <row r="194" spans="1:9">
      <c r="A194" s="9">
        <v>220</v>
      </c>
      <c r="B194" s="9" t="s">
        <v>983</v>
      </c>
      <c r="C194" s="9" t="s">
        <v>14</v>
      </c>
      <c r="D194" s="21">
        <v>500</v>
      </c>
      <c r="E194" s="18">
        <v>34500000</v>
      </c>
      <c r="F194" s="18">
        <v>8350000</v>
      </c>
      <c r="G194" s="18">
        <v>3.7561241154055525</v>
      </c>
      <c r="H194" s="18">
        <v>0</v>
      </c>
      <c r="I194" s="16">
        <v>500</v>
      </c>
    </row>
    <row r="195" spans="1:9">
      <c r="A195" s="9">
        <v>221</v>
      </c>
      <c r="B195" s="9" t="s">
        <v>984</v>
      </c>
      <c r="C195" s="9" t="s">
        <v>14</v>
      </c>
      <c r="D195" s="21">
        <v>600</v>
      </c>
      <c r="E195" s="18">
        <v>41400000</v>
      </c>
      <c r="F195" s="18">
        <v>10020000</v>
      </c>
      <c r="G195" s="18">
        <v>3.7561241154055525</v>
      </c>
      <c r="H195" s="18">
        <v>0</v>
      </c>
      <c r="I195" s="16">
        <v>600</v>
      </c>
    </row>
    <row r="196" spans="1:9">
      <c r="A196" s="9">
        <v>222</v>
      </c>
      <c r="B196" s="9" t="s">
        <v>985</v>
      </c>
      <c r="C196" s="9" t="s">
        <v>14</v>
      </c>
      <c r="D196" s="21">
        <v>600</v>
      </c>
      <c r="E196" s="18">
        <v>35400000</v>
      </c>
      <c r="F196" s="18">
        <v>7680000</v>
      </c>
      <c r="G196" s="18">
        <v>4.1903409090909092</v>
      </c>
      <c r="H196" s="18">
        <v>0</v>
      </c>
      <c r="I196" s="16">
        <v>600</v>
      </c>
    </row>
    <row r="197" spans="1:9">
      <c r="A197" s="9">
        <v>223</v>
      </c>
      <c r="B197" s="9" t="s">
        <v>986</v>
      </c>
      <c r="C197" s="9" t="s">
        <v>14</v>
      </c>
      <c r="D197" s="21">
        <v>400</v>
      </c>
      <c r="E197" s="18">
        <v>27600000</v>
      </c>
      <c r="F197" s="18">
        <v>6880000</v>
      </c>
      <c r="G197" s="18">
        <v>3.6469344608879486</v>
      </c>
      <c r="H197" s="18">
        <v>0</v>
      </c>
      <c r="I197" s="16">
        <v>400</v>
      </c>
    </row>
    <row r="198" spans="1:9">
      <c r="A198" s="9">
        <v>225</v>
      </c>
      <c r="B198" s="9" t="s">
        <v>987</v>
      </c>
      <c r="C198" s="9" t="s">
        <v>14</v>
      </c>
      <c r="D198" s="21">
        <v>500</v>
      </c>
      <c r="E198" s="18">
        <v>24500000</v>
      </c>
      <c r="F198" s="18">
        <v>3471535.0000000005</v>
      </c>
      <c r="G198" s="18">
        <v>6.4158152727042266</v>
      </c>
      <c r="H198" s="18">
        <v>500</v>
      </c>
      <c r="I198" s="16">
        <v>0</v>
      </c>
    </row>
    <row r="199" spans="1:9">
      <c r="A199" s="9">
        <v>226</v>
      </c>
      <c r="B199" s="9" t="s">
        <v>988</v>
      </c>
      <c r="C199" s="9" t="s">
        <v>14</v>
      </c>
      <c r="D199" s="21">
        <v>500</v>
      </c>
      <c r="E199" s="18">
        <v>24500000</v>
      </c>
      <c r="F199" s="18">
        <v>3471535.0000000005</v>
      </c>
      <c r="G199" s="18">
        <v>6.4158152727042266</v>
      </c>
      <c r="H199" s="18">
        <v>500</v>
      </c>
      <c r="I199" s="16">
        <v>0</v>
      </c>
    </row>
    <row r="200" spans="1:9">
      <c r="A200" s="9">
        <v>227</v>
      </c>
      <c r="B200" s="9" t="s">
        <v>989</v>
      </c>
      <c r="C200" s="9" t="s">
        <v>14</v>
      </c>
      <c r="D200" s="21">
        <v>500</v>
      </c>
      <c r="E200" s="18">
        <v>24500000</v>
      </c>
      <c r="F200" s="18">
        <v>3502720.0000000005</v>
      </c>
      <c r="G200" s="18">
        <v>6.3586947494310904</v>
      </c>
      <c r="H200" s="18">
        <v>460</v>
      </c>
      <c r="I200" s="16">
        <v>0</v>
      </c>
    </row>
    <row r="201" spans="1:9">
      <c r="A201" s="9">
        <v>228</v>
      </c>
      <c r="B201" s="9" t="s">
        <v>990</v>
      </c>
      <c r="C201" s="9" t="s">
        <v>14</v>
      </c>
      <c r="D201" s="21">
        <v>500</v>
      </c>
      <c r="E201" s="18">
        <v>24500000</v>
      </c>
      <c r="F201" s="18">
        <v>3596275.0000000005</v>
      </c>
      <c r="G201" s="18">
        <v>6.193277008217466</v>
      </c>
      <c r="H201" s="18">
        <v>500</v>
      </c>
      <c r="I201" s="16">
        <v>0</v>
      </c>
    </row>
    <row r="202" spans="1:9">
      <c r="A202" s="9">
        <v>229</v>
      </c>
      <c r="B202" s="9" t="s">
        <v>991</v>
      </c>
      <c r="C202" s="9" t="s">
        <v>14</v>
      </c>
      <c r="D202" s="21">
        <v>500</v>
      </c>
      <c r="E202" s="18">
        <v>24500000</v>
      </c>
      <c r="F202" s="18">
        <v>3471535.0000000005</v>
      </c>
      <c r="G202" s="18">
        <v>6.4158152727042266</v>
      </c>
      <c r="H202" s="18">
        <v>500</v>
      </c>
      <c r="I202" s="16">
        <v>0</v>
      </c>
    </row>
    <row r="203" spans="1:9">
      <c r="A203" s="9">
        <v>230</v>
      </c>
      <c r="B203" s="9" t="s">
        <v>992</v>
      </c>
      <c r="C203" s="9" t="s">
        <v>14</v>
      </c>
      <c r="D203" s="21">
        <v>500</v>
      </c>
      <c r="E203" s="18">
        <v>24500000</v>
      </c>
      <c r="F203" s="18">
        <v>3377980.0000000009</v>
      </c>
      <c r="G203" s="18">
        <v>6.5935047788107877</v>
      </c>
      <c r="H203" s="18">
        <v>500</v>
      </c>
      <c r="I203" s="16">
        <v>0</v>
      </c>
    </row>
    <row r="204" spans="1:9">
      <c r="A204" s="9">
        <v>231</v>
      </c>
      <c r="B204" s="9" t="s">
        <v>993</v>
      </c>
      <c r="C204" s="9" t="s">
        <v>14</v>
      </c>
      <c r="D204" s="21">
        <v>500</v>
      </c>
      <c r="E204" s="18">
        <v>24500000</v>
      </c>
      <c r="F204" s="18">
        <v>3533905.0000000005</v>
      </c>
      <c r="G204" s="18">
        <v>6.3025823480617804</v>
      </c>
      <c r="H204" s="18">
        <v>500</v>
      </c>
      <c r="I204" s="16">
        <v>0</v>
      </c>
    </row>
    <row r="205" spans="1:9">
      <c r="A205" s="9">
        <v>232</v>
      </c>
      <c r="B205" s="9" t="s">
        <v>994</v>
      </c>
      <c r="C205" s="9" t="s">
        <v>14</v>
      </c>
      <c r="D205" s="21">
        <v>500</v>
      </c>
      <c r="E205" s="18">
        <v>24500000</v>
      </c>
      <c r="F205" s="18">
        <v>3565090.0000000005</v>
      </c>
      <c r="G205" s="18">
        <v>6.247451613487252</v>
      </c>
      <c r="H205" s="18">
        <v>500</v>
      </c>
      <c r="I205" s="16">
        <v>0</v>
      </c>
    </row>
    <row r="206" spans="1:9">
      <c r="A206" s="9">
        <v>233</v>
      </c>
      <c r="B206" s="9" t="s">
        <v>995</v>
      </c>
      <c r="C206" s="9" t="s">
        <v>14</v>
      </c>
      <c r="D206" s="21">
        <v>500</v>
      </c>
      <c r="E206" s="18">
        <v>24500000</v>
      </c>
      <c r="F206" s="18">
        <v>3471535.0000000005</v>
      </c>
      <c r="G206" s="18">
        <v>6.4158152727042266</v>
      </c>
      <c r="H206" s="18">
        <v>485</v>
      </c>
      <c r="I206" s="16">
        <v>0</v>
      </c>
    </row>
    <row r="207" spans="1:9">
      <c r="A207" s="9">
        <v>235</v>
      </c>
      <c r="B207" s="9" t="s">
        <v>996</v>
      </c>
      <c r="C207" s="9" t="s">
        <v>14</v>
      </c>
      <c r="D207" s="21">
        <v>4000</v>
      </c>
      <c r="E207" s="18">
        <v>220000000</v>
      </c>
      <c r="F207" s="18">
        <v>17347320</v>
      </c>
      <c r="G207" s="18">
        <v>11.529158394495518</v>
      </c>
      <c r="H207" s="18">
        <v>4000</v>
      </c>
      <c r="I207" s="16">
        <v>0</v>
      </c>
    </row>
    <row r="208" spans="1:9">
      <c r="A208" s="9">
        <v>236</v>
      </c>
      <c r="B208" s="9" t="s">
        <v>997</v>
      </c>
      <c r="C208" s="9" t="s">
        <v>14</v>
      </c>
      <c r="D208" s="21">
        <v>2000</v>
      </c>
      <c r="E208" s="18">
        <v>110000000</v>
      </c>
      <c r="F208" s="18">
        <v>9187660</v>
      </c>
      <c r="G208" s="18">
        <v>10.884164194147367</v>
      </c>
      <c r="H208" s="18">
        <v>1975</v>
      </c>
      <c r="I208" s="16">
        <v>0</v>
      </c>
    </row>
    <row r="209" spans="1:9">
      <c r="A209" s="9">
        <v>238</v>
      </c>
      <c r="B209" s="9" t="s">
        <v>998</v>
      </c>
      <c r="C209" s="9" t="s">
        <v>14</v>
      </c>
      <c r="D209" s="21">
        <v>2000</v>
      </c>
      <c r="E209" s="18">
        <v>90000000</v>
      </c>
      <c r="F209" s="18">
        <v>20440000</v>
      </c>
      <c r="G209" s="18">
        <v>4.002846468599893</v>
      </c>
      <c r="H209" s="18">
        <v>1983</v>
      </c>
      <c r="I209" s="16">
        <v>0</v>
      </c>
    </row>
    <row r="210" spans="1:9">
      <c r="A210" s="9">
        <v>240</v>
      </c>
      <c r="B210" s="9" t="s">
        <v>999</v>
      </c>
      <c r="C210" s="9" t="s">
        <v>14</v>
      </c>
      <c r="D210" s="21">
        <v>1500</v>
      </c>
      <c r="E210" s="18">
        <v>88500000</v>
      </c>
      <c r="F210" s="18">
        <v>12162150</v>
      </c>
      <c r="G210" s="18">
        <v>6.6151581303096449</v>
      </c>
      <c r="H210" s="18">
        <v>1500</v>
      </c>
      <c r="I210" s="16">
        <v>0</v>
      </c>
    </row>
    <row r="211" spans="1:9">
      <c r="A211" s="9">
        <v>242</v>
      </c>
      <c r="B211" s="9" t="s">
        <v>1000</v>
      </c>
      <c r="C211" s="9" t="s">
        <v>14</v>
      </c>
      <c r="D211" s="21">
        <v>1200</v>
      </c>
      <c r="E211" s="18">
        <v>5880000</v>
      </c>
      <c r="F211" s="18">
        <v>811346.40000000014</v>
      </c>
      <c r="G211" s="18">
        <v>6.5883752555684527</v>
      </c>
      <c r="H211" s="18">
        <v>0</v>
      </c>
      <c r="I211" s="16">
        <v>1200</v>
      </c>
    </row>
    <row r="212" spans="1:9">
      <c r="A212" s="9">
        <v>243</v>
      </c>
      <c r="B212" s="9" t="s">
        <v>1001</v>
      </c>
      <c r="C212" s="9" t="s">
        <v>14</v>
      </c>
      <c r="D212" s="21">
        <v>1200</v>
      </c>
      <c r="E212" s="18">
        <v>5880000</v>
      </c>
      <c r="F212" s="18">
        <v>811346.40000000014</v>
      </c>
      <c r="G212" s="18">
        <v>6.5883752555684527</v>
      </c>
      <c r="H212" s="18">
        <v>0</v>
      </c>
      <c r="I212" s="16">
        <v>1200</v>
      </c>
    </row>
    <row r="213" spans="1:9">
      <c r="A213" s="9">
        <v>244</v>
      </c>
      <c r="B213" s="9" t="s">
        <v>1002</v>
      </c>
      <c r="C213" s="9" t="s">
        <v>14</v>
      </c>
      <c r="D213" s="21">
        <v>1200</v>
      </c>
      <c r="E213" s="18">
        <v>5880000</v>
      </c>
      <c r="F213" s="18">
        <v>811346.40000000014</v>
      </c>
      <c r="G213" s="18">
        <v>6.5883752555684527</v>
      </c>
      <c r="H213" s="18">
        <v>0</v>
      </c>
      <c r="I213" s="16">
        <v>1200</v>
      </c>
    </row>
    <row r="214" spans="1:9">
      <c r="A214" s="9">
        <v>245</v>
      </c>
      <c r="B214" s="9" t="s">
        <v>1003</v>
      </c>
      <c r="C214" s="9" t="s">
        <v>14</v>
      </c>
      <c r="D214" s="21">
        <v>1200</v>
      </c>
      <c r="E214" s="18">
        <v>5880000</v>
      </c>
      <c r="F214" s="18">
        <v>811346.40000000014</v>
      </c>
      <c r="G214" s="18">
        <v>6.5883752555684527</v>
      </c>
      <c r="H214" s="18">
        <v>0</v>
      </c>
      <c r="I214" s="16">
        <v>1200</v>
      </c>
    </row>
    <row r="215" spans="1:9">
      <c r="A215" s="9">
        <v>247</v>
      </c>
      <c r="B215" s="9" t="s">
        <v>1004</v>
      </c>
      <c r="C215" s="9" t="s">
        <v>15</v>
      </c>
      <c r="D215" s="21">
        <v>300</v>
      </c>
      <c r="E215" s="18">
        <v>9900000</v>
      </c>
      <c r="F215" s="18">
        <v>3599999.9999999995</v>
      </c>
      <c r="G215" s="18">
        <v>2.5</v>
      </c>
      <c r="H215" s="18">
        <v>0</v>
      </c>
      <c r="I215" s="16">
        <v>300</v>
      </c>
    </row>
    <row r="216" spans="1:9">
      <c r="A216" s="9">
        <v>248</v>
      </c>
      <c r="B216" s="9" t="s">
        <v>1005</v>
      </c>
      <c r="C216" s="9" t="s">
        <v>15</v>
      </c>
      <c r="D216" s="21">
        <v>400</v>
      </c>
      <c r="E216" s="18">
        <v>13200000</v>
      </c>
      <c r="F216" s="18">
        <v>4799999.9999999991</v>
      </c>
      <c r="G216" s="18">
        <v>2.5000000000000004</v>
      </c>
      <c r="H216" s="18">
        <v>0</v>
      </c>
      <c r="I216" s="16">
        <v>400</v>
      </c>
    </row>
    <row r="217" spans="1:9">
      <c r="A217" s="9">
        <v>249</v>
      </c>
      <c r="B217" s="9" t="s">
        <v>1006</v>
      </c>
      <c r="C217" s="9" t="s">
        <v>15</v>
      </c>
      <c r="D217" s="21">
        <v>300</v>
      </c>
      <c r="E217" s="18">
        <v>11700000</v>
      </c>
      <c r="F217" s="18">
        <v>4254545.4545454541</v>
      </c>
      <c r="G217" s="18">
        <v>2.5</v>
      </c>
      <c r="H217" s="18">
        <v>0</v>
      </c>
      <c r="I217" s="16">
        <v>300</v>
      </c>
    </row>
    <row r="218" spans="1:9">
      <c r="A218" s="9">
        <v>250</v>
      </c>
      <c r="B218" s="9" t="s">
        <v>1007</v>
      </c>
      <c r="C218" s="9" t="s">
        <v>15</v>
      </c>
      <c r="D218" s="21">
        <v>400</v>
      </c>
      <c r="E218" s="18">
        <v>15600000</v>
      </c>
      <c r="F218" s="18">
        <v>5672727.2727272725</v>
      </c>
      <c r="G218" s="18">
        <v>2.5</v>
      </c>
      <c r="H218" s="18">
        <v>0</v>
      </c>
      <c r="I218" s="16">
        <v>400</v>
      </c>
    </row>
    <row r="219" spans="1:9">
      <c r="A219" s="9">
        <v>251</v>
      </c>
      <c r="B219" s="9" t="s">
        <v>1008</v>
      </c>
      <c r="C219" s="9" t="s">
        <v>15</v>
      </c>
      <c r="D219" s="21">
        <v>400</v>
      </c>
      <c r="E219" s="18">
        <v>15600000</v>
      </c>
      <c r="F219" s="18">
        <v>5672727.2727272725</v>
      </c>
      <c r="G219" s="18">
        <v>2.5</v>
      </c>
      <c r="H219" s="18">
        <v>0</v>
      </c>
      <c r="I219" s="16">
        <v>400</v>
      </c>
    </row>
    <row r="220" spans="1:9">
      <c r="A220" s="9">
        <v>252</v>
      </c>
      <c r="B220" s="9" t="s">
        <v>1009</v>
      </c>
      <c r="C220" s="9" t="s">
        <v>15</v>
      </c>
      <c r="D220" s="21">
        <v>400</v>
      </c>
      <c r="E220" s="18">
        <v>13200000</v>
      </c>
      <c r="F220" s="18">
        <v>4799999.9999999991</v>
      </c>
      <c r="G220" s="18">
        <v>2.5000000000000004</v>
      </c>
      <c r="H220" s="18">
        <v>0</v>
      </c>
      <c r="I220" s="16">
        <v>400</v>
      </c>
    </row>
    <row r="221" spans="1:9">
      <c r="A221" s="9">
        <v>253</v>
      </c>
      <c r="B221" s="9" t="s">
        <v>1010</v>
      </c>
      <c r="C221" s="9" t="s">
        <v>15</v>
      </c>
      <c r="D221" s="21">
        <v>400</v>
      </c>
      <c r="E221" s="18">
        <v>15600000</v>
      </c>
      <c r="F221" s="18">
        <v>5672727.2727272725</v>
      </c>
      <c r="G221" s="18">
        <v>2.5</v>
      </c>
      <c r="H221" s="18">
        <v>0</v>
      </c>
      <c r="I221" s="16">
        <v>400</v>
      </c>
    </row>
    <row r="222" spans="1:9">
      <c r="A222" s="9">
        <v>254</v>
      </c>
      <c r="B222" s="9" t="s">
        <v>1011</v>
      </c>
      <c r="C222" s="9" t="s">
        <v>15</v>
      </c>
      <c r="D222" s="21">
        <v>300</v>
      </c>
      <c r="E222" s="18">
        <v>11700000</v>
      </c>
      <c r="F222" s="18">
        <v>4254545.4545454541</v>
      </c>
      <c r="G222" s="18">
        <v>2.5</v>
      </c>
      <c r="H222" s="18">
        <v>0</v>
      </c>
      <c r="I222" s="16">
        <v>300</v>
      </c>
    </row>
    <row r="223" spans="1:9">
      <c r="A223" s="9">
        <v>256</v>
      </c>
      <c r="B223" s="9" t="s">
        <v>1012</v>
      </c>
      <c r="C223" s="9" t="s">
        <v>14</v>
      </c>
      <c r="D223" s="21">
        <v>800</v>
      </c>
      <c r="E223" s="18">
        <v>47200000</v>
      </c>
      <c r="F223" s="18">
        <v>7812384.0000000009</v>
      </c>
      <c r="G223" s="18">
        <v>5.4924451881897891</v>
      </c>
      <c r="H223" s="18">
        <v>0</v>
      </c>
      <c r="I223" s="16">
        <v>800</v>
      </c>
    </row>
    <row r="224" spans="1:9">
      <c r="A224" s="9">
        <v>257</v>
      </c>
      <c r="B224" s="9" t="s">
        <v>1013</v>
      </c>
      <c r="C224" s="9" t="s">
        <v>14</v>
      </c>
      <c r="D224" s="21">
        <v>600</v>
      </c>
      <c r="E224" s="18">
        <v>33000000</v>
      </c>
      <c r="F224" s="18">
        <v>5858688.0000000009</v>
      </c>
      <c r="G224" s="18">
        <v>5.1206003801533706</v>
      </c>
      <c r="H224" s="18">
        <v>0</v>
      </c>
      <c r="I224" s="16">
        <v>600</v>
      </c>
    </row>
    <row r="225" spans="1:9">
      <c r="A225" s="9">
        <v>258</v>
      </c>
      <c r="B225" s="9" t="s">
        <v>1014</v>
      </c>
      <c r="C225" s="9" t="s">
        <v>14</v>
      </c>
      <c r="D225" s="21">
        <v>500</v>
      </c>
      <c r="E225" s="18">
        <v>24500000</v>
      </c>
      <c r="F225" s="18">
        <v>3120260</v>
      </c>
      <c r="G225" s="18">
        <v>7.1380997970448838</v>
      </c>
      <c r="H225" s="18">
        <v>0</v>
      </c>
      <c r="I225" s="16">
        <v>500</v>
      </c>
    </row>
    <row r="226" spans="1:9">
      <c r="A226" s="9">
        <v>259</v>
      </c>
      <c r="B226" s="9" t="s">
        <v>1015</v>
      </c>
      <c r="C226" s="9" t="s">
        <v>14</v>
      </c>
      <c r="D226" s="21">
        <v>500</v>
      </c>
      <c r="E226" s="18">
        <v>22500000</v>
      </c>
      <c r="F226" s="18">
        <v>3057890.0000000005</v>
      </c>
      <c r="G226" s="18">
        <v>6.6891044002712485</v>
      </c>
      <c r="H226" s="18">
        <v>0</v>
      </c>
      <c r="I226" s="16">
        <v>500</v>
      </c>
    </row>
    <row r="227" spans="1:9">
      <c r="A227" s="9">
        <v>260</v>
      </c>
      <c r="B227" s="9" t="s">
        <v>1016</v>
      </c>
      <c r="C227" s="9" t="s">
        <v>14</v>
      </c>
      <c r="D227" s="21">
        <v>500</v>
      </c>
      <c r="E227" s="18">
        <v>24500000</v>
      </c>
      <c r="F227" s="18">
        <v>3120260</v>
      </c>
      <c r="G227" s="18">
        <v>7.1380997970448838</v>
      </c>
      <c r="H227" s="18">
        <v>0</v>
      </c>
      <c r="I227" s="16">
        <v>500</v>
      </c>
    </row>
    <row r="228" spans="1:9">
      <c r="A228" s="9">
        <v>261</v>
      </c>
      <c r="B228" s="9" t="s">
        <v>1017</v>
      </c>
      <c r="C228" s="9" t="s">
        <v>14</v>
      </c>
      <c r="D228" s="21">
        <v>500</v>
      </c>
      <c r="E228" s="18">
        <v>22500000</v>
      </c>
      <c r="F228" s="18">
        <v>3057890.0000000005</v>
      </c>
      <c r="G228" s="18">
        <v>6.6891044002712485</v>
      </c>
      <c r="H228" s="18">
        <v>0</v>
      </c>
      <c r="I228" s="16">
        <v>500</v>
      </c>
    </row>
    <row r="229" spans="1:9">
      <c r="A229" s="9">
        <v>262</v>
      </c>
      <c r="B229" s="9" t="s">
        <v>1018</v>
      </c>
      <c r="C229" s="9" t="s">
        <v>14</v>
      </c>
      <c r="D229" s="21">
        <v>500</v>
      </c>
      <c r="E229" s="18">
        <v>19500000</v>
      </c>
      <c r="F229" s="18">
        <v>3222055.0000000009</v>
      </c>
      <c r="G229" s="18">
        <v>5.5018529253140374</v>
      </c>
      <c r="H229" s="18">
        <v>0</v>
      </c>
      <c r="I229" s="16">
        <v>500</v>
      </c>
    </row>
    <row r="230" spans="1:9">
      <c r="A230" s="9">
        <v>263</v>
      </c>
      <c r="B230" s="9" t="s">
        <v>1019</v>
      </c>
      <c r="C230" s="9" t="s">
        <v>14</v>
      </c>
      <c r="D230" s="21">
        <v>500</v>
      </c>
      <c r="E230" s="18">
        <v>19500000</v>
      </c>
      <c r="F230" s="18">
        <v>3222055.0000000009</v>
      </c>
      <c r="G230" s="18">
        <v>5.5018529253140374</v>
      </c>
      <c r="H230" s="18">
        <v>0</v>
      </c>
      <c r="I230" s="16">
        <v>500</v>
      </c>
    </row>
    <row r="231" spans="1:9">
      <c r="A231" s="9">
        <v>264</v>
      </c>
      <c r="B231" s="9" t="s">
        <v>1020</v>
      </c>
      <c r="C231" s="9" t="s">
        <v>14</v>
      </c>
      <c r="D231" s="21">
        <v>500</v>
      </c>
      <c r="E231" s="18">
        <v>19500000</v>
      </c>
      <c r="F231" s="18">
        <v>3222055.0000000009</v>
      </c>
      <c r="G231" s="18">
        <v>5.5018529253140374</v>
      </c>
      <c r="H231" s="18">
        <v>0</v>
      </c>
      <c r="I231" s="16">
        <v>500</v>
      </c>
    </row>
    <row r="232" spans="1:9">
      <c r="A232" s="9">
        <v>266</v>
      </c>
      <c r="B232" s="9" t="s">
        <v>1021</v>
      </c>
      <c r="C232" s="9" t="s">
        <v>14</v>
      </c>
      <c r="D232" s="21">
        <v>500</v>
      </c>
      <c r="E232" s="18">
        <v>29500000</v>
      </c>
      <c r="F232" s="18">
        <v>5541790</v>
      </c>
      <c r="G232" s="18">
        <v>4.8392634542596911</v>
      </c>
      <c r="H232" s="18">
        <v>0</v>
      </c>
      <c r="I232" s="16">
        <v>500</v>
      </c>
    </row>
    <row r="233" spans="1:9">
      <c r="A233" s="9">
        <v>267</v>
      </c>
      <c r="B233" s="9" t="s">
        <v>1022</v>
      </c>
      <c r="C233" s="9" t="s">
        <v>14</v>
      </c>
      <c r="D233" s="21">
        <v>500</v>
      </c>
      <c r="E233" s="18">
        <v>29500000</v>
      </c>
      <c r="F233" s="18">
        <v>5036790</v>
      </c>
      <c r="G233" s="18">
        <v>5.3244589943558926</v>
      </c>
      <c r="H233" s="18">
        <v>0</v>
      </c>
      <c r="I233" s="16">
        <v>500</v>
      </c>
    </row>
    <row r="234" spans="1:9">
      <c r="A234" s="9">
        <v>269</v>
      </c>
      <c r="B234" s="9" t="s">
        <v>1023</v>
      </c>
      <c r="C234" s="9" t="s">
        <v>14</v>
      </c>
      <c r="D234" s="21">
        <v>1000</v>
      </c>
      <c r="E234" s="18">
        <v>49000000</v>
      </c>
      <c r="F234" s="18">
        <v>10020000</v>
      </c>
      <c r="G234" s="18">
        <v>4.4456541462529486</v>
      </c>
      <c r="H234" s="18">
        <v>1014</v>
      </c>
      <c r="I234" s="16">
        <v>0</v>
      </c>
    </row>
    <row r="235" spans="1:9">
      <c r="A235" s="9">
        <v>270</v>
      </c>
      <c r="B235" s="9" t="s">
        <v>1024</v>
      </c>
      <c r="C235" s="9" t="s">
        <v>14</v>
      </c>
      <c r="D235" s="21">
        <v>1000</v>
      </c>
      <c r="E235" s="18">
        <v>49000000</v>
      </c>
      <c r="F235" s="18">
        <v>10020000</v>
      </c>
      <c r="G235" s="18">
        <v>4.4456541462529486</v>
      </c>
      <c r="H235" s="18">
        <v>704</v>
      </c>
      <c r="I235" s="16">
        <v>0</v>
      </c>
    </row>
    <row r="236" spans="1:9">
      <c r="A236" s="9">
        <v>271</v>
      </c>
      <c r="B236" s="9" t="s">
        <v>1025</v>
      </c>
      <c r="C236" s="9" t="s">
        <v>14</v>
      </c>
      <c r="D236" s="21">
        <v>1000</v>
      </c>
      <c r="E236" s="18">
        <v>49000000</v>
      </c>
      <c r="F236" s="18">
        <v>10020000</v>
      </c>
      <c r="G236" s="18">
        <v>4.4456541462529486</v>
      </c>
      <c r="H236" s="18">
        <v>1000</v>
      </c>
      <c r="I236" s="16">
        <v>0</v>
      </c>
    </row>
    <row r="237" spans="1:9">
      <c r="A237" s="9">
        <v>272</v>
      </c>
      <c r="B237" s="9" t="s">
        <v>1026</v>
      </c>
      <c r="C237" s="9" t="s">
        <v>14</v>
      </c>
      <c r="D237" s="21">
        <v>1000</v>
      </c>
      <c r="E237" s="18">
        <v>49000000</v>
      </c>
      <c r="F237" s="18">
        <v>10020000</v>
      </c>
      <c r="G237" s="18">
        <v>4.4456541462529486</v>
      </c>
      <c r="H237" s="18">
        <v>1000</v>
      </c>
      <c r="I237" s="16">
        <v>0</v>
      </c>
    </row>
    <row r="238" spans="1:9">
      <c r="A238" s="9">
        <v>274</v>
      </c>
      <c r="B238" s="9" t="s">
        <v>1027</v>
      </c>
      <c r="C238" s="9" t="s">
        <v>14</v>
      </c>
      <c r="D238" s="21">
        <v>700</v>
      </c>
      <c r="E238" s="18">
        <v>34300000</v>
      </c>
      <c r="F238" s="18">
        <v>4562040.0000000009</v>
      </c>
      <c r="G238" s="18">
        <v>6.8350602322246559</v>
      </c>
      <c r="H238" s="18">
        <v>0</v>
      </c>
      <c r="I238" s="16">
        <v>700</v>
      </c>
    </row>
    <row r="239" spans="1:9">
      <c r="A239" s="9">
        <v>275</v>
      </c>
      <c r="B239" s="9" t="s">
        <v>1028</v>
      </c>
      <c r="C239" s="9" t="s">
        <v>14</v>
      </c>
      <c r="D239" s="21">
        <v>700</v>
      </c>
      <c r="E239" s="18">
        <v>34300000</v>
      </c>
      <c r="F239" s="18">
        <v>4389140.0000000009</v>
      </c>
      <c r="G239" s="18">
        <v>7.1043115922067122</v>
      </c>
      <c r="H239" s="18">
        <v>0</v>
      </c>
      <c r="I239" s="16">
        <v>700</v>
      </c>
    </row>
    <row r="240" spans="1:9">
      <c r="A240" s="9">
        <v>276</v>
      </c>
      <c r="B240" s="9" t="s">
        <v>1029</v>
      </c>
      <c r="C240" s="9" t="s">
        <v>14</v>
      </c>
      <c r="D240" s="21">
        <v>700</v>
      </c>
      <c r="E240" s="18">
        <v>34300000</v>
      </c>
      <c r="F240" s="18">
        <v>4774840.0000000009</v>
      </c>
      <c r="G240" s="18">
        <v>6.5304425241093256</v>
      </c>
      <c r="H240" s="18">
        <v>0</v>
      </c>
      <c r="I240" s="16">
        <v>700</v>
      </c>
    </row>
    <row r="241" spans="1:9">
      <c r="A241" s="9">
        <v>278</v>
      </c>
      <c r="B241" s="9" t="s">
        <v>1030</v>
      </c>
      <c r="C241" s="9" t="s">
        <v>14</v>
      </c>
      <c r="D241" s="21">
        <v>700</v>
      </c>
      <c r="E241" s="18">
        <v>45500000</v>
      </c>
      <c r="F241" s="18">
        <v>9114000</v>
      </c>
      <c r="G241" s="18">
        <v>4.5384722804077642</v>
      </c>
      <c r="H241" s="18">
        <v>0</v>
      </c>
      <c r="I241" s="16">
        <v>700</v>
      </c>
    </row>
    <row r="242" spans="1:9">
      <c r="A242" s="9">
        <v>279</v>
      </c>
      <c r="B242" s="9" t="s">
        <v>1031</v>
      </c>
      <c r="C242" s="9" t="s">
        <v>14</v>
      </c>
      <c r="D242" s="21">
        <v>700</v>
      </c>
      <c r="E242" s="18">
        <v>45500000</v>
      </c>
      <c r="F242" s="18">
        <v>9114000</v>
      </c>
      <c r="G242" s="18">
        <v>4.5384722804077642</v>
      </c>
      <c r="H242" s="18">
        <v>0</v>
      </c>
      <c r="I242" s="16">
        <v>700</v>
      </c>
    </row>
    <row r="243" spans="1:9">
      <c r="A243" s="9">
        <v>280</v>
      </c>
      <c r="B243" s="9" t="s">
        <v>1032</v>
      </c>
      <c r="C243" s="9" t="s">
        <v>14</v>
      </c>
      <c r="D243" s="21">
        <v>700</v>
      </c>
      <c r="E243" s="18">
        <v>45500000</v>
      </c>
      <c r="F243" s="18">
        <v>9114000</v>
      </c>
      <c r="G243" s="18">
        <v>4.5384722804077642</v>
      </c>
      <c r="H243" s="18">
        <v>0</v>
      </c>
      <c r="I243" s="16">
        <v>700</v>
      </c>
    </row>
    <row r="244" spans="1:9">
      <c r="A244" s="9">
        <v>282</v>
      </c>
      <c r="B244" s="9" t="s">
        <v>1033</v>
      </c>
      <c r="C244" s="9" t="s">
        <v>14</v>
      </c>
      <c r="D244" s="21">
        <v>400</v>
      </c>
      <c r="E244" s="18">
        <v>23600000</v>
      </c>
      <c r="F244" s="18">
        <v>4605196</v>
      </c>
      <c r="G244" s="18">
        <v>4.6587692368675411</v>
      </c>
      <c r="H244" s="18">
        <v>0</v>
      </c>
      <c r="I244" s="16">
        <v>400</v>
      </c>
    </row>
    <row r="245" spans="1:9">
      <c r="A245" s="9">
        <v>283</v>
      </c>
      <c r="B245" s="9" t="s">
        <v>1034</v>
      </c>
      <c r="C245" s="9" t="s">
        <v>14</v>
      </c>
      <c r="D245" s="21">
        <v>400</v>
      </c>
      <c r="E245" s="18">
        <v>23600000</v>
      </c>
      <c r="F245" s="18">
        <v>4584796</v>
      </c>
      <c r="G245" s="18">
        <v>4.679498379981454</v>
      </c>
      <c r="H245" s="18">
        <v>0</v>
      </c>
      <c r="I245" s="16">
        <v>400</v>
      </c>
    </row>
    <row r="246" spans="1:9">
      <c r="A246" s="9">
        <v>285</v>
      </c>
      <c r="B246" s="9" t="s">
        <v>1035</v>
      </c>
      <c r="C246" s="9" t="s">
        <v>14</v>
      </c>
      <c r="D246" s="21">
        <v>800</v>
      </c>
      <c r="E246" s="18">
        <v>44000000</v>
      </c>
      <c r="F246" s="18">
        <v>5654248.0000000009</v>
      </c>
      <c r="G246" s="18">
        <v>7.0743271253754676</v>
      </c>
      <c r="H246" s="18">
        <v>700</v>
      </c>
      <c r="I246" s="16">
        <v>0</v>
      </c>
    </row>
    <row r="247" spans="1:9">
      <c r="A247" s="9">
        <v>286</v>
      </c>
      <c r="B247" s="9" t="s">
        <v>1036</v>
      </c>
      <c r="C247" s="9" t="s">
        <v>14</v>
      </c>
      <c r="D247" s="21">
        <v>2000</v>
      </c>
      <c r="E247" s="18">
        <v>98000000</v>
      </c>
      <c r="F247" s="18">
        <v>13886140.000000002</v>
      </c>
      <c r="G247" s="18">
        <v>6.4158152727042266</v>
      </c>
      <c r="H247" s="18">
        <v>0</v>
      </c>
      <c r="I247" s="16">
        <v>2000</v>
      </c>
    </row>
    <row r="248" spans="1:9">
      <c r="A248" s="9">
        <v>287</v>
      </c>
      <c r="B248" s="9" t="s">
        <v>1037</v>
      </c>
      <c r="C248" s="9" t="s">
        <v>14</v>
      </c>
      <c r="D248" s="21">
        <v>1000</v>
      </c>
      <c r="E248" s="18">
        <v>49000000</v>
      </c>
      <c r="F248" s="18">
        <v>6693590</v>
      </c>
      <c r="G248" s="18">
        <v>6.6549421977525576</v>
      </c>
      <c r="H248" s="18">
        <v>900</v>
      </c>
      <c r="I248" s="16">
        <v>0</v>
      </c>
    </row>
    <row r="249" spans="1:9">
      <c r="A249" s="9">
        <v>288</v>
      </c>
      <c r="B249" s="9" t="s">
        <v>1038</v>
      </c>
      <c r="C249" s="9" t="s">
        <v>14</v>
      </c>
      <c r="D249" s="21">
        <v>2500</v>
      </c>
      <c r="E249" s="18">
        <v>122500000</v>
      </c>
      <c r="F249" s="18">
        <v>17045825.000000004</v>
      </c>
      <c r="G249" s="18">
        <v>6.5331913453080928</v>
      </c>
      <c r="H249" s="18">
        <v>0</v>
      </c>
      <c r="I249" s="16">
        <v>2500</v>
      </c>
    </row>
    <row r="250" spans="1:9">
      <c r="A250" s="9">
        <v>290</v>
      </c>
      <c r="B250" s="9" t="s">
        <v>1039</v>
      </c>
      <c r="C250" s="9" t="s">
        <v>14</v>
      </c>
      <c r="D250" s="21">
        <v>5000</v>
      </c>
      <c r="E250" s="18">
        <v>245000000</v>
      </c>
      <c r="F250" s="18">
        <v>29552499.999999996</v>
      </c>
      <c r="G250" s="18">
        <v>7.5366643338896111</v>
      </c>
      <c r="H250" s="18">
        <v>0</v>
      </c>
      <c r="I250" s="16">
        <v>5000</v>
      </c>
    </row>
    <row r="251" spans="1:9">
      <c r="A251" s="9">
        <v>292</v>
      </c>
      <c r="B251" s="9" t="s">
        <v>1040</v>
      </c>
      <c r="C251" s="9" t="s">
        <v>14</v>
      </c>
      <c r="D251" s="21">
        <v>2000</v>
      </c>
      <c r="E251" s="18">
        <v>90000000</v>
      </c>
      <c r="F251" s="18">
        <v>12474000</v>
      </c>
      <c r="G251" s="18">
        <v>6.5590974681883765</v>
      </c>
      <c r="H251" s="18">
        <v>2000</v>
      </c>
      <c r="I251" s="16">
        <v>0</v>
      </c>
    </row>
    <row r="252" spans="1:9">
      <c r="A252" s="9">
        <v>294</v>
      </c>
      <c r="B252" s="9" t="s">
        <v>1041</v>
      </c>
      <c r="C252" s="9" t="s">
        <v>14</v>
      </c>
      <c r="D252" s="21">
        <v>800</v>
      </c>
      <c r="E252" s="18">
        <v>44000000</v>
      </c>
      <c r="F252" s="18">
        <v>6302896.0000000009</v>
      </c>
      <c r="G252" s="18">
        <v>6.3462890709286635</v>
      </c>
      <c r="H252" s="18">
        <v>0</v>
      </c>
      <c r="I252" s="16">
        <v>800</v>
      </c>
    </row>
    <row r="253" spans="1:9">
      <c r="A253" s="9">
        <v>295</v>
      </c>
      <c r="B253" s="9" t="s">
        <v>1042</v>
      </c>
      <c r="C253" s="9" t="s">
        <v>14</v>
      </c>
      <c r="D253" s="21">
        <v>800</v>
      </c>
      <c r="E253" s="18">
        <v>44000000</v>
      </c>
      <c r="F253" s="18">
        <v>6302896.0000000009</v>
      </c>
      <c r="G253" s="18">
        <v>6.3462890709286635</v>
      </c>
      <c r="H253" s="18">
        <v>0</v>
      </c>
      <c r="I253" s="16">
        <v>800</v>
      </c>
    </row>
    <row r="254" spans="1:9">
      <c r="A254" s="9">
        <v>296</v>
      </c>
      <c r="B254" s="9" t="s">
        <v>1043</v>
      </c>
      <c r="C254" s="9" t="s">
        <v>14</v>
      </c>
      <c r="D254" s="21">
        <v>600</v>
      </c>
      <c r="E254" s="18">
        <v>33000000</v>
      </c>
      <c r="F254" s="18">
        <v>4652328.0000000009</v>
      </c>
      <c r="G254" s="18">
        <v>6.4483845507023556</v>
      </c>
      <c r="H254" s="18">
        <v>0</v>
      </c>
      <c r="I254" s="16">
        <v>600</v>
      </c>
    </row>
    <row r="255" spans="1:9">
      <c r="A255" s="9">
        <v>297</v>
      </c>
      <c r="B255" s="9" t="s">
        <v>1044</v>
      </c>
      <c r="C255" s="9" t="s">
        <v>14</v>
      </c>
      <c r="D255" s="21">
        <v>600</v>
      </c>
      <c r="E255" s="18">
        <v>33000000</v>
      </c>
      <c r="F255" s="18">
        <v>4652328.0000000009</v>
      </c>
      <c r="G255" s="18">
        <v>6.4483845507023556</v>
      </c>
      <c r="H255" s="18">
        <v>0</v>
      </c>
      <c r="I255" s="16">
        <v>600</v>
      </c>
    </row>
    <row r="256" spans="1:9">
      <c r="A256" s="9">
        <v>298</v>
      </c>
      <c r="B256" s="9" t="s">
        <v>1045</v>
      </c>
      <c r="C256" s="9" t="s">
        <v>14</v>
      </c>
      <c r="D256" s="21">
        <v>1000</v>
      </c>
      <c r="E256" s="18">
        <v>59000000</v>
      </c>
      <c r="F256" s="18">
        <v>8751800.0000000019</v>
      </c>
      <c r="G256" s="18">
        <v>6.1286093873675833</v>
      </c>
      <c r="H256" s="18">
        <v>0</v>
      </c>
      <c r="I256" s="16">
        <v>1000</v>
      </c>
    </row>
    <row r="257" spans="1:9">
      <c r="A257" s="9">
        <v>299</v>
      </c>
      <c r="B257" s="9" t="s">
        <v>1046</v>
      </c>
      <c r="C257" s="9" t="s">
        <v>14</v>
      </c>
      <c r="D257" s="21">
        <v>600</v>
      </c>
      <c r="E257" s="18">
        <v>29400000</v>
      </c>
      <c r="F257" s="18">
        <v>4577484</v>
      </c>
      <c r="G257" s="18">
        <v>5.8388566136490541</v>
      </c>
      <c r="H257" s="18">
        <v>0</v>
      </c>
      <c r="I257" s="16">
        <v>600</v>
      </c>
    </row>
    <row r="258" spans="1:9">
      <c r="A258" s="9">
        <v>300</v>
      </c>
      <c r="B258" s="9" t="s">
        <v>1047</v>
      </c>
      <c r="C258" s="9" t="s">
        <v>14</v>
      </c>
      <c r="D258" s="21">
        <v>600</v>
      </c>
      <c r="E258" s="18">
        <v>25800000</v>
      </c>
      <c r="F258" s="18">
        <v>4502640.0000000009</v>
      </c>
      <c r="G258" s="18">
        <v>5.209065227187927</v>
      </c>
      <c r="H258" s="18">
        <v>0</v>
      </c>
      <c r="I258" s="16">
        <v>600</v>
      </c>
    </row>
    <row r="259" spans="1:9">
      <c r="A259" s="9">
        <v>301</v>
      </c>
      <c r="B259" s="9" t="s">
        <v>1048</v>
      </c>
      <c r="C259" s="9" t="s">
        <v>14</v>
      </c>
      <c r="D259" s="21">
        <v>600</v>
      </c>
      <c r="E259" s="18">
        <v>29400000</v>
      </c>
      <c r="F259" s="18">
        <v>4577484</v>
      </c>
      <c r="G259" s="18">
        <v>5.8388566136490541</v>
      </c>
      <c r="H259" s="18">
        <v>0</v>
      </c>
      <c r="I259" s="16">
        <v>600</v>
      </c>
    </row>
    <row r="260" spans="1:9">
      <c r="A260" s="9">
        <v>302</v>
      </c>
      <c r="B260" s="9" t="s">
        <v>1049</v>
      </c>
      <c r="C260" s="9" t="s">
        <v>14</v>
      </c>
      <c r="D260" s="21">
        <v>600</v>
      </c>
      <c r="E260" s="18">
        <v>25800000</v>
      </c>
      <c r="F260" s="18">
        <v>4502640.0000000009</v>
      </c>
      <c r="G260" s="18">
        <v>5.209065227187927</v>
      </c>
      <c r="H260" s="18">
        <v>0</v>
      </c>
      <c r="I260" s="16">
        <v>600</v>
      </c>
    </row>
    <row r="261" spans="1:9">
      <c r="A261" s="9">
        <v>303</v>
      </c>
      <c r="B261" s="9" t="s">
        <v>1050</v>
      </c>
      <c r="C261" s="9" t="s">
        <v>14</v>
      </c>
      <c r="D261" s="21">
        <v>600</v>
      </c>
      <c r="E261" s="18">
        <v>29400000</v>
      </c>
      <c r="F261" s="18">
        <v>4727172.0000000009</v>
      </c>
      <c r="G261" s="18">
        <v>5.653966626827355</v>
      </c>
      <c r="H261" s="18">
        <v>0</v>
      </c>
      <c r="I261" s="16">
        <v>600</v>
      </c>
    </row>
    <row r="262" spans="1:9">
      <c r="A262" s="9">
        <v>304</v>
      </c>
      <c r="B262" s="9" t="s">
        <v>1051</v>
      </c>
      <c r="C262" s="9" t="s">
        <v>14</v>
      </c>
      <c r="D262" s="21">
        <v>600</v>
      </c>
      <c r="E262" s="18">
        <v>25800000</v>
      </c>
      <c r="F262" s="18">
        <v>4652328.0000000009</v>
      </c>
      <c r="G262" s="18">
        <v>5.0414642850945688</v>
      </c>
      <c r="H262" s="18">
        <v>0</v>
      </c>
      <c r="I262" s="16">
        <v>600</v>
      </c>
    </row>
    <row r="263" spans="1:9">
      <c r="A263" s="9">
        <v>306</v>
      </c>
      <c r="B263" s="9" t="s">
        <v>1052</v>
      </c>
      <c r="C263" s="9" t="s">
        <v>14</v>
      </c>
      <c r="D263" s="21">
        <v>600</v>
      </c>
      <c r="E263" s="18">
        <v>29400000</v>
      </c>
      <c r="F263" s="18">
        <v>5700144</v>
      </c>
      <c r="G263" s="18">
        <v>4.6888767594770808</v>
      </c>
      <c r="H263" s="18">
        <v>0</v>
      </c>
      <c r="I263" s="16">
        <v>600</v>
      </c>
    </row>
    <row r="264" spans="1:9">
      <c r="A264" s="9">
        <v>307</v>
      </c>
      <c r="B264" s="9" t="s">
        <v>1053</v>
      </c>
      <c r="C264" s="9" t="s">
        <v>14</v>
      </c>
      <c r="D264" s="21">
        <v>1000</v>
      </c>
      <c r="E264" s="18">
        <v>59000000</v>
      </c>
      <c r="F264" s="18">
        <v>9126020</v>
      </c>
      <c r="G264" s="18">
        <v>5.8773006892778712</v>
      </c>
      <c r="H264" s="18">
        <v>0</v>
      </c>
      <c r="I264" s="16">
        <v>1000</v>
      </c>
    </row>
    <row r="265" spans="1:9">
      <c r="A265" s="9">
        <v>308</v>
      </c>
      <c r="B265" s="9" t="s">
        <v>1054</v>
      </c>
      <c r="C265" s="9" t="s">
        <v>14</v>
      </c>
      <c r="D265" s="21">
        <v>800</v>
      </c>
      <c r="E265" s="18">
        <v>47200000</v>
      </c>
      <c r="F265" s="18">
        <v>7600192</v>
      </c>
      <c r="G265" s="18">
        <v>5.6457903838601577</v>
      </c>
      <c r="H265" s="18">
        <v>0</v>
      </c>
      <c r="I265" s="16">
        <v>800</v>
      </c>
    </row>
    <row r="266" spans="1:9">
      <c r="A266" s="9">
        <v>309</v>
      </c>
      <c r="B266" s="9" t="s">
        <v>1055</v>
      </c>
      <c r="C266" s="9" t="s">
        <v>14</v>
      </c>
      <c r="D266" s="21">
        <v>800</v>
      </c>
      <c r="E266" s="18">
        <v>44000000</v>
      </c>
      <c r="F266" s="18">
        <v>7500400</v>
      </c>
      <c r="G266" s="18">
        <v>5.3330489040584492</v>
      </c>
      <c r="H266" s="18">
        <v>0</v>
      </c>
      <c r="I266" s="16">
        <v>800</v>
      </c>
    </row>
    <row r="267" spans="1:9">
      <c r="A267" s="9">
        <v>310</v>
      </c>
      <c r="B267" s="9" t="s">
        <v>1056</v>
      </c>
      <c r="C267" s="9" t="s">
        <v>14</v>
      </c>
      <c r="D267" s="21">
        <v>800</v>
      </c>
      <c r="E267" s="18">
        <v>47200000</v>
      </c>
      <c r="F267" s="18">
        <v>7699984.0000000009</v>
      </c>
      <c r="G267" s="18">
        <v>5.5726207884446124</v>
      </c>
      <c r="H267" s="18">
        <v>0</v>
      </c>
      <c r="I267" s="16">
        <v>800</v>
      </c>
    </row>
    <row r="268" spans="1:9">
      <c r="A268" s="9">
        <v>311</v>
      </c>
      <c r="B268" s="9" t="s">
        <v>1057</v>
      </c>
      <c r="C268" s="9" t="s">
        <v>14</v>
      </c>
      <c r="D268" s="21">
        <v>800</v>
      </c>
      <c r="E268" s="18">
        <v>44000000</v>
      </c>
      <c r="F268" s="18">
        <v>7500400</v>
      </c>
      <c r="G268" s="18">
        <v>5.3330489040584492</v>
      </c>
      <c r="H268" s="18">
        <v>0</v>
      </c>
      <c r="I268" s="16">
        <v>800</v>
      </c>
    </row>
    <row r="269" spans="1:9">
      <c r="A269" s="9">
        <v>313</v>
      </c>
      <c r="B269" s="9" t="s">
        <v>1058</v>
      </c>
      <c r="C269" s="9" t="s">
        <v>14</v>
      </c>
      <c r="D269" s="21">
        <v>1000</v>
      </c>
      <c r="E269" s="18">
        <v>69000000</v>
      </c>
      <c r="F269" s="18">
        <v>14500000</v>
      </c>
      <c r="G269" s="18">
        <v>4.3260188087774294</v>
      </c>
      <c r="H269" s="18">
        <v>0</v>
      </c>
      <c r="I269" s="16">
        <v>1000</v>
      </c>
    </row>
    <row r="270" spans="1:9">
      <c r="A270" s="9">
        <v>314</v>
      </c>
      <c r="B270" s="9" t="s">
        <v>1059</v>
      </c>
      <c r="C270" s="9" t="s">
        <v>14</v>
      </c>
      <c r="D270" s="21">
        <v>800</v>
      </c>
      <c r="E270" s="18">
        <v>55200000</v>
      </c>
      <c r="F270" s="18">
        <v>12400000</v>
      </c>
      <c r="G270" s="18">
        <v>4.0469208211143686</v>
      </c>
      <c r="H270" s="18">
        <v>0</v>
      </c>
      <c r="I270" s="16">
        <v>800</v>
      </c>
    </row>
    <row r="271" spans="1:9">
      <c r="A271" s="9">
        <v>315</v>
      </c>
      <c r="B271" s="9" t="s">
        <v>1060</v>
      </c>
      <c r="C271" s="9" t="s">
        <v>14</v>
      </c>
      <c r="D271" s="21">
        <v>1000</v>
      </c>
      <c r="E271" s="18">
        <v>65000000</v>
      </c>
      <c r="F271" s="18">
        <v>15000000</v>
      </c>
      <c r="G271" s="18">
        <v>3.939393939393939</v>
      </c>
      <c r="H271" s="18">
        <v>0</v>
      </c>
      <c r="I271" s="16">
        <v>1000</v>
      </c>
    </row>
    <row r="272" spans="1:9">
      <c r="A272" s="9">
        <v>317</v>
      </c>
      <c r="B272" s="9" t="s">
        <v>1061</v>
      </c>
      <c r="C272" s="9" t="s">
        <v>14</v>
      </c>
      <c r="D272" s="21">
        <v>400</v>
      </c>
      <c r="E272" s="18">
        <v>23600000</v>
      </c>
      <c r="F272" s="18">
        <v>3992396</v>
      </c>
      <c r="G272" s="18">
        <v>5.3738520563955712</v>
      </c>
      <c r="H272" s="18">
        <v>0</v>
      </c>
      <c r="I272" s="16">
        <v>400</v>
      </c>
    </row>
    <row r="273" spans="1:9">
      <c r="A273" s="9">
        <v>319</v>
      </c>
      <c r="B273" s="9" t="s">
        <v>1062</v>
      </c>
      <c r="C273" s="9" t="s">
        <v>14</v>
      </c>
      <c r="D273" s="21">
        <v>700</v>
      </c>
      <c r="E273" s="18">
        <v>34300000</v>
      </c>
      <c r="F273" s="18">
        <v>4700640.0000000009</v>
      </c>
      <c r="G273" s="18">
        <v>6.633526111724823</v>
      </c>
      <c r="H273" s="18">
        <v>0</v>
      </c>
      <c r="I273" s="16">
        <v>700</v>
      </c>
    </row>
    <row r="274" spans="1:9">
      <c r="A274" s="9">
        <v>321</v>
      </c>
      <c r="B274" s="9" t="s">
        <v>1063</v>
      </c>
      <c r="C274" s="9" t="s">
        <v>14</v>
      </c>
      <c r="D274" s="21">
        <v>2000</v>
      </c>
      <c r="E274" s="18">
        <v>98000000</v>
      </c>
      <c r="F274" s="18">
        <v>13091500.000000002</v>
      </c>
      <c r="G274" s="18">
        <v>6.8052483742053296</v>
      </c>
      <c r="H274" s="18">
        <v>0</v>
      </c>
      <c r="I274" s="16">
        <v>2000</v>
      </c>
    </row>
    <row r="275" spans="1:9">
      <c r="A275" s="9">
        <v>322</v>
      </c>
      <c r="B275" s="9" t="s">
        <v>1064</v>
      </c>
      <c r="C275" s="9" t="s">
        <v>14</v>
      </c>
      <c r="D275" s="21">
        <v>3000</v>
      </c>
      <c r="E275" s="18">
        <v>129000000</v>
      </c>
      <c r="F275" s="18">
        <v>13573500</v>
      </c>
      <c r="G275" s="18">
        <v>8.6398296145229505</v>
      </c>
      <c r="H275" s="18">
        <v>0</v>
      </c>
      <c r="I275" s="16">
        <v>3000</v>
      </c>
    </row>
    <row r="276" spans="1:9">
      <c r="A276" s="9">
        <v>323</v>
      </c>
      <c r="B276" s="9" t="s">
        <v>1065</v>
      </c>
      <c r="C276" s="9" t="s">
        <v>14</v>
      </c>
      <c r="D276" s="21">
        <v>2000</v>
      </c>
      <c r="E276" s="18">
        <v>86000000</v>
      </c>
      <c r="F276" s="18">
        <v>9049000</v>
      </c>
      <c r="G276" s="18">
        <v>8.6398296145229505</v>
      </c>
      <c r="H276" s="18">
        <v>0</v>
      </c>
      <c r="I276" s="16">
        <v>2000</v>
      </c>
    </row>
    <row r="277" spans="1:9">
      <c r="A277" s="9">
        <v>324</v>
      </c>
      <c r="B277" s="9" t="s">
        <v>1066</v>
      </c>
      <c r="C277" s="9" t="s">
        <v>14</v>
      </c>
      <c r="D277" s="21">
        <v>1000</v>
      </c>
      <c r="E277" s="18">
        <v>43000000</v>
      </c>
      <c r="F277" s="18">
        <v>5506250</v>
      </c>
      <c r="G277" s="18">
        <v>7.0993705499948394</v>
      </c>
      <c r="H277" s="18">
        <v>0</v>
      </c>
      <c r="I277" s="16">
        <v>1000</v>
      </c>
    </row>
    <row r="278" spans="1:9">
      <c r="A278" s="9">
        <v>326</v>
      </c>
      <c r="B278" s="9" t="s">
        <v>1067</v>
      </c>
      <c r="C278" s="9" t="s">
        <v>14</v>
      </c>
      <c r="D278" s="21">
        <v>1000</v>
      </c>
      <c r="E278" s="18">
        <v>49000000</v>
      </c>
      <c r="F278" s="18">
        <v>7179250</v>
      </c>
      <c r="G278" s="18">
        <v>6.2047504329079697</v>
      </c>
      <c r="H278" s="18">
        <v>1000</v>
      </c>
      <c r="I278" s="16">
        <v>0</v>
      </c>
    </row>
    <row r="279" spans="1:9">
      <c r="A279" s="9">
        <v>327</v>
      </c>
      <c r="B279" s="9" t="s">
        <v>1068</v>
      </c>
      <c r="C279" s="9" t="s">
        <v>14</v>
      </c>
      <c r="D279" s="21">
        <v>1000</v>
      </c>
      <c r="E279" s="18">
        <v>43000000</v>
      </c>
      <c r="F279" s="18">
        <v>6832750</v>
      </c>
      <c r="G279" s="18">
        <v>5.7211092299453492</v>
      </c>
      <c r="H279" s="18">
        <v>0</v>
      </c>
      <c r="I279" s="16">
        <v>1000</v>
      </c>
    </row>
    <row r="280" spans="1:9">
      <c r="A280" s="9">
        <v>328</v>
      </c>
      <c r="B280" s="9" t="s">
        <v>1069</v>
      </c>
      <c r="C280" s="9" t="s">
        <v>14</v>
      </c>
      <c r="D280" s="21">
        <v>2000</v>
      </c>
      <c r="E280" s="18">
        <v>86000000</v>
      </c>
      <c r="F280" s="18">
        <v>14012000.000000002</v>
      </c>
      <c r="G280" s="18">
        <v>5.5796330418083189</v>
      </c>
      <c r="H280" s="18">
        <v>1300</v>
      </c>
      <c r="I280" s="16">
        <v>700</v>
      </c>
    </row>
    <row r="281" spans="1:9">
      <c r="A281" s="9">
        <v>329</v>
      </c>
      <c r="B281" s="9" t="s">
        <v>1070</v>
      </c>
      <c r="C281" s="9" t="s">
        <v>14</v>
      </c>
      <c r="D281" s="21">
        <v>1000</v>
      </c>
      <c r="E281" s="18">
        <v>43000000</v>
      </c>
      <c r="F281" s="18">
        <v>6544000</v>
      </c>
      <c r="G281" s="18">
        <v>5.9735496777061563</v>
      </c>
      <c r="H281" s="18">
        <v>0</v>
      </c>
      <c r="I281" s="16">
        <v>1000</v>
      </c>
    </row>
    <row r="282" spans="1:9">
      <c r="A282" s="9">
        <v>330</v>
      </c>
      <c r="B282" s="9" t="s">
        <v>1071</v>
      </c>
      <c r="C282" s="9" t="s">
        <v>14</v>
      </c>
      <c r="D282" s="21">
        <v>1000</v>
      </c>
      <c r="E282" s="18">
        <v>43000000</v>
      </c>
      <c r="F282" s="18">
        <v>6890499.9999999991</v>
      </c>
      <c r="G282" s="18">
        <v>5.6731600160959426</v>
      </c>
      <c r="H282" s="18">
        <v>0</v>
      </c>
      <c r="I282" s="16">
        <v>1000</v>
      </c>
    </row>
    <row r="283" spans="1:9">
      <c r="A283" s="9">
        <v>332</v>
      </c>
      <c r="B283" s="9" t="s">
        <v>1072</v>
      </c>
      <c r="C283" s="9" t="s">
        <v>14</v>
      </c>
      <c r="D283" s="21">
        <v>500</v>
      </c>
      <c r="E283" s="18">
        <v>29500000</v>
      </c>
      <c r="F283" s="18">
        <v>2856450.0000000005</v>
      </c>
      <c r="G283" s="18">
        <v>9.3886403816561845</v>
      </c>
      <c r="H283" s="18">
        <v>0</v>
      </c>
      <c r="I283" s="16">
        <v>500</v>
      </c>
    </row>
    <row r="284" spans="1:9">
      <c r="A284" s="9">
        <v>333</v>
      </c>
      <c r="B284" s="9" t="s">
        <v>1073</v>
      </c>
      <c r="C284" s="9" t="s">
        <v>14</v>
      </c>
      <c r="D284" s="21">
        <v>700</v>
      </c>
      <c r="E284" s="18">
        <v>34300000</v>
      </c>
      <c r="F284" s="18">
        <v>3258381</v>
      </c>
      <c r="G284" s="18">
        <v>9.5697274756445552</v>
      </c>
      <c r="H284" s="18">
        <v>0</v>
      </c>
      <c r="I284" s="16">
        <v>700</v>
      </c>
    </row>
    <row r="285" spans="1:9">
      <c r="A285" s="9">
        <v>334</v>
      </c>
      <c r="B285" s="9" t="s">
        <v>1074</v>
      </c>
      <c r="C285" s="9" t="s">
        <v>14</v>
      </c>
      <c r="D285" s="21">
        <v>500</v>
      </c>
      <c r="E285" s="18">
        <v>22500000</v>
      </c>
      <c r="F285" s="18">
        <v>2267230</v>
      </c>
      <c r="G285" s="18">
        <v>9.0218219830125115</v>
      </c>
      <c r="H285" s="18">
        <v>0</v>
      </c>
      <c r="I285" s="16">
        <v>500</v>
      </c>
    </row>
    <row r="286" spans="1:9">
      <c r="A286" s="9">
        <v>335</v>
      </c>
      <c r="B286" s="9" t="s">
        <v>1075</v>
      </c>
      <c r="C286" s="9" t="s">
        <v>14</v>
      </c>
      <c r="D286" s="21">
        <v>700</v>
      </c>
      <c r="E286" s="18">
        <v>34300000</v>
      </c>
      <c r="F286" s="18">
        <v>3140081</v>
      </c>
      <c r="G286" s="18">
        <v>9.9302591817912287</v>
      </c>
      <c r="H286" s="18">
        <v>0</v>
      </c>
      <c r="I286" s="16">
        <v>700</v>
      </c>
    </row>
    <row r="287" spans="1:9">
      <c r="A287" s="9">
        <v>336</v>
      </c>
      <c r="B287" s="9" t="s">
        <v>1076</v>
      </c>
      <c r="C287" s="9" t="s">
        <v>14</v>
      </c>
      <c r="D287" s="21">
        <v>500</v>
      </c>
      <c r="E287" s="18">
        <v>22500000</v>
      </c>
      <c r="F287" s="18">
        <v>2190730</v>
      </c>
      <c r="G287" s="18">
        <v>9.3368628057978178</v>
      </c>
      <c r="H287" s="18">
        <v>0</v>
      </c>
      <c r="I287" s="16">
        <v>500</v>
      </c>
    </row>
    <row r="288" spans="1:9">
      <c r="A288" s="9">
        <v>337</v>
      </c>
      <c r="B288" s="9" t="s">
        <v>1077</v>
      </c>
      <c r="C288" s="9" t="s">
        <v>14</v>
      </c>
      <c r="D288" s="21">
        <v>500</v>
      </c>
      <c r="E288" s="18">
        <v>22500000</v>
      </c>
      <c r="F288" s="18">
        <v>2777600.0000000005</v>
      </c>
      <c r="G288" s="18">
        <v>7.3641076665270191</v>
      </c>
      <c r="H288" s="18">
        <v>0</v>
      </c>
      <c r="I288" s="16">
        <v>500</v>
      </c>
    </row>
    <row r="289" spans="1:9">
      <c r="A289" s="9">
        <v>339</v>
      </c>
      <c r="B289" s="9" t="s">
        <v>1078</v>
      </c>
      <c r="C289" s="9" t="s">
        <v>14</v>
      </c>
      <c r="D289" s="21">
        <v>700</v>
      </c>
      <c r="E289" s="18">
        <v>34300000</v>
      </c>
      <c r="F289" s="18">
        <v>3180081.0000000005</v>
      </c>
      <c r="G289" s="18">
        <v>9.8053534428268243</v>
      </c>
      <c r="H289" s="18">
        <v>0</v>
      </c>
      <c r="I289" s="16">
        <v>700</v>
      </c>
    </row>
    <row r="290" spans="1:9">
      <c r="A290" s="9">
        <v>340</v>
      </c>
      <c r="B290" s="9" t="s">
        <v>1079</v>
      </c>
      <c r="C290" s="9" t="s">
        <v>14</v>
      </c>
      <c r="D290" s="21">
        <v>500</v>
      </c>
      <c r="E290" s="18">
        <v>24500000</v>
      </c>
      <c r="F290" s="18">
        <v>2297715</v>
      </c>
      <c r="G290" s="18">
        <v>9.6934246730892522</v>
      </c>
      <c r="H290" s="18">
        <v>0</v>
      </c>
      <c r="I290" s="16">
        <v>500</v>
      </c>
    </row>
    <row r="291" spans="1:9">
      <c r="A291" s="9">
        <v>341</v>
      </c>
      <c r="B291" s="9" t="s">
        <v>1080</v>
      </c>
      <c r="C291" s="9" t="s">
        <v>14</v>
      </c>
      <c r="D291" s="21">
        <v>500</v>
      </c>
      <c r="E291" s="18">
        <v>24500000</v>
      </c>
      <c r="F291" s="18">
        <v>2296830</v>
      </c>
      <c r="G291" s="18">
        <v>9.6971596821389792</v>
      </c>
      <c r="H291" s="18">
        <v>0</v>
      </c>
      <c r="I291" s="16">
        <v>500</v>
      </c>
    </row>
    <row r="292" spans="1:9">
      <c r="A292" s="9">
        <v>342</v>
      </c>
      <c r="B292" s="9" t="s">
        <v>1081</v>
      </c>
      <c r="C292" s="9" t="s">
        <v>14</v>
      </c>
      <c r="D292" s="21">
        <v>700</v>
      </c>
      <c r="E292" s="18">
        <v>34300000</v>
      </c>
      <c r="F292" s="18">
        <v>3408681.0000000005</v>
      </c>
      <c r="G292" s="18">
        <v>9.1477665941219417</v>
      </c>
      <c r="H292" s="18">
        <v>0</v>
      </c>
      <c r="I292" s="16">
        <v>700</v>
      </c>
    </row>
    <row r="293" spans="1:9">
      <c r="A293" s="9">
        <v>343</v>
      </c>
      <c r="B293" s="9" t="s">
        <v>1082</v>
      </c>
      <c r="C293" s="9" t="s">
        <v>14</v>
      </c>
      <c r="D293" s="21">
        <v>500</v>
      </c>
      <c r="E293" s="18">
        <v>22500000</v>
      </c>
      <c r="F293" s="18">
        <v>2411315</v>
      </c>
      <c r="G293" s="18">
        <v>8.4827347130281421</v>
      </c>
      <c r="H293" s="18">
        <v>0</v>
      </c>
      <c r="I293" s="16">
        <v>500</v>
      </c>
    </row>
    <row r="294" spans="1:9">
      <c r="A294" s="9">
        <v>344</v>
      </c>
      <c r="B294" s="9" t="s">
        <v>1083</v>
      </c>
      <c r="C294" s="9" t="s">
        <v>14</v>
      </c>
      <c r="D294" s="21">
        <v>700</v>
      </c>
      <c r="E294" s="18">
        <v>38500000</v>
      </c>
      <c r="F294" s="18">
        <v>3613676.0000000005</v>
      </c>
      <c r="G294" s="18">
        <v>9.6854283560562688</v>
      </c>
      <c r="H294" s="18">
        <v>0</v>
      </c>
      <c r="I294" s="16">
        <v>700</v>
      </c>
    </row>
    <row r="295" spans="1:9">
      <c r="A295" s="9">
        <v>345</v>
      </c>
      <c r="B295" s="9" t="s">
        <v>1084</v>
      </c>
      <c r="C295" s="9" t="s">
        <v>14</v>
      </c>
      <c r="D295" s="21">
        <v>500</v>
      </c>
      <c r="E295" s="18">
        <v>26500000</v>
      </c>
      <c r="F295" s="18">
        <v>2568640.0000000005</v>
      </c>
      <c r="G295" s="18">
        <v>9.3788577188352917</v>
      </c>
      <c r="H295" s="18">
        <v>0</v>
      </c>
      <c r="I295" s="16">
        <v>500</v>
      </c>
    </row>
    <row r="296" spans="1:9">
      <c r="A296" s="9">
        <v>346</v>
      </c>
      <c r="B296" s="9" t="s">
        <v>1085</v>
      </c>
      <c r="C296" s="9" t="s">
        <v>14</v>
      </c>
      <c r="D296" s="21">
        <v>700</v>
      </c>
      <c r="E296" s="18">
        <v>41300000</v>
      </c>
      <c r="F296" s="18">
        <v>3807271.0000000005</v>
      </c>
      <c r="G296" s="18">
        <v>9.861513547487041</v>
      </c>
      <c r="H296" s="18">
        <v>0</v>
      </c>
      <c r="I296" s="16">
        <v>700</v>
      </c>
    </row>
    <row r="297" spans="1:9">
      <c r="A297" s="9">
        <v>347</v>
      </c>
      <c r="B297" s="9" t="s">
        <v>1086</v>
      </c>
      <c r="C297" s="9" t="s">
        <v>14</v>
      </c>
      <c r="D297" s="21">
        <v>500</v>
      </c>
      <c r="E297" s="18">
        <v>27500000</v>
      </c>
      <c r="F297" s="18">
        <v>2747365.0000000005</v>
      </c>
      <c r="G297" s="18">
        <v>9.0996281891921864</v>
      </c>
      <c r="H297" s="18">
        <v>0</v>
      </c>
      <c r="I297" s="16">
        <v>500</v>
      </c>
    </row>
    <row r="298" spans="1:9">
      <c r="A298" s="9">
        <v>349</v>
      </c>
      <c r="B298" s="9" t="s">
        <v>1087</v>
      </c>
      <c r="C298" s="9" t="s">
        <v>14</v>
      </c>
      <c r="D298" s="21">
        <v>700</v>
      </c>
      <c r="E298" s="18">
        <v>38500000</v>
      </c>
      <c r="F298" s="18">
        <v>3994425</v>
      </c>
      <c r="G298" s="18">
        <v>8.7622123334397308</v>
      </c>
      <c r="H298" s="18">
        <v>0</v>
      </c>
      <c r="I298" s="16">
        <v>700</v>
      </c>
    </row>
    <row r="299" spans="1:9">
      <c r="A299" s="9">
        <v>350</v>
      </c>
      <c r="B299" s="9" t="s">
        <v>1088</v>
      </c>
      <c r="C299" s="9" t="s">
        <v>14</v>
      </c>
      <c r="D299" s="21">
        <v>500</v>
      </c>
      <c r="E299" s="18">
        <v>24500000</v>
      </c>
      <c r="F299" s="18">
        <v>2406915</v>
      </c>
      <c r="G299" s="18">
        <v>9.2536409772373656</v>
      </c>
      <c r="H299" s="18">
        <v>0</v>
      </c>
      <c r="I299" s="16">
        <v>500</v>
      </c>
    </row>
    <row r="300" spans="1:9">
      <c r="A300" s="9">
        <v>351</v>
      </c>
      <c r="B300" s="9" t="s">
        <v>1089</v>
      </c>
      <c r="C300" s="9" t="s">
        <v>14</v>
      </c>
      <c r="D300" s="21">
        <v>700</v>
      </c>
      <c r="E300" s="18">
        <v>38500000</v>
      </c>
      <c r="F300" s="18">
        <v>3237022</v>
      </c>
      <c r="G300" s="18">
        <v>10.812407206376724</v>
      </c>
      <c r="H300" s="18">
        <v>0</v>
      </c>
      <c r="I300" s="16">
        <v>700</v>
      </c>
    </row>
    <row r="301" spans="1:9">
      <c r="A301" s="9">
        <v>353</v>
      </c>
      <c r="B301" s="9" t="s">
        <v>1090</v>
      </c>
      <c r="C301" s="9" t="s">
        <v>14</v>
      </c>
      <c r="D301" s="21">
        <v>450</v>
      </c>
      <c r="E301" s="18">
        <v>26550000</v>
      </c>
      <c r="F301" s="18">
        <v>2441556</v>
      </c>
      <c r="G301" s="18">
        <v>9.885648183520523</v>
      </c>
      <c r="H301" s="18">
        <v>0</v>
      </c>
      <c r="I301" s="16">
        <v>450</v>
      </c>
    </row>
    <row r="302" spans="1:9">
      <c r="A302" s="9">
        <v>354</v>
      </c>
      <c r="B302" s="9" t="s">
        <v>1091</v>
      </c>
      <c r="C302" s="9" t="s">
        <v>14</v>
      </c>
      <c r="D302" s="21">
        <v>400</v>
      </c>
      <c r="E302" s="18">
        <v>22000000</v>
      </c>
      <c r="F302" s="18">
        <v>2170272</v>
      </c>
      <c r="G302" s="18">
        <v>9.2154347473496401</v>
      </c>
      <c r="H302" s="18">
        <v>0</v>
      </c>
      <c r="I302" s="16">
        <v>400</v>
      </c>
    </row>
    <row r="303" spans="1:9">
      <c r="A303" s="9">
        <v>355</v>
      </c>
      <c r="B303" s="9" t="s">
        <v>1092</v>
      </c>
      <c r="C303" s="9" t="s">
        <v>14</v>
      </c>
      <c r="D303" s="21">
        <v>700</v>
      </c>
      <c r="E303" s="18">
        <v>45500000</v>
      </c>
      <c r="F303" s="18">
        <v>4147276</v>
      </c>
      <c r="G303" s="18">
        <v>9.9736878769670394</v>
      </c>
      <c r="H303" s="18">
        <v>0</v>
      </c>
      <c r="I303" s="16">
        <v>700</v>
      </c>
    </row>
    <row r="304" spans="1:9">
      <c r="A304" s="9">
        <v>357</v>
      </c>
      <c r="B304" s="9" t="s">
        <v>1093</v>
      </c>
      <c r="C304" s="9" t="s">
        <v>14</v>
      </c>
      <c r="D304" s="21">
        <v>500</v>
      </c>
      <c r="E304" s="18">
        <v>22500000</v>
      </c>
      <c r="F304" s="18">
        <v>3246505</v>
      </c>
      <c r="G304" s="18">
        <v>6.3004817348334443</v>
      </c>
      <c r="H304" s="18">
        <v>0</v>
      </c>
      <c r="I304" s="16">
        <v>500</v>
      </c>
    </row>
    <row r="305" spans="1:9">
      <c r="A305" s="9">
        <v>358</v>
      </c>
      <c r="B305" s="9" t="s">
        <v>1094</v>
      </c>
      <c r="C305" s="9" t="s">
        <v>14</v>
      </c>
      <c r="D305" s="21">
        <v>700</v>
      </c>
      <c r="E305" s="18">
        <v>31500000</v>
      </c>
      <c r="F305" s="18">
        <v>4501707</v>
      </c>
      <c r="G305" s="18">
        <v>6.3612233395828817</v>
      </c>
      <c r="H305" s="18">
        <v>0</v>
      </c>
      <c r="I305" s="16">
        <v>700</v>
      </c>
    </row>
    <row r="306" spans="1:9">
      <c r="A306" s="9">
        <v>359</v>
      </c>
      <c r="B306" s="9" t="s">
        <v>1095</v>
      </c>
      <c r="C306" s="9" t="s">
        <v>14</v>
      </c>
      <c r="D306" s="21">
        <v>700</v>
      </c>
      <c r="E306" s="18">
        <v>31500000</v>
      </c>
      <c r="F306" s="18">
        <v>4679507</v>
      </c>
      <c r="G306" s="18">
        <v>6.119525761231607</v>
      </c>
      <c r="H306" s="18">
        <v>0</v>
      </c>
      <c r="I306" s="16">
        <v>700</v>
      </c>
    </row>
    <row r="307" spans="1:9">
      <c r="A307" s="9">
        <v>360</v>
      </c>
      <c r="B307" s="9" t="s">
        <v>1096</v>
      </c>
      <c r="C307" s="9" t="s">
        <v>14</v>
      </c>
      <c r="D307" s="21">
        <v>500</v>
      </c>
      <c r="E307" s="18">
        <v>19500000</v>
      </c>
      <c r="F307" s="18">
        <v>2876450.0000000005</v>
      </c>
      <c r="G307" s="18">
        <v>6.1628996600923784</v>
      </c>
      <c r="H307" s="18">
        <v>0</v>
      </c>
      <c r="I307" s="16">
        <v>500</v>
      </c>
    </row>
    <row r="308" spans="1:9">
      <c r="A308" s="9">
        <v>361</v>
      </c>
      <c r="B308" s="9" t="s">
        <v>1097</v>
      </c>
      <c r="C308" s="9" t="s">
        <v>14</v>
      </c>
      <c r="D308" s="21">
        <v>500</v>
      </c>
      <c r="E308" s="18">
        <v>19500000</v>
      </c>
      <c r="F308" s="18">
        <v>2767745.0000000005</v>
      </c>
      <c r="G308" s="18">
        <v>6.4049515859563373</v>
      </c>
      <c r="H308" s="18">
        <v>0</v>
      </c>
      <c r="I308" s="16">
        <v>500</v>
      </c>
    </row>
    <row r="309" spans="1:9">
      <c r="A309" s="9">
        <v>362</v>
      </c>
      <c r="B309" s="9" t="s">
        <v>1098</v>
      </c>
      <c r="C309" s="9" t="s">
        <v>14</v>
      </c>
      <c r="D309" s="21">
        <v>500</v>
      </c>
      <c r="E309" s="18">
        <v>19500000</v>
      </c>
      <c r="F309" s="18">
        <v>2562820</v>
      </c>
      <c r="G309" s="18">
        <v>6.9170962952032244</v>
      </c>
      <c r="H309" s="18">
        <v>0</v>
      </c>
      <c r="I309" s="16">
        <v>500</v>
      </c>
    </row>
    <row r="310" spans="1:9">
      <c r="A310" s="9">
        <v>363</v>
      </c>
      <c r="B310" s="9" t="s">
        <v>1099</v>
      </c>
      <c r="C310" s="9" t="s">
        <v>14</v>
      </c>
      <c r="D310" s="21">
        <v>500</v>
      </c>
      <c r="E310" s="18">
        <v>24500000</v>
      </c>
      <c r="F310" s="18">
        <v>3276890.0000000005</v>
      </c>
      <c r="G310" s="18">
        <v>6.7969102633067537</v>
      </c>
      <c r="H310" s="18">
        <v>0</v>
      </c>
      <c r="I310" s="16">
        <v>500</v>
      </c>
    </row>
    <row r="311" spans="1:9">
      <c r="A311" s="9">
        <v>364</v>
      </c>
      <c r="B311" s="9" t="s">
        <v>1100</v>
      </c>
      <c r="C311" s="9" t="s">
        <v>14</v>
      </c>
      <c r="D311" s="21">
        <v>400</v>
      </c>
      <c r="E311" s="18">
        <v>18000000</v>
      </c>
      <c r="F311" s="18">
        <v>2626684.0000000005</v>
      </c>
      <c r="G311" s="18">
        <v>6.2297696881834126</v>
      </c>
      <c r="H311" s="18">
        <v>0</v>
      </c>
      <c r="I311" s="16">
        <v>400</v>
      </c>
    </row>
    <row r="312" spans="1:9">
      <c r="A312" s="9">
        <v>365</v>
      </c>
      <c r="B312" s="9" t="s">
        <v>1101</v>
      </c>
      <c r="C312" s="9" t="s">
        <v>14</v>
      </c>
      <c r="D312" s="21">
        <v>500</v>
      </c>
      <c r="E312" s="18">
        <v>22500000</v>
      </c>
      <c r="F312" s="18">
        <v>2574970.0000000005</v>
      </c>
      <c r="G312" s="18">
        <v>7.9436053447401127</v>
      </c>
      <c r="H312" s="18">
        <v>0</v>
      </c>
      <c r="I312" s="16">
        <v>500</v>
      </c>
    </row>
    <row r="313" spans="1:9">
      <c r="A313" s="9">
        <v>366</v>
      </c>
      <c r="B313" s="9" t="s">
        <v>1102</v>
      </c>
      <c r="C313" s="9" t="s">
        <v>14</v>
      </c>
      <c r="D313" s="21">
        <v>500</v>
      </c>
      <c r="E313" s="18">
        <v>22500000</v>
      </c>
      <c r="F313" s="18">
        <v>2358470.0000000005</v>
      </c>
      <c r="G313" s="18">
        <v>8.6728028995685538</v>
      </c>
      <c r="H313" s="18">
        <v>0</v>
      </c>
      <c r="I313" s="16">
        <v>500</v>
      </c>
    </row>
    <row r="314" spans="1:9">
      <c r="A314" s="9">
        <v>367</v>
      </c>
      <c r="B314" s="9" t="s">
        <v>1103</v>
      </c>
      <c r="C314" s="9" t="s">
        <v>14</v>
      </c>
      <c r="D314" s="21">
        <v>500</v>
      </c>
      <c r="E314" s="18">
        <v>22500000</v>
      </c>
      <c r="F314" s="18">
        <v>2362470.0000000005</v>
      </c>
      <c r="G314" s="18">
        <v>8.658118602371859</v>
      </c>
      <c r="H314" s="18">
        <v>0</v>
      </c>
      <c r="I314" s="16">
        <v>500</v>
      </c>
    </row>
    <row r="315" spans="1:9">
      <c r="A315" s="9">
        <v>368</v>
      </c>
      <c r="B315" s="9" t="s">
        <v>1104</v>
      </c>
      <c r="C315" s="9" t="s">
        <v>14</v>
      </c>
      <c r="D315" s="21">
        <v>400</v>
      </c>
      <c r="E315" s="18">
        <v>18000000</v>
      </c>
      <c r="F315" s="18">
        <v>2334376</v>
      </c>
      <c r="G315" s="18">
        <v>7.0098546093844192</v>
      </c>
      <c r="H315" s="18">
        <v>0</v>
      </c>
      <c r="I315" s="16">
        <v>400</v>
      </c>
    </row>
    <row r="316" spans="1:9">
      <c r="A316" s="9">
        <v>369</v>
      </c>
      <c r="B316" s="9" t="s">
        <v>1105</v>
      </c>
      <c r="C316" s="9" t="s">
        <v>14</v>
      </c>
      <c r="D316" s="21">
        <v>500</v>
      </c>
      <c r="E316" s="18">
        <v>22500000</v>
      </c>
      <c r="F316" s="18">
        <v>2383470.0000000005</v>
      </c>
      <c r="G316" s="18">
        <v>8.5818346589407231</v>
      </c>
      <c r="H316" s="18">
        <v>0</v>
      </c>
      <c r="I316" s="16">
        <v>500</v>
      </c>
    </row>
    <row r="317" spans="1:9">
      <c r="A317" s="9">
        <v>370</v>
      </c>
      <c r="B317" s="9" t="s">
        <v>1106</v>
      </c>
      <c r="C317" s="9" t="s">
        <v>14</v>
      </c>
      <c r="D317" s="21">
        <v>500</v>
      </c>
      <c r="E317" s="18">
        <v>22500000</v>
      </c>
      <c r="F317" s="18">
        <v>2452285</v>
      </c>
      <c r="G317" s="18">
        <v>8.3410147901020704</v>
      </c>
      <c r="H317" s="18">
        <v>0</v>
      </c>
      <c r="I317" s="16">
        <v>500</v>
      </c>
    </row>
    <row r="318" spans="1:9">
      <c r="A318" s="9">
        <v>372</v>
      </c>
      <c r="B318" s="9" t="s">
        <v>1107</v>
      </c>
      <c r="C318" s="9" t="s">
        <v>14</v>
      </c>
      <c r="D318" s="21">
        <v>400</v>
      </c>
      <c r="E318" s="18">
        <v>22000000</v>
      </c>
      <c r="F318" s="18">
        <v>2418568</v>
      </c>
      <c r="G318" s="18">
        <v>8.2693560817806233</v>
      </c>
      <c r="H318" s="18">
        <v>0</v>
      </c>
      <c r="I318" s="16">
        <v>400</v>
      </c>
    </row>
    <row r="319" spans="1:9">
      <c r="A319" s="9">
        <v>373</v>
      </c>
      <c r="B319" s="9" t="s">
        <v>1108</v>
      </c>
      <c r="C319" s="9" t="s">
        <v>14</v>
      </c>
      <c r="D319" s="21">
        <v>400</v>
      </c>
      <c r="E319" s="18">
        <v>22000000</v>
      </c>
      <c r="F319" s="18">
        <v>2403568</v>
      </c>
      <c r="G319" s="18">
        <v>8.3209628352515921</v>
      </c>
      <c r="H319" s="18">
        <v>0</v>
      </c>
      <c r="I319" s="16">
        <v>400</v>
      </c>
    </row>
    <row r="320" spans="1:9">
      <c r="A320" s="9">
        <v>374</v>
      </c>
      <c r="B320" s="9" t="s">
        <v>1109</v>
      </c>
      <c r="C320" s="9" t="s">
        <v>14</v>
      </c>
      <c r="D320" s="21">
        <v>500</v>
      </c>
      <c r="E320" s="18">
        <v>27500000</v>
      </c>
      <c r="F320" s="18">
        <v>2967050</v>
      </c>
      <c r="G320" s="18">
        <v>8.4258775551473679</v>
      </c>
      <c r="H320" s="18">
        <v>0</v>
      </c>
      <c r="I320" s="16">
        <v>500</v>
      </c>
    </row>
    <row r="321" spans="1:9">
      <c r="A321" s="9">
        <v>375</v>
      </c>
      <c r="B321" s="9" t="s">
        <v>1110</v>
      </c>
      <c r="C321" s="9" t="s">
        <v>14</v>
      </c>
      <c r="D321" s="21">
        <v>500</v>
      </c>
      <c r="E321" s="18">
        <v>27500000</v>
      </c>
      <c r="F321" s="18">
        <v>3255950.0000000005</v>
      </c>
      <c r="G321" s="18">
        <v>7.6782505873861675</v>
      </c>
      <c r="H321" s="18">
        <v>0</v>
      </c>
      <c r="I321" s="16">
        <v>500</v>
      </c>
    </row>
    <row r="322" spans="1:9">
      <c r="A322" s="9">
        <v>377</v>
      </c>
      <c r="B322" s="9" t="s">
        <v>1111</v>
      </c>
      <c r="C322" s="9" t="s">
        <v>14</v>
      </c>
      <c r="D322" s="21">
        <v>400</v>
      </c>
      <c r="E322" s="18">
        <v>19600000</v>
      </c>
      <c r="F322" s="18">
        <v>2608992</v>
      </c>
      <c r="G322" s="18">
        <v>6.8295271960135624</v>
      </c>
      <c r="H322" s="18">
        <v>0</v>
      </c>
      <c r="I322" s="16">
        <v>400</v>
      </c>
    </row>
    <row r="323" spans="1:9">
      <c r="A323" s="9">
        <v>378</v>
      </c>
      <c r="B323" s="9" t="s">
        <v>1112</v>
      </c>
      <c r="C323" s="9" t="s">
        <v>14</v>
      </c>
      <c r="D323" s="21">
        <v>400</v>
      </c>
      <c r="E323" s="18">
        <v>19600000</v>
      </c>
      <c r="F323" s="18">
        <v>2576992</v>
      </c>
      <c r="G323" s="18">
        <v>6.9143333848850972</v>
      </c>
      <c r="H323" s="18">
        <v>0</v>
      </c>
      <c r="I323" s="16">
        <v>400</v>
      </c>
    </row>
    <row r="324" spans="1:9">
      <c r="A324" s="9">
        <v>379</v>
      </c>
      <c r="B324" s="9" t="s">
        <v>1113</v>
      </c>
      <c r="C324" s="9" t="s">
        <v>14</v>
      </c>
      <c r="D324" s="21">
        <v>500</v>
      </c>
      <c r="E324" s="18">
        <v>34500000</v>
      </c>
      <c r="F324" s="18">
        <v>4998385</v>
      </c>
      <c r="G324" s="18">
        <v>6.2747540182751758</v>
      </c>
      <c r="H324" s="18">
        <v>0</v>
      </c>
      <c r="I324" s="16">
        <v>500</v>
      </c>
    </row>
    <row r="325" spans="1:9">
      <c r="A325" s="9">
        <v>380</v>
      </c>
      <c r="B325" s="9" t="s">
        <v>1114</v>
      </c>
      <c r="C325" s="9" t="s">
        <v>14</v>
      </c>
      <c r="D325" s="21">
        <v>500</v>
      </c>
      <c r="E325" s="18">
        <v>32500000</v>
      </c>
      <c r="F325" s="18">
        <v>4923000</v>
      </c>
      <c r="G325" s="18">
        <v>6.00151422820527</v>
      </c>
      <c r="H325" s="18">
        <v>0</v>
      </c>
      <c r="I325" s="16">
        <v>500</v>
      </c>
    </row>
    <row r="326" spans="1:9">
      <c r="A326" s="9">
        <v>381</v>
      </c>
      <c r="B326" s="9" t="s">
        <v>1115</v>
      </c>
      <c r="C326" s="9" t="s">
        <v>14</v>
      </c>
      <c r="D326" s="21">
        <v>500</v>
      </c>
      <c r="E326" s="18">
        <v>34500000</v>
      </c>
      <c r="F326" s="18">
        <v>4692885</v>
      </c>
      <c r="G326" s="18">
        <v>6.6832313946828794</v>
      </c>
      <c r="H326" s="18">
        <v>0</v>
      </c>
      <c r="I326" s="16">
        <v>500</v>
      </c>
    </row>
    <row r="327" spans="1:9">
      <c r="A327" s="9">
        <v>382</v>
      </c>
      <c r="B327" s="9" t="s">
        <v>1116</v>
      </c>
      <c r="C327" s="9" t="s">
        <v>14</v>
      </c>
      <c r="D327" s="21">
        <v>500</v>
      </c>
      <c r="E327" s="18">
        <v>32500000</v>
      </c>
      <c r="F327" s="18">
        <v>4630500</v>
      </c>
      <c r="G327" s="18">
        <v>6.3806186255165844</v>
      </c>
      <c r="H327" s="18">
        <v>0</v>
      </c>
      <c r="I327" s="16">
        <v>500</v>
      </c>
    </row>
    <row r="328" spans="1:9">
      <c r="A328" s="9">
        <v>383</v>
      </c>
      <c r="B328" s="9" t="s">
        <v>1117</v>
      </c>
      <c r="C328" s="9" t="s">
        <v>14</v>
      </c>
      <c r="D328" s="21">
        <v>500</v>
      </c>
      <c r="E328" s="18">
        <v>29500000</v>
      </c>
      <c r="F328" s="18">
        <v>3921495.0000000005</v>
      </c>
      <c r="G328" s="18">
        <v>6.8387647614447582</v>
      </c>
      <c r="H328" s="18">
        <v>0</v>
      </c>
      <c r="I328" s="16">
        <v>500</v>
      </c>
    </row>
    <row r="329" spans="1:9">
      <c r="A329" s="9">
        <v>384</v>
      </c>
      <c r="B329" s="9" t="s">
        <v>1118</v>
      </c>
      <c r="C329" s="9" t="s">
        <v>14</v>
      </c>
      <c r="D329" s="21">
        <v>500</v>
      </c>
      <c r="E329" s="18">
        <v>27500000</v>
      </c>
      <c r="F329" s="18">
        <v>3861509.9999999995</v>
      </c>
      <c r="G329" s="18">
        <v>6.4741513035056233</v>
      </c>
      <c r="H329" s="18">
        <v>0</v>
      </c>
      <c r="I329" s="16">
        <v>500</v>
      </c>
    </row>
    <row r="330" spans="1:9">
      <c r="A330" s="9">
        <v>385</v>
      </c>
      <c r="B330" s="9" t="s">
        <v>1119</v>
      </c>
      <c r="C330" s="9" t="s">
        <v>14</v>
      </c>
      <c r="D330" s="21">
        <v>500</v>
      </c>
      <c r="E330" s="18">
        <v>34500000</v>
      </c>
      <c r="F330" s="18">
        <v>4958885</v>
      </c>
      <c r="G330" s="18">
        <v>6.3247355733469046</v>
      </c>
      <c r="H330" s="18">
        <v>0</v>
      </c>
      <c r="I330" s="16">
        <v>500</v>
      </c>
    </row>
    <row r="331" spans="1:9">
      <c r="A331" s="9">
        <v>386</v>
      </c>
      <c r="B331" s="9" t="s">
        <v>1120</v>
      </c>
      <c r="C331" s="9" t="s">
        <v>14</v>
      </c>
      <c r="D331" s="21">
        <v>500</v>
      </c>
      <c r="E331" s="18">
        <v>34500000</v>
      </c>
      <c r="F331" s="18">
        <v>4937900</v>
      </c>
      <c r="G331" s="18">
        <v>6.3516143226141404</v>
      </c>
      <c r="H331" s="18">
        <v>0</v>
      </c>
      <c r="I331" s="16">
        <v>500</v>
      </c>
    </row>
    <row r="332" spans="1:9">
      <c r="A332" s="9">
        <v>387</v>
      </c>
      <c r="B332" s="9" t="s">
        <v>1121</v>
      </c>
      <c r="C332" s="9" t="s">
        <v>14</v>
      </c>
      <c r="D332" s="21">
        <v>500</v>
      </c>
      <c r="E332" s="18">
        <v>32500000</v>
      </c>
      <c r="F332" s="18">
        <v>4303205</v>
      </c>
      <c r="G332" s="18">
        <v>6.8659184364803778</v>
      </c>
      <c r="H332" s="18">
        <v>0</v>
      </c>
      <c r="I332" s="16">
        <v>500</v>
      </c>
    </row>
    <row r="333" spans="1:9">
      <c r="A333" s="9">
        <v>388</v>
      </c>
      <c r="B333" s="9" t="s">
        <v>1122</v>
      </c>
      <c r="C333" s="9" t="s">
        <v>14</v>
      </c>
      <c r="D333" s="21">
        <v>500</v>
      </c>
      <c r="E333" s="18">
        <v>34500000</v>
      </c>
      <c r="F333" s="18">
        <v>4750875</v>
      </c>
      <c r="G333" s="18">
        <v>6.6016547191067678</v>
      </c>
      <c r="H333" s="18">
        <v>0</v>
      </c>
      <c r="I333" s="16">
        <v>500</v>
      </c>
    </row>
    <row r="334" spans="1:9">
      <c r="A334" s="9">
        <v>390</v>
      </c>
      <c r="B334" s="9" t="s">
        <v>1123</v>
      </c>
      <c r="C334" s="9" t="s">
        <v>14</v>
      </c>
      <c r="D334" s="21">
        <v>500</v>
      </c>
      <c r="E334" s="18">
        <v>22500000</v>
      </c>
      <c r="F334" s="18">
        <v>2331045</v>
      </c>
      <c r="G334" s="18">
        <v>8.7748393765652128</v>
      </c>
      <c r="H334" s="18">
        <v>0</v>
      </c>
      <c r="I334" s="16">
        <v>500</v>
      </c>
    </row>
    <row r="335" spans="1:9">
      <c r="A335" s="9">
        <v>391</v>
      </c>
      <c r="B335" s="9" t="s">
        <v>1124</v>
      </c>
      <c r="C335" s="9" t="s">
        <v>14</v>
      </c>
      <c r="D335" s="21">
        <v>500</v>
      </c>
      <c r="E335" s="18">
        <v>22500000</v>
      </c>
      <c r="F335" s="18">
        <v>2243675</v>
      </c>
      <c r="G335" s="18">
        <v>9.1165366884889547</v>
      </c>
      <c r="H335" s="18">
        <v>0</v>
      </c>
      <c r="I335" s="16">
        <v>500</v>
      </c>
    </row>
    <row r="336" spans="1:9">
      <c r="A336" s="9">
        <v>393</v>
      </c>
      <c r="B336" s="9" t="s">
        <v>1125</v>
      </c>
      <c r="C336" s="9" t="s">
        <v>14</v>
      </c>
      <c r="D336" s="21">
        <v>5000</v>
      </c>
      <c r="E336" s="18">
        <v>245000000</v>
      </c>
      <c r="F336" s="18">
        <v>27820000</v>
      </c>
      <c r="G336" s="18">
        <v>8.0060126789098742</v>
      </c>
      <c r="H336" s="18">
        <v>0</v>
      </c>
      <c r="I336" s="16">
        <v>5000</v>
      </c>
    </row>
    <row r="337" spans="1:9">
      <c r="A337" s="9">
        <v>394</v>
      </c>
      <c r="B337" s="9" t="s">
        <v>1126</v>
      </c>
      <c r="C337" s="9" t="s">
        <v>14</v>
      </c>
      <c r="D337" s="21">
        <v>3000</v>
      </c>
      <c r="E337" s="18">
        <v>129000000</v>
      </c>
      <c r="F337" s="18">
        <v>14613000</v>
      </c>
      <c r="G337" s="18">
        <v>8.0252328250685867</v>
      </c>
      <c r="H337" s="18">
        <v>0</v>
      </c>
      <c r="I337" s="16">
        <v>3000</v>
      </c>
    </row>
    <row r="338" spans="1:9">
      <c r="A338" s="9">
        <v>395</v>
      </c>
      <c r="B338" s="9" t="s">
        <v>1127</v>
      </c>
      <c r="C338" s="9" t="s">
        <v>14</v>
      </c>
      <c r="D338" s="21">
        <v>1500</v>
      </c>
      <c r="E338" s="18">
        <v>67500000</v>
      </c>
      <c r="F338" s="18">
        <v>8086125</v>
      </c>
      <c r="G338" s="18">
        <v>7.5887568351511216</v>
      </c>
      <c r="H338" s="18">
        <v>0</v>
      </c>
      <c r="I338" s="16">
        <v>1500</v>
      </c>
    </row>
    <row r="339" spans="1:9">
      <c r="A339" s="9">
        <v>397</v>
      </c>
      <c r="B339" s="9" t="s">
        <v>1128</v>
      </c>
      <c r="C339" s="9" t="s">
        <v>14</v>
      </c>
      <c r="D339" s="21">
        <v>700</v>
      </c>
      <c r="E339" s="18">
        <v>34300000</v>
      </c>
      <c r="F339" s="18">
        <v>4772831.0000000009</v>
      </c>
      <c r="G339" s="18">
        <v>6.5331913453080936</v>
      </c>
      <c r="H339" s="18">
        <v>0</v>
      </c>
      <c r="I339" s="16">
        <v>700</v>
      </c>
    </row>
    <row r="340" spans="1:9">
      <c r="A340" s="9">
        <v>399</v>
      </c>
      <c r="B340" s="9" t="s">
        <v>1129</v>
      </c>
      <c r="C340" s="9" t="s">
        <v>14</v>
      </c>
      <c r="D340" s="21">
        <v>700</v>
      </c>
      <c r="E340" s="18">
        <v>41300000</v>
      </c>
      <c r="F340" s="18">
        <v>5151762.0000000009</v>
      </c>
      <c r="G340" s="18">
        <v>7.2878860757648622</v>
      </c>
      <c r="H340" s="18">
        <v>700</v>
      </c>
      <c r="I340" s="16">
        <v>0</v>
      </c>
    </row>
    <row r="341" spans="1:9">
      <c r="A341" s="9">
        <v>401</v>
      </c>
      <c r="B341" s="9" t="s">
        <v>1131</v>
      </c>
      <c r="C341" s="9" t="s">
        <v>14</v>
      </c>
      <c r="D341" s="21">
        <v>1000</v>
      </c>
      <c r="E341" s="18">
        <v>109000000</v>
      </c>
      <c r="F341" s="18">
        <v>22920000</v>
      </c>
      <c r="G341" s="18">
        <v>4.3233380929715999</v>
      </c>
      <c r="H341" s="18">
        <v>990</v>
      </c>
      <c r="I341" s="16">
        <v>0</v>
      </c>
    </row>
    <row r="342" spans="1:9">
      <c r="A342" s="9">
        <v>402</v>
      </c>
      <c r="B342" s="9" t="s">
        <v>1132</v>
      </c>
      <c r="C342" s="9" t="s">
        <v>14</v>
      </c>
      <c r="D342" s="21">
        <v>500</v>
      </c>
      <c r="E342" s="18">
        <v>54500000</v>
      </c>
      <c r="F342" s="18">
        <v>11460000</v>
      </c>
      <c r="G342" s="18">
        <v>4.3233380929715999</v>
      </c>
      <c r="H342" s="18">
        <v>510</v>
      </c>
      <c r="I342" s="16">
        <v>0</v>
      </c>
    </row>
    <row r="343" spans="1:9">
      <c r="A343" s="9">
        <v>403</v>
      </c>
      <c r="B343" s="9" t="s">
        <v>1133</v>
      </c>
      <c r="C343" s="9" t="s">
        <v>14</v>
      </c>
      <c r="D343" s="21">
        <v>500</v>
      </c>
      <c r="E343" s="18">
        <v>54500000</v>
      </c>
      <c r="F343" s="18">
        <v>11460000</v>
      </c>
      <c r="G343" s="18">
        <v>4.3233380929715999</v>
      </c>
      <c r="H343" s="18">
        <v>500</v>
      </c>
      <c r="I343" s="16">
        <v>0</v>
      </c>
    </row>
    <row r="344" spans="1:9">
      <c r="A344" s="9">
        <v>404</v>
      </c>
      <c r="B344" s="9" t="s">
        <v>1134</v>
      </c>
      <c r="C344" s="9" t="s">
        <v>14</v>
      </c>
      <c r="D344" s="21">
        <v>500</v>
      </c>
      <c r="E344" s="18">
        <v>49500000</v>
      </c>
      <c r="F344" s="18">
        <v>10010000</v>
      </c>
      <c r="G344" s="18">
        <v>4.4955044955044956</v>
      </c>
      <c r="H344" s="18">
        <v>500</v>
      </c>
      <c r="I344" s="16">
        <v>0</v>
      </c>
    </row>
    <row r="345" spans="1:9">
      <c r="A345" s="9">
        <v>405</v>
      </c>
      <c r="B345" s="9" t="s">
        <v>1135</v>
      </c>
      <c r="C345" s="9" t="s">
        <v>14</v>
      </c>
      <c r="D345" s="21">
        <v>500</v>
      </c>
      <c r="E345" s="18">
        <v>49500000</v>
      </c>
      <c r="F345" s="18">
        <v>10010000</v>
      </c>
      <c r="G345" s="18">
        <v>4.4955044955044956</v>
      </c>
      <c r="H345" s="18">
        <v>500</v>
      </c>
      <c r="I345" s="16">
        <v>0</v>
      </c>
    </row>
    <row r="346" spans="1:9">
      <c r="A346" s="9">
        <v>406</v>
      </c>
      <c r="B346" s="9" t="s">
        <v>1136</v>
      </c>
      <c r="C346" s="9" t="s">
        <v>14</v>
      </c>
      <c r="D346" s="21">
        <v>500</v>
      </c>
      <c r="E346" s="18">
        <v>49500000</v>
      </c>
      <c r="F346" s="18">
        <v>10460000</v>
      </c>
      <c r="G346" s="18">
        <v>4.3021032504780115</v>
      </c>
      <c r="H346" s="18">
        <v>500</v>
      </c>
      <c r="I346" s="16">
        <v>0</v>
      </c>
    </row>
    <row r="347" spans="1:9">
      <c r="A347" s="9">
        <v>407</v>
      </c>
      <c r="B347" s="9" t="s">
        <v>797</v>
      </c>
      <c r="C347" s="9" t="s">
        <v>14</v>
      </c>
      <c r="D347" s="21">
        <v>500</v>
      </c>
      <c r="E347" s="18">
        <v>22500000</v>
      </c>
      <c r="F347" s="18">
        <v>5010000</v>
      </c>
      <c r="G347" s="18">
        <v>4.0827436037016875</v>
      </c>
      <c r="H347" s="18">
        <v>500</v>
      </c>
      <c r="I347" s="16">
        <v>0</v>
      </c>
    </row>
    <row r="348" spans="1:9">
      <c r="A348" s="9">
        <v>409</v>
      </c>
      <c r="B348" s="9" t="s">
        <v>920</v>
      </c>
      <c r="C348" s="9" t="s">
        <v>14</v>
      </c>
      <c r="D348" s="21">
        <v>3000</v>
      </c>
      <c r="E348" s="18">
        <v>147000000</v>
      </c>
      <c r="F348" s="18">
        <v>25560000</v>
      </c>
      <c r="G348" s="18">
        <v>5.2283397353819883</v>
      </c>
      <c r="H348" s="18">
        <v>3000</v>
      </c>
      <c r="I348" s="16">
        <v>0</v>
      </c>
    </row>
    <row r="349" spans="1:9">
      <c r="A349" s="9">
        <v>411</v>
      </c>
      <c r="B349" s="9" t="s">
        <v>1137</v>
      </c>
      <c r="C349" s="9" t="s">
        <v>14</v>
      </c>
      <c r="D349" s="21">
        <v>1000</v>
      </c>
      <c r="E349" s="18">
        <v>55000000</v>
      </c>
      <c r="F349" s="18">
        <v>9020000</v>
      </c>
      <c r="G349" s="18">
        <v>5.5432372505543235</v>
      </c>
      <c r="H349" s="18">
        <v>497</v>
      </c>
      <c r="I349" s="16">
        <v>503</v>
      </c>
    </row>
    <row r="350" spans="1:9">
      <c r="A350" s="9">
        <v>412</v>
      </c>
      <c r="B350" s="9" t="s">
        <v>1138</v>
      </c>
      <c r="C350" s="9" t="s">
        <v>14</v>
      </c>
      <c r="D350" s="21">
        <v>1000</v>
      </c>
      <c r="E350" s="18">
        <v>55000000</v>
      </c>
      <c r="F350" s="18">
        <v>9020000</v>
      </c>
      <c r="G350" s="18">
        <v>5.5432372505543235</v>
      </c>
      <c r="H350" s="18">
        <v>499</v>
      </c>
      <c r="I350" s="16">
        <v>501</v>
      </c>
    </row>
    <row r="351" spans="1:9">
      <c r="A351" s="9">
        <v>414</v>
      </c>
      <c r="B351" s="9" t="s">
        <v>1139</v>
      </c>
      <c r="C351" s="9" t="s">
        <v>14</v>
      </c>
      <c r="D351" s="21">
        <v>1000</v>
      </c>
      <c r="E351" s="18">
        <v>49000000</v>
      </c>
      <c r="F351" s="18">
        <v>5938470</v>
      </c>
      <c r="G351" s="18">
        <v>7.5011668907066191</v>
      </c>
      <c r="H351" s="18">
        <v>0</v>
      </c>
      <c r="I351" s="16">
        <v>1000</v>
      </c>
    </row>
    <row r="352" spans="1:9">
      <c r="A352" s="9">
        <v>416</v>
      </c>
      <c r="B352" s="9" t="s">
        <v>1140</v>
      </c>
      <c r="C352" s="9" t="s">
        <v>14</v>
      </c>
      <c r="D352" s="21">
        <v>800</v>
      </c>
      <c r="E352" s="18">
        <v>44000000</v>
      </c>
      <c r="F352" s="18">
        <v>7126060.0000000009</v>
      </c>
      <c r="G352" s="18">
        <v>5.6132000011226388</v>
      </c>
      <c r="H352" s="18">
        <v>0</v>
      </c>
      <c r="I352" s="16">
        <v>800</v>
      </c>
    </row>
    <row r="353" spans="1:9">
      <c r="A353" s="9">
        <v>417</v>
      </c>
      <c r="B353" s="9" t="s">
        <v>1141</v>
      </c>
      <c r="C353" s="9" t="s">
        <v>14</v>
      </c>
      <c r="D353" s="21">
        <v>800</v>
      </c>
      <c r="E353" s="18">
        <v>44000000</v>
      </c>
      <c r="F353" s="18">
        <v>7517256.0000000009</v>
      </c>
      <c r="G353" s="18">
        <v>5.3210905681541236</v>
      </c>
      <c r="H353" s="18">
        <v>0</v>
      </c>
      <c r="I353" s="16">
        <v>800</v>
      </c>
    </row>
    <row r="354" spans="1:9">
      <c r="A354" s="9">
        <v>418</v>
      </c>
      <c r="B354" s="9" t="s">
        <v>1142</v>
      </c>
      <c r="C354" s="9" t="s">
        <v>14</v>
      </c>
      <c r="D354" s="21">
        <v>800</v>
      </c>
      <c r="E354" s="18">
        <v>44000000</v>
      </c>
      <c r="F354" s="18">
        <v>7517256.0000000009</v>
      </c>
      <c r="G354" s="18">
        <v>5.3210905681541236</v>
      </c>
      <c r="H354" s="18">
        <v>0</v>
      </c>
      <c r="I354" s="16">
        <v>800</v>
      </c>
    </row>
    <row r="355" spans="1:9">
      <c r="A355" s="9">
        <v>419</v>
      </c>
      <c r="B355" s="9" t="s">
        <v>1143</v>
      </c>
      <c r="C355" s="9" t="s">
        <v>14</v>
      </c>
      <c r="D355" s="21">
        <v>800</v>
      </c>
      <c r="E355" s="18">
        <v>44000000</v>
      </c>
      <c r="F355" s="18">
        <v>7236176.0000000009</v>
      </c>
      <c r="G355" s="18">
        <v>5.5277815243852544</v>
      </c>
      <c r="H355" s="18">
        <v>0</v>
      </c>
      <c r="I355" s="16">
        <v>800</v>
      </c>
    </row>
    <row r="356" spans="1:9">
      <c r="A356" s="9">
        <v>420</v>
      </c>
      <c r="B356" s="9" t="s">
        <v>1144</v>
      </c>
      <c r="C356" s="9" t="s">
        <v>14</v>
      </c>
      <c r="D356" s="21">
        <v>800</v>
      </c>
      <c r="E356" s="18">
        <v>47200000</v>
      </c>
      <c r="F356" s="18">
        <v>6631792.0000000009</v>
      </c>
      <c r="G356" s="18">
        <v>6.4702106020651575</v>
      </c>
      <c r="H356" s="18">
        <v>0</v>
      </c>
      <c r="I356" s="16">
        <v>800</v>
      </c>
    </row>
    <row r="357" spans="1:9">
      <c r="A357" s="9">
        <v>421</v>
      </c>
      <c r="B357" s="9" t="s">
        <v>1145</v>
      </c>
      <c r="C357" s="9" t="s">
        <v>14</v>
      </c>
      <c r="D357" s="21">
        <v>800</v>
      </c>
      <c r="E357" s="18">
        <v>47200000</v>
      </c>
      <c r="F357" s="18">
        <v>6813792.0000000009</v>
      </c>
      <c r="G357" s="18">
        <v>6.2973878435225048</v>
      </c>
      <c r="H357" s="18">
        <v>0</v>
      </c>
      <c r="I357" s="16">
        <v>800</v>
      </c>
    </row>
    <row r="358" spans="1:9">
      <c r="A358" s="9">
        <v>423</v>
      </c>
      <c r="B358" s="9" t="s">
        <v>1146</v>
      </c>
      <c r="C358" s="9" t="s">
        <v>14</v>
      </c>
      <c r="D358" s="21">
        <v>700</v>
      </c>
      <c r="E358" s="18">
        <v>45500000</v>
      </c>
      <c r="F358" s="18">
        <v>6112260.0000000009</v>
      </c>
      <c r="G358" s="18">
        <v>6.7673227846388002</v>
      </c>
      <c r="H358" s="18">
        <v>0</v>
      </c>
      <c r="I358" s="16">
        <v>700</v>
      </c>
    </row>
    <row r="359" spans="1:9">
      <c r="A359" s="9">
        <v>424</v>
      </c>
      <c r="B359" s="9" t="s">
        <v>1147</v>
      </c>
      <c r="C359" s="9" t="s">
        <v>14</v>
      </c>
      <c r="D359" s="21">
        <v>700</v>
      </c>
      <c r="E359" s="18">
        <v>45500000</v>
      </c>
      <c r="F359" s="18">
        <v>6112260.0000000009</v>
      </c>
      <c r="G359" s="18">
        <v>6.7673227846388002</v>
      </c>
      <c r="H359" s="18">
        <v>0</v>
      </c>
      <c r="I359" s="16">
        <v>700</v>
      </c>
    </row>
    <row r="360" spans="1:9">
      <c r="A360" s="9">
        <v>426</v>
      </c>
      <c r="B360" s="9" t="s">
        <v>1148</v>
      </c>
      <c r="C360" s="9" t="s">
        <v>14</v>
      </c>
      <c r="D360" s="21">
        <v>1500</v>
      </c>
      <c r="E360" s="18">
        <v>82500000</v>
      </c>
      <c r="F360" s="18">
        <v>5549745.0000000009</v>
      </c>
      <c r="G360" s="18">
        <v>13.514134433203683</v>
      </c>
      <c r="H360" s="18">
        <v>0</v>
      </c>
      <c r="I360" s="16">
        <v>1500</v>
      </c>
    </row>
    <row r="361" spans="1:9">
      <c r="A361" s="9">
        <v>427</v>
      </c>
      <c r="B361" s="9" t="s">
        <v>1149</v>
      </c>
      <c r="C361" s="9" t="s">
        <v>14</v>
      </c>
      <c r="D361" s="21">
        <v>1000</v>
      </c>
      <c r="E361" s="18">
        <v>55000000</v>
      </c>
      <c r="F361" s="18">
        <v>3824570</v>
      </c>
      <c r="G361" s="18">
        <v>13.073365110326128</v>
      </c>
      <c r="H361" s="18">
        <v>0</v>
      </c>
      <c r="I361" s="16">
        <v>1000</v>
      </c>
    </row>
    <row r="362" spans="1:9">
      <c r="A362" s="9">
        <v>429</v>
      </c>
      <c r="B362" s="9" t="s">
        <v>1150</v>
      </c>
      <c r="C362" s="9" t="s">
        <v>14</v>
      </c>
      <c r="D362" s="21">
        <v>1200</v>
      </c>
      <c r="E362" s="18">
        <v>78000000</v>
      </c>
      <c r="F362" s="18">
        <v>5861832</v>
      </c>
      <c r="G362" s="18">
        <v>12.096745677646664</v>
      </c>
      <c r="H362" s="18">
        <v>0</v>
      </c>
      <c r="I362" s="16">
        <v>1200</v>
      </c>
    </row>
    <row r="363" spans="1:9">
      <c r="A363" s="9">
        <v>430</v>
      </c>
      <c r="B363" s="9" t="s">
        <v>1151</v>
      </c>
      <c r="C363" s="9" t="s">
        <v>14</v>
      </c>
      <c r="D363" s="21">
        <v>1200</v>
      </c>
      <c r="E363" s="18">
        <v>70800000</v>
      </c>
      <c r="F363" s="18">
        <v>5861832</v>
      </c>
      <c r="G363" s="18">
        <v>10.98012299971005</v>
      </c>
      <c r="H363" s="18">
        <v>0</v>
      </c>
      <c r="I363" s="16">
        <v>1200</v>
      </c>
    </row>
    <row r="364" spans="1:9">
      <c r="A364" s="9">
        <v>431</v>
      </c>
      <c r="B364" s="9" t="s">
        <v>1152</v>
      </c>
      <c r="C364" s="9" t="s">
        <v>14</v>
      </c>
      <c r="D364" s="21">
        <v>1200</v>
      </c>
      <c r="E364" s="18">
        <v>70800000</v>
      </c>
      <c r="F364" s="18">
        <v>5861832</v>
      </c>
      <c r="G364" s="18">
        <v>10.98012299971005</v>
      </c>
      <c r="H364" s="18">
        <v>0</v>
      </c>
      <c r="I364" s="16">
        <v>1200</v>
      </c>
    </row>
    <row r="365" spans="1:9">
      <c r="A365" s="9">
        <v>433</v>
      </c>
      <c r="B365" s="9" t="s">
        <v>1153</v>
      </c>
      <c r="C365" s="9" t="s">
        <v>14</v>
      </c>
      <c r="D365" s="21">
        <v>700</v>
      </c>
      <c r="E365" s="18">
        <v>37100000</v>
      </c>
      <c r="F365" s="18">
        <v>9100000</v>
      </c>
      <c r="G365" s="18">
        <v>3.7062937062937062</v>
      </c>
      <c r="H365" s="18">
        <v>0</v>
      </c>
      <c r="I365" s="16">
        <v>700</v>
      </c>
    </row>
    <row r="366" spans="1:9">
      <c r="A366" s="9">
        <v>435</v>
      </c>
      <c r="B366" s="9" t="s">
        <v>1154</v>
      </c>
      <c r="C366" s="9" t="s">
        <v>14</v>
      </c>
      <c r="D366" s="21">
        <v>1200</v>
      </c>
      <c r="E366" s="18">
        <v>118800000</v>
      </c>
      <c r="F366" s="18">
        <v>29130000</v>
      </c>
      <c r="G366" s="18">
        <v>3.7075180226570543</v>
      </c>
      <c r="H366" s="18">
        <v>0</v>
      </c>
      <c r="I366" s="16">
        <v>1200</v>
      </c>
    </row>
    <row r="367" spans="1:9">
      <c r="A367" s="9">
        <v>436</v>
      </c>
      <c r="B367" s="9" t="s">
        <v>1155</v>
      </c>
      <c r="C367" s="9" t="s">
        <v>14</v>
      </c>
      <c r="D367" s="21">
        <v>1000</v>
      </c>
      <c r="E367" s="18">
        <v>89000000</v>
      </c>
      <c r="F367" s="18">
        <v>20579000</v>
      </c>
      <c r="G367" s="18">
        <v>3.9316337484372861</v>
      </c>
      <c r="H367" s="18">
        <v>0</v>
      </c>
      <c r="I367" s="16">
        <v>1000</v>
      </c>
    </row>
    <row r="368" spans="1:9">
      <c r="A368" s="9">
        <v>437</v>
      </c>
      <c r="B368" s="9" t="s">
        <v>1156</v>
      </c>
      <c r="C368" s="9" t="s">
        <v>14</v>
      </c>
      <c r="D368" s="21">
        <v>1200</v>
      </c>
      <c r="E368" s="18">
        <v>106800000</v>
      </c>
      <c r="F368" s="18">
        <v>20814000</v>
      </c>
      <c r="G368" s="18">
        <v>4.6646924709767026</v>
      </c>
      <c r="H368" s="18">
        <v>0</v>
      </c>
      <c r="I368" s="16">
        <v>1200</v>
      </c>
    </row>
    <row r="369" spans="1:9">
      <c r="A369" s="9">
        <v>438</v>
      </c>
      <c r="B369" s="9" t="s">
        <v>1157</v>
      </c>
      <c r="C369" s="9" t="s">
        <v>14</v>
      </c>
      <c r="D369" s="21">
        <v>1000</v>
      </c>
      <c r="E369" s="18">
        <v>79000000</v>
      </c>
      <c r="F369" s="18">
        <v>15843500</v>
      </c>
      <c r="G369" s="18">
        <v>4.5329745206666345</v>
      </c>
      <c r="H369" s="18">
        <v>0</v>
      </c>
      <c r="I369" s="16">
        <v>1000</v>
      </c>
    </row>
    <row r="370" spans="1:9">
      <c r="A370" s="9">
        <v>439</v>
      </c>
      <c r="B370" s="9" t="s">
        <v>1158</v>
      </c>
      <c r="C370" s="9" t="s">
        <v>14</v>
      </c>
      <c r="D370" s="21">
        <v>1000</v>
      </c>
      <c r="E370" s="18">
        <v>199000000</v>
      </c>
      <c r="F370" s="18">
        <v>40445000</v>
      </c>
      <c r="G370" s="18">
        <v>4.4729655311927532</v>
      </c>
      <c r="H370" s="18">
        <v>0</v>
      </c>
      <c r="I370" s="16">
        <v>1000</v>
      </c>
    </row>
    <row r="371" spans="1:9">
      <c r="A371" s="9">
        <v>440</v>
      </c>
      <c r="B371" s="9" t="s">
        <v>1159</v>
      </c>
      <c r="C371" s="9" t="s">
        <v>14</v>
      </c>
      <c r="D371" s="21">
        <v>1200</v>
      </c>
      <c r="E371" s="18">
        <v>226800000</v>
      </c>
      <c r="F371" s="18">
        <v>45623400</v>
      </c>
      <c r="G371" s="18">
        <v>4.5192120311466955</v>
      </c>
      <c r="H371" s="18">
        <v>0</v>
      </c>
      <c r="I371" s="16">
        <v>1200</v>
      </c>
    </row>
    <row r="372" spans="1:9">
      <c r="A372" s="9">
        <v>441</v>
      </c>
      <c r="B372" s="9" t="s">
        <v>1160</v>
      </c>
      <c r="C372" s="9" t="s">
        <v>14</v>
      </c>
      <c r="D372" s="21">
        <v>800</v>
      </c>
      <c r="E372" s="18">
        <v>143200000</v>
      </c>
      <c r="F372" s="18">
        <v>28198000</v>
      </c>
      <c r="G372" s="18">
        <v>4.6167039570827066</v>
      </c>
      <c r="H372" s="18">
        <v>0</v>
      </c>
      <c r="I372" s="16">
        <v>800</v>
      </c>
    </row>
    <row r="373" spans="1:9">
      <c r="A373" s="9">
        <v>443</v>
      </c>
      <c r="B373" s="9" t="s">
        <v>1161</v>
      </c>
      <c r="C373" s="9" t="s">
        <v>14</v>
      </c>
      <c r="D373" s="21">
        <v>1200</v>
      </c>
      <c r="E373" s="18">
        <v>118800000</v>
      </c>
      <c r="F373" s="18">
        <v>26064000</v>
      </c>
      <c r="G373" s="18">
        <v>4.1436464088397784</v>
      </c>
      <c r="H373" s="18">
        <v>0</v>
      </c>
      <c r="I373" s="16">
        <v>1200</v>
      </c>
    </row>
    <row r="374" spans="1:9">
      <c r="A374" s="9">
        <v>444</v>
      </c>
      <c r="B374" s="9" t="s">
        <v>1162</v>
      </c>
      <c r="C374" s="9" t="s">
        <v>14</v>
      </c>
      <c r="D374" s="21">
        <v>1000</v>
      </c>
      <c r="E374" s="18">
        <v>99000000</v>
      </c>
      <c r="F374" s="18">
        <v>23320000</v>
      </c>
      <c r="G374" s="18">
        <v>3.85934819897084</v>
      </c>
      <c r="H374" s="18">
        <v>0</v>
      </c>
      <c r="I374" s="16">
        <v>1000</v>
      </c>
    </row>
    <row r="375" spans="1:9">
      <c r="A375" s="9">
        <v>445</v>
      </c>
      <c r="B375" s="9" t="s">
        <v>1163</v>
      </c>
      <c r="C375" s="9" t="s">
        <v>14</v>
      </c>
      <c r="D375" s="21">
        <v>1000</v>
      </c>
      <c r="E375" s="18">
        <v>89000000</v>
      </c>
      <c r="F375" s="18">
        <v>21320000</v>
      </c>
      <c r="G375" s="18">
        <v>3.7949855023025747</v>
      </c>
      <c r="H375" s="18">
        <v>0</v>
      </c>
      <c r="I375" s="16">
        <v>1000</v>
      </c>
    </row>
    <row r="376" spans="1:9">
      <c r="A376" s="9">
        <v>446</v>
      </c>
      <c r="B376" s="9" t="s">
        <v>1164</v>
      </c>
      <c r="C376" s="9" t="s">
        <v>14</v>
      </c>
      <c r="D376" s="21">
        <v>1000</v>
      </c>
      <c r="E376" s="18">
        <v>189000000</v>
      </c>
      <c r="F376" s="18">
        <v>41820000</v>
      </c>
      <c r="G376" s="18">
        <v>4.1085170209990869</v>
      </c>
      <c r="H376" s="18">
        <v>0</v>
      </c>
      <c r="I376" s="16">
        <v>1000</v>
      </c>
    </row>
    <row r="377" spans="1:9">
      <c r="A377" s="9">
        <v>447</v>
      </c>
      <c r="B377" s="9" t="s">
        <v>1165</v>
      </c>
      <c r="C377" s="9" t="s">
        <v>14</v>
      </c>
      <c r="D377" s="21">
        <v>800</v>
      </c>
      <c r="E377" s="18">
        <v>143200000</v>
      </c>
      <c r="F377" s="18">
        <v>31776000</v>
      </c>
      <c r="G377" s="18">
        <v>4.096859837041106</v>
      </c>
      <c r="H377" s="18">
        <v>0</v>
      </c>
      <c r="I377" s="16">
        <v>800</v>
      </c>
    </row>
    <row r="378" spans="1:9">
      <c r="A378" s="9">
        <v>449</v>
      </c>
      <c r="B378" s="9" t="s">
        <v>1166</v>
      </c>
      <c r="C378" s="9" t="s">
        <v>14</v>
      </c>
      <c r="D378" s="21">
        <v>1200</v>
      </c>
      <c r="E378" s="18">
        <v>94800000</v>
      </c>
      <c r="F378" s="18">
        <v>22167137.999999996</v>
      </c>
      <c r="G378" s="18">
        <v>3.8878189048048597</v>
      </c>
      <c r="H378" s="18">
        <v>0</v>
      </c>
      <c r="I378" s="16">
        <v>1200</v>
      </c>
    </row>
    <row r="379" spans="1:9">
      <c r="A379" s="9">
        <v>450</v>
      </c>
      <c r="B379" s="9" t="s">
        <v>1167</v>
      </c>
      <c r="C379" s="9" t="s">
        <v>14</v>
      </c>
      <c r="D379" s="21">
        <v>1200</v>
      </c>
      <c r="E379" s="18">
        <v>82800000</v>
      </c>
      <c r="F379" s="18">
        <v>19348014</v>
      </c>
      <c r="G379" s="18">
        <v>3.8904627251524246</v>
      </c>
      <c r="H379" s="18">
        <v>0</v>
      </c>
      <c r="I379" s="16">
        <v>1200</v>
      </c>
    </row>
    <row r="380" spans="1:9">
      <c r="A380" s="9">
        <v>451</v>
      </c>
      <c r="B380" s="9" t="s">
        <v>1168</v>
      </c>
      <c r="C380" s="9" t="s">
        <v>14</v>
      </c>
      <c r="D380" s="21">
        <v>1200</v>
      </c>
      <c r="E380" s="18">
        <v>94800000</v>
      </c>
      <c r="F380" s="18">
        <v>20914194</v>
      </c>
      <c r="G380" s="18">
        <v>4.1207334206528916</v>
      </c>
      <c r="H380" s="18">
        <v>0</v>
      </c>
      <c r="I380" s="16">
        <v>1200</v>
      </c>
    </row>
    <row r="381" spans="1:9">
      <c r="A381" s="9">
        <v>452</v>
      </c>
      <c r="B381" s="9" t="s">
        <v>1169</v>
      </c>
      <c r="C381" s="9" t="s">
        <v>14</v>
      </c>
      <c r="D381" s="21">
        <v>1500</v>
      </c>
      <c r="E381" s="18">
        <v>103500000</v>
      </c>
      <c r="F381" s="18">
        <v>22618837.5</v>
      </c>
      <c r="G381" s="18">
        <v>4.1598472552317984</v>
      </c>
      <c r="H381" s="18">
        <v>0</v>
      </c>
      <c r="I381" s="16">
        <v>1500</v>
      </c>
    </row>
    <row r="382" spans="1:9">
      <c r="A382" s="9">
        <v>453</v>
      </c>
      <c r="B382" s="9" t="s">
        <v>1170</v>
      </c>
      <c r="C382" s="9" t="s">
        <v>14</v>
      </c>
      <c r="D382" s="21">
        <v>1200</v>
      </c>
      <c r="E382" s="18">
        <v>94800000</v>
      </c>
      <c r="F382" s="18">
        <v>20906804.999999996</v>
      </c>
      <c r="G382" s="18">
        <v>4.1221897933145781</v>
      </c>
      <c r="H382" s="18">
        <v>0</v>
      </c>
      <c r="I382" s="16">
        <v>1200</v>
      </c>
    </row>
    <row r="383" spans="1:9">
      <c r="A383" s="9">
        <v>454</v>
      </c>
      <c r="B383" s="9" t="s">
        <v>1171</v>
      </c>
      <c r="C383" s="9" t="s">
        <v>14</v>
      </c>
      <c r="D383" s="21">
        <v>1500</v>
      </c>
      <c r="E383" s="18">
        <v>103500000</v>
      </c>
      <c r="F383" s="18">
        <v>22590024</v>
      </c>
      <c r="G383" s="18">
        <v>4.1651531264822506</v>
      </c>
      <c r="H383" s="18">
        <v>0</v>
      </c>
      <c r="I383" s="16">
        <v>1500</v>
      </c>
    </row>
    <row r="384" spans="1:9">
      <c r="A384" s="9">
        <v>455</v>
      </c>
      <c r="B384" s="9" t="s">
        <v>1172</v>
      </c>
      <c r="C384" s="9" t="s">
        <v>14</v>
      </c>
      <c r="D384" s="21">
        <v>1000</v>
      </c>
      <c r="E384" s="18">
        <v>109000000</v>
      </c>
      <c r="F384" s="18">
        <v>20401070</v>
      </c>
      <c r="G384" s="18">
        <v>4.8571427425575759</v>
      </c>
      <c r="H384" s="18">
        <v>0</v>
      </c>
      <c r="I384" s="16">
        <v>1000</v>
      </c>
    </row>
    <row r="385" spans="1:9">
      <c r="A385" s="9">
        <v>456</v>
      </c>
      <c r="B385" s="9" t="s">
        <v>1173</v>
      </c>
      <c r="C385" s="9" t="s">
        <v>14</v>
      </c>
      <c r="D385" s="21">
        <v>1500</v>
      </c>
      <c r="E385" s="18">
        <v>148500000</v>
      </c>
      <c r="F385" s="18">
        <v>32994780</v>
      </c>
      <c r="G385" s="18">
        <v>4.0915563007239326</v>
      </c>
      <c r="H385" s="18">
        <v>0</v>
      </c>
      <c r="I385" s="16">
        <v>1500</v>
      </c>
    </row>
    <row r="386" spans="1:9">
      <c r="A386" s="9">
        <v>457</v>
      </c>
      <c r="B386" s="9" t="s">
        <v>1174</v>
      </c>
      <c r="C386" s="9" t="s">
        <v>14</v>
      </c>
      <c r="D386" s="21">
        <v>1500</v>
      </c>
      <c r="E386" s="18">
        <v>133500000</v>
      </c>
      <c r="F386" s="18">
        <v>29079329.999999993</v>
      </c>
      <c r="G386" s="18">
        <v>4.1735361978297432</v>
      </c>
      <c r="H386" s="18">
        <v>0</v>
      </c>
      <c r="I386" s="16">
        <v>1500</v>
      </c>
    </row>
    <row r="387" spans="1:9">
      <c r="A387" s="9">
        <v>458</v>
      </c>
      <c r="B387" s="9" t="s">
        <v>1175</v>
      </c>
      <c r="C387" s="9" t="s">
        <v>14</v>
      </c>
      <c r="D387" s="21">
        <v>1200</v>
      </c>
      <c r="E387" s="18">
        <v>118800000</v>
      </c>
      <c r="F387" s="18">
        <v>24359790</v>
      </c>
      <c r="G387" s="18">
        <v>4.4335357570816489</v>
      </c>
      <c r="H387" s="18">
        <v>0</v>
      </c>
      <c r="I387" s="16">
        <v>1200</v>
      </c>
    </row>
    <row r="388" spans="1:9">
      <c r="A388" s="9">
        <v>459</v>
      </c>
      <c r="B388" s="9" t="s">
        <v>1176</v>
      </c>
      <c r="C388" s="9" t="s">
        <v>14</v>
      </c>
      <c r="D388" s="21">
        <v>1500</v>
      </c>
      <c r="E388" s="18">
        <v>133500000</v>
      </c>
      <c r="F388" s="18">
        <v>26925832.499999993</v>
      </c>
      <c r="G388" s="18">
        <v>4.5073308824763876</v>
      </c>
      <c r="H388" s="18">
        <v>0</v>
      </c>
      <c r="I388" s="16">
        <v>1500</v>
      </c>
    </row>
    <row r="389" spans="1:9">
      <c r="A389" s="9">
        <v>460</v>
      </c>
      <c r="B389" s="9" t="s">
        <v>1182</v>
      </c>
      <c r="C389" s="9" t="s">
        <v>14</v>
      </c>
      <c r="D389" s="21">
        <v>800</v>
      </c>
      <c r="E389" s="18">
        <v>79200000</v>
      </c>
      <c r="F389" s="18">
        <v>16553095.999999996</v>
      </c>
      <c r="G389" s="18">
        <v>4.3496394873804878</v>
      </c>
      <c r="H389" s="18">
        <v>0</v>
      </c>
      <c r="I389" s="16">
        <v>800</v>
      </c>
    </row>
    <row r="390" spans="1:9">
      <c r="A390" s="9">
        <v>461</v>
      </c>
      <c r="B390" s="9" t="s">
        <v>1183</v>
      </c>
      <c r="C390" s="9" t="s">
        <v>14</v>
      </c>
      <c r="D390" s="21">
        <v>800</v>
      </c>
      <c r="E390" s="18">
        <v>79200000</v>
      </c>
      <c r="F390" s="18">
        <v>16553095.999999996</v>
      </c>
      <c r="G390" s="18">
        <v>4.3496394873804878</v>
      </c>
      <c r="H390" s="18">
        <v>0</v>
      </c>
      <c r="I390" s="16">
        <v>800</v>
      </c>
    </row>
    <row r="391" spans="1:9">
      <c r="A391" s="9">
        <v>463</v>
      </c>
      <c r="B391" s="9" t="s">
        <v>1177</v>
      </c>
      <c r="C391" s="9" t="s">
        <v>14</v>
      </c>
      <c r="D391" s="21">
        <v>1500</v>
      </c>
      <c r="E391" s="18">
        <v>133500000</v>
      </c>
      <c r="F391" s="18">
        <v>30058192.5</v>
      </c>
      <c r="G391" s="18">
        <v>4.0376225670800512</v>
      </c>
      <c r="H391" s="18">
        <v>0</v>
      </c>
      <c r="I391" s="16">
        <v>1500</v>
      </c>
    </row>
    <row r="392" spans="1:9">
      <c r="A392" s="9">
        <v>464</v>
      </c>
      <c r="B392" s="9" t="s">
        <v>1178</v>
      </c>
      <c r="C392" s="9" t="s">
        <v>14</v>
      </c>
      <c r="D392" s="21">
        <v>1500</v>
      </c>
      <c r="E392" s="18">
        <v>118500000</v>
      </c>
      <c r="F392" s="18">
        <v>23206155</v>
      </c>
      <c r="G392" s="18">
        <v>4.6421853481230606</v>
      </c>
      <c r="H392" s="18">
        <v>0</v>
      </c>
      <c r="I392" s="16">
        <v>1500</v>
      </c>
    </row>
    <row r="393" spans="1:9">
      <c r="A393" s="9">
        <v>465</v>
      </c>
      <c r="B393" s="9" t="s">
        <v>1179</v>
      </c>
      <c r="C393" s="9" t="s">
        <v>14</v>
      </c>
      <c r="D393" s="21">
        <v>1500</v>
      </c>
      <c r="E393" s="18">
        <v>133500000</v>
      </c>
      <c r="F393" s="18">
        <v>30058192.5</v>
      </c>
      <c r="G393" s="18">
        <v>4.0376225670800512</v>
      </c>
      <c r="H393" s="18">
        <v>0</v>
      </c>
      <c r="I393" s="16">
        <v>1500</v>
      </c>
    </row>
    <row r="394" spans="1:9">
      <c r="A394" s="9">
        <v>466</v>
      </c>
      <c r="B394" s="9" t="s">
        <v>1180</v>
      </c>
      <c r="C394" s="9" t="s">
        <v>14</v>
      </c>
      <c r="D394" s="21">
        <v>1500</v>
      </c>
      <c r="E394" s="18">
        <v>118500000</v>
      </c>
      <c r="F394" s="18">
        <v>23206155</v>
      </c>
      <c r="G394" s="18">
        <v>4.6421853481230606</v>
      </c>
      <c r="H394" s="18">
        <v>0</v>
      </c>
      <c r="I394" s="16">
        <v>1500</v>
      </c>
    </row>
    <row r="395" spans="1:9">
      <c r="A395" s="9">
        <v>467</v>
      </c>
      <c r="B395" s="9" t="s">
        <v>1181</v>
      </c>
      <c r="C395" s="9" t="s">
        <v>14</v>
      </c>
      <c r="D395" s="21">
        <v>1000</v>
      </c>
      <c r="E395" s="18">
        <v>89000000</v>
      </c>
      <c r="F395" s="18">
        <v>18929417.499999996</v>
      </c>
      <c r="G395" s="18">
        <v>4.2742514876166116</v>
      </c>
      <c r="H395" s="18">
        <v>0</v>
      </c>
      <c r="I395" s="16">
        <v>1000</v>
      </c>
    </row>
    <row r="396" spans="1:9">
      <c r="A396" s="9">
        <v>468</v>
      </c>
      <c r="B396" s="9" t="s">
        <v>1184</v>
      </c>
      <c r="C396" s="9" t="s">
        <v>14</v>
      </c>
      <c r="D396" s="21">
        <v>1000</v>
      </c>
      <c r="E396" s="18">
        <v>129000000</v>
      </c>
      <c r="F396" s="18">
        <v>25921225</v>
      </c>
      <c r="G396" s="18">
        <v>4.5241969572320464</v>
      </c>
      <c r="H396" s="18">
        <v>0</v>
      </c>
      <c r="I396" s="16">
        <v>1000</v>
      </c>
    </row>
    <row r="397" spans="1:9">
      <c r="A397" s="9">
        <v>469</v>
      </c>
      <c r="B397" s="9" t="s">
        <v>1185</v>
      </c>
      <c r="C397" s="9" t="s">
        <v>14</v>
      </c>
      <c r="D397" s="21">
        <v>800</v>
      </c>
      <c r="E397" s="18">
        <v>95200000</v>
      </c>
      <c r="F397" s="18">
        <v>18335503.999999996</v>
      </c>
      <c r="G397" s="18">
        <v>4.720102296912839</v>
      </c>
      <c r="H397" s="18">
        <v>0</v>
      </c>
      <c r="I397" s="16">
        <v>800</v>
      </c>
    </row>
    <row r="398" spans="1:9">
      <c r="A398" s="9">
        <v>470</v>
      </c>
      <c r="B398" s="9" t="s">
        <v>1186</v>
      </c>
      <c r="C398" s="9" t="s">
        <v>14</v>
      </c>
      <c r="D398" s="21">
        <v>1000</v>
      </c>
      <c r="E398" s="18">
        <v>129000000</v>
      </c>
      <c r="F398" s="18">
        <v>25921225</v>
      </c>
      <c r="G398" s="18">
        <v>4.5241969572320464</v>
      </c>
      <c r="H398" s="18">
        <v>0</v>
      </c>
      <c r="I398" s="16">
        <v>1000</v>
      </c>
    </row>
    <row r="399" spans="1:9">
      <c r="A399" s="9">
        <v>471</v>
      </c>
      <c r="B399" s="9" t="s">
        <v>1187</v>
      </c>
      <c r="C399" s="9" t="s">
        <v>14</v>
      </c>
      <c r="D399" s="21">
        <v>800</v>
      </c>
      <c r="E399" s="18">
        <v>95200000</v>
      </c>
      <c r="F399" s="18">
        <v>18335503.999999996</v>
      </c>
      <c r="G399" s="18">
        <v>4.720102296912839</v>
      </c>
      <c r="H399" s="18">
        <v>0</v>
      </c>
      <c r="I399" s="16">
        <v>800</v>
      </c>
    </row>
    <row r="400" spans="1:9">
      <c r="A400" s="9">
        <v>473</v>
      </c>
      <c r="B400" s="9" t="s">
        <v>1188</v>
      </c>
      <c r="C400" s="9" t="s">
        <v>14</v>
      </c>
      <c r="D400" s="21">
        <v>1000</v>
      </c>
      <c r="E400" s="18">
        <v>109000000</v>
      </c>
      <c r="F400" s="18">
        <v>26120000</v>
      </c>
      <c r="G400" s="18">
        <v>3.7936795210914656</v>
      </c>
      <c r="H400" s="18">
        <v>0</v>
      </c>
      <c r="I400" s="16">
        <v>1000</v>
      </c>
    </row>
    <row r="401" spans="1:9">
      <c r="A401" s="9">
        <v>474</v>
      </c>
      <c r="B401" s="9" t="s">
        <v>1189</v>
      </c>
      <c r="C401" s="9" t="s">
        <v>14</v>
      </c>
      <c r="D401" s="21">
        <v>1000</v>
      </c>
      <c r="E401" s="18">
        <v>99000000</v>
      </c>
      <c r="F401" s="18">
        <v>24220000</v>
      </c>
      <c r="G401" s="18">
        <v>3.7159372419488021</v>
      </c>
      <c r="H401" s="18">
        <v>0</v>
      </c>
      <c r="I401" s="16">
        <v>1000</v>
      </c>
    </row>
    <row r="402" spans="1:9">
      <c r="A402" s="9">
        <v>475</v>
      </c>
      <c r="B402" s="9" t="s">
        <v>1190</v>
      </c>
      <c r="C402" s="9" t="s">
        <v>14</v>
      </c>
      <c r="D402" s="21">
        <v>1500</v>
      </c>
      <c r="E402" s="18">
        <v>163500000</v>
      </c>
      <c r="F402" s="18">
        <v>40080000</v>
      </c>
      <c r="G402" s="18">
        <v>3.7084921066956995</v>
      </c>
      <c r="H402" s="18">
        <v>0</v>
      </c>
      <c r="I402" s="16">
        <v>1500</v>
      </c>
    </row>
    <row r="403" spans="1:9">
      <c r="A403" s="9">
        <v>476</v>
      </c>
      <c r="B403" s="9" t="s">
        <v>1191</v>
      </c>
      <c r="C403" s="9" t="s">
        <v>14</v>
      </c>
      <c r="D403" s="21">
        <v>1500</v>
      </c>
      <c r="E403" s="18">
        <v>193500000</v>
      </c>
      <c r="F403" s="18">
        <v>46680000</v>
      </c>
      <c r="G403" s="18">
        <v>3.7684038326711842</v>
      </c>
      <c r="H403" s="18">
        <v>0</v>
      </c>
      <c r="I403" s="16">
        <v>1500</v>
      </c>
    </row>
    <row r="404" spans="1:9">
      <c r="A404" s="9">
        <v>478</v>
      </c>
      <c r="B404" s="9" t="s">
        <v>1192</v>
      </c>
      <c r="C404" s="9" t="s">
        <v>14</v>
      </c>
      <c r="D404" s="21">
        <v>1500</v>
      </c>
      <c r="E404" s="18">
        <v>148500000</v>
      </c>
      <c r="F404" s="18">
        <v>29252625.000000004</v>
      </c>
      <c r="G404" s="18">
        <v>4.6149704513697474</v>
      </c>
      <c r="H404" s="18">
        <v>0</v>
      </c>
      <c r="I404" s="16">
        <v>1500</v>
      </c>
    </row>
    <row r="405" spans="1:9">
      <c r="A405" s="9">
        <v>479</v>
      </c>
      <c r="B405" s="9" t="s">
        <v>1193</v>
      </c>
      <c r="C405" s="9" t="s">
        <v>14</v>
      </c>
      <c r="D405" s="21">
        <v>1500</v>
      </c>
      <c r="E405" s="18">
        <v>133500000</v>
      </c>
      <c r="F405" s="18">
        <v>25701000</v>
      </c>
      <c r="G405" s="18">
        <v>4.7221367403461478</v>
      </c>
      <c r="H405" s="18">
        <v>0</v>
      </c>
      <c r="I405" s="16">
        <v>1500</v>
      </c>
    </row>
    <row r="406" spans="1:9">
      <c r="A406" s="9">
        <v>480</v>
      </c>
      <c r="B406" s="9" t="s">
        <v>1194</v>
      </c>
      <c r="C406" s="9" t="s">
        <v>14</v>
      </c>
      <c r="D406" s="21">
        <v>1500</v>
      </c>
      <c r="E406" s="18">
        <v>193500000</v>
      </c>
      <c r="F406" s="18">
        <v>38781375</v>
      </c>
      <c r="G406" s="18">
        <v>4.5359168133953709</v>
      </c>
      <c r="H406" s="18">
        <v>0</v>
      </c>
      <c r="I406" s="16">
        <v>1500</v>
      </c>
    </row>
    <row r="407" spans="1:9">
      <c r="A407" s="9">
        <v>481</v>
      </c>
      <c r="B407" s="9" t="s">
        <v>1195</v>
      </c>
      <c r="C407" s="9" t="s">
        <v>14</v>
      </c>
      <c r="D407" s="21">
        <v>1200</v>
      </c>
      <c r="E407" s="18">
        <v>142800000</v>
      </c>
      <c r="F407" s="18">
        <v>28668900</v>
      </c>
      <c r="G407" s="18">
        <v>4.5281884487434745</v>
      </c>
      <c r="H407" s="18">
        <v>0</v>
      </c>
      <c r="I407" s="16">
        <v>1200</v>
      </c>
    </row>
    <row r="408" spans="1:9">
      <c r="A408" s="9">
        <v>482</v>
      </c>
      <c r="B408" s="9" t="s">
        <v>1196</v>
      </c>
      <c r="C408" s="9" t="s">
        <v>14</v>
      </c>
      <c r="D408" s="21">
        <v>800</v>
      </c>
      <c r="E408" s="18">
        <v>111200000</v>
      </c>
      <c r="F408" s="18">
        <v>21746000</v>
      </c>
      <c r="G408" s="18">
        <v>4.6487128249291398</v>
      </c>
      <c r="H408" s="18">
        <v>0</v>
      </c>
      <c r="I408" s="16">
        <v>800</v>
      </c>
    </row>
    <row r="409" spans="1:9">
      <c r="A409" s="9">
        <v>483</v>
      </c>
      <c r="B409" s="9" t="s">
        <v>1197</v>
      </c>
      <c r="C409" s="9" t="s">
        <v>14</v>
      </c>
      <c r="D409" s="21">
        <v>1000</v>
      </c>
      <c r="E409" s="18">
        <v>139000000</v>
      </c>
      <c r="F409" s="18">
        <v>27182500</v>
      </c>
      <c r="G409" s="18">
        <v>4.6487128249291398</v>
      </c>
      <c r="H409" s="18">
        <v>0</v>
      </c>
      <c r="I409" s="16">
        <v>1000</v>
      </c>
    </row>
    <row r="410" spans="1:9">
      <c r="A410" s="9">
        <v>484</v>
      </c>
      <c r="B410" s="9" t="s">
        <v>1198</v>
      </c>
      <c r="C410" s="9" t="s">
        <v>14</v>
      </c>
      <c r="D410" s="21">
        <v>1200</v>
      </c>
      <c r="E410" s="18">
        <v>214800000</v>
      </c>
      <c r="F410" s="18">
        <v>45093000</v>
      </c>
      <c r="G410" s="18">
        <v>4.3304443543948556</v>
      </c>
      <c r="H410" s="18">
        <v>0</v>
      </c>
      <c r="I410" s="16">
        <v>1200</v>
      </c>
    </row>
    <row r="411" spans="1:9">
      <c r="A411" s="9">
        <v>485</v>
      </c>
      <c r="B411" s="9" t="s">
        <v>1199</v>
      </c>
      <c r="C411" s="9" t="s">
        <v>14</v>
      </c>
      <c r="D411" s="21">
        <v>800</v>
      </c>
      <c r="E411" s="18">
        <v>135200000</v>
      </c>
      <c r="F411" s="18">
        <v>27752000</v>
      </c>
      <c r="G411" s="18">
        <v>4.4288372336801274</v>
      </c>
      <c r="H411" s="18">
        <v>0</v>
      </c>
      <c r="I411" s="16">
        <v>800</v>
      </c>
    </row>
    <row r="412" spans="1:9">
      <c r="A412" s="9">
        <v>487</v>
      </c>
      <c r="B412" s="9" t="s">
        <v>1200</v>
      </c>
      <c r="C412" s="9" t="s">
        <v>14</v>
      </c>
      <c r="D412" s="21">
        <v>500</v>
      </c>
      <c r="E412" s="18">
        <v>21500000</v>
      </c>
      <c r="F412" s="18">
        <v>4001680.0000000005</v>
      </c>
      <c r="G412" s="18">
        <v>4.8843122252290394</v>
      </c>
      <c r="H412" s="18">
        <v>0</v>
      </c>
      <c r="I412" s="16">
        <v>500</v>
      </c>
    </row>
    <row r="413" spans="1:9">
      <c r="A413" s="9">
        <v>488</v>
      </c>
      <c r="B413" s="9" t="s">
        <v>1201</v>
      </c>
      <c r="C413" s="9" t="s">
        <v>14</v>
      </c>
      <c r="D413" s="21">
        <v>500</v>
      </c>
      <c r="E413" s="18">
        <v>21500000</v>
      </c>
      <c r="F413" s="18">
        <v>4001680.0000000005</v>
      </c>
      <c r="G413" s="18">
        <v>4.8843122252290394</v>
      </c>
      <c r="H413" s="18">
        <v>0</v>
      </c>
      <c r="I413" s="16">
        <v>500</v>
      </c>
    </row>
    <row r="414" spans="1:9">
      <c r="A414" s="9">
        <v>489</v>
      </c>
      <c r="B414" s="9" t="s">
        <v>1202</v>
      </c>
      <c r="C414" s="9" t="s">
        <v>14</v>
      </c>
      <c r="D414" s="21">
        <v>300</v>
      </c>
      <c r="E414" s="18">
        <v>14700000</v>
      </c>
      <c r="F414" s="18">
        <v>2424768.0000000005</v>
      </c>
      <c r="G414" s="18">
        <v>5.511305149043686</v>
      </c>
      <c r="H414" s="18">
        <v>0</v>
      </c>
      <c r="I414" s="16">
        <v>300</v>
      </c>
    </row>
    <row r="415" spans="1:9">
      <c r="A415" s="9">
        <v>490</v>
      </c>
      <c r="B415" s="9" t="s">
        <v>1203</v>
      </c>
      <c r="C415" s="9" t="s">
        <v>14</v>
      </c>
      <c r="D415" s="21">
        <v>800</v>
      </c>
      <c r="E415" s="18">
        <v>36000000</v>
      </c>
      <c r="F415" s="18">
        <v>5125248.0000000009</v>
      </c>
      <c r="G415" s="18">
        <v>6.3855003167208135</v>
      </c>
      <c r="H415" s="18">
        <v>0</v>
      </c>
      <c r="I415" s="16">
        <v>800</v>
      </c>
    </row>
    <row r="416" spans="1:9">
      <c r="A416" s="9">
        <v>491</v>
      </c>
      <c r="B416" s="9" t="s">
        <v>1204</v>
      </c>
      <c r="C416" s="9" t="s">
        <v>14</v>
      </c>
      <c r="D416" s="21">
        <v>700</v>
      </c>
      <c r="E416" s="18">
        <v>34300000</v>
      </c>
      <c r="F416" s="18">
        <v>4674236.0000000009</v>
      </c>
      <c r="G416" s="18">
        <v>6.6709978233487082</v>
      </c>
      <c r="H416" s="18">
        <v>0</v>
      </c>
      <c r="I416" s="16">
        <v>700</v>
      </c>
    </row>
    <row r="417" spans="1:9">
      <c r="A417" s="9">
        <v>492</v>
      </c>
      <c r="B417" s="9" t="s">
        <v>1205</v>
      </c>
      <c r="C417" s="9" t="s">
        <v>14</v>
      </c>
      <c r="D417" s="21">
        <v>700</v>
      </c>
      <c r="E417" s="18">
        <v>31500000</v>
      </c>
      <c r="F417" s="18">
        <v>4499600</v>
      </c>
      <c r="G417" s="18">
        <v>6.3642020704870736</v>
      </c>
      <c r="H417" s="18">
        <v>0</v>
      </c>
      <c r="I417" s="16">
        <v>700</v>
      </c>
    </row>
    <row r="418" spans="1:9">
      <c r="A418" s="9">
        <v>493</v>
      </c>
      <c r="B418" s="9" t="s">
        <v>1206</v>
      </c>
      <c r="C418" s="9" t="s">
        <v>14</v>
      </c>
      <c r="D418" s="21">
        <v>200</v>
      </c>
      <c r="E418" s="18">
        <v>15800000</v>
      </c>
      <c r="F418" s="18">
        <v>2782864</v>
      </c>
      <c r="G418" s="18">
        <v>5.1614582543869778</v>
      </c>
      <c r="H418" s="18">
        <v>0</v>
      </c>
      <c r="I418" s="16">
        <v>200</v>
      </c>
    </row>
    <row r="419" spans="1:9">
      <c r="A419" s="9">
        <v>494</v>
      </c>
      <c r="B419" s="9" t="s">
        <v>1207</v>
      </c>
      <c r="C419" s="9" t="s">
        <v>14</v>
      </c>
      <c r="D419" s="21">
        <v>300</v>
      </c>
      <c r="E419" s="18">
        <v>16500000</v>
      </c>
      <c r="F419" s="18">
        <v>2706678</v>
      </c>
      <c r="G419" s="18">
        <v>5.5418487163969994</v>
      </c>
      <c r="H419" s="18">
        <v>0</v>
      </c>
      <c r="I419" s="16">
        <v>300</v>
      </c>
    </row>
    <row r="420" spans="1:9">
      <c r="A420" s="9">
        <v>496</v>
      </c>
      <c r="B420" s="9" t="s">
        <v>1208</v>
      </c>
      <c r="C420" s="9" t="s">
        <v>14</v>
      </c>
      <c r="D420" s="21">
        <v>400</v>
      </c>
      <c r="E420" s="18">
        <v>22000000</v>
      </c>
      <c r="F420" s="18">
        <v>3932648.0000000005</v>
      </c>
      <c r="G420" s="18">
        <v>5.0856318694172469</v>
      </c>
      <c r="H420" s="18">
        <v>0</v>
      </c>
      <c r="I420" s="16">
        <v>400</v>
      </c>
    </row>
    <row r="421" spans="1:9">
      <c r="A421" s="9">
        <v>497</v>
      </c>
      <c r="B421" s="9" t="s">
        <v>1209</v>
      </c>
      <c r="C421" s="9" t="s">
        <v>14</v>
      </c>
      <c r="D421" s="21">
        <v>400</v>
      </c>
      <c r="E421" s="18">
        <v>22000000</v>
      </c>
      <c r="F421" s="18">
        <v>3414936</v>
      </c>
      <c r="G421" s="18">
        <v>5.8566251314812341</v>
      </c>
      <c r="H421" s="18">
        <v>0</v>
      </c>
      <c r="I421" s="16">
        <v>400</v>
      </c>
    </row>
    <row r="422" spans="1:9">
      <c r="A422" s="9">
        <v>498</v>
      </c>
      <c r="B422" s="9" t="s">
        <v>1210</v>
      </c>
      <c r="C422" s="9" t="s">
        <v>14</v>
      </c>
      <c r="D422" s="21">
        <v>500</v>
      </c>
      <c r="E422" s="18">
        <v>32500000</v>
      </c>
      <c r="F422" s="18">
        <v>4390525</v>
      </c>
      <c r="G422" s="18">
        <v>6.7293671133758597</v>
      </c>
      <c r="H422" s="18">
        <v>0</v>
      </c>
      <c r="I422" s="16">
        <v>500</v>
      </c>
    </row>
    <row r="423" spans="1:9">
      <c r="A423" s="9">
        <v>499</v>
      </c>
      <c r="B423" s="9" t="s">
        <v>1211</v>
      </c>
      <c r="C423" s="9" t="s">
        <v>14</v>
      </c>
      <c r="D423" s="21">
        <v>500</v>
      </c>
      <c r="E423" s="18">
        <v>29500000</v>
      </c>
      <c r="F423" s="18">
        <v>4308025</v>
      </c>
      <c r="G423" s="18">
        <v>6.2251685675412327</v>
      </c>
      <c r="H423" s="18">
        <v>0</v>
      </c>
      <c r="I423" s="16">
        <v>500</v>
      </c>
    </row>
    <row r="424" spans="1:9">
      <c r="A424" s="9">
        <v>500</v>
      </c>
      <c r="B424" s="9" t="s">
        <v>1212</v>
      </c>
      <c r="C424" s="9" t="s">
        <v>14</v>
      </c>
      <c r="D424" s="21">
        <v>400</v>
      </c>
      <c r="E424" s="18">
        <v>22000000</v>
      </c>
      <c r="F424" s="18">
        <v>4215224.0000000009</v>
      </c>
      <c r="G424" s="18">
        <v>4.7447063311463387</v>
      </c>
      <c r="H424" s="18">
        <v>0</v>
      </c>
      <c r="I424" s="16">
        <v>400</v>
      </c>
    </row>
    <row r="425" spans="1:9">
      <c r="A425" s="9">
        <v>501</v>
      </c>
      <c r="B425" s="9" t="s">
        <v>1213</v>
      </c>
      <c r="C425" s="9" t="s">
        <v>14</v>
      </c>
      <c r="D425" s="21">
        <v>400</v>
      </c>
      <c r="E425" s="18">
        <v>22000000</v>
      </c>
      <c r="F425" s="18">
        <v>4258024.0000000009</v>
      </c>
      <c r="G425" s="18">
        <v>4.6970143897732832</v>
      </c>
      <c r="H425" s="18">
        <v>0</v>
      </c>
      <c r="I425" s="16">
        <v>400</v>
      </c>
    </row>
    <row r="426" spans="1:9">
      <c r="A426" s="9">
        <v>502</v>
      </c>
      <c r="B426" s="9" t="s">
        <v>1383</v>
      </c>
      <c r="C426" s="9" t="s">
        <v>14</v>
      </c>
      <c r="D426" s="21">
        <v>400</v>
      </c>
      <c r="E426" s="18">
        <v>23600000</v>
      </c>
      <c r="F426" s="18">
        <v>4389964</v>
      </c>
      <c r="G426" s="18">
        <v>4.8871802717620128</v>
      </c>
      <c r="H426" s="18">
        <v>0</v>
      </c>
      <c r="I426" s="16">
        <v>400</v>
      </c>
    </row>
    <row r="427" spans="1:9">
      <c r="A427" s="9">
        <v>503</v>
      </c>
      <c r="B427" s="9" t="s">
        <v>1384</v>
      </c>
      <c r="C427" s="9" t="s">
        <v>14</v>
      </c>
      <c r="D427" s="21">
        <v>400</v>
      </c>
      <c r="E427" s="18">
        <v>23600000</v>
      </c>
      <c r="F427" s="18">
        <v>4439164</v>
      </c>
      <c r="G427" s="18">
        <v>4.8330148321948574</v>
      </c>
      <c r="H427" s="18">
        <v>0</v>
      </c>
      <c r="I427" s="16">
        <v>400</v>
      </c>
    </row>
    <row r="428" spans="1:9">
      <c r="A428" s="9">
        <v>504</v>
      </c>
      <c r="B428" s="9" t="s">
        <v>1214</v>
      </c>
      <c r="C428" s="9" t="s">
        <v>14</v>
      </c>
      <c r="D428" s="21">
        <v>400</v>
      </c>
      <c r="E428" s="18">
        <v>22000000</v>
      </c>
      <c r="F428" s="18">
        <v>3678844</v>
      </c>
      <c r="G428" s="18">
        <v>5.4364903757810872</v>
      </c>
      <c r="H428" s="18">
        <v>0</v>
      </c>
      <c r="I428" s="16">
        <v>400</v>
      </c>
    </row>
    <row r="429" spans="1:9">
      <c r="A429" s="9">
        <v>505</v>
      </c>
      <c r="B429" s="9" t="s">
        <v>1215</v>
      </c>
      <c r="C429" s="9" t="s">
        <v>14</v>
      </c>
      <c r="D429" s="21">
        <v>200</v>
      </c>
      <c r="E429" s="18">
        <v>11800000</v>
      </c>
      <c r="F429" s="18">
        <v>2074460.0000000002</v>
      </c>
      <c r="G429" s="18">
        <v>5.1711157251876267</v>
      </c>
      <c r="H429" s="18">
        <v>0</v>
      </c>
      <c r="I429" s="16">
        <v>200</v>
      </c>
    </row>
    <row r="430" spans="1:9">
      <c r="A430" s="9">
        <v>507</v>
      </c>
      <c r="B430" s="9" t="s">
        <v>1216</v>
      </c>
      <c r="C430" s="9" t="s">
        <v>14</v>
      </c>
      <c r="D430" s="21">
        <v>500</v>
      </c>
      <c r="E430" s="18">
        <v>24500000</v>
      </c>
      <c r="F430" s="18">
        <v>3101820</v>
      </c>
      <c r="G430" s="18">
        <v>7.1805350641646744</v>
      </c>
      <c r="H430" s="18">
        <v>0</v>
      </c>
      <c r="I430" s="16">
        <v>500</v>
      </c>
    </row>
    <row r="431" spans="1:9">
      <c r="A431" s="9">
        <v>508</v>
      </c>
      <c r="B431" s="9" t="s">
        <v>1217</v>
      </c>
      <c r="C431" s="9" t="s">
        <v>14</v>
      </c>
      <c r="D431" s="21">
        <v>500</v>
      </c>
      <c r="E431" s="18">
        <v>24500000</v>
      </c>
      <c r="F431" s="18">
        <v>3529370.0000000005</v>
      </c>
      <c r="G431" s="18">
        <v>6.3106807369947804</v>
      </c>
      <c r="H431" s="18">
        <v>0</v>
      </c>
      <c r="I431" s="16">
        <v>500</v>
      </c>
    </row>
    <row r="432" spans="1:9">
      <c r="A432" s="9">
        <v>509</v>
      </c>
      <c r="B432" s="9" t="s">
        <v>1218</v>
      </c>
      <c r="C432" s="9" t="s">
        <v>14</v>
      </c>
      <c r="D432" s="21">
        <v>500</v>
      </c>
      <c r="E432" s="18">
        <v>22500000</v>
      </c>
      <c r="F432" s="18">
        <v>3197815.0000000009</v>
      </c>
      <c r="G432" s="18">
        <v>6.3964130053006336</v>
      </c>
      <c r="H432" s="18">
        <v>0</v>
      </c>
      <c r="I432" s="16">
        <v>500</v>
      </c>
    </row>
    <row r="433" spans="1:9">
      <c r="A433" s="9">
        <v>510</v>
      </c>
      <c r="B433" s="9" t="s">
        <v>1219</v>
      </c>
      <c r="C433" s="9" t="s">
        <v>14</v>
      </c>
      <c r="D433" s="21">
        <v>500</v>
      </c>
      <c r="E433" s="18">
        <v>24500000</v>
      </c>
      <c r="F433" s="18">
        <v>3565450.0000000005</v>
      </c>
      <c r="G433" s="18">
        <v>6.2468208144069521</v>
      </c>
      <c r="H433" s="18">
        <v>0</v>
      </c>
      <c r="I433" s="16">
        <v>500</v>
      </c>
    </row>
    <row r="434" spans="1:9">
      <c r="A434" s="9">
        <v>512</v>
      </c>
      <c r="B434" s="9" t="s">
        <v>1220</v>
      </c>
      <c r="C434" s="9" t="s">
        <v>14</v>
      </c>
      <c r="D434" s="21">
        <v>500</v>
      </c>
      <c r="E434" s="18">
        <v>19500000</v>
      </c>
      <c r="F434" s="18">
        <v>3970495</v>
      </c>
      <c r="G434" s="18">
        <v>4.4647513036215196</v>
      </c>
      <c r="H434" s="18">
        <v>0</v>
      </c>
      <c r="I434" s="16">
        <v>500</v>
      </c>
    </row>
    <row r="435" spans="1:9">
      <c r="A435" s="9">
        <v>513</v>
      </c>
      <c r="B435" s="9" t="s">
        <v>1221</v>
      </c>
      <c r="C435" s="9" t="s">
        <v>14</v>
      </c>
      <c r="D435" s="21">
        <v>500</v>
      </c>
      <c r="E435" s="18">
        <v>19500000</v>
      </c>
      <c r="F435" s="18">
        <v>3970495</v>
      </c>
      <c r="G435" s="18">
        <v>4.4647513036215196</v>
      </c>
      <c r="H435" s="18">
        <v>0</v>
      </c>
      <c r="I435" s="16">
        <v>500</v>
      </c>
    </row>
    <row r="436" spans="1:9">
      <c r="A436" s="9">
        <v>515</v>
      </c>
      <c r="B436" s="9" t="s">
        <v>1222</v>
      </c>
      <c r="C436" s="9" t="s">
        <v>14</v>
      </c>
      <c r="D436" s="21">
        <v>500</v>
      </c>
      <c r="E436" s="18">
        <v>59500000</v>
      </c>
      <c r="F436" s="18">
        <v>12000000</v>
      </c>
      <c r="G436" s="18">
        <v>4.5075757575757569</v>
      </c>
      <c r="H436" s="18">
        <v>0</v>
      </c>
      <c r="I436" s="16">
        <v>500</v>
      </c>
    </row>
    <row r="437" spans="1:9">
      <c r="A437" s="9">
        <v>516</v>
      </c>
      <c r="B437" s="9" t="s">
        <v>1223</v>
      </c>
      <c r="C437" s="9" t="s">
        <v>14</v>
      </c>
      <c r="D437" s="21">
        <v>500</v>
      </c>
      <c r="E437" s="18">
        <v>59500000</v>
      </c>
      <c r="F437" s="18">
        <v>12000000</v>
      </c>
      <c r="G437" s="18">
        <v>4.5075757575757569</v>
      </c>
      <c r="H437" s="18">
        <v>0</v>
      </c>
      <c r="I437" s="16">
        <v>500</v>
      </c>
    </row>
    <row r="438" spans="1:9">
      <c r="A438" s="9">
        <v>517</v>
      </c>
      <c r="B438" s="9" t="s">
        <v>1224</v>
      </c>
      <c r="C438" s="9" t="s">
        <v>14</v>
      </c>
      <c r="D438" s="21">
        <v>500</v>
      </c>
      <c r="E438" s="18">
        <v>59500000</v>
      </c>
      <c r="F438" s="18">
        <v>12000000</v>
      </c>
      <c r="G438" s="18">
        <v>4.5075757575757569</v>
      </c>
      <c r="H438" s="18">
        <v>0</v>
      </c>
      <c r="I438" s="16">
        <v>500</v>
      </c>
    </row>
    <row r="439" spans="1:9">
      <c r="A439" s="9">
        <v>518</v>
      </c>
      <c r="B439" s="9" t="s">
        <v>1225</v>
      </c>
      <c r="C439" s="9" t="s">
        <v>14</v>
      </c>
      <c r="D439" s="21">
        <v>500</v>
      </c>
      <c r="E439" s="18">
        <v>59500000</v>
      </c>
      <c r="F439" s="18">
        <v>12000000</v>
      </c>
      <c r="G439" s="18">
        <v>4.5075757575757569</v>
      </c>
      <c r="H439" s="18">
        <v>0</v>
      </c>
      <c r="I439" s="16">
        <v>500</v>
      </c>
    </row>
    <row r="440" spans="1:9">
      <c r="A440" s="9">
        <v>520</v>
      </c>
      <c r="B440" s="9" t="s">
        <v>1226</v>
      </c>
      <c r="C440" s="9" t="s">
        <v>14</v>
      </c>
      <c r="D440" s="21">
        <v>500</v>
      </c>
      <c r="E440" s="18">
        <v>64500000</v>
      </c>
      <c r="F440" s="18">
        <v>12510000</v>
      </c>
      <c r="G440" s="18">
        <v>4.6871593634183553</v>
      </c>
      <c r="H440" s="18">
        <v>0</v>
      </c>
      <c r="I440" s="16">
        <v>500</v>
      </c>
    </row>
    <row r="441" spans="1:9">
      <c r="A441" s="9">
        <v>521</v>
      </c>
      <c r="B441" s="9" t="s">
        <v>1227</v>
      </c>
      <c r="C441" s="9" t="s">
        <v>14</v>
      </c>
      <c r="D441" s="21">
        <v>500</v>
      </c>
      <c r="E441" s="18">
        <v>49500000</v>
      </c>
      <c r="F441" s="18">
        <v>11260000</v>
      </c>
      <c r="G441" s="18">
        <v>3.9964476021314379</v>
      </c>
      <c r="H441" s="18">
        <v>0</v>
      </c>
      <c r="I441" s="16">
        <v>500</v>
      </c>
    </row>
    <row r="442" spans="1:9">
      <c r="A442" s="9">
        <v>522</v>
      </c>
      <c r="B442" s="9" t="s">
        <v>1228</v>
      </c>
      <c r="C442" s="9" t="s">
        <v>14</v>
      </c>
      <c r="D442" s="21">
        <v>500</v>
      </c>
      <c r="E442" s="18">
        <v>44500000</v>
      </c>
      <c r="F442" s="18">
        <v>10010000</v>
      </c>
      <c r="G442" s="18">
        <v>4.0414131323222229</v>
      </c>
      <c r="H442" s="18">
        <v>0</v>
      </c>
      <c r="I442" s="16">
        <v>500</v>
      </c>
    </row>
    <row r="443" spans="1:9">
      <c r="A443" s="9">
        <v>524</v>
      </c>
      <c r="B443" s="9" t="s">
        <v>1229</v>
      </c>
      <c r="C443" s="9" t="s">
        <v>14</v>
      </c>
      <c r="D443" s="21">
        <v>700</v>
      </c>
      <c r="E443" s="18">
        <v>41300000</v>
      </c>
      <c r="F443" s="18">
        <v>4656456.0000000009</v>
      </c>
      <c r="G443" s="18">
        <v>8.063096600817131</v>
      </c>
      <c r="H443" s="18">
        <v>0</v>
      </c>
      <c r="I443" s="16">
        <v>700</v>
      </c>
    </row>
    <row r="444" spans="1:9">
      <c r="A444" s="9">
        <v>525</v>
      </c>
      <c r="B444" s="9" t="s">
        <v>1230</v>
      </c>
      <c r="C444" s="9" t="s">
        <v>14</v>
      </c>
      <c r="D444" s="21">
        <v>500</v>
      </c>
      <c r="E444" s="18">
        <v>27500000</v>
      </c>
      <c r="F444" s="18">
        <v>3297855.0000000005</v>
      </c>
      <c r="G444" s="18">
        <v>7.580685021021238</v>
      </c>
      <c r="H444" s="18">
        <v>0</v>
      </c>
      <c r="I444" s="16">
        <v>500</v>
      </c>
    </row>
    <row r="445" spans="1:9">
      <c r="A445" s="9">
        <v>526</v>
      </c>
      <c r="B445" s="9" t="s">
        <v>1231</v>
      </c>
      <c r="C445" s="9" t="s">
        <v>14</v>
      </c>
      <c r="D445" s="21">
        <v>700</v>
      </c>
      <c r="E445" s="18">
        <v>34300000</v>
      </c>
      <c r="F445" s="18">
        <v>3479707</v>
      </c>
      <c r="G445" s="18">
        <v>8.961047059944466</v>
      </c>
      <c r="H445" s="18">
        <v>0</v>
      </c>
      <c r="I445" s="16">
        <v>700</v>
      </c>
    </row>
    <row r="446" spans="1:9">
      <c r="A446" s="9">
        <v>527</v>
      </c>
      <c r="B446" s="9" t="s">
        <v>1232</v>
      </c>
      <c r="C446" s="9" t="s">
        <v>14</v>
      </c>
      <c r="D446" s="21">
        <v>1000</v>
      </c>
      <c r="E446" s="18">
        <v>49000000</v>
      </c>
      <c r="F446" s="18">
        <v>6818330.0000000009</v>
      </c>
      <c r="G446" s="18">
        <v>6.5331913453080936</v>
      </c>
      <c r="H446" s="18">
        <v>0</v>
      </c>
      <c r="I446" s="16">
        <v>1000</v>
      </c>
    </row>
    <row r="447" spans="1:9">
      <c r="A447" s="9">
        <v>528</v>
      </c>
      <c r="B447" s="9" t="s">
        <v>1233</v>
      </c>
      <c r="C447" s="9" t="s">
        <v>14</v>
      </c>
      <c r="D447" s="21">
        <v>1000</v>
      </c>
      <c r="E447" s="18">
        <v>49000000</v>
      </c>
      <c r="F447" s="18">
        <v>6818330.0000000009</v>
      </c>
      <c r="G447" s="18">
        <v>6.5331913453080936</v>
      </c>
      <c r="H447" s="18">
        <v>0</v>
      </c>
      <c r="I447" s="16">
        <v>1000</v>
      </c>
    </row>
    <row r="448" spans="1:9">
      <c r="A448" s="9">
        <v>529</v>
      </c>
      <c r="B448" s="9" t="s">
        <v>1234</v>
      </c>
      <c r="C448" s="9" t="s">
        <v>14</v>
      </c>
      <c r="D448" s="21">
        <v>500</v>
      </c>
      <c r="E448" s="18">
        <v>22500000</v>
      </c>
      <c r="F448" s="18">
        <v>3377980.0000000009</v>
      </c>
      <c r="G448" s="18">
        <v>6.0552594907446009</v>
      </c>
      <c r="H448" s="18">
        <v>0</v>
      </c>
      <c r="I448" s="16">
        <v>500</v>
      </c>
    </row>
    <row r="449" spans="1:9">
      <c r="A449" s="9">
        <v>531</v>
      </c>
      <c r="B449" s="9" t="s">
        <v>1235</v>
      </c>
      <c r="C449" s="9" t="s">
        <v>14</v>
      </c>
      <c r="D449" s="21">
        <v>700</v>
      </c>
      <c r="E449" s="18">
        <v>31500000</v>
      </c>
      <c r="F449" s="18">
        <v>4017153</v>
      </c>
      <c r="G449" s="18">
        <v>7.1285220245192633</v>
      </c>
      <c r="H449" s="18">
        <v>0</v>
      </c>
      <c r="I449" s="16">
        <v>700</v>
      </c>
    </row>
    <row r="450" spans="1:9">
      <c r="A450" s="9">
        <v>533</v>
      </c>
      <c r="B450" s="9" t="s">
        <v>1236</v>
      </c>
      <c r="C450" s="9" t="s">
        <v>14</v>
      </c>
      <c r="D450" s="21">
        <v>1200</v>
      </c>
      <c r="E450" s="18">
        <v>54000000</v>
      </c>
      <c r="F450" s="18">
        <v>7032456</v>
      </c>
      <c r="G450" s="18">
        <v>6.9806208657272917</v>
      </c>
      <c r="H450" s="18">
        <v>0</v>
      </c>
      <c r="I450" s="16">
        <v>1200</v>
      </c>
    </row>
    <row r="451" spans="1:9">
      <c r="A451" s="9">
        <v>535</v>
      </c>
      <c r="B451" s="9" t="s">
        <v>921</v>
      </c>
      <c r="C451" s="9" t="s">
        <v>14</v>
      </c>
      <c r="D451" s="21">
        <v>700</v>
      </c>
      <c r="E451" s="18">
        <v>30100000</v>
      </c>
      <c r="F451" s="18">
        <v>6664000</v>
      </c>
      <c r="G451" s="18">
        <v>4.1061879297173407</v>
      </c>
      <c r="H451" s="18">
        <v>700</v>
      </c>
      <c r="I451" s="16">
        <v>0</v>
      </c>
    </row>
    <row r="452" spans="1:9">
      <c r="A452" s="9">
        <v>537</v>
      </c>
      <c r="B452" s="9" t="s">
        <v>1237</v>
      </c>
      <c r="C452" s="9" t="s">
        <v>14</v>
      </c>
      <c r="D452" s="21">
        <v>500</v>
      </c>
      <c r="E452" s="18">
        <v>27500000</v>
      </c>
      <c r="F452" s="18">
        <v>4510000</v>
      </c>
      <c r="G452" s="18">
        <v>5.5432372505543235</v>
      </c>
      <c r="H452" s="18">
        <v>0</v>
      </c>
      <c r="I452" s="16">
        <v>500</v>
      </c>
    </row>
    <row r="453" spans="1:9">
      <c r="A453" s="9">
        <v>539</v>
      </c>
      <c r="B453" s="9" t="s">
        <v>1238</v>
      </c>
      <c r="C453" s="9" t="s">
        <v>14</v>
      </c>
      <c r="D453" s="21">
        <v>1500</v>
      </c>
      <c r="E453" s="18">
        <v>88500000</v>
      </c>
      <c r="F453" s="18">
        <v>11600820.000000002</v>
      </c>
      <c r="G453" s="18">
        <v>6.9352464269375291</v>
      </c>
      <c r="H453" s="18">
        <v>0</v>
      </c>
      <c r="I453" s="16">
        <v>1500</v>
      </c>
    </row>
    <row r="454" spans="1:9">
      <c r="A454" s="9">
        <v>540</v>
      </c>
      <c r="B454" s="9" t="s">
        <v>1239</v>
      </c>
      <c r="C454" s="9" t="s">
        <v>14</v>
      </c>
      <c r="D454" s="21">
        <v>500</v>
      </c>
      <c r="E454" s="18">
        <v>29500000</v>
      </c>
      <c r="F454" s="18">
        <v>3866940.0000000005</v>
      </c>
      <c r="G454" s="18">
        <v>6.93524642693753</v>
      </c>
      <c r="H454" s="18">
        <v>0</v>
      </c>
      <c r="I454" s="16">
        <v>500</v>
      </c>
    </row>
    <row r="455" spans="1:9">
      <c r="A455" s="9">
        <v>542</v>
      </c>
      <c r="B455" s="9" t="s">
        <v>1240</v>
      </c>
      <c r="C455" s="9" t="s">
        <v>14</v>
      </c>
      <c r="D455" s="21">
        <v>1000</v>
      </c>
      <c r="E455" s="18">
        <v>49000000</v>
      </c>
      <c r="F455" s="18">
        <v>9520000</v>
      </c>
      <c r="G455" s="18">
        <v>4.6791443850267376</v>
      </c>
      <c r="H455" s="18">
        <v>0</v>
      </c>
      <c r="I455" s="16">
        <v>1000</v>
      </c>
    </row>
    <row r="456" spans="1:9">
      <c r="A456" s="9">
        <v>543</v>
      </c>
      <c r="B456" s="9" t="s">
        <v>1241</v>
      </c>
      <c r="C456" s="9" t="s">
        <v>14</v>
      </c>
      <c r="D456" s="21">
        <v>1000</v>
      </c>
      <c r="E456" s="18">
        <v>49000000</v>
      </c>
      <c r="F456" s="18">
        <v>9520000</v>
      </c>
      <c r="G456" s="18">
        <v>4.6791443850267376</v>
      </c>
      <c r="H456" s="18">
        <v>0</v>
      </c>
      <c r="I456" s="16">
        <v>1000</v>
      </c>
    </row>
    <row r="457" spans="1:9">
      <c r="A457" s="9">
        <v>545</v>
      </c>
      <c r="B457" s="9" t="s">
        <v>1242</v>
      </c>
      <c r="C457" s="9" t="s">
        <v>14</v>
      </c>
      <c r="D457" s="21">
        <v>800</v>
      </c>
      <c r="E457" s="18">
        <v>44000000</v>
      </c>
      <c r="F457" s="18">
        <v>7229600</v>
      </c>
      <c r="G457" s="18">
        <v>5.5328095606949201</v>
      </c>
      <c r="H457" s="18">
        <v>0</v>
      </c>
      <c r="I457" s="16">
        <v>800</v>
      </c>
    </row>
    <row r="458" spans="1:9">
      <c r="A458" s="9">
        <v>546</v>
      </c>
      <c r="B458" s="9" t="s">
        <v>1243</v>
      </c>
      <c r="C458" s="9" t="s">
        <v>14</v>
      </c>
      <c r="D458" s="21">
        <v>800</v>
      </c>
      <c r="E458" s="18">
        <v>47200000</v>
      </c>
      <c r="F458" s="18">
        <v>6253040.0000000009</v>
      </c>
      <c r="G458" s="18">
        <v>6.8621168118372662</v>
      </c>
      <c r="H458" s="18">
        <v>0</v>
      </c>
      <c r="I458" s="16">
        <v>800</v>
      </c>
    </row>
    <row r="459" spans="1:9">
      <c r="A459" s="9">
        <v>548</v>
      </c>
      <c r="B459" s="9" t="s">
        <v>1244</v>
      </c>
      <c r="C459" s="9" t="s">
        <v>14</v>
      </c>
      <c r="D459" s="21">
        <v>1000</v>
      </c>
      <c r="E459" s="18">
        <v>59000000</v>
      </c>
      <c r="F459" s="18">
        <v>12520000</v>
      </c>
      <c r="G459" s="18">
        <v>4.2840546035434208</v>
      </c>
      <c r="H459" s="18">
        <v>0</v>
      </c>
      <c r="I459" s="16">
        <v>1000</v>
      </c>
    </row>
    <row r="460" spans="1:9">
      <c r="A460" s="9">
        <v>549</v>
      </c>
      <c r="B460" s="9" t="s">
        <v>1245</v>
      </c>
      <c r="C460" s="9" t="s">
        <v>14</v>
      </c>
      <c r="D460" s="21">
        <v>1000</v>
      </c>
      <c r="E460" s="18">
        <v>55000000</v>
      </c>
      <c r="F460" s="18">
        <v>11020000</v>
      </c>
      <c r="G460" s="18">
        <v>4.5372050816696907</v>
      </c>
      <c r="H460" s="18">
        <v>0</v>
      </c>
      <c r="I460" s="16">
        <v>1000</v>
      </c>
    </row>
    <row r="461" spans="1:9">
      <c r="A461" s="9">
        <v>551</v>
      </c>
      <c r="B461" s="9" t="s">
        <v>1246</v>
      </c>
      <c r="C461" s="9" t="s">
        <v>14</v>
      </c>
      <c r="D461" s="21">
        <v>1200</v>
      </c>
      <c r="E461" s="18">
        <v>70800000</v>
      </c>
      <c r="F461" s="18">
        <v>11400288</v>
      </c>
      <c r="G461" s="18">
        <v>5.6457903838601586</v>
      </c>
      <c r="H461" s="18">
        <v>0</v>
      </c>
      <c r="I461" s="16">
        <v>1200</v>
      </c>
    </row>
    <row r="462" spans="1:9">
      <c r="A462" s="9">
        <v>553</v>
      </c>
      <c r="B462" s="9" t="s">
        <v>1247</v>
      </c>
      <c r="C462" s="9" t="s">
        <v>14</v>
      </c>
      <c r="D462" s="21">
        <v>3000</v>
      </c>
      <c r="E462" s="18">
        <v>207000000</v>
      </c>
      <c r="F462" s="18">
        <v>31386270</v>
      </c>
      <c r="G462" s="18">
        <v>5.9956732093943685</v>
      </c>
      <c r="H462" s="18">
        <v>0</v>
      </c>
      <c r="I462" s="16">
        <v>3000</v>
      </c>
    </row>
    <row r="463" spans="1:9">
      <c r="A463" s="9">
        <v>554</v>
      </c>
      <c r="B463" s="9" t="s">
        <v>1248</v>
      </c>
      <c r="C463" s="9" t="s">
        <v>14</v>
      </c>
      <c r="D463" s="21">
        <v>2000</v>
      </c>
      <c r="E463" s="18">
        <v>126000000</v>
      </c>
      <c r="F463" s="18">
        <v>19955989.999999996</v>
      </c>
      <c r="G463" s="18">
        <v>5.7399033846706962</v>
      </c>
      <c r="H463" s="18">
        <v>0</v>
      </c>
      <c r="I463" s="16">
        <v>2000</v>
      </c>
    </row>
    <row r="464" spans="1:9">
      <c r="A464" s="9">
        <v>555</v>
      </c>
      <c r="B464" s="9" t="s">
        <v>1249</v>
      </c>
      <c r="C464" s="9" t="s">
        <v>14</v>
      </c>
      <c r="D464" s="21">
        <v>2500</v>
      </c>
      <c r="E464" s="18">
        <v>172500000</v>
      </c>
      <c r="F464" s="18">
        <v>26277600.000000004</v>
      </c>
      <c r="G464" s="18">
        <v>5.9677513097916774</v>
      </c>
      <c r="H464" s="18">
        <v>0</v>
      </c>
      <c r="I464" s="16">
        <v>2500</v>
      </c>
    </row>
    <row r="465" spans="1:9">
      <c r="A465" s="9">
        <v>557</v>
      </c>
      <c r="B465" s="9" t="s">
        <v>1250</v>
      </c>
      <c r="C465" s="9" t="s">
        <v>14</v>
      </c>
      <c r="D465" s="21">
        <v>1000</v>
      </c>
      <c r="E465" s="18">
        <v>49000000</v>
      </c>
      <c r="F465" s="18">
        <v>6488000</v>
      </c>
      <c r="G465" s="18">
        <v>6.8658222172402192</v>
      </c>
      <c r="H465" s="18">
        <v>0</v>
      </c>
      <c r="I465" s="16">
        <v>1000</v>
      </c>
    </row>
    <row r="466" spans="1:9">
      <c r="A466" s="9">
        <v>558</v>
      </c>
      <c r="B466" s="9" t="s">
        <v>1251</v>
      </c>
      <c r="C466" s="9" t="s">
        <v>14</v>
      </c>
      <c r="D466" s="21">
        <v>1000</v>
      </c>
      <c r="E466" s="18">
        <v>43000000</v>
      </c>
      <c r="F466" s="18">
        <v>6372500</v>
      </c>
      <c r="G466" s="18">
        <v>6.1343129212882053</v>
      </c>
      <c r="H466" s="18">
        <v>0</v>
      </c>
      <c r="I466" s="16">
        <v>1000</v>
      </c>
    </row>
    <row r="467" spans="1:9">
      <c r="A467" s="9">
        <v>559</v>
      </c>
      <c r="B467" s="9" t="s">
        <v>1252</v>
      </c>
      <c r="C467" s="9" t="s">
        <v>14</v>
      </c>
      <c r="D467" s="21">
        <v>1200</v>
      </c>
      <c r="E467" s="18">
        <v>58800000</v>
      </c>
      <c r="F467" s="18">
        <v>6954000</v>
      </c>
      <c r="G467" s="18">
        <v>7.6868774021491868</v>
      </c>
      <c r="H467" s="18">
        <v>0</v>
      </c>
      <c r="I467" s="16">
        <v>1200</v>
      </c>
    </row>
    <row r="468" spans="1:9">
      <c r="A468" s="9">
        <v>560</v>
      </c>
      <c r="B468" s="9" t="s">
        <v>1253</v>
      </c>
      <c r="C468" s="9" t="s">
        <v>14</v>
      </c>
      <c r="D468" s="21">
        <v>1200</v>
      </c>
      <c r="E468" s="18">
        <v>51600000</v>
      </c>
      <c r="F468" s="18">
        <v>6815400.0000000009</v>
      </c>
      <c r="G468" s="18">
        <v>6.8828081857397798</v>
      </c>
      <c r="H468" s="18">
        <v>0</v>
      </c>
      <c r="I468" s="16">
        <v>1200</v>
      </c>
    </row>
    <row r="469" spans="1:9">
      <c r="A469" s="9">
        <v>561</v>
      </c>
      <c r="B469" s="9" t="s">
        <v>1254</v>
      </c>
      <c r="C469" s="9" t="s">
        <v>14</v>
      </c>
      <c r="D469" s="21">
        <v>1200</v>
      </c>
      <c r="E469" s="18">
        <v>58800000</v>
      </c>
      <c r="F469" s="18">
        <v>6954000</v>
      </c>
      <c r="G469" s="18">
        <v>7.6868774021491868</v>
      </c>
      <c r="H469" s="18">
        <v>0</v>
      </c>
      <c r="I469" s="16">
        <v>1200</v>
      </c>
    </row>
    <row r="470" spans="1:9">
      <c r="A470" s="9">
        <v>562</v>
      </c>
      <c r="B470" s="9" t="s">
        <v>1255</v>
      </c>
      <c r="C470" s="9" t="s">
        <v>14</v>
      </c>
      <c r="D470" s="21">
        <v>1200</v>
      </c>
      <c r="E470" s="18">
        <v>51600000</v>
      </c>
      <c r="F470" s="18">
        <v>6815400.0000000009</v>
      </c>
      <c r="G470" s="18">
        <v>6.8828081857397798</v>
      </c>
      <c r="H470" s="18">
        <v>0</v>
      </c>
      <c r="I470" s="16">
        <v>1200</v>
      </c>
    </row>
    <row r="471" spans="1:9">
      <c r="A471" s="9">
        <v>564</v>
      </c>
      <c r="B471" s="9" t="s">
        <v>1256</v>
      </c>
      <c r="C471" s="9" t="s">
        <v>14</v>
      </c>
      <c r="D471" s="21">
        <v>800</v>
      </c>
      <c r="E471" s="18">
        <v>39200000</v>
      </c>
      <c r="F471" s="18">
        <v>7188080</v>
      </c>
      <c r="G471" s="18">
        <v>4.9577027017456166</v>
      </c>
      <c r="H471" s="18">
        <v>0</v>
      </c>
      <c r="I471" s="16">
        <v>800</v>
      </c>
    </row>
    <row r="472" spans="1:9">
      <c r="A472" s="9">
        <v>566</v>
      </c>
      <c r="B472" s="9" t="s">
        <v>1257</v>
      </c>
      <c r="C472" s="9" t="s">
        <v>14</v>
      </c>
      <c r="D472" s="21">
        <v>700</v>
      </c>
      <c r="E472" s="18">
        <v>30100000</v>
      </c>
      <c r="F472" s="18">
        <v>3943310.0000000009</v>
      </c>
      <c r="G472" s="18">
        <v>6.939255692206892</v>
      </c>
      <c r="H472" s="18">
        <v>0</v>
      </c>
      <c r="I472" s="16">
        <v>700</v>
      </c>
    </row>
    <row r="473" spans="1:9">
      <c r="A473" s="9">
        <v>567</v>
      </c>
      <c r="B473" s="9" t="s">
        <v>1258</v>
      </c>
      <c r="C473" s="9" t="s">
        <v>14</v>
      </c>
      <c r="D473" s="21">
        <v>700</v>
      </c>
      <c r="E473" s="18">
        <v>34300000</v>
      </c>
      <c r="F473" s="18">
        <v>5929562.0000000009</v>
      </c>
      <c r="G473" s="18">
        <v>5.2587051424402302</v>
      </c>
      <c r="H473" s="18">
        <v>0</v>
      </c>
      <c r="I473" s="16">
        <v>700</v>
      </c>
    </row>
    <row r="474" spans="1:9">
      <c r="A474" s="9">
        <v>568</v>
      </c>
      <c r="B474" s="9" t="s">
        <v>1259</v>
      </c>
      <c r="C474" s="9" t="s">
        <v>14</v>
      </c>
      <c r="D474" s="21">
        <v>700</v>
      </c>
      <c r="E474" s="18">
        <v>31500000</v>
      </c>
      <c r="F474" s="18">
        <v>5623826.0000000009</v>
      </c>
      <c r="G474" s="18">
        <v>5.0919718420099818</v>
      </c>
      <c r="H474" s="18">
        <v>0</v>
      </c>
      <c r="I474" s="16">
        <v>700</v>
      </c>
    </row>
    <row r="475" spans="1:9">
      <c r="A475" s="9">
        <v>569</v>
      </c>
      <c r="B475" s="9" t="s">
        <v>1260</v>
      </c>
      <c r="C475" s="9" t="s">
        <v>14</v>
      </c>
      <c r="D475" s="21">
        <v>700</v>
      </c>
      <c r="E475" s="18">
        <v>34300000</v>
      </c>
      <c r="F475" s="18">
        <v>5929562.0000000009</v>
      </c>
      <c r="G475" s="18">
        <v>5.2587051424402302</v>
      </c>
      <c r="H475" s="18">
        <v>0</v>
      </c>
      <c r="I475" s="16">
        <v>700</v>
      </c>
    </row>
    <row r="476" spans="1:9">
      <c r="A476" s="9">
        <v>570</v>
      </c>
      <c r="B476" s="9" t="s">
        <v>1261</v>
      </c>
      <c r="C476" s="9" t="s">
        <v>14</v>
      </c>
      <c r="D476" s="21">
        <v>700</v>
      </c>
      <c r="E476" s="18">
        <v>31500000</v>
      </c>
      <c r="F476" s="18">
        <v>5623826.0000000009</v>
      </c>
      <c r="G476" s="18">
        <v>5.0919718420099818</v>
      </c>
      <c r="H476" s="18">
        <v>0</v>
      </c>
      <c r="I476" s="16">
        <v>700</v>
      </c>
    </row>
    <row r="477" spans="1:9">
      <c r="A477" s="9">
        <v>571</v>
      </c>
      <c r="B477" s="9" t="s">
        <v>1262</v>
      </c>
      <c r="C477" s="9" t="s">
        <v>14</v>
      </c>
      <c r="D477" s="21">
        <v>500</v>
      </c>
      <c r="E477" s="18">
        <v>22500000</v>
      </c>
      <c r="F477" s="18">
        <v>3382315.0000000009</v>
      </c>
      <c r="G477" s="18">
        <v>6.0474986671984858</v>
      </c>
      <c r="H477" s="18">
        <v>0</v>
      </c>
      <c r="I477" s="16">
        <v>500</v>
      </c>
    </row>
    <row r="478" spans="1:9">
      <c r="A478" s="9">
        <v>572</v>
      </c>
      <c r="B478" s="9" t="s">
        <v>1263</v>
      </c>
      <c r="C478" s="9" t="s">
        <v>14</v>
      </c>
      <c r="D478" s="21">
        <v>500</v>
      </c>
      <c r="E478" s="18">
        <v>21500000</v>
      </c>
      <c r="F478" s="18">
        <v>3178390.0000000005</v>
      </c>
      <c r="G478" s="18">
        <v>6.1494827712944415</v>
      </c>
      <c r="H478" s="18">
        <v>0</v>
      </c>
      <c r="I478" s="16">
        <v>500</v>
      </c>
    </row>
    <row r="479" spans="1:9">
      <c r="A479" s="9">
        <v>573</v>
      </c>
      <c r="B479" s="9" t="s">
        <v>1264</v>
      </c>
      <c r="C479" s="9" t="s">
        <v>14</v>
      </c>
      <c r="D479" s="21">
        <v>500</v>
      </c>
      <c r="E479" s="18">
        <v>22500000</v>
      </c>
      <c r="F479" s="18">
        <v>3382315.0000000009</v>
      </c>
      <c r="G479" s="18">
        <v>6.0474986671984858</v>
      </c>
      <c r="H479" s="18">
        <v>0</v>
      </c>
      <c r="I479" s="16">
        <v>500</v>
      </c>
    </row>
    <row r="480" spans="1:9">
      <c r="A480" s="9">
        <v>574</v>
      </c>
      <c r="B480" s="9" t="s">
        <v>1265</v>
      </c>
      <c r="C480" s="9" t="s">
        <v>14</v>
      </c>
      <c r="D480" s="21">
        <v>500</v>
      </c>
      <c r="E480" s="18">
        <v>21500000</v>
      </c>
      <c r="F480" s="18">
        <v>3178390.0000000005</v>
      </c>
      <c r="G480" s="18">
        <v>6.1494827712944415</v>
      </c>
      <c r="H480" s="18">
        <v>0</v>
      </c>
      <c r="I480" s="16">
        <v>500</v>
      </c>
    </row>
    <row r="481" spans="1:9">
      <c r="A481" s="9">
        <v>575</v>
      </c>
      <c r="B481" s="9" t="s">
        <v>1266</v>
      </c>
      <c r="C481" s="9" t="s">
        <v>14</v>
      </c>
      <c r="D481" s="21">
        <v>500</v>
      </c>
      <c r="E481" s="18">
        <v>22500000</v>
      </c>
      <c r="F481" s="18">
        <v>3429815.0000000009</v>
      </c>
      <c r="G481" s="18">
        <v>5.9637459905404366</v>
      </c>
      <c r="H481" s="18">
        <v>0</v>
      </c>
      <c r="I481" s="16">
        <v>500</v>
      </c>
    </row>
    <row r="482" spans="1:9">
      <c r="A482" s="9">
        <v>576</v>
      </c>
      <c r="B482" s="9" t="s">
        <v>1267</v>
      </c>
      <c r="C482" s="9" t="s">
        <v>14</v>
      </c>
      <c r="D482" s="21">
        <v>500</v>
      </c>
      <c r="E482" s="18">
        <v>21500000</v>
      </c>
      <c r="F482" s="18">
        <v>3217890.0000000005</v>
      </c>
      <c r="G482" s="18">
        <v>6.0739971053872379</v>
      </c>
      <c r="H482" s="18">
        <v>0</v>
      </c>
      <c r="I482" s="16">
        <v>500</v>
      </c>
    </row>
    <row r="483" spans="1:9">
      <c r="A483" s="9">
        <v>577</v>
      </c>
      <c r="B483" s="9" t="s">
        <v>1268</v>
      </c>
      <c r="C483" s="9" t="s">
        <v>14</v>
      </c>
      <c r="D483" s="21">
        <v>700</v>
      </c>
      <c r="E483" s="18">
        <v>34300000</v>
      </c>
      <c r="F483" s="18">
        <v>5876444</v>
      </c>
      <c r="G483" s="18">
        <v>5.3062393144252171</v>
      </c>
      <c r="H483" s="18">
        <v>0</v>
      </c>
      <c r="I483" s="16">
        <v>700</v>
      </c>
    </row>
    <row r="484" spans="1:9">
      <c r="A484" s="9">
        <v>578</v>
      </c>
      <c r="B484" s="9" t="s">
        <v>1269</v>
      </c>
      <c r="C484" s="9" t="s">
        <v>14</v>
      </c>
      <c r="D484" s="21">
        <v>700</v>
      </c>
      <c r="E484" s="18">
        <v>31500000</v>
      </c>
      <c r="F484" s="18">
        <v>5587808</v>
      </c>
      <c r="G484" s="18">
        <v>5.124793771790948</v>
      </c>
      <c r="H484" s="18">
        <v>0</v>
      </c>
      <c r="I484" s="16">
        <v>700</v>
      </c>
    </row>
    <row r="485" spans="1:9">
      <c r="A485" s="9">
        <v>579</v>
      </c>
      <c r="B485" s="9" t="s">
        <v>1270</v>
      </c>
      <c r="C485" s="9" t="s">
        <v>14</v>
      </c>
      <c r="D485" s="21">
        <v>500</v>
      </c>
      <c r="E485" s="18">
        <v>17500000</v>
      </c>
      <c r="F485" s="18">
        <v>3222055.0000000009</v>
      </c>
      <c r="G485" s="18">
        <v>4.9375603175895204</v>
      </c>
      <c r="H485" s="18">
        <v>0</v>
      </c>
      <c r="I485" s="16">
        <v>500</v>
      </c>
    </row>
    <row r="486" spans="1:9">
      <c r="A486" s="9">
        <v>580</v>
      </c>
      <c r="B486" s="9" t="s">
        <v>1271</v>
      </c>
      <c r="C486" s="9" t="s">
        <v>14</v>
      </c>
      <c r="D486" s="21">
        <v>500</v>
      </c>
      <c r="E486" s="18">
        <v>17500000</v>
      </c>
      <c r="F486" s="18">
        <v>3222055.0000000009</v>
      </c>
      <c r="G486" s="18">
        <v>4.9375603175895204</v>
      </c>
      <c r="H486" s="18">
        <v>0</v>
      </c>
      <c r="I486" s="16">
        <v>500</v>
      </c>
    </row>
    <row r="487" spans="1:9">
      <c r="A487" s="9">
        <v>581</v>
      </c>
      <c r="B487" s="9" t="s">
        <v>1272</v>
      </c>
      <c r="C487" s="9" t="s">
        <v>14</v>
      </c>
      <c r="D487" s="21">
        <v>500</v>
      </c>
      <c r="E487" s="18">
        <v>17500000</v>
      </c>
      <c r="F487" s="18">
        <v>3222055.0000000009</v>
      </c>
      <c r="G487" s="18">
        <v>4.9375603175895204</v>
      </c>
      <c r="H487" s="18">
        <v>0</v>
      </c>
      <c r="I487" s="16">
        <v>500</v>
      </c>
    </row>
    <row r="488" spans="1:9">
      <c r="A488" s="9">
        <v>583</v>
      </c>
      <c r="B488" s="9" t="s">
        <v>1273</v>
      </c>
      <c r="C488" s="9" t="s">
        <v>14</v>
      </c>
      <c r="D488" s="21">
        <v>700</v>
      </c>
      <c r="E488" s="18">
        <v>30100000</v>
      </c>
      <c r="F488" s="18">
        <v>3120299</v>
      </c>
      <c r="G488" s="18">
        <v>8.7695558546268675</v>
      </c>
      <c r="H488" s="18">
        <v>0</v>
      </c>
      <c r="I488" s="16">
        <v>700</v>
      </c>
    </row>
    <row r="489" spans="1:9">
      <c r="A489" s="9">
        <v>584</v>
      </c>
      <c r="B489" s="9" t="s">
        <v>1274</v>
      </c>
      <c r="C489" s="9" t="s">
        <v>14</v>
      </c>
      <c r="D489" s="21">
        <v>500</v>
      </c>
      <c r="E489" s="18">
        <v>14500000</v>
      </c>
      <c r="F489" s="18">
        <v>1646010</v>
      </c>
      <c r="G489" s="18">
        <v>8.0083463537999044</v>
      </c>
      <c r="H489" s="18">
        <v>0</v>
      </c>
      <c r="I489" s="16">
        <v>500</v>
      </c>
    </row>
    <row r="490" spans="1:9">
      <c r="A490" s="9">
        <v>585</v>
      </c>
      <c r="B490" s="9" t="s">
        <v>1275</v>
      </c>
      <c r="C490" s="9" t="s">
        <v>14</v>
      </c>
      <c r="D490" s="21">
        <v>700</v>
      </c>
      <c r="E490" s="18">
        <v>17500000</v>
      </c>
      <c r="F490" s="18">
        <v>2307914</v>
      </c>
      <c r="G490" s="18">
        <v>6.8932771797783223</v>
      </c>
      <c r="H490" s="18">
        <v>0</v>
      </c>
      <c r="I490" s="16">
        <v>700</v>
      </c>
    </row>
    <row r="491" spans="1:9">
      <c r="A491" s="9">
        <v>586</v>
      </c>
      <c r="B491" s="9" t="s">
        <v>1276</v>
      </c>
      <c r="C491" s="9" t="s">
        <v>14</v>
      </c>
      <c r="D491" s="21">
        <v>500</v>
      </c>
      <c r="E491" s="18">
        <v>14500000</v>
      </c>
      <c r="F491" s="18">
        <v>1646010</v>
      </c>
      <c r="G491" s="18">
        <v>8.0083463537999044</v>
      </c>
      <c r="H491" s="18">
        <v>0</v>
      </c>
      <c r="I491" s="16">
        <v>500</v>
      </c>
    </row>
    <row r="492" spans="1:9">
      <c r="A492" s="9">
        <v>587</v>
      </c>
      <c r="B492" s="9" t="s">
        <v>1277</v>
      </c>
      <c r="C492" s="9" t="s">
        <v>14</v>
      </c>
      <c r="D492" s="21">
        <v>700</v>
      </c>
      <c r="E492" s="18">
        <v>17500000</v>
      </c>
      <c r="F492" s="18">
        <v>2307914</v>
      </c>
      <c r="G492" s="18">
        <v>6.8932771797783223</v>
      </c>
      <c r="H492" s="18">
        <v>0</v>
      </c>
      <c r="I492" s="16">
        <v>700</v>
      </c>
    </row>
    <row r="493" spans="1:9">
      <c r="A493" s="9">
        <v>589</v>
      </c>
      <c r="B493" s="9" t="s">
        <v>1278</v>
      </c>
      <c r="C493" s="9" t="s">
        <v>14</v>
      </c>
      <c r="D493" s="21">
        <v>1200</v>
      </c>
      <c r="E493" s="18">
        <v>51600000</v>
      </c>
      <c r="F493" s="18">
        <v>6656184</v>
      </c>
      <c r="G493" s="18">
        <v>7.04744503894287</v>
      </c>
      <c r="H493" s="18">
        <v>0</v>
      </c>
      <c r="I493" s="16">
        <v>1200</v>
      </c>
    </row>
    <row r="494" spans="1:9">
      <c r="A494" s="9">
        <v>590</v>
      </c>
      <c r="B494" s="9" t="s">
        <v>1279</v>
      </c>
      <c r="C494" s="9" t="s">
        <v>14</v>
      </c>
      <c r="D494" s="21">
        <v>1200</v>
      </c>
      <c r="E494" s="18">
        <v>46800000</v>
      </c>
      <c r="F494" s="18">
        <v>6617277.6000000006</v>
      </c>
      <c r="G494" s="18">
        <v>6.4294498609903474</v>
      </c>
      <c r="H494" s="18">
        <v>0</v>
      </c>
      <c r="I494" s="16">
        <v>1200</v>
      </c>
    </row>
    <row r="495" spans="1:9">
      <c r="A495" s="9">
        <v>591</v>
      </c>
      <c r="B495" s="9" t="s">
        <v>1280</v>
      </c>
      <c r="C495" s="9" t="s">
        <v>14</v>
      </c>
      <c r="D495" s="21">
        <v>1200</v>
      </c>
      <c r="E495" s="18">
        <v>46800000</v>
      </c>
      <c r="F495" s="18">
        <v>5417366.3999999994</v>
      </c>
      <c r="G495" s="18">
        <v>7.8535309233384227</v>
      </c>
      <c r="H495" s="18">
        <v>0</v>
      </c>
      <c r="I495" s="16">
        <v>1200</v>
      </c>
    </row>
    <row r="496" spans="1:9">
      <c r="A496" s="9">
        <v>592</v>
      </c>
      <c r="B496" s="9" t="s">
        <v>1281</v>
      </c>
      <c r="C496" s="9" t="s">
        <v>14</v>
      </c>
      <c r="D496" s="21">
        <v>1000</v>
      </c>
      <c r="E496" s="18">
        <v>35000000</v>
      </c>
      <c r="F496" s="18">
        <v>4519472</v>
      </c>
      <c r="G496" s="18">
        <v>7.0402431563204324</v>
      </c>
      <c r="H496" s="18">
        <v>0</v>
      </c>
      <c r="I496" s="16">
        <v>1000</v>
      </c>
    </row>
    <row r="497" spans="1:9">
      <c r="A497" s="9">
        <v>593</v>
      </c>
      <c r="B497" s="9" t="s">
        <v>1282</v>
      </c>
      <c r="C497" s="9" t="s">
        <v>14</v>
      </c>
      <c r="D497" s="21">
        <v>1200</v>
      </c>
      <c r="E497" s="18">
        <v>46800000</v>
      </c>
      <c r="F497" s="18">
        <v>5417366.3999999994</v>
      </c>
      <c r="G497" s="18">
        <v>7.8535309233384227</v>
      </c>
      <c r="H497" s="18">
        <v>0</v>
      </c>
      <c r="I497" s="16">
        <v>1200</v>
      </c>
    </row>
    <row r="498" spans="1:9">
      <c r="A498" s="9">
        <v>594</v>
      </c>
      <c r="B498" s="9" t="s">
        <v>1283</v>
      </c>
      <c r="C498" s="9" t="s">
        <v>14</v>
      </c>
      <c r="D498" s="21">
        <v>1000</v>
      </c>
      <c r="E498" s="18">
        <v>35000000</v>
      </c>
      <c r="F498" s="18">
        <v>4519472</v>
      </c>
      <c r="G498" s="18">
        <v>7.0402431563204324</v>
      </c>
      <c r="H498" s="18">
        <v>0</v>
      </c>
      <c r="I498" s="16">
        <v>1000</v>
      </c>
    </row>
    <row r="499" spans="1:9">
      <c r="A499" s="9">
        <v>595</v>
      </c>
      <c r="B499" s="9" t="s">
        <v>1284</v>
      </c>
      <c r="C499" s="9" t="s">
        <v>14</v>
      </c>
      <c r="D499" s="21">
        <v>700</v>
      </c>
      <c r="E499" s="18">
        <v>20300000</v>
      </c>
      <c r="F499" s="18">
        <v>2814686.0000000005</v>
      </c>
      <c r="G499" s="18">
        <v>6.5565201427603119</v>
      </c>
      <c r="H499" s="18">
        <v>0</v>
      </c>
      <c r="I499" s="16">
        <v>700</v>
      </c>
    </row>
    <row r="500" spans="1:9">
      <c r="A500" s="9">
        <v>596</v>
      </c>
      <c r="B500" s="9" t="s">
        <v>1285</v>
      </c>
      <c r="C500" s="9" t="s">
        <v>14</v>
      </c>
      <c r="D500" s="21">
        <v>700</v>
      </c>
      <c r="E500" s="18">
        <v>20300000</v>
      </c>
      <c r="F500" s="18">
        <v>2814686.0000000005</v>
      </c>
      <c r="G500" s="18">
        <v>6.5565201427603119</v>
      </c>
      <c r="H500" s="18">
        <v>0</v>
      </c>
      <c r="I500" s="16">
        <v>700</v>
      </c>
    </row>
    <row r="501" spans="1:9">
      <c r="A501" s="9">
        <v>597</v>
      </c>
      <c r="B501" s="9" t="s">
        <v>1286</v>
      </c>
      <c r="C501" s="9" t="s">
        <v>14</v>
      </c>
      <c r="D501" s="21">
        <v>500</v>
      </c>
      <c r="E501" s="18">
        <v>14500000</v>
      </c>
      <c r="F501" s="18">
        <v>2010490.0000000005</v>
      </c>
      <c r="G501" s="18">
        <v>6.5565201427603119</v>
      </c>
      <c r="H501" s="18">
        <v>0</v>
      </c>
      <c r="I501" s="16">
        <v>500</v>
      </c>
    </row>
    <row r="502" spans="1:9">
      <c r="A502" s="9">
        <v>598</v>
      </c>
      <c r="B502" s="9" t="s">
        <v>1287</v>
      </c>
      <c r="C502" s="9" t="s">
        <v>14</v>
      </c>
      <c r="D502" s="21">
        <v>500</v>
      </c>
      <c r="E502" s="18">
        <v>14500000</v>
      </c>
      <c r="F502" s="18">
        <v>2010490.0000000005</v>
      </c>
      <c r="G502" s="18">
        <v>6.5565201427603119</v>
      </c>
      <c r="H502" s="18">
        <v>0</v>
      </c>
      <c r="I502" s="16">
        <v>500</v>
      </c>
    </row>
    <row r="503" spans="1:9">
      <c r="A503" s="9">
        <v>599</v>
      </c>
      <c r="B503" s="9" t="s">
        <v>1288</v>
      </c>
      <c r="C503" s="9" t="s">
        <v>14</v>
      </c>
      <c r="D503" s="21">
        <v>700</v>
      </c>
      <c r="E503" s="18">
        <v>30100000</v>
      </c>
      <c r="F503" s="18">
        <v>3657843.0000000005</v>
      </c>
      <c r="G503" s="18">
        <v>7.4808121517616692</v>
      </c>
      <c r="H503" s="18">
        <v>0</v>
      </c>
      <c r="I503" s="16">
        <v>700</v>
      </c>
    </row>
    <row r="504" spans="1:9">
      <c r="A504" s="9">
        <v>600</v>
      </c>
      <c r="B504" s="9" t="s">
        <v>1289</v>
      </c>
      <c r="C504" s="9" t="s">
        <v>14</v>
      </c>
      <c r="D504" s="21">
        <v>700</v>
      </c>
      <c r="E504" s="18">
        <v>30100000</v>
      </c>
      <c r="F504" s="18">
        <v>3657843.0000000005</v>
      </c>
      <c r="G504" s="18">
        <v>7.4808121517616692</v>
      </c>
      <c r="H504" s="18">
        <v>0</v>
      </c>
      <c r="I504" s="16">
        <v>700</v>
      </c>
    </row>
    <row r="505" spans="1:9">
      <c r="A505" s="9">
        <v>601</v>
      </c>
      <c r="B505" s="9" t="s">
        <v>1290</v>
      </c>
      <c r="C505" s="9" t="s">
        <v>14</v>
      </c>
      <c r="D505" s="21">
        <v>700</v>
      </c>
      <c r="E505" s="18">
        <v>30100000</v>
      </c>
      <c r="F505" s="18">
        <v>3657843.0000000005</v>
      </c>
      <c r="G505" s="18">
        <v>7.4808121517616692</v>
      </c>
      <c r="H505" s="18">
        <v>0</v>
      </c>
      <c r="I505" s="16">
        <v>700</v>
      </c>
    </row>
    <row r="506" spans="1:9">
      <c r="A506" s="9">
        <v>602</v>
      </c>
      <c r="B506" s="9" t="s">
        <v>1291</v>
      </c>
      <c r="C506" s="9" t="s">
        <v>14</v>
      </c>
      <c r="D506" s="21">
        <v>500</v>
      </c>
      <c r="E506" s="18">
        <v>22500000</v>
      </c>
      <c r="F506" s="18">
        <v>3248919.0000000005</v>
      </c>
      <c r="G506" s="18">
        <v>6.2958003737690751</v>
      </c>
      <c r="H506" s="18">
        <v>0</v>
      </c>
      <c r="I506" s="16">
        <v>500</v>
      </c>
    </row>
    <row r="507" spans="1:9">
      <c r="A507" s="9">
        <v>603</v>
      </c>
      <c r="B507" s="9" t="s">
        <v>1292</v>
      </c>
      <c r="C507" s="9" t="s">
        <v>14</v>
      </c>
      <c r="D507" s="21">
        <v>500</v>
      </c>
      <c r="E507" s="18">
        <v>22500000</v>
      </c>
      <c r="F507" s="18">
        <v>3248919.0000000005</v>
      </c>
      <c r="G507" s="18">
        <v>6.2958003737690751</v>
      </c>
      <c r="H507" s="18">
        <v>0</v>
      </c>
      <c r="I507" s="16">
        <v>500</v>
      </c>
    </row>
    <row r="508" spans="1:9">
      <c r="A508" s="9">
        <v>604</v>
      </c>
      <c r="B508" s="9" t="s">
        <v>1293</v>
      </c>
      <c r="C508" s="9" t="s">
        <v>14</v>
      </c>
      <c r="D508" s="21">
        <v>1500</v>
      </c>
      <c r="E508" s="18">
        <v>58500000</v>
      </c>
      <c r="F508" s="18">
        <v>6677685</v>
      </c>
      <c r="G508" s="18">
        <v>7.9641100443968496</v>
      </c>
      <c r="H508" s="18">
        <v>0</v>
      </c>
      <c r="I508" s="16">
        <v>1500</v>
      </c>
    </row>
    <row r="509" spans="1:9">
      <c r="A509" s="9">
        <v>605</v>
      </c>
      <c r="B509" s="9" t="s">
        <v>1294</v>
      </c>
      <c r="C509" s="9" t="s">
        <v>14</v>
      </c>
      <c r="D509" s="21">
        <v>1000</v>
      </c>
      <c r="E509" s="18">
        <v>39000000</v>
      </c>
      <c r="F509" s="18">
        <v>4451790</v>
      </c>
      <c r="G509" s="18">
        <v>7.9641100443968504</v>
      </c>
      <c r="H509" s="18">
        <v>0</v>
      </c>
      <c r="I509" s="16">
        <v>1000</v>
      </c>
    </row>
    <row r="510" spans="1:9">
      <c r="A510" s="9">
        <v>606</v>
      </c>
      <c r="B510" s="9" t="s">
        <v>1295</v>
      </c>
      <c r="C510" s="9" t="s">
        <v>14</v>
      </c>
      <c r="D510" s="21">
        <v>1500</v>
      </c>
      <c r="E510" s="18">
        <v>58500000</v>
      </c>
      <c r="F510" s="18">
        <v>6677685</v>
      </c>
      <c r="G510" s="18">
        <v>7.9641100443968496</v>
      </c>
      <c r="H510" s="18">
        <v>0</v>
      </c>
      <c r="I510" s="16">
        <v>1500</v>
      </c>
    </row>
    <row r="511" spans="1:9">
      <c r="A511" s="9">
        <v>607</v>
      </c>
      <c r="B511" s="9" t="s">
        <v>1296</v>
      </c>
      <c r="C511" s="9" t="s">
        <v>14</v>
      </c>
      <c r="D511" s="21">
        <v>2000</v>
      </c>
      <c r="E511" s="18">
        <v>78000000</v>
      </c>
      <c r="F511" s="18">
        <v>8903580</v>
      </c>
      <c r="G511" s="18">
        <v>7.9641100443968504</v>
      </c>
      <c r="H511" s="18">
        <v>0</v>
      </c>
      <c r="I511" s="16">
        <v>2000</v>
      </c>
    </row>
    <row r="512" spans="1:9">
      <c r="A512" s="9">
        <v>608</v>
      </c>
      <c r="B512" s="9" t="s">
        <v>1297</v>
      </c>
      <c r="C512" s="9" t="s">
        <v>14</v>
      </c>
      <c r="D512" s="21">
        <v>2000</v>
      </c>
      <c r="E512" s="18">
        <v>78000000</v>
      </c>
      <c r="F512" s="18">
        <v>8903580</v>
      </c>
      <c r="G512" s="18">
        <v>7.9641100443968504</v>
      </c>
      <c r="H512" s="18">
        <v>0</v>
      </c>
      <c r="I512" s="16">
        <v>2000</v>
      </c>
    </row>
    <row r="513" spans="1:9">
      <c r="A513" s="9">
        <v>609</v>
      </c>
      <c r="B513" s="9" t="s">
        <v>1298</v>
      </c>
      <c r="C513" s="9" t="s">
        <v>14</v>
      </c>
      <c r="D513" s="21">
        <v>1000</v>
      </c>
      <c r="E513" s="18">
        <v>39000000</v>
      </c>
      <c r="F513" s="18">
        <v>4451790</v>
      </c>
      <c r="G513" s="18">
        <v>7.9641100443968504</v>
      </c>
      <c r="H513" s="18">
        <v>0</v>
      </c>
      <c r="I513" s="16">
        <v>1000</v>
      </c>
    </row>
    <row r="514" spans="1:9">
      <c r="A514" s="9">
        <v>610</v>
      </c>
      <c r="B514" s="9" t="s">
        <v>1299</v>
      </c>
      <c r="C514" s="9" t="s">
        <v>14</v>
      </c>
      <c r="D514" s="21">
        <v>500</v>
      </c>
      <c r="E514" s="18">
        <v>21500000</v>
      </c>
      <c r="F514" s="18">
        <v>1785411.9999999998</v>
      </c>
      <c r="G514" s="18">
        <v>10.947307705702967</v>
      </c>
      <c r="H514" s="18">
        <v>0</v>
      </c>
      <c r="I514" s="16">
        <v>500</v>
      </c>
    </row>
    <row r="515" spans="1:9">
      <c r="A515" s="9">
        <v>611</v>
      </c>
      <c r="B515" s="9" t="s">
        <v>1300</v>
      </c>
      <c r="C515" s="9" t="s">
        <v>14</v>
      </c>
      <c r="D515" s="21">
        <v>500</v>
      </c>
      <c r="E515" s="18">
        <v>19500000</v>
      </c>
      <c r="F515" s="18">
        <v>1787911.9999999998</v>
      </c>
      <c r="G515" s="18">
        <v>9.9150700522580131</v>
      </c>
      <c r="H515" s="18">
        <v>0</v>
      </c>
      <c r="I515" s="16">
        <v>500</v>
      </c>
    </row>
    <row r="516" spans="1:9">
      <c r="A516" s="9">
        <v>613</v>
      </c>
      <c r="B516" s="9" t="s">
        <v>1301</v>
      </c>
      <c r="C516" s="9" t="s">
        <v>14</v>
      </c>
      <c r="D516" s="21">
        <v>1000</v>
      </c>
      <c r="E516" s="18">
        <v>43000000</v>
      </c>
      <c r="F516" s="18">
        <v>6237000</v>
      </c>
      <c r="G516" s="18">
        <v>6.2675820251577816</v>
      </c>
      <c r="H516" s="18">
        <v>0</v>
      </c>
      <c r="I516" s="16">
        <v>1000</v>
      </c>
    </row>
    <row r="517" spans="1:9">
      <c r="A517" s="9">
        <v>614</v>
      </c>
      <c r="B517" s="9" t="s">
        <v>1302</v>
      </c>
      <c r="C517" s="9" t="s">
        <v>14</v>
      </c>
      <c r="D517" s="21">
        <v>800</v>
      </c>
      <c r="E517" s="18">
        <v>31200000</v>
      </c>
      <c r="F517" s="18">
        <v>4989600</v>
      </c>
      <c r="G517" s="18">
        <v>5.6845511390965937</v>
      </c>
      <c r="H517" s="18">
        <v>0</v>
      </c>
      <c r="I517" s="16">
        <v>800</v>
      </c>
    </row>
    <row r="518" spans="1:9">
      <c r="A518" s="9">
        <v>615</v>
      </c>
      <c r="B518" s="9" t="s">
        <v>1303</v>
      </c>
      <c r="C518" s="9" t="s">
        <v>14</v>
      </c>
      <c r="D518" s="21">
        <v>800</v>
      </c>
      <c r="E518" s="18">
        <v>34400000</v>
      </c>
      <c r="F518" s="18">
        <v>4989600</v>
      </c>
      <c r="G518" s="18">
        <v>6.2675820251577825</v>
      </c>
      <c r="H518" s="18">
        <v>0</v>
      </c>
      <c r="I518" s="16">
        <v>800</v>
      </c>
    </row>
    <row r="519" spans="1:9">
      <c r="A519" s="9">
        <v>616</v>
      </c>
      <c r="B519" s="9" t="s">
        <v>1304</v>
      </c>
      <c r="C519" s="9" t="s">
        <v>14</v>
      </c>
      <c r="D519" s="21">
        <v>600</v>
      </c>
      <c r="E519" s="18">
        <v>23400000</v>
      </c>
      <c r="F519" s="18">
        <v>3742200</v>
      </c>
      <c r="G519" s="18">
        <v>5.6845511390965928</v>
      </c>
      <c r="H519" s="18">
        <v>0</v>
      </c>
      <c r="I519" s="16">
        <v>600</v>
      </c>
    </row>
    <row r="520" spans="1:9">
      <c r="A520" s="9">
        <v>617</v>
      </c>
      <c r="B520" s="9" t="s">
        <v>1305</v>
      </c>
      <c r="C520" s="9" t="s">
        <v>14</v>
      </c>
      <c r="D520" s="21">
        <v>500</v>
      </c>
      <c r="E520" s="18">
        <v>19500000</v>
      </c>
      <c r="F520" s="18">
        <v>2089395</v>
      </c>
      <c r="G520" s="18">
        <v>8.4844046852187969</v>
      </c>
      <c r="H520" s="18">
        <v>0</v>
      </c>
      <c r="I520" s="16">
        <v>500</v>
      </c>
    </row>
    <row r="521" spans="1:9">
      <c r="A521" s="9">
        <v>618</v>
      </c>
      <c r="B521" s="9" t="s">
        <v>1306</v>
      </c>
      <c r="C521" s="9" t="s">
        <v>14</v>
      </c>
      <c r="D521" s="21">
        <v>500</v>
      </c>
      <c r="E521" s="18">
        <v>19500000</v>
      </c>
      <c r="F521" s="18">
        <v>2089395</v>
      </c>
      <c r="G521" s="18">
        <v>8.4844046852187969</v>
      </c>
      <c r="H521" s="18">
        <v>0</v>
      </c>
      <c r="I521" s="16">
        <v>500</v>
      </c>
    </row>
    <row r="522" spans="1:9">
      <c r="A522" s="9">
        <v>619</v>
      </c>
      <c r="B522" s="9" t="s">
        <v>1307</v>
      </c>
      <c r="C522" s="9" t="s">
        <v>14</v>
      </c>
      <c r="D522" s="21">
        <v>500</v>
      </c>
      <c r="E522" s="18">
        <v>21500000</v>
      </c>
      <c r="F522" s="18">
        <v>2120580</v>
      </c>
      <c r="G522" s="18">
        <v>9.2170323899379163</v>
      </c>
      <c r="H522" s="18">
        <v>0</v>
      </c>
      <c r="I522" s="16">
        <v>500</v>
      </c>
    </row>
    <row r="523" spans="1:9">
      <c r="A523" s="9">
        <v>620</v>
      </c>
      <c r="B523" s="9" t="s">
        <v>1308</v>
      </c>
      <c r="C523" s="9" t="s">
        <v>14</v>
      </c>
      <c r="D523" s="21">
        <v>500</v>
      </c>
      <c r="E523" s="18">
        <v>21500000</v>
      </c>
      <c r="F523" s="18">
        <v>2120580</v>
      </c>
      <c r="G523" s="18">
        <v>9.2170323899379163</v>
      </c>
      <c r="H523" s="18">
        <v>0</v>
      </c>
      <c r="I523" s="16">
        <v>500</v>
      </c>
    </row>
    <row r="524" spans="1:9">
      <c r="A524" s="9">
        <v>621</v>
      </c>
      <c r="B524" s="9" t="s">
        <v>1309</v>
      </c>
      <c r="C524" s="9" t="s">
        <v>14</v>
      </c>
      <c r="D524" s="21">
        <v>500</v>
      </c>
      <c r="E524" s="18">
        <v>22500000</v>
      </c>
      <c r="F524" s="18">
        <v>2744280.0000000005</v>
      </c>
      <c r="G524" s="18">
        <v>7.4535198502140627</v>
      </c>
      <c r="H524" s="18">
        <v>0</v>
      </c>
      <c r="I524" s="16">
        <v>500</v>
      </c>
    </row>
    <row r="525" spans="1:9">
      <c r="A525" s="9">
        <v>622</v>
      </c>
      <c r="B525" s="9" t="s">
        <v>1310</v>
      </c>
      <c r="C525" s="9" t="s">
        <v>14</v>
      </c>
      <c r="D525" s="21">
        <v>700</v>
      </c>
      <c r="E525" s="18">
        <v>27300000</v>
      </c>
      <c r="F525" s="18">
        <v>2794176</v>
      </c>
      <c r="G525" s="18">
        <v>8.8821111548384266</v>
      </c>
      <c r="H525" s="18">
        <v>0</v>
      </c>
      <c r="I525" s="16">
        <v>700</v>
      </c>
    </row>
    <row r="526" spans="1:9">
      <c r="A526" s="9">
        <v>623</v>
      </c>
      <c r="B526" s="9" t="s">
        <v>1311</v>
      </c>
      <c r="C526" s="9" t="s">
        <v>14</v>
      </c>
      <c r="D526" s="21">
        <v>700</v>
      </c>
      <c r="E526" s="18">
        <v>24500000</v>
      </c>
      <c r="F526" s="18">
        <v>2794176</v>
      </c>
      <c r="G526" s="18">
        <v>7.9711253953678192</v>
      </c>
      <c r="H526" s="18">
        <v>0</v>
      </c>
      <c r="I526" s="16">
        <v>700</v>
      </c>
    </row>
    <row r="527" spans="1:9">
      <c r="A527" s="9">
        <v>624</v>
      </c>
      <c r="B527" s="9" t="s">
        <v>1312</v>
      </c>
      <c r="C527" s="9" t="s">
        <v>14</v>
      </c>
      <c r="D527" s="21">
        <v>700</v>
      </c>
      <c r="E527" s="18">
        <v>27300000</v>
      </c>
      <c r="F527" s="18">
        <v>2794176</v>
      </c>
      <c r="G527" s="18">
        <v>8.8821111548384266</v>
      </c>
      <c r="H527" s="18">
        <v>0</v>
      </c>
      <c r="I527" s="16">
        <v>700</v>
      </c>
    </row>
    <row r="528" spans="1:9">
      <c r="A528" s="9">
        <v>625</v>
      </c>
      <c r="B528" s="9" t="s">
        <v>1313</v>
      </c>
      <c r="C528" s="9" t="s">
        <v>14</v>
      </c>
      <c r="D528" s="21">
        <v>700</v>
      </c>
      <c r="E528" s="18">
        <v>24500000</v>
      </c>
      <c r="F528" s="18">
        <v>2794176</v>
      </c>
      <c r="G528" s="18">
        <v>7.9711253953678192</v>
      </c>
      <c r="H528" s="18">
        <v>0</v>
      </c>
      <c r="I528" s="16">
        <v>700</v>
      </c>
    </row>
    <row r="529" spans="1:9">
      <c r="A529" s="9">
        <v>626</v>
      </c>
      <c r="B529" s="9" t="s">
        <v>1314</v>
      </c>
      <c r="C529" s="9" t="s">
        <v>14</v>
      </c>
      <c r="D529" s="21">
        <v>800</v>
      </c>
      <c r="E529" s="18">
        <v>31200000</v>
      </c>
      <c r="F529" s="18">
        <v>4390848.0000000009</v>
      </c>
      <c r="G529" s="18">
        <v>6.4597172035188546</v>
      </c>
      <c r="H529" s="18">
        <v>0</v>
      </c>
      <c r="I529" s="16">
        <v>800</v>
      </c>
    </row>
    <row r="530" spans="1:9">
      <c r="A530" s="9">
        <v>627</v>
      </c>
      <c r="B530" s="9" t="s">
        <v>1315</v>
      </c>
      <c r="C530" s="9" t="s">
        <v>14</v>
      </c>
      <c r="D530" s="21">
        <v>800</v>
      </c>
      <c r="E530" s="18">
        <v>28000000</v>
      </c>
      <c r="F530" s="18">
        <v>4390848.0000000009</v>
      </c>
      <c r="G530" s="18">
        <v>5.7971821057220483</v>
      </c>
      <c r="H530" s="18">
        <v>0</v>
      </c>
      <c r="I530" s="16">
        <v>800</v>
      </c>
    </row>
    <row r="531" spans="1:9">
      <c r="A531" s="9">
        <v>628</v>
      </c>
      <c r="B531" s="9" t="s">
        <v>1316</v>
      </c>
      <c r="C531" s="9" t="s">
        <v>14</v>
      </c>
      <c r="D531" s="21">
        <v>1000</v>
      </c>
      <c r="E531" s="18">
        <v>39000000</v>
      </c>
      <c r="F531" s="18">
        <v>5488560.0000000009</v>
      </c>
      <c r="G531" s="18">
        <v>6.4597172035188546</v>
      </c>
      <c r="H531" s="18">
        <v>0</v>
      </c>
      <c r="I531" s="16">
        <v>1000</v>
      </c>
    </row>
    <row r="532" spans="1:9">
      <c r="A532" s="9">
        <v>629</v>
      </c>
      <c r="B532" s="9" t="s">
        <v>1317</v>
      </c>
      <c r="C532" s="9" t="s">
        <v>14</v>
      </c>
      <c r="D532" s="21">
        <v>1000</v>
      </c>
      <c r="E532" s="18">
        <v>35000000</v>
      </c>
      <c r="F532" s="18">
        <v>5488560.0000000009</v>
      </c>
      <c r="G532" s="18">
        <v>5.7971821057220492</v>
      </c>
      <c r="H532" s="18">
        <v>0</v>
      </c>
      <c r="I532" s="16">
        <v>1000</v>
      </c>
    </row>
    <row r="533" spans="1:9">
      <c r="A533" s="9">
        <v>630</v>
      </c>
      <c r="B533" s="9" t="s">
        <v>1318</v>
      </c>
      <c r="C533" s="9" t="s">
        <v>14</v>
      </c>
      <c r="D533" s="21">
        <v>1000</v>
      </c>
      <c r="E533" s="18">
        <v>39000000</v>
      </c>
      <c r="F533" s="18">
        <v>5488560.0000000009</v>
      </c>
      <c r="G533" s="18">
        <v>6.4597172035188546</v>
      </c>
      <c r="H533" s="18">
        <v>0</v>
      </c>
      <c r="I533" s="16">
        <v>1000</v>
      </c>
    </row>
    <row r="534" spans="1:9">
      <c r="A534" s="9">
        <v>631</v>
      </c>
      <c r="B534" s="9" t="s">
        <v>1319</v>
      </c>
      <c r="C534" s="9" t="s">
        <v>14</v>
      </c>
      <c r="D534" s="21">
        <v>1000</v>
      </c>
      <c r="E534" s="18">
        <v>35000000</v>
      </c>
      <c r="F534" s="18">
        <v>5488560.0000000009</v>
      </c>
      <c r="G534" s="18">
        <v>5.7971821057220492</v>
      </c>
      <c r="H534" s="18">
        <v>0</v>
      </c>
      <c r="I534" s="16">
        <v>1000</v>
      </c>
    </row>
    <row r="535" spans="1:9">
      <c r="A535" s="9">
        <v>632</v>
      </c>
      <c r="B535" s="9" t="s">
        <v>1320</v>
      </c>
      <c r="C535" s="9" t="s">
        <v>14</v>
      </c>
      <c r="D535" s="21">
        <v>1000</v>
      </c>
      <c r="E535" s="18">
        <v>45000000</v>
      </c>
      <c r="F535" s="18">
        <v>5239080.0000000009</v>
      </c>
      <c r="G535" s="18">
        <v>7.8084493668909225</v>
      </c>
      <c r="H535" s="18">
        <v>0</v>
      </c>
      <c r="I535" s="16">
        <v>1000</v>
      </c>
    </row>
    <row r="536" spans="1:9">
      <c r="A536" s="9">
        <v>633</v>
      </c>
      <c r="B536" s="9" t="s">
        <v>1321</v>
      </c>
      <c r="C536" s="9" t="s">
        <v>14</v>
      </c>
      <c r="D536" s="21">
        <v>1000</v>
      </c>
      <c r="E536" s="18">
        <v>45000000</v>
      </c>
      <c r="F536" s="18">
        <v>5239080.0000000009</v>
      </c>
      <c r="G536" s="18">
        <v>7.8084493668909225</v>
      </c>
      <c r="H536" s="18">
        <v>0</v>
      </c>
      <c r="I536" s="16">
        <v>1000</v>
      </c>
    </row>
    <row r="537" spans="1:9">
      <c r="A537" s="9">
        <v>634</v>
      </c>
      <c r="B537" s="9" t="s">
        <v>1322</v>
      </c>
      <c r="C537" s="9" t="s">
        <v>14</v>
      </c>
      <c r="D537" s="21">
        <v>700</v>
      </c>
      <c r="E537" s="18">
        <v>38500000</v>
      </c>
      <c r="F537" s="18">
        <v>5239080.0000000009</v>
      </c>
      <c r="G537" s="18">
        <v>6.6805622361177894</v>
      </c>
      <c r="H537" s="18">
        <v>0</v>
      </c>
      <c r="I537" s="16">
        <v>700</v>
      </c>
    </row>
    <row r="538" spans="1:9">
      <c r="A538" s="9">
        <v>635</v>
      </c>
      <c r="B538" s="9" t="s">
        <v>1323</v>
      </c>
      <c r="C538" s="9" t="s">
        <v>14</v>
      </c>
      <c r="D538" s="21">
        <v>1000</v>
      </c>
      <c r="E538" s="18">
        <v>39000000</v>
      </c>
      <c r="F538" s="18">
        <v>6486480.0000000009</v>
      </c>
      <c r="G538" s="18">
        <v>5.4659145568236465</v>
      </c>
      <c r="H538" s="18">
        <v>0</v>
      </c>
      <c r="I538" s="16">
        <v>1000</v>
      </c>
    </row>
    <row r="539" spans="1:9">
      <c r="A539" s="9">
        <v>636</v>
      </c>
      <c r="B539" s="9" t="s">
        <v>1324</v>
      </c>
      <c r="C539" s="9" t="s">
        <v>14</v>
      </c>
      <c r="D539" s="21">
        <v>1000</v>
      </c>
      <c r="E539" s="18">
        <v>39000000</v>
      </c>
      <c r="F539" s="18">
        <v>6486480.0000000009</v>
      </c>
      <c r="G539" s="18">
        <v>5.4659145568236465</v>
      </c>
      <c r="H539" s="18">
        <v>0</v>
      </c>
      <c r="I539" s="16">
        <v>1000</v>
      </c>
    </row>
    <row r="540" spans="1:9">
      <c r="A540" s="9">
        <v>637</v>
      </c>
      <c r="B540" s="9" t="s">
        <v>1325</v>
      </c>
      <c r="C540" s="9" t="s">
        <v>14</v>
      </c>
      <c r="D540" s="21">
        <v>700</v>
      </c>
      <c r="E540" s="18">
        <v>30100000</v>
      </c>
      <c r="F540" s="18">
        <v>4103946.0000000005</v>
      </c>
      <c r="G540" s="18">
        <v>6.6676404522955126</v>
      </c>
      <c r="H540" s="18">
        <v>0</v>
      </c>
      <c r="I540" s="16">
        <v>700</v>
      </c>
    </row>
    <row r="541" spans="1:9">
      <c r="A541" s="9">
        <v>639</v>
      </c>
      <c r="B541" s="9" t="s">
        <v>1326</v>
      </c>
      <c r="C541" s="9" t="s">
        <v>14</v>
      </c>
      <c r="D541" s="21">
        <v>500</v>
      </c>
      <c r="E541" s="18">
        <v>24500000</v>
      </c>
      <c r="F541" s="18">
        <v>2264915</v>
      </c>
      <c r="G541" s="18">
        <v>9.8338027134472039</v>
      </c>
      <c r="H541" s="18">
        <v>0</v>
      </c>
      <c r="I541" s="16">
        <v>500</v>
      </c>
    </row>
    <row r="542" spans="1:9">
      <c r="A542" s="9">
        <v>640</v>
      </c>
      <c r="B542" s="9" t="s">
        <v>1328</v>
      </c>
      <c r="C542" s="9" t="s">
        <v>14</v>
      </c>
      <c r="D542" s="21">
        <v>500</v>
      </c>
      <c r="E542" s="18">
        <v>24500000</v>
      </c>
      <c r="F542" s="18">
        <v>2190071.0000000005</v>
      </c>
      <c r="G542" s="18">
        <v>10.16986539373713</v>
      </c>
      <c r="H542" s="18">
        <v>0</v>
      </c>
      <c r="I542" s="16">
        <v>500</v>
      </c>
    </row>
    <row r="543" spans="1:9">
      <c r="A543" s="9">
        <v>641</v>
      </c>
      <c r="B543" s="9" t="s">
        <v>1329</v>
      </c>
      <c r="C543" s="9" t="s">
        <v>14</v>
      </c>
      <c r="D543" s="21">
        <v>600</v>
      </c>
      <c r="E543" s="18">
        <v>29400000</v>
      </c>
      <c r="F543" s="18">
        <v>3077149.2</v>
      </c>
      <c r="G543" s="18">
        <v>8.6857253224096915</v>
      </c>
      <c r="H543" s="18">
        <v>0</v>
      </c>
      <c r="I543" s="16">
        <v>600</v>
      </c>
    </row>
    <row r="544" spans="1:9">
      <c r="A544" s="9">
        <v>642</v>
      </c>
      <c r="B544" s="9" t="s">
        <v>1331</v>
      </c>
      <c r="C544" s="9" t="s">
        <v>14</v>
      </c>
      <c r="D544" s="21">
        <v>400</v>
      </c>
      <c r="E544" s="18">
        <v>18000000</v>
      </c>
      <c r="F544" s="18">
        <v>1392431.2000000002</v>
      </c>
      <c r="G544" s="18">
        <v>11.751845522878517</v>
      </c>
      <c r="H544" s="18">
        <v>0</v>
      </c>
      <c r="I544" s="16">
        <v>400</v>
      </c>
    </row>
    <row r="545" spans="1:9">
      <c r="A545" s="9">
        <v>643</v>
      </c>
      <c r="B545" s="9" t="s">
        <v>1332</v>
      </c>
      <c r="C545" s="9" t="s">
        <v>14</v>
      </c>
      <c r="D545" s="21">
        <v>800</v>
      </c>
      <c r="E545" s="18">
        <v>39200000</v>
      </c>
      <c r="F545" s="18">
        <v>3962408</v>
      </c>
      <c r="G545" s="18">
        <v>8.9936128829650119</v>
      </c>
      <c r="H545" s="18">
        <v>0</v>
      </c>
      <c r="I545" s="16">
        <v>800</v>
      </c>
    </row>
    <row r="546" spans="1:9">
      <c r="A546" s="9">
        <v>644</v>
      </c>
      <c r="B546" s="9" t="s">
        <v>1333</v>
      </c>
      <c r="C546" s="9" t="s">
        <v>14</v>
      </c>
      <c r="D546" s="21">
        <v>600</v>
      </c>
      <c r="E546" s="18">
        <v>29400000</v>
      </c>
      <c r="F546" s="18">
        <v>2447898</v>
      </c>
      <c r="G546" s="18">
        <v>10.918458500833255</v>
      </c>
      <c r="H546" s="18">
        <v>0</v>
      </c>
      <c r="I546" s="16">
        <v>600</v>
      </c>
    </row>
    <row r="547" spans="1:9">
      <c r="A547" s="9">
        <v>645</v>
      </c>
      <c r="B547" s="9" t="s">
        <v>1334</v>
      </c>
      <c r="C547" s="9" t="s">
        <v>14</v>
      </c>
      <c r="D547" s="21">
        <v>600</v>
      </c>
      <c r="E547" s="18">
        <v>29400000</v>
      </c>
      <c r="F547" s="18">
        <v>2358085.2000000007</v>
      </c>
      <c r="G547" s="18">
        <v>11.334311723457963</v>
      </c>
      <c r="H547" s="18">
        <v>0</v>
      </c>
      <c r="I547" s="16">
        <v>600</v>
      </c>
    </row>
    <row r="548" spans="1:9">
      <c r="A548" s="9">
        <v>646</v>
      </c>
      <c r="B548" s="9" t="s">
        <v>1336</v>
      </c>
      <c r="C548" s="9" t="s">
        <v>14</v>
      </c>
      <c r="D548" s="21">
        <v>500</v>
      </c>
      <c r="E548" s="18">
        <v>24500000</v>
      </c>
      <c r="F548" s="18">
        <v>1890695.0000000002</v>
      </c>
      <c r="G548" s="18">
        <v>11.780179919409141</v>
      </c>
      <c r="H548" s="18">
        <v>0</v>
      </c>
      <c r="I548" s="16">
        <v>500</v>
      </c>
    </row>
    <row r="549" spans="1:9">
      <c r="A549" s="9">
        <v>647</v>
      </c>
      <c r="B549" s="9" t="s">
        <v>1337</v>
      </c>
      <c r="C549" s="9" t="s">
        <v>14</v>
      </c>
      <c r="D549" s="21">
        <v>400</v>
      </c>
      <c r="E549" s="18">
        <v>18000000</v>
      </c>
      <c r="F549" s="18">
        <v>1691807.2</v>
      </c>
      <c r="G549" s="18">
        <v>9.6722820210461116</v>
      </c>
      <c r="H549" s="18">
        <v>0</v>
      </c>
      <c r="I549" s="16">
        <v>400</v>
      </c>
    </row>
    <row r="550" spans="1:9">
      <c r="A550" s="9">
        <v>648</v>
      </c>
      <c r="B550" s="9" t="s">
        <v>1339</v>
      </c>
      <c r="C550" s="9" t="s">
        <v>14</v>
      </c>
      <c r="D550" s="21">
        <v>600</v>
      </c>
      <c r="E550" s="18">
        <v>29400000</v>
      </c>
      <c r="F550" s="18">
        <v>2447898</v>
      </c>
      <c r="G550" s="18">
        <v>10.918458500833255</v>
      </c>
      <c r="H550" s="18">
        <v>0</v>
      </c>
      <c r="I550" s="16">
        <v>600</v>
      </c>
    </row>
    <row r="551" spans="1:9">
      <c r="A551" s="9">
        <v>650</v>
      </c>
      <c r="B551" s="9" t="s">
        <v>1327</v>
      </c>
      <c r="C551" s="9" t="s">
        <v>14</v>
      </c>
      <c r="D551" s="21">
        <v>500</v>
      </c>
      <c r="E551" s="18">
        <v>24500000</v>
      </c>
      <c r="F551" s="18">
        <v>2546100.0000000005</v>
      </c>
      <c r="G551" s="18">
        <v>8.747781812468979</v>
      </c>
      <c r="H551" s="18">
        <v>0</v>
      </c>
      <c r="I551" s="16">
        <v>500</v>
      </c>
    </row>
    <row r="552" spans="1:9">
      <c r="A552" s="9">
        <v>651</v>
      </c>
      <c r="B552" s="9" t="s">
        <v>1330</v>
      </c>
      <c r="C552" s="9" t="s">
        <v>14</v>
      </c>
      <c r="D552" s="21">
        <v>600</v>
      </c>
      <c r="E552" s="18">
        <v>29400000</v>
      </c>
      <c r="F552" s="18">
        <v>3055320.0000000005</v>
      </c>
      <c r="G552" s="18">
        <v>8.747781812468979</v>
      </c>
      <c r="H552" s="18">
        <v>0</v>
      </c>
      <c r="I552" s="16">
        <v>600</v>
      </c>
    </row>
    <row r="553" spans="1:9">
      <c r="A553" s="9">
        <v>652</v>
      </c>
      <c r="B553" s="9" t="s">
        <v>1335</v>
      </c>
      <c r="C553" s="9" t="s">
        <v>14</v>
      </c>
      <c r="D553" s="21">
        <v>600</v>
      </c>
      <c r="E553" s="18">
        <v>29400000</v>
      </c>
      <c r="F553" s="18">
        <v>2845320.0000000005</v>
      </c>
      <c r="G553" s="18">
        <v>9.3934154075016938</v>
      </c>
      <c r="H553" s="18">
        <v>0</v>
      </c>
      <c r="I553" s="16">
        <v>600</v>
      </c>
    </row>
    <row r="554" spans="1:9">
      <c r="A554" s="9">
        <v>653</v>
      </c>
      <c r="B554" s="9" t="s">
        <v>1338</v>
      </c>
      <c r="C554" s="9" t="s">
        <v>14</v>
      </c>
      <c r="D554" s="21">
        <v>400</v>
      </c>
      <c r="E554" s="18">
        <v>18000000</v>
      </c>
      <c r="F554" s="18">
        <v>1896880.0000000002</v>
      </c>
      <c r="G554" s="18">
        <v>8.6266059864811488</v>
      </c>
      <c r="H554" s="18">
        <v>0</v>
      </c>
      <c r="I554" s="16">
        <v>400</v>
      </c>
    </row>
    <row r="555" spans="1:9">
      <c r="A555" s="9">
        <v>654</v>
      </c>
      <c r="B555" s="9" t="s">
        <v>1340</v>
      </c>
      <c r="C555" s="9" t="s">
        <v>14</v>
      </c>
      <c r="D555" s="21">
        <v>400</v>
      </c>
      <c r="E555" s="18">
        <v>19600000</v>
      </c>
      <c r="F555" s="18">
        <v>1896880.0000000002</v>
      </c>
      <c r="G555" s="18">
        <v>9.3934154075016938</v>
      </c>
      <c r="H555" s="18">
        <v>0</v>
      </c>
      <c r="I555" s="16">
        <v>400</v>
      </c>
    </row>
    <row r="556" spans="1:9">
      <c r="A556" s="9">
        <v>655</v>
      </c>
      <c r="B556" s="9" t="s">
        <v>1341</v>
      </c>
      <c r="C556" s="9" t="s">
        <v>14</v>
      </c>
      <c r="D556" s="21">
        <v>600</v>
      </c>
      <c r="E556" s="18">
        <v>29400000</v>
      </c>
      <c r="F556" s="18">
        <v>2845320.0000000005</v>
      </c>
      <c r="G556" s="18">
        <v>9.3934154075016938</v>
      </c>
      <c r="H556" s="18">
        <v>0</v>
      </c>
      <c r="I556" s="16">
        <v>600</v>
      </c>
    </row>
    <row r="557" spans="1:9">
      <c r="A557" s="9">
        <v>656</v>
      </c>
      <c r="B557" s="9" t="s">
        <v>1342</v>
      </c>
      <c r="C557" s="9" t="s">
        <v>14</v>
      </c>
      <c r="D557" s="21">
        <v>800</v>
      </c>
      <c r="E557" s="18">
        <v>39200000</v>
      </c>
      <c r="F557" s="18">
        <v>4073760.0000000005</v>
      </c>
      <c r="G557" s="18">
        <v>8.747781812468979</v>
      </c>
      <c r="H557" s="18">
        <v>0</v>
      </c>
      <c r="I557" s="16">
        <v>800</v>
      </c>
    </row>
    <row r="558" spans="1:9">
      <c r="A558" s="9">
        <v>657</v>
      </c>
      <c r="B558" s="9" t="s">
        <v>1343</v>
      </c>
      <c r="C558" s="9" t="s">
        <v>14</v>
      </c>
      <c r="D558" s="21">
        <v>600</v>
      </c>
      <c r="E558" s="18">
        <v>29400000</v>
      </c>
      <c r="F558" s="18">
        <v>3055320.0000000005</v>
      </c>
      <c r="G558" s="18">
        <v>8.747781812468979</v>
      </c>
      <c r="H558" s="18">
        <v>0</v>
      </c>
      <c r="I558" s="16">
        <v>600</v>
      </c>
    </row>
    <row r="559" spans="1:9">
      <c r="A559" s="9">
        <v>658</v>
      </c>
      <c r="B559" s="9" t="s">
        <v>1350</v>
      </c>
      <c r="C559" s="9" t="s">
        <v>14</v>
      </c>
      <c r="D559" s="21">
        <v>600</v>
      </c>
      <c r="E559" s="18">
        <v>29400000</v>
      </c>
      <c r="F559" s="18">
        <v>3055320.0000000005</v>
      </c>
      <c r="G559" s="18">
        <v>8.747781812468979</v>
      </c>
      <c r="H559" s="18">
        <v>0</v>
      </c>
      <c r="I559" s="16">
        <v>600</v>
      </c>
    </row>
    <row r="560" spans="1:9">
      <c r="A560" s="9">
        <v>660</v>
      </c>
      <c r="B560" s="9" t="s">
        <v>1344</v>
      </c>
      <c r="C560" s="9" t="s">
        <v>14</v>
      </c>
      <c r="D560" s="21">
        <v>600</v>
      </c>
      <c r="E560" s="18">
        <v>27000000</v>
      </c>
      <c r="F560" s="18">
        <v>5387369.3527500005</v>
      </c>
      <c r="G560" s="18">
        <v>4.5561113297207356</v>
      </c>
      <c r="H560" s="18">
        <v>0</v>
      </c>
      <c r="I560" s="16">
        <v>600</v>
      </c>
    </row>
    <row r="561" spans="1:9">
      <c r="A561" s="9">
        <v>661</v>
      </c>
      <c r="B561" s="9" t="s">
        <v>1345</v>
      </c>
      <c r="C561" s="9" t="s">
        <v>14</v>
      </c>
      <c r="D561" s="21">
        <v>600</v>
      </c>
      <c r="E561" s="18">
        <v>27000000</v>
      </c>
      <c r="F561" s="18">
        <v>5252977.5952500002</v>
      </c>
      <c r="G561" s="18">
        <v>4.6726745165731804</v>
      </c>
      <c r="H561" s="18">
        <v>0</v>
      </c>
      <c r="I561" s="16">
        <v>600</v>
      </c>
    </row>
    <row r="562" spans="1:9">
      <c r="A562" s="9">
        <v>662</v>
      </c>
      <c r="B562" s="9" t="s">
        <v>1346</v>
      </c>
      <c r="C562" s="9" t="s">
        <v>14</v>
      </c>
      <c r="D562" s="21">
        <v>800</v>
      </c>
      <c r="E562" s="18">
        <v>36000000</v>
      </c>
      <c r="F562" s="18">
        <v>6809512.9410000006</v>
      </c>
      <c r="G562" s="18">
        <v>4.8061106588434814</v>
      </c>
      <c r="H562" s="18">
        <v>0</v>
      </c>
      <c r="I562" s="16">
        <v>800</v>
      </c>
    </row>
    <row r="563" spans="1:9">
      <c r="A563" s="9">
        <v>663</v>
      </c>
      <c r="B563" s="9" t="s">
        <v>1347</v>
      </c>
      <c r="C563" s="9" t="s">
        <v>14</v>
      </c>
      <c r="D563" s="21">
        <v>600</v>
      </c>
      <c r="E563" s="18">
        <v>27000000</v>
      </c>
      <c r="F563" s="18">
        <v>5107134.7057500007</v>
      </c>
      <c r="G563" s="18">
        <v>4.8061106588434814</v>
      </c>
      <c r="H563" s="18">
        <v>0</v>
      </c>
      <c r="I563" s="16">
        <v>600</v>
      </c>
    </row>
    <row r="564" spans="1:9">
      <c r="A564" s="9">
        <v>664</v>
      </c>
      <c r="B564" s="9" t="s">
        <v>1348</v>
      </c>
      <c r="C564" s="9" t="s">
        <v>14</v>
      </c>
      <c r="D564" s="21">
        <v>600</v>
      </c>
      <c r="E564" s="18">
        <v>29400000</v>
      </c>
      <c r="F564" s="18">
        <v>5512124.9452499999</v>
      </c>
      <c r="G564" s="18">
        <v>4.8488147479865447</v>
      </c>
      <c r="H564" s="18">
        <v>0</v>
      </c>
      <c r="I564" s="16">
        <v>600</v>
      </c>
    </row>
    <row r="565" spans="1:9">
      <c r="A565" s="9">
        <v>665</v>
      </c>
      <c r="B565" s="9" t="s">
        <v>1349</v>
      </c>
      <c r="C565" s="9" t="s">
        <v>14</v>
      </c>
      <c r="D565" s="21">
        <v>600</v>
      </c>
      <c r="E565" s="18">
        <v>29400000</v>
      </c>
      <c r="F565" s="18">
        <v>5957630.5140000032</v>
      </c>
      <c r="G565" s="18">
        <v>4.4862252978706136</v>
      </c>
      <c r="H565" s="18">
        <v>0</v>
      </c>
      <c r="I565" s="16">
        <v>600</v>
      </c>
    </row>
    <row r="566" spans="1:9">
      <c r="A566" s="9">
        <v>667</v>
      </c>
      <c r="B566" s="9" t="s">
        <v>1364</v>
      </c>
      <c r="C566" s="9" t="s">
        <v>14</v>
      </c>
      <c r="D566" s="21">
        <v>1200</v>
      </c>
      <c r="E566" s="18">
        <v>75600000</v>
      </c>
      <c r="F566" s="18">
        <v>12037033.999999998</v>
      </c>
      <c r="G566" s="18">
        <v>5.709651790239417</v>
      </c>
      <c r="H566" s="18">
        <v>0</v>
      </c>
      <c r="I566" s="16">
        <v>1200</v>
      </c>
    </row>
    <row r="567" spans="1:9">
      <c r="A567" s="9">
        <v>669</v>
      </c>
      <c r="B567" s="9" t="s">
        <v>1012</v>
      </c>
      <c r="C567" s="9" t="s">
        <v>14</v>
      </c>
      <c r="D567" s="21">
        <v>200</v>
      </c>
      <c r="E567" s="18">
        <v>11800000</v>
      </c>
      <c r="F567" s="18">
        <v>1970896.0000000002</v>
      </c>
      <c r="G567" s="18">
        <v>5.4428405797529269</v>
      </c>
      <c r="H567" s="18">
        <v>0</v>
      </c>
      <c r="I567" s="16">
        <v>200</v>
      </c>
    </row>
    <row r="568" spans="1:9">
      <c r="A568" s="9">
        <v>670</v>
      </c>
      <c r="B568" s="9" t="s">
        <v>1013</v>
      </c>
      <c r="C568" s="9" t="s">
        <v>14</v>
      </c>
      <c r="D568" s="21">
        <v>200</v>
      </c>
      <c r="E568" s="18">
        <v>11000000</v>
      </c>
      <c r="F568" s="18">
        <v>1958896.0000000002</v>
      </c>
      <c r="G568" s="18">
        <v>5.1049162385343569</v>
      </c>
      <c r="H568" s="18">
        <v>0</v>
      </c>
      <c r="I568" s="16">
        <v>200</v>
      </c>
    </row>
    <row r="569" spans="1:9">
      <c r="A569" s="9">
        <v>672</v>
      </c>
      <c r="B569" s="9" t="s">
        <v>1046</v>
      </c>
      <c r="C569" s="9" t="s">
        <v>14</v>
      </c>
      <c r="D569" s="21">
        <v>400</v>
      </c>
      <c r="E569" s="18">
        <v>19600000</v>
      </c>
      <c r="F569" s="18">
        <v>3051656</v>
      </c>
      <c r="G569" s="18">
        <v>5.8388566136490541</v>
      </c>
      <c r="H569" s="18">
        <v>0</v>
      </c>
      <c r="I569" s="16">
        <v>400</v>
      </c>
    </row>
    <row r="570" spans="1:9">
      <c r="A570" s="9">
        <v>673</v>
      </c>
      <c r="B570" s="9" t="s">
        <v>1047</v>
      </c>
      <c r="C570" s="9" t="s">
        <v>14</v>
      </c>
      <c r="D570" s="21">
        <v>400</v>
      </c>
      <c r="E570" s="18">
        <v>17200000</v>
      </c>
      <c r="F570" s="18">
        <v>3001760.0000000005</v>
      </c>
      <c r="G570" s="18">
        <v>5.209065227187927</v>
      </c>
      <c r="H570" s="18">
        <v>0</v>
      </c>
      <c r="I570" s="16">
        <v>400</v>
      </c>
    </row>
    <row r="571" spans="1:9">
      <c r="A571" s="9">
        <v>674</v>
      </c>
      <c r="B571" s="9" t="s">
        <v>1048</v>
      </c>
      <c r="C571" s="9" t="s">
        <v>14</v>
      </c>
      <c r="D571" s="21">
        <v>400</v>
      </c>
      <c r="E571" s="18">
        <v>19600000</v>
      </c>
      <c r="F571" s="18">
        <v>3051656</v>
      </c>
      <c r="G571" s="18">
        <v>5.8388566136490541</v>
      </c>
      <c r="H571" s="18">
        <v>0</v>
      </c>
      <c r="I571" s="16">
        <v>400</v>
      </c>
    </row>
    <row r="572" spans="1:9">
      <c r="A572" s="9">
        <v>675</v>
      </c>
      <c r="B572" s="9" t="s">
        <v>1049</v>
      </c>
      <c r="C572" s="9" t="s">
        <v>14</v>
      </c>
      <c r="D572" s="21">
        <v>400</v>
      </c>
      <c r="E572" s="18">
        <v>17200000</v>
      </c>
      <c r="F572" s="18">
        <v>3001760.0000000005</v>
      </c>
      <c r="G572" s="18">
        <v>5.209065227187927</v>
      </c>
      <c r="H572" s="18">
        <v>0</v>
      </c>
      <c r="I572" s="16">
        <v>400</v>
      </c>
    </row>
    <row r="573" spans="1:9">
      <c r="A573" s="9">
        <v>676</v>
      </c>
      <c r="B573" s="9" t="s">
        <v>1050</v>
      </c>
      <c r="C573" s="9" t="s">
        <v>14</v>
      </c>
      <c r="D573" s="21">
        <v>400</v>
      </c>
      <c r="E573" s="18">
        <v>19600000</v>
      </c>
      <c r="F573" s="18">
        <v>3151448.0000000005</v>
      </c>
      <c r="G573" s="18">
        <v>5.653966626827355</v>
      </c>
      <c r="H573" s="18">
        <v>0</v>
      </c>
      <c r="I573" s="16">
        <v>400</v>
      </c>
    </row>
    <row r="574" spans="1:9">
      <c r="A574" s="9">
        <v>677</v>
      </c>
      <c r="B574" s="9" t="s">
        <v>1051</v>
      </c>
      <c r="C574" s="9" t="s">
        <v>14</v>
      </c>
      <c r="D574" s="21">
        <v>400</v>
      </c>
      <c r="E574" s="18">
        <v>17200000</v>
      </c>
      <c r="F574" s="18">
        <v>3101552.0000000005</v>
      </c>
      <c r="G574" s="18">
        <v>5.0414642850945697</v>
      </c>
      <c r="H574" s="18">
        <v>0</v>
      </c>
      <c r="I574" s="16">
        <v>400</v>
      </c>
    </row>
    <row r="575" spans="1:9">
      <c r="A575" s="9">
        <v>678</v>
      </c>
      <c r="B575" s="9" t="s">
        <v>1052</v>
      </c>
      <c r="C575" s="9" t="s">
        <v>14</v>
      </c>
      <c r="D575" s="21">
        <v>200</v>
      </c>
      <c r="E575" s="18">
        <v>9800000</v>
      </c>
      <c r="F575" s="18">
        <v>1900048</v>
      </c>
      <c r="G575" s="18">
        <v>4.6888767594770808</v>
      </c>
      <c r="H575" s="18">
        <v>0</v>
      </c>
      <c r="I575" s="16">
        <v>200</v>
      </c>
    </row>
    <row r="576" spans="1:9">
      <c r="A576" s="9">
        <v>680</v>
      </c>
      <c r="B576" s="9" t="s">
        <v>1083</v>
      </c>
      <c r="C576" s="9" t="s">
        <v>14</v>
      </c>
      <c r="D576" s="21">
        <v>500</v>
      </c>
      <c r="E576" s="18">
        <v>27500000</v>
      </c>
      <c r="F576" s="18">
        <v>4166666.666666666</v>
      </c>
      <c r="G576" s="18">
        <v>6</v>
      </c>
      <c r="H576" s="18">
        <v>0</v>
      </c>
      <c r="I576" s="16">
        <v>500</v>
      </c>
    </row>
    <row r="577" spans="1:9">
      <c r="A577" s="9">
        <v>681</v>
      </c>
      <c r="B577" s="9" t="s">
        <v>1084</v>
      </c>
      <c r="C577" s="9" t="s">
        <v>14</v>
      </c>
      <c r="D577" s="21">
        <v>300</v>
      </c>
      <c r="E577" s="18">
        <v>15900000</v>
      </c>
      <c r="F577" s="18">
        <v>2409090.9090909087</v>
      </c>
      <c r="G577" s="18">
        <v>6</v>
      </c>
      <c r="H577" s="18">
        <v>0</v>
      </c>
      <c r="I577" s="16">
        <v>300</v>
      </c>
    </row>
    <row r="578" spans="1:9">
      <c r="A578" s="9">
        <v>682</v>
      </c>
      <c r="B578" s="9" t="s">
        <v>1092</v>
      </c>
      <c r="C578" s="9" t="s">
        <v>14</v>
      </c>
      <c r="D578" s="21">
        <v>300</v>
      </c>
      <c r="E578" s="18">
        <v>19500000</v>
      </c>
      <c r="F578" s="18">
        <v>2954545.4545454546</v>
      </c>
      <c r="G578" s="18">
        <v>5.9999999999999991</v>
      </c>
      <c r="H578" s="18">
        <v>0</v>
      </c>
      <c r="I578" s="16">
        <v>300</v>
      </c>
    </row>
    <row r="579" spans="1:9">
      <c r="A579" s="9">
        <v>684</v>
      </c>
      <c r="B579" s="9" t="s">
        <v>1381</v>
      </c>
      <c r="C579" s="9" t="s">
        <v>14</v>
      </c>
      <c r="D579" s="21">
        <v>300</v>
      </c>
      <c r="E579" s="18">
        <v>17700000</v>
      </c>
      <c r="F579" s="18">
        <v>4022727.2727272725</v>
      </c>
      <c r="G579" s="18">
        <v>4</v>
      </c>
      <c r="H579" s="18">
        <v>0</v>
      </c>
      <c r="I579" s="16">
        <v>300</v>
      </c>
    </row>
    <row r="580" spans="1:9">
      <c r="A580" s="9">
        <v>685</v>
      </c>
      <c r="B580" s="9" t="s">
        <v>1382</v>
      </c>
      <c r="C580" s="9" t="s">
        <v>14</v>
      </c>
      <c r="D580" s="21">
        <v>200</v>
      </c>
      <c r="E580" s="18">
        <v>11000000</v>
      </c>
      <c r="F580" s="18">
        <v>2499999.9999999995</v>
      </c>
      <c r="G580" s="18">
        <v>4.0000000000000009</v>
      </c>
      <c r="H580" s="18">
        <v>0</v>
      </c>
      <c r="I580" s="16">
        <v>200</v>
      </c>
    </row>
    <row r="581" spans="1:9">
      <c r="A581" s="9">
        <v>687</v>
      </c>
      <c r="B581" s="9" t="s">
        <v>827</v>
      </c>
      <c r="C581" s="9" t="s">
        <v>14</v>
      </c>
      <c r="D581" s="21">
        <v>500</v>
      </c>
      <c r="E581" s="18">
        <v>21500000</v>
      </c>
      <c r="F581" s="18">
        <v>3399165.0000000005</v>
      </c>
      <c r="G581" s="18">
        <v>5.7500752524383314</v>
      </c>
      <c r="H581" s="18">
        <v>0</v>
      </c>
      <c r="I581" s="16">
        <v>500</v>
      </c>
    </row>
    <row r="582" spans="1:9">
      <c r="A582" s="9">
        <v>688</v>
      </c>
      <c r="B582" s="9" t="s">
        <v>828</v>
      </c>
      <c r="C582" s="9" t="s">
        <v>14</v>
      </c>
      <c r="D582" s="21">
        <v>500</v>
      </c>
      <c r="E582" s="18">
        <v>21500000</v>
      </c>
      <c r="F582" s="18">
        <v>3399165.0000000005</v>
      </c>
      <c r="G582" s="18">
        <v>5.7500752524383314</v>
      </c>
      <c r="H582" s="18">
        <v>0</v>
      </c>
      <c r="I582" s="16">
        <v>500</v>
      </c>
    </row>
    <row r="583" spans="1:9">
      <c r="A583" s="9">
        <v>690</v>
      </c>
      <c r="B583" s="9" t="s">
        <v>1365</v>
      </c>
      <c r="C583" s="9" t="s">
        <v>14</v>
      </c>
      <c r="D583" s="21">
        <v>700</v>
      </c>
      <c r="E583" s="18">
        <v>30100000</v>
      </c>
      <c r="F583" s="18">
        <v>4307799.0000000009</v>
      </c>
      <c r="G583" s="18">
        <v>6.3521153989859682</v>
      </c>
      <c r="H583" s="18">
        <v>0</v>
      </c>
      <c r="I583" s="16">
        <v>700</v>
      </c>
    </row>
    <row r="584" spans="1:9">
      <c r="A584" s="9">
        <v>691</v>
      </c>
      <c r="B584" s="9" t="s">
        <v>1366</v>
      </c>
      <c r="C584" s="9" t="s">
        <v>14</v>
      </c>
      <c r="D584" s="21">
        <v>700</v>
      </c>
      <c r="E584" s="18">
        <v>30100000</v>
      </c>
      <c r="F584" s="18">
        <v>3723799.0000000005</v>
      </c>
      <c r="G584" s="18">
        <v>7.3483118620624683</v>
      </c>
      <c r="H584" s="18">
        <v>0</v>
      </c>
      <c r="I584" s="16">
        <v>700</v>
      </c>
    </row>
    <row r="585" spans="1:9">
      <c r="A585" s="9">
        <v>692</v>
      </c>
      <c r="B585" s="9" t="s">
        <v>1367</v>
      </c>
      <c r="C585" s="9" t="s">
        <v>14</v>
      </c>
      <c r="D585" s="21">
        <v>500</v>
      </c>
      <c r="E585" s="18">
        <v>22500000</v>
      </c>
      <c r="F585" s="18">
        <v>3234915</v>
      </c>
      <c r="G585" s="18">
        <v>6.3230549966677492</v>
      </c>
      <c r="H585" s="18">
        <v>0</v>
      </c>
      <c r="I585" s="16">
        <v>500</v>
      </c>
    </row>
    <row r="586" spans="1:9">
      <c r="A586" s="9">
        <v>694</v>
      </c>
      <c r="B586" s="9" t="s">
        <v>1368</v>
      </c>
      <c r="C586" s="9" t="s">
        <v>14</v>
      </c>
      <c r="D586" s="21">
        <v>800</v>
      </c>
      <c r="E586" s="18">
        <v>39200000</v>
      </c>
      <c r="F586" s="18">
        <v>6381588.0000000009</v>
      </c>
      <c r="G586" s="18">
        <v>5.5842469987663925</v>
      </c>
      <c r="H586" s="18">
        <v>0</v>
      </c>
      <c r="I586" s="16">
        <v>800</v>
      </c>
    </row>
    <row r="587" spans="1:9">
      <c r="A587" s="9">
        <v>695</v>
      </c>
      <c r="B587" s="9" t="s">
        <v>1369</v>
      </c>
      <c r="C587" s="9" t="s">
        <v>14</v>
      </c>
      <c r="D587" s="21">
        <v>800</v>
      </c>
      <c r="E587" s="18">
        <v>39200000</v>
      </c>
      <c r="F587" s="18">
        <v>6380188.0000000009</v>
      </c>
      <c r="G587" s="18">
        <v>5.585472346012943</v>
      </c>
      <c r="H587" s="18">
        <v>0</v>
      </c>
      <c r="I587" s="16">
        <v>800</v>
      </c>
    </row>
    <row r="588" spans="1:9">
      <c r="A588" s="9">
        <v>697</v>
      </c>
      <c r="B588" s="9" t="s">
        <v>1370</v>
      </c>
      <c r="C588" s="9" t="s">
        <v>14</v>
      </c>
      <c r="D588" s="21">
        <v>1000</v>
      </c>
      <c r="E588" s="18">
        <v>69000000</v>
      </c>
      <c r="F588" s="18">
        <v>11598260</v>
      </c>
      <c r="G588" s="18">
        <v>5.408334761185964</v>
      </c>
      <c r="H588" s="18">
        <v>0</v>
      </c>
      <c r="I588" s="16">
        <v>1000</v>
      </c>
    </row>
    <row r="589" spans="1:9">
      <c r="A589" s="9">
        <v>698</v>
      </c>
      <c r="B589" s="9" t="s">
        <v>1371</v>
      </c>
      <c r="C589" s="9" t="s">
        <v>14</v>
      </c>
      <c r="D589" s="21">
        <v>1000</v>
      </c>
      <c r="E589" s="18">
        <v>65000000</v>
      </c>
      <c r="F589" s="18">
        <v>11182780</v>
      </c>
      <c r="G589" s="18">
        <v>5.2840983271520212</v>
      </c>
      <c r="H589" s="18">
        <v>0</v>
      </c>
      <c r="I589" s="16">
        <v>1000</v>
      </c>
    </row>
    <row r="590" spans="1:9">
      <c r="A590" s="9">
        <v>699</v>
      </c>
      <c r="B590" s="9" t="s">
        <v>1372</v>
      </c>
      <c r="C590" s="9" t="s">
        <v>14</v>
      </c>
      <c r="D590" s="21">
        <v>1500</v>
      </c>
      <c r="E590" s="18">
        <v>88500000</v>
      </c>
      <c r="F590" s="18">
        <v>16401170.000000002</v>
      </c>
      <c r="G590" s="18">
        <v>4.9054150072553018</v>
      </c>
      <c r="H590" s="18">
        <v>0</v>
      </c>
      <c r="I590" s="16">
        <v>1500</v>
      </c>
    </row>
    <row r="591" spans="1:9">
      <c r="A591" s="9">
        <v>700</v>
      </c>
      <c r="B591" s="9" t="s">
        <v>1373</v>
      </c>
      <c r="C591" s="9" t="s">
        <v>14</v>
      </c>
      <c r="D591" s="21">
        <v>1500</v>
      </c>
      <c r="E591" s="18">
        <v>82500000</v>
      </c>
      <c r="F591" s="18">
        <v>15473140.000000002</v>
      </c>
      <c r="G591" s="18">
        <v>4.847109248672214</v>
      </c>
      <c r="H591" s="18">
        <v>0</v>
      </c>
      <c r="I591" s="16">
        <v>1500</v>
      </c>
    </row>
    <row r="592" spans="1:9">
      <c r="A592" s="9">
        <v>701</v>
      </c>
      <c r="B592" s="9" t="s">
        <v>1374</v>
      </c>
      <c r="C592" s="9" t="s">
        <v>14</v>
      </c>
      <c r="D592" s="21">
        <v>800</v>
      </c>
      <c r="E592" s="18">
        <v>47200000</v>
      </c>
      <c r="F592" s="18">
        <v>8870646</v>
      </c>
      <c r="G592" s="18">
        <v>4.8372002342434701</v>
      </c>
      <c r="H592" s="18">
        <v>0</v>
      </c>
      <c r="I592" s="16">
        <v>800</v>
      </c>
    </row>
    <row r="593" spans="1:9">
      <c r="A593" s="9">
        <v>702</v>
      </c>
      <c r="B593" s="9" t="s">
        <v>1375</v>
      </c>
      <c r="C593" s="9" t="s">
        <v>14</v>
      </c>
      <c r="D593" s="21">
        <v>800</v>
      </c>
      <c r="E593" s="18">
        <v>44000000</v>
      </c>
      <c r="F593" s="18">
        <v>8440758</v>
      </c>
      <c r="G593" s="18">
        <v>4.7389108892826917</v>
      </c>
      <c r="H593" s="18">
        <v>0</v>
      </c>
      <c r="I593" s="16">
        <v>800</v>
      </c>
    </row>
    <row r="594" spans="1:9">
      <c r="A594" s="9">
        <v>704</v>
      </c>
      <c r="B594" s="9" t="s">
        <v>1376</v>
      </c>
      <c r="C594" s="9" t="s">
        <v>14</v>
      </c>
      <c r="D594" s="21">
        <v>1000</v>
      </c>
      <c r="E594" s="18">
        <v>49000000</v>
      </c>
      <c r="F594" s="18">
        <v>9001280</v>
      </c>
      <c r="G594" s="18">
        <v>4.948791121424347</v>
      </c>
      <c r="H594" s="18">
        <v>0</v>
      </c>
      <c r="I594" s="16">
        <v>1000</v>
      </c>
    </row>
    <row r="595" spans="1:9">
      <c r="A595" s="9">
        <v>705</v>
      </c>
      <c r="B595" s="9" t="s">
        <v>1377</v>
      </c>
      <c r="C595" s="9" t="s">
        <v>14</v>
      </c>
      <c r="D595" s="21">
        <v>1000</v>
      </c>
      <c r="E595" s="18">
        <v>43000000</v>
      </c>
      <c r="F595" s="18">
        <v>9001280</v>
      </c>
      <c r="G595" s="18">
        <v>4.3428166983927943</v>
      </c>
      <c r="H595" s="18">
        <v>0</v>
      </c>
      <c r="I595" s="16">
        <v>1000</v>
      </c>
    </row>
    <row r="596" spans="1:9">
      <c r="A596" s="9">
        <v>707</v>
      </c>
      <c r="B596" s="9" t="s">
        <v>974</v>
      </c>
      <c r="C596" s="9" t="s">
        <v>14</v>
      </c>
      <c r="D596" s="21">
        <v>2000</v>
      </c>
      <c r="E596" s="18">
        <v>98000000</v>
      </c>
      <c r="F596" s="18">
        <v>12518380.000000002</v>
      </c>
      <c r="G596" s="18">
        <v>7.116808172535829</v>
      </c>
      <c r="H596" s="18">
        <v>0</v>
      </c>
      <c r="I596" s="16">
        <v>2000</v>
      </c>
    </row>
    <row r="597" spans="1:9">
      <c r="A597" s="9">
        <v>708</v>
      </c>
      <c r="B597" s="9" t="s">
        <v>1378</v>
      </c>
      <c r="C597" s="9" t="s">
        <v>14</v>
      </c>
      <c r="D597" s="21">
        <v>2000</v>
      </c>
      <c r="E597" s="18">
        <v>86000000</v>
      </c>
      <c r="F597" s="18">
        <v>12144160.000000002</v>
      </c>
      <c r="G597" s="18">
        <v>6.4378119344457057</v>
      </c>
      <c r="H597" s="18">
        <v>0</v>
      </c>
      <c r="I597" s="16">
        <v>2000</v>
      </c>
    </row>
    <row r="598" spans="1:9">
      <c r="A598" s="9">
        <v>710</v>
      </c>
      <c r="B598" s="9" t="s">
        <v>1379</v>
      </c>
      <c r="C598" s="9" t="s">
        <v>14</v>
      </c>
      <c r="D598" s="21">
        <v>1000</v>
      </c>
      <c r="E598" s="18">
        <v>45000000</v>
      </c>
      <c r="F598" s="18">
        <v>6673590</v>
      </c>
      <c r="G598" s="18">
        <v>6.1299976338209126</v>
      </c>
      <c r="H598" s="18">
        <v>0</v>
      </c>
      <c r="I598" s="16">
        <v>1000</v>
      </c>
    </row>
    <row r="599" spans="1:9">
      <c r="A599" s="9">
        <v>712</v>
      </c>
      <c r="B599" s="9" t="s">
        <v>1380</v>
      </c>
      <c r="C599" s="9" t="s">
        <v>14</v>
      </c>
      <c r="D599" s="21">
        <v>700</v>
      </c>
      <c r="E599" s="18">
        <v>34300000</v>
      </c>
      <c r="F599" s="18">
        <v>7795454.5454545449</v>
      </c>
      <c r="G599" s="18">
        <v>4</v>
      </c>
      <c r="H599" s="18">
        <v>0</v>
      </c>
      <c r="I599" s="16">
        <v>700</v>
      </c>
    </row>
    <row r="600" spans="1:9">
      <c r="A600" s="9">
        <v>714</v>
      </c>
      <c r="B600" s="9" t="s">
        <v>1480</v>
      </c>
      <c r="C600" s="9" t="s">
        <v>14</v>
      </c>
      <c r="D600" s="21">
        <v>800</v>
      </c>
      <c r="E600" s="18">
        <v>127200000</v>
      </c>
      <c r="F600" s="18">
        <v>27251800</v>
      </c>
      <c r="G600" s="18">
        <v>4.2432559917643466</v>
      </c>
      <c r="H600" s="18">
        <v>0</v>
      </c>
      <c r="I600" s="16">
        <v>800</v>
      </c>
    </row>
    <row r="601" spans="1:9">
      <c r="A601" s="9">
        <v>715</v>
      </c>
      <c r="B601" s="9" t="s">
        <v>1385</v>
      </c>
      <c r="C601" s="9" t="s">
        <v>14</v>
      </c>
      <c r="D601" s="21">
        <v>800</v>
      </c>
      <c r="E601" s="18">
        <v>111200000</v>
      </c>
      <c r="F601" s="18">
        <v>21754000</v>
      </c>
      <c r="G601" s="18">
        <v>4.6470032679465421</v>
      </c>
      <c r="H601" s="18">
        <v>0</v>
      </c>
      <c r="I601" s="16">
        <v>800</v>
      </c>
    </row>
    <row r="602" spans="1:9">
      <c r="A602" s="9">
        <v>717</v>
      </c>
      <c r="B602" s="9" t="s">
        <v>1386</v>
      </c>
      <c r="C602" s="9" t="s">
        <v>14</v>
      </c>
      <c r="D602" s="21">
        <v>1000</v>
      </c>
      <c r="E602" s="18">
        <v>89000000</v>
      </c>
      <c r="F602" s="18">
        <v>22020000</v>
      </c>
      <c r="G602" s="18">
        <v>3.6743456361984967</v>
      </c>
      <c r="H602" s="18">
        <v>0</v>
      </c>
      <c r="I602" s="16">
        <v>1000</v>
      </c>
    </row>
    <row r="603" spans="1:9">
      <c r="A603" s="9">
        <v>718</v>
      </c>
      <c r="B603" s="9" t="s">
        <v>1387</v>
      </c>
      <c r="C603" s="9" t="s">
        <v>14</v>
      </c>
      <c r="D603" s="21">
        <v>1000</v>
      </c>
      <c r="E603" s="18">
        <v>79000000</v>
      </c>
      <c r="F603" s="18">
        <v>19120000</v>
      </c>
      <c r="G603" s="18">
        <v>3.7561810574362875</v>
      </c>
      <c r="H603" s="18">
        <v>0</v>
      </c>
      <c r="I603" s="16">
        <v>1000</v>
      </c>
    </row>
    <row r="604" spans="1:9">
      <c r="A604" s="9">
        <v>719</v>
      </c>
      <c r="B604" s="9" t="s">
        <v>1388</v>
      </c>
      <c r="C604" s="9" t="s">
        <v>14</v>
      </c>
      <c r="D604" s="21">
        <v>1000</v>
      </c>
      <c r="E604" s="18">
        <v>89000000</v>
      </c>
      <c r="F604" s="18">
        <v>23020000</v>
      </c>
      <c r="G604" s="18">
        <v>3.514730274069978</v>
      </c>
      <c r="H604" s="18">
        <v>0</v>
      </c>
      <c r="I604" s="16">
        <v>1000</v>
      </c>
    </row>
    <row r="605" spans="1:9">
      <c r="A605" s="9">
        <v>720</v>
      </c>
      <c r="B605" s="9" t="s">
        <v>1389</v>
      </c>
      <c r="C605" s="9" t="s">
        <v>14</v>
      </c>
      <c r="D605" s="21">
        <v>1000</v>
      </c>
      <c r="E605" s="18">
        <v>79000000</v>
      </c>
      <c r="F605" s="18">
        <v>20020000</v>
      </c>
      <c r="G605" s="18">
        <v>3.587321769139951</v>
      </c>
      <c r="H605" s="18">
        <v>0</v>
      </c>
      <c r="I605" s="16">
        <v>1000</v>
      </c>
    </row>
    <row r="606" spans="1:9">
      <c r="A606" s="9">
        <v>722</v>
      </c>
      <c r="B606" s="9" t="s">
        <v>1390</v>
      </c>
      <c r="C606" s="9" t="s">
        <v>14</v>
      </c>
      <c r="D606" s="21">
        <v>1000</v>
      </c>
      <c r="E606" s="18">
        <v>59000000</v>
      </c>
      <c r="F606" s="18">
        <v>13409090.909090908</v>
      </c>
      <c r="G606" s="18">
        <v>4</v>
      </c>
      <c r="H606" s="18">
        <v>0</v>
      </c>
      <c r="I606" s="16">
        <v>1000</v>
      </c>
    </row>
    <row r="607" spans="1:9">
      <c r="A607" s="9">
        <v>724</v>
      </c>
      <c r="B607" s="9" t="s">
        <v>1391</v>
      </c>
      <c r="C607" s="9" t="s">
        <v>14</v>
      </c>
      <c r="D607" s="21">
        <v>3000</v>
      </c>
      <c r="E607" s="18">
        <v>147000000</v>
      </c>
      <c r="F607" s="18">
        <v>12215040</v>
      </c>
      <c r="G607" s="18">
        <v>10.940313223400301</v>
      </c>
      <c r="H607" s="18">
        <v>0</v>
      </c>
      <c r="I607" s="16">
        <v>3000</v>
      </c>
    </row>
    <row r="608" spans="1:9">
      <c r="A608" s="9">
        <v>725</v>
      </c>
      <c r="B608" s="9" t="s">
        <v>1392</v>
      </c>
      <c r="C608" s="9" t="s">
        <v>14</v>
      </c>
      <c r="D608" s="21">
        <v>3500</v>
      </c>
      <c r="E608" s="18">
        <v>171500000</v>
      </c>
      <c r="F608" s="18">
        <v>13237700.000000002</v>
      </c>
      <c r="G608" s="18">
        <v>11.777657063469551</v>
      </c>
      <c r="H608" s="18">
        <v>0</v>
      </c>
      <c r="I608" s="16">
        <v>3500</v>
      </c>
    </row>
    <row r="609" spans="1:9">
      <c r="A609" s="9">
        <v>727</v>
      </c>
      <c r="B609" s="9" t="s">
        <v>1393</v>
      </c>
      <c r="C609" s="9" t="s">
        <v>14</v>
      </c>
      <c r="D609" s="21">
        <v>1500</v>
      </c>
      <c r="E609" s="18">
        <v>73500000</v>
      </c>
      <c r="F609" s="18">
        <v>5673300.0000000009</v>
      </c>
      <c r="G609" s="18">
        <v>11.777657063469549</v>
      </c>
      <c r="H609" s="18">
        <v>0</v>
      </c>
      <c r="I609" s="16">
        <v>1500</v>
      </c>
    </row>
    <row r="610" spans="1:9">
      <c r="A610" s="9">
        <v>728</v>
      </c>
      <c r="B610" s="9" t="s">
        <v>1394</v>
      </c>
      <c r="C610" s="9" t="s">
        <v>14</v>
      </c>
      <c r="D610" s="21">
        <v>1800</v>
      </c>
      <c r="E610" s="18">
        <v>88200000</v>
      </c>
      <c r="F610" s="18">
        <v>6807960.0000000019</v>
      </c>
      <c r="G610" s="18">
        <v>11.777657063469549</v>
      </c>
      <c r="H610" s="18">
        <v>0</v>
      </c>
      <c r="I610" s="16">
        <v>1800</v>
      </c>
    </row>
    <row r="611" spans="1:9">
      <c r="A611" s="9">
        <v>729</v>
      </c>
      <c r="B611" s="9" t="s">
        <v>1395</v>
      </c>
      <c r="C611" s="9" t="s">
        <v>14</v>
      </c>
      <c r="D611" s="21">
        <v>1500</v>
      </c>
      <c r="E611" s="18">
        <v>73500000</v>
      </c>
      <c r="F611" s="18">
        <v>4984860.0000000009</v>
      </c>
      <c r="G611" s="18">
        <v>13.404224354983249</v>
      </c>
      <c r="H611" s="18">
        <v>0</v>
      </c>
      <c r="I611" s="16">
        <v>1500</v>
      </c>
    </row>
    <row r="612" spans="1:9">
      <c r="A612" s="9">
        <v>731</v>
      </c>
      <c r="B612" s="9" t="s">
        <v>1396</v>
      </c>
      <c r="C612" s="9" t="s">
        <v>14</v>
      </c>
      <c r="D612" s="21">
        <v>3000</v>
      </c>
      <c r="E612" s="18">
        <v>147000000</v>
      </c>
      <c r="F612" s="18">
        <v>18944250</v>
      </c>
      <c r="G612" s="18">
        <v>7.0541913053493088</v>
      </c>
      <c r="H612" s="18">
        <v>0</v>
      </c>
      <c r="I612" s="16">
        <v>3000</v>
      </c>
    </row>
    <row r="613" spans="1:9">
      <c r="A613" s="9">
        <v>732</v>
      </c>
      <c r="B613" s="9" t="s">
        <v>1397</v>
      </c>
      <c r="C613" s="9" t="s">
        <v>14</v>
      </c>
      <c r="D613" s="21">
        <v>3000</v>
      </c>
      <c r="E613" s="18">
        <v>129000000</v>
      </c>
      <c r="F613" s="18">
        <v>18597750</v>
      </c>
      <c r="G613" s="18">
        <v>6.3057481293558242</v>
      </c>
      <c r="H613" s="18">
        <v>0</v>
      </c>
      <c r="I613" s="16">
        <v>3000</v>
      </c>
    </row>
    <row r="614" spans="1:9">
      <c r="A614" s="9">
        <v>733</v>
      </c>
      <c r="B614" s="9" t="s">
        <v>1398</v>
      </c>
      <c r="C614" s="9" t="s">
        <v>14</v>
      </c>
      <c r="D614" s="21">
        <v>3000</v>
      </c>
      <c r="E614" s="18">
        <v>129000000</v>
      </c>
      <c r="F614" s="18">
        <v>16518750</v>
      </c>
      <c r="G614" s="18">
        <v>7.0993705499948403</v>
      </c>
      <c r="H614" s="18">
        <v>0</v>
      </c>
      <c r="I614" s="16">
        <v>3000</v>
      </c>
    </row>
    <row r="615" spans="1:9">
      <c r="A615" s="9">
        <v>735</v>
      </c>
      <c r="B615" s="9" t="s">
        <v>1035</v>
      </c>
      <c r="C615" s="9" t="s">
        <v>14</v>
      </c>
      <c r="D615" s="21">
        <v>1200</v>
      </c>
      <c r="E615" s="18">
        <v>66000000</v>
      </c>
      <c r="F615" s="18">
        <v>7854900.0000000009</v>
      </c>
      <c r="G615" s="18">
        <v>7.6385440934957778</v>
      </c>
      <c r="H615" s="18">
        <v>0</v>
      </c>
      <c r="I615" s="16">
        <v>1200</v>
      </c>
    </row>
    <row r="616" spans="1:9">
      <c r="A616" s="9">
        <v>737</v>
      </c>
      <c r="B616" s="9" t="s">
        <v>1399</v>
      </c>
      <c r="C616" s="9" t="s">
        <v>14</v>
      </c>
      <c r="D616" s="21">
        <v>1600</v>
      </c>
      <c r="E616" s="18">
        <v>94400000</v>
      </c>
      <c r="F616" s="18">
        <v>20800000</v>
      </c>
      <c r="G616" s="18">
        <v>4.1258741258741258</v>
      </c>
      <c r="H616" s="18">
        <v>0</v>
      </c>
      <c r="I616" s="16">
        <v>1600</v>
      </c>
    </row>
    <row r="617" spans="1:9">
      <c r="A617" s="9">
        <v>738</v>
      </c>
      <c r="B617" s="9" t="s">
        <v>1400</v>
      </c>
      <c r="C617" s="9" t="s">
        <v>14</v>
      </c>
      <c r="D617" s="21">
        <v>1000</v>
      </c>
      <c r="E617" s="18">
        <v>55000000</v>
      </c>
      <c r="F617" s="18">
        <v>12500000</v>
      </c>
      <c r="G617" s="18">
        <v>3.9999999999999996</v>
      </c>
      <c r="H617" s="18">
        <v>0</v>
      </c>
      <c r="I617" s="16">
        <v>1000</v>
      </c>
    </row>
    <row r="618" spans="1:9">
      <c r="A618" s="9">
        <v>739</v>
      </c>
      <c r="B618" s="9" t="s">
        <v>1401</v>
      </c>
      <c r="C618" s="9" t="s">
        <v>14</v>
      </c>
      <c r="D618" s="21">
        <v>1000</v>
      </c>
      <c r="E618" s="18">
        <v>55000000</v>
      </c>
      <c r="F618" s="18">
        <v>12500000</v>
      </c>
      <c r="G618" s="18">
        <v>3.9999999999999996</v>
      </c>
      <c r="H618" s="18">
        <v>0</v>
      </c>
      <c r="I618" s="16">
        <v>1000</v>
      </c>
    </row>
    <row r="619" spans="1:9">
      <c r="A619" s="9">
        <v>741</v>
      </c>
      <c r="B619" s="9" t="s">
        <v>1402</v>
      </c>
      <c r="C619" s="9" t="s">
        <v>14</v>
      </c>
      <c r="D619" s="21">
        <v>1000</v>
      </c>
      <c r="E619" s="18">
        <v>59000000</v>
      </c>
      <c r="F619" s="18">
        <v>12500000</v>
      </c>
      <c r="G619" s="18">
        <v>4.2909090909090901</v>
      </c>
      <c r="H619" s="18">
        <v>0</v>
      </c>
      <c r="I619" s="16">
        <v>1000</v>
      </c>
    </row>
    <row r="620" spans="1:9">
      <c r="A620" s="9">
        <v>742</v>
      </c>
      <c r="B620" s="9" t="s">
        <v>1403</v>
      </c>
      <c r="C620" s="9" t="s">
        <v>14</v>
      </c>
      <c r="D620" s="21">
        <v>1000</v>
      </c>
      <c r="E620" s="18">
        <v>55000000</v>
      </c>
      <c r="F620" s="18">
        <v>13000000</v>
      </c>
      <c r="G620" s="18">
        <v>3.8461538461538458</v>
      </c>
      <c r="H620" s="18">
        <v>0</v>
      </c>
      <c r="I620" s="16">
        <v>1000</v>
      </c>
    </row>
    <row r="621" spans="1:9">
      <c r="A621" s="9">
        <v>744</v>
      </c>
      <c r="B621" s="9" t="s">
        <v>1404</v>
      </c>
      <c r="C621" s="9" t="s">
        <v>14</v>
      </c>
      <c r="D621" s="21">
        <v>1000</v>
      </c>
      <c r="E621" s="18">
        <v>45000000</v>
      </c>
      <c r="F621" s="18">
        <v>6314750</v>
      </c>
      <c r="G621" s="18">
        <v>6.4783389538922211</v>
      </c>
      <c r="H621" s="18">
        <v>0</v>
      </c>
      <c r="I621" s="16">
        <v>1000</v>
      </c>
    </row>
    <row r="622" spans="1:9">
      <c r="A622" s="9">
        <v>745</v>
      </c>
      <c r="B622" s="9" t="s">
        <v>1405</v>
      </c>
      <c r="C622" s="9" t="s">
        <v>14</v>
      </c>
      <c r="D622" s="21">
        <v>700</v>
      </c>
      <c r="E622" s="18">
        <v>34300000</v>
      </c>
      <c r="F622" s="18">
        <v>4904199.9999999991</v>
      </c>
      <c r="G622" s="18">
        <v>6.3581864895025051</v>
      </c>
      <c r="H622" s="18">
        <v>0</v>
      </c>
      <c r="I622" s="16">
        <v>700</v>
      </c>
    </row>
    <row r="623" spans="1:9">
      <c r="A623" s="9">
        <v>746</v>
      </c>
      <c r="B623" s="9" t="s">
        <v>1406</v>
      </c>
      <c r="C623" s="9" t="s">
        <v>14</v>
      </c>
      <c r="D623" s="21">
        <v>500</v>
      </c>
      <c r="E623" s="18">
        <v>24500000</v>
      </c>
      <c r="F623" s="18">
        <v>3300875</v>
      </c>
      <c r="G623" s="18">
        <v>6.7475221790365492</v>
      </c>
      <c r="H623" s="18">
        <v>0</v>
      </c>
      <c r="I623" s="16">
        <v>500</v>
      </c>
    </row>
    <row r="624" spans="1:9">
      <c r="A624" s="9">
        <v>747</v>
      </c>
      <c r="B624" s="9" t="s">
        <v>1407</v>
      </c>
      <c r="C624" s="9" t="s">
        <v>14</v>
      </c>
      <c r="D624" s="21">
        <v>1500</v>
      </c>
      <c r="E624" s="18">
        <v>73500000</v>
      </c>
      <c r="F624" s="18">
        <v>8692500</v>
      </c>
      <c r="G624" s="18">
        <v>7.6868774021491886</v>
      </c>
      <c r="H624" s="18">
        <v>0</v>
      </c>
      <c r="I624" s="16">
        <v>1500</v>
      </c>
    </row>
    <row r="625" spans="1:9">
      <c r="A625" s="9">
        <v>748</v>
      </c>
      <c r="B625" s="9" t="s">
        <v>1408</v>
      </c>
      <c r="C625" s="9" t="s">
        <v>14</v>
      </c>
      <c r="D625" s="21">
        <v>1500</v>
      </c>
      <c r="E625" s="18">
        <v>64500000</v>
      </c>
      <c r="F625" s="18">
        <v>9902625</v>
      </c>
      <c r="G625" s="18">
        <v>5.9212949734402383</v>
      </c>
      <c r="H625" s="18">
        <v>0</v>
      </c>
      <c r="I625" s="16">
        <v>1500</v>
      </c>
    </row>
    <row r="626" spans="1:9">
      <c r="A626" s="9">
        <v>749</v>
      </c>
      <c r="B626" s="9" t="s">
        <v>1409</v>
      </c>
      <c r="C626" s="9" t="s">
        <v>14</v>
      </c>
      <c r="D626" s="21">
        <v>1500</v>
      </c>
      <c r="E626" s="18">
        <v>67500000</v>
      </c>
      <c r="F626" s="18">
        <v>6960000</v>
      </c>
      <c r="G626" s="18">
        <v>8.8166144200626952</v>
      </c>
      <c r="H626" s="18">
        <v>0</v>
      </c>
      <c r="I626" s="16">
        <v>1500</v>
      </c>
    </row>
    <row r="627" spans="1:9">
      <c r="A627" s="9">
        <v>750</v>
      </c>
      <c r="B627" s="9" t="s">
        <v>1410</v>
      </c>
      <c r="C627" s="9" t="s">
        <v>14</v>
      </c>
      <c r="D627" s="21">
        <v>1500</v>
      </c>
      <c r="E627" s="18">
        <v>73500000</v>
      </c>
      <c r="F627" s="18">
        <v>9296250.0000000019</v>
      </c>
      <c r="G627" s="18">
        <v>7.1876489786937521</v>
      </c>
      <c r="H627" s="18">
        <v>0</v>
      </c>
      <c r="I627" s="16">
        <v>1500</v>
      </c>
    </row>
    <row r="628" spans="1:9">
      <c r="A628" s="9">
        <v>751</v>
      </c>
      <c r="B628" s="9" t="s">
        <v>1411</v>
      </c>
      <c r="C628" s="9" t="s">
        <v>14</v>
      </c>
      <c r="D628" s="21">
        <v>500</v>
      </c>
      <c r="E628" s="18">
        <v>21500000</v>
      </c>
      <c r="F628" s="18">
        <v>3271999.9999999995</v>
      </c>
      <c r="G628" s="18">
        <v>5.9735496777061572</v>
      </c>
      <c r="H628" s="18">
        <v>0</v>
      </c>
      <c r="I628" s="16">
        <v>500</v>
      </c>
    </row>
    <row r="629" spans="1:9">
      <c r="A629" s="9">
        <v>753</v>
      </c>
      <c r="B629" s="9" t="s">
        <v>1412</v>
      </c>
      <c r="C629" s="9" t="s">
        <v>14</v>
      </c>
      <c r="D629" s="21">
        <v>1000</v>
      </c>
      <c r="E629" s="18">
        <v>55000000</v>
      </c>
      <c r="F629" s="18">
        <v>9020000</v>
      </c>
      <c r="G629" s="18">
        <v>5.5432372505543235</v>
      </c>
      <c r="H629" s="18">
        <v>0</v>
      </c>
      <c r="I629" s="16">
        <v>1000</v>
      </c>
    </row>
    <row r="630" spans="1:9">
      <c r="A630" s="9">
        <v>755</v>
      </c>
      <c r="B630" s="9" t="s">
        <v>1413</v>
      </c>
      <c r="C630" s="9" t="s">
        <v>14</v>
      </c>
      <c r="D630" s="21">
        <v>500</v>
      </c>
      <c r="E630" s="18">
        <v>24500000</v>
      </c>
      <c r="F630" s="18">
        <v>4910000</v>
      </c>
      <c r="G630" s="18">
        <v>4.5361970005554531</v>
      </c>
      <c r="H630" s="18">
        <v>0</v>
      </c>
      <c r="I630" s="16">
        <v>500</v>
      </c>
    </row>
    <row r="631" spans="1:9">
      <c r="A631" s="9">
        <v>756</v>
      </c>
      <c r="B631" s="9" t="s">
        <v>1414</v>
      </c>
      <c r="C631" s="9" t="s">
        <v>14</v>
      </c>
      <c r="D631" s="21">
        <v>500</v>
      </c>
      <c r="E631" s="18">
        <v>24500000</v>
      </c>
      <c r="F631" s="18">
        <v>4910000</v>
      </c>
      <c r="G631" s="18">
        <v>4.5361970005554531</v>
      </c>
      <c r="H631" s="18">
        <v>0</v>
      </c>
      <c r="I631" s="16">
        <v>500</v>
      </c>
    </row>
    <row r="632" spans="1:9">
      <c r="A632" s="9">
        <v>758</v>
      </c>
      <c r="B632" s="9" t="s">
        <v>1415</v>
      </c>
      <c r="C632" s="9" t="s">
        <v>14</v>
      </c>
      <c r="D632" s="21">
        <v>700</v>
      </c>
      <c r="E632" s="18">
        <v>30100000</v>
      </c>
      <c r="F632" s="18">
        <v>4810575.0000000009</v>
      </c>
      <c r="G632" s="18">
        <v>5.68822570350454</v>
      </c>
      <c r="H632" s="18">
        <v>0</v>
      </c>
      <c r="I632" s="16">
        <v>700</v>
      </c>
    </row>
    <row r="633" spans="1:9">
      <c r="A633" s="9">
        <v>759</v>
      </c>
      <c r="B633" s="9" t="s">
        <v>1416</v>
      </c>
      <c r="C633" s="9" t="s">
        <v>14</v>
      </c>
      <c r="D633" s="21">
        <v>700</v>
      </c>
      <c r="E633" s="18">
        <v>30100000</v>
      </c>
      <c r="F633" s="18">
        <v>4931850.0000000009</v>
      </c>
      <c r="G633" s="18">
        <v>5.5483513009593466</v>
      </c>
      <c r="H633" s="18">
        <v>0</v>
      </c>
      <c r="I633" s="16">
        <v>700</v>
      </c>
    </row>
    <row r="634" spans="1:9">
      <c r="A634" s="9">
        <v>760</v>
      </c>
      <c r="B634" s="9" t="s">
        <v>1417</v>
      </c>
      <c r="C634" s="9" t="s">
        <v>14</v>
      </c>
      <c r="D634" s="21">
        <v>500</v>
      </c>
      <c r="E634" s="18">
        <v>21500000</v>
      </c>
      <c r="F634" s="18">
        <v>3436125.0000000005</v>
      </c>
      <c r="G634" s="18">
        <v>5.6882257035045409</v>
      </c>
      <c r="H634" s="18">
        <v>0</v>
      </c>
      <c r="I634" s="16">
        <v>500</v>
      </c>
    </row>
    <row r="635" spans="1:9">
      <c r="A635" s="9">
        <v>761</v>
      </c>
      <c r="B635" s="9" t="s">
        <v>1418</v>
      </c>
      <c r="C635" s="9" t="s">
        <v>14</v>
      </c>
      <c r="D635" s="21">
        <v>500</v>
      </c>
      <c r="E635" s="18">
        <v>21500000</v>
      </c>
      <c r="F635" s="18">
        <v>3436125.0000000005</v>
      </c>
      <c r="G635" s="18">
        <v>5.6882257035045409</v>
      </c>
      <c r="H635" s="18">
        <v>0</v>
      </c>
      <c r="I635" s="16">
        <v>500</v>
      </c>
    </row>
    <row r="636" spans="1:9">
      <c r="A636" s="9">
        <v>762</v>
      </c>
      <c r="B636" s="9" t="s">
        <v>1419</v>
      </c>
      <c r="C636" s="9" t="s">
        <v>14</v>
      </c>
      <c r="D636" s="21">
        <v>500</v>
      </c>
      <c r="E636" s="18">
        <v>21500000</v>
      </c>
      <c r="F636" s="18">
        <v>3436125.0000000005</v>
      </c>
      <c r="G636" s="18">
        <v>5.6882257035045409</v>
      </c>
      <c r="H636" s="18">
        <v>0</v>
      </c>
      <c r="I636" s="16">
        <v>500</v>
      </c>
    </row>
    <row r="637" spans="1:9">
      <c r="A637" s="9">
        <v>763</v>
      </c>
      <c r="B637" s="9" t="s">
        <v>1420</v>
      </c>
      <c r="C637" s="9" t="s">
        <v>14</v>
      </c>
      <c r="D637" s="21">
        <v>700</v>
      </c>
      <c r="E637" s="18">
        <v>31500000</v>
      </c>
      <c r="F637" s="18">
        <v>5619075</v>
      </c>
      <c r="G637" s="18">
        <v>5.0962771695276592</v>
      </c>
      <c r="H637" s="18">
        <v>0</v>
      </c>
      <c r="I637" s="16">
        <v>700</v>
      </c>
    </row>
    <row r="638" spans="1:9">
      <c r="A638" s="9">
        <v>764</v>
      </c>
      <c r="B638" s="9" t="s">
        <v>1421</v>
      </c>
      <c r="C638" s="9" t="s">
        <v>14</v>
      </c>
      <c r="D638" s="21">
        <v>700</v>
      </c>
      <c r="E638" s="18">
        <v>31500000</v>
      </c>
      <c r="F638" s="18">
        <v>5174400.0000000009</v>
      </c>
      <c r="G638" s="18">
        <v>5.5342384887839415</v>
      </c>
      <c r="H638" s="18">
        <v>0</v>
      </c>
      <c r="I638" s="16">
        <v>700</v>
      </c>
    </row>
    <row r="639" spans="1:9">
      <c r="A639" s="9">
        <v>765</v>
      </c>
      <c r="B639" s="9" t="s">
        <v>1422</v>
      </c>
      <c r="C639" s="9" t="s">
        <v>14</v>
      </c>
      <c r="D639" s="21">
        <v>700</v>
      </c>
      <c r="E639" s="18">
        <v>31500000</v>
      </c>
      <c r="F639" s="18">
        <v>5012700.0000000009</v>
      </c>
      <c r="G639" s="18">
        <v>5.7127623110027779</v>
      </c>
      <c r="H639" s="18">
        <v>0</v>
      </c>
      <c r="I639" s="16">
        <v>700</v>
      </c>
    </row>
    <row r="640" spans="1:9">
      <c r="A640" s="9">
        <v>766</v>
      </c>
      <c r="B640" s="9" t="s">
        <v>1423</v>
      </c>
      <c r="C640" s="9" t="s">
        <v>14</v>
      </c>
      <c r="D640" s="21">
        <v>500</v>
      </c>
      <c r="E640" s="18">
        <v>22500000</v>
      </c>
      <c r="F640" s="18">
        <v>3407250</v>
      </c>
      <c r="G640" s="18">
        <v>6.0032417505452935</v>
      </c>
      <c r="H640" s="18">
        <v>0</v>
      </c>
      <c r="I640" s="16">
        <v>500</v>
      </c>
    </row>
    <row r="641" spans="1:9">
      <c r="A641" s="9">
        <v>767</v>
      </c>
      <c r="B641" s="9" t="s">
        <v>1424</v>
      </c>
      <c r="C641" s="9" t="s">
        <v>14</v>
      </c>
      <c r="D641" s="21">
        <v>500</v>
      </c>
      <c r="E641" s="18">
        <v>22500000</v>
      </c>
      <c r="F641" s="18">
        <v>3436125.0000000005</v>
      </c>
      <c r="G641" s="18">
        <v>5.9527943408768449</v>
      </c>
      <c r="H641" s="18">
        <v>0</v>
      </c>
      <c r="I641" s="16">
        <v>500</v>
      </c>
    </row>
    <row r="642" spans="1:9">
      <c r="A642" s="9">
        <v>768</v>
      </c>
      <c r="B642" s="9" t="s">
        <v>1425</v>
      </c>
      <c r="C642" s="9" t="s">
        <v>14</v>
      </c>
      <c r="D642" s="21">
        <v>700</v>
      </c>
      <c r="E642" s="18">
        <v>34300000</v>
      </c>
      <c r="F642" s="18">
        <v>4689300</v>
      </c>
      <c r="G642" s="18">
        <v>6.6495677780944238</v>
      </c>
      <c r="H642" s="18">
        <v>0</v>
      </c>
      <c r="I642" s="16">
        <v>700</v>
      </c>
    </row>
    <row r="643" spans="1:9">
      <c r="A643" s="9">
        <v>769</v>
      </c>
      <c r="B643" s="9" t="s">
        <v>1426</v>
      </c>
      <c r="C643" s="9" t="s">
        <v>14</v>
      </c>
      <c r="D643" s="21">
        <v>700</v>
      </c>
      <c r="E643" s="18">
        <v>34300000</v>
      </c>
      <c r="F643" s="18">
        <v>5174400.0000000009</v>
      </c>
      <c r="G643" s="18">
        <v>6.0261707988980699</v>
      </c>
      <c r="H643" s="18">
        <v>0</v>
      </c>
      <c r="I643" s="16">
        <v>700</v>
      </c>
    </row>
    <row r="644" spans="1:9">
      <c r="A644" s="9">
        <v>770</v>
      </c>
      <c r="B644" s="9" t="s">
        <v>1427</v>
      </c>
      <c r="C644" s="9" t="s">
        <v>14</v>
      </c>
      <c r="D644" s="21">
        <v>700</v>
      </c>
      <c r="E644" s="18">
        <v>34300000</v>
      </c>
      <c r="F644" s="18">
        <v>4851000.0000000009</v>
      </c>
      <c r="G644" s="18">
        <v>6.4279155188246078</v>
      </c>
      <c r="H644" s="18">
        <v>0</v>
      </c>
      <c r="I644" s="16">
        <v>700</v>
      </c>
    </row>
    <row r="645" spans="1:9">
      <c r="A645" s="9">
        <v>771</v>
      </c>
      <c r="B645" s="9" t="s">
        <v>1428</v>
      </c>
      <c r="C645" s="9" t="s">
        <v>14</v>
      </c>
      <c r="D645" s="21">
        <v>700</v>
      </c>
      <c r="E645" s="18">
        <v>34300000</v>
      </c>
      <c r="F645" s="18">
        <v>4851000.0000000009</v>
      </c>
      <c r="G645" s="18">
        <v>6.4279155188246078</v>
      </c>
      <c r="H645" s="18">
        <v>0</v>
      </c>
      <c r="I645" s="16">
        <v>700</v>
      </c>
    </row>
    <row r="646" spans="1:9">
      <c r="A646" s="9">
        <v>772</v>
      </c>
      <c r="B646" s="9" t="s">
        <v>1429</v>
      </c>
      <c r="C646" s="9" t="s">
        <v>14</v>
      </c>
      <c r="D646" s="21">
        <v>700</v>
      </c>
      <c r="E646" s="18">
        <v>34300000</v>
      </c>
      <c r="F646" s="18">
        <v>5012700.0000000009</v>
      </c>
      <c r="G646" s="18">
        <v>6.2205634053141363</v>
      </c>
      <c r="H646" s="18">
        <v>0</v>
      </c>
      <c r="I646" s="16">
        <v>700</v>
      </c>
    </row>
    <row r="647" spans="1:9">
      <c r="A647" s="9">
        <v>773</v>
      </c>
      <c r="B647" s="9" t="s">
        <v>1430</v>
      </c>
      <c r="C647" s="9" t="s">
        <v>14</v>
      </c>
      <c r="D647" s="21">
        <v>700</v>
      </c>
      <c r="E647" s="18">
        <v>34300000</v>
      </c>
      <c r="F647" s="18">
        <v>4972275.0000000009</v>
      </c>
      <c r="G647" s="18">
        <v>6.2711370915362021</v>
      </c>
      <c r="H647" s="18">
        <v>0</v>
      </c>
      <c r="I647" s="16">
        <v>700</v>
      </c>
    </row>
    <row r="648" spans="1:9">
      <c r="A648" s="9">
        <v>774</v>
      </c>
      <c r="B648" s="9" t="s">
        <v>1431</v>
      </c>
      <c r="C648" s="9" t="s">
        <v>14</v>
      </c>
      <c r="D648" s="21">
        <v>700</v>
      </c>
      <c r="E648" s="18">
        <v>34300000</v>
      </c>
      <c r="F648" s="18">
        <v>4851000.0000000009</v>
      </c>
      <c r="G648" s="18">
        <v>6.4279155188246078</v>
      </c>
      <c r="H648" s="18">
        <v>0</v>
      </c>
      <c r="I648" s="16">
        <v>700</v>
      </c>
    </row>
    <row r="649" spans="1:9">
      <c r="A649" s="9">
        <v>775</v>
      </c>
      <c r="B649" s="9" t="s">
        <v>1432</v>
      </c>
      <c r="C649" s="9" t="s">
        <v>14</v>
      </c>
      <c r="D649" s="21">
        <v>700</v>
      </c>
      <c r="E649" s="18">
        <v>34300000</v>
      </c>
      <c r="F649" s="18">
        <v>4972275.0000000009</v>
      </c>
      <c r="G649" s="18">
        <v>6.2711370915362021</v>
      </c>
      <c r="H649" s="18">
        <v>0</v>
      </c>
      <c r="I649" s="16">
        <v>700</v>
      </c>
    </row>
    <row r="650" spans="1:9">
      <c r="A650" s="9">
        <v>777</v>
      </c>
      <c r="B650" s="9" t="s">
        <v>1433</v>
      </c>
      <c r="C650" s="9" t="s">
        <v>15</v>
      </c>
      <c r="D650" s="21">
        <v>96</v>
      </c>
      <c r="E650" s="18">
        <v>6624000</v>
      </c>
      <c r="F650" s="18">
        <v>1672727.2727272725</v>
      </c>
      <c r="G650" s="18">
        <v>3.6000000000000005</v>
      </c>
      <c r="H650" s="18">
        <v>0</v>
      </c>
      <c r="I650" s="16">
        <v>96</v>
      </c>
    </row>
    <row r="651" spans="1:9">
      <c r="A651" s="9">
        <v>778</v>
      </c>
      <c r="B651" s="9" t="s">
        <v>1434</v>
      </c>
      <c r="C651" s="9" t="s">
        <v>15</v>
      </c>
      <c r="D651" s="21">
        <v>72</v>
      </c>
      <c r="E651" s="18">
        <v>4968000</v>
      </c>
      <c r="F651" s="18">
        <v>1254545.4545454541</v>
      </c>
      <c r="G651" s="18">
        <v>3.6000000000000014</v>
      </c>
      <c r="H651" s="18">
        <v>0</v>
      </c>
      <c r="I651" s="16">
        <v>72</v>
      </c>
    </row>
    <row r="652" spans="1:9">
      <c r="A652" s="9">
        <v>779</v>
      </c>
      <c r="B652" s="9" t="s">
        <v>1435</v>
      </c>
      <c r="C652" s="9" t="s">
        <v>15</v>
      </c>
      <c r="D652" s="21">
        <v>144</v>
      </c>
      <c r="E652" s="18">
        <v>9360000</v>
      </c>
      <c r="F652" s="18">
        <v>2363636.3636363633</v>
      </c>
      <c r="G652" s="18">
        <v>3.6</v>
      </c>
      <c r="H652" s="18">
        <v>0</v>
      </c>
      <c r="I652" s="16">
        <v>144</v>
      </c>
    </row>
    <row r="653" spans="1:9">
      <c r="A653" s="9">
        <v>780</v>
      </c>
      <c r="B653" s="9" t="s">
        <v>1436</v>
      </c>
      <c r="C653" s="9" t="s">
        <v>15</v>
      </c>
      <c r="D653" s="21">
        <v>144</v>
      </c>
      <c r="E653" s="18">
        <v>9360000</v>
      </c>
      <c r="F653" s="18">
        <v>2363636.3636363633</v>
      </c>
      <c r="G653" s="18">
        <v>3.6</v>
      </c>
      <c r="H653" s="18">
        <v>0</v>
      </c>
      <c r="I653" s="16">
        <v>144</v>
      </c>
    </row>
    <row r="654" spans="1:9">
      <c r="A654" s="9">
        <v>781</v>
      </c>
      <c r="B654" s="9" t="s">
        <v>1437</v>
      </c>
      <c r="C654" s="9" t="s">
        <v>15</v>
      </c>
      <c r="D654" s="21">
        <v>144</v>
      </c>
      <c r="E654" s="18">
        <v>7920000</v>
      </c>
      <c r="F654" s="18">
        <v>1999999.9999999998</v>
      </c>
      <c r="G654" s="18">
        <v>3.6</v>
      </c>
      <c r="H654" s="18">
        <v>0</v>
      </c>
      <c r="I654" s="16">
        <v>144</v>
      </c>
    </row>
    <row r="655" spans="1:9">
      <c r="A655" s="9">
        <v>782</v>
      </c>
      <c r="B655" s="9" t="s">
        <v>1438</v>
      </c>
      <c r="C655" s="9" t="s">
        <v>15</v>
      </c>
      <c r="D655" s="21">
        <v>144</v>
      </c>
      <c r="E655" s="18">
        <v>7920000</v>
      </c>
      <c r="F655" s="18">
        <v>1999999.9999999998</v>
      </c>
      <c r="G655" s="18">
        <v>3.6</v>
      </c>
      <c r="H655" s="18">
        <v>0</v>
      </c>
      <c r="I655" s="16">
        <v>144</v>
      </c>
    </row>
    <row r="656" spans="1:9">
      <c r="A656" s="9">
        <v>783</v>
      </c>
      <c r="B656" s="9" t="s">
        <v>1439</v>
      </c>
      <c r="C656" s="9" t="s">
        <v>15</v>
      </c>
      <c r="D656" s="21">
        <v>360</v>
      </c>
      <c r="E656" s="18">
        <v>19800000</v>
      </c>
      <c r="F656" s="18">
        <v>4999999.9999999991</v>
      </c>
      <c r="G656" s="18">
        <v>3.6000000000000005</v>
      </c>
      <c r="H656" s="18">
        <v>0</v>
      </c>
      <c r="I656" s="16">
        <v>360</v>
      </c>
    </row>
    <row r="657" spans="1:9">
      <c r="A657" s="9">
        <v>784</v>
      </c>
      <c r="B657" s="9" t="s">
        <v>1440</v>
      </c>
      <c r="C657" s="9" t="s">
        <v>15</v>
      </c>
      <c r="D657" s="21">
        <v>240</v>
      </c>
      <c r="E657" s="18">
        <v>13200000</v>
      </c>
      <c r="F657" s="18">
        <v>3333333.333333333</v>
      </c>
      <c r="G657" s="18">
        <v>3.6</v>
      </c>
      <c r="H657" s="18">
        <v>0</v>
      </c>
      <c r="I657" s="16">
        <v>240</v>
      </c>
    </row>
    <row r="658" spans="1:9">
      <c r="A658" s="9">
        <v>785</v>
      </c>
      <c r="B658" s="9" t="s">
        <v>1441</v>
      </c>
      <c r="C658" s="9" t="s">
        <v>15</v>
      </c>
      <c r="D658" s="21">
        <v>240</v>
      </c>
      <c r="E658" s="18">
        <v>13200000</v>
      </c>
      <c r="F658" s="18">
        <v>3333333.333333333</v>
      </c>
      <c r="G658" s="18">
        <v>3.6</v>
      </c>
      <c r="H658" s="18">
        <v>0</v>
      </c>
      <c r="I658" s="16">
        <v>240</v>
      </c>
    </row>
    <row r="659" spans="1:9">
      <c r="A659" s="9">
        <v>786</v>
      </c>
      <c r="B659" s="9" t="s">
        <v>1442</v>
      </c>
      <c r="C659" s="9" t="s">
        <v>15</v>
      </c>
      <c r="D659" s="21">
        <v>240</v>
      </c>
      <c r="E659" s="18">
        <v>14160000</v>
      </c>
      <c r="F659" s="18">
        <v>3575757.5757575752</v>
      </c>
      <c r="G659" s="18">
        <v>3.6</v>
      </c>
      <c r="H659" s="18">
        <v>0</v>
      </c>
      <c r="I659" s="16">
        <v>240</v>
      </c>
    </row>
    <row r="660" spans="1:9">
      <c r="A660" s="9">
        <v>787</v>
      </c>
      <c r="B660" s="9" t="s">
        <v>1443</v>
      </c>
      <c r="C660" s="9" t="s">
        <v>15</v>
      </c>
      <c r="D660" s="21">
        <v>144</v>
      </c>
      <c r="E660" s="18">
        <v>9360000</v>
      </c>
      <c r="F660" s="18">
        <v>2363636.3636363633</v>
      </c>
      <c r="G660" s="18">
        <v>3.6</v>
      </c>
      <c r="H660" s="18">
        <v>0</v>
      </c>
      <c r="I660" s="16">
        <v>144</v>
      </c>
    </row>
    <row r="661" spans="1:9">
      <c r="A661" s="9">
        <v>788</v>
      </c>
      <c r="B661" s="9" t="s">
        <v>1444</v>
      </c>
      <c r="C661" s="9" t="s">
        <v>15</v>
      </c>
      <c r="D661" s="21">
        <v>240</v>
      </c>
      <c r="E661" s="18">
        <v>14160000</v>
      </c>
      <c r="F661" s="18">
        <v>3575757.5757575752</v>
      </c>
      <c r="G661" s="18">
        <v>3.6</v>
      </c>
      <c r="H661" s="18">
        <v>0</v>
      </c>
      <c r="I661" s="16">
        <v>240</v>
      </c>
    </row>
    <row r="662" spans="1:9">
      <c r="A662" s="9">
        <v>789</v>
      </c>
      <c r="B662" s="9" t="s">
        <v>1445</v>
      </c>
      <c r="C662" s="9" t="s">
        <v>15</v>
      </c>
      <c r="D662" s="21">
        <v>360</v>
      </c>
      <c r="E662" s="18">
        <v>19800000</v>
      </c>
      <c r="F662" s="18">
        <v>4999999.9999999991</v>
      </c>
      <c r="G662" s="18">
        <v>3.6000000000000005</v>
      </c>
      <c r="H662" s="18">
        <v>0</v>
      </c>
      <c r="I662" s="16">
        <v>360</v>
      </c>
    </row>
    <row r="663" spans="1:9">
      <c r="A663" s="9">
        <v>790</v>
      </c>
      <c r="B663" s="9" t="s">
        <v>1446</v>
      </c>
      <c r="C663" s="9" t="s">
        <v>15</v>
      </c>
      <c r="D663" s="21">
        <v>360</v>
      </c>
      <c r="E663" s="18">
        <v>19800000</v>
      </c>
      <c r="F663" s="18">
        <v>4999999.9999999991</v>
      </c>
      <c r="G663" s="18">
        <v>3.6000000000000005</v>
      </c>
      <c r="H663" s="18">
        <v>0</v>
      </c>
      <c r="I663" s="16">
        <v>360</v>
      </c>
    </row>
    <row r="664" spans="1:9">
      <c r="A664" s="9">
        <v>791</v>
      </c>
      <c r="B664" s="9" t="s">
        <v>1447</v>
      </c>
      <c r="C664" s="9" t="s">
        <v>15</v>
      </c>
      <c r="D664" s="21">
        <v>360</v>
      </c>
      <c r="E664" s="18">
        <v>17640000</v>
      </c>
      <c r="F664" s="18">
        <v>4454545.4545454541</v>
      </c>
      <c r="G664" s="18">
        <v>3.6</v>
      </c>
      <c r="H664" s="18">
        <v>0</v>
      </c>
      <c r="I664" s="16">
        <v>360</v>
      </c>
    </row>
    <row r="665" spans="1:9">
      <c r="A665" s="9">
        <v>792</v>
      </c>
      <c r="B665" s="9" t="s">
        <v>1448</v>
      </c>
      <c r="C665" s="9" t="s">
        <v>15</v>
      </c>
      <c r="D665" s="21">
        <v>360</v>
      </c>
      <c r="E665" s="18">
        <v>17640000</v>
      </c>
      <c r="F665" s="18">
        <v>4454545.4545454541</v>
      </c>
      <c r="G665" s="18">
        <v>3.6</v>
      </c>
      <c r="H665" s="18">
        <v>0</v>
      </c>
      <c r="I665" s="16">
        <v>360</v>
      </c>
    </row>
    <row r="666" spans="1:9">
      <c r="A666" s="9">
        <v>793</v>
      </c>
      <c r="B666" s="9" t="s">
        <v>1449</v>
      </c>
      <c r="C666" s="9" t="s">
        <v>15</v>
      </c>
      <c r="D666" s="21">
        <v>360</v>
      </c>
      <c r="E666" s="18">
        <v>17640000</v>
      </c>
      <c r="F666" s="18">
        <v>4454545.4545454541</v>
      </c>
      <c r="G666" s="18">
        <v>3.6</v>
      </c>
      <c r="H666" s="18">
        <v>0</v>
      </c>
      <c r="I666" s="16">
        <v>360</v>
      </c>
    </row>
    <row r="667" spans="1:9">
      <c r="A667" s="9">
        <v>794</v>
      </c>
      <c r="B667" s="9" t="s">
        <v>1450</v>
      </c>
      <c r="C667" s="9" t="s">
        <v>15</v>
      </c>
      <c r="D667" s="21">
        <v>240</v>
      </c>
      <c r="E667" s="18">
        <v>11760000</v>
      </c>
      <c r="F667" s="18">
        <v>2969696.9696969697</v>
      </c>
      <c r="G667" s="18">
        <v>3.5999999999999996</v>
      </c>
      <c r="H667" s="18">
        <v>0</v>
      </c>
      <c r="I667" s="16">
        <v>240</v>
      </c>
    </row>
    <row r="668" spans="1:9">
      <c r="A668" s="9">
        <v>796</v>
      </c>
      <c r="B668" s="9" t="s">
        <v>1451</v>
      </c>
      <c r="C668" s="9" t="s">
        <v>14</v>
      </c>
      <c r="D668" s="21">
        <v>700</v>
      </c>
      <c r="E668" s="18">
        <v>27300000</v>
      </c>
      <c r="F668" s="18">
        <v>3388448</v>
      </c>
      <c r="G668" s="18">
        <v>7.3243507995937422</v>
      </c>
      <c r="H668" s="18">
        <v>0</v>
      </c>
      <c r="I668" s="16">
        <v>700</v>
      </c>
    </row>
    <row r="669" spans="1:9">
      <c r="A669" s="9">
        <v>797</v>
      </c>
      <c r="B669" s="9" t="s">
        <v>1452</v>
      </c>
      <c r="C669" s="9" t="s">
        <v>14</v>
      </c>
      <c r="D669" s="21">
        <v>700</v>
      </c>
      <c r="E669" s="18">
        <v>27300000</v>
      </c>
      <c r="F669" s="18">
        <v>3388448</v>
      </c>
      <c r="G669" s="18">
        <v>7.3243507995937422</v>
      </c>
      <c r="H669" s="18">
        <v>0</v>
      </c>
      <c r="I669" s="16">
        <v>700</v>
      </c>
    </row>
    <row r="670" spans="1:9">
      <c r="A670" s="9">
        <v>798</v>
      </c>
      <c r="B670" s="9" t="s">
        <v>1453</v>
      </c>
      <c r="C670" s="9" t="s">
        <v>14</v>
      </c>
      <c r="D670" s="21">
        <v>700</v>
      </c>
      <c r="E670" s="18">
        <v>27300000</v>
      </c>
      <c r="F670" s="18">
        <v>3388448</v>
      </c>
      <c r="G670" s="18">
        <v>7.3243507995937422</v>
      </c>
      <c r="H670" s="18">
        <v>0</v>
      </c>
      <c r="I670" s="16">
        <v>700</v>
      </c>
    </row>
    <row r="671" spans="1:9">
      <c r="A671" s="9">
        <v>799</v>
      </c>
      <c r="B671" s="9" t="s">
        <v>1454</v>
      </c>
      <c r="C671" s="9" t="s">
        <v>14</v>
      </c>
      <c r="D671" s="21">
        <v>400</v>
      </c>
      <c r="E671" s="18">
        <v>26000000</v>
      </c>
      <c r="F671" s="18">
        <v>5135808</v>
      </c>
      <c r="G671" s="18">
        <v>4.6022677709843576</v>
      </c>
      <c r="H671" s="18">
        <v>0</v>
      </c>
      <c r="I671" s="16">
        <v>400</v>
      </c>
    </row>
    <row r="672" spans="1:9">
      <c r="A672" s="9">
        <v>800</v>
      </c>
      <c r="B672" s="9" t="s">
        <v>1455</v>
      </c>
      <c r="C672" s="9" t="s">
        <v>14</v>
      </c>
      <c r="D672" s="21">
        <v>400</v>
      </c>
      <c r="E672" s="18">
        <v>26000000</v>
      </c>
      <c r="F672" s="18">
        <v>5135808</v>
      </c>
      <c r="G672" s="18">
        <v>4.6022677709843576</v>
      </c>
      <c r="H672" s="18">
        <v>0</v>
      </c>
      <c r="I672" s="16">
        <v>400</v>
      </c>
    </row>
    <row r="673" spans="1:9">
      <c r="A673" s="9">
        <v>802</v>
      </c>
      <c r="B673" s="9" t="s">
        <v>1456</v>
      </c>
      <c r="C673" s="9" t="s">
        <v>14</v>
      </c>
      <c r="D673" s="21">
        <v>700</v>
      </c>
      <c r="E673" s="18">
        <v>31500000</v>
      </c>
      <c r="F673" s="18">
        <v>4434827.6000000015</v>
      </c>
      <c r="G673" s="18">
        <v>6.4571537428791199</v>
      </c>
      <c r="H673" s="18">
        <v>0</v>
      </c>
      <c r="I673" s="16">
        <v>700</v>
      </c>
    </row>
    <row r="674" spans="1:9">
      <c r="A674" s="9">
        <v>803</v>
      </c>
      <c r="B674" s="9" t="s">
        <v>1457</v>
      </c>
      <c r="C674" s="9" t="s">
        <v>14</v>
      </c>
      <c r="D674" s="21">
        <v>700</v>
      </c>
      <c r="E674" s="18">
        <v>31500000</v>
      </c>
      <c r="F674" s="18">
        <v>4434827.6000000015</v>
      </c>
      <c r="G674" s="18">
        <v>6.4571537428791199</v>
      </c>
      <c r="H674" s="18">
        <v>0</v>
      </c>
      <c r="I674" s="16">
        <v>700</v>
      </c>
    </row>
    <row r="675" spans="1:9">
      <c r="A675" s="9">
        <v>804</v>
      </c>
      <c r="B675" s="9" t="s">
        <v>1458</v>
      </c>
      <c r="C675" s="9" t="s">
        <v>14</v>
      </c>
      <c r="D675" s="21">
        <v>700</v>
      </c>
      <c r="E675" s="18">
        <v>31500000</v>
      </c>
      <c r="F675" s="18">
        <v>3006021.2000000007</v>
      </c>
      <c r="G675" s="18">
        <v>9.5263345569098554</v>
      </c>
      <c r="H675" s="18">
        <v>0</v>
      </c>
      <c r="I675" s="16">
        <v>700</v>
      </c>
    </row>
    <row r="676" spans="1:9">
      <c r="A676" s="9">
        <v>806</v>
      </c>
      <c r="B676" s="9" t="s">
        <v>1459</v>
      </c>
      <c r="C676" s="9" t="s">
        <v>14</v>
      </c>
      <c r="D676" s="21">
        <v>500</v>
      </c>
      <c r="E676" s="18">
        <v>22500000</v>
      </c>
      <c r="F676" s="18">
        <v>3970495</v>
      </c>
      <c r="G676" s="18">
        <v>5.1516361195632925</v>
      </c>
      <c r="H676" s="18">
        <v>0</v>
      </c>
      <c r="I676" s="16">
        <v>500</v>
      </c>
    </row>
    <row r="677" spans="1:9">
      <c r="A677" s="9">
        <v>807</v>
      </c>
      <c r="B677" s="9" t="s">
        <v>1460</v>
      </c>
      <c r="C677" s="9" t="s">
        <v>14</v>
      </c>
      <c r="D677" s="21">
        <v>300</v>
      </c>
      <c r="E677" s="18">
        <v>14700000</v>
      </c>
      <c r="F677" s="18">
        <v>2384913.0000000005</v>
      </c>
      <c r="G677" s="18">
        <v>5.6034062305989192</v>
      </c>
      <c r="H677" s="18">
        <v>0</v>
      </c>
      <c r="I677" s="16">
        <v>300</v>
      </c>
    </row>
    <row r="678" spans="1:9">
      <c r="A678" s="9">
        <v>809</v>
      </c>
      <c r="B678" s="9" t="s">
        <v>1461</v>
      </c>
      <c r="C678" s="9" t="s">
        <v>15</v>
      </c>
      <c r="D678" s="21">
        <v>70</v>
      </c>
      <c r="E678" s="18">
        <v>3430000</v>
      </c>
      <c r="F678" s="18">
        <v>1403181.8181818181</v>
      </c>
      <c r="G678" s="18">
        <v>2.2222222222222223</v>
      </c>
      <c r="H678" s="18">
        <v>70</v>
      </c>
      <c r="I678" s="16">
        <v>0</v>
      </c>
    </row>
    <row r="679" spans="1:9">
      <c r="A679" s="9">
        <v>810</v>
      </c>
      <c r="B679" s="9" t="s">
        <v>1462</v>
      </c>
      <c r="C679" s="9" t="s">
        <v>15</v>
      </c>
      <c r="D679" s="21">
        <v>20</v>
      </c>
      <c r="E679" s="18">
        <v>980000</v>
      </c>
      <c r="F679" s="18">
        <v>400909.09090909088</v>
      </c>
      <c r="G679" s="18">
        <v>2.2222222222222223</v>
      </c>
      <c r="H679" s="18">
        <v>20</v>
      </c>
      <c r="I679" s="16">
        <v>0</v>
      </c>
    </row>
    <row r="680" spans="1:9">
      <c r="A680" s="9">
        <v>811</v>
      </c>
      <c r="B680" s="9" t="s">
        <v>1463</v>
      </c>
      <c r="C680" s="9" t="s">
        <v>15</v>
      </c>
      <c r="D680" s="21">
        <v>50</v>
      </c>
      <c r="E680" s="18">
        <v>2450000</v>
      </c>
      <c r="F680" s="18">
        <v>1002272.7272727272</v>
      </c>
      <c r="G680" s="18">
        <v>2.2222222222222223</v>
      </c>
      <c r="H680" s="18">
        <v>50</v>
      </c>
      <c r="I680" s="16">
        <v>0</v>
      </c>
    </row>
    <row r="681" spans="1:9">
      <c r="A681" s="9">
        <v>812</v>
      </c>
      <c r="B681" s="9" t="s">
        <v>1464</v>
      </c>
      <c r="C681" s="9" t="s">
        <v>15</v>
      </c>
      <c r="D681" s="21">
        <v>35</v>
      </c>
      <c r="E681" s="18">
        <v>1715000</v>
      </c>
      <c r="F681" s="18">
        <v>701590.90909090906</v>
      </c>
      <c r="G681" s="18">
        <v>2.2222222222222223</v>
      </c>
      <c r="H681" s="18">
        <v>35</v>
      </c>
      <c r="I681" s="16">
        <v>0</v>
      </c>
    </row>
    <row r="682" spans="1:9">
      <c r="A682" s="9">
        <v>813</v>
      </c>
      <c r="B682" s="9" t="s">
        <v>1465</v>
      </c>
      <c r="C682" s="9" t="s">
        <v>15</v>
      </c>
      <c r="D682" s="21">
        <v>37</v>
      </c>
      <c r="E682" s="18">
        <v>1813000</v>
      </c>
      <c r="F682" s="18">
        <v>741681.81818181812</v>
      </c>
      <c r="G682" s="18">
        <v>2.2222222222222223</v>
      </c>
      <c r="H682" s="18">
        <v>37</v>
      </c>
      <c r="I682" s="16">
        <v>0</v>
      </c>
    </row>
    <row r="683" spans="1:9">
      <c r="A683" s="9">
        <v>814</v>
      </c>
      <c r="B683" s="9" t="s">
        <v>1466</v>
      </c>
      <c r="C683" s="9" t="s">
        <v>15</v>
      </c>
      <c r="D683" s="21">
        <v>10</v>
      </c>
      <c r="E683" s="18">
        <v>490000</v>
      </c>
      <c r="F683" s="18">
        <v>200454.54545454544</v>
      </c>
      <c r="G683" s="18">
        <v>2.2222222222222223</v>
      </c>
      <c r="H683" s="18">
        <v>10</v>
      </c>
      <c r="I683" s="16">
        <v>0</v>
      </c>
    </row>
    <row r="684" spans="1:9">
      <c r="A684" s="9">
        <v>815</v>
      </c>
      <c r="B684" s="9" t="s">
        <v>1467</v>
      </c>
      <c r="C684" s="9" t="s">
        <v>15</v>
      </c>
      <c r="D684" s="21">
        <v>62</v>
      </c>
      <c r="E684" s="18">
        <v>3038000</v>
      </c>
      <c r="F684" s="18">
        <v>1242818.1818181816</v>
      </c>
      <c r="G684" s="18">
        <v>2.2222222222222223</v>
      </c>
      <c r="H684" s="18">
        <v>62</v>
      </c>
      <c r="I684" s="16">
        <v>0</v>
      </c>
    </row>
    <row r="685" spans="1:9">
      <c r="A685" s="9">
        <v>816</v>
      </c>
      <c r="B685" s="9" t="s">
        <v>1468</v>
      </c>
      <c r="C685" s="9" t="s">
        <v>15</v>
      </c>
      <c r="D685" s="21">
        <v>13</v>
      </c>
      <c r="E685" s="18">
        <v>637000</v>
      </c>
      <c r="F685" s="18">
        <v>260590.90909090906</v>
      </c>
      <c r="G685" s="18">
        <v>2.2222222222222223</v>
      </c>
      <c r="H685" s="18">
        <v>13</v>
      </c>
      <c r="I685" s="16">
        <v>0</v>
      </c>
    </row>
    <row r="686" spans="1:9">
      <c r="A686" s="9">
        <v>817</v>
      </c>
      <c r="B686" s="9" t="s">
        <v>1469</v>
      </c>
      <c r="C686" s="9" t="s">
        <v>15</v>
      </c>
      <c r="D686" s="21">
        <v>10</v>
      </c>
      <c r="E686" s="18">
        <v>490000</v>
      </c>
      <c r="F686" s="18">
        <v>200454.54545454544</v>
      </c>
      <c r="G686" s="18">
        <v>2.2222222222222223</v>
      </c>
      <c r="H686" s="18">
        <v>10</v>
      </c>
      <c r="I686" s="16">
        <v>0</v>
      </c>
    </row>
    <row r="687" spans="1:9">
      <c r="A687" s="9">
        <v>818</v>
      </c>
      <c r="B687" s="9" t="s">
        <v>1470</v>
      </c>
      <c r="C687" s="9" t="s">
        <v>15</v>
      </c>
      <c r="D687" s="21">
        <v>14</v>
      </c>
      <c r="E687" s="18">
        <v>686000</v>
      </c>
      <c r="F687" s="18">
        <v>280636.36363636365</v>
      </c>
      <c r="G687" s="18">
        <v>2.2222222222222219</v>
      </c>
      <c r="H687" s="18">
        <v>14</v>
      </c>
      <c r="I687" s="16">
        <v>0</v>
      </c>
    </row>
    <row r="688" spans="1:9">
      <c r="A688" s="9">
        <v>819</v>
      </c>
      <c r="B688" s="9" t="s">
        <v>1471</v>
      </c>
      <c r="C688" s="9" t="s">
        <v>15</v>
      </c>
      <c r="D688" s="21">
        <v>70</v>
      </c>
      <c r="E688" s="18">
        <v>3430000</v>
      </c>
      <c r="F688" s="18">
        <v>1403181.8181818181</v>
      </c>
      <c r="G688" s="18">
        <v>2.2222222222222223</v>
      </c>
      <c r="H688" s="18">
        <v>70</v>
      </c>
      <c r="I688" s="16">
        <v>0</v>
      </c>
    </row>
    <row r="689" spans="1:9">
      <c r="A689" s="9">
        <v>820</v>
      </c>
      <c r="B689" s="9" t="s">
        <v>1472</v>
      </c>
      <c r="C689" s="9" t="s">
        <v>15</v>
      </c>
      <c r="D689" s="21">
        <v>50</v>
      </c>
      <c r="E689" s="18">
        <v>2450000</v>
      </c>
      <c r="F689" s="18">
        <v>1002272.7272727272</v>
      </c>
      <c r="G689" s="18">
        <v>2.2222222222222223</v>
      </c>
      <c r="H689" s="18">
        <v>50</v>
      </c>
      <c r="I689" s="16">
        <v>0</v>
      </c>
    </row>
    <row r="690" spans="1:9">
      <c r="A690" s="9">
        <v>821</v>
      </c>
      <c r="B690" s="9" t="s">
        <v>1473</v>
      </c>
      <c r="C690" s="9" t="s">
        <v>15</v>
      </c>
      <c r="D690" s="21">
        <v>50</v>
      </c>
      <c r="E690" s="18">
        <v>2950000</v>
      </c>
      <c r="F690" s="18">
        <v>1206818.1818181819</v>
      </c>
      <c r="G690" s="18">
        <v>2.2222222222222219</v>
      </c>
      <c r="H690" s="18">
        <v>50</v>
      </c>
      <c r="I690" s="16">
        <v>0</v>
      </c>
    </row>
    <row r="691" spans="1:9">
      <c r="A691" s="9">
        <v>822</v>
      </c>
      <c r="B691" s="9" t="s">
        <v>1474</v>
      </c>
      <c r="C691" s="9" t="s">
        <v>15</v>
      </c>
      <c r="D691" s="21">
        <v>12</v>
      </c>
      <c r="E691" s="18">
        <v>588000</v>
      </c>
      <c r="F691" s="18">
        <v>240545.45454545453</v>
      </c>
      <c r="G691" s="18">
        <v>2.2222222222222223</v>
      </c>
      <c r="H691" s="18">
        <v>12</v>
      </c>
      <c r="I691" s="16">
        <v>0</v>
      </c>
    </row>
    <row r="692" spans="1:9">
      <c r="A692" s="9">
        <v>824</v>
      </c>
      <c r="B692" s="9" t="s">
        <v>1475</v>
      </c>
      <c r="C692" s="9" t="s">
        <v>14</v>
      </c>
      <c r="D692" s="21">
        <v>700</v>
      </c>
      <c r="E692" s="18">
        <v>27300000</v>
      </c>
      <c r="F692" s="18">
        <v>3332084</v>
      </c>
      <c r="G692" s="18">
        <v>7.4482461481108571</v>
      </c>
      <c r="H692" s="18">
        <v>0</v>
      </c>
      <c r="I692" s="16">
        <v>700</v>
      </c>
    </row>
    <row r="693" spans="1:9">
      <c r="A693" s="9">
        <v>825</v>
      </c>
      <c r="B693" s="9" t="s">
        <v>1476</v>
      </c>
      <c r="C693" s="9" t="s">
        <v>14</v>
      </c>
      <c r="D693" s="21">
        <v>700</v>
      </c>
      <c r="E693" s="18">
        <v>27300000</v>
      </c>
      <c r="F693" s="18">
        <v>3332084</v>
      </c>
      <c r="G693" s="18">
        <v>7.4482461481108571</v>
      </c>
      <c r="H693" s="18">
        <v>0</v>
      </c>
      <c r="I693" s="16">
        <v>700</v>
      </c>
    </row>
    <row r="694" spans="1:9">
      <c r="A694" s="9">
        <v>827</v>
      </c>
      <c r="B694" s="9" t="s">
        <v>1481</v>
      </c>
      <c r="C694" s="9" t="s">
        <v>14</v>
      </c>
      <c r="D694" s="21">
        <v>1000</v>
      </c>
      <c r="E694" s="18">
        <v>59000000</v>
      </c>
      <c r="F694" s="18">
        <v>7733880.0000000009</v>
      </c>
      <c r="G694" s="18">
        <v>6.93524642693753</v>
      </c>
      <c r="H694" s="18">
        <v>0</v>
      </c>
      <c r="I694" s="16">
        <v>1000</v>
      </c>
    </row>
    <row r="695" spans="1:9">
      <c r="A695" s="9">
        <v>828</v>
      </c>
      <c r="B695" s="9" t="s">
        <v>1482</v>
      </c>
      <c r="C695" s="9" t="s">
        <v>14</v>
      </c>
      <c r="D695" s="21">
        <v>500</v>
      </c>
      <c r="E695" s="18">
        <v>29500000</v>
      </c>
      <c r="F695" s="18">
        <v>3866940.0000000005</v>
      </c>
      <c r="G695" s="18">
        <v>6.93524642693753</v>
      </c>
      <c r="H695" s="18">
        <v>0</v>
      </c>
      <c r="I695" s="16">
        <v>500</v>
      </c>
    </row>
    <row r="696" spans="1:9">
      <c r="A696" s="9">
        <v>829</v>
      </c>
      <c r="B696" s="9" t="s">
        <v>1483</v>
      </c>
      <c r="C696" s="9" t="s">
        <v>14</v>
      </c>
      <c r="D696" s="21">
        <v>1000</v>
      </c>
      <c r="E696" s="18">
        <v>59000000</v>
      </c>
      <c r="F696" s="18">
        <v>7733880.0000000009</v>
      </c>
      <c r="G696" s="18">
        <v>6.93524642693753</v>
      </c>
      <c r="H696" s="18">
        <v>0</v>
      </c>
      <c r="I696" s="16">
        <v>1000</v>
      </c>
    </row>
    <row r="697" spans="1:9">
      <c r="A697" s="9">
        <v>830</v>
      </c>
      <c r="B697" s="9" t="s">
        <v>1484</v>
      </c>
      <c r="C697" s="9" t="s">
        <v>14</v>
      </c>
      <c r="D697" s="21">
        <v>500</v>
      </c>
      <c r="E697" s="18">
        <v>29500000</v>
      </c>
      <c r="F697" s="18">
        <v>3866940.0000000005</v>
      </c>
      <c r="G697" s="18">
        <v>6.93524642693753</v>
      </c>
      <c r="H697" s="18">
        <v>0</v>
      </c>
      <c r="I697" s="16">
        <v>500</v>
      </c>
    </row>
    <row r="698" spans="1:9">
      <c r="A698" s="9">
        <v>831</v>
      </c>
      <c r="B698" s="9" t="s">
        <v>1485</v>
      </c>
      <c r="C698" s="9" t="s">
        <v>14</v>
      </c>
      <c r="D698" s="21">
        <v>700</v>
      </c>
      <c r="E698" s="18">
        <v>41300000</v>
      </c>
      <c r="F698" s="18">
        <v>5413716.0000000009</v>
      </c>
      <c r="G698" s="18">
        <v>6.93524642693753</v>
      </c>
      <c r="H698" s="18">
        <v>0</v>
      </c>
      <c r="I698" s="16">
        <v>700</v>
      </c>
    </row>
    <row r="699" spans="1:9">
      <c r="A699" s="9">
        <v>833</v>
      </c>
      <c r="B699" s="9" t="s">
        <v>1486</v>
      </c>
      <c r="C699" s="9" t="s">
        <v>14</v>
      </c>
      <c r="D699" s="21">
        <v>1000</v>
      </c>
      <c r="E699" s="18">
        <v>99000000</v>
      </c>
      <c r="F699" s="18">
        <v>24000000</v>
      </c>
      <c r="G699" s="18">
        <v>3.7499999999999996</v>
      </c>
      <c r="H699" s="18">
        <v>0</v>
      </c>
      <c r="I699" s="16">
        <v>1000</v>
      </c>
    </row>
    <row r="700" spans="1:9">
      <c r="A700" s="9">
        <v>834</v>
      </c>
      <c r="B700" s="9" t="s">
        <v>1487</v>
      </c>
      <c r="C700" s="9" t="s">
        <v>14</v>
      </c>
      <c r="D700" s="21">
        <v>800</v>
      </c>
      <c r="E700" s="18">
        <v>55200000</v>
      </c>
      <c r="F700" s="18">
        <v>12480000</v>
      </c>
      <c r="G700" s="18">
        <v>4.0209790209790208</v>
      </c>
      <c r="H700" s="18">
        <v>0</v>
      </c>
      <c r="I700" s="16">
        <v>800</v>
      </c>
    </row>
    <row r="701" spans="1:9">
      <c r="A701" s="9">
        <v>835</v>
      </c>
      <c r="B701" s="9" t="s">
        <v>1488</v>
      </c>
      <c r="C701" s="9" t="s">
        <v>14</v>
      </c>
      <c r="D701" s="21">
        <v>1500</v>
      </c>
      <c r="E701" s="18">
        <v>148500000</v>
      </c>
      <c r="F701" s="18">
        <v>36000000</v>
      </c>
      <c r="G701" s="18">
        <v>3.75</v>
      </c>
      <c r="H701" s="18">
        <v>0</v>
      </c>
      <c r="I701" s="16">
        <v>1500</v>
      </c>
    </row>
    <row r="702" spans="1:9">
      <c r="A702" s="9">
        <v>836</v>
      </c>
      <c r="B702" s="9" t="s">
        <v>1489</v>
      </c>
      <c r="C702" s="9" t="s">
        <v>14</v>
      </c>
      <c r="D702" s="21">
        <v>1200</v>
      </c>
      <c r="E702" s="18">
        <v>82800000</v>
      </c>
      <c r="F702" s="18">
        <v>18720000</v>
      </c>
      <c r="G702" s="18">
        <v>4.0209790209790208</v>
      </c>
      <c r="H702" s="18">
        <v>0</v>
      </c>
      <c r="I702" s="16">
        <v>1200</v>
      </c>
    </row>
    <row r="703" spans="1:9">
      <c r="A703" s="9">
        <v>837</v>
      </c>
      <c r="B703" s="9" t="s">
        <v>1490</v>
      </c>
      <c r="C703" s="9" t="s">
        <v>14</v>
      </c>
      <c r="D703" s="21">
        <v>1500</v>
      </c>
      <c r="E703" s="18">
        <v>148500000</v>
      </c>
      <c r="F703" s="18">
        <v>36000000</v>
      </c>
      <c r="G703" s="18">
        <v>3.75</v>
      </c>
      <c r="H703" s="18">
        <v>0</v>
      </c>
      <c r="I703" s="16">
        <v>1500</v>
      </c>
    </row>
    <row r="704" spans="1:9">
      <c r="A704" s="9">
        <v>838</v>
      </c>
      <c r="B704" s="9" t="s">
        <v>1491</v>
      </c>
      <c r="C704" s="9" t="s">
        <v>14</v>
      </c>
      <c r="D704" s="21">
        <v>1200</v>
      </c>
      <c r="E704" s="18">
        <v>82800000</v>
      </c>
      <c r="F704" s="18">
        <v>18720000</v>
      </c>
      <c r="G704" s="18">
        <v>4.0209790209790208</v>
      </c>
      <c r="H704" s="18">
        <v>0</v>
      </c>
      <c r="I704" s="16">
        <v>1200</v>
      </c>
    </row>
    <row r="705" spans="1:9">
      <c r="A705" s="9">
        <v>839</v>
      </c>
      <c r="B705" s="9" t="s">
        <v>1492</v>
      </c>
      <c r="C705" s="9" t="s">
        <v>14</v>
      </c>
      <c r="D705" s="21">
        <v>2000</v>
      </c>
      <c r="E705" s="18">
        <v>198000000</v>
      </c>
      <c r="F705" s="18">
        <v>48000000</v>
      </c>
      <c r="G705" s="18">
        <v>3.7499999999999996</v>
      </c>
      <c r="H705" s="18">
        <v>0</v>
      </c>
      <c r="I705" s="16">
        <v>2000</v>
      </c>
    </row>
    <row r="706" spans="1:9">
      <c r="A706" s="9">
        <v>840</v>
      </c>
      <c r="B706" s="9" t="s">
        <v>1493</v>
      </c>
      <c r="C706" s="9" t="s">
        <v>14</v>
      </c>
      <c r="D706" s="21">
        <v>1500</v>
      </c>
      <c r="E706" s="18">
        <v>103500000</v>
      </c>
      <c r="F706" s="18">
        <v>23400000</v>
      </c>
      <c r="G706" s="18">
        <v>4.0209790209790208</v>
      </c>
      <c r="H706" s="18">
        <v>0</v>
      </c>
      <c r="I706" s="16">
        <v>1500</v>
      </c>
    </row>
    <row r="707" spans="1:9">
      <c r="A707" s="9">
        <v>841</v>
      </c>
      <c r="B707" s="9" t="s">
        <v>1494</v>
      </c>
      <c r="C707" s="9" t="s">
        <v>14</v>
      </c>
      <c r="D707" s="21">
        <v>1500</v>
      </c>
      <c r="E707" s="18">
        <v>133500000</v>
      </c>
      <c r="F707" s="18">
        <v>30000000</v>
      </c>
      <c r="G707" s="18">
        <v>4.045454545454545</v>
      </c>
      <c r="H707" s="18">
        <v>0</v>
      </c>
      <c r="I707" s="16">
        <v>1500</v>
      </c>
    </row>
    <row r="708" spans="1:9">
      <c r="A708" s="9">
        <v>842</v>
      </c>
      <c r="B708" s="9" t="s">
        <v>1495</v>
      </c>
      <c r="C708" s="9" t="s">
        <v>14</v>
      </c>
      <c r="D708" s="21">
        <v>1200</v>
      </c>
      <c r="E708" s="18">
        <v>70800000</v>
      </c>
      <c r="F708" s="18">
        <v>14640000</v>
      </c>
      <c r="G708" s="18">
        <v>4.3964232488822645</v>
      </c>
      <c r="H708" s="18">
        <v>0</v>
      </c>
      <c r="I708" s="16">
        <v>1200</v>
      </c>
    </row>
    <row r="709" spans="1:9">
      <c r="A709" s="9">
        <v>843</v>
      </c>
      <c r="B709" s="9" t="s">
        <v>1496</v>
      </c>
      <c r="C709" s="9" t="s">
        <v>14</v>
      </c>
      <c r="D709" s="21">
        <v>1500</v>
      </c>
      <c r="E709" s="18">
        <v>133500000</v>
      </c>
      <c r="F709" s="18">
        <v>31500000</v>
      </c>
      <c r="G709" s="18">
        <v>3.8528138528138527</v>
      </c>
      <c r="H709" s="18">
        <v>0</v>
      </c>
      <c r="I709" s="16">
        <v>1500</v>
      </c>
    </row>
    <row r="710" spans="1:9">
      <c r="A710" s="9">
        <v>844</v>
      </c>
      <c r="B710" s="9" t="s">
        <v>1497</v>
      </c>
      <c r="C710" s="9" t="s">
        <v>14</v>
      </c>
      <c r="D710" s="21">
        <v>1200</v>
      </c>
      <c r="E710" s="18">
        <v>70800000</v>
      </c>
      <c r="F710" s="18">
        <v>15000000</v>
      </c>
      <c r="G710" s="18">
        <v>4.2909090909090901</v>
      </c>
      <c r="H710" s="18">
        <v>0</v>
      </c>
      <c r="I710" s="16">
        <v>1200</v>
      </c>
    </row>
    <row r="711" spans="1:9">
      <c r="A711" s="9">
        <v>845</v>
      </c>
      <c r="B711" s="9" t="s">
        <v>1498</v>
      </c>
      <c r="C711" s="9" t="s">
        <v>14</v>
      </c>
      <c r="D711" s="21">
        <v>1500</v>
      </c>
      <c r="E711" s="18">
        <v>133500000</v>
      </c>
      <c r="F711" s="18">
        <v>31500000</v>
      </c>
      <c r="G711" s="18">
        <v>3.8528138528138527</v>
      </c>
      <c r="H711" s="18">
        <v>0</v>
      </c>
      <c r="I711" s="16">
        <v>1500</v>
      </c>
    </row>
    <row r="712" spans="1:9">
      <c r="A712" s="9">
        <v>846</v>
      </c>
      <c r="B712" s="9" t="s">
        <v>1499</v>
      </c>
      <c r="C712" s="9" t="s">
        <v>14</v>
      </c>
      <c r="D712" s="21">
        <v>1200</v>
      </c>
      <c r="E712" s="18">
        <v>70800000</v>
      </c>
      <c r="F712" s="18">
        <v>15000000</v>
      </c>
      <c r="G712" s="18">
        <v>4.2909090909090901</v>
      </c>
      <c r="H712" s="18">
        <v>0</v>
      </c>
      <c r="I712" s="16">
        <v>1200</v>
      </c>
    </row>
    <row r="713" spans="1:9">
      <c r="A713" s="9">
        <v>848</v>
      </c>
      <c r="B713" s="9" t="s">
        <v>1500</v>
      </c>
      <c r="C713" s="9" t="s">
        <v>14</v>
      </c>
      <c r="D713" s="21">
        <v>2000</v>
      </c>
      <c r="E713" s="18">
        <v>118000000</v>
      </c>
      <c r="F713" s="18">
        <v>18220000</v>
      </c>
      <c r="G713" s="18">
        <v>5.8876359644746037</v>
      </c>
      <c r="H713" s="18">
        <v>0</v>
      </c>
      <c r="I713" s="16">
        <v>2000</v>
      </c>
    </row>
    <row r="714" spans="1:9">
      <c r="A714" s="9">
        <v>849</v>
      </c>
      <c r="B714" s="9" t="s">
        <v>1501</v>
      </c>
      <c r="C714" s="9" t="s">
        <v>14</v>
      </c>
      <c r="D714" s="21">
        <v>2000</v>
      </c>
      <c r="E714" s="18">
        <v>110000000</v>
      </c>
      <c r="F714" s="18">
        <v>17873500</v>
      </c>
      <c r="G714" s="18">
        <v>5.594875094413517</v>
      </c>
      <c r="H714" s="18">
        <v>0</v>
      </c>
      <c r="I714" s="16">
        <v>2000</v>
      </c>
    </row>
    <row r="715" spans="1:9">
      <c r="A715" s="9">
        <v>850</v>
      </c>
      <c r="B715" s="9" t="s">
        <v>1502</v>
      </c>
      <c r="C715" s="9" t="s">
        <v>14</v>
      </c>
      <c r="D715" s="21">
        <v>1200</v>
      </c>
      <c r="E715" s="18">
        <v>70800000</v>
      </c>
      <c r="F715" s="18">
        <v>9583200.0000000019</v>
      </c>
      <c r="G715" s="18">
        <v>6.7162989777565265</v>
      </c>
      <c r="H715" s="18">
        <v>0</v>
      </c>
      <c r="I715" s="16">
        <v>1200</v>
      </c>
    </row>
    <row r="716" spans="1:9">
      <c r="A716" s="9">
        <v>851</v>
      </c>
      <c r="B716" s="9" t="s">
        <v>1503</v>
      </c>
      <c r="C716" s="9" t="s">
        <v>14</v>
      </c>
      <c r="D716" s="21">
        <v>800</v>
      </c>
      <c r="E716" s="18">
        <v>44000000</v>
      </c>
      <c r="F716" s="18">
        <v>6250200</v>
      </c>
      <c r="G716" s="18">
        <v>6.3997952065533896</v>
      </c>
      <c r="H716" s="18">
        <v>0</v>
      </c>
      <c r="I716" s="16">
        <v>800</v>
      </c>
    </row>
    <row r="717" spans="1:9">
      <c r="A717" s="9">
        <v>852</v>
      </c>
      <c r="B717" s="9" t="s">
        <v>1504</v>
      </c>
      <c r="C717" s="9" t="s">
        <v>14</v>
      </c>
      <c r="D717" s="21">
        <v>1000</v>
      </c>
      <c r="E717" s="18">
        <v>45000000</v>
      </c>
      <c r="F717" s="18">
        <v>6199250</v>
      </c>
      <c r="G717" s="18">
        <v>6.599038740023536</v>
      </c>
      <c r="H717" s="18">
        <v>0</v>
      </c>
      <c r="I717" s="16">
        <v>1000</v>
      </c>
    </row>
    <row r="718" spans="1:9">
      <c r="A718" s="9">
        <v>853</v>
      </c>
      <c r="B718" s="9" t="s">
        <v>1505</v>
      </c>
      <c r="C718" s="9" t="s">
        <v>14</v>
      </c>
      <c r="D718" s="21">
        <v>1200</v>
      </c>
      <c r="E718" s="18">
        <v>54000000</v>
      </c>
      <c r="F718" s="18">
        <v>5568000</v>
      </c>
      <c r="G718" s="18">
        <v>8.8166144200626952</v>
      </c>
      <c r="H718" s="18">
        <v>0</v>
      </c>
      <c r="I718" s="16">
        <v>1200</v>
      </c>
    </row>
    <row r="719" spans="1:9">
      <c r="A719" s="9">
        <v>855</v>
      </c>
      <c r="B719" s="9" t="s">
        <v>996</v>
      </c>
      <c r="C719" s="9" t="s">
        <v>14</v>
      </c>
      <c r="D719" s="21">
        <v>6000</v>
      </c>
      <c r="E719" s="18">
        <v>330000000</v>
      </c>
      <c r="F719" s="18">
        <v>25120080</v>
      </c>
      <c r="G719" s="18">
        <v>11.942637125359472</v>
      </c>
      <c r="H719" s="18">
        <v>0</v>
      </c>
      <c r="I719" s="16">
        <v>6000</v>
      </c>
    </row>
    <row r="720" spans="1:9">
      <c r="A720" s="9">
        <v>856</v>
      </c>
      <c r="B720" s="9" t="s">
        <v>997</v>
      </c>
      <c r="C720" s="9" t="s">
        <v>14</v>
      </c>
      <c r="D720" s="21">
        <v>3000</v>
      </c>
      <c r="E720" s="18">
        <v>165000000</v>
      </c>
      <c r="F720" s="18">
        <v>13635090.000000002</v>
      </c>
      <c r="G720" s="18">
        <v>11.00102749596812</v>
      </c>
      <c r="H720" s="18">
        <v>0</v>
      </c>
      <c r="I720" s="16">
        <v>3000</v>
      </c>
    </row>
    <row r="721" spans="1:9">
      <c r="A721" s="9">
        <v>858</v>
      </c>
      <c r="B721" s="9" t="s">
        <v>998</v>
      </c>
      <c r="C721" s="9" t="s">
        <v>14</v>
      </c>
      <c r="D721" s="21">
        <v>3000</v>
      </c>
      <c r="E721" s="18">
        <v>135000000</v>
      </c>
      <c r="F721" s="18">
        <v>30681818.18181818</v>
      </c>
      <c r="G721" s="18">
        <v>4</v>
      </c>
      <c r="H721" s="18">
        <v>0</v>
      </c>
      <c r="I721" s="16">
        <v>3000</v>
      </c>
    </row>
    <row r="722" spans="1:9">
      <c r="A722" s="9">
        <v>860</v>
      </c>
      <c r="B722" s="9" t="s">
        <v>999</v>
      </c>
      <c r="C722" s="9" t="s">
        <v>14</v>
      </c>
      <c r="D722" s="21">
        <v>1200</v>
      </c>
      <c r="E722" s="18">
        <v>70800000</v>
      </c>
      <c r="F722" s="18">
        <v>9729720</v>
      </c>
      <c r="G722" s="18">
        <v>6.6151581303096458</v>
      </c>
      <c r="H722" s="18">
        <v>0</v>
      </c>
      <c r="I722" s="16">
        <v>1200</v>
      </c>
    </row>
    <row r="723" spans="1:9">
      <c r="A723" s="9">
        <v>862</v>
      </c>
      <c r="B723" s="9" t="s">
        <v>1500</v>
      </c>
      <c r="C723" s="9" t="s">
        <v>14</v>
      </c>
      <c r="D723" s="21">
        <v>3000</v>
      </c>
      <c r="E723" s="18">
        <v>177000000</v>
      </c>
      <c r="F723" s="18">
        <v>22987012.987012986</v>
      </c>
      <c r="G723" s="18">
        <v>7</v>
      </c>
      <c r="H723" s="18">
        <v>0</v>
      </c>
      <c r="I723" s="16">
        <v>3000</v>
      </c>
    </row>
    <row r="724" spans="1:9">
      <c r="A724" s="9">
        <v>863</v>
      </c>
      <c r="B724" s="9" t="s">
        <v>1501</v>
      </c>
      <c r="C724" s="9" t="s">
        <v>14</v>
      </c>
      <c r="D724" s="21">
        <v>3000</v>
      </c>
      <c r="E724" s="18">
        <v>165000000</v>
      </c>
      <c r="F724" s="18">
        <v>21428571.428571425</v>
      </c>
      <c r="G724" s="18">
        <v>7</v>
      </c>
      <c r="H724" s="18">
        <v>0</v>
      </c>
      <c r="I724" s="16">
        <v>3000</v>
      </c>
    </row>
    <row r="725" spans="1:9">
      <c r="A725" s="9">
        <v>864</v>
      </c>
      <c r="B725" s="9" t="s">
        <v>1502</v>
      </c>
      <c r="C725" s="9" t="s">
        <v>14</v>
      </c>
      <c r="D725" s="21">
        <v>1800</v>
      </c>
      <c r="E725" s="18">
        <v>106200000</v>
      </c>
      <c r="F725" s="18">
        <v>13792207.792207791</v>
      </c>
      <c r="G725" s="18">
        <v>7</v>
      </c>
      <c r="H725" s="18">
        <v>0</v>
      </c>
      <c r="I725" s="16">
        <v>1800</v>
      </c>
    </row>
    <row r="726" spans="1:9">
      <c r="A726" s="9">
        <v>865</v>
      </c>
      <c r="B726" s="9" t="s">
        <v>1503</v>
      </c>
      <c r="C726" s="9" t="s">
        <v>14</v>
      </c>
      <c r="D726" s="21">
        <v>1200</v>
      </c>
      <c r="E726" s="18">
        <v>66000000</v>
      </c>
      <c r="F726" s="18">
        <v>8571428.5714285709</v>
      </c>
      <c r="G726" s="18">
        <v>7</v>
      </c>
      <c r="H726" s="18">
        <v>0</v>
      </c>
      <c r="I726" s="16">
        <v>1200</v>
      </c>
    </row>
    <row r="727" spans="1:9">
      <c r="A727" s="9">
        <v>866</v>
      </c>
      <c r="B727" s="9" t="s">
        <v>1504</v>
      </c>
      <c r="C727" s="9" t="s">
        <v>14</v>
      </c>
      <c r="D727" s="21">
        <v>1500</v>
      </c>
      <c r="E727" s="18">
        <v>67500000</v>
      </c>
      <c r="F727" s="18">
        <v>8766233.7662337646</v>
      </c>
      <c r="G727" s="18">
        <v>7.0000000000000009</v>
      </c>
      <c r="H727" s="18">
        <v>0</v>
      </c>
      <c r="I727" s="16">
        <v>1500</v>
      </c>
    </row>
    <row r="728" spans="1:9">
      <c r="A728" s="9">
        <v>867</v>
      </c>
      <c r="B728" s="9" t="s">
        <v>1505</v>
      </c>
      <c r="C728" s="9" t="s">
        <v>14</v>
      </c>
      <c r="D728" s="21">
        <v>1800</v>
      </c>
      <c r="E728" s="18">
        <v>81000000</v>
      </c>
      <c r="F728" s="18">
        <v>10519480.519480519</v>
      </c>
      <c r="G728" s="18">
        <v>6.9999999999999991</v>
      </c>
      <c r="H728" s="18">
        <v>0</v>
      </c>
      <c r="I728" s="16">
        <v>1800</v>
      </c>
    </row>
    <row r="729" spans="1:9">
      <c r="A729" s="9">
        <v>869</v>
      </c>
      <c r="B729" s="9" t="s">
        <v>999</v>
      </c>
      <c r="C729" s="9" t="s">
        <v>14</v>
      </c>
      <c r="D729" s="21">
        <v>1800</v>
      </c>
      <c r="E729" s="18">
        <v>106200000</v>
      </c>
      <c r="F729" s="18">
        <v>14594580</v>
      </c>
      <c r="G729" s="18">
        <v>6.6151581303096449</v>
      </c>
      <c r="H729" s="18">
        <v>0</v>
      </c>
      <c r="I729" s="16">
        <v>1800</v>
      </c>
    </row>
    <row r="730" spans="1:9">
      <c r="A730" s="9">
        <v>871</v>
      </c>
      <c r="B730" s="9" t="s">
        <v>1506</v>
      </c>
      <c r="C730" s="9" t="s">
        <v>14</v>
      </c>
      <c r="D730" s="21">
        <v>700</v>
      </c>
      <c r="E730" s="18">
        <v>27300000</v>
      </c>
      <c r="F730" s="18">
        <v>2458904</v>
      </c>
      <c r="G730" s="18">
        <v>10.093188598734157</v>
      </c>
      <c r="H730" s="18">
        <v>0</v>
      </c>
      <c r="I730" s="16">
        <v>700</v>
      </c>
    </row>
    <row r="731" spans="1:9">
      <c r="A731" s="9">
        <v>872</v>
      </c>
      <c r="B731" s="9" t="s">
        <v>1507</v>
      </c>
      <c r="C731" s="9" t="s">
        <v>14</v>
      </c>
      <c r="D731" s="21">
        <v>700</v>
      </c>
      <c r="E731" s="18">
        <v>27300000</v>
      </c>
      <c r="F731" s="18">
        <v>2458904</v>
      </c>
      <c r="G731" s="18">
        <v>10.093188598734157</v>
      </c>
      <c r="H731" s="18">
        <v>0</v>
      </c>
      <c r="I731" s="16">
        <v>700</v>
      </c>
    </row>
    <row r="732" spans="1:9">
      <c r="A732" s="9">
        <v>874</v>
      </c>
      <c r="B732" s="9" t="s">
        <v>1508</v>
      </c>
      <c r="C732" s="9" t="s">
        <v>15</v>
      </c>
      <c r="D732" s="21">
        <v>20</v>
      </c>
      <c r="E732" s="18">
        <v>980000</v>
      </c>
      <c r="F732" s="18">
        <v>400909.09090909088</v>
      </c>
      <c r="G732" s="18">
        <v>2.2222222222222223</v>
      </c>
      <c r="H732" s="18">
        <v>20</v>
      </c>
      <c r="I732" s="16">
        <v>0</v>
      </c>
    </row>
    <row r="733" spans="1:9">
      <c r="A733" s="9">
        <v>875</v>
      </c>
      <c r="B733" s="9" t="s">
        <v>1509</v>
      </c>
      <c r="C733" s="9" t="s">
        <v>15</v>
      </c>
      <c r="D733" s="21">
        <v>30</v>
      </c>
      <c r="E733" s="18">
        <v>1470000</v>
      </c>
      <c r="F733" s="18">
        <v>601363.63636363635</v>
      </c>
      <c r="G733" s="18">
        <v>2.2222222222222223</v>
      </c>
      <c r="H733" s="18">
        <v>28</v>
      </c>
      <c r="I733" s="16">
        <v>0</v>
      </c>
    </row>
    <row r="734" spans="1:9">
      <c r="A734" s="9">
        <v>876</v>
      </c>
      <c r="B734" s="9" t="s">
        <v>1510</v>
      </c>
      <c r="C734" s="9" t="s">
        <v>15</v>
      </c>
      <c r="D734" s="21">
        <v>30</v>
      </c>
      <c r="E734" s="18">
        <v>1470000</v>
      </c>
      <c r="F734" s="18">
        <v>601363.63636363635</v>
      </c>
      <c r="G734" s="18">
        <v>2.2222222222222223</v>
      </c>
      <c r="H734" s="18">
        <v>30</v>
      </c>
      <c r="I734" s="16">
        <v>0</v>
      </c>
    </row>
    <row r="735" spans="1:9">
      <c r="A735" s="9">
        <v>877</v>
      </c>
      <c r="B735" s="9" t="s">
        <v>1511</v>
      </c>
      <c r="C735" s="9" t="s">
        <v>15</v>
      </c>
      <c r="D735" s="21">
        <v>25</v>
      </c>
      <c r="E735" s="18">
        <v>1225000</v>
      </c>
      <c r="F735" s="18">
        <v>501136.36363636359</v>
      </c>
      <c r="G735" s="18">
        <v>2.2222222222222223</v>
      </c>
      <c r="H735" s="18">
        <v>25</v>
      </c>
      <c r="I735" s="16">
        <v>0</v>
      </c>
    </row>
    <row r="736" spans="1:9">
      <c r="A736" s="9">
        <v>878</v>
      </c>
      <c r="B736" s="9" t="s">
        <v>1512</v>
      </c>
      <c r="C736" s="9" t="s">
        <v>15</v>
      </c>
      <c r="D736" s="21">
        <v>25</v>
      </c>
      <c r="E736" s="18">
        <v>1225000</v>
      </c>
      <c r="F736" s="18">
        <v>501136.36363636359</v>
      </c>
      <c r="G736" s="18">
        <v>2.2222222222222223</v>
      </c>
      <c r="H736" s="18">
        <v>25</v>
      </c>
      <c r="I736" s="16">
        <v>0</v>
      </c>
    </row>
    <row r="737" spans="1:9">
      <c r="A737" s="9">
        <v>879</v>
      </c>
      <c r="B737" s="9" t="s">
        <v>1513</v>
      </c>
      <c r="C737" s="9" t="s">
        <v>15</v>
      </c>
      <c r="D737" s="21">
        <v>20</v>
      </c>
      <c r="E737" s="18">
        <v>980000</v>
      </c>
      <c r="F737" s="18">
        <v>400909.09090909088</v>
      </c>
      <c r="G737" s="18">
        <v>2.2222222222222223</v>
      </c>
      <c r="H737" s="18">
        <v>20</v>
      </c>
      <c r="I737" s="16">
        <v>0</v>
      </c>
    </row>
    <row r="738" spans="1:9">
      <c r="A738" s="9">
        <v>880</v>
      </c>
      <c r="B738" s="9" t="s">
        <v>1514</v>
      </c>
      <c r="C738" s="9" t="s">
        <v>15</v>
      </c>
      <c r="D738" s="21">
        <v>25</v>
      </c>
      <c r="E738" s="18">
        <v>1225000</v>
      </c>
      <c r="F738" s="18">
        <v>501136.36363636359</v>
      </c>
      <c r="G738" s="18">
        <v>2.2222222222222223</v>
      </c>
      <c r="H738" s="18">
        <v>25</v>
      </c>
      <c r="I738" s="16">
        <v>0</v>
      </c>
    </row>
    <row r="739" spans="1:9">
      <c r="A739" s="9">
        <v>881</v>
      </c>
      <c r="B739" s="9" t="s">
        <v>1515</v>
      </c>
      <c r="C739" s="9" t="s">
        <v>15</v>
      </c>
      <c r="D739" s="21">
        <v>15</v>
      </c>
      <c r="E739" s="18">
        <v>735000</v>
      </c>
      <c r="F739" s="18">
        <v>300681.81818181818</v>
      </c>
      <c r="G739" s="18">
        <v>2.2222222222222223</v>
      </c>
      <c r="H739" s="18">
        <v>15</v>
      </c>
      <c r="I739" s="16">
        <v>0</v>
      </c>
    </row>
    <row r="740" spans="1:9">
      <c r="A740" s="9">
        <v>882</v>
      </c>
      <c r="B740" s="9" t="s">
        <v>1516</v>
      </c>
      <c r="C740" s="9" t="s">
        <v>15</v>
      </c>
      <c r="D740" s="21">
        <v>20</v>
      </c>
      <c r="E740" s="18">
        <v>980000</v>
      </c>
      <c r="F740" s="18">
        <v>400909.09090909088</v>
      </c>
      <c r="G740" s="18">
        <v>2.2222222222222223</v>
      </c>
      <c r="H740" s="18">
        <v>20</v>
      </c>
      <c r="I740" s="16">
        <v>0</v>
      </c>
    </row>
    <row r="741" spans="1:9">
      <c r="A741" s="9">
        <v>883</v>
      </c>
      <c r="B741" s="9" t="s">
        <v>1517</v>
      </c>
      <c r="C741" s="9" t="s">
        <v>15</v>
      </c>
      <c r="D741" s="21">
        <v>25</v>
      </c>
      <c r="E741" s="18">
        <v>1225000</v>
      </c>
      <c r="F741" s="18">
        <v>501136.36363636359</v>
      </c>
      <c r="G741" s="18">
        <v>2.2222222222222223</v>
      </c>
      <c r="H741" s="18">
        <v>25</v>
      </c>
      <c r="I741" s="16">
        <v>0</v>
      </c>
    </row>
    <row r="742" spans="1:9">
      <c r="A742" s="9">
        <v>884</v>
      </c>
      <c r="B742" s="9" t="s">
        <v>1518</v>
      </c>
      <c r="C742" s="9" t="s">
        <v>15</v>
      </c>
      <c r="D742" s="21">
        <v>20</v>
      </c>
      <c r="E742" s="18">
        <v>980000</v>
      </c>
      <c r="F742" s="18">
        <v>400909.09090909088</v>
      </c>
      <c r="G742" s="18">
        <v>2.2222222222222223</v>
      </c>
      <c r="H742" s="18">
        <v>20</v>
      </c>
      <c r="I742" s="16">
        <v>0</v>
      </c>
    </row>
    <row r="743" spans="1:9">
      <c r="A743" s="9">
        <v>886</v>
      </c>
      <c r="B743" s="9" t="s">
        <v>1519</v>
      </c>
      <c r="C743" s="9" t="s">
        <v>14</v>
      </c>
      <c r="D743" s="21">
        <v>300</v>
      </c>
      <c r="E743" s="18">
        <v>16500000</v>
      </c>
      <c r="F743" s="18">
        <v>2499999.9999999995</v>
      </c>
      <c r="G743" s="18">
        <v>6.0000000000000009</v>
      </c>
      <c r="H743" s="18">
        <v>0</v>
      </c>
      <c r="I743" s="16">
        <v>300</v>
      </c>
    </row>
    <row r="744" spans="1:9">
      <c r="A744" s="9">
        <v>887</v>
      </c>
      <c r="B744" s="9" t="s">
        <v>1520</v>
      </c>
      <c r="C744" s="9" t="s">
        <v>14</v>
      </c>
      <c r="D744" s="21">
        <v>500</v>
      </c>
      <c r="E744" s="18">
        <v>24500000</v>
      </c>
      <c r="F744" s="18">
        <v>3712121.2121212119</v>
      </c>
      <c r="G744" s="18">
        <v>6</v>
      </c>
      <c r="H744" s="18">
        <v>0</v>
      </c>
      <c r="I744" s="16">
        <v>500</v>
      </c>
    </row>
    <row r="745" spans="1:9">
      <c r="A745" s="9">
        <v>888</v>
      </c>
      <c r="B745" s="9" t="s">
        <v>1521</v>
      </c>
      <c r="C745" s="9" t="s">
        <v>14</v>
      </c>
      <c r="D745" s="21">
        <v>500</v>
      </c>
      <c r="E745" s="18">
        <v>24500000</v>
      </c>
      <c r="F745" s="18">
        <v>3712121.2121212119</v>
      </c>
      <c r="G745" s="18">
        <v>6</v>
      </c>
      <c r="H745" s="18">
        <v>0</v>
      </c>
      <c r="I745" s="16">
        <v>500</v>
      </c>
    </row>
    <row r="746" spans="1:9">
      <c r="A746" s="9">
        <v>889</v>
      </c>
      <c r="B746" s="9" t="s">
        <v>1522</v>
      </c>
      <c r="C746" s="9" t="s">
        <v>14</v>
      </c>
      <c r="D746" s="21">
        <v>800</v>
      </c>
      <c r="E746" s="18">
        <v>31200000</v>
      </c>
      <c r="F746" s="18">
        <v>4727272.7272727266</v>
      </c>
      <c r="G746" s="18">
        <v>6</v>
      </c>
      <c r="H746" s="18">
        <v>0</v>
      </c>
      <c r="I746" s="16">
        <v>800</v>
      </c>
    </row>
    <row r="747" spans="1:9">
      <c r="A747" s="9">
        <v>890</v>
      </c>
      <c r="B747" s="9" t="s">
        <v>1523</v>
      </c>
      <c r="C747" s="9" t="s">
        <v>14</v>
      </c>
      <c r="D747" s="21">
        <v>800</v>
      </c>
      <c r="E747" s="18">
        <v>31200000</v>
      </c>
      <c r="F747" s="18">
        <v>4727272.7272727266</v>
      </c>
      <c r="G747" s="18">
        <v>6</v>
      </c>
      <c r="H747" s="18">
        <v>0</v>
      </c>
      <c r="I747" s="16">
        <v>800</v>
      </c>
    </row>
    <row r="748" spans="1:9">
      <c r="A748" s="9">
        <v>891</v>
      </c>
      <c r="B748" s="9" t="s">
        <v>1524</v>
      </c>
      <c r="C748" s="9" t="s">
        <v>14</v>
      </c>
      <c r="D748" s="21">
        <v>700</v>
      </c>
      <c r="E748" s="18">
        <v>31500000</v>
      </c>
      <c r="F748" s="18">
        <v>4772727.2727272715</v>
      </c>
      <c r="G748" s="18">
        <v>6.0000000000000009</v>
      </c>
      <c r="H748" s="18">
        <v>0</v>
      </c>
      <c r="I748" s="16">
        <v>700</v>
      </c>
    </row>
    <row r="749" spans="1:9">
      <c r="A749" s="9">
        <v>892</v>
      </c>
      <c r="B749" s="9" t="s">
        <v>1525</v>
      </c>
      <c r="C749" s="9" t="s">
        <v>14</v>
      </c>
      <c r="D749" s="21">
        <v>700</v>
      </c>
      <c r="E749" s="18">
        <v>31500000</v>
      </c>
      <c r="F749" s="18">
        <v>4772727.2727272715</v>
      </c>
      <c r="G749" s="18">
        <v>6.0000000000000009</v>
      </c>
      <c r="H749" s="18">
        <v>0</v>
      </c>
      <c r="I749" s="16">
        <v>700</v>
      </c>
    </row>
    <row r="750" spans="1:9">
      <c r="A750" s="9">
        <v>893</v>
      </c>
      <c r="B750" s="9" t="s">
        <v>1526</v>
      </c>
      <c r="C750" s="9" t="s">
        <v>14</v>
      </c>
      <c r="D750" s="21">
        <v>700</v>
      </c>
      <c r="E750" s="18">
        <v>31500000</v>
      </c>
      <c r="F750" s="18">
        <v>4772727.2727272715</v>
      </c>
      <c r="G750" s="18">
        <v>6.0000000000000009</v>
      </c>
      <c r="H750" s="18">
        <v>0</v>
      </c>
      <c r="I750" s="16">
        <v>700</v>
      </c>
    </row>
    <row r="751" spans="1:9">
      <c r="A751" s="9">
        <v>895</v>
      </c>
      <c r="B751" s="9" t="s">
        <v>1527</v>
      </c>
      <c r="C751" s="9" t="s">
        <v>14</v>
      </c>
      <c r="D751" s="21">
        <v>700</v>
      </c>
      <c r="E751" s="18">
        <v>31500000</v>
      </c>
      <c r="F751" s="18">
        <v>4232103.2</v>
      </c>
      <c r="G751" s="18">
        <v>6.7664615636886252</v>
      </c>
      <c r="H751" s="18">
        <v>0</v>
      </c>
      <c r="I751" s="16">
        <v>700</v>
      </c>
    </row>
    <row r="752" spans="1:9">
      <c r="A752" s="9">
        <v>896</v>
      </c>
      <c r="B752" s="9" t="s">
        <v>1528</v>
      </c>
      <c r="C752" s="9" t="s">
        <v>14</v>
      </c>
      <c r="D752" s="21">
        <v>500</v>
      </c>
      <c r="E752" s="18">
        <v>24500000</v>
      </c>
      <c r="F752" s="18">
        <v>2834944.0000000005</v>
      </c>
      <c r="G752" s="18">
        <v>7.8564963797264662</v>
      </c>
      <c r="H752" s="18">
        <v>0</v>
      </c>
      <c r="I752" s="16">
        <v>500</v>
      </c>
    </row>
    <row r="753" spans="1:9">
      <c r="A753" s="9">
        <v>897</v>
      </c>
      <c r="B753" s="9" t="s">
        <v>1529</v>
      </c>
      <c r="C753" s="9" t="s">
        <v>14</v>
      </c>
      <c r="D753" s="21">
        <v>1000</v>
      </c>
      <c r="E753" s="18">
        <v>49000000</v>
      </c>
      <c r="F753" s="18">
        <v>8091200.0000000009</v>
      </c>
      <c r="G753" s="18">
        <v>5.5054200298416225</v>
      </c>
      <c r="H753" s="18">
        <v>0</v>
      </c>
      <c r="I753" s="16">
        <v>1000</v>
      </c>
    </row>
    <row r="754" spans="1:9">
      <c r="A754" s="9">
        <v>898</v>
      </c>
      <c r="B754" s="9" t="s">
        <v>1530</v>
      </c>
      <c r="C754" s="9" t="s">
        <v>14</v>
      </c>
      <c r="D754" s="21">
        <v>1000</v>
      </c>
      <c r="E754" s="18">
        <v>45000000</v>
      </c>
      <c r="F754" s="18">
        <v>8091200.0000000009</v>
      </c>
      <c r="G754" s="18">
        <v>5.0559979865892455</v>
      </c>
      <c r="H754" s="18">
        <v>0</v>
      </c>
      <c r="I754" s="16">
        <v>1000</v>
      </c>
    </row>
    <row r="755" spans="1:9">
      <c r="A755" s="9">
        <v>899</v>
      </c>
      <c r="B755" s="9" t="s">
        <v>1531</v>
      </c>
      <c r="C755" s="9" t="s">
        <v>14</v>
      </c>
      <c r="D755" s="21">
        <v>700</v>
      </c>
      <c r="E755" s="18">
        <v>31500000</v>
      </c>
      <c r="F755" s="18">
        <v>3141195.1999999997</v>
      </c>
      <c r="G755" s="18">
        <v>9.116390995492301</v>
      </c>
      <c r="H755" s="18">
        <v>0</v>
      </c>
      <c r="I755" s="16">
        <v>700</v>
      </c>
    </row>
    <row r="756" spans="1:9">
      <c r="A756" s="9">
        <v>900</v>
      </c>
      <c r="B756" s="9" t="s">
        <v>1532</v>
      </c>
      <c r="C756" s="9" t="s">
        <v>14</v>
      </c>
      <c r="D756" s="21">
        <v>700</v>
      </c>
      <c r="E756" s="18">
        <v>31500000</v>
      </c>
      <c r="F756" s="18">
        <v>5338821.6000000006</v>
      </c>
      <c r="G756" s="18">
        <v>5.3637985649049655</v>
      </c>
      <c r="H756" s="18">
        <v>0</v>
      </c>
      <c r="I756" s="16">
        <v>700</v>
      </c>
    </row>
    <row r="757" spans="1:9">
      <c r="A757" s="9">
        <v>901</v>
      </c>
      <c r="B757" s="9" t="s">
        <v>1533</v>
      </c>
      <c r="C757" s="9" t="s">
        <v>14</v>
      </c>
      <c r="D757" s="21">
        <v>500</v>
      </c>
      <c r="E757" s="18">
        <v>29500000</v>
      </c>
      <c r="F757" s="18">
        <v>3319944.0000000005</v>
      </c>
      <c r="G757" s="18">
        <v>8.0779018616524283</v>
      </c>
      <c r="H757" s="18">
        <v>0</v>
      </c>
      <c r="I757" s="16">
        <v>500</v>
      </c>
    </row>
    <row r="758" spans="1:9">
      <c r="A758" s="9">
        <v>902</v>
      </c>
      <c r="B758" s="9" t="s">
        <v>1534</v>
      </c>
      <c r="C758" s="9" t="s">
        <v>14</v>
      </c>
      <c r="D758" s="21">
        <v>700</v>
      </c>
      <c r="E758" s="18">
        <v>41300000</v>
      </c>
      <c r="F758" s="18">
        <v>4488994</v>
      </c>
      <c r="G758" s="18">
        <v>8.3638905611044567</v>
      </c>
      <c r="H758" s="18">
        <v>0</v>
      </c>
      <c r="I758" s="16">
        <v>700</v>
      </c>
    </row>
    <row r="759" spans="1:9">
      <c r="A759" s="9">
        <v>903</v>
      </c>
      <c r="B759" s="9" t="s">
        <v>1535</v>
      </c>
      <c r="C759" s="9" t="s">
        <v>14</v>
      </c>
      <c r="D759" s="21">
        <v>700</v>
      </c>
      <c r="E759" s="18">
        <v>38500000</v>
      </c>
      <c r="F759" s="18">
        <v>4488994</v>
      </c>
      <c r="G759" s="18">
        <v>7.7968471332329692</v>
      </c>
      <c r="H759" s="18">
        <v>0</v>
      </c>
      <c r="I759" s="16">
        <v>700</v>
      </c>
    </row>
    <row r="760" spans="1:9">
      <c r="A760" s="9">
        <v>905</v>
      </c>
      <c r="B760" s="9" t="s">
        <v>920</v>
      </c>
      <c r="C760" s="9" t="s">
        <v>14</v>
      </c>
      <c r="D760" s="21">
        <v>3000</v>
      </c>
      <c r="E760" s="18">
        <v>147000000</v>
      </c>
      <c r="F760" s="18">
        <v>33409090.909090906</v>
      </c>
      <c r="G760" s="18">
        <v>4</v>
      </c>
      <c r="H760" s="18">
        <v>0</v>
      </c>
      <c r="I760" s="16">
        <v>3000</v>
      </c>
    </row>
    <row r="761" spans="1:9">
      <c r="A761" s="9">
        <v>906</v>
      </c>
      <c r="B761" s="9" t="s">
        <v>1023</v>
      </c>
      <c r="C761" s="9" t="s">
        <v>14</v>
      </c>
      <c r="D761" s="21">
        <v>1000</v>
      </c>
      <c r="E761" s="18">
        <v>49000000</v>
      </c>
      <c r="F761" s="18">
        <v>11136363.636363637</v>
      </c>
      <c r="G761" s="18">
        <v>3.9999999999999996</v>
      </c>
      <c r="H761" s="18">
        <v>0</v>
      </c>
      <c r="I761" s="16">
        <v>1000</v>
      </c>
    </row>
    <row r="762" spans="1:9">
      <c r="A762" s="9">
        <v>908</v>
      </c>
      <c r="B762" s="9" t="s">
        <v>1536</v>
      </c>
      <c r="C762" s="9" t="s">
        <v>14</v>
      </c>
      <c r="D762" s="21">
        <v>1500</v>
      </c>
      <c r="E762" s="18">
        <v>64500000</v>
      </c>
      <c r="F762" s="18">
        <v>7596855</v>
      </c>
      <c r="G762" s="18">
        <v>7.7185050440430452</v>
      </c>
      <c r="H762" s="18">
        <v>0</v>
      </c>
      <c r="I762" s="16">
        <v>1500</v>
      </c>
    </row>
    <row r="763" spans="1:9">
      <c r="A763" s="9">
        <v>910</v>
      </c>
      <c r="B763" s="9" t="s">
        <v>1537</v>
      </c>
      <c r="C763" s="9" t="s">
        <v>14</v>
      </c>
      <c r="D763" s="21">
        <v>1000</v>
      </c>
      <c r="E763" s="18">
        <v>49000000</v>
      </c>
      <c r="F763" s="18">
        <v>5737250.0000000009</v>
      </c>
      <c r="G763" s="18">
        <v>7.7642519578987379</v>
      </c>
      <c r="H763" s="18">
        <v>0</v>
      </c>
      <c r="I763" s="16">
        <v>1000</v>
      </c>
    </row>
    <row r="764" spans="1:9">
      <c r="A764" s="9">
        <v>912</v>
      </c>
      <c r="B764" s="9" t="s">
        <v>1538</v>
      </c>
      <c r="C764" s="9" t="s">
        <v>14</v>
      </c>
      <c r="D764" s="21">
        <v>700</v>
      </c>
      <c r="E764" s="18">
        <v>41300000</v>
      </c>
      <c r="F764" s="18">
        <v>8750000</v>
      </c>
      <c r="G764" s="18">
        <v>4.290909090909091</v>
      </c>
      <c r="H764" s="18">
        <v>0</v>
      </c>
      <c r="I764" s="16">
        <v>700</v>
      </c>
    </row>
    <row r="765" spans="1:9">
      <c r="A765" s="9">
        <v>914</v>
      </c>
      <c r="B765" s="9" t="s">
        <v>1539</v>
      </c>
      <c r="C765" s="9" t="s">
        <v>14</v>
      </c>
      <c r="D765" s="21">
        <v>1000</v>
      </c>
      <c r="E765" s="18">
        <v>45000000</v>
      </c>
      <c r="F765" s="18">
        <v>5955670</v>
      </c>
      <c r="G765" s="18">
        <v>6.8689317757852439</v>
      </c>
      <c r="H765" s="18">
        <v>0</v>
      </c>
      <c r="I765" s="16">
        <v>1000</v>
      </c>
    </row>
    <row r="766" spans="1:9">
      <c r="A766" s="9">
        <v>915</v>
      </c>
      <c r="B766" s="9" t="s">
        <v>1040</v>
      </c>
      <c r="C766" s="9" t="s">
        <v>14</v>
      </c>
      <c r="D766" s="21">
        <v>1000</v>
      </c>
      <c r="E766" s="18">
        <v>45000000</v>
      </c>
      <c r="F766" s="18">
        <v>6673590</v>
      </c>
      <c r="G766" s="18">
        <v>6.1299976338209126</v>
      </c>
      <c r="H766" s="18">
        <v>0</v>
      </c>
      <c r="I766" s="16">
        <v>1000</v>
      </c>
    </row>
    <row r="767" spans="1:9">
      <c r="A767" s="9">
        <v>917</v>
      </c>
      <c r="B767" s="9" t="s">
        <v>1130</v>
      </c>
      <c r="C767" s="9" t="s">
        <v>14</v>
      </c>
      <c r="D767" s="21">
        <v>500</v>
      </c>
      <c r="E767" s="18">
        <v>29500000</v>
      </c>
      <c r="F767" s="18">
        <v>3829518</v>
      </c>
      <c r="G767" s="18">
        <v>7.0030175646600465</v>
      </c>
      <c r="H767" s="18">
        <v>0</v>
      </c>
      <c r="I767" s="16">
        <v>500</v>
      </c>
    </row>
    <row r="768" spans="1:9">
      <c r="A768" s="9">
        <v>919</v>
      </c>
      <c r="B768" s="9" t="s">
        <v>1540</v>
      </c>
      <c r="C768" s="9" t="s">
        <v>14</v>
      </c>
      <c r="D768" s="21">
        <v>300</v>
      </c>
      <c r="E768" s="18">
        <v>17700000</v>
      </c>
      <c r="F768" s="18">
        <v>3037182.0000000009</v>
      </c>
      <c r="G768" s="18">
        <v>5.2979732827697141</v>
      </c>
      <c r="H768" s="18">
        <v>0</v>
      </c>
      <c r="I768" s="16">
        <v>300</v>
      </c>
    </row>
    <row r="769" spans="1:9">
      <c r="A769" s="9">
        <v>920</v>
      </c>
      <c r="B769" s="9" t="s">
        <v>1541</v>
      </c>
      <c r="C769" s="9" t="s">
        <v>14</v>
      </c>
      <c r="D769" s="21">
        <v>300</v>
      </c>
      <c r="E769" s="18">
        <v>16500000</v>
      </c>
      <c r="F769" s="18">
        <v>2625540.0000000005</v>
      </c>
      <c r="G769" s="18">
        <v>5.7131104458511377</v>
      </c>
      <c r="H769" s="18">
        <v>0</v>
      </c>
      <c r="I769" s="16">
        <v>300</v>
      </c>
    </row>
    <row r="770" spans="1:9">
      <c r="A770" s="9">
        <v>921</v>
      </c>
      <c r="B770" s="9" t="s">
        <v>1542</v>
      </c>
      <c r="C770" s="9" t="s">
        <v>14</v>
      </c>
      <c r="D770" s="21">
        <v>400</v>
      </c>
      <c r="E770" s="18">
        <v>23600000</v>
      </c>
      <c r="F770" s="18">
        <v>3500720.0000000005</v>
      </c>
      <c r="G770" s="18">
        <v>6.1286093873675842</v>
      </c>
      <c r="H770" s="18">
        <v>0</v>
      </c>
      <c r="I770" s="16">
        <v>400</v>
      </c>
    </row>
    <row r="771" spans="1:9">
      <c r="A771" s="9">
        <v>922</v>
      </c>
      <c r="B771" s="9" t="s">
        <v>1543</v>
      </c>
      <c r="C771" s="9" t="s">
        <v>14</v>
      </c>
      <c r="D771" s="21">
        <v>400</v>
      </c>
      <c r="E771" s="18">
        <v>22000000</v>
      </c>
      <c r="F771" s="18">
        <v>3333333.333333333</v>
      </c>
      <c r="G771" s="18">
        <v>6</v>
      </c>
      <c r="H771" s="18">
        <v>0</v>
      </c>
      <c r="I771" s="16">
        <v>400</v>
      </c>
    </row>
    <row r="772" spans="1:9">
      <c r="A772" s="9">
        <v>923</v>
      </c>
      <c r="B772" s="9" t="s">
        <v>1544</v>
      </c>
      <c r="C772" s="9" t="s">
        <v>14</v>
      </c>
      <c r="D772" s="21">
        <v>300</v>
      </c>
      <c r="E772" s="18">
        <v>14700000</v>
      </c>
      <c r="F772" s="18">
        <v>3299136.0000000009</v>
      </c>
      <c r="G772" s="18">
        <v>4.0506473099733862</v>
      </c>
      <c r="H772" s="18">
        <v>0</v>
      </c>
      <c r="I772" s="16">
        <v>300</v>
      </c>
    </row>
    <row r="773" spans="1:9">
      <c r="A773" s="9">
        <v>925</v>
      </c>
      <c r="B773" s="9" t="s">
        <v>1464</v>
      </c>
      <c r="C773" s="9" t="s">
        <v>15</v>
      </c>
      <c r="D773" s="21">
        <v>70</v>
      </c>
      <c r="E773" s="18">
        <v>3430000</v>
      </c>
      <c r="F773" s="18">
        <v>1403181.8181818181</v>
      </c>
      <c r="G773" s="18">
        <v>2.2222222222222223</v>
      </c>
      <c r="H773" s="18">
        <v>70</v>
      </c>
      <c r="I773" s="16">
        <v>0</v>
      </c>
    </row>
    <row r="774" spans="1:9">
      <c r="A774" s="9">
        <v>926</v>
      </c>
      <c r="B774" s="9" t="s">
        <v>1465</v>
      </c>
      <c r="C774" s="9" t="s">
        <v>15</v>
      </c>
      <c r="D774" s="21">
        <v>35</v>
      </c>
      <c r="E774" s="18">
        <v>1715000</v>
      </c>
      <c r="F774" s="18">
        <v>701590.90909090906</v>
      </c>
      <c r="G774" s="18">
        <v>2.2222222222222223</v>
      </c>
      <c r="H774" s="18">
        <v>35</v>
      </c>
      <c r="I774" s="16">
        <v>0</v>
      </c>
    </row>
    <row r="775" spans="1:9">
      <c r="A775" s="9">
        <v>927</v>
      </c>
      <c r="B775" s="9" t="s">
        <v>1545</v>
      </c>
      <c r="C775" s="9" t="s">
        <v>15</v>
      </c>
      <c r="D775" s="21">
        <v>70</v>
      </c>
      <c r="E775" s="18">
        <v>3430000</v>
      </c>
      <c r="F775" s="18">
        <v>1403181.8181818181</v>
      </c>
      <c r="G775" s="18">
        <v>2.2222222222222223</v>
      </c>
      <c r="H775" s="18">
        <v>70</v>
      </c>
      <c r="I775" s="16">
        <v>0</v>
      </c>
    </row>
    <row r="776" spans="1:9">
      <c r="A776" s="9">
        <v>928</v>
      </c>
      <c r="B776" s="9" t="s">
        <v>1546</v>
      </c>
      <c r="C776" s="9" t="s">
        <v>15</v>
      </c>
      <c r="D776" s="21">
        <v>35</v>
      </c>
      <c r="E776" s="18">
        <v>1715000</v>
      </c>
      <c r="F776" s="18">
        <v>701590.90909090906</v>
      </c>
      <c r="G776" s="18">
        <v>2.2222222222222223</v>
      </c>
      <c r="H776" s="18">
        <v>35</v>
      </c>
      <c r="I776" s="16">
        <v>0</v>
      </c>
    </row>
    <row r="777" spans="1:9">
      <c r="A777" s="9">
        <v>929</v>
      </c>
      <c r="B777" s="9" t="s">
        <v>1547</v>
      </c>
      <c r="C777" s="9" t="s">
        <v>15</v>
      </c>
      <c r="D777" s="21">
        <v>80</v>
      </c>
      <c r="E777" s="18">
        <v>3920000</v>
      </c>
      <c r="F777" s="18">
        <v>1603636.3636363635</v>
      </c>
      <c r="G777" s="18">
        <v>2.2222222222222223</v>
      </c>
      <c r="H777" s="18">
        <v>80</v>
      </c>
      <c r="I777" s="16">
        <v>0</v>
      </c>
    </row>
    <row r="778" spans="1:9">
      <c r="A778" s="9">
        <v>930</v>
      </c>
      <c r="B778" s="9" t="s">
        <v>1468</v>
      </c>
      <c r="C778" s="9" t="s">
        <v>15</v>
      </c>
      <c r="D778" s="21">
        <v>35</v>
      </c>
      <c r="E778" s="18">
        <v>1715000</v>
      </c>
      <c r="F778" s="18">
        <v>701590.90909090906</v>
      </c>
      <c r="G778" s="18">
        <v>2.2222222222222223</v>
      </c>
      <c r="H778" s="18">
        <v>35</v>
      </c>
      <c r="I778" s="16">
        <v>0</v>
      </c>
    </row>
    <row r="779" spans="1:9">
      <c r="A779" s="9">
        <v>931</v>
      </c>
      <c r="B779" s="9" t="s">
        <v>1471</v>
      </c>
      <c r="C779" s="9" t="s">
        <v>15</v>
      </c>
      <c r="D779" s="21">
        <v>50</v>
      </c>
      <c r="E779" s="18">
        <v>2450000</v>
      </c>
      <c r="F779" s="18">
        <v>1002272.7272727272</v>
      </c>
      <c r="G779" s="18">
        <v>2.2222222222222223</v>
      </c>
      <c r="H779" s="18">
        <v>50</v>
      </c>
      <c r="I779" s="16">
        <v>0</v>
      </c>
    </row>
    <row r="780" spans="1:9">
      <c r="A780" s="9">
        <v>932</v>
      </c>
      <c r="B780" s="9" t="s">
        <v>1472</v>
      </c>
      <c r="C780" s="9" t="s">
        <v>15</v>
      </c>
      <c r="D780" s="21">
        <v>50</v>
      </c>
      <c r="E780" s="18">
        <v>2450000</v>
      </c>
      <c r="F780" s="18">
        <v>1002272.7272727272</v>
      </c>
      <c r="G780" s="18">
        <v>2.2222222222222223</v>
      </c>
      <c r="H780" s="18">
        <v>50</v>
      </c>
      <c r="I780" s="16">
        <v>0</v>
      </c>
    </row>
    <row r="781" spans="1:9">
      <c r="A781" s="9">
        <v>933</v>
      </c>
      <c r="B781" s="9" t="s">
        <v>1548</v>
      </c>
      <c r="C781" s="9" t="s">
        <v>15</v>
      </c>
      <c r="D781" s="21">
        <v>200</v>
      </c>
      <c r="E781" s="18">
        <v>9800000</v>
      </c>
      <c r="F781" s="18">
        <v>4009090.9090909087</v>
      </c>
      <c r="G781" s="18">
        <v>2.2222222222222223</v>
      </c>
      <c r="H781" s="18">
        <v>190</v>
      </c>
      <c r="I781" s="16">
        <v>0</v>
      </c>
    </row>
    <row r="782" spans="1:9">
      <c r="A782" s="9">
        <v>934</v>
      </c>
      <c r="B782" s="9" t="s">
        <v>1549</v>
      </c>
      <c r="C782" s="9" t="s">
        <v>15</v>
      </c>
      <c r="D782" s="21">
        <v>85</v>
      </c>
      <c r="E782" s="18">
        <v>4165000</v>
      </c>
      <c r="F782" s="18">
        <v>1703863.6363636362</v>
      </c>
      <c r="G782" s="18">
        <v>2.2222222222222223</v>
      </c>
      <c r="H782" s="18">
        <v>85</v>
      </c>
      <c r="I782" s="16">
        <v>0</v>
      </c>
    </row>
    <row r="783" spans="1:9">
      <c r="A783" s="9">
        <v>935</v>
      </c>
      <c r="B783" s="9" t="s">
        <v>1550</v>
      </c>
      <c r="C783" s="9" t="s">
        <v>15</v>
      </c>
      <c r="D783" s="21">
        <v>80</v>
      </c>
      <c r="E783" s="18">
        <v>3920000</v>
      </c>
      <c r="F783" s="18">
        <v>1603636.3636363635</v>
      </c>
      <c r="G783" s="18">
        <v>2.2222222222222223</v>
      </c>
      <c r="H783" s="18">
        <v>80</v>
      </c>
      <c r="I783" s="16">
        <v>0</v>
      </c>
    </row>
    <row r="784" spans="1:9">
      <c r="A784" s="9">
        <v>936</v>
      </c>
      <c r="B784" s="9" t="s">
        <v>1551</v>
      </c>
      <c r="C784" s="9" t="s">
        <v>15</v>
      </c>
      <c r="D784" s="21">
        <v>80</v>
      </c>
      <c r="E784" s="18">
        <v>3920000</v>
      </c>
      <c r="F784" s="18">
        <v>1603636.3636363635</v>
      </c>
      <c r="G784" s="18">
        <v>2.2222222222222223</v>
      </c>
      <c r="H784" s="18">
        <v>80</v>
      </c>
      <c r="I784" s="16">
        <v>0</v>
      </c>
    </row>
    <row r="785" spans="1:9">
      <c r="A785" s="9">
        <v>937</v>
      </c>
      <c r="B785" s="9" t="s">
        <v>1473</v>
      </c>
      <c r="C785" s="9" t="s">
        <v>15</v>
      </c>
      <c r="D785" s="21">
        <v>50</v>
      </c>
      <c r="E785" s="18">
        <v>2950000</v>
      </c>
      <c r="F785" s="18">
        <v>1206818.1818181819</v>
      </c>
      <c r="G785" s="18">
        <v>2.2222222222222219</v>
      </c>
      <c r="H785" s="18">
        <v>50</v>
      </c>
      <c r="I785" s="16">
        <v>0</v>
      </c>
    </row>
    <row r="786" spans="1:9">
      <c r="A786" s="9">
        <v>938</v>
      </c>
      <c r="B786" s="9" t="s">
        <v>1552</v>
      </c>
      <c r="C786" s="9" t="s">
        <v>15</v>
      </c>
      <c r="D786" s="21">
        <v>120</v>
      </c>
      <c r="E786" s="18">
        <v>5880000</v>
      </c>
      <c r="F786" s="18">
        <v>2405454.5454545454</v>
      </c>
      <c r="G786" s="18">
        <v>2.2222222222222223</v>
      </c>
      <c r="H786" s="18">
        <v>120</v>
      </c>
      <c r="I786" s="16">
        <v>0</v>
      </c>
    </row>
    <row r="787" spans="1:9">
      <c r="A787" s="9">
        <v>939</v>
      </c>
      <c r="B787" s="9" t="s">
        <v>1553</v>
      </c>
      <c r="C787" s="9" t="s">
        <v>15</v>
      </c>
      <c r="D787" s="21">
        <v>135</v>
      </c>
      <c r="E787" s="18">
        <v>6615000</v>
      </c>
      <c r="F787" s="18">
        <v>2706136.3636363633</v>
      </c>
      <c r="G787" s="18">
        <v>2.2222222222222223</v>
      </c>
      <c r="H787" s="18">
        <v>135</v>
      </c>
      <c r="I787" s="16">
        <v>0</v>
      </c>
    </row>
    <row r="788" spans="1:9">
      <c r="A788" s="9">
        <v>940</v>
      </c>
      <c r="B788" s="9" t="s">
        <v>1554</v>
      </c>
      <c r="C788" s="9" t="s">
        <v>15</v>
      </c>
      <c r="D788" s="21">
        <v>35</v>
      </c>
      <c r="E788" s="18">
        <v>1715000</v>
      </c>
      <c r="F788" s="18">
        <v>701590.90909090906</v>
      </c>
      <c r="G788" s="18">
        <v>2.2222222222222223</v>
      </c>
      <c r="H788" s="18">
        <v>35</v>
      </c>
      <c r="I788" s="16">
        <v>0</v>
      </c>
    </row>
    <row r="789" spans="1:9">
      <c r="A789" s="9">
        <v>941</v>
      </c>
      <c r="B789" s="9" t="s">
        <v>1555</v>
      </c>
      <c r="C789" s="9" t="s">
        <v>15</v>
      </c>
      <c r="D789" s="21">
        <v>15</v>
      </c>
      <c r="E789" s="18">
        <v>735000</v>
      </c>
      <c r="F789" s="18">
        <v>300681.81818181818</v>
      </c>
      <c r="G789" s="18">
        <v>2.2222222222222223</v>
      </c>
      <c r="H789" s="18">
        <v>15</v>
      </c>
      <c r="I789" s="16">
        <v>0</v>
      </c>
    </row>
    <row r="790" spans="1:9">
      <c r="A790" s="9">
        <v>942</v>
      </c>
      <c r="B790" s="9" t="s">
        <v>1556</v>
      </c>
      <c r="C790" s="9" t="s">
        <v>15</v>
      </c>
      <c r="D790" s="21">
        <v>50</v>
      </c>
      <c r="E790" s="18">
        <v>2450000</v>
      </c>
      <c r="F790" s="18">
        <v>1002272.7272727272</v>
      </c>
      <c r="G790" s="18">
        <v>2.2222222222222223</v>
      </c>
      <c r="H790" s="18">
        <v>50</v>
      </c>
      <c r="I790" s="16">
        <v>0</v>
      </c>
    </row>
    <row r="791" spans="1:9">
      <c r="A791" s="9">
        <v>943</v>
      </c>
      <c r="B791" s="9" t="s">
        <v>1557</v>
      </c>
      <c r="C791" s="9" t="s">
        <v>15</v>
      </c>
      <c r="D791" s="21">
        <v>35</v>
      </c>
      <c r="E791" s="18">
        <v>1715000</v>
      </c>
      <c r="F791" s="18">
        <v>701590.90909090906</v>
      </c>
      <c r="G791" s="18">
        <v>2.2222222222222223</v>
      </c>
      <c r="H791" s="18">
        <v>35</v>
      </c>
      <c r="I791" s="16">
        <v>0</v>
      </c>
    </row>
    <row r="792" spans="1:9">
      <c r="A792" s="9">
        <v>944</v>
      </c>
      <c r="B792" s="9" t="s">
        <v>1558</v>
      </c>
      <c r="C792" s="9" t="s">
        <v>15</v>
      </c>
      <c r="D792" s="21">
        <v>85</v>
      </c>
      <c r="E792" s="18">
        <v>4165000</v>
      </c>
      <c r="F792" s="18">
        <v>1703863.6363636362</v>
      </c>
      <c r="G792" s="18">
        <v>2.2222222222222223</v>
      </c>
      <c r="H792" s="18">
        <v>85</v>
      </c>
      <c r="I792" s="16">
        <v>0</v>
      </c>
    </row>
    <row r="793" spans="1:9">
      <c r="A793" s="9">
        <v>945</v>
      </c>
      <c r="B793" s="9" t="s">
        <v>1559</v>
      </c>
      <c r="C793" s="9" t="s">
        <v>15</v>
      </c>
      <c r="D793" s="21">
        <v>130</v>
      </c>
      <c r="E793" s="18">
        <v>5850000</v>
      </c>
      <c r="F793" s="18">
        <v>2393181.8181818179</v>
      </c>
      <c r="G793" s="18">
        <v>2.2222222222222223</v>
      </c>
      <c r="H793" s="18">
        <v>130</v>
      </c>
      <c r="I793" s="16">
        <v>0</v>
      </c>
    </row>
    <row r="794" spans="1:9">
      <c r="A794" s="9">
        <v>946</v>
      </c>
      <c r="B794" s="9" t="s">
        <v>1560</v>
      </c>
      <c r="C794" s="9" t="s">
        <v>15</v>
      </c>
      <c r="D794" s="21">
        <v>80</v>
      </c>
      <c r="E794" s="18">
        <v>3920000</v>
      </c>
      <c r="F794" s="18">
        <v>1603636.3636363635</v>
      </c>
      <c r="G794" s="18">
        <v>2.2222222222222223</v>
      </c>
      <c r="H794" s="18">
        <v>80</v>
      </c>
      <c r="I794" s="16">
        <v>0</v>
      </c>
    </row>
    <row r="795" spans="1:9">
      <c r="A795" s="9">
        <v>947</v>
      </c>
      <c r="B795" s="9" t="s">
        <v>1561</v>
      </c>
      <c r="C795" s="9" t="s">
        <v>15</v>
      </c>
      <c r="D795" s="21">
        <v>80</v>
      </c>
      <c r="E795" s="18">
        <v>3920000</v>
      </c>
      <c r="F795" s="18">
        <v>1603636.3636363635</v>
      </c>
      <c r="G795" s="18">
        <v>2.2222222222222223</v>
      </c>
      <c r="H795" s="18">
        <v>80</v>
      </c>
      <c r="I795" s="16">
        <v>0</v>
      </c>
    </row>
    <row r="796" spans="1:9">
      <c r="A796" s="9">
        <v>948</v>
      </c>
      <c r="B796" s="9" t="s">
        <v>1562</v>
      </c>
      <c r="C796" s="9" t="s">
        <v>15</v>
      </c>
      <c r="D796" s="21">
        <v>30</v>
      </c>
      <c r="E796" s="18">
        <v>1470000</v>
      </c>
      <c r="F796" s="18">
        <v>601363.63636363635</v>
      </c>
      <c r="G796" s="18">
        <v>2.2222222222222223</v>
      </c>
      <c r="H796" s="18">
        <v>30</v>
      </c>
      <c r="I796" s="16">
        <v>0</v>
      </c>
    </row>
    <row r="797" spans="1:9">
      <c r="A797" s="9">
        <v>949</v>
      </c>
      <c r="B797" s="9" t="s">
        <v>1563</v>
      </c>
      <c r="C797" s="9" t="s">
        <v>15</v>
      </c>
      <c r="D797" s="21">
        <v>30</v>
      </c>
      <c r="E797" s="18">
        <v>1470000</v>
      </c>
      <c r="F797" s="18">
        <v>601363.63636363635</v>
      </c>
      <c r="G797" s="18">
        <v>2.2222222222222223</v>
      </c>
      <c r="H797" s="18">
        <v>30</v>
      </c>
      <c r="I797" s="16">
        <v>0</v>
      </c>
    </row>
    <row r="798" spans="1:9">
      <c r="A798" s="9">
        <v>950</v>
      </c>
      <c r="B798" s="9" t="s">
        <v>1564</v>
      </c>
      <c r="C798" s="9" t="s">
        <v>15</v>
      </c>
      <c r="D798" s="21">
        <v>30</v>
      </c>
      <c r="E798" s="18">
        <v>1470000</v>
      </c>
      <c r="F798" s="18">
        <v>601363.63636363635</v>
      </c>
      <c r="G798" s="18">
        <v>2.2222222222222223</v>
      </c>
      <c r="H798" s="18">
        <v>30</v>
      </c>
      <c r="I798" s="16">
        <v>0</v>
      </c>
    </row>
    <row r="799" spans="1:9">
      <c r="A799" s="9">
        <v>951</v>
      </c>
      <c r="B799" s="9" t="s">
        <v>1565</v>
      </c>
      <c r="C799" s="9" t="s">
        <v>15</v>
      </c>
      <c r="D799" s="21">
        <v>30</v>
      </c>
      <c r="E799" s="18">
        <v>1470000</v>
      </c>
      <c r="F799" s="18">
        <v>601363.63636363635</v>
      </c>
      <c r="G799" s="18">
        <v>2.2222222222222223</v>
      </c>
      <c r="H799" s="18">
        <v>27</v>
      </c>
      <c r="I799" s="16">
        <v>0</v>
      </c>
    </row>
    <row r="800" spans="1:9">
      <c r="A800" s="9">
        <v>952</v>
      </c>
      <c r="B800" s="9" t="s">
        <v>1566</v>
      </c>
      <c r="C800" s="9" t="s">
        <v>15</v>
      </c>
      <c r="D800" s="21">
        <v>30</v>
      </c>
      <c r="E800" s="18">
        <v>1470000</v>
      </c>
      <c r="F800" s="18">
        <v>601363.63636363635</v>
      </c>
      <c r="G800" s="18">
        <v>2.2222222222222223</v>
      </c>
      <c r="H800" s="18">
        <v>30</v>
      </c>
      <c r="I800" s="16">
        <v>0</v>
      </c>
    </row>
    <row r="801" spans="1:9">
      <c r="A801" s="9">
        <v>953</v>
      </c>
      <c r="B801" s="9" t="s">
        <v>1567</v>
      </c>
      <c r="C801" s="9" t="s">
        <v>15</v>
      </c>
      <c r="D801" s="21">
        <v>150</v>
      </c>
      <c r="E801" s="18">
        <v>7350000</v>
      </c>
      <c r="F801" s="18">
        <v>3006818.1818181816</v>
      </c>
      <c r="G801" s="18">
        <v>2.2222222222222223</v>
      </c>
      <c r="H801" s="18">
        <v>150</v>
      </c>
      <c r="I801" s="16">
        <v>0</v>
      </c>
    </row>
    <row r="802" spans="1:9">
      <c r="A802" s="9">
        <v>954</v>
      </c>
      <c r="B802" s="9" t="s">
        <v>1568</v>
      </c>
      <c r="C802" s="9" t="s">
        <v>15</v>
      </c>
      <c r="D802" s="21">
        <v>150</v>
      </c>
      <c r="E802" s="18">
        <v>7350000</v>
      </c>
      <c r="F802" s="18">
        <v>3006818.1818181816</v>
      </c>
      <c r="G802" s="18">
        <v>2.2222222222222223</v>
      </c>
      <c r="H802" s="18">
        <v>150</v>
      </c>
      <c r="I802" s="16">
        <v>0</v>
      </c>
    </row>
    <row r="803" spans="1:9">
      <c r="A803" s="9">
        <v>955</v>
      </c>
      <c r="B803" s="9" t="s">
        <v>1569</v>
      </c>
      <c r="C803" s="9" t="s">
        <v>15</v>
      </c>
      <c r="D803" s="21">
        <v>30</v>
      </c>
      <c r="E803" s="18">
        <v>1470000</v>
      </c>
      <c r="F803" s="18">
        <v>601363.63636363635</v>
      </c>
      <c r="G803" s="18">
        <v>2.2222222222222223</v>
      </c>
      <c r="H803" s="18">
        <v>30</v>
      </c>
      <c r="I803" s="16">
        <v>0</v>
      </c>
    </row>
    <row r="804" spans="1:9">
      <c r="A804" s="9">
        <v>957</v>
      </c>
      <c r="B804" s="9" t="s">
        <v>1570</v>
      </c>
      <c r="C804" s="9" t="s">
        <v>14</v>
      </c>
      <c r="D804" s="21">
        <v>1000</v>
      </c>
      <c r="E804" s="18">
        <v>65000000</v>
      </c>
      <c r="F804" s="18">
        <v>13500000</v>
      </c>
      <c r="G804" s="18">
        <v>4.3771043771043763</v>
      </c>
      <c r="H804" s="18">
        <v>0</v>
      </c>
      <c r="I804" s="16">
        <v>1000</v>
      </c>
    </row>
    <row r="805" spans="1:9">
      <c r="A805" s="9">
        <v>959</v>
      </c>
      <c r="B805" s="9" t="s">
        <v>1571</v>
      </c>
      <c r="C805" s="9" t="s">
        <v>14</v>
      </c>
      <c r="D805" s="21">
        <v>700</v>
      </c>
      <c r="E805" s="18">
        <v>34300000</v>
      </c>
      <c r="F805" s="18">
        <v>4420325</v>
      </c>
      <c r="G805" s="18">
        <v>7.0541913053493088</v>
      </c>
      <c r="H805" s="18">
        <v>0</v>
      </c>
      <c r="I805" s="16">
        <v>700</v>
      </c>
    </row>
    <row r="806" spans="1:9">
      <c r="A806" s="9">
        <v>960</v>
      </c>
      <c r="B806" s="9" t="s">
        <v>1572</v>
      </c>
      <c r="C806" s="9" t="s">
        <v>14</v>
      </c>
      <c r="D806" s="21">
        <v>700</v>
      </c>
      <c r="E806" s="18">
        <v>30100000</v>
      </c>
      <c r="F806" s="18">
        <v>4096925</v>
      </c>
      <c r="G806" s="18">
        <v>6.6790669498798154</v>
      </c>
      <c r="H806" s="18">
        <v>0</v>
      </c>
      <c r="I806" s="16">
        <v>700</v>
      </c>
    </row>
    <row r="807" spans="1:9">
      <c r="A807" s="9">
        <v>961</v>
      </c>
      <c r="B807" s="9" t="s">
        <v>1573</v>
      </c>
      <c r="C807" s="9" t="s">
        <v>14</v>
      </c>
      <c r="D807" s="21">
        <v>700</v>
      </c>
      <c r="E807" s="18">
        <v>30100000</v>
      </c>
      <c r="F807" s="18">
        <v>4258625</v>
      </c>
      <c r="G807" s="18">
        <v>6.4254627640697084</v>
      </c>
      <c r="H807" s="18">
        <v>0</v>
      </c>
      <c r="I807" s="16">
        <v>700</v>
      </c>
    </row>
    <row r="808" spans="1:9">
      <c r="A808" s="9">
        <v>962</v>
      </c>
      <c r="B808" s="9" t="s">
        <v>1574</v>
      </c>
      <c r="C808" s="9" t="s">
        <v>14</v>
      </c>
      <c r="D808" s="21">
        <v>300</v>
      </c>
      <c r="E808" s="18">
        <v>12900000</v>
      </c>
      <c r="F808" s="18">
        <v>1773149.9999999995</v>
      </c>
      <c r="G808" s="18">
        <v>6.6138074766786401</v>
      </c>
      <c r="H808" s="18">
        <v>0</v>
      </c>
      <c r="I808" s="16">
        <v>300</v>
      </c>
    </row>
    <row r="809" spans="1:9">
      <c r="A809" s="9">
        <v>963</v>
      </c>
      <c r="B809" s="9" t="s">
        <v>1575</v>
      </c>
      <c r="C809" s="9" t="s">
        <v>14</v>
      </c>
      <c r="D809" s="21">
        <v>500</v>
      </c>
      <c r="E809" s="18">
        <v>22500000</v>
      </c>
      <c r="F809" s="18">
        <v>2810875</v>
      </c>
      <c r="G809" s="18">
        <v>7.2769317221667453</v>
      </c>
      <c r="H809" s="18">
        <v>0</v>
      </c>
      <c r="I809" s="16">
        <v>500</v>
      </c>
    </row>
    <row r="810" spans="1:9">
      <c r="A810" s="9">
        <v>965</v>
      </c>
      <c r="B810" s="9" t="s">
        <v>1576</v>
      </c>
      <c r="C810" s="9" t="s">
        <v>14</v>
      </c>
      <c r="D810" s="21">
        <v>1000</v>
      </c>
      <c r="E810" s="18">
        <v>59000000</v>
      </c>
      <c r="F810" s="18">
        <v>7662337.6623376617</v>
      </c>
      <c r="G810" s="18">
        <v>7</v>
      </c>
      <c r="H810" s="18">
        <v>0</v>
      </c>
      <c r="I810" s="16">
        <v>1000</v>
      </c>
    </row>
    <row r="811" spans="1:9">
      <c r="A811" s="9">
        <v>967</v>
      </c>
      <c r="B811" s="9" t="s">
        <v>1577</v>
      </c>
      <c r="C811" s="9" t="s">
        <v>14</v>
      </c>
      <c r="D811" s="21">
        <v>1000</v>
      </c>
      <c r="E811" s="18">
        <v>45000000</v>
      </c>
      <c r="F811" s="18">
        <v>5844155.8441558434</v>
      </c>
      <c r="G811" s="18">
        <v>7</v>
      </c>
      <c r="H811" s="18">
        <v>0</v>
      </c>
      <c r="I811" s="16">
        <v>1000</v>
      </c>
    </row>
    <row r="812" spans="1:9">
      <c r="A812" s="9">
        <v>969</v>
      </c>
      <c r="B812" s="9" t="s">
        <v>1578</v>
      </c>
      <c r="C812" s="9" t="s">
        <v>14</v>
      </c>
      <c r="D812" s="21">
        <v>1000</v>
      </c>
      <c r="E812" s="18">
        <v>45000000</v>
      </c>
      <c r="F812" s="18">
        <v>6818181.8181818174</v>
      </c>
      <c r="G812" s="18">
        <v>6</v>
      </c>
      <c r="H812" s="18">
        <v>0</v>
      </c>
      <c r="I812" s="16">
        <v>1000</v>
      </c>
    </row>
    <row r="813" spans="1:9">
      <c r="A813" s="9">
        <v>970</v>
      </c>
      <c r="B813" s="9" t="s">
        <v>909</v>
      </c>
      <c r="C813" s="9" t="s">
        <v>14</v>
      </c>
      <c r="D813" s="21">
        <v>2000</v>
      </c>
      <c r="E813" s="18">
        <v>70000000</v>
      </c>
      <c r="F813" s="18">
        <v>10606060.606060605</v>
      </c>
      <c r="G813" s="18">
        <v>5.9999999999999991</v>
      </c>
      <c r="H813" s="18">
        <v>0</v>
      </c>
      <c r="I813" s="16">
        <v>2000</v>
      </c>
    </row>
    <row r="814" spans="1:9">
      <c r="A814" s="9">
        <v>972</v>
      </c>
      <c r="B814" s="9" t="s">
        <v>1579</v>
      </c>
      <c r="C814" s="9" t="s">
        <v>14</v>
      </c>
      <c r="D814" s="21">
        <v>1000</v>
      </c>
      <c r="E814" s="18">
        <v>45000000</v>
      </c>
      <c r="F814" s="18">
        <v>6673590</v>
      </c>
      <c r="G814" s="18">
        <v>6.1299976338209126</v>
      </c>
      <c r="H814" s="18">
        <v>0</v>
      </c>
      <c r="I814" s="16">
        <v>1000</v>
      </c>
    </row>
    <row r="815" spans="1:9">
      <c r="A815" s="9">
        <v>973</v>
      </c>
      <c r="B815" s="9" t="s">
        <v>1580</v>
      </c>
      <c r="C815" s="9" t="s">
        <v>14</v>
      </c>
      <c r="D815" s="21">
        <v>700</v>
      </c>
      <c r="E815" s="18">
        <v>31500000</v>
      </c>
      <c r="F815" s="18">
        <v>4671513</v>
      </c>
      <c r="G815" s="18">
        <v>6.1299976338209126</v>
      </c>
      <c r="H815" s="18">
        <v>0</v>
      </c>
      <c r="I815" s="16">
        <v>700</v>
      </c>
    </row>
    <row r="816" spans="1:9">
      <c r="A816" s="9">
        <v>974</v>
      </c>
      <c r="B816" s="9" t="s">
        <v>912</v>
      </c>
      <c r="C816" s="9" t="s">
        <v>14</v>
      </c>
      <c r="D816" s="21">
        <v>3000</v>
      </c>
      <c r="E816" s="18">
        <v>87000000</v>
      </c>
      <c r="F816" s="18">
        <v>14285178.000000002</v>
      </c>
      <c r="G816" s="18">
        <v>5.5365714792569669</v>
      </c>
      <c r="H816" s="18">
        <v>0</v>
      </c>
      <c r="I816" s="16">
        <v>3000</v>
      </c>
    </row>
    <row r="817" spans="1:9">
      <c r="A817" s="9">
        <v>975</v>
      </c>
      <c r="B817" s="9" t="s">
        <v>913</v>
      </c>
      <c r="C817" s="9" t="s">
        <v>14</v>
      </c>
      <c r="D817" s="21">
        <v>5000</v>
      </c>
      <c r="E817" s="18">
        <v>145000000</v>
      </c>
      <c r="F817" s="18">
        <v>22658630.000000004</v>
      </c>
      <c r="G817" s="18">
        <v>5.8175706924108725</v>
      </c>
      <c r="H817" s="18">
        <v>0</v>
      </c>
      <c r="I817" s="16">
        <v>5000</v>
      </c>
    </row>
    <row r="818" spans="1:9">
      <c r="A818" s="9">
        <v>976</v>
      </c>
      <c r="B818" s="9" t="s">
        <v>916</v>
      </c>
      <c r="C818" s="9" t="s">
        <v>14</v>
      </c>
      <c r="D818" s="21">
        <v>3000</v>
      </c>
      <c r="E818" s="18">
        <v>87000000</v>
      </c>
      <c r="F818" s="18">
        <v>15302178.000000002</v>
      </c>
      <c r="G818" s="18">
        <v>5.1686046973776589</v>
      </c>
      <c r="H818" s="18">
        <v>0</v>
      </c>
      <c r="I818" s="16">
        <v>3000</v>
      </c>
    </row>
    <row r="819" spans="1:9">
      <c r="A819" s="9">
        <v>978</v>
      </c>
      <c r="B819" s="9" t="s">
        <v>918</v>
      </c>
      <c r="C819" s="9" t="s">
        <v>14</v>
      </c>
      <c r="D819" s="21">
        <v>3500</v>
      </c>
      <c r="E819" s="18">
        <v>101500000</v>
      </c>
      <c r="F819" s="18">
        <v>22786715.000000004</v>
      </c>
      <c r="G819" s="18">
        <v>4.049408932912324</v>
      </c>
      <c r="H819" s="18">
        <v>0</v>
      </c>
      <c r="I819" s="16">
        <v>3500</v>
      </c>
    </row>
    <row r="820" spans="1:9">
      <c r="A820" s="9">
        <v>980</v>
      </c>
      <c r="B820" s="9" t="s">
        <v>1025</v>
      </c>
      <c r="C820" s="9" t="s">
        <v>14</v>
      </c>
      <c r="D820" s="21">
        <v>1000</v>
      </c>
      <c r="E820" s="18">
        <v>49000000</v>
      </c>
      <c r="F820" s="18">
        <v>10020000</v>
      </c>
      <c r="G820" s="18">
        <v>4.4456541462529486</v>
      </c>
      <c r="H820" s="18">
        <v>0</v>
      </c>
      <c r="I820" s="16">
        <v>1000</v>
      </c>
    </row>
    <row r="821" spans="1:9">
      <c r="A821" s="9">
        <v>982</v>
      </c>
      <c r="B821" s="9" t="s">
        <v>1137</v>
      </c>
      <c r="C821" s="9" t="s">
        <v>14</v>
      </c>
      <c r="D821" s="21">
        <v>1000</v>
      </c>
      <c r="E821" s="18">
        <v>55000000</v>
      </c>
      <c r="F821" s="18">
        <v>9000000</v>
      </c>
      <c r="G821" s="18">
        <v>5.5555555555555554</v>
      </c>
      <c r="H821" s="18">
        <v>0</v>
      </c>
      <c r="I821" s="16">
        <v>1000</v>
      </c>
    </row>
    <row r="822" spans="1:9">
      <c r="A822" s="9">
        <v>983</v>
      </c>
      <c r="B822" s="9" t="s">
        <v>1138</v>
      </c>
      <c r="C822" s="9" t="s">
        <v>14</v>
      </c>
      <c r="D822" s="21">
        <v>2000</v>
      </c>
      <c r="E822" s="18">
        <v>110000000</v>
      </c>
      <c r="F822" s="18">
        <v>18000000</v>
      </c>
      <c r="G822" s="18">
        <v>5.5555555555555554</v>
      </c>
      <c r="H822" s="18">
        <v>0</v>
      </c>
      <c r="I822" s="16">
        <v>2000</v>
      </c>
    </row>
    <row r="823" spans="1:9">
      <c r="A823" s="9">
        <v>984</v>
      </c>
      <c r="B823" s="9" t="s">
        <v>1412</v>
      </c>
      <c r="C823" s="9" t="s">
        <v>14</v>
      </c>
      <c r="D823" s="21">
        <v>1000</v>
      </c>
      <c r="E823" s="18">
        <v>55000000</v>
      </c>
      <c r="F823" s="18">
        <v>9000000</v>
      </c>
      <c r="G823" s="18">
        <v>5.5555555555555554</v>
      </c>
      <c r="H823" s="18">
        <v>0</v>
      </c>
      <c r="I823" s="16">
        <v>1000</v>
      </c>
    </row>
    <row r="824" spans="1:9">
      <c r="A824" s="9">
        <v>986</v>
      </c>
      <c r="B824" s="9" t="s">
        <v>1581</v>
      </c>
      <c r="C824" s="9" t="s">
        <v>14</v>
      </c>
      <c r="D824" s="21">
        <v>1000</v>
      </c>
      <c r="E824" s="18">
        <v>139000000</v>
      </c>
      <c r="F824" s="18">
        <v>25720000</v>
      </c>
      <c r="G824" s="18">
        <v>4.9130496253357832</v>
      </c>
      <c r="H824" s="18">
        <v>0</v>
      </c>
      <c r="I824" s="16">
        <v>1000</v>
      </c>
    </row>
    <row r="825" spans="1:9">
      <c r="A825" s="9">
        <v>987</v>
      </c>
      <c r="B825" s="9" t="s">
        <v>1131</v>
      </c>
      <c r="C825" s="9" t="s">
        <v>14</v>
      </c>
      <c r="D825" s="21">
        <v>700</v>
      </c>
      <c r="E825" s="18">
        <v>76300000</v>
      </c>
      <c r="F825" s="18">
        <v>16044000</v>
      </c>
      <c r="G825" s="18">
        <v>4.3233380929716008</v>
      </c>
      <c r="H825" s="18">
        <v>0</v>
      </c>
      <c r="I825" s="16">
        <v>700</v>
      </c>
    </row>
    <row r="826" spans="1:9">
      <c r="A826" s="9">
        <v>988</v>
      </c>
      <c r="B826" s="9" t="s">
        <v>1582</v>
      </c>
      <c r="C826" s="9" t="s">
        <v>14</v>
      </c>
      <c r="D826" s="21">
        <v>500</v>
      </c>
      <c r="E826" s="18">
        <v>49500000</v>
      </c>
      <c r="F826" s="18">
        <v>12510000</v>
      </c>
      <c r="G826" s="18">
        <v>3.5971223021582728</v>
      </c>
      <c r="H826" s="18">
        <v>0</v>
      </c>
      <c r="I826" s="16">
        <v>500</v>
      </c>
    </row>
    <row r="827" spans="1:9">
      <c r="A827" s="9">
        <v>989</v>
      </c>
      <c r="B827" s="9" t="s">
        <v>1583</v>
      </c>
      <c r="C827" s="9" t="s">
        <v>14</v>
      </c>
      <c r="D827" s="21">
        <v>500</v>
      </c>
      <c r="E827" s="18">
        <v>44500000</v>
      </c>
      <c r="F827" s="18">
        <v>9510000</v>
      </c>
      <c r="G827" s="18">
        <v>4.2538954210878499</v>
      </c>
      <c r="H827" s="18">
        <v>0</v>
      </c>
      <c r="I827" s="16">
        <v>500</v>
      </c>
    </row>
    <row r="828" spans="1:9">
      <c r="A828" s="9">
        <v>990</v>
      </c>
      <c r="B828" s="9" t="s">
        <v>1584</v>
      </c>
      <c r="C828" s="9" t="s">
        <v>14</v>
      </c>
      <c r="D828" s="21">
        <v>500</v>
      </c>
      <c r="E828" s="18">
        <v>54500000</v>
      </c>
      <c r="F828" s="18">
        <v>11460000</v>
      </c>
      <c r="G828" s="18">
        <v>4.3233380929715999</v>
      </c>
      <c r="H828" s="18">
        <v>0</v>
      </c>
      <c r="I828" s="16">
        <v>500</v>
      </c>
    </row>
    <row r="829" spans="1:9">
      <c r="A829" s="9">
        <v>991</v>
      </c>
      <c r="B829" s="9" t="s">
        <v>1585</v>
      </c>
      <c r="C829" s="9" t="s">
        <v>14</v>
      </c>
      <c r="D829" s="21">
        <v>500</v>
      </c>
      <c r="E829" s="18">
        <v>69500000</v>
      </c>
      <c r="F829" s="18">
        <v>12860000</v>
      </c>
      <c r="G829" s="18">
        <v>4.9130496253357832</v>
      </c>
      <c r="H829" s="18">
        <v>0</v>
      </c>
      <c r="I829" s="16">
        <v>500</v>
      </c>
    </row>
    <row r="830" spans="1:9">
      <c r="A830" s="9">
        <v>992</v>
      </c>
      <c r="B830" s="9" t="s">
        <v>1586</v>
      </c>
      <c r="C830" s="9" t="s">
        <v>14</v>
      </c>
      <c r="D830" s="21">
        <v>500</v>
      </c>
      <c r="E830" s="18">
        <v>54500000</v>
      </c>
      <c r="F830" s="18">
        <v>11460000</v>
      </c>
      <c r="G830" s="18">
        <v>4.3233380929715999</v>
      </c>
      <c r="H830" s="18">
        <v>0</v>
      </c>
      <c r="I830" s="16">
        <v>500</v>
      </c>
    </row>
    <row r="831" spans="1:9">
      <c r="A831" s="9">
        <v>993</v>
      </c>
      <c r="B831" s="9" t="s">
        <v>1133</v>
      </c>
      <c r="C831" s="9" t="s">
        <v>14</v>
      </c>
      <c r="D831" s="21">
        <v>1000</v>
      </c>
      <c r="E831" s="18">
        <v>109000000</v>
      </c>
      <c r="F831" s="18">
        <v>22920000</v>
      </c>
      <c r="G831" s="18">
        <v>4.3233380929715999</v>
      </c>
      <c r="H831" s="18">
        <v>0</v>
      </c>
      <c r="I831" s="16">
        <v>1000</v>
      </c>
    </row>
    <row r="832" spans="1:9">
      <c r="A832" s="9">
        <v>994</v>
      </c>
      <c r="B832" s="9" t="s">
        <v>1587</v>
      </c>
      <c r="C832" s="9" t="s">
        <v>14</v>
      </c>
      <c r="D832" s="21">
        <v>500</v>
      </c>
      <c r="E832" s="18">
        <v>49500000</v>
      </c>
      <c r="F832" s="18">
        <v>10010000</v>
      </c>
      <c r="G832" s="18">
        <v>4.4955044955044956</v>
      </c>
      <c r="H832" s="18">
        <v>0</v>
      </c>
      <c r="I832" s="16">
        <v>500</v>
      </c>
    </row>
    <row r="833" spans="1:9">
      <c r="A833" s="9">
        <v>995</v>
      </c>
      <c r="B833" s="9" t="s">
        <v>1588</v>
      </c>
      <c r="C833" s="9" t="s">
        <v>14</v>
      </c>
      <c r="D833" s="21">
        <v>500</v>
      </c>
      <c r="E833" s="18">
        <v>49500000</v>
      </c>
      <c r="F833" s="18">
        <v>11260000</v>
      </c>
      <c r="G833" s="18">
        <v>3.9964476021314379</v>
      </c>
      <c r="H833" s="18">
        <v>0</v>
      </c>
      <c r="I833" s="16">
        <v>500</v>
      </c>
    </row>
    <row r="834" spans="1:9">
      <c r="A834" s="9">
        <v>996</v>
      </c>
      <c r="B834" s="9" t="s">
        <v>797</v>
      </c>
      <c r="C834" s="9" t="s">
        <v>14</v>
      </c>
      <c r="D834" s="21">
        <v>500</v>
      </c>
      <c r="E834" s="18">
        <v>22500000</v>
      </c>
      <c r="F834" s="18">
        <v>5010000</v>
      </c>
      <c r="G834" s="18">
        <v>4.0827436037016875</v>
      </c>
      <c r="H834" s="18">
        <v>0</v>
      </c>
      <c r="I834" s="16">
        <v>500</v>
      </c>
    </row>
    <row r="835" spans="1:9">
      <c r="A835" s="9">
        <v>997</v>
      </c>
      <c r="B835" s="9" t="s">
        <v>800</v>
      </c>
      <c r="C835" s="9" t="s">
        <v>14</v>
      </c>
      <c r="D835" s="21">
        <v>500</v>
      </c>
      <c r="E835" s="18">
        <v>22500000</v>
      </c>
      <c r="F835" s="18">
        <v>5010000</v>
      </c>
      <c r="G835" s="18">
        <v>4.0827436037016875</v>
      </c>
      <c r="H835" s="18">
        <v>0</v>
      </c>
      <c r="I835" s="16">
        <v>500</v>
      </c>
    </row>
    <row r="836" spans="1:9">
      <c r="A836" s="9">
        <v>999</v>
      </c>
      <c r="B836" s="9" t="s">
        <v>1589</v>
      </c>
      <c r="C836" s="9" t="s">
        <v>15</v>
      </c>
      <c r="D836" s="21">
        <v>300</v>
      </c>
      <c r="E836" s="18">
        <v>14700000</v>
      </c>
      <c r="F836" s="18">
        <v>6013636.3636363633</v>
      </c>
      <c r="G836" s="18">
        <v>2.2222222222222223</v>
      </c>
      <c r="H836" s="18">
        <v>300</v>
      </c>
      <c r="I836" s="16">
        <v>0</v>
      </c>
    </row>
    <row r="837" spans="1:9">
      <c r="A837" s="9">
        <v>1000</v>
      </c>
      <c r="B837" s="9" t="s">
        <v>1590</v>
      </c>
      <c r="C837" s="9" t="s">
        <v>15</v>
      </c>
      <c r="D837" s="21">
        <v>150</v>
      </c>
      <c r="E837" s="18">
        <v>7350000</v>
      </c>
      <c r="F837" s="18">
        <v>3006818.1818181816</v>
      </c>
      <c r="G837" s="18">
        <v>2.2222222222222223</v>
      </c>
      <c r="H837" s="18">
        <v>150</v>
      </c>
      <c r="I837" s="16">
        <v>0</v>
      </c>
    </row>
    <row r="838" spans="1:9">
      <c r="A838" s="9">
        <v>1001</v>
      </c>
      <c r="B838" s="9" t="s">
        <v>1462</v>
      </c>
      <c r="C838" s="9" t="s">
        <v>15</v>
      </c>
      <c r="D838" s="21">
        <v>50</v>
      </c>
      <c r="E838" s="18">
        <v>2450000</v>
      </c>
      <c r="F838" s="18">
        <v>1002272.7272727272</v>
      </c>
      <c r="G838" s="18">
        <v>2.2222222222222223</v>
      </c>
      <c r="H838" s="18">
        <v>50</v>
      </c>
      <c r="I838" s="16">
        <v>0</v>
      </c>
    </row>
    <row r="839" spans="1:9">
      <c r="A839" s="9">
        <v>1002</v>
      </c>
      <c r="B839" s="9" t="s">
        <v>1591</v>
      </c>
      <c r="C839" s="9" t="s">
        <v>15</v>
      </c>
      <c r="D839" s="21">
        <v>100</v>
      </c>
      <c r="E839" s="18">
        <v>4900000</v>
      </c>
      <c r="F839" s="18">
        <v>2004545.4545454544</v>
      </c>
      <c r="G839" s="18">
        <v>2.2222222222222223</v>
      </c>
      <c r="H839" s="18">
        <v>100</v>
      </c>
      <c r="I839" s="16">
        <v>0</v>
      </c>
    </row>
    <row r="840" spans="1:9">
      <c r="A840" s="9">
        <v>1003</v>
      </c>
      <c r="B840" s="9" t="s">
        <v>1463</v>
      </c>
      <c r="C840" s="9" t="s">
        <v>15</v>
      </c>
      <c r="D840" s="21">
        <v>100</v>
      </c>
      <c r="E840" s="18">
        <v>4900000</v>
      </c>
      <c r="F840" s="18">
        <v>2004545.4545454544</v>
      </c>
      <c r="G840" s="18">
        <v>2.2222222222222223</v>
      </c>
      <c r="H840" s="18">
        <v>100</v>
      </c>
      <c r="I840" s="16">
        <v>0</v>
      </c>
    </row>
    <row r="841" spans="1:9">
      <c r="A841" s="9">
        <v>1004</v>
      </c>
      <c r="B841" s="9" t="s">
        <v>1464</v>
      </c>
      <c r="C841" s="9" t="s">
        <v>15</v>
      </c>
      <c r="D841" s="21">
        <v>150</v>
      </c>
      <c r="E841" s="18">
        <v>7350000</v>
      </c>
      <c r="F841" s="18">
        <v>3006818.1818181816</v>
      </c>
      <c r="G841" s="18">
        <v>2.2222222222222223</v>
      </c>
      <c r="H841" s="18">
        <v>150</v>
      </c>
      <c r="I841" s="16">
        <v>0</v>
      </c>
    </row>
    <row r="842" spans="1:9">
      <c r="A842" s="9">
        <v>1005</v>
      </c>
      <c r="B842" s="9" t="s">
        <v>1592</v>
      </c>
      <c r="C842" s="9" t="s">
        <v>15</v>
      </c>
      <c r="D842" s="21">
        <v>150</v>
      </c>
      <c r="E842" s="18">
        <v>7350000</v>
      </c>
      <c r="F842" s="18">
        <v>3006818.1818181816</v>
      </c>
      <c r="G842" s="18">
        <v>2.2222222222222223</v>
      </c>
      <c r="H842" s="18">
        <v>150</v>
      </c>
      <c r="I842" s="16">
        <v>0</v>
      </c>
    </row>
    <row r="843" spans="1:9">
      <c r="A843" s="9">
        <v>1006</v>
      </c>
      <c r="B843" s="9" t="s">
        <v>1466</v>
      </c>
      <c r="C843" s="9" t="s">
        <v>15</v>
      </c>
      <c r="D843" s="21">
        <v>150</v>
      </c>
      <c r="E843" s="18">
        <v>7350000</v>
      </c>
      <c r="F843" s="18">
        <v>3006818.1818181816</v>
      </c>
      <c r="G843" s="18">
        <v>2.2222222222222223</v>
      </c>
      <c r="H843" s="18">
        <v>150</v>
      </c>
      <c r="I843" s="16">
        <v>0</v>
      </c>
    </row>
    <row r="844" spans="1:9">
      <c r="A844" s="9">
        <v>1007</v>
      </c>
      <c r="B844" s="9" t="s">
        <v>1467</v>
      </c>
      <c r="C844" s="9" t="s">
        <v>15</v>
      </c>
      <c r="D844" s="21">
        <v>150</v>
      </c>
      <c r="E844" s="18">
        <v>7350000</v>
      </c>
      <c r="F844" s="18">
        <v>3006818.1818181816</v>
      </c>
      <c r="G844" s="18">
        <v>2.2222222222222223</v>
      </c>
      <c r="H844" s="18">
        <v>150</v>
      </c>
      <c r="I844" s="16">
        <v>0</v>
      </c>
    </row>
    <row r="845" spans="1:9">
      <c r="A845" s="9">
        <v>1008</v>
      </c>
      <c r="B845" s="9" t="s">
        <v>1547</v>
      </c>
      <c r="C845" s="9" t="s">
        <v>15</v>
      </c>
      <c r="D845" s="21">
        <v>100</v>
      </c>
      <c r="E845" s="18">
        <v>4900000</v>
      </c>
      <c r="F845" s="18">
        <v>2004545.4545454544</v>
      </c>
      <c r="G845" s="18">
        <v>2.2222222222222223</v>
      </c>
      <c r="H845" s="18">
        <v>100</v>
      </c>
      <c r="I845" s="16">
        <v>0</v>
      </c>
    </row>
    <row r="846" spans="1:9">
      <c r="A846" s="9">
        <v>1009</v>
      </c>
      <c r="B846" s="9" t="s">
        <v>1468</v>
      </c>
      <c r="C846" s="9" t="s">
        <v>15</v>
      </c>
      <c r="D846" s="21">
        <v>80</v>
      </c>
      <c r="E846" s="18">
        <v>3920000</v>
      </c>
      <c r="F846" s="18">
        <v>1603636.3636363635</v>
      </c>
      <c r="G846" s="18">
        <v>2.2222222222222223</v>
      </c>
      <c r="H846" s="18">
        <v>80</v>
      </c>
      <c r="I846" s="16">
        <v>0</v>
      </c>
    </row>
    <row r="847" spans="1:9">
      <c r="A847" s="9">
        <v>1010</v>
      </c>
      <c r="B847" s="9" t="s">
        <v>1469</v>
      </c>
      <c r="C847" s="9" t="s">
        <v>15</v>
      </c>
      <c r="D847" s="21">
        <v>200</v>
      </c>
      <c r="E847" s="18">
        <v>9800000</v>
      </c>
      <c r="F847" s="18">
        <v>4009090.9090909087</v>
      </c>
      <c r="G847" s="18">
        <v>2.2222222222222223</v>
      </c>
      <c r="H847" s="18">
        <v>200</v>
      </c>
      <c r="I847" s="16">
        <v>0</v>
      </c>
    </row>
    <row r="848" spans="1:9">
      <c r="A848" s="9">
        <v>1011</v>
      </c>
      <c r="B848" s="9" t="s">
        <v>1471</v>
      </c>
      <c r="C848" s="9" t="s">
        <v>15</v>
      </c>
      <c r="D848" s="21">
        <v>200</v>
      </c>
      <c r="E848" s="18">
        <v>9800000</v>
      </c>
      <c r="F848" s="18">
        <v>4009090.9090909087</v>
      </c>
      <c r="G848" s="18">
        <v>2.2222222222222223</v>
      </c>
      <c r="H848" s="18">
        <v>200</v>
      </c>
      <c r="I848" s="16">
        <v>0</v>
      </c>
    </row>
    <row r="849" spans="1:9">
      <c r="A849" s="9">
        <v>1012</v>
      </c>
      <c r="B849" s="9" t="s">
        <v>1472</v>
      </c>
      <c r="C849" s="9" t="s">
        <v>15</v>
      </c>
      <c r="D849" s="21">
        <v>100</v>
      </c>
      <c r="E849" s="18">
        <v>4900000</v>
      </c>
      <c r="F849" s="18">
        <v>2004545.4545454544</v>
      </c>
      <c r="G849" s="18">
        <v>2.2222222222222223</v>
      </c>
      <c r="H849" s="18">
        <v>100</v>
      </c>
      <c r="I849" s="16">
        <v>0</v>
      </c>
    </row>
    <row r="850" spans="1:9">
      <c r="A850" s="9">
        <v>1013</v>
      </c>
      <c r="B850" s="9" t="s">
        <v>1548</v>
      </c>
      <c r="C850" s="9" t="s">
        <v>15</v>
      </c>
      <c r="D850" s="21">
        <v>200</v>
      </c>
      <c r="E850" s="18">
        <v>9800000</v>
      </c>
      <c r="F850" s="18">
        <v>4009090.9090909087</v>
      </c>
      <c r="G850" s="18">
        <v>2.2222222222222223</v>
      </c>
      <c r="H850" s="18">
        <v>200</v>
      </c>
      <c r="I850" s="16">
        <v>0</v>
      </c>
    </row>
    <row r="851" spans="1:9">
      <c r="A851" s="9">
        <v>1014</v>
      </c>
      <c r="B851" s="9" t="s">
        <v>1551</v>
      </c>
      <c r="C851" s="9" t="s">
        <v>15</v>
      </c>
      <c r="D851" s="21">
        <v>150</v>
      </c>
      <c r="E851" s="18">
        <v>7350000</v>
      </c>
      <c r="F851" s="18">
        <v>3006818.1818181816</v>
      </c>
      <c r="G851" s="18">
        <v>2.2222222222222223</v>
      </c>
      <c r="H851" s="18">
        <v>120</v>
      </c>
      <c r="I851" s="16">
        <v>0</v>
      </c>
    </row>
    <row r="852" spans="1:9">
      <c r="A852" s="9">
        <v>1015</v>
      </c>
      <c r="B852" s="9" t="s">
        <v>1473</v>
      </c>
      <c r="C852" s="9" t="s">
        <v>15</v>
      </c>
      <c r="D852" s="21">
        <v>100</v>
      </c>
      <c r="E852" s="18">
        <v>5900000</v>
      </c>
      <c r="F852" s="18">
        <v>2413636.3636363638</v>
      </c>
      <c r="G852" s="18">
        <v>2.2222222222222219</v>
      </c>
      <c r="H852" s="18">
        <v>100</v>
      </c>
      <c r="I852" s="16">
        <v>0</v>
      </c>
    </row>
    <row r="853" spans="1:9">
      <c r="A853" s="9">
        <v>1016</v>
      </c>
      <c r="B853" s="9" t="s">
        <v>1593</v>
      </c>
      <c r="C853" s="9" t="s">
        <v>15</v>
      </c>
      <c r="D853" s="21">
        <v>200</v>
      </c>
      <c r="E853" s="18">
        <v>9800000</v>
      </c>
      <c r="F853" s="18">
        <v>4009090.9090909087</v>
      </c>
      <c r="G853" s="18">
        <v>2.2222222222222223</v>
      </c>
      <c r="H853" s="18">
        <v>200</v>
      </c>
      <c r="I853" s="16">
        <v>0</v>
      </c>
    </row>
    <row r="854" spans="1:9">
      <c r="A854" s="9">
        <v>1017</v>
      </c>
      <c r="B854" s="9" t="s">
        <v>1554</v>
      </c>
      <c r="C854" s="9" t="s">
        <v>15</v>
      </c>
      <c r="D854" s="21">
        <v>80</v>
      </c>
      <c r="E854" s="18">
        <v>3920000</v>
      </c>
      <c r="F854" s="18">
        <v>1603636.3636363635</v>
      </c>
      <c r="G854" s="18">
        <v>2.2222222222222223</v>
      </c>
      <c r="H854" s="18">
        <v>80</v>
      </c>
      <c r="I854" s="16">
        <v>0</v>
      </c>
    </row>
    <row r="855" spans="1:9">
      <c r="A855" s="9">
        <v>1018</v>
      </c>
      <c r="B855" s="9" t="s">
        <v>1555</v>
      </c>
      <c r="C855" s="9" t="s">
        <v>15</v>
      </c>
      <c r="D855" s="21">
        <v>100</v>
      </c>
      <c r="E855" s="18">
        <v>4900000</v>
      </c>
      <c r="F855" s="18">
        <v>2004545.4545454544</v>
      </c>
      <c r="G855" s="18">
        <v>2.2222222222222223</v>
      </c>
      <c r="H855" s="18">
        <v>100</v>
      </c>
      <c r="I855" s="16">
        <v>0</v>
      </c>
    </row>
    <row r="856" spans="1:9">
      <c r="A856" s="9">
        <v>1019</v>
      </c>
      <c r="B856" s="9" t="s">
        <v>1557</v>
      </c>
      <c r="C856" s="9" t="s">
        <v>15</v>
      </c>
      <c r="D856" s="21">
        <v>80</v>
      </c>
      <c r="E856" s="18">
        <v>3920000</v>
      </c>
      <c r="F856" s="18">
        <v>1603636.3636363635</v>
      </c>
      <c r="G856" s="18">
        <v>2.2222222222222223</v>
      </c>
      <c r="H856" s="18">
        <v>80</v>
      </c>
      <c r="I856" s="16">
        <v>0</v>
      </c>
    </row>
    <row r="857" spans="1:9">
      <c r="A857" s="9">
        <v>1020</v>
      </c>
      <c r="B857" s="9" t="s">
        <v>1594</v>
      </c>
      <c r="C857" s="9" t="s">
        <v>15</v>
      </c>
      <c r="D857" s="21">
        <v>50</v>
      </c>
      <c r="E857" s="18">
        <v>2450000</v>
      </c>
      <c r="F857" s="18">
        <v>1002272.7272727272</v>
      </c>
      <c r="G857" s="18">
        <v>2.2222222222222223</v>
      </c>
      <c r="H857" s="18">
        <v>50</v>
      </c>
      <c r="I857" s="16">
        <v>0</v>
      </c>
    </row>
    <row r="858" spans="1:9">
      <c r="A858" s="9">
        <v>1021</v>
      </c>
      <c r="B858" s="9" t="s">
        <v>1558</v>
      </c>
      <c r="C858" s="9" t="s">
        <v>15</v>
      </c>
      <c r="D858" s="21">
        <v>80</v>
      </c>
      <c r="E858" s="18">
        <v>3920000</v>
      </c>
      <c r="F858" s="18">
        <v>1603636.3636363635</v>
      </c>
      <c r="G858" s="18">
        <v>2.2222222222222223</v>
      </c>
      <c r="H858" s="18">
        <v>80</v>
      </c>
      <c r="I858" s="16">
        <v>0</v>
      </c>
    </row>
    <row r="859" spans="1:9">
      <c r="A859" s="9">
        <v>1022</v>
      </c>
      <c r="B859" s="9" t="s">
        <v>1559</v>
      </c>
      <c r="C859" s="9" t="s">
        <v>15</v>
      </c>
      <c r="D859" s="21">
        <v>50</v>
      </c>
      <c r="E859" s="18">
        <v>2250000</v>
      </c>
      <c r="F859" s="18">
        <v>920454.54545454541</v>
      </c>
      <c r="G859" s="18">
        <v>2.2222222222222223</v>
      </c>
      <c r="H859" s="18">
        <v>50</v>
      </c>
      <c r="I859" s="16">
        <v>0</v>
      </c>
    </row>
    <row r="860" spans="1:9">
      <c r="A860" s="9">
        <v>1023</v>
      </c>
      <c r="B860" s="9" t="s">
        <v>1595</v>
      </c>
      <c r="C860" s="9" t="s">
        <v>15</v>
      </c>
      <c r="D860" s="21">
        <v>150</v>
      </c>
      <c r="E860" s="18">
        <v>7350000</v>
      </c>
      <c r="F860" s="18">
        <v>3006818.1818181816</v>
      </c>
      <c r="G860" s="18">
        <v>2.2222222222222223</v>
      </c>
      <c r="H860" s="18">
        <v>150</v>
      </c>
      <c r="I860" s="16">
        <v>0</v>
      </c>
    </row>
    <row r="861" spans="1:9">
      <c r="A861" s="9">
        <v>1025</v>
      </c>
      <c r="B861" s="9" t="s">
        <v>1597</v>
      </c>
      <c r="C861" s="9" t="s">
        <v>14</v>
      </c>
      <c r="D861" s="21">
        <v>1000</v>
      </c>
      <c r="E861" s="18">
        <v>49000000</v>
      </c>
      <c r="F861" s="18">
        <v>6363636.3636363633</v>
      </c>
      <c r="G861" s="18">
        <v>7</v>
      </c>
      <c r="H861" s="18">
        <v>0</v>
      </c>
      <c r="I861" s="16">
        <v>1000</v>
      </c>
    </row>
    <row r="862" spans="1:9">
      <c r="A862" s="9">
        <v>1026</v>
      </c>
      <c r="B862" s="9" t="s">
        <v>1598</v>
      </c>
      <c r="C862" s="9" t="s">
        <v>14</v>
      </c>
      <c r="D862" s="21">
        <v>500</v>
      </c>
      <c r="E862" s="18">
        <v>24500000</v>
      </c>
      <c r="F862" s="18">
        <v>3181818.1818181816</v>
      </c>
      <c r="G862" s="18">
        <v>7</v>
      </c>
      <c r="H862" s="18">
        <v>0</v>
      </c>
      <c r="I862" s="16">
        <v>500</v>
      </c>
    </row>
    <row r="863" spans="1:9">
      <c r="A863" s="9">
        <v>1027</v>
      </c>
      <c r="B863" s="9" t="s">
        <v>1599</v>
      </c>
      <c r="C863" s="9" t="s">
        <v>14</v>
      </c>
      <c r="D863" s="21">
        <v>1000</v>
      </c>
      <c r="E863" s="18">
        <v>43000000</v>
      </c>
      <c r="F863" s="18">
        <v>5584415.5844155839</v>
      </c>
      <c r="G863" s="18">
        <v>7</v>
      </c>
      <c r="H863" s="18">
        <v>0</v>
      </c>
      <c r="I863" s="16">
        <v>1000</v>
      </c>
    </row>
    <row r="864" spans="1:9">
      <c r="A864" s="9">
        <v>1028</v>
      </c>
      <c r="B864" s="9" t="s">
        <v>1600</v>
      </c>
      <c r="C864" s="9" t="s">
        <v>14</v>
      </c>
      <c r="D864" s="21">
        <v>700</v>
      </c>
      <c r="E864" s="18">
        <v>30100000</v>
      </c>
      <c r="F864" s="18">
        <v>3909090.9090909087</v>
      </c>
      <c r="G864" s="18">
        <v>7</v>
      </c>
      <c r="H864" s="18">
        <v>0</v>
      </c>
      <c r="I864" s="16">
        <v>700</v>
      </c>
    </row>
    <row r="865" spans="1:9">
      <c r="A865" s="9">
        <v>1030</v>
      </c>
      <c r="B865" s="9" t="s">
        <v>1601</v>
      </c>
      <c r="C865" s="9" t="s">
        <v>14</v>
      </c>
      <c r="D865" s="21">
        <v>1000</v>
      </c>
      <c r="E865" s="18">
        <v>49000000</v>
      </c>
      <c r="F865" s="18">
        <v>4949494.9494949495</v>
      </c>
      <c r="G865" s="18">
        <v>9</v>
      </c>
      <c r="H865" s="18">
        <v>0</v>
      </c>
      <c r="I865" s="16">
        <v>1000</v>
      </c>
    </row>
    <row r="866" spans="1:9">
      <c r="A866" s="9">
        <v>1031</v>
      </c>
      <c r="B866" s="9" t="s">
        <v>1602</v>
      </c>
      <c r="C866" s="9" t="s">
        <v>14</v>
      </c>
      <c r="D866" s="21">
        <v>1000</v>
      </c>
      <c r="E866" s="18">
        <v>45000000</v>
      </c>
      <c r="F866" s="18">
        <v>4545454.5454545449</v>
      </c>
      <c r="G866" s="18">
        <v>9</v>
      </c>
      <c r="H866" s="18">
        <v>0</v>
      </c>
      <c r="I866" s="16">
        <v>1000</v>
      </c>
    </row>
    <row r="867" spans="1:9">
      <c r="A867" s="9">
        <v>1032</v>
      </c>
      <c r="B867" s="9" t="s">
        <v>1603</v>
      </c>
      <c r="C867" s="9" t="s">
        <v>14</v>
      </c>
      <c r="D867" s="21">
        <v>1000</v>
      </c>
      <c r="E867" s="18">
        <v>59000000</v>
      </c>
      <c r="F867" s="18">
        <v>5959595.9595959596</v>
      </c>
      <c r="G867" s="18">
        <v>9</v>
      </c>
      <c r="H867" s="18">
        <v>0</v>
      </c>
      <c r="I867" s="16">
        <v>1000</v>
      </c>
    </row>
    <row r="868" spans="1:9">
      <c r="A868" s="9">
        <v>1033</v>
      </c>
      <c r="B868" s="9" t="s">
        <v>1604</v>
      </c>
      <c r="C868" s="9" t="s">
        <v>14</v>
      </c>
      <c r="D868" s="21">
        <v>1000</v>
      </c>
      <c r="E868" s="18">
        <v>55000000</v>
      </c>
      <c r="F868" s="18">
        <v>5555555.555555555</v>
      </c>
      <c r="G868" s="18">
        <v>9</v>
      </c>
      <c r="H868" s="18">
        <v>0</v>
      </c>
      <c r="I868" s="16">
        <v>1000</v>
      </c>
    </row>
    <row r="869" spans="1:9">
      <c r="A869" s="9">
        <v>1034</v>
      </c>
      <c r="B869" s="9" t="s">
        <v>1605</v>
      </c>
      <c r="C869" s="9" t="s">
        <v>14</v>
      </c>
      <c r="D869" s="21">
        <v>1000</v>
      </c>
      <c r="E869" s="18">
        <v>49000000</v>
      </c>
      <c r="F869" s="18">
        <v>4949494.9494949495</v>
      </c>
      <c r="G869" s="18">
        <v>9</v>
      </c>
      <c r="H869" s="18">
        <v>0</v>
      </c>
      <c r="I869" s="16">
        <v>1000</v>
      </c>
    </row>
    <row r="870" spans="1:9">
      <c r="A870" s="9">
        <v>1036</v>
      </c>
      <c r="B870" s="9" t="s">
        <v>1606</v>
      </c>
      <c r="C870" s="9" t="s">
        <v>14</v>
      </c>
      <c r="D870" s="21">
        <v>700</v>
      </c>
      <c r="E870" s="18">
        <v>34300000</v>
      </c>
      <c r="F870" s="18">
        <v>5196969.6969696973</v>
      </c>
      <c r="G870" s="18">
        <v>6</v>
      </c>
      <c r="H870" s="18">
        <v>0</v>
      </c>
      <c r="I870" s="16">
        <v>700</v>
      </c>
    </row>
    <row r="871" spans="1:9">
      <c r="A871" s="9">
        <v>1037</v>
      </c>
      <c r="B871" s="9" t="s">
        <v>1607</v>
      </c>
      <c r="C871" s="9" t="s">
        <v>14</v>
      </c>
      <c r="D871" s="21">
        <v>700</v>
      </c>
      <c r="E871" s="18">
        <v>31500000</v>
      </c>
      <c r="F871" s="18">
        <v>4772727.2727272715</v>
      </c>
      <c r="G871" s="18">
        <v>6.0000000000000009</v>
      </c>
      <c r="H871" s="18">
        <v>0</v>
      </c>
      <c r="I871" s="16">
        <v>700</v>
      </c>
    </row>
    <row r="872" spans="1:9">
      <c r="A872" s="9">
        <v>1038</v>
      </c>
      <c r="B872" s="9" t="s">
        <v>1608</v>
      </c>
      <c r="C872" s="9" t="s">
        <v>14</v>
      </c>
      <c r="D872" s="21">
        <v>500</v>
      </c>
      <c r="E872" s="18">
        <v>19500000</v>
      </c>
      <c r="F872" s="18">
        <v>2954545.4545454541</v>
      </c>
      <c r="G872" s="18">
        <v>6</v>
      </c>
      <c r="H872" s="18">
        <v>0</v>
      </c>
      <c r="I872" s="16">
        <v>500</v>
      </c>
    </row>
    <row r="873" spans="1:9">
      <c r="A873" s="9">
        <v>1039</v>
      </c>
      <c r="B873" s="9" t="s">
        <v>1609</v>
      </c>
      <c r="C873" s="9" t="s">
        <v>14</v>
      </c>
      <c r="D873" s="21">
        <v>500</v>
      </c>
      <c r="E873" s="18">
        <v>17500000</v>
      </c>
      <c r="F873" s="18">
        <v>2651515.1515151514</v>
      </c>
      <c r="G873" s="18">
        <v>5.9999999999999991</v>
      </c>
      <c r="H873" s="18">
        <v>0</v>
      </c>
      <c r="I873" s="16">
        <v>500</v>
      </c>
    </row>
    <row r="874" spans="1:9">
      <c r="A874" s="9">
        <v>1040</v>
      </c>
      <c r="B874" s="9" t="s">
        <v>1610</v>
      </c>
      <c r="C874" s="9" t="s">
        <v>14</v>
      </c>
      <c r="D874" s="21">
        <v>700</v>
      </c>
      <c r="E874" s="18">
        <v>34300000</v>
      </c>
      <c r="F874" s="18">
        <v>5196969.6969696973</v>
      </c>
      <c r="G874" s="18">
        <v>6</v>
      </c>
      <c r="H874" s="18">
        <v>0</v>
      </c>
      <c r="I874" s="16">
        <v>700</v>
      </c>
    </row>
    <row r="875" spans="1:9">
      <c r="A875" s="9">
        <v>1041</v>
      </c>
      <c r="B875" s="9" t="s">
        <v>1611</v>
      </c>
      <c r="C875" s="9" t="s">
        <v>14</v>
      </c>
      <c r="D875" s="21">
        <v>700</v>
      </c>
      <c r="E875" s="18">
        <v>31500000</v>
      </c>
      <c r="F875" s="18">
        <v>4772727.2727272715</v>
      </c>
      <c r="G875" s="18">
        <v>6.0000000000000009</v>
      </c>
      <c r="H875" s="18">
        <v>0</v>
      </c>
      <c r="I875" s="16">
        <v>700</v>
      </c>
    </row>
    <row r="876" spans="1:9">
      <c r="A876" s="9">
        <v>1043</v>
      </c>
      <c r="B876" s="9" t="s">
        <v>1612</v>
      </c>
      <c r="C876" s="9" t="s">
        <v>14</v>
      </c>
      <c r="D876" s="21">
        <v>500</v>
      </c>
      <c r="E876" s="18">
        <v>24500000</v>
      </c>
      <c r="F876" s="18">
        <v>3181818.1818181816</v>
      </c>
      <c r="G876" s="18">
        <v>7</v>
      </c>
      <c r="H876" s="18">
        <v>0</v>
      </c>
      <c r="I876" s="16">
        <v>500</v>
      </c>
    </row>
    <row r="877" spans="1:9">
      <c r="A877" s="9">
        <v>1044</v>
      </c>
      <c r="B877" s="9" t="s">
        <v>1613</v>
      </c>
      <c r="C877" s="9" t="s">
        <v>14</v>
      </c>
      <c r="D877" s="21">
        <v>700</v>
      </c>
      <c r="E877" s="18">
        <v>31500000</v>
      </c>
      <c r="F877" s="18">
        <v>4090909.0909090904</v>
      </c>
      <c r="G877" s="18">
        <v>7</v>
      </c>
      <c r="H877" s="18">
        <v>0</v>
      </c>
      <c r="I877" s="16">
        <v>700</v>
      </c>
    </row>
    <row r="878" spans="1:9">
      <c r="A878" s="9">
        <v>1046</v>
      </c>
      <c r="B878" s="9" t="s">
        <v>1614</v>
      </c>
      <c r="C878" s="9" t="s">
        <v>14</v>
      </c>
      <c r="D878" s="21">
        <v>700</v>
      </c>
      <c r="E878" s="18">
        <v>31500000</v>
      </c>
      <c r="F878" s="18">
        <v>5133974.9999999991</v>
      </c>
      <c r="G878" s="18">
        <v>5.577815169797991</v>
      </c>
      <c r="H878" s="18">
        <v>0</v>
      </c>
      <c r="I878" s="16">
        <v>700</v>
      </c>
    </row>
    <row r="879" spans="1:9">
      <c r="A879" s="9">
        <v>1047</v>
      </c>
      <c r="B879" s="9" t="s">
        <v>1615</v>
      </c>
      <c r="C879" s="9" t="s">
        <v>14</v>
      </c>
      <c r="D879" s="21">
        <v>500</v>
      </c>
      <c r="E879" s="18">
        <v>21500000</v>
      </c>
      <c r="F879" s="18">
        <v>3667124.9999999995</v>
      </c>
      <c r="G879" s="18">
        <v>5.3299122733625239</v>
      </c>
      <c r="H879" s="18">
        <v>0</v>
      </c>
      <c r="I879" s="16">
        <v>500</v>
      </c>
    </row>
    <row r="880" spans="1:9">
      <c r="A880" s="9">
        <v>1048</v>
      </c>
      <c r="B880" s="9" t="s">
        <v>1616</v>
      </c>
      <c r="C880" s="9" t="s">
        <v>14</v>
      </c>
      <c r="D880" s="21">
        <v>700</v>
      </c>
      <c r="E880" s="18">
        <v>31500000</v>
      </c>
      <c r="F880" s="18">
        <v>4931850</v>
      </c>
      <c r="G880" s="18">
        <v>5.8064141521667603</v>
      </c>
      <c r="H880" s="18">
        <v>0</v>
      </c>
      <c r="I880" s="16">
        <v>700</v>
      </c>
    </row>
    <row r="881" spans="1:9">
      <c r="A881" s="9">
        <v>1049</v>
      </c>
      <c r="B881" s="9" t="s">
        <v>1617</v>
      </c>
      <c r="C881" s="9" t="s">
        <v>14</v>
      </c>
      <c r="D881" s="21">
        <v>500</v>
      </c>
      <c r="E881" s="18">
        <v>21500000</v>
      </c>
      <c r="F881" s="18">
        <v>3522750</v>
      </c>
      <c r="G881" s="18">
        <v>5.5483513009593484</v>
      </c>
      <c r="H881" s="18">
        <v>0</v>
      </c>
      <c r="I881" s="16">
        <v>500</v>
      </c>
    </row>
    <row r="882" spans="1:9">
      <c r="A882" s="9">
        <v>1050</v>
      </c>
      <c r="B882" s="9" t="s">
        <v>1618</v>
      </c>
      <c r="C882" s="9" t="s">
        <v>14</v>
      </c>
      <c r="D882" s="21">
        <v>700</v>
      </c>
      <c r="E882" s="18">
        <v>31500000</v>
      </c>
      <c r="F882" s="18">
        <v>4648875.0000000009</v>
      </c>
      <c r="G882" s="18">
        <v>6.1598480570812564</v>
      </c>
      <c r="H882" s="18">
        <v>0</v>
      </c>
      <c r="I882" s="16">
        <v>700</v>
      </c>
    </row>
    <row r="883" spans="1:9">
      <c r="A883" s="9">
        <v>1051</v>
      </c>
      <c r="B883" s="9" t="s">
        <v>1619</v>
      </c>
      <c r="C883" s="9" t="s">
        <v>14</v>
      </c>
      <c r="D883" s="21">
        <v>500</v>
      </c>
      <c r="E883" s="18">
        <v>21500000</v>
      </c>
      <c r="F883" s="18">
        <v>3320625.0000000005</v>
      </c>
      <c r="G883" s="18">
        <v>5.8860770323220901</v>
      </c>
      <c r="H883" s="18">
        <v>0</v>
      </c>
      <c r="I883" s="16">
        <v>500</v>
      </c>
    </row>
    <row r="884" spans="1:9">
      <c r="A884" s="9">
        <v>1052</v>
      </c>
      <c r="B884" s="9" t="s">
        <v>1620</v>
      </c>
      <c r="C884" s="9" t="s">
        <v>14</v>
      </c>
      <c r="D884" s="21">
        <v>700</v>
      </c>
      <c r="E884" s="18">
        <v>31500000</v>
      </c>
      <c r="F884" s="18">
        <v>4729725</v>
      </c>
      <c r="G884" s="18">
        <v>6.0545515090969637</v>
      </c>
      <c r="H884" s="18">
        <v>0</v>
      </c>
      <c r="I884" s="16">
        <v>700</v>
      </c>
    </row>
    <row r="885" spans="1:9">
      <c r="A885" s="9">
        <v>1053</v>
      </c>
      <c r="B885" s="9" t="s">
        <v>1621</v>
      </c>
      <c r="C885" s="9" t="s">
        <v>14</v>
      </c>
      <c r="D885" s="21">
        <v>800</v>
      </c>
      <c r="E885" s="18">
        <v>36000000</v>
      </c>
      <c r="F885" s="18">
        <v>5728800.0000000009</v>
      </c>
      <c r="G885" s="18">
        <v>5.7127623110027788</v>
      </c>
      <c r="H885" s="18">
        <v>0</v>
      </c>
      <c r="I885" s="16">
        <v>800</v>
      </c>
    </row>
    <row r="886" spans="1:9">
      <c r="A886" s="9">
        <v>1054</v>
      </c>
      <c r="B886" s="9" t="s">
        <v>1622</v>
      </c>
      <c r="C886" s="9" t="s">
        <v>14</v>
      </c>
      <c r="D886" s="21">
        <v>800</v>
      </c>
      <c r="E886" s="18">
        <v>36000000</v>
      </c>
      <c r="F886" s="18">
        <v>6098400</v>
      </c>
      <c r="G886" s="18">
        <v>5.3665342921541264</v>
      </c>
      <c r="H886" s="18">
        <v>0</v>
      </c>
      <c r="I886" s="16">
        <v>800</v>
      </c>
    </row>
    <row r="887" spans="1:9">
      <c r="A887" s="9">
        <v>1055</v>
      </c>
      <c r="B887" s="9" t="s">
        <v>1623</v>
      </c>
      <c r="C887" s="9" t="s">
        <v>14</v>
      </c>
      <c r="D887" s="21">
        <v>500</v>
      </c>
      <c r="E887" s="18">
        <v>21500000</v>
      </c>
      <c r="F887" s="18">
        <v>3811500</v>
      </c>
      <c r="G887" s="18">
        <v>5.1280216569472765</v>
      </c>
      <c r="H887" s="18">
        <v>0</v>
      </c>
      <c r="I887" s="16">
        <v>500</v>
      </c>
    </row>
    <row r="888" spans="1:9">
      <c r="A888" s="9">
        <v>1056</v>
      </c>
      <c r="B888" s="9" t="s">
        <v>1624</v>
      </c>
      <c r="C888" s="9" t="s">
        <v>14</v>
      </c>
      <c r="D888" s="21">
        <v>700</v>
      </c>
      <c r="E888" s="18">
        <v>31500000</v>
      </c>
      <c r="F888" s="18">
        <v>4851000.0000000009</v>
      </c>
      <c r="G888" s="18">
        <v>5.9031877213695374</v>
      </c>
      <c r="H888" s="18">
        <v>0</v>
      </c>
      <c r="I888" s="16">
        <v>700</v>
      </c>
    </row>
    <row r="889" spans="1:9">
      <c r="A889" s="9">
        <v>1057</v>
      </c>
      <c r="B889" s="9" t="s">
        <v>1625</v>
      </c>
      <c r="C889" s="9" t="s">
        <v>14</v>
      </c>
      <c r="D889" s="21">
        <v>800</v>
      </c>
      <c r="E889" s="18">
        <v>36000000</v>
      </c>
      <c r="F889" s="18">
        <v>5405400</v>
      </c>
      <c r="G889" s="18">
        <v>6.0545515090969628</v>
      </c>
      <c r="H889" s="18">
        <v>0</v>
      </c>
      <c r="I889" s="16">
        <v>800</v>
      </c>
    </row>
    <row r="890" spans="1:9">
      <c r="A890" s="9">
        <v>1058</v>
      </c>
      <c r="B890" s="9" t="s">
        <v>1626</v>
      </c>
      <c r="C890" s="9" t="s">
        <v>14</v>
      </c>
      <c r="D890" s="21">
        <v>800</v>
      </c>
      <c r="E890" s="18">
        <v>39200000</v>
      </c>
      <c r="F890" s="18">
        <v>6281800.0000000009</v>
      </c>
      <c r="G890" s="18">
        <v>5.6729541908949068</v>
      </c>
      <c r="H890" s="18">
        <v>0</v>
      </c>
      <c r="I890" s="16">
        <v>800</v>
      </c>
    </row>
    <row r="891" spans="1:9">
      <c r="A891" s="9">
        <v>1059</v>
      </c>
      <c r="B891" s="9" t="s">
        <v>1627</v>
      </c>
      <c r="C891" s="9" t="s">
        <v>14</v>
      </c>
      <c r="D891" s="21">
        <v>500</v>
      </c>
      <c r="E891" s="18">
        <v>22500000</v>
      </c>
      <c r="F891" s="18">
        <v>3926125.0000000005</v>
      </c>
      <c r="G891" s="18">
        <v>5.2098558895973639</v>
      </c>
      <c r="H891" s="18">
        <v>0</v>
      </c>
      <c r="I891" s="16">
        <v>500</v>
      </c>
    </row>
    <row r="892" spans="1:9">
      <c r="A892" s="9">
        <v>1060</v>
      </c>
      <c r="B892" s="9" t="s">
        <v>1628</v>
      </c>
      <c r="C892" s="9" t="s">
        <v>14</v>
      </c>
      <c r="D892" s="21">
        <v>800</v>
      </c>
      <c r="E892" s="18">
        <v>36000000</v>
      </c>
      <c r="F892" s="18">
        <v>5590200</v>
      </c>
      <c r="G892" s="18">
        <v>5.8544010459863189</v>
      </c>
      <c r="H892" s="18">
        <v>0</v>
      </c>
      <c r="I892" s="16">
        <v>800</v>
      </c>
    </row>
    <row r="893" spans="1:9">
      <c r="A893" s="9">
        <v>1061</v>
      </c>
      <c r="B893" s="9" t="s">
        <v>1629</v>
      </c>
      <c r="C893" s="9" t="s">
        <v>14</v>
      </c>
      <c r="D893" s="21">
        <v>500</v>
      </c>
      <c r="E893" s="18">
        <v>24500000</v>
      </c>
      <c r="F893" s="18">
        <v>4099375</v>
      </c>
      <c r="G893" s="18">
        <v>5.4332007373629576</v>
      </c>
      <c r="H893" s="18">
        <v>0</v>
      </c>
      <c r="I893" s="16">
        <v>500</v>
      </c>
    </row>
    <row r="894" spans="1:9">
      <c r="A894" s="9">
        <v>1062</v>
      </c>
      <c r="B894" s="9" t="s">
        <v>1630</v>
      </c>
      <c r="C894" s="9" t="s">
        <v>14</v>
      </c>
      <c r="D894" s="21">
        <v>500</v>
      </c>
      <c r="E894" s="18">
        <v>24500000</v>
      </c>
      <c r="F894" s="18">
        <v>4272625</v>
      </c>
      <c r="G894" s="18">
        <v>5.2128907340867201</v>
      </c>
      <c r="H894" s="18">
        <v>0</v>
      </c>
      <c r="I894" s="16">
        <v>500</v>
      </c>
    </row>
    <row r="895" spans="1:9">
      <c r="A895" s="9">
        <v>1063</v>
      </c>
      <c r="B895" s="9" t="s">
        <v>1631</v>
      </c>
      <c r="C895" s="9" t="s">
        <v>14</v>
      </c>
      <c r="D895" s="21">
        <v>700</v>
      </c>
      <c r="E895" s="18">
        <v>34300000</v>
      </c>
      <c r="F895" s="18">
        <v>6062525</v>
      </c>
      <c r="G895" s="18">
        <v>5.1433714800051424</v>
      </c>
      <c r="H895" s="18">
        <v>0</v>
      </c>
      <c r="I895" s="16">
        <v>700</v>
      </c>
    </row>
    <row r="896" spans="1:9">
      <c r="A896" s="9">
        <v>1064</v>
      </c>
      <c r="B896" s="9" t="s">
        <v>1632</v>
      </c>
      <c r="C896" s="9" t="s">
        <v>14</v>
      </c>
      <c r="D896" s="21">
        <v>700</v>
      </c>
      <c r="E896" s="18">
        <v>34300000</v>
      </c>
      <c r="F896" s="18">
        <v>5981675</v>
      </c>
      <c r="G896" s="18">
        <v>5.2128907340867192</v>
      </c>
      <c r="H896" s="18">
        <v>0</v>
      </c>
      <c r="I896" s="16">
        <v>700</v>
      </c>
    </row>
    <row r="897" spans="1:9">
      <c r="A897" s="9">
        <v>1065</v>
      </c>
      <c r="B897" s="9" t="s">
        <v>1633</v>
      </c>
      <c r="C897" s="9" t="s">
        <v>14</v>
      </c>
      <c r="D897" s="21">
        <v>800</v>
      </c>
      <c r="E897" s="18">
        <v>39200000</v>
      </c>
      <c r="F897" s="18">
        <v>6836200</v>
      </c>
      <c r="G897" s="18">
        <v>5.2128907340867192</v>
      </c>
      <c r="H897" s="18">
        <v>0</v>
      </c>
      <c r="I897" s="16">
        <v>800</v>
      </c>
    </row>
    <row r="898" spans="1:9">
      <c r="A898" s="9">
        <v>1066</v>
      </c>
      <c r="B898" s="9" t="s">
        <v>1634</v>
      </c>
      <c r="C898" s="9" t="s">
        <v>14</v>
      </c>
      <c r="D898" s="21">
        <v>500</v>
      </c>
      <c r="E898" s="18">
        <v>22500000</v>
      </c>
      <c r="F898" s="18">
        <v>4272625</v>
      </c>
      <c r="G898" s="18">
        <v>4.7873486333449469</v>
      </c>
      <c r="H898" s="18">
        <v>0</v>
      </c>
      <c r="I898" s="16">
        <v>500</v>
      </c>
    </row>
    <row r="899" spans="1:9">
      <c r="A899" s="9">
        <v>1067</v>
      </c>
      <c r="B899" s="9" t="s">
        <v>1635</v>
      </c>
      <c r="C899" s="9" t="s">
        <v>14</v>
      </c>
      <c r="D899" s="21">
        <v>600</v>
      </c>
      <c r="E899" s="18">
        <v>27000000</v>
      </c>
      <c r="F899" s="18">
        <v>3915450.0000000009</v>
      </c>
      <c r="G899" s="18">
        <v>6.2688719164986244</v>
      </c>
      <c r="H899" s="18">
        <v>0</v>
      </c>
      <c r="I899" s="16">
        <v>600</v>
      </c>
    </row>
    <row r="900" spans="1:9">
      <c r="A900" s="9">
        <v>1068</v>
      </c>
      <c r="B900" s="9" t="s">
        <v>1636</v>
      </c>
      <c r="C900" s="9" t="s">
        <v>14</v>
      </c>
      <c r="D900" s="21">
        <v>600</v>
      </c>
      <c r="E900" s="18">
        <v>27000000</v>
      </c>
      <c r="F900" s="18">
        <v>4469850.0000000009</v>
      </c>
      <c r="G900" s="18">
        <v>5.491337415227477</v>
      </c>
      <c r="H900" s="18">
        <v>0</v>
      </c>
      <c r="I900" s="16">
        <v>600</v>
      </c>
    </row>
    <row r="901" spans="1:9">
      <c r="A901" s="9">
        <v>1069</v>
      </c>
      <c r="B901" s="9" t="s">
        <v>1637</v>
      </c>
      <c r="C901" s="9" t="s">
        <v>14</v>
      </c>
      <c r="D901" s="21">
        <v>600</v>
      </c>
      <c r="E901" s="18">
        <v>27000000</v>
      </c>
      <c r="F901" s="18">
        <v>4296600.0000000009</v>
      </c>
      <c r="G901" s="18">
        <v>5.7127623110027779</v>
      </c>
      <c r="H901" s="18">
        <v>0</v>
      </c>
      <c r="I901" s="16">
        <v>600</v>
      </c>
    </row>
    <row r="902" spans="1:9">
      <c r="A902" s="9">
        <v>1071</v>
      </c>
      <c r="B902" s="9" t="s">
        <v>1638</v>
      </c>
      <c r="C902" s="9" t="s">
        <v>14</v>
      </c>
      <c r="D902" s="21">
        <v>1000</v>
      </c>
      <c r="E902" s="18">
        <v>55000000</v>
      </c>
      <c r="F902" s="18">
        <v>12499999.999999998</v>
      </c>
      <c r="G902" s="18">
        <v>4.0000000000000009</v>
      </c>
      <c r="H902" s="18">
        <v>0</v>
      </c>
      <c r="I902" s="16">
        <v>1000</v>
      </c>
    </row>
    <row r="903" spans="1:9">
      <c r="A903" s="9">
        <v>1072</v>
      </c>
      <c r="B903" s="9" t="s">
        <v>1639</v>
      </c>
      <c r="C903" s="9" t="s">
        <v>14</v>
      </c>
      <c r="D903" s="21">
        <v>1000</v>
      </c>
      <c r="E903" s="18">
        <v>53000000</v>
      </c>
      <c r="F903" s="18">
        <v>12045454.545454545</v>
      </c>
      <c r="G903" s="18">
        <v>4</v>
      </c>
      <c r="H903" s="18">
        <v>0</v>
      </c>
      <c r="I903" s="16">
        <v>1000</v>
      </c>
    </row>
    <row r="904" spans="1:9">
      <c r="A904" s="9">
        <v>1073</v>
      </c>
      <c r="B904" s="9" t="s">
        <v>1640</v>
      </c>
      <c r="C904" s="9" t="s">
        <v>14</v>
      </c>
      <c r="D904" s="21">
        <v>1000</v>
      </c>
      <c r="E904" s="18">
        <v>55000000</v>
      </c>
      <c r="F904" s="18">
        <v>12499999.999999998</v>
      </c>
      <c r="G904" s="18">
        <v>4.0000000000000009</v>
      </c>
      <c r="H904" s="18">
        <v>0</v>
      </c>
      <c r="I904" s="16">
        <v>1000</v>
      </c>
    </row>
    <row r="905" spans="1:9">
      <c r="A905" s="9">
        <v>1074</v>
      </c>
      <c r="B905" s="9" t="s">
        <v>1641</v>
      </c>
      <c r="C905" s="9" t="s">
        <v>14</v>
      </c>
      <c r="D905" s="21">
        <v>1000</v>
      </c>
      <c r="E905" s="18">
        <v>53000000</v>
      </c>
      <c r="F905" s="18">
        <v>12045454.545454545</v>
      </c>
      <c r="G905" s="18">
        <v>4</v>
      </c>
      <c r="H905" s="18">
        <v>0</v>
      </c>
      <c r="I905" s="16">
        <v>1000</v>
      </c>
    </row>
    <row r="906" spans="1:9">
      <c r="A906" s="7" t="s">
        <v>39</v>
      </c>
      <c r="B906" s="13"/>
      <c r="C906" s="13"/>
      <c r="D906" s="22">
        <v>688467</v>
      </c>
      <c r="E906" s="19">
        <v>38951247000</v>
      </c>
      <c r="F906" s="19">
        <v>6672302395.3678055</v>
      </c>
      <c r="G906" s="19">
        <v>5.3070473199832486</v>
      </c>
      <c r="H906" s="19">
        <v>80956</v>
      </c>
      <c r="I906" s="17">
        <v>604528</v>
      </c>
    </row>
    <row r="907" spans="1:9">
      <c r="A907"/>
      <c r="B907"/>
      <c r="C907"/>
      <c r="D907"/>
      <c r="E907"/>
      <c r="F907"/>
      <c r="G907"/>
      <c r="H907"/>
      <c r="I907"/>
    </row>
    <row r="908" spans="1:9">
      <c r="A908"/>
      <c r="B908"/>
      <c r="C908"/>
      <c r="D908"/>
      <c r="E908"/>
      <c r="F908"/>
      <c r="G908"/>
      <c r="H908"/>
      <c r="I908"/>
    </row>
    <row r="909" spans="1:9">
      <c r="A909"/>
      <c r="B909"/>
      <c r="C909"/>
      <c r="D909"/>
      <c r="E909"/>
      <c r="F909"/>
      <c r="G909"/>
      <c r="H909"/>
      <c r="I909"/>
    </row>
    <row r="910" spans="1:9">
      <c r="A910"/>
      <c r="B910"/>
      <c r="C910"/>
      <c r="D910"/>
      <c r="E910"/>
      <c r="F910"/>
      <c r="G910"/>
      <c r="H910"/>
      <c r="I910"/>
    </row>
    <row r="911" spans="1:9">
      <c r="A911"/>
      <c r="B911"/>
      <c r="C911"/>
      <c r="D911"/>
      <c r="E911"/>
      <c r="F911"/>
      <c r="G911"/>
      <c r="H911"/>
      <c r="I911"/>
    </row>
    <row r="912" spans="1:9">
      <c r="A912"/>
      <c r="B912"/>
      <c r="C912"/>
      <c r="D912"/>
      <c r="E912"/>
      <c r="F912"/>
      <c r="G912"/>
      <c r="H912"/>
      <c r="I912"/>
    </row>
    <row r="913" spans="1:9">
      <c r="A913"/>
      <c r="B913"/>
      <c r="C913"/>
      <c r="D913"/>
      <c r="E913"/>
      <c r="F913"/>
      <c r="G913"/>
      <c r="H913"/>
      <c r="I913"/>
    </row>
    <row r="914" spans="1:9">
      <c r="A914"/>
      <c r="B914"/>
      <c r="C914"/>
      <c r="D914"/>
      <c r="E914"/>
      <c r="F914"/>
      <c r="G914"/>
      <c r="H914"/>
      <c r="I914"/>
    </row>
    <row r="915" spans="1:9">
      <c r="A915"/>
      <c r="B915"/>
      <c r="C915"/>
      <c r="D915"/>
      <c r="E915"/>
      <c r="F915"/>
      <c r="G915"/>
      <c r="H915"/>
      <c r="I915"/>
    </row>
    <row r="916" spans="1:9">
      <c r="A916"/>
      <c r="B916"/>
      <c r="C916"/>
      <c r="D916"/>
      <c r="E916"/>
      <c r="F916"/>
      <c r="G916"/>
      <c r="H916"/>
      <c r="I916"/>
    </row>
    <row r="917" spans="1:9">
      <c r="A917"/>
      <c r="B917"/>
      <c r="C917"/>
      <c r="D917"/>
      <c r="E917"/>
      <c r="F917"/>
      <c r="G917"/>
      <c r="H917"/>
      <c r="I917"/>
    </row>
    <row r="918" spans="1:9">
      <c r="A918"/>
      <c r="B918"/>
      <c r="C918"/>
      <c r="D918"/>
      <c r="E918"/>
      <c r="F918"/>
      <c r="G918"/>
      <c r="H918"/>
      <c r="I918"/>
    </row>
    <row r="919" spans="1:9">
      <c r="A919"/>
      <c r="B919"/>
      <c r="C919"/>
      <c r="D919"/>
      <c r="E919"/>
      <c r="F919"/>
      <c r="G919"/>
      <c r="H919"/>
      <c r="I919"/>
    </row>
    <row r="920" spans="1:9">
      <c r="A920"/>
      <c r="B920"/>
      <c r="C920"/>
      <c r="D920"/>
      <c r="E920"/>
      <c r="F920"/>
      <c r="G920"/>
      <c r="H920"/>
      <c r="I920"/>
    </row>
    <row r="921" spans="1:9">
      <c r="A921"/>
      <c r="B921"/>
      <c r="C921"/>
      <c r="D921"/>
      <c r="E921"/>
      <c r="F921"/>
      <c r="G921"/>
      <c r="H921"/>
      <c r="I921"/>
    </row>
    <row r="922" spans="1:9">
      <c r="A922"/>
      <c r="B922"/>
      <c r="C922"/>
      <c r="D922"/>
      <c r="E922"/>
      <c r="F922"/>
      <c r="G922"/>
      <c r="H922"/>
      <c r="I922"/>
    </row>
    <row r="923" spans="1:9">
      <c r="A923"/>
      <c r="B923"/>
      <c r="C923"/>
      <c r="D923"/>
      <c r="E923"/>
      <c r="F923"/>
      <c r="G923"/>
      <c r="H923"/>
      <c r="I923"/>
    </row>
    <row r="924" spans="1:9">
      <c r="A924"/>
      <c r="B924"/>
      <c r="C924"/>
      <c r="D924"/>
      <c r="E924"/>
      <c r="F924"/>
      <c r="G924"/>
      <c r="H924"/>
      <c r="I924"/>
    </row>
    <row r="925" spans="1:9">
      <c r="A925"/>
      <c r="B925"/>
      <c r="C925"/>
      <c r="D925"/>
      <c r="E925"/>
      <c r="F925"/>
      <c r="G925"/>
      <c r="H925"/>
      <c r="I925"/>
    </row>
    <row r="926" spans="1:9">
      <c r="A926"/>
      <c r="B926"/>
      <c r="C926"/>
      <c r="D926"/>
      <c r="E926"/>
      <c r="F926"/>
      <c r="G926"/>
      <c r="H926"/>
      <c r="I926"/>
    </row>
    <row r="927" spans="1:9">
      <c r="A927"/>
      <c r="B927"/>
      <c r="C927"/>
      <c r="D927"/>
      <c r="E927"/>
      <c r="F927"/>
      <c r="G927"/>
      <c r="H927"/>
      <c r="I927"/>
    </row>
    <row r="928" spans="1:9">
      <c r="A928"/>
      <c r="B928"/>
      <c r="C928"/>
      <c r="D928"/>
      <c r="E928"/>
      <c r="F928"/>
      <c r="G928"/>
      <c r="H928"/>
      <c r="I928"/>
    </row>
    <row r="929" spans="1:9">
      <c r="A929"/>
      <c r="B929"/>
      <c r="C929"/>
      <c r="D929"/>
      <c r="E929"/>
      <c r="F929"/>
      <c r="G929"/>
      <c r="H929"/>
      <c r="I929"/>
    </row>
    <row r="930" spans="1:9">
      <c r="A930"/>
      <c r="B930"/>
      <c r="C930"/>
      <c r="D930"/>
      <c r="E930"/>
      <c r="F930"/>
      <c r="G930"/>
      <c r="H930"/>
      <c r="I930"/>
    </row>
    <row r="931" spans="1:9">
      <c r="A931"/>
      <c r="B931"/>
      <c r="C931"/>
      <c r="D931"/>
      <c r="E931"/>
      <c r="F931"/>
      <c r="G931"/>
      <c r="H931"/>
      <c r="I931"/>
    </row>
    <row r="932" spans="1:9">
      <c r="A932"/>
      <c r="B932"/>
      <c r="C932"/>
      <c r="D932"/>
      <c r="E932"/>
      <c r="F932"/>
      <c r="G932"/>
      <c r="H932"/>
      <c r="I932"/>
    </row>
    <row r="933" spans="1:9">
      <c r="A933"/>
      <c r="B933"/>
      <c r="C933"/>
      <c r="D933"/>
      <c r="E933"/>
      <c r="F933"/>
      <c r="G933"/>
      <c r="H933"/>
      <c r="I933"/>
    </row>
    <row r="934" spans="1:9">
      <c r="A934"/>
      <c r="B934"/>
      <c r="C934"/>
      <c r="D934"/>
      <c r="E934"/>
      <c r="F934"/>
      <c r="G934"/>
      <c r="H934"/>
      <c r="I934"/>
    </row>
    <row r="935" spans="1:9">
      <c r="A935"/>
      <c r="B935"/>
      <c r="C935"/>
      <c r="D935"/>
      <c r="E935"/>
      <c r="F935"/>
      <c r="G935"/>
      <c r="H935"/>
      <c r="I935"/>
    </row>
    <row r="936" spans="1:9">
      <c r="A936"/>
      <c r="B936"/>
      <c r="C936"/>
      <c r="D936"/>
      <c r="E936"/>
      <c r="F936"/>
      <c r="G936"/>
      <c r="H936"/>
      <c r="I936"/>
    </row>
    <row r="937" spans="1:9">
      <c r="A937"/>
      <c r="B937"/>
      <c r="C937"/>
      <c r="D937"/>
      <c r="E937"/>
      <c r="F937"/>
      <c r="G937"/>
      <c r="H937"/>
      <c r="I937"/>
    </row>
    <row r="938" spans="1:9">
      <c r="A938"/>
      <c r="B938"/>
      <c r="C938"/>
      <c r="D938"/>
      <c r="E938"/>
      <c r="F938"/>
      <c r="G938"/>
      <c r="H938"/>
      <c r="I938"/>
    </row>
    <row r="939" spans="1:9">
      <c r="A939"/>
      <c r="B939"/>
      <c r="C939"/>
      <c r="D939"/>
      <c r="E939"/>
      <c r="F939"/>
      <c r="G939"/>
      <c r="H939"/>
      <c r="I939"/>
    </row>
    <row r="940" spans="1:9">
      <c r="A940"/>
      <c r="B940"/>
      <c r="C940"/>
      <c r="D940"/>
      <c r="E940"/>
      <c r="F940"/>
      <c r="G940"/>
      <c r="H940"/>
      <c r="I940"/>
    </row>
    <row r="941" spans="1:9">
      <c r="A941"/>
      <c r="B941"/>
      <c r="C941"/>
      <c r="D941"/>
      <c r="E941"/>
      <c r="F941"/>
      <c r="G941"/>
      <c r="H941"/>
      <c r="I941"/>
    </row>
    <row r="942" spans="1:9">
      <c r="A942"/>
      <c r="B942"/>
      <c r="C942"/>
      <c r="D942"/>
      <c r="E942"/>
      <c r="F942"/>
      <c r="G942"/>
      <c r="H942"/>
      <c r="I942"/>
    </row>
    <row r="943" spans="1:9">
      <c r="A943"/>
      <c r="B943"/>
      <c r="C943"/>
      <c r="D943"/>
      <c r="E943"/>
      <c r="F943"/>
      <c r="G943"/>
      <c r="H943"/>
      <c r="I943"/>
    </row>
    <row r="944" spans="1:9">
      <c r="A944"/>
      <c r="B944"/>
      <c r="C944"/>
      <c r="D944"/>
      <c r="E944"/>
      <c r="F944"/>
      <c r="G944"/>
      <c r="H944"/>
      <c r="I944"/>
    </row>
    <row r="945" spans="1:9">
      <c r="A945"/>
      <c r="B945"/>
      <c r="C945"/>
      <c r="D945"/>
      <c r="E945"/>
      <c r="F945"/>
      <c r="G945"/>
      <c r="H945"/>
      <c r="I945"/>
    </row>
    <row r="946" spans="1:9">
      <c r="A946"/>
      <c r="B946"/>
      <c r="C946"/>
      <c r="D946"/>
      <c r="E946"/>
      <c r="F946"/>
      <c r="G946"/>
      <c r="H946"/>
      <c r="I946"/>
    </row>
    <row r="947" spans="1:9">
      <c r="A947"/>
      <c r="B947"/>
      <c r="C947"/>
      <c r="D947"/>
      <c r="E947"/>
      <c r="F947"/>
      <c r="G947"/>
      <c r="H947"/>
      <c r="I947"/>
    </row>
    <row r="948" spans="1:9">
      <c r="A948"/>
      <c r="B948"/>
      <c r="C948"/>
      <c r="D948"/>
      <c r="E948"/>
      <c r="F948"/>
      <c r="G948"/>
      <c r="H948"/>
      <c r="I948"/>
    </row>
    <row r="949" spans="1:9">
      <c r="A949"/>
      <c r="B949"/>
      <c r="C949"/>
      <c r="D949"/>
      <c r="E949"/>
      <c r="F949"/>
      <c r="G949"/>
      <c r="H949"/>
      <c r="I949"/>
    </row>
    <row r="950" spans="1:9">
      <c r="A950"/>
      <c r="B950"/>
      <c r="C950"/>
      <c r="D950"/>
      <c r="E950"/>
      <c r="F950"/>
      <c r="G950"/>
      <c r="H950"/>
      <c r="I950"/>
    </row>
    <row r="951" spans="1:9">
      <c r="A951"/>
      <c r="B951"/>
      <c r="C951"/>
      <c r="D951"/>
      <c r="E951"/>
      <c r="F951"/>
      <c r="G951"/>
      <c r="H951"/>
      <c r="I951"/>
    </row>
    <row r="952" spans="1:9">
      <c r="A952"/>
      <c r="B952"/>
      <c r="C952"/>
      <c r="D952"/>
      <c r="E952"/>
      <c r="F952"/>
      <c r="G952"/>
      <c r="H952"/>
      <c r="I952"/>
    </row>
    <row r="953" spans="1:9">
      <c r="A953"/>
      <c r="B953"/>
      <c r="C953"/>
      <c r="D953"/>
      <c r="E953"/>
      <c r="F953"/>
      <c r="G953"/>
      <c r="H953"/>
      <c r="I953"/>
    </row>
    <row r="954" spans="1:9">
      <c r="A954"/>
      <c r="B954"/>
      <c r="C954"/>
      <c r="D954"/>
      <c r="E954"/>
      <c r="F954"/>
      <c r="G954"/>
      <c r="H954"/>
      <c r="I954"/>
    </row>
    <row r="955" spans="1:9">
      <c r="A955"/>
      <c r="B955"/>
      <c r="C955"/>
      <c r="D955"/>
      <c r="E955"/>
      <c r="F955"/>
      <c r="G955"/>
      <c r="H955"/>
      <c r="I955"/>
    </row>
    <row r="956" spans="1:9">
      <c r="A956"/>
      <c r="B956"/>
      <c r="C956"/>
      <c r="D956"/>
      <c r="E956"/>
      <c r="F956"/>
      <c r="G956"/>
      <c r="H956"/>
      <c r="I956"/>
    </row>
    <row r="957" spans="1:9">
      <c r="A957"/>
      <c r="B957"/>
      <c r="C957"/>
      <c r="D957"/>
      <c r="E957"/>
      <c r="F957"/>
      <c r="G957"/>
      <c r="H957"/>
      <c r="I957"/>
    </row>
    <row r="958" spans="1:9">
      <c r="A958"/>
      <c r="B958"/>
      <c r="C958"/>
      <c r="D958"/>
      <c r="E958"/>
      <c r="F958"/>
      <c r="G958"/>
      <c r="H958"/>
      <c r="I958"/>
    </row>
    <row r="959" spans="1:9">
      <c r="A959"/>
      <c r="B959"/>
      <c r="C959"/>
      <c r="D959"/>
      <c r="E959"/>
      <c r="F959"/>
      <c r="G959"/>
      <c r="H959"/>
      <c r="I959"/>
    </row>
    <row r="960" spans="1:9">
      <c r="A960"/>
      <c r="B960"/>
      <c r="C960"/>
      <c r="D960"/>
      <c r="E960"/>
      <c r="F960"/>
      <c r="G960"/>
      <c r="H960"/>
      <c r="I960"/>
    </row>
    <row r="961" spans="1:9">
      <c r="A961"/>
      <c r="B961"/>
      <c r="C961"/>
      <c r="D961"/>
      <c r="E961"/>
      <c r="F961"/>
      <c r="G961"/>
      <c r="H961"/>
      <c r="I961"/>
    </row>
    <row r="962" spans="1:9">
      <c r="A962"/>
      <c r="B962"/>
      <c r="C962"/>
      <c r="D962"/>
      <c r="E962"/>
      <c r="F962"/>
      <c r="G962"/>
      <c r="H962"/>
      <c r="I962"/>
    </row>
    <row r="963" spans="1:9">
      <c r="A963"/>
      <c r="B963"/>
      <c r="C963"/>
      <c r="D963"/>
      <c r="E963"/>
      <c r="F963"/>
      <c r="G963"/>
      <c r="H963"/>
      <c r="I963"/>
    </row>
    <row r="964" spans="1:9">
      <c r="A964"/>
      <c r="B964"/>
      <c r="C964"/>
      <c r="D964"/>
      <c r="E964"/>
      <c r="F964"/>
      <c r="G964"/>
      <c r="H964"/>
      <c r="I964"/>
    </row>
    <row r="965" spans="1:9">
      <c r="A965"/>
      <c r="B965"/>
      <c r="C965"/>
      <c r="D965"/>
      <c r="E965"/>
      <c r="F965"/>
      <c r="G965"/>
      <c r="H965"/>
      <c r="I965"/>
    </row>
    <row r="966" spans="1:9">
      <c r="A966"/>
      <c r="B966"/>
      <c r="C966"/>
      <c r="D966"/>
      <c r="E966"/>
      <c r="F966"/>
      <c r="G966"/>
      <c r="H966"/>
      <c r="I966"/>
    </row>
    <row r="967" spans="1:9">
      <c r="A967"/>
      <c r="B967"/>
      <c r="C967"/>
      <c r="D967"/>
      <c r="E967"/>
      <c r="F967"/>
      <c r="G967"/>
      <c r="H967"/>
      <c r="I967"/>
    </row>
    <row r="968" spans="1:9">
      <c r="A968"/>
      <c r="B968"/>
      <c r="C968"/>
      <c r="D968"/>
      <c r="E968"/>
      <c r="F968"/>
      <c r="G968"/>
      <c r="H968"/>
      <c r="I968"/>
    </row>
    <row r="969" spans="1:9">
      <c r="A969"/>
      <c r="B969"/>
      <c r="C969"/>
      <c r="D969"/>
      <c r="E969"/>
      <c r="F969"/>
      <c r="G969"/>
      <c r="H969"/>
      <c r="I969"/>
    </row>
    <row r="970" spans="1:9">
      <c r="A970"/>
      <c r="B970"/>
      <c r="C970"/>
      <c r="D970"/>
      <c r="E970"/>
      <c r="F970"/>
      <c r="G970"/>
      <c r="H970"/>
      <c r="I970"/>
    </row>
    <row r="971" spans="1:9">
      <c r="A971"/>
      <c r="B971"/>
      <c r="C971"/>
      <c r="D971"/>
      <c r="E971"/>
      <c r="F971"/>
      <c r="G971"/>
      <c r="H971"/>
      <c r="I971"/>
    </row>
    <row r="972" spans="1:9">
      <c r="A972"/>
      <c r="B972"/>
      <c r="C972"/>
      <c r="D972"/>
      <c r="E972"/>
      <c r="F972"/>
      <c r="G972"/>
      <c r="H972"/>
      <c r="I972"/>
    </row>
    <row r="973" spans="1:9">
      <c r="A973"/>
      <c r="B973"/>
      <c r="C973"/>
      <c r="D973"/>
      <c r="E973"/>
      <c r="F973"/>
      <c r="G973"/>
      <c r="H973"/>
      <c r="I973"/>
    </row>
    <row r="974" spans="1:9">
      <c r="A974"/>
      <c r="B974"/>
      <c r="C974"/>
      <c r="D974"/>
      <c r="E974"/>
      <c r="F974"/>
      <c r="G974"/>
      <c r="H974"/>
      <c r="I974"/>
    </row>
    <row r="975" spans="1:9">
      <c r="A975"/>
      <c r="B975"/>
      <c r="C975"/>
      <c r="D975"/>
      <c r="E975"/>
      <c r="F975"/>
      <c r="G975"/>
      <c r="H975"/>
      <c r="I975"/>
    </row>
    <row r="976" spans="1:9">
      <c r="A976"/>
      <c r="B976"/>
      <c r="C976"/>
      <c r="D976"/>
      <c r="E976"/>
      <c r="F976"/>
      <c r="G976"/>
      <c r="H976"/>
      <c r="I976"/>
    </row>
    <row r="977" spans="1:9">
      <c r="A977"/>
      <c r="B977"/>
      <c r="C977"/>
      <c r="D977"/>
      <c r="E977"/>
      <c r="F977"/>
      <c r="G977"/>
      <c r="H977"/>
      <c r="I977"/>
    </row>
    <row r="978" spans="1:9">
      <c r="A978"/>
      <c r="B978"/>
      <c r="C978"/>
      <c r="D978"/>
      <c r="E978"/>
      <c r="F978"/>
      <c r="G978"/>
      <c r="H978"/>
      <c r="I978"/>
    </row>
    <row r="979" spans="1:9">
      <c r="A979"/>
      <c r="B979"/>
      <c r="C979"/>
      <c r="D979"/>
      <c r="E979"/>
      <c r="F979"/>
      <c r="G979"/>
      <c r="H979"/>
      <c r="I979"/>
    </row>
    <row r="980" spans="1:9">
      <c r="A980"/>
      <c r="B980"/>
      <c r="C980"/>
      <c r="D980"/>
      <c r="E980"/>
      <c r="F980"/>
      <c r="G980"/>
      <c r="H980"/>
      <c r="I980"/>
    </row>
    <row r="981" spans="1:9">
      <c r="A981"/>
      <c r="B981"/>
      <c r="C981"/>
      <c r="D981"/>
      <c r="E981"/>
      <c r="F981"/>
      <c r="G981"/>
      <c r="H981"/>
      <c r="I981"/>
    </row>
    <row r="982" spans="1:9">
      <c r="A982"/>
      <c r="B982"/>
      <c r="C982"/>
      <c r="D982"/>
      <c r="E982"/>
      <c r="F982"/>
      <c r="G982"/>
      <c r="H982"/>
      <c r="I982"/>
    </row>
    <row r="983" spans="1:9">
      <c r="A983"/>
      <c r="B983"/>
      <c r="C983"/>
      <c r="D983"/>
      <c r="E983"/>
      <c r="F983"/>
      <c r="G983"/>
      <c r="H983"/>
      <c r="I983"/>
    </row>
    <row r="984" spans="1:9">
      <c r="A984"/>
      <c r="B984"/>
      <c r="C984"/>
      <c r="D984"/>
      <c r="E984"/>
      <c r="F984"/>
      <c r="G984"/>
      <c r="H984"/>
      <c r="I984"/>
    </row>
    <row r="985" spans="1:9">
      <c r="A985"/>
      <c r="B985"/>
      <c r="C985"/>
      <c r="D985"/>
      <c r="E985"/>
      <c r="F985"/>
      <c r="G985"/>
      <c r="H985"/>
      <c r="I985"/>
    </row>
    <row r="986" spans="1:9">
      <c r="A986"/>
      <c r="B986"/>
      <c r="C986"/>
      <c r="D986"/>
      <c r="E986"/>
      <c r="F986"/>
      <c r="G986"/>
      <c r="H986"/>
      <c r="I986"/>
    </row>
    <row r="987" spans="1:9">
      <c r="A987"/>
      <c r="B987"/>
      <c r="C987"/>
      <c r="D987"/>
      <c r="E987"/>
      <c r="F987"/>
      <c r="G987"/>
      <c r="H987"/>
      <c r="I987"/>
    </row>
    <row r="988" spans="1:9">
      <c r="A988"/>
      <c r="B988"/>
      <c r="C988"/>
      <c r="D988"/>
      <c r="E988"/>
      <c r="F988"/>
      <c r="G988"/>
      <c r="H988"/>
      <c r="I988"/>
    </row>
    <row r="989" spans="1:9">
      <c r="A989"/>
      <c r="B989"/>
      <c r="C989"/>
      <c r="D989"/>
      <c r="E989"/>
      <c r="F989"/>
      <c r="G989"/>
      <c r="H989"/>
      <c r="I989"/>
    </row>
    <row r="990" spans="1:9">
      <c r="A990"/>
      <c r="B990"/>
      <c r="C990"/>
      <c r="D990"/>
      <c r="E990"/>
      <c r="F990"/>
      <c r="G990"/>
      <c r="H990"/>
      <c r="I990"/>
    </row>
    <row r="991" spans="1:9">
      <c r="A991"/>
      <c r="B991"/>
      <c r="C991"/>
      <c r="D991"/>
      <c r="E991"/>
      <c r="F991"/>
      <c r="G991"/>
      <c r="H991"/>
      <c r="I991"/>
    </row>
    <row r="992" spans="1:9">
      <c r="A992"/>
      <c r="B992"/>
      <c r="C992"/>
      <c r="D992"/>
      <c r="E992"/>
      <c r="F992"/>
      <c r="G992"/>
      <c r="H992"/>
      <c r="I992"/>
    </row>
    <row r="993" spans="1:9">
      <c r="A993"/>
      <c r="B993"/>
      <c r="C993"/>
      <c r="D993"/>
      <c r="E993"/>
      <c r="F993"/>
      <c r="G993"/>
      <c r="H993"/>
      <c r="I993"/>
    </row>
    <row r="994" spans="1:9">
      <c r="A994"/>
      <c r="B994"/>
      <c r="C994"/>
      <c r="D994"/>
      <c r="E994"/>
      <c r="F994"/>
      <c r="G994"/>
      <c r="H994"/>
      <c r="I994"/>
    </row>
    <row r="995" spans="1:9">
      <c r="A995"/>
      <c r="B995"/>
      <c r="C995"/>
      <c r="D995"/>
      <c r="E995"/>
      <c r="F995"/>
      <c r="G995"/>
      <c r="H995"/>
      <c r="I995"/>
    </row>
    <row r="996" spans="1:9">
      <c r="A996"/>
      <c r="B996"/>
      <c r="C996"/>
      <c r="D996"/>
      <c r="E996"/>
      <c r="F996"/>
      <c r="G996"/>
      <c r="H996"/>
      <c r="I996"/>
    </row>
    <row r="997" spans="1:9">
      <c r="A997"/>
      <c r="B997"/>
      <c r="C997"/>
      <c r="D997"/>
      <c r="E997"/>
      <c r="F997"/>
      <c r="G997"/>
      <c r="H997"/>
      <c r="I997"/>
    </row>
    <row r="998" spans="1:9">
      <c r="A998"/>
      <c r="B998"/>
      <c r="C998"/>
      <c r="D998"/>
      <c r="E998"/>
      <c r="F998"/>
      <c r="G998"/>
      <c r="H998"/>
      <c r="I998"/>
    </row>
    <row r="999" spans="1:9">
      <c r="A999"/>
      <c r="B999"/>
      <c r="C999"/>
      <c r="D999"/>
      <c r="E999"/>
      <c r="F999"/>
      <c r="G999"/>
      <c r="H999"/>
      <c r="I999"/>
    </row>
    <row r="1000" spans="1:9">
      <c r="A1000"/>
      <c r="B1000"/>
      <c r="C1000"/>
      <c r="D1000"/>
      <c r="E1000"/>
      <c r="F1000"/>
      <c r="G1000"/>
      <c r="H1000"/>
      <c r="I1000"/>
    </row>
    <row r="1001" spans="1:9">
      <c r="A1001"/>
      <c r="B1001"/>
      <c r="C1001"/>
      <c r="D1001"/>
      <c r="E1001"/>
      <c r="F1001"/>
      <c r="G1001"/>
      <c r="H1001"/>
      <c r="I1001"/>
    </row>
    <row r="1002" spans="1:9">
      <c r="A1002"/>
      <c r="B1002"/>
      <c r="C1002"/>
      <c r="D1002"/>
      <c r="E1002"/>
      <c r="F1002"/>
      <c r="G1002"/>
      <c r="H1002"/>
      <c r="I1002"/>
    </row>
    <row r="1003" spans="1:9">
      <c r="A1003"/>
      <c r="B1003"/>
      <c r="C1003"/>
      <c r="D1003"/>
      <c r="E1003"/>
      <c r="F1003"/>
      <c r="G1003"/>
      <c r="H1003"/>
      <c r="I1003"/>
    </row>
    <row r="1004" spans="1:9">
      <c r="A1004"/>
      <c r="B1004"/>
      <c r="C1004"/>
      <c r="D1004"/>
      <c r="E1004"/>
      <c r="F1004"/>
      <c r="G1004"/>
      <c r="H1004"/>
      <c r="I1004"/>
    </row>
    <row r="1005" spans="1:9">
      <c r="A1005"/>
      <c r="B1005"/>
      <c r="C1005"/>
      <c r="D1005"/>
      <c r="E1005"/>
      <c r="F1005"/>
      <c r="G1005"/>
      <c r="H1005"/>
      <c r="I1005"/>
    </row>
    <row r="1006" spans="1:9">
      <c r="A1006"/>
      <c r="B1006"/>
      <c r="C1006"/>
      <c r="D1006"/>
      <c r="E1006"/>
      <c r="F1006"/>
      <c r="G1006"/>
      <c r="H1006"/>
      <c r="I1006"/>
    </row>
    <row r="1007" spans="1:9">
      <c r="A1007"/>
      <c r="B1007"/>
      <c r="C1007"/>
      <c r="D1007"/>
      <c r="E1007"/>
      <c r="F1007"/>
      <c r="G1007"/>
      <c r="H1007"/>
      <c r="I1007"/>
    </row>
    <row r="1008" spans="1:9">
      <c r="A1008"/>
      <c r="B1008"/>
      <c r="C1008"/>
      <c r="D1008"/>
      <c r="E1008"/>
      <c r="F1008"/>
      <c r="G1008"/>
      <c r="H1008"/>
      <c r="I1008"/>
    </row>
    <row r="1009" spans="1:9">
      <c r="A1009"/>
      <c r="B1009"/>
      <c r="C1009"/>
      <c r="D1009"/>
      <c r="E1009"/>
      <c r="F1009"/>
      <c r="G1009"/>
      <c r="H1009"/>
      <c r="I1009"/>
    </row>
    <row r="1010" spans="1:9">
      <c r="A1010"/>
      <c r="B1010"/>
      <c r="C1010"/>
      <c r="D1010"/>
      <c r="E1010"/>
      <c r="F1010"/>
      <c r="G1010"/>
      <c r="H1010"/>
      <c r="I1010"/>
    </row>
    <row r="1011" spans="1:9">
      <c r="A1011"/>
      <c r="B1011"/>
      <c r="C1011"/>
      <c r="D1011"/>
      <c r="E1011"/>
      <c r="F1011"/>
      <c r="G1011"/>
      <c r="H1011"/>
      <c r="I1011"/>
    </row>
    <row r="1012" spans="1:9">
      <c r="A1012"/>
      <c r="B1012"/>
      <c r="C1012"/>
      <c r="D1012"/>
      <c r="E1012"/>
      <c r="F1012"/>
      <c r="G1012"/>
      <c r="H1012"/>
      <c r="I1012"/>
    </row>
    <row r="1013" spans="1:9">
      <c r="A1013"/>
      <c r="B1013"/>
      <c r="C1013"/>
      <c r="D1013"/>
      <c r="E1013"/>
      <c r="F1013"/>
      <c r="G1013"/>
      <c r="H1013"/>
      <c r="I1013"/>
    </row>
    <row r="1014" spans="1:9">
      <c r="A1014"/>
      <c r="B1014"/>
      <c r="C1014"/>
      <c r="D1014"/>
      <c r="E1014"/>
      <c r="F1014"/>
      <c r="G1014"/>
      <c r="H1014"/>
      <c r="I1014"/>
    </row>
    <row r="1015" spans="1:9">
      <c r="A1015"/>
      <c r="B1015"/>
      <c r="C1015"/>
      <c r="D1015"/>
      <c r="E1015"/>
      <c r="F1015"/>
      <c r="G1015"/>
      <c r="H1015"/>
      <c r="I1015"/>
    </row>
    <row r="1016" spans="1:9">
      <c r="A1016"/>
      <c r="B1016"/>
      <c r="C1016"/>
      <c r="D1016"/>
      <c r="E1016"/>
      <c r="F1016"/>
      <c r="G1016"/>
      <c r="H1016"/>
      <c r="I1016"/>
    </row>
    <row r="1017" spans="1:9">
      <c r="A1017"/>
      <c r="B1017"/>
      <c r="C1017"/>
      <c r="D1017"/>
      <c r="E1017"/>
      <c r="F1017"/>
      <c r="G1017"/>
      <c r="H1017"/>
      <c r="I1017"/>
    </row>
    <row r="1018" spans="1:9">
      <c r="A1018"/>
      <c r="B1018"/>
      <c r="C1018"/>
      <c r="D1018"/>
      <c r="E1018"/>
      <c r="F1018"/>
      <c r="G1018"/>
      <c r="H1018"/>
      <c r="I1018"/>
    </row>
    <row r="1019" spans="1:9">
      <c r="A1019"/>
      <c r="B1019"/>
      <c r="C1019"/>
      <c r="D1019"/>
      <c r="E1019"/>
      <c r="F1019"/>
      <c r="G1019"/>
      <c r="H1019"/>
      <c r="I1019"/>
    </row>
    <row r="1020" spans="1:9">
      <c r="A1020"/>
      <c r="B1020"/>
      <c r="C1020"/>
      <c r="D1020"/>
      <c r="E1020"/>
      <c r="F1020"/>
      <c r="G1020"/>
      <c r="H1020"/>
      <c r="I1020"/>
    </row>
    <row r="1021" spans="1:9">
      <c r="A1021"/>
      <c r="B1021"/>
      <c r="C1021"/>
      <c r="D1021"/>
      <c r="E1021"/>
      <c r="F1021"/>
      <c r="G1021"/>
      <c r="H1021"/>
      <c r="I1021"/>
    </row>
    <row r="1022" spans="1:9">
      <c r="A1022"/>
      <c r="B1022"/>
      <c r="C1022"/>
      <c r="D1022"/>
      <c r="E1022"/>
      <c r="F1022"/>
      <c r="G1022"/>
      <c r="H1022"/>
      <c r="I1022"/>
    </row>
    <row r="1023" spans="1:9">
      <c r="A1023"/>
      <c r="B1023"/>
      <c r="C1023"/>
      <c r="D1023"/>
      <c r="E1023"/>
      <c r="F1023"/>
      <c r="G1023"/>
      <c r="H1023"/>
      <c r="I1023"/>
    </row>
    <row r="1024" spans="1:9">
      <c r="A1024"/>
      <c r="B1024"/>
      <c r="C1024"/>
      <c r="D1024"/>
      <c r="E1024"/>
      <c r="F1024"/>
      <c r="G1024"/>
      <c r="H1024"/>
      <c r="I1024"/>
    </row>
    <row r="1025" spans="1:9">
      <c r="A1025"/>
      <c r="B1025"/>
      <c r="C1025"/>
      <c r="D1025"/>
      <c r="E1025"/>
      <c r="F1025"/>
      <c r="G1025"/>
      <c r="H1025"/>
      <c r="I1025"/>
    </row>
    <row r="1026" spans="1:9">
      <c r="A1026"/>
      <c r="B1026"/>
      <c r="C1026"/>
      <c r="D1026"/>
      <c r="E1026"/>
      <c r="F1026"/>
      <c r="G1026"/>
      <c r="H1026"/>
      <c r="I1026"/>
    </row>
    <row r="1027" spans="1:9">
      <c r="A1027"/>
      <c r="B1027"/>
      <c r="C1027"/>
      <c r="D1027"/>
      <c r="E1027"/>
      <c r="F1027"/>
      <c r="G1027"/>
      <c r="H1027"/>
      <c r="I1027"/>
    </row>
    <row r="1028" spans="1:9">
      <c r="A1028"/>
      <c r="B1028"/>
      <c r="C1028"/>
      <c r="D1028"/>
      <c r="E1028"/>
      <c r="F1028"/>
      <c r="G1028"/>
      <c r="H1028"/>
      <c r="I1028"/>
    </row>
    <row r="1029" spans="1:9">
      <c r="A1029"/>
      <c r="B1029"/>
      <c r="C1029"/>
      <c r="D1029"/>
      <c r="E1029"/>
      <c r="F1029"/>
      <c r="G1029"/>
      <c r="H1029"/>
      <c r="I1029"/>
    </row>
    <row r="1030" spans="1:9">
      <c r="A1030"/>
      <c r="B1030"/>
      <c r="C1030"/>
      <c r="D1030"/>
      <c r="E1030"/>
      <c r="F1030"/>
      <c r="G1030"/>
      <c r="H1030"/>
      <c r="I1030"/>
    </row>
    <row r="1031" spans="1:9">
      <c r="A1031"/>
      <c r="B1031"/>
      <c r="C1031"/>
      <c r="D1031"/>
      <c r="E1031"/>
      <c r="F1031"/>
      <c r="G1031"/>
      <c r="H1031"/>
      <c r="I1031"/>
    </row>
    <row r="1032" spans="1:9">
      <c r="A1032"/>
      <c r="B1032"/>
      <c r="C1032"/>
      <c r="D1032"/>
      <c r="E1032"/>
      <c r="F1032"/>
      <c r="G1032"/>
      <c r="H1032"/>
      <c r="I1032"/>
    </row>
    <row r="1033" spans="1:9">
      <c r="A1033"/>
      <c r="B1033"/>
      <c r="C1033"/>
      <c r="D1033"/>
      <c r="E1033"/>
      <c r="F1033"/>
      <c r="G1033"/>
      <c r="H1033"/>
      <c r="I1033"/>
    </row>
    <row r="1034" spans="1:9">
      <c r="A1034"/>
      <c r="B1034"/>
      <c r="C1034"/>
      <c r="D1034"/>
      <c r="E1034"/>
      <c r="F1034"/>
      <c r="G1034"/>
      <c r="H1034"/>
      <c r="I1034"/>
    </row>
    <row r="1035" spans="1:9">
      <c r="A1035"/>
      <c r="B1035"/>
      <c r="C1035"/>
      <c r="D1035"/>
      <c r="E1035"/>
      <c r="F1035"/>
      <c r="G1035"/>
      <c r="H1035"/>
      <c r="I1035"/>
    </row>
    <row r="1036" spans="1:9">
      <c r="A1036"/>
      <c r="B1036"/>
      <c r="C1036"/>
      <c r="D1036"/>
      <c r="E1036"/>
      <c r="F1036"/>
      <c r="G1036"/>
      <c r="H1036"/>
      <c r="I1036"/>
    </row>
    <row r="1037" spans="1:9">
      <c r="A1037"/>
      <c r="B1037"/>
      <c r="C1037"/>
      <c r="D1037"/>
      <c r="E1037"/>
      <c r="F1037"/>
      <c r="G1037"/>
      <c r="H1037"/>
      <c r="I1037"/>
    </row>
    <row r="1038" spans="1:9">
      <c r="A1038"/>
      <c r="B1038"/>
      <c r="C1038"/>
      <c r="D1038"/>
      <c r="E1038"/>
      <c r="F1038"/>
      <c r="G1038"/>
      <c r="H1038"/>
      <c r="I1038"/>
    </row>
    <row r="1039" spans="1:9">
      <c r="A1039"/>
      <c r="B1039"/>
      <c r="C1039"/>
      <c r="D1039"/>
      <c r="E1039"/>
      <c r="F1039"/>
      <c r="G1039"/>
      <c r="H1039"/>
      <c r="I1039"/>
    </row>
    <row r="1040" spans="1:9">
      <c r="A1040"/>
      <c r="B1040"/>
      <c r="C1040"/>
      <c r="D1040"/>
      <c r="E1040"/>
      <c r="F1040"/>
      <c r="G1040"/>
      <c r="H1040"/>
      <c r="I1040"/>
    </row>
    <row r="1041" spans="1:9">
      <c r="A1041"/>
      <c r="B1041"/>
      <c r="C1041"/>
      <c r="D1041"/>
      <c r="E1041"/>
      <c r="F1041"/>
      <c r="G1041"/>
      <c r="H1041"/>
      <c r="I1041"/>
    </row>
    <row r="1042" spans="1:9">
      <c r="A1042"/>
      <c r="B1042"/>
      <c r="C1042"/>
      <c r="D1042"/>
      <c r="E1042"/>
      <c r="F1042"/>
      <c r="G1042"/>
      <c r="H1042"/>
      <c r="I1042"/>
    </row>
    <row r="1043" spans="1:9">
      <c r="A1043"/>
      <c r="B1043"/>
      <c r="C1043"/>
      <c r="D1043"/>
      <c r="E1043"/>
      <c r="F1043"/>
      <c r="G1043"/>
      <c r="H1043"/>
      <c r="I1043"/>
    </row>
    <row r="1044" spans="1:9">
      <c r="A1044"/>
      <c r="B1044"/>
      <c r="C1044"/>
      <c r="D1044"/>
      <c r="E1044"/>
      <c r="F1044"/>
      <c r="G1044"/>
      <c r="H1044"/>
      <c r="I1044"/>
    </row>
    <row r="1045" spans="1:9">
      <c r="A1045"/>
      <c r="B1045"/>
      <c r="C1045"/>
      <c r="D1045"/>
      <c r="E1045"/>
      <c r="F1045"/>
      <c r="G1045"/>
      <c r="H1045"/>
      <c r="I1045"/>
    </row>
    <row r="1046" spans="1:9">
      <c r="A1046"/>
      <c r="B1046"/>
      <c r="C1046"/>
      <c r="D1046"/>
      <c r="E1046"/>
      <c r="F1046"/>
      <c r="G1046"/>
      <c r="H1046"/>
      <c r="I1046"/>
    </row>
    <row r="1047" spans="1:9">
      <c r="A1047"/>
      <c r="B1047"/>
      <c r="C1047"/>
      <c r="D1047"/>
      <c r="E1047"/>
      <c r="F1047"/>
      <c r="G1047"/>
      <c r="H1047"/>
      <c r="I1047"/>
    </row>
    <row r="1048" spans="1:9">
      <c r="A1048"/>
      <c r="B1048"/>
      <c r="C1048"/>
      <c r="D1048"/>
      <c r="E1048"/>
      <c r="F1048"/>
      <c r="G1048"/>
      <c r="H1048"/>
      <c r="I1048"/>
    </row>
    <row r="1049" spans="1:9">
      <c r="A1049"/>
      <c r="B1049"/>
      <c r="C1049"/>
      <c r="D1049"/>
      <c r="E1049"/>
      <c r="F1049"/>
      <c r="G1049"/>
      <c r="H1049"/>
      <c r="I1049"/>
    </row>
    <row r="1050" spans="1:9">
      <c r="A1050"/>
      <c r="B1050"/>
      <c r="C1050"/>
      <c r="D1050"/>
      <c r="E1050"/>
      <c r="F1050"/>
      <c r="G1050"/>
      <c r="H1050"/>
      <c r="I1050"/>
    </row>
    <row r="1051" spans="1:9">
      <c r="A1051"/>
      <c r="B1051"/>
      <c r="C1051"/>
      <c r="D1051"/>
      <c r="E1051"/>
      <c r="F1051"/>
      <c r="G1051"/>
      <c r="H1051"/>
      <c r="I1051"/>
    </row>
    <row r="1052" spans="1:9">
      <c r="A1052"/>
      <c r="B1052"/>
      <c r="C1052"/>
      <c r="D1052"/>
      <c r="E1052"/>
      <c r="F1052"/>
      <c r="G1052"/>
      <c r="H1052"/>
      <c r="I1052"/>
    </row>
    <row r="1053" spans="1:9">
      <c r="A1053"/>
      <c r="B1053"/>
      <c r="C1053"/>
      <c r="D1053"/>
      <c r="E1053"/>
      <c r="F1053"/>
      <c r="G1053"/>
      <c r="H1053"/>
      <c r="I1053"/>
    </row>
    <row r="1054" spans="1:9">
      <c r="A1054"/>
      <c r="B1054"/>
      <c r="C1054"/>
      <c r="D1054"/>
      <c r="E1054"/>
      <c r="F1054"/>
      <c r="G1054"/>
      <c r="H1054"/>
      <c r="I1054"/>
    </row>
    <row r="1055" spans="1:9">
      <c r="A1055"/>
      <c r="B1055"/>
      <c r="C1055"/>
      <c r="D1055"/>
      <c r="E1055"/>
      <c r="F1055"/>
      <c r="G1055"/>
      <c r="H1055"/>
      <c r="I1055"/>
    </row>
    <row r="1056" spans="1:9">
      <c r="A1056"/>
      <c r="B1056"/>
      <c r="C1056"/>
      <c r="D1056"/>
      <c r="E1056"/>
      <c r="F1056"/>
      <c r="G1056"/>
      <c r="H1056"/>
      <c r="I1056"/>
    </row>
    <row r="1057" spans="1:9">
      <c r="A1057"/>
      <c r="B1057"/>
      <c r="C1057"/>
      <c r="D1057"/>
      <c r="E1057"/>
      <c r="F1057"/>
      <c r="G1057"/>
      <c r="H1057"/>
      <c r="I1057"/>
    </row>
    <row r="1058" spans="1:9">
      <c r="A1058"/>
      <c r="B1058"/>
      <c r="C1058"/>
      <c r="D1058"/>
      <c r="E1058"/>
      <c r="F1058"/>
      <c r="G1058"/>
      <c r="H1058"/>
      <c r="I1058"/>
    </row>
    <row r="1059" spans="1:9">
      <c r="A1059"/>
      <c r="B1059"/>
      <c r="C1059"/>
      <c r="D1059"/>
      <c r="E1059"/>
      <c r="F1059"/>
      <c r="G1059"/>
      <c r="H1059"/>
      <c r="I1059"/>
    </row>
    <row r="1060" spans="1:9">
      <c r="A1060"/>
      <c r="B1060"/>
      <c r="C1060"/>
      <c r="D1060"/>
      <c r="E1060"/>
      <c r="F1060"/>
      <c r="G1060"/>
      <c r="H1060"/>
      <c r="I1060"/>
    </row>
    <row r="1061" spans="1:9">
      <c r="A1061"/>
      <c r="B1061"/>
      <c r="C1061"/>
      <c r="D1061"/>
      <c r="E1061"/>
      <c r="F1061"/>
      <c r="G1061"/>
      <c r="H1061"/>
      <c r="I1061"/>
    </row>
    <row r="1062" spans="1:9">
      <c r="A1062"/>
      <c r="B1062"/>
      <c r="C1062"/>
      <c r="D1062"/>
      <c r="E1062"/>
      <c r="F1062"/>
      <c r="G1062"/>
      <c r="H1062"/>
      <c r="I1062"/>
    </row>
    <row r="1063" spans="1:9">
      <c r="A1063"/>
      <c r="B1063"/>
      <c r="C1063"/>
      <c r="D1063"/>
      <c r="E1063"/>
      <c r="F1063"/>
      <c r="G1063"/>
      <c r="H1063"/>
      <c r="I1063"/>
    </row>
    <row r="1064" spans="1:9">
      <c r="A1064"/>
      <c r="B1064"/>
      <c r="C1064"/>
      <c r="D1064"/>
      <c r="E1064"/>
      <c r="F1064"/>
      <c r="G1064"/>
      <c r="H1064"/>
      <c r="I1064"/>
    </row>
    <row r="1065" spans="1:9">
      <c r="A1065"/>
      <c r="B1065"/>
      <c r="C1065"/>
      <c r="D1065"/>
      <c r="E1065"/>
      <c r="F1065"/>
      <c r="G1065"/>
      <c r="H1065"/>
      <c r="I1065"/>
    </row>
    <row r="1066" spans="1:9">
      <c r="A1066"/>
      <c r="B1066"/>
      <c r="C1066"/>
      <c r="D1066"/>
      <c r="E1066"/>
      <c r="F1066"/>
      <c r="G1066"/>
      <c r="H1066"/>
      <c r="I1066"/>
    </row>
    <row r="1067" spans="1:9">
      <c r="A1067"/>
      <c r="B1067"/>
      <c r="C1067"/>
      <c r="D1067"/>
      <c r="E1067"/>
      <c r="F1067"/>
      <c r="G1067"/>
      <c r="H1067"/>
      <c r="I1067"/>
    </row>
    <row r="1068" spans="1:9">
      <c r="A1068"/>
      <c r="B1068"/>
      <c r="C1068"/>
      <c r="D1068"/>
      <c r="E1068"/>
      <c r="F1068"/>
      <c r="G1068"/>
      <c r="H1068"/>
      <c r="I1068"/>
    </row>
    <row r="1069" spans="1:9">
      <c r="A1069"/>
      <c r="B1069"/>
      <c r="C1069"/>
      <c r="D1069"/>
      <c r="E1069"/>
      <c r="F1069"/>
      <c r="G1069"/>
      <c r="H1069"/>
      <c r="I1069"/>
    </row>
    <row r="1070" spans="1:9">
      <c r="A1070"/>
      <c r="B1070"/>
      <c r="C1070"/>
      <c r="D1070"/>
      <c r="E1070"/>
      <c r="F1070"/>
      <c r="G1070"/>
      <c r="H1070"/>
      <c r="I1070"/>
    </row>
    <row r="1071" spans="1:9">
      <c r="A1071"/>
      <c r="B1071"/>
      <c r="C1071"/>
      <c r="D1071"/>
      <c r="E1071"/>
      <c r="F1071"/>
      <c r="G1071"/>
      <c r="H1071"/>
      <c r="I1071"/>
    </row>
    <row r="1072" spans="1:9">
      <c r="A1072"/>
      <c r="B1072"/>
      <c r="C1072"/>
      <c r="D1072"/>
      <c r="E1072"/>
      <c r="F1072"/>
      <c r="G1072"/>
      <c r="H1072"/>
      <c r="I1072"/>
    </row>
    <row r="1073" spans="1:9">
      <c r="A1073"/>
      <c r="B1073"/>
      <c r="C1073"/>
      <c r="D1073"/>
      <c r="E1073"/>
      <c r="F1073"/>
      <c r="G1073"/>
      <c r="H1073"/>
      <c r="I1073"/>
    </row>
    <row r="1074" spans="1:9">
      <c r="A1074"/>
      <c r="B1074"/>
      <c r="C1074"/>
      <c r="D1074"/>
      <c r="E1074"/>
      <c r="F1074"/>
      <c r="G1074"/>
      <c r="H1074"/>
      <c r="I1074"/>
    </row>
    <row r="1075" spans="1:9">
      <c r="A1075"/>
      <c r="B1075"/>
      <c r="C1075"/>
      <c r="D1075"/>
      <c r="E1075"/>
      <c r="F1075"/>
      <c r="G1075"/>
      <c r="H1075"/>
      <c r="I1075"/>
    </row>
    <row r="1076" spans="1:9">
      <c r="A1076"/>
      <c r="B1076"/>
      <c r="C1076"/>
      <c r="D1076"/>
      <c r="E1076"/>
      <c r="F1076"/>
      <c r="G1076"/>
      <c r="H1076"/>
      <c r="I1076"/>
    </row>
    <row r="1077" spans="1:9">
      <c r="A1077"/>
      <c r="B1077"/>
      <c r="C1077"/>
      <c r="D1077"/>
      <c r="E1077"/>
      <c r="F1077"/>
      <c r="G1077"/>
      <c r="H1077"/>
      <c r="I1077"/>
    </row>
    <row r="1078" spans="1:9">
      <c r="A1078"/>
      <c r="B1078"/>
      <c r="C1078"/>
      <c r="D1078"/>
      <c r="E1078"/>
      <c r="F1078"/>
      <c r="G1078"/>
      <c r="H1078"/>
      <c r="I1078"/>
    </row>
    <row r="1079" spans="1:9">
      <c r="A1079"/>
      <c r="B1079"/>
      <c r="C1079"/>
      <c r="D1079"/>
      <c r="E1079"/>
      <c r="F1079"/>
      <c r="G1079"/>
      <c r="H1079"/>
      <c r="I1079"/>
    </row>
    <row r="1080" spans="1:9">
      <c r="A1080"/>
      <c r="B1080"/>
      <c r="C1080"/>
      <c r="D1080"/>
      <c r="E1080"/>
      <c r="F1080"/>
      <c r="G1080"/>
      <c r="H1080"/>
      <c r="I1080"/>
    </row>
    <row r="1081" spans="1:9">
      <c r="A1081"/>
      <c r="B1081"/>
      <c r="C1081"/>
      <c r="D1081"/>
      <c r="E1081"/>
      <c r="F1081"/>
      <c r="G1081"/>
      <c r="H1081"/>
      <c r="I1081"/>
    </row>
    <row r="1082" spans="1:9">
      <c r="A1082"/>
      <c r="B1082"/>
      <c r="C1082"/>
      <c r="D1082"/>
      <c r="E1082"/>
      <c r="F1082"/>
      <c r="G1082"/>
      <c r="H1082"/>
      <c r="I1082"/>
    </row>
    <row r="1083" spans="1:9">
      <c r="A1083"/>
      <c r="B1083"/>
      <c r="C1083"/>
      <c r="D1083"/>
      <c r="E1083"/>
      <c r="F1083"/>
      <c r="G1083"/>
      <c r="H1083"/>
      <c r="I1083"/>
    </row>
    <row r="1084" spans="1:9">
      <c r="A1084"/>
      <c r="B1084"/>
      <c r="C1084"/>
      <c r="D1084"/>
      <c r="E1084"/>
      <c r="F1084"/>
      <c r="G1084"/>
      <c r="H1084"/>
      <c r="I1084"/>
    </row>
    <row r="1085" spans="1:9">
      <c r="A1085"/>
      <c r="B1085"/>
      <c r="C1085"/>
      <c r="D1085"/>
      <c r="E1085"/>
      <c r="F1085"/>
      <c r="G1085"/>
      <c r="H1085"/>
      <c r="I1085"/>
    </row>
    <row r="1086" spans="1:9">
      <c r="A1086"/>
      <c r="B1086"/>
      <c r="C1086"/>
      <c r="D1086"/>
      <c r="E1086"/>
      <c r="F1086"/>
      <c r="G1086"/>
      <c r="H1086"/>
      <c r="I1086"/>
    </row>
    <row r="1087" spans="1:9">
      <c r="A1087"/>
      <c r="B1087"/>
      <c r="C1087"/>
      <c r="D1087"/>
      <c r="E1087"/>
      <c r="F1087"/>
      <c r="G1087"/>
      <c r="H1087"/>
      <c r="I1087"/>
    </row>
    <row r="1088" spans="1:9">
      <c r="A1088"/>
      <c r="B1088"/>
      <c r="C1088"/>
      <c r="D1088"/>
      <c r="E1088"/>
      <c r="F1088"/>
      <c r="G1088"/>
      <c r="H1088"/>
      <c r="I1088"/>
    </row>
    <row r="1089" spans="1:9">
      <c r="A1089"/>
      <c r="B1089"/>
      <c r="C1089"/>
      <c r="D1089"/>
      <c r="E1089"/>
      <c r="F1089"/>
      <c r="G1089"/>
      <c r="H1089"/>
      <c r="I1089"/>
    </row>
    <row r="1090" spans="1:9">
      <c r="A1090"/>
      <c r="B1090"/>
      <c r="C1090"/>
      <c r="D1090"/>
      <c r="E1090"/>
      <c r="F1090"/>
      <c r="G1090"/>
      <c r="H1090"/>
      <c r="I1090"/>
    </row>
    <row r="1091" spans="1:9">
      <c r="A1091"/>
      <c r="B1091"/>
      <c r="C1091"/>
      <c r="D1091"/>
      <c r="E1091"/>
      <c r="F1091"/>
      <c r="G1091"/>
      <c r="H1091"/>
      <c r="I1091"/>
    </row>
    <row r="1092" spans="1:9">
      <c r="A1092"/>
      <c r="B1092"/>
      <c r="C1092"/>
      <c r="D1092"/>
      <c r="E1092"/>
      <c r="F1092"/>
      <c r="G1092"/>
      <c r="H1092"/>
      <c r="I1092"/>
    </row>
    <row r="1093" spans="1:9">
      <c r="A1093"/>
      <c r="B1093"/>
      <c r="C1093"/>
      <c r="D1093"/>
      <c r="E1093"/>
      <c r="F1093"/>
      <c r="G1093"/>
      <c r="H1093"/>
      <c r="I1093"/>
    </row>
    <row r="1094" spans="1:9">
      <c r="A1094"/>
      <c r="B1094"/>
      <c r="C1094"/>
      <c r="D1094"/>
      <c r="E1094"/>
      <c r="F1094"/>
      <c r="G1094"/>
      <c r="H1094"/>
      <c r="I1094"/>
    </row>
    <row r="1095" spans="1:9">
      <c r="A1095"/>
      <c r="B1095"/>
      <c r="C1095"/>
      <c r="D1095"/>
      <c r="E1095"/>
      <c r="F1095"/>
      <c r="G1095"/>
      <c r="H1095"/>
      <c r="I1095"/>
    </row>
    <row r="1096" spans="1:9">
      <c r="A1096"/>
      <c r="B1096"/>
      <c r="C1096"/>
      <c r="D1096"/>
      <c r="E1096"/>
      <c r="F1096"/>
      <c r="G1096"/>
      <c r="H1096"/>
      <c r="I1096"/>
    </row>
    <row r="1097" spans="1:9">
      <c r="A1097"/>
      <c r="B1097"/>
      <c r="C1097"/>
      <c r="D1097"/>
      <c r="E1097"/>
      <c r="F1097"/>
      <c r="G1097"/>
      <c r="H1097"/>
      <c r="I1097"/>
    </row>
    <row r="1098" spans="1:9">
      <c r="A1098"/>
      <c r="B1098"/>
      <c r="C1098"/>
      <c r="D1098"/>
      <c r="E1098"/>
      <c r="F1098"/>
      <c r="G1098"/>
      <c r="H1098"/>
      <c r="I1098"/>
    </row>
    <row r="1099" spans="1:9">
      <c r="A1099"/>
      <c r="B1099"/>
      <c r="C1099"/>
      <c r="D1099"/>
      <c r="E1099"/>
      <c r="F1099"/>
      <c r="G1099"/>
      <c r="H1099"/>
      <c r="I1099"/>
    </row>
    <row r="1100" spans="1:9">
      <c r="A1100"/>
      <c r="B1100"/>
      <c r="C1100"/>
      <c r="D1100"/>
      <c r="E1100"/>
      <c r="F1100"/>
      <c r="G1100"/>
      <c r="H1100"/>
      <c r="I1100"/>
    </row>
    <row r="1101" spans="1:9">
      <c r="A1101"/>
      <c r="B1101"/>
      <c r="C1101"/>
      <c r="D1101"/>
      <c r="E1101"/>
      <c r="F1101"/>
      <c r="G1101"/>
      <c r="H1101"/>
      <c r="I1101"/>
    </row>
    <row r="1102" spans="1:9">
      <c r="A1102"/>
      <c r="B1102"/>
      <c r="C1102"/>
      <c r="D1102"/>
      <c r="E1102"/>
      <c r="F1102"/>
      <c r="G1102"/>
      <c r="H1102"/>
      <c r="I1102"/>
    </row>
    <row r="1103" spans="1:9">
      <c r="A1103"/>
      <c r="B1103"/>
      <c r="C1103"/>
      <c r="D1103"/>
      <c r="E1103"/>
      <c r="F1103"/>
      <c r="G1103"/>
      <c r="H1103"/>
      <c r="I1103"/>
    </row>
    <row r="1104" spans="1:9">
      <c r="A1104"/>
      <c r="B1104"/>
      <c r="C1104"/>
      <c r="D1104"/>
      <c r="E1104"/>
      <c r="F1104"/>
      <c r="G1104"/>
      <c r="H1104"/>
      <c r="I1104"/>
    </row>
    <row r="1105" spans="1:9">
      <c r="A1105"/>
      <c r="B1105"/>
      <c r="C1105"/>
      <c r="D1105"/>
      <c r="E1105"/>
      <c r="F1105"/>
      <c r="G1105"/>
      <c r="H1105"/>
      <c r="I1105"/>
    </row>
    <row r="1106" spans="1:9">
      <c r="A1106"/>
      <c r="B1106"/>
      <c r="C1106"/>
      <c r="D1106"/>
      <c r="E1106"/>
      <c r="F1106"/>
      <c r="G1106"/>
      <c r="H1106"/>
      <c r="I1106"/>
    </row>
    <row r="1107" spans="1:9">
      <c r="A1107"/>
      <c r="B1107"/>
      <c r="C1107"/>
      <c r="D1107"/>
      <c r="E1107"/>
      <c r="F1107"/>
      <c r="G1107"/>
      <c r="H1107"/>
      <c r="I1107"/>
    </row>
    <row r="1108" spans="1:9">
      <c r="A1108"/>
      <c r="B1108"/>
      <c r="C1108"/>
      <c r="D1108"/>
      <c r="E1108"/>
      <c r="F1108"/>
      <c r="G1108"/>
      <c r="H1108"/>
      <c r="I1108"/>
    </row>
    <row r="1109" spans="1:9">
      <c r="A1109"/>
      <c r="B1109"/>
      <c r="C1109"/>
      <c r="D1109"/>
      <c r="E1109"/>
      <c r="F1109"/>
      <c r="G1109"/>
      <c r="H1109"/>
      <c r="I1109"/>
    </row>
    <row r="1110" spans="1:9">
      <c r="A1110"/>
      <c r="B1110"/>
      <c r="C1110"/>
      <c r="D1110"/>
      <c r="E1110"/>
      <c r="F1110"/>
      <c r="G1110"/>
      <c r="H1110"/>
      <c r="I1110"/>
    </row>
    <row r="1111" spans="1:9">
      <c r="A1111"/>
      <c r="B1111"/>
      <c r="C1111"/>
      <c r="D1111"/>
      <c r="E1111"/>
      <c r="F1111"/>
      <c r="G1111"/>
      <c r="H1111"/>
      <c r="I1111"/>
    </row>
    <row r="1112" spans="1:9">
      <c r="A1112"/>
      <c r="B1112"/>
      <c r="C1112"/>
      <c r="D1112"/>
      <c r="E1112"/>
      <c r="F1112"/>
      <c r="G1112"/>
      <c r="H1112"/>
      <c r="I1112"/>
    </row>
    <row r="1113" spans="1:9">
      <c r="A1113"/>
      <c r="B1113"/>
      <c r="C1113"/>
      <c r="D1113"/>
      <c r="E1113"/>
      <c r="F1113"/>
      <c r="G1113"/>
      <c r="H1113"/>
      <c r="I1113"/>
    </row>
    <row r="1114" spans="1:9">
      <c r="A1114"/>
      <c r="B1114"/>
      <c r="C1114"/>
      <c r="D1114"/>
      <c r="E1114"/>
      <c r="F1114"/>
      <c r="G1114"/>
      <c r="H1114"/>
      <c r="I1114"/>
    </row>
    <row r="1115" spans="1:9">
      <c r="A1115"/>
      <c r="B1115"/>
      <c r="C1115"/>
      <c r="D1115"/>
      <c r="E1115"/>
      <c r="F1115"/>
      <c r="G1115"/>
      <c r="H1115"/>
      <c r="I1115"/>
    </row>
    <row r="1116" spans="1:9">
      <c r="A1116"/>
      <c r="B1116"/>
      <c r="C1116"/>
      <c r="D1116"/>
      <c r="E1116"/>
      <c r="F1116"/>
      <c r="G1116"/>
      <c r="H1116"/>
      <c r="I1116"/>
    </row>
    <row r="1117" spans="1:9">
      <c r="A1117"/>
      <c r="B1117"/>
      <c r="C1117"/>
      <c r="D1117"/>
      <c r="E1117"/>
      <c r="F1117"/>
      <c r="G1117"/>
      <c r="H1117"/>
      <c r="I1117"/>
    </row>
    <row r="1118" spans="1:9">
      <c r="A1118"/>
      <c r="B1118"/>
      <c r="C1118"/>
      <c r="D1118"/>
      <c r="E1118"/>
      <c r="F1118"/>
      <c r="G1118"/>
      <c r="H1118"/>
      <c r="I1118"/>
    </row>
    <row r="1119" spans="1:9">
      <c r="A1119"/>
      <c r="B1119"/>
      <c r="C1119"/>
      <c r="D1119"/>
      <c r="E1119"/>
      <c r="F1119"/>
      <c r="G1119"/>
      <c r="H1119"/>
      <c r="I1119"/>
    </row>
    <row r="1120" spans="1:9">
      <c r="A1120"/>
      <c r="B1120"/>
      <c r="C1120"/>
      <c r="D1120"/>
      <c r="E1120"/>
      <c r="F1120"/>
      <c r="G1120"/>
      <c r="H1120"/>
      <c r="I1120"/>
    </row>
    <row r="1121" spans="1:9">
      <c r="A1121"/>
      <c r="B1121"/>
      <c r="C1121"/>
      <c r="D1121"/>
      <c r="E1121"/>
      <c r="F1121"/>
      <c r="G1121"/>
      <c r="H1121"/>
      <c r="I1121"/>
    </row>
    <row r="1122" spans="1:9">
      <c r="A1122"/>
      <c r="B1122"/>
      <c r="C1122"/>
      <c r="D1122"/>
      <c r="E1122"/>
      <c r="F1122"/>
      <c r="G1122"/>
      <c r="H1122"/>
      <c r="I1122"/>
    </row>
    <row r="1123" spans="1:9">
      <c r="A1123"/>
      <c r="B1123"/>
      <c r="C1123"/>
      <c r="D1123"/>
      <c r="E1123"/>
      <c r="F1123"/>
      <c r="G1123"/>
      <c r="H1123"/>
      <c r="I1123"/>
    </row>
    <row r="1124" spans="1:9">
      <c r="A1124"/>
      <c r="B1124"/>
      <c r="C1124"/>
      <c r="D1124"/>
      <c r="E1124"/>
      <c r="F1124"/>
      <c r="G1124"/>
      <c r="H1124"/>
      <c r="I1124"/>
    </row>
    <row r="1125" spans="1:9">
      <c r="A1125"/>
      <c r="B1125"/>
      <c r="C1125"/>
      <c r="D1125"/>
      <c r="E1125"/>
      <c r="F1125"/>
      <c r="G1125"/>
      <c r="H1125"/>
      <c r="I1125"/>
    </row>
    <row r="1126" spans="1:9">
      <c r="A1126"/>
      <c r="B1126"/>
      <c r="C1126"/>
      <c r="D1126"/>
      <c r="E1126"/>
      <c r="F1126"/>
      <c r="G1126"/>
      <c r="H1126"/>
      <c r="I1126"/>
    </row>
    <row r="1127" spans="1:9">
      <c r="A1127"/>
      <c r="B1127"/>
      <c r="C1127"/>
      <c r="D1127"/>
      <c r="E1127"/>
      <c r="F1127"/>
      <c r="G1127"/>
      <c r="H1127"/>
      <c r="I1127"/>
    </row>
    <row r="1128" spans="1:9">
      <c r="A1128"/>
      <c r="B1128"/>
      <c r="C1128"/>
      <c r="D1128"/>
      <c r="E1128"/>
      <c r="F1128"/>
      <c r="G1128"/>
      <c r="H1128"/>
      <c r="I1128"/>
    </row>
    <row r="1129" spans="1:9">
      <c r="A1129"/>
      <c r="B1129"/>
      <c r="C1129"/>
      <c r="D1129"/>
      <c r="E1129"/>
      <c r="F1129"/>
      <c r="G1129"/>
      <c r="H1129"/>
      <c r="I1129"/>
    </row>
    <row r="1130" spans="1:9">
      <c r="A1130"/>
      <c r="B1130"/>
      <c r="C1130"/>
      <c r="D1130"/>
      <c r="E1130"/>
      <c r="F1130"/>
      <c r="G1130"/>
      <c r="H1130"/>
      <c r="I1130"/>
    </row>
    <row r="1131" spans="1:9">
      <c r="A1131"/>
      <c r="B1131"/>
      <c r="C1131"/>
      <c r="D1131"/>
      <c r="E1131"/>
      <c r="F1131"/>
      <c r="G1131"/>
      <c r="H1131"/>
      <c r="I1131"/>
    </row>
    <row r="1132" spans="1:9">
      <c r="A1132"/>
      <c r="B1132"/>
      <c r="C1132"/>
      <c r="D1132"/>
      <c r="E1132"/>
      <c r="F1132"/>
      <c r="G1132"/>
      <c r="H1132"/>
      <c r="I1132"/>
    </row>
    <row r="1133" spans="1:9">
      <c r="A1133"/>
      <c r="B1133"/>
      <c r="C1133"/>
      <c r="D1133"/>
      <c r="E1133"/>
      <c r="F1133"/>
      <c r="G1133"/>
      <c r="H1133"/>
      <c r="I1133"/>
    </row>
    <row r="1134" spans="1:9">
      <c r="A1134"/>
      <c r="B1134"/>
      <c r="C1134"/>
      <c r="D1134"/>
      <c r="E1134"/>
      <c r="F1134"/>
      <c r="G1134"/>
      <c r="H1134"/>
      <c r="I1134"/>
    </row>
    <row r="1135" spans="1:9">
      <c r="A1135"/>
      <c r="B1135"/>
      <c r="C1135"/>
      <c r="D1135"/>
      <c r="E1135"/>
      <c r="F1135"/>
      <c r="G1135"/>
      <c r="H1135"/>
      <c r="I1135"/>
    </row>
    <row r="1136" spans="1:9">
      <c r="A1136"/>
      <c r="B1136"/>
      <c r="C1136"/>
      <c r="D1136"/>
      <c r="E1136"/>
      <c r="F1136"/>
      <c r="G1136"/>
      <c r="H1136"/>
      <c r="I1136"/>
    </row>
    <row r="1137" spans="1:9">
      <c r="A1137"/>
      <c r="B1137"/>
      <c r="C1137"/>
      <c r="D1137"/>
      <c r="E1137"/>
      <c r="F1137"/>
      <c r="G1137"/>
      <c r="H1137"/>
      <c r="I1137"/>
    </row>
    <row r="1138" spans="1:9">
      <c r="A1138"/>
      <c r="B1138"/>
      <c r="C1138"/>
      <c r="D1138"/>
      <c r="E1138"/>
      <c r="F1138"/>
      <c r="G1138"/>
      <c r="H1138"/>
      <c r="I1138"/>
    </row>
    <row r="1139" spans="1:9">
      <c r="A1139"/>
      <c r="B1139"/>
      <c r="C1139"/>
      <c r="D1139"/>
      <c r="E1139"/>
      <c r="F1139"/>
      <c r="G1139"/>
      <c r="H1139"/>
      <c r="I1139"/>
    </row>
    <row r="1140" spans="1:9">
      <c r="A1140"/>
      <c r="B1140"/>
      <c r="C1140"/>
      <c r="D1140"/>
      <c r="E1140"/>
      <c r="F1140"/>
      <c r="G1140"/>
      <c r="H1140"/>
      <c r="I1140"/>
    </row>
    <row r="1141" spans="1:9">
      <c r="A1141"/>
      <c r="B1141"/>
      <c r="C1141"/>
      <c r="D1141"/>
      <c r="E1141"/>
      <c r="F1141"/>
      <c r="G1141"/>
      <c r="H1141"/>
      <c r="I1141"/>
    </row>
    <row r="1142" spans="1:9">
      <c r="A1142"/>
      <c r="B1142"/>
      <c r="C1142"/>
      <c r="D1142"/>
      <c r="E1142"/>
      <c r="F1142"/>
      <c r="G1142"/>
      <c r="H1142"/>
      <c r="I1142"/>
    </row>
    <row r="1143" spans="1:9">
      <c r="A1143"/>
      <c r="B1143"/>
      <c r="C1143"/>
      <c r="D1143"/>
      <c r="E1143"/>
      <c r="F1143"/>
      <c r="G1143"/>
      <c r="H1143"/>
      <c r="I1143"/>
    </row>
    <row r="1144" spans="1:9">
      <c r="A1144"/>
      <c r="B1144"/>
      <c r="C1144"/>
      <c r="D1144"/>
      <c r="E1144"/>
      <c r="F1144"/>
      <c r="G1144"/>
      <c r="H1144"/>
      <c r="I1144"/>
    </row>
    <row r="1145" spans="1:9">
      <c r="A1145"/>
      <c r="B1145"/>
      <c r="C1145"/>
      <c r="D1145"/>
      <c r="E1145"/>
      <c r="F1145"/>
      <c r="G1145"/>
      <c r="H1145"/>
      <c r="I1145"/>
    </row>
    <row r="1146" spans="1:9">
      <c r="A1146"/>
      <c r="B1146"/>
      <c r="C1146"/>
      <c r="D1146"/>
      <c r="E1146"/>
      <c r="F1146"/>
      <c r="G1146"/>
      <c r="H1146"/>
      <c r="I1146"/>
    </row>
    <row r="1147" spans="1:9">
      <c r="A1147"/>
      <c r="B1147"/>
      <c r="C1147"/>
      <c r="D1147"/>
      <c r="E1147"/>
      <c r="F1147"/>
      <c r="G1147"/>
      <c r="H1147"/>
      <c r="I1147"/>
    </row>
    <row r="1148" spans="1:9">
      <c r="A1148"/>
      <c r="B1148"/>
      <c r="C1148"/>
      <c r="D1148"/>
      <c r="E1148"/>
      <c r="F1148"/>
      <c r="G1148"/>
      <c r="H1148"/>
      <c r="I1148"/>
    </row>
    <row r="1149" spans="1:9">
      <c r="A1149"/>
      <c r="B1149"/>
      <c r="C1149"/>
      <c r="D1149"/>
      <c r="E1149"/>
      <c r="F1149"/>
      <c r="G1149"/>
      <c r="H1149"/>
      <c r="I1149"/>
    </row>
    <row r="1150" spans="1:9">
      <c r="A1150"/>
      <c r="B1150"/>
      <c r="C1150"/>
      <c r="D1150"/>
      <c r="E1150"/>
      <c r="F1150"/>
      <c r="G1150"/>
      <c r="H1150"/>
      <c r="I1150"/>
    </row>
    <row r="1151" spans="1:9">
      <c r="A1151"/>
      <c r="B1151"/>
      <c r="C1151"/>
      <c r="D1151"/>
      <c r="E1151"/>
      <c r="F1151"/>
      <c r="G1151"/>
      <c r="H1151"/>
      <c r="I1151"/>
    </row>
    <row r="1152" spans="1:9">
      <c r="A1152"/>
      <c r="B1152"/>
      <c r="C1152"/>
      <c r="D1152"/>
      <c r="E1152"/>
      <c r="F1152"/>
      <c r="G1152"/>
    </row>
    <row r="1153" spans="1:7">
      <c r="A1153"/>
      <c r="B1153"/>
      <c r="C1153"/>
      <c r="D1153"/>
      <c r="E1153"/>
      <c r="F1153"/>
      <c r="G1153"/>
    </row>
    <row r="1154" spans="1:7">
      <c r="A1154"/>
      <c r="B1154"/>
      <c r="C1154"/>
      <c r="D1154"/>
      <c r="E1154"/>
      <c r="F1154"/>
      <c r="G1154"/>
    </row>
    <row r="1155" spans="1:7">
      <c r="A1155"/>
      <c r="B1155"/>
      <c r="C1155"/>
      <c r="D1155"/>
      <c r="E1155"/>
      <c r="F1155"/>
      <c r="G1155"/>
    </row>
    <row r="1156" spans="1:7">
      <c r="A1156"/>
      <c r="B1156"/>
      <c r="C1156"/>
      <c r="D1156"/>
      <c r="E1156"/>
      <c r="F1156"/>
      <c r="G1156"/>
    </row>
    <row r="1157" spans="1:7">
      <c r="A1157"/>
      <c r="B1157"/>
      <c r="C1157"/>
      <c r="D1157"/>
      <c r="E1157"/>
      <c r="F1157"/>
      <c r="G1157"/>
    </row>
    <row r="1158" spans="1:7">
      <c r="A1158"/>
      <c r="B1158"/>
      <c r="C1158"/>
      <c r="D1158"/>
      <c r="E1158"/>
      <c r="F1158"/>
      <c r="G1158"/>
    </row>
    <row r="1159" spans="1:7">
      <c r="A1159"/>
      <c r="B1159"/>
      <c r="C1159"/>
      <c r="D1159"/>
      <c r="E1159"/>
      <c r="F1159"/>
      <c r="G1159"/>
    </row>
    <row r="1160" spans="1:7">
      <c r="A1160"/>
      <c r="B1160"/>
      <c r="C1160"/>
      <c r="D1160"/>
      <c r="E1160"/>
      <c r="F1160"/>
      <c r="G1160"/>
    </row>
    <row r="1161" spans="1:7">
      <c r="A1161"/>
      <c r="B1161"/>
      <c r="C1161"/>
      <c r="D1161"/>
      <c r="E1161"/>
      <c r="F1161"/>
      <c r="G1161"/>
    </row>
    <row r="1162" spans="1:7">
      <c r="A1162"/>
      <c r="B1162"/>
      <c r="C1162"/>
      <c r="D1162"/>
      <c r="E1162"/>
      <c r="F1162"/>
      <c r="G1162"/>
    </row>
    <row r="1163" spans="1:7">
      <c r="A1163"/>
      <c r="B1163"/>
      <c r="C1163"/>
      <c r="D1163"/>
      <c r="E1163"/>
      <c r="F1163"/>
      <c r="G1163"/>
    </row>
    <row r="1164" spans="1:7">
      <c r="A1164"/>
      <c r="B1164"/>
      <c r="C1164"/>
      <c r="D1164"/>
      <c r="E1164"/>
      <c r="F1164"/>
      <c r="G1164"/>
    </row>
    <row r="1165" spans="1:7">
      <c r="A1165"/>
      <c r="B1165"/>
      <c r="C1165"/>
      <c r="D1165"/>
      <c r="E1165"/>
      <c r="F1165"/>
      <c r="G1165"/>
    </row>
    <row r="1166" spans="1:7">
      <c r="A1166"/>
      <c r="B1166"/>
      <c r="C1166"/>
      <c r="D1166"/>
      <c r="E1166"/>
      <c r="F1166"/>
      <c r="G1166"/>
    </row>
    <row r="1167" spans="1:7">
      <c r="A1167"/>
      <c r="B1167"/>
      <c r="C1167"/>
      <c r="D1167"/>
      <c r="E1167"/>
      <c r="F1167"/>
      <c r="G1167"/>
    </row>
    <row r="1168" spans="1:7">
      <c r="A1168"/>
      <c r="B1168"/>
      <c r="C1168"/>
      <c r="D1168"/>
      <c r="E1168"/>
      <c r="F1168"/>
      <c r="G1168"/>
    </row>
    <row r="1169" spans="1:7">
      <c r="A1169"/>
      <c r="B1169"/>
      <c r="C1169"/>
      <c r="D1169"/>
      <c r="E1169"/>
      <c r="F1169"/>
      <c r="G1169"/>
    </row>
    <row r="1170" spans="1:7">
      <c r="A1170"/>
      <c r="B1170"/>
      <c r="C1170"/>
      <c r="D1170"/>
      <c r="E1170"/>
      <c r="F1170"/>
      <c r="G1170"/>
    </row>
    <row r="1171" spans="1:7">
      <c r="A1171"/>
      <c r="B1171"/>
      <c r="C1171"/>
      <c r="D1171"/>
      <c r="E1171"/>
      <c r="F1171"/>
      <c r="G1171"/>
    </row>
    <row r="1172" spans="1:7">
      <c r="A1172"/>
      <c r="B1172"/>
      <c r="C1172"/>
      <c r="D1172"/>
      <c r="E1172"/>
      <c r="F1172"/>
      <c r="G1172"/>
    </row>
    <row r="1173" spans="1:7">
      <c r="A1173"/>
      <c r="B1173"/>
      <c r="C1173"/>
      <c r="D1173"/>
      <c r="E1173"/>
      <c r="F1173"/>
      <c r="G1173"/>
    </row>
    <row r="1174" spans="1:7">
      <c r="A1174"/>
      <c r="B1174"/>
      <c r="C1174"/>
      <c r="D1174"/>
      <c r="E1174"/>
      <c r="F1174"/>
      <c r="G1174"/>
    </row>
    <row r="1175" spans="1:7">
      <c r="A1175"/>
      <c r="B1175"/>
      <c r="C1175"/>
      <c r="D1175"/>
      <c r="E1175"/>
      <c r="F1175"/>
      <c r="G1175"/>
    </row>
    <row r="1176" spans="1:7">
      <c r="A1176"/>
      <c r="B1176"/>
      <c r="C1176"/>
      <c r="D1176"/>
      <c r="E1176"/>
      <c r="F1176"/>
      <c r="G1176"/>
    </row>
    <row r="1177" spans="1:7">
      <c r="A1177"/>
      <c r="B1177"/>
      <c r="C1177"/>
      <c r="D1177"/>
      <c r="E1177"/>
      <c r="F1177"/>
      <c r="G1177"/>
    </row>
    <row r="1178" spans="1:7">
      <c r="A1178"/>
      <c r="B1178"/>
      <c r="C1178"/>
      <c r="D1178"/>
      <c r="E1178"/>
      <c r="F1178"/>
      <c r="G1178"/>
    </row>
    <row r="1179" spans="1:7">
      <c r="A1179"/>
      <c r="B1179"/>
      <c r="C1179"/>
      <c r="D1179"/>
      <c r="E1179"/>
      <c r="F1179"/>
      <c r="G1179"/>
    </row>
    <row r="1180" spans="1:7">
      <c r="A1180"/>
      <c r="B1180"/>
      <c r="C1180"/>
      <c r="D1180"/>
      <c r="E1180"/>
      <c r="F1180"/>
      <c r="G1180"/>
    </row>
    <row r="1181" spans="1:7">
      <c r="A1181"/>
      <c r="B1181"/>
      <c r="C1181"/>
      <c r="D1181"/>
      <c r="E1181"/>
      <c r="F1181"/>
      <c r="G1181"/>
    </row>
    <row r="1182" spans="1:7">
      <c r="A1182"/>
      <c r="B1182"/>
      <c r="C1182"/>
      <c r="D1182"/>
      <c r="E1182"/>
      <c r="F1182"/>
      <c r="G1182"/>
    </row>
    <row r="1183" spans="1:7">
      <c r="A1183"/>
      <c r="B1183"/>
      <c r="C1183"/>
      <c r="D1183"/>
      <c r="E1183"/>
      <c r="F1183"/>
      <c r="G1183"/>
    </row>
    <row r="1184" spans="1:7">
      <c r="A1184"/>
      <c r="B1184"/>
      <c r="C1184"/>
      <c r="D1184"/>
      <c r="E1184"/>
      <c r="F1184"/>
      <c r="G1184"/>
    </row>
    <row r="1185" spans="1:7">
      <c r="A1185"/>
      <c r="B1185"/>
      <c r="C1185"/>
      <c r="D1185"/>
      <c r="E1185"/>
      <c r="F1185"/>
      <c r="G1185"/>
    </row>
    <row r="1186" spans="1:7">
      <c r="A1186"/>
      <c r="B1186"/>
      <c r="C1186"/>
      <c r="D1186"/>
      <c r="E1186"/>
      <c r="F1186"/>
      <c r="G1186"/>
    </row>
    <row r="1187" spans="1:7">
      <c r="A1187"/>
      <c r="B1187"/>
      <c r="C1187"/>
      <c r="D1187"/>
      <c r="E1187"/>
      <c r="F1187"/>
      <c r="G1187"/>
    </row>
    <row r="1188" spans="1:7">
      <c r="A1188"/>
      <c r="B1188"/>
      <c r="C1188"/>
      <c r="D1188"/>
      <c r="E1188"/>
      <c r="F1188"/>
      <c r="G1188"/>
    </row>
    <row r="1189" spans="1:7">
      <c r="A1189"/>
      <c r="B1189"/>
      <c r="C1189"/>
      <c r="D1189"/>
      <c r="E1189"/>
      <c r="F1189"/>
      <c r="G1189"/>
    </row>
    <row r="1190" spans="1:7">
      <c r="A1190"/>
      <c r="B1190"/>
      <c r="C1190"/>
      <c r="D1190"/>
      <c r="E1190"/>
      <c r="F1190"/>
      <c r="G1190"/>
    </row>
    <row r="1191" spans="1:7">
      <c r="A1191"/>
      <c r="B1191"/>
      <c r="C1191"/>
      <c r="D1191"/>
      <c r="E1191"/>
      <c r="F1191"/>
      <c r="G1191"/>
    </row>
    <row r="1192" spans="1:7">
      <c r="A1192"/>
      <c r="B1192"/>
      <c r="C1192"/>
      <c r="D1192"/>
      <c r="E1192"/>
      <c r="F1192"/>
      <c r="G1192"/>
    </row>
    <row r="1193" spans="1:7">
      <c r="A1193"/>
      <c r="B1193"/>
      <c r="C1193"/>
      <c r="D1193"/>
      <c r="E1193"/>
      <c r="F1193"/>
      <c r="G1193"/>
    </row>
    <row r="1194" spans="1:7">
      <c r="A1194"/>
      <c r="B1194"/>
      <c r="C1194"/>
      <c r="D1194"/>
      <c r="E1194"/>
      <c r="F1194"/>
      <c r="G1194"/>
    </row>
    <row r="1195" spans="1:7">
      <c r="A1195"/>
      <c r="B1195"/>
      <c r="C1195"/>
      <c r="D1195"/>
      <c r="E1195"/>
      <c r="F1195"/>
      <c r="G1195"/>
    </row>
    <row r="1196" spans="1:7">
      <c r="A1196"/>
      <c r="B1196"/>
      <c r="C1196"/>
      <c r="D1196"/>
      <c r="E1196"/>
      <c r="F1196"/>
      <c r="G1196"/>
    </row>
    <row r="1197" spans="1:7">
      <c r="A1197"/>
      <c r="B1197"/>
      <c r="C1197"/>
      <c r="D1197"/>
      <c r="E1197"/>
      <c r="F1197"/>
      <c r="G1197"/>
    </row>
    <row r="1198" spans="1:7">
      <c r="A1198"/>
      <c r="B1198"/>
      <c r="C1198"/>
      <c r="D1198"/>
      <c r="E1198"/>
      <c r="F1198"/>
      <c r="G1198"/>
    </row>
    <row r="1199" spans="1:7">
      <c r="A1199"/>
      <c r="B1199"/>
      <c r="C1199"/>
      <c r="D1199"/>
      <c r="E1199"/>
      <c r="F1199"/>
      <c r="G1199"/>
    </row>
    <row r="1200" spans="1:7">
      <c r="A1200"/>
      <c r="B1200"/>
      <c r="C1200"/>
      <c r="D1200"/>
      <c r="E1200"/>
      <c r="F1200"/>
      <c r="G1200"/>
    </row>
    <row r="1201" spans="1:7">
      <c r="A1201"/>
      <c r="B1201"/>
      <c r="C1201"/>
      <c r="D1201"/>
      <c r="E1201"/>
      <c r="F1201"/>
      <c r="G1201"/>
    </row>
    <row r="1202" spans="1:7">
      <c r="A1202"/>
      <c r="B1202"/>
      <c r="C1202"/>
      <c r="D1202"/>
      <c r="E1202"/>
      <c r="F1202"/>
      <c r="G1202"/>
    </row>
    <row r="1203" spans="1:7">
      <c r="A1203"/>
      <c r="B1203"/>
      <c r="C1203"/>
      <c r="D1203"/>
      <c r="E1203"/>
      <c r="F1203"/>
      <c r="G1203"/>
    </row>
    <row r="1204" spans="1:7">
      <c r="A1204"/>
      <c r="B1204"/>
      <c r="C1204"/>
      <c r="D1204"/>
      <c r="E1204"/>
      <c r="F1204"/>
      <c r="G1204"/>
    </row>
    <row r="1205" spans="1:7">
      <c r="A1205"/>
      <c r="B1205"/>
      <c r="C1205"/>
      <c r="D1205"/>
      <c r="E1205"/>
      <c r="F1205"/>
      <c r="G1205"/>
    </row>
    <row r="1206" spans="1:7">
      <c r="A1206"/>
      <c r="B1206"/>
      <c r="C1206"/>
      <c r="D1206"/>
      <c r="E1206"/>
      <c r="F1206"/>
      <c r="G1206"/>
    </row>
    <row r="1207" spans="1:7">
      <c r="A1207"/>
      <c r="B1207"/>
      <c r="C1207"/>
      <c r="D1207"/>
      <c r="E1207"/>
      <c r="F1207"/>
      <c r="G1207"/>
    </row>
    <row r="1208" spans="1:7">
      <c r="A1208"/>
      <c r="B1208"/>
      <c r="C1208"/>
      <c r="D1208"/>
      <c r="E1208"/>
      <c r="F1208"/>
      <c r="G1208"/>
    </row>
    <row r="1209" spans="1:7">
      <c r="A1209"/>
      <c r="B1209"/>
      <c r="C1209"/>
      <c r="D1209"/>
      <c r="E1209"/>
      <c r="F1209"/>
      <c r="G1209"/>
    </row>
    <row r="1210" spans="1:7">
      <c r="A1210"/>
      <c r="B1210"/>
      <c r="C1210"/>
      <c r="D1210"/>
      <c r="E1210"/>
      <c r="F1210"/>
      <c r="G1210"/>
    </row>
    <row r="1211" spans="1:7">
      <c r="A1211"/>
      <c r="B1211"/>
      <c r="C1211"/>
      <c r="D1211"/>
      <c r="E1211"/>
      <c r="F1211"/>
      <c r="G1211"/>
    </row>
    <row r="1212" spans="1:7">
      <c r="A1212"/>
      <c r="B1212"/>
      <c r="C1212"/>
      <c r="D1212"/>
      <c r="E1212"/>
      <c r="F1212"/>
      <c r="G1212"/>
    </row>
    <row r="1213" spans="1:7">
      <c r="A1213"/>
      <c r="B1213"/>
      <c r="C1213"/>
      <c r="D1213"/>
      <c r="E1213"/>
      <c r="F1213"/>
      <c r="G1213"/>
    </row>
    <row r="1214" spans="1:7">
      <c r="A1214"/>
      <c r="B1214"/>
      <c r="C1214"/>
      <c r="D1214"/>
      <c r="E1214"/>
      <c r="F1214"/>
      <c r="G1214"/>
    </row>
    <row r="1215" spans="1:7">
      <c r="A1215"/>
      <c r="B1215"/>
      <c r="C1215"/>
      <c r="D1215"/>
      <c r="E1215"/>
      <c r="F1215"/>
      <c r="G1215"/>
    </row>
    <row r="1216" spans="1:7">
      <c r="A1216"/>
      <c r="B1216"/>
      <c r="C1216"/>
      <c r="D1216"/>
      <c r="E1216"/>
      <c r="F1216"/>
      <c r="G1216"/>
    </row>
    <row r="1217" spans="1:7">
      <c r="A1217"/>
      <c r="B1217"/>
      <c r="C1217"/>
      <c r="D1217"/>
      <c r="E1217"/>
      <c r="F1217"/>
      <c r="G1217"/>
    </row>
    <row r="1218" spans="1:7">
      <c r="A1218"/>
      <c r="B1218"/>
      <c r="C1218"/>
      <c r="D1218"/>
      <c r="E1218"/>
      <c r="F1218"/>
      <c r="G1218"/>
    </row>
    <row r="1219" spans="1:7">
      <c r="A1219"/>
      <c r="B1219"/>
      <c r="C1219"/>
      <c r="D1219"/>
      <c r="E1219"/>
      <c r="F1219"/>
      <c r="G1219"/>
    </row>
    <row r="1220" spans="1:7">
      <c r="A1220"/>
      <c r="B1220"/>
      <c r="C1220"/>
      <c r="D1220"/>
      <c r="E1220"/>
      <c r="F1220"/>
      <c r="G1220"/>
    </row>
    <row r="1221" spans="1:7">
      <c r="A1221"/>
      <c r="B1221"/>
      <c r="C1221"/>
      <c r="D1221"/>
      <c r="E1221"/>
      <c r="F1221"/>
      <c r="G1221"/>
    </row>
    <row r="1222" spans="1:7">
      <c r="A1222"/>
      <c r="B1222"/>
      <c r="C1222"/>
      <c r="D1222"/>
      <c r="E1222"/>
      <c r="F1222"/>
      <c r="G1222"/>
    </row>
    <row r="1223" spans="1:7">
      <c r="A1223"/>
      <c r="B1223"/>
      <c r="C1223"/>
      <c r="D1223"/>
      <c r="E1223"/>
      <c r="F1223"/>
      <c r="G1223"/>
    </row>
    <row r="1224" spans="1:7">
      <c r="A1224"/>
      <c r="B1224"/>
      <c r="C1224"/>
      <c r="D1224"/>
      <c r="E1224"/>
      <c r="F1224"/>
      <c r="G1224"/>
    </row>
    <row r="1225" spans="1:7">
      <c r="A1225"/>
      <c r="B1225"/>
      <c r="C1225"/>
      <c r="D1225"/>
      <c r="E1225"/>
      <c r="F1225"/>
      <c r="G1225"/>
    </row>
    <row r="1226" spans="1:7">
      <c r="A1226"/>
      <c r="B1226"/>
      <c r="C1226"/>
      <c r="D1226"/>
      <c r="E1226"/>
      <c r="F1226"/>
      <c r="G1226"/>
    </row>
    <row r="1227" spans="1:7">
      <c r="A1227"/>
      <c r="B1227"/>
      <c r="C1227"/>
      <c r="D1227"/>
      <c r="E1227"/>
      <c r="F1227"/>
      <c r="G1227"/>
    </row>
    <row r="1228" spans="1:7">
      <c r="A1228"/>
      <c r="B1228"/>
      <c r="C1228"/>
      <c r="D1228"/>
      <c r="E1228"/>
      <c r="F1228"/>
      <c r="G1228"/>
    </row>
    <row r="1229" spans="1:7">
      <c r="A1229"/>
      <c r="B1229"/>
      <c r="C1229"/>
      <c r="D1229"/>
      <c r="E1229"/>
      <c r="F1229"/>
      <c r="G1229"/>
    </row>
    <row r="1230" spans="1:7">
      <c r="A1230"/>
      <c r="B1230"/>
      <c r="C1230"/>
      <c r="D1230"/>
      <c r="E1230"/>
      <c r="F1230"/>
      <c r="G1230"/>
    </row>
    <row r="1231" spans="1:7">
      <c r="A1231"/>
      <c r="B1231"/>
      <c r="C1231"/>
      <c r="D1231"/>
      <c r="E1231"/>
      <c r="F1231"/>
      <c r="G1231"/>
    </row>
    <row r="1232" spans="1:7">
      <c r="A1232"/>
      <c r="B1232"/>
      <c r="C1232"/>
      <c r="D1232"/>
      <c r="E1232"/>
      <c r="F1232"/>
      <c r="G1232"/>
    </row>
    <row r="1233" spans="1:7">
      <c r="A1233"/>
      <c r="B1233"/>
      <c r="C1233"/>
      <c r="D1233"/>
      <c r="E1233"/>
      <c r="F1233"/>
      <c r="G1233"/>
    </row>
    <row r="1234" spans="1:7">
      <c r="A1234"/>
      <c r="B1234"/>
      <c r="C1234"/>
      <c r="D1234"/>
      <c r="E1234"/>
      <c r="F1234"/>
      <c r="G1234"/>
    </row>
    <row r="1235" spans="1:7">
      <c r="A1235"/>
      <c r="B1235"/>
      <c r="C1235"/>
      <c r="D1235"/>
      <c r="E1235"/>
      <c r="F1235"/>
      <c r="G1235"/>
    </row>
    <row r="1236" spans="1:7">
      <c r="A1236"/>
      <c r="B1236"/>
      <c r="C1236"/>
      <c r="D1236"/>
      <c r="E1236"/>
      <c r="F1236"/>
      <c r="G1236"/>
    </row>
    <row r="1237" spans="1:7">
      <c r="A1237"/>
      <c r="B1237"/>
      <c r="C1237"/>
      <c r="D1237"/>
      <c r="E1237"/>
      <c r="F1237"/>
      <c r="G1237"/>
    </row>
    <row r="1238" spans="1:7">
      <c r="A1238"/>
      <c r="B1238"/>
      <c r="C1238"/>
      <c r="D1238"/>
      <c r="E1238"/>
      <c r="F1238"/>
      <c r="G1238"/>
    </row>
    <row r="1239" spans="1:7">
      <c r="A1239"/>
      <c r="B1239"/>
      <c r="C1239"/>
      <c r="D1239"/>
      <c r="E1239"/>
      <c r="F1239"/>
      <c r="G1239"/>
    </row>
    <row r="1240" spans="1:7">
      <c r="A1240"/>
      <c r="B1240"/>
      <c r="C1240"/>
      <c r="D1240"/>
      <c r="E1240"/>
      <c r="F1240"/>
      <c r="G1240"/>
    </row>
    <row r="1241" spans="1:7">
      <c r="A1241"/>
      <c r="B1241"/>
      <c r="C1241"/>
      <c r="D1241"/>
      <c r="E1241"/>
      <c r="F1241"/>
      <c r="G1241"/>
    </row>
    <row r="1242" spans="1:7">
      <c r="A1242"/>
      <c r="B1242"/>
      <c r="C1242"/>
      <c r="D1242"/>
      <c r="E1242"/>
      <c r="F1242"/>
      <c r="G1242"/>
    </row>
    <row r="1243" spans="1:7">
      <c r="A1243"/>
      <c r="B1243"/>
      <c r="C1243"/>
      <c r="D1243"/>
      <c r="E1243"/>
      <c r="F1243"/>
      <c r="G1243"/>
    </row>
    <row r="1244" spans="1:7">
      <c r="A1244"/>
      <c r="B1244"/>
      <c r="C1244"/>
      <c r="D1244"/>
      <c r="E1244"/>
      <c r="F1244"/>
      <c r="G1244"/>
    </row>
    <row r="1245" spans="1:7">
      <c r="A1245"/>
      <c r="B1245"/>
      <c r="C1245"/>
      <c r="D1245"/>
      <c r="E1245"/>
      <c r="F1245"/>
      <c r="G1245"/>
    </row>
    <row r="1246" spans="1:7">
      <c r="A1246"/>
      <c r="B1246"/>
      <c r="C1246"/>
      <c r="D1246"/>
      <c r="E1246"/>
      <c r="F1246"/>
      <c r="G1246"/>
    </row>
    <row r="1247" spans="1:7">
      <c r="A1247"/>
      <c r="B1247"/>
      <c r="C1247"/>
      <c r="D1247"/>
      <c r="E1247"/>
      <c r="F1247"/>
      <c r="G1247"/>
    </row>
    <row r="1248" spans="1:7">
      <c r="A1248"/>
      <c r="B1248"/>
      <c r="C1248"/>
      <c r="D1248"/>
      <c r="E1248"/>
      <c r="F1248"/>
      <c r="G1248"/>
    </row>
    <row r="1249" spans="1:7">
      <c r="A1249"/>
      <c r="B1249"/>
      <c r="C1249"/>
      <c r="D1249"/>
      <c r="E1249"/>
      <c r="F1249"/>
      <c r="G1249"/>
    </row>
    <row r="1250" spans="1:7">
      <c r="A1250"/>
      <c r="B1250"/>
      <c r="C1250"/>
      <c r="D1250"/>
      <c r="E1250"/>
      <c r="F1250"/>
      <c r="G1250"/>
    </row>
    <row r="1251" spans="1:7">
      <c r="A1251"/>
      <c r="B1251"/>
      <c r="C1251"/>
      <c r="D1251"/>
      <c r="E1251"/>
      <c r="F1251"/>
      <c r="G1251"/>
    </row>
    <row r="1252" spans="1:7">
      <c r="A1252"/>
      <c r="B1252"/>
      <c r="C1252"/>
      <c r="D1252"/>
      <c r="E1252"/>
      <c r="F1252"/>
      <c r="G1252"/>
    </row>
    <row r="1253" spans="1:7">
      <c r="A1253"/>
      <c r="B1253"/>
      <c r="C1253"/>
      <c r="D1253"/>
      <c r="E1253"/>
      <c r="F1253"/>
      <c r="G1253"/>
    </row>
    <row r="1254" spans="1:7">
      <c r="A1254"/>
      <c r="B1254"/>
      <c r="C1254"/>
      <c r="D1254"/>
      <c r="E1254"/>
      <c r="F1254"/>
      <c r="G1254"/>
    </row>
    <row r="1255" spans="1:7">
      <c r="A1255"/>
      <c r="B1255"/>
      <c r="C1255"/>
      <c r="D1255"/>
      <c r="E1255"/>
      <c r="F1255"/>
      <c r="G1255"/>
    </row>
    <row r="1256" spans="1:7">
      <c r="A1256"/>
      <c r="B1256"/>
      <c r="C1256"/>
      <c r="D1256"/>
      <c r="E1256"/>
      <c r="F1256"/>
      <c r="G1256"/>
    </row>
    <row r="1257" spans="1:7">
      <c r="A1257"/>
      <c r="B1257"/>
      <c r="C1257"/>
      <c r="D1257"/>
      <c r="E1257"/>
      <c r="F1257"/>
      <c r="G1257"/>
    </row>
    <row r="1258" spans="1:7">
      <c r="A1258"/>
      <c r="B1258"/>
      <c r="C1258"/>
      <c r="D1258"/>
      <c r="E1258"/>
      <c r="F1258"/>
      <c r="G1258"/>
    </row>
    <row r="1259" spans="1:7">
      <c r="A1259"/>
      <c r="B1259"/>
      <c r="C1259"/>
      <c r="D1259"/>
      <c r="E1259"/>
      <c r="F1259"/>
      <c r="G1259"/>
    </row>
    <row r="1260" spans="1:7">
      <c r="A1260"/>
      <c r="B1260"/>
      <c r="C1260"/>
      <c r="D1260"/>
      <c r="E1260"/>
      <c r="F1260"/>
      <c r="G1260"/>
    </row>
    <row r="1261" spans="1:7">
      <c r="A1261"/>
      <c r="B1261"/>
      <c r="C1261"/>
      <c r="D1261"/>
      <c r="E1261"/>
      <c r="F1261"/>
      <c r="G1261"/>
    </row>
    <row r="1262" spans="1:7">
      <c r="A1262"/>
      <c r="B1262"/>
      <c r="C1262"/>
      <c r="D1262"/>
      <c r="E1262"/>
      <c r="F1262"/>
      <c r="G1262"/>
    </row>
    <row r="1263" spans="1:7">
      <c r="A1263"/>
      <c r="B1263"/>
      <c r="C1263"/>
      <c r="D1263"/>
      <c r="E1263"/>
      <c r="F1263"/>
      <c r="G1263"/>
    </row>
    <row r="1264" spans="1:7">
      <c r="A1264"/>
      <c r="B1264"/>
      <c r="C1264"/>
      <c r="D1264"/>
      <c r="E1264"/>
      <c r="F1264"/>
      <c r="G1264"/>
    </row>
    <row r="1265" spans="1:7">
      <c r="A1265"/>
      <c r="B1265"/>
      <c r="C1265"/>
      <c r="D1265"/>
      <c r="E1265"/>
      <c r="F1265"/>
      <c r="G1265"/>
    </row>
    <row r="1266" spans="1:7">
      <c r="A1266"/>
      <c r="B1266"/>
      <c r="C1266"/>
      <c r="D1266"/>
      <c r="E1266"/>
      <c r="F1266"/>
      <c r="G1266"/>
    </row>
    <row r="1267" spans="1:7">
      <c r="A1267"/>
      <c r="B1267"/>
      <c r="C1267"/>
      <c r="D1267"/>
      <c r="E1267"/>
      <c r="F1267"/>
      <c r="G1267"/>
    </row>
    <row r="1268" spans="1:7">
      <c r="A1268"/>
      <c r="B1268"/>
      <c r="C1268"/>
      <c r="D1268"/>
      <c r="E1268"/>
      <c r="F1268"/>
      <c r="G1268"/>
    </row>
    <row r="1269" spans="1:7">
      <c r="A1269"/>
      <c r="B1269"/>
      <c r="C1269"/>
      <c r="D1269"/>
      <c r="E1269"/>
      <c r="F1269"/>
      <c r="G1269"/>
    </row>
    <row r="1270" spans="1:7">
      <c r="A1270"/>
      <c r="B1270"/>
      <c r="C1270"/>
      <c r="D1270"/>
      <c r="E1270"/>
      <c r="F1270"/>
      <c r="G1270"/>
    </row>
    <row r="1271" spans="1:7">
      <c r="A1271"/>
      <c r="B1271"/>
      <c r="C1271"/>
      <c r="D1271"/>
      <c r="E1271"/>
      <c r="F1271"/>
      <c r="G1271"/>
    </row>
    <row r="1272" spans="1:7">
      <c r="A1272"/>
      <c r="B1272"/>
      <c r="C1272"/>
      <c r="D1272"/>
      <c r="E1272"/>
      <c r="F1272"/>
      <c r="G1272"/>
    </row>
    <row r="1273" spans="1:7">
      <c r="A1273"/>
      <c r="B1273"/>
      <c r="C1273"/>
      <c r="D1273"/>
      <c r="E1273"/>
      <c r="F1273"/>
      <c r="G1273"/>
    </row>
    <row r="1274" spans="1:7">
      <c r="A1274"/>
      <c r="B1274"/>
      <c r="C1274"/>
      <c r="D1274"/>
      <c r="E1274"/>
      <c r="F1274"/>
      <c r="G1274"/>
    </row>
    <row r="1275" spans="1:7">
      <c r="A1275"/>
      <c r="B1275"/>
      <c r="C1275"/>
      <c r="D1275"/>
      <c r="E1275"/>
      <c r="F1275"/>
      <c r="G1275"/>
    </row>
    <row r="1276" spans="1:7">
      <c r="A1276"/>
      <c r="B1276"/>
      <c r="C1276"/>
      <c r="D1276"/>
      <c r="E1276"/>
      <c r="F1276"/>
      <c r="G1276"/>
    </row>
    <row r="1277" spans="1:7">
      <c r="A1277"/>
      <c r="B1277"/>
      <c r="C1277"/>
      <c r="D1277"/>
      <c r="E1277"/>
      <c r="F1277"/>
      <c r="G1277"/>
    </row>
    <row r="1278" spans="1:7">
      <c r="A1278"/>
      <c r="B1278"/>
      <c r="C1278"/>
      <c r="D1278"/>
      <c r="E1278"/>
      <c r="F1278"/>
      <c r="G1278"/>
    </row>
    <row r="1279" spans="1:7">
      <c r="A1279"/>
      <c r="B1279"/>
      <c r="C1279"/>
      <c r="D1279"/>
      <c r="E1279"/>
      <c r="F1279"/>
      <c r="G1279"/>
    </row>
    <row r="1280" spans="1:7">
      <c r="A1280"/>
      <c r="B1280"/>
      <c r="C1280"/>
      <c r="D1280"/>
      <c r="E1280"/>
      <c r="F1280"/>
      <c r="G1280"/>
    </row>
    <row r="1281" spans="1:7">
      <c r="A1281"/>
      <c r="B1281"/>
      <c r="C1281"/>
      <c r="D1281"/>
      <c r="E1281"/>
      <c r="F1281"/>
      <c r="G1281"/>
    </row>
    <row r="1282" spans="1:7">
      <c r="A1282"/>
      <c r="B1282"/>
      <c r="C1282"/>
      <c r="D1282"/>
      <c r="E1282"/>
      <c r="F1282"/>
      <c r="G1282"/>
    </row>
    <row r="1283" spans="1:7">
      <c r="A1283"/>
      <c r="B1283"/>
      <c r="C1283"/>
      <c r="D1283"/>
      <c r="E1283"/>
      <c r="F1283"/>
      <c r="G1283"/>
    </row>
    <row r="1284" spans="1:7">
      <c r="A1284"/>
      <c r="B1284"/>
      <c r="C1284"/>
      <c r="D1284"/>
      <c r="E1284"/>
      <c r="F1284"/>
      <c r="G1284"/>
    </row>
    <row r="1285" spans="1:7">
      <c r="A1285"/>
      <c r="B1285"/>
      <c r="C1285"/>
      <c r="D1285"/>
      <c r="E1285"/>
      <c r="F1285"/>
      <c r="G1285"/>
    </row>
    <row r="1286" spans="1:7">
      <c r="A1286"/>
      <c r="B1286"/>
      <c r="C1286"/>
      <c r="D1286"/>
      <c r="E1286"/>
      <c r="F1286"/>
      <c r="G1286"/>
    </row>
    <row r="1287" spans="1:7">
      <c r="A1287"/>
      <c r="B1287"/>
      <c r="C1287"/>
      <c r="D1287"/>
      <c r="E1287"/>
      <c r="F1287"/>
      <c r="G1287"/>
    </row>
    <row r="1288" spans="1:7">
      <c r="A1288"/>
      <c r="B1288"/>
      <c r="C1288"/>
      <c r="D1288"/>
      <c r="E1288"/>
      <c r="F1288"/>
      <c r="G1288"/>
    </row>
    <row r="1289" spans="1:7">
      <c r="A1289"/>
      <c r="B1289"/>
      <c r="C1289"/>
      <c r="D1289"/>
      <c r="E1289"/>
      <c r="F1289"/>
      <c r="G1289"/>
    </row>
    <row r="1290" spans="1:7">
      <c r="A1290"/>
      <c r="B1290"/>
      <c r="C1290"/>
      <c r="D1290"/>
      <c r="E1290"/>
      <c r="F1290"/>
      <c r="G1290"/>
    </row>
    <row r="1291" spans="1:7">
      <c r="A1291"/>
      <c r="B1291"/>
      <c r="C1291"/>
      <c r="D1291"/>
      <c r="E1291"/>
      <c r="F1291"/>
      <c r="G1291"/>
    </row>
    <row r="1292" spans="1:7">
      <c r="A1292"/>
      <c r="B1292"/>
      <c r="C1292"/>
      <c r="D1292"/>
      <c r="E1292"/>
      <c r="F1292"/>
      <c r="G1292"/>
    </row>
    <row r="1293" spans="1:7">
      <c r="A1293"/>
      <c r="B1293"/>
      <c r="C1293"/>
      <c r="D1293"/>
      <c r="E1293"/>
      <c r="F1293"/>
      <c r="G1293"/>
    </row>
    <row r="1294" spans="1:7">
      <c r="A1294"/>
      <c r="B1294"/>
      <c r="C1294"/>
      <c r="D1294"/>
      <c r="E1294"/>
      <c r="F1294"/>
      <c r="G1294"/>
    </row>
    <row r="1295" spans="1:7">
      <c r="A1295"/>
      <c r="B1295"/>
      <c r="C1295"/>
      <c r="D1295"/>
      <c r="E1295"/>
      <c r="F1295"/>
      <c r="G1295"/>
    </row>
    <row r="1296" spans="1:7">
      <c r="A1296"/>
      <c r="B1296"/>
      <c r="C1296"/>
      <c r="D1296"/>
      <c r="E1296"/>
      <c r="F1296"/>
      <c r="G1296"/>
    </row>
    <row r="1297" spans="1:7">
      <c r="A1297"/>
      <c r="B1297"/>
      <c r="C1297"/>
      <c r="D1297"/>
      <c r="E1297"/>
      <c r="F1297"/>
      <c r="G1297"/>
    </row>
    <row r="1298" spans="1:7">
      <c r="A1298"/>
      <c r="B1298"/>
      <c r="C1298"/>
      <c r="D1298"/>
      <c r="E1298"/>
      <c r="F1298"/>
      <c r="G1298"/>
    </row>
    <row r="1299" spans="1:7">
      <c r="A1299"/>
      <c r="B1299"/>
      <c r="C1299"/>
      <c r="D1299"/>
      <c r="E1299"/>
      <c r="F1299"/>
      <c r="G1299"/>
    </row>
    <row r="1300" spans="1:7">
      <c r="A1300"/>
      <c r="B1300"/>
      <c r="C1300"/>
      <c r="D1300"/>
      <c r="E1300"/>
      <c r="F1300"/>
      <c r="G1300"/>
    </row>
    <row r="1301" spans="1:7">
      <c r="A1301"/>
      <c r="B1301"/>
      <c r="C1301"/>
      <c r="D1301"/>
      <c r="E1301"/>
      <c r="F1301"/>
      <c r="G1301"/>
    </row>
    <row r="1302" spans="1:7">
      <c r="A1302"/>
      <c r="B1302"/>
      <c r="C1302"/>
      <c r="D1302"/>
      <c r="E1302"/>
      <c r="F1302"/>
      <c r="G1302"/>
    </row>
    <row r="1303" spans="1:7">
      <c r="A1303"/>
      <c r="B1303"/>
      <c r="C1303"/>
      <c r="D1303"/>
      <c r="E1303"/>
      <c r="F1303"/>
      <c r="G1303"/>
    </row>
    <row r="1304" spans="1:7">
      <c r="A1304"/>
      <c r="B1304"/>
      <c r="C1304"/>
      <c r="D1304"/>
      <c r="E1304"/>
      <c r="F1304"/>
      <c r="G1304"/>
    </row>
    <row r="1305" spans="1:7">
      <c r="A1305"/>
      <c r="B1305"/>
      <c r="C1305"/>
      <c r="D1305"/>
      <c r="E1305"/>
      <c r="F1305"/>
      <c r="G1305"/>
    </row>
    <row r="1306" spans="1:7">
      <c r="A1306"/>
      <c r="B1306"/>
      <c r="C1306"/>
      <c r="D1306"/>
      <c r="E1306"/>
      <c r="F1306"/>
      <c r="G1306"/>
    </row>
    <row r="1307" spans="1:7">
      <c r="A1307"/>
      <c r="B1307"/>
      <c r="C1307"/>
      <c r="D1307"/>
      <c r="E1307"/>
      <c r="F1307"/>
      <c r="G1307"/>
    </row>
    <row r="1308" spans="1:7">
      <c r="A1308"/>
      <c r="B1308"/>
      <c r="C1308"/>
      <c r="D1308"/>
      <c r="E1308"/>
      <c r="F1308"/>
      <c r="G1308"/>
    </row>
    <row r="1309" spans="1:7">
      <c r="A1309"/>
      <c r="B1309"/>
      <c r="C1309"/>
      <c r="D1309"/>
      <c r="E1309"/>
      <c r="F1309"/>
      <c r="G1309"/>
    </row>
    <row r="1310" spans="1:7">
      <c r="A1310"/>
      <c r="B1310"/>
      <c r="C1310"/>
      <c r="D1310"/>
      <c r="E1310"/>
      <c r="F1310"/>
      <c r="G1310"/>
    </row>
    <row r="1311" spans="1:7">
      <c r="A1311"/>
      <c r="B1311"/>
      <c r="C1311"/>
      <c r="D1311"/>
      <c r="E1311"/>
      <c r="F1311"/>
      <c r="G1311"/>
    </row>
    <row r="1312" spans="1:7">
      <c r="A1312"/>
      <c r="B1312"/>
      <c r="C1312"/>
      <c r="D1312"/>
      <c r="E1312"/>
      <c r="F1312"/>
      <c r="G1312"/>
    </row>
    <row r="1313" spans="1:7">
      <c r="A1313"/>
      <c r="B1313"/>
      <c r="C1313"/>
      <c r="D1313"/>
      <c r="E1313"/>
      <c r="F1313"/>
      <c r="G1313"/>
    </row>
    <row r="1314" spans="1:7">
      <c r="A1314"/>
      <c r="B1314"/>
      <c r="C1314"/>
      <c r="D1314"/>
      <c r="E1314"/>
      <c r="F1314"/>
      <c r="G1314"/>
    </row>
    <row r="1315" spans="1:7">
      <c r="A1315"/>
      <c r="B1315"/>
      <c r="C1315"/>
      <c r="D1315"/>
      <c r="E1315"/>
      <c r="F1315"/>
      <c r="G1315"/>
    </row>
    <row r="1316" spans="1:7">
      <c r="A1316"/>
      <c r="B1316"/>
      <c r="C1316"/>
      <c r="D1316"/>
      <c r="E1316"/>
      <c r="F1316"/>
      <c r="G1316"/>
    </row>
    <row r="1317" spans="1:7">
      <c r="A1317"/>
      <c r="B1317"/>
      <c r="C1317"/>
      <c r="D1317"/>
      <c r="E1317"/>
      <c r="F1317"/>
      <c r="G1317"/>
    </row>
    <row r="1318" spans="1:7">
      <c r="A1318"/>
      <c r="B1318"/>
      <c r="C1318"/>
      <c r="D1318"/>
      <c r="E1318"/>
      <c r="F1318"/>
      <c r="G1318"/>
    </row>
    <row r="1319" spans="1:7">
      <c r="A1319"/>
      <c r="B1319"/>
      <c r="C1319"/>
      <c r="D1319"/>
      <c r="E1319"/>
      <c r="F1319"/>
      <c r="G1319"/>
    </row>
    <row r="1320" spans="1:7">
      <c r="A1320"/>
      <c r="B1320"/>
      <c r="C1320"/>
      <c r="D1320"/>
      <c r="E1320"/>
      <c r="F1320"/>
      <c r="G1320"/>
    </row>
    <row r="1321" spans="1:7">
      <c r="A1321"/>
      <c r="B1321"/>
      <c r="C1321"/>
      <c r="D1321"/>
      <c r="E1321"/>
      <c r="F1321"/>
      <c r="G1321"/>
    </row>
    <row r="1322" spans="1:7">
      <c r="A1322"/>
      <c r="B1322"/>
      <c r="C1322"/>
      <c r="D1322"/>
      <c r="E1322"/>
      <c r="F1322"/>
      <c r="G1322"/>
    </row>
    <row r="1323" spans="1:7">
      <c r="A1323"/>
      <c r="B1323"/>
      <c r="C1323"/>
      <c r="D1323"/>
      <c r="E1323"/>
      <c r="F1323"/>
      <c r="G1323"/>
    </row>
    <row r="1324" spans="1:7">
      <c r="A1324"/>
      <c r="B1324"/>
      <c r="C1324"/>
      <c r="D1324"/>
      <c r="E1324"/>
      <c r="F1324"/>
      <c r="G1324"/>
    </row>
    <row r="1325" spans="1:7">
      <c r="A1325"/>
      <c r="B1325"/>
      <c r="C1325"/>
      <c r="D1325"/>
      <c r="E1325"/>
      <c r="F1325"/>
      <c r="G1325"/>
    </row>
    <row r="1326" spans="1:7">
      <c r="A1326"/>
      <c r="B1326"/>
      <c r="C1326"/>
      <c r="D1326"/>
      <c r="E1326"/>
      <c r="F1326"/>
      <c r="G1326"/>
    </row>
    <row r="1327" spans="1:7">
      <c r="A1327"/>
      <c r="B1327"/>
      <c r="C1327"/>
      <c r="D1327"/>
      <c r="E1327"/>
      <c r="F1327"/>
      <c r="G1327"/>
    </row>
    <row r="1328" spans="1:7">
      <c r="A1328"/>
      <c r="B1328"/>
      <c r="C1328"/>
      <c r="D1328"/>
      <c r="E1328"/>
      <c r="F1328"/>
      <c r="G1328"/>
    </row>
    <row r="1329" spans="1:7">
      <c r="A1329"/>
      <c r="B1329"/>
      <c r="C1329"/>
      <c r="D1329"/>
      <c r="E1329"/>
      <c r="F1329"/>
      <c r="G1329"/>
    </row>
    <row r="1330" spans="1:7">
      <c r="A1330"/>
      <c r="B1330"/>
      <c r="C1330"/>
      <c r="D1330"/>
      <c r="E1330"/>
      <c r="F1330"/>
      <c r="G1330"/>
    </row>
    <row r="1331" spans="1:7">
      <c r="A1331"/>
      <c r="B1331"/>
      <c r="C1331"/>
      <c r="D1331"/>
      <c r="E1331"/>
      <c r="F1331"/>
      <c r="G1331"/>
    </row>
    <row r="1332" spans="1:7">
      <c r="A1332"/>
      <c r="B1332"/>
      <c r="C1332"/>
      <c r="D1332"/>
      <c r="E1332"/>
      <c r="F1332"/>
      <c r="G1332"/>
    </row>
    <row r="1333" spans="1:7">
      <c r="A1333"/>
      <c r="B1333"/>
      <c r="C1333"/>
      <c r="D1333"/>
      <c r="E1333"/>
      <c r="F1333"/>
      <c r="G1333"/>
    </row>
    <row r="1334" spans="1:7">
      <c r="A1334"/>
      <c r="B1334"/>
      <c r="C1334"/>
      <c r="D1334"/>
      <c r="E1334"/>
      <c r="F1334"/>
      <c r="G1334"/>
    </row>
    <row r="1335" spans="1:7">
      <c r="A1335"/>
      <c r="B1335"/>
      <c r="C1335"/>
      <c r="D1335"/>
      <c r="E1335"/>
      <c r="F1335"/>
      <c r="G1335"/>
    </row>
    <row r="1336" spans="1:7">
      <c r="A1336"/>
      <c r="B1336"/>
      <c r="C1336"/>
      <c r="D1336"/>
      <c r="E1336"/>
      <c r="F1336"/>
      <c r="G1336"/>
    </row>
    <row r="1337" spans="1:7">
      <c r="A1337"/>
      <c r="B1337"/>
      <c r="C1337"/>
      <c r="D1337"/>
      <c r="E1337"/>
      <c r="F1337"/>
      <c r="G1337"/>
    </row>
    <row r="1338" spans="1:7">
      <c r="A1338"/>
      <c r="B1338"/>
      <c r="C1338"/>
      <c r="D1338"/>
      <c r="E1338"/>
      <c r="F1338"/>
      <c r="G1338"/>
    </row>
    <row r="1339" spans="1:7">
      <c r="A1339"/>
      <c r="B1339"/>
      <c r="C1339"/>
      <c r="D1339"/>
      <c r="E1339"/>
      <c r="F1339"/>
      <c r="G1339"/>
    </row>
    <row r="1340" spans="1:7">
      <c r="A1340"/>
      <c r="B1340"/>
      <c r="C1340"/>
      <c r="D1340"/>
      <c r="E1340"/>
      <c r="F1340"/>
      <c r="G1340"/>
    </row>
    <row r="1341" spans="1:7">
      <c r="A1341"/>
      <c r="B1341"/>
      <c r="C1341"/>
      <c r="D1341"/>
      <c r="E1341"/>
      <c r="F1341"/>
      <c r="G1341"/>
    </row>
    <row r="1342" spans="1:7">
      <c r="A1342"/>
      <c r="B1342"/>
      <c r="C1342"/>
      <c r="D1342"/>
      <c r="E1342"/>
      <c r="F1342"/>
      <c r="G1342"/>
    </row>
    <row r="1343" spans="1:7">
      <c r="A1343"/>
      <c r="B1343"/>
      <c r="C1343"/>
      <c r="D1343"/>
      <c r="E1343"/>
      <c r="F1343"/>
      <c r="G1343"/>
    </row>
    <row r="1344" spans="1:7">
      <c r="A1344"/>
      <c r="B1344"/>
      <c r="C1344"/>
      <c r="D1344"/>
      <c r="E1344"/>
      <c r="F1344"/>
      <c r="G1344"/>
    </row>
    <row r="1345" spans="1:7">
      <c r="A1345"/>
      <c r="B1345"/>
      <c r="C1345"/>
      <c r="D1345"/>
      <c r="E1345"/>
      <c r="F1345"/>
      <c r="G1345"/>
    </row>
    <row r="1346" spans="1:7">
      <c r="A1346"/>
      <c r="B1346"/>
      <c r="C1346"/>
      <c r="D1346"/>
      <c r="E1346"/>
      <c r="F1346"/>
      <c r="G1346"/>
    </row>
    <row r="1347" spans="1:7">
      <c r="A1347"/>
      <c r="B1347"/>
      <c r="C1347"/>
      <c r="D1347"/>
      <c r="E1347"/>
      <c r="F1347"/>
      <c r="G1347"/>
    </row>
    <row r="1348" spans="1:7">
      <c r="A1348"/>
      <c r="B1348"/>
      <c r="C1348"/>
      <c r="D1348"/>
      <c r="E1348"/>
      <c r="F1348"/>
      <c r="G1348"/>
    </row>
    <row r="1349" spans="1:7">
      <c r="A1349"/>
      <c r="B1349"/>
      <c r="C1349"/>
      <c r="D1349"/>
      <c r="E1349"/>
      <c r="F1349"/>
      <c r="G1349"/>
    </row>
    <row r="1350" spans="1:7">
      <c r="A1350"/>
      <c r="B1350"/>
      <c r="C1350"/>
      <c r="D1350"/>
      <c r="E1350"/>
      <c r="F1350"/>
      <c r="G1350"/>
    </row>
    <row r="1351" spans="1:7">
      <c r="A1351"/>
      <c r="B1351"/>
      <c r="C1351"/>
      <c r="D1351"/>
      <c r="E1351"/>
      <c r="F1351"/>
      <c r="G1351"/>
    </row>
    <row r="1352" spans="1:7">
      <c r="A1352"/>
      <c r="B1352"/>
      <c r="C1352"/>
      <c r="D1352"/>
      <c r="E1352"/>
      <c r="F1352"/>
      <c r="G1352"/>
    </row>
    <row r="1353" spans="1:7">
      <c r="A1353"/>
      <c r="B1353"/>
      <c r="C1353"/>
      <c r="D1353"/>
      <c r="E1353"/>
      <c r="F1353"/>
      <c r="G1353"/>
    </row>
    <row r="1354" spans="1:7">
      <c r="A1354"/>
      <c r="B1354"/>
      <c r="C1354"/>
      <c r="D1354"/>
      <c r="E1354"/>
      <c r="F1354"/>
      <c r="G1354"/>
    </row>
    <row r="1355" spans="1:7">
      <c r="A1355"/>
      <c r="B1355"/>
      <c r="C1355"/>
      <c r="D1355"/>
      <c r="E1355"/>
      <c r="F1355"/>
      <c r="G1355"/>
    </row>
    <row r="1356" spans="1:7">
      <c r="A1356"/>
      <c r="B1356"/>
      <c r="C1356"/>
      <c r="D1356"/>
      <c r="E1356"/>
      <c r="F1356"/>
      <c r="G1356"/>
    </row>
    <row r="1357" spans="1:7">
      <c r="A1357"/>
      <c r="B1357"/>
      <c r="C1357"/>
      <c r="D1357"/>
      <c r="E1357"/>
      <c r="F1357"/>
      <c r="G1357"/>
    </row>
    <row r="1358" spans="1:7">
      <c r="A1358"/>
      <c r="B1358"/>
      <c r="C1358"/>
      <c r="D1358"/>
      <c r="E1358"/>
      <c r="F1358"/>
      <c r="G1358"/>
    </row>
    <row r="1359" spans="1:7">
      <c r="A1359"/>
      <c r="B1359"/>
      <c r="C1359"/>
      <c r="D1359"/>
      <c r="E1359"/>
      <c r="F1359"/>
      <c r="G1359"/>
    </row>
    <row r="1360" spans="1:7">
      <c r="A1360"/>
      <c r="B1360"/>
      <c r="C1360"/>
      <c r="D1360"/>
      <c r="E1360"/>
      <c r="F1360"/>
      <c r="G1360"/>
    </row>
    <row r="1361" spans="1:7">
      <c r="A1361"/>
      <c r="B1361"/>
      <c r="C1361"/>
      <c r="D1361"/>
      <c r="E1361"/>
      <c r="F1361"/>
      <c r="G1361"/>
    </row>
    <row r="1362" spans="1:7">
      <c r="A1362"/>
      <c r="B1362"/>
      <c r="C1362"/>
      <c r="D1362"/>
      <c r="E1362"/>
      <c r="F1362"/>
      <c r="G1362"/>
    </row>
    <row r="1363" spans="1:7">
      <c r="A1363"/>
      <c r="B1363"/>
      <c r="C1363"/>
      <c r="D1363"/>
      <c r="E1363"/>
      <c r="F1363"/>
      <c r="G1363"/>
    </row>
    <row r="1364" spans="1:7">
      <c r="A1364"/>
      <c r="B1364"/>
      <c r="C1364"/>
      <c r="D1364"/>
      <c r="E1364"/>
      <c r="F1364"/>
      <c r="G1364"/>
    </row>
    <row r="1365" spans="1:7">
      <c r="A1365"/>
      <c r="B1365"/>
      <c r="C1365"/>
      <c r="D1365"/>
      <c r="E1365"/>
      <c r="F1365"/>
      <c r="G1365"/>
    </row>
    <row r="1366" spans="1:7">
      <c r="A1366"/>
      <c r="B1366"/>
      <c r="C1366"/>
      <c r="D1366"/>
      <c r="E1366"/>
      <c r="F1366"/>
      <c r="G1366"/>
    </row>
    <row r="1367" spans="1:7">
      <c r="A1367"/>
      <c r="B1367"/>
      <c r="C1367"/>
      <c r="D1367"/>
      <c r="E1367"/>
      <c r="F1367"/>
      <c r="G1367"/>
    </row>
    <row r="1368" spans="1:7">
      <c r="A1368"/>
      <c r="B1368"/>
      <c r="C1368"/>
      <c r="D1368"/>
      <c r="E1368"/>
      <c r="F1368"/>
      <c r="G1368"/>
    </row>
    <row r="1369" spans="1:7">
      <c r="A1369"/>
      <c r="B1369"/>
      <c r="C1369"/>
      <c r="D1369"/>
      <c r="E1369"/>
      <c r="F1369"/>
      <c r="G1369"/>
    </row>
    <row r="1370" spans="1:7">
      <c r="A1370"/>
      <c r="B1370"/>
      <c r="C1370"/>
      <c r="D1370"/>
      <c r="E1370"/>
      <c r="F1370"/>
      <c r="G1370"/>
    </row>
    <row r="1371" spans="1:7">
      <c r="A1371"/>
      <c r="B1371"/>
      <c r="C1371"/>
      <c r="D1371"/>
      <c r="E1371"/>
      <c r="F1371"/>
      <c r="G1371"/>
    </row>
    <row r="1372" spans="1:7">
      <c r="A1372"/>
      <c r="B1372"/>
      <c r="C1372"/>
      <c r="D1372"/>
      <c r="E1372"/>
      <c r="F1372"/>
      <c r="G1372"/>
    </row>
    <row r="1373" spans="1:7">
      <c r="A1373"/>
      <c r="B1373"/>
      <c r="C1373"/>
      <c r="D1373"/>
      <c r="E1373"/>
      <c r="F1373"/>
      <c r="G1373"/>
    </row>
    <row r="1374" spans="1:7">
      <c r="A1374"/>
      <c r="B1374"/>
      <c r="C1374"/>
      <c r="D1374"/>
      <c r="E1374"/>
      <c r="F1374"/>
      <c r="G1374"/>
    </row>
    <row r="1375" spans="1:7">
      <c r="A1375"/>
      <c r="B1375"/>
      <c r="C1375"/>
      <c r="D1375"/>
      <c r="E1375"/>
      <c r="F1375"/>
      <c r="G1375"/>
    </row>
    <row r="1376" spans="1:7">
      <c r="A1376"/>
      <c r="B1376"/>
      <c r="C1376"/>
      <c r="D1376"/>
      <c r="E1376"/>
      <c r="F1376"/>
      <c r="G1376"/>
    </row>
    <row r="1377" spans="1:7">
      <c r="A1377"/>
      <c r="B1377"/>
      <c r="C1377"/>
      <c r="D1377"/>
      <c r="E1377"/>
      <c r="F1377"/>
      <c r="G1377"/>
    </row>
    <row r="1378" spans="1:7">
      <c r="A1378"/>
      <c r="B1378"/>
      <c r="C1378"/>
      <c r="D1378"/>
      <c r="E1378"/>
      <c r="F1378"/>
      <c r="G1378"/>
    </row>
    <row r="1379" spans="1:7">
      <c r="A1379"/>
      <c r="B1379"/>
      <c r="C1379"/>
      <c r="D1379"/>
      <c r="E1379"/>
      <c r="F1379"/>
      <c r="G1379"/>
    </row>
    <row r="1380" spans="1:7">
      <c r="A1380"/>
      <c r="B1380"/>
      <c r="C1380"/>
      <c r="D1380"/>
      <c r="E1380"/>
      <c r="F1380"/>
      <c r="G1380"/>
    </row>
    <row r="1381" spans="1:7">
      <c r="A1381"/>
      <c r="B1381"/>
      <c r="C1381"/>
      <c r="D1381"/>
      <c r="E1381"/>
      <c r="F1381"/>
      <c r="G1381"/>
    </row>
    <row r="1382" spans="1:7">
      <c r="A1382"/>
      <c r="B1382"/>
      <c r="C1382"/>
      <c r="D1382"/>
      <c r="E1382"/>
      <c r="F1382"/>
      <c r="G1382"/>
    </row>
    <row r="1383" spans="1:7">
      <c r="A1383"/>
      <c r="B1383"/>
      <c r="C1383"/>
      <c r="D1383"/>
      <c r="E1383"/>
      <c r="F1383"/>
      <c r="G1383"/>
    </row>
    <row r="1384" spans="1:7">
      <c r="A1384"/>
      <c r="B1384"/>
      <c r="C1384"/>
      <c r="D1384"/>
      <c r="E1384"/>
      <c r="F1384"/>
      <c r="G1384"/>
    </row>
    <row r="1385" spans="1:7">
      <c r="A1385"/>
      <c r="B1385"/>
      <c r="C1385"/>
      <c r="D1385"/>
      <c r="E1385"/>
      <c r="F1385"/>
      <c r="G1385"/>
    </row>
    <row r="1386" spans="1:7">
      <c r="A1386"/>
      <c r="B1386"/>
      <c r="C1386"/>
      <c r="D1386"/>
      <c r="E1386"/>
      <c r="F1386"/>
      <c r="G1386"/>
    </row>
    <row r="1387" spans="1:7">
      <c r="A1387"/>
      <c r="B1387"/>
      <c r="C1387"/>
      <c r="D1387"/>
      <c r="E1387"/>
      <c r="F1387"/>
      <c r="G1387"/>
    </row>
    <row r="1388" spans="1:7">
      <c r="A1388"/>
      <c r="B1388"/>
      <c r="C1388"/>
      <c r="D1388"/>
      <c r="E1388"/>
      <c r="F1388"/>
      <c r="G1388"/>
    </row>
    <row r="1389" spans="1:7">
      <c r="A1389"/>
      <c r="B1389"/>
      <c r="C1389"/>
      <c r="D1389"/>
      <c r="E1389"/>
      <c r="F1389"/>
      <c r="G1389"/>
    </row>
    <row r="1390" spans="1:7">
      <c r="A1390"/>
      <c r="B1390"/>
      <c r="C1390"/>
      <c r="D1390"/>
      <c r="E1390"/>
      <c r="F1390"/>
      <c r="G1390"/>
    </row>
    <row r="1391" spans="1:7">
      <c r="A1391"/>
      <c r="B1391"/>
      <c r="C1391"/>
      <c r="D1391"/>
      <c r="E1391"/>
      <c r="F1391"/>
      <c r="G1391"/>
    </row>
    <row r="1392" spans="1:7">
      <c r="A1392"/>
      <c r="B1392"/>
      <c r="C1392"/>
      <c r="D1392"/>
      <c r="E1392"/>
      <c r="F1392"/>
      <c r="G1392"/>
    </row>
    <row r="1393" spans="1:7">
      <c r="A1393"/>
      <c r="B1393"/>
      <c r="C1393"/>
      <c r="D1393"/>
      <c r="E1393"/>
      <c r="F1393"/>
      <c r="G1393"/>
    </row>
    <row r="1394" spans="1:7">
      <c r="A1394"/>
      <c r="B1394"/>
      <c r="C1394"/>
      <c r="D1394"/>
      <c r="E1394"/>
      <c r="F1394"/>
      <c r="G1394"/>
    </row>
    <row r="1395" spans="1:7">
      <c r="A1395"/>
      <c r="B1395"/>
      <c r="C1395"/>
      <c r="D1395"/>
      <c r="E1395"/>
      <c r="F1395"/>
      <c r="G1395"/>
    </row>
    <row r="1396" spans="1:7">
      <c r="A1396"/>
      <c r="B1396"/>
      <c r="C1396"/>
      <c r="D1396"/>
      <c r="E1396"/>
      <c r="F1396"/>
      <c r="G1396"/>
    </row>
    <row r="1397" spans="1:7">
      <c r="A1397"/>
      <c r="B1397"/>
      <c r="C1397"/>
      <c r="D1397"/>
      <c r="E1397"/>
      <c r="F1397"/>
      <c r="G1397"/>
    </row>
    <row r="1398" spans="1:7">
      <c r="A1398"/>
      <c r="B1398"/>
      <c r="C1398"/>
      <c r="D1398"/>
      <c r="E1398"/>
      <c r="F1398"/>
      <c r="G1398"/>
    </row>
    <row r="1399" spans="1:7">
      <c r="A1399"/>
      <c r="B1399"/>
      <c r="C1399"/>
      <c r="D1399"/>
      <c r="E1399"/>
      <c r="F1399"/>
      <c r="G1399"/>
    </row>
    <row r="1400" spans="1:7">
      <c r="A1400"/>
      <c r="B1400"/>
      <c r="C1400"/>
      <c r="D1400"/>
      <c r="E1400"/>
      <c r="F1400"/>
      <c r="G1400"/>
    </row>
    <row r="1401" spans="1:7">
      <c r="A1401"/>
      <c r="B1401"/>
      <c r="C1401"/>
      <c r="D1401"/>
      <c r="E1401"/>
      <c r="F1401"/>
      <c r="G1401"/>
    </row>
    <row r="1402" spans="1:7">
      <c r="A1402"/>
      <c r="B1402"/>
      <c r="C1402"/>
      <c r="D1402"/>
      <c r="E1402"/>
      <c r="F1402"/>
      <c r="G1402"/>
    </row>
    <row r="1403" spans="1:7">
      <c r="A1403"/>
      <c r="B1403"/>
      <c r="C1403"/>
      <c r="D1403"/>
      <c r="E1403"/>
      <c r="F1403"/>
      <c r="G1403"/>
    </row>
    <row r="1404" spans="1:7">
      <c r="A1404"/>
      <c r="B1404"/>
      <c r="C1404"/>
      <c r="D1404"/>
      <c r="E1404"/>
      <c r="F1404"/>
      <c r="G1404"/>
    </row>
    <row r="1405" spans="1:7">
      <c r="A1405"/>
      <c r="B1405"/>
      <c r="C1405"/>
      <c r="D1405"/>
      <c r="E1405"/>
      <c r="F1405"/>
      <c r="G1405"/>
    </row>
    <row r="1406" spans="1:7">
      <c r="A1406"/>
      <c r="B1406"/>
      <c r="C1406"/>
      <c r="D1406"/>
      <c r="E1406"/>
      <c r="F1406"/>
      <c r="G1406"/>
    </row>
    <row r="1407" spans="1:7">
      <c r="A1407"/>
      <c r="B1407"/>
      <c r="C1407"/>
      <c r="D1407"/>
      <c r="E1407"/>
      <c r="F1407"/>
      <c r="G1407"/>
    </row>
    <row r="1408" spans="1:7">
      <c r="A1408"/>
      <c r="B1408"/>
      <c r="C1408"/>
      <c r="D1408"/>
      <c r="E1408"/>
      <c r="F1408"/>
      <c r="G1408"/>
    </row>
    <row r="1409" spans="1:7">
      <c r="A1409"/>
      <c r="B1409"/>
      <c r="C1409"/>
      <c r="D1409"/>
      <c r="E1409"/>
      <c r="F1409"/>
      <c r="G1409"/>
    </row>
    <row r="1410" spans="1:7">
      <c r="A1410"/>
      <c r="B1410"/>
      <c r="C1410"/>
      <c r="D1410"/>
      <c r="E1410"/>
      <c r="F1410"/>
      <c r="G1410"/>
    </row>
    <row r="1411" spans="1:7">
      <c r="A1411"/>
      <c r="B1411"/>
      <c r="C1411"/>
      <c r="D1411"/>
      <c r="E1411"/>
      <c r="F1411"/>
      <c r="G1411"/>
    </row>
    <row r="1412" spans="1:7">
      <c r="A1412"/>
      <c r="B1412"/>
      <c r="C1412"/>
      <c r="D1412"/>
      <c r="E1412"/>
      <c r="F1412"/>
      <c r="G1412"/>
    </row>
    <row r="1413" spans="1:7">
      <c r="A1413"/>
      <c r="B1413"/>
      <c r="C1413"/>
      <c r="D1413"/>
      <c r="E1413"/>
      <c r="F1413"/>
      <c r="G1413"/>
    </row>
    <row r="1414" spans="1:7">
      <c r="A1414"/>
      <c r="B1414"/>
      <c r="C1414"/>
      <c r="D1414"/>
      <c r="E1414"/>
      <c r="F1414"/>
      <c r="G1414"/>
    </row>
    <row r="1415" spans="1:7">
      <c r="A1415"/>
      <c r="B1415"/>
      <c r="C1415"/>
      <c r="D1415"/>
      <c r="E1415"/>
      <c r="F1415"/>
      <c r="G1415"/>
    </row>
    <row r="1416" spans="1:7">
      <c r="A1416"/>
      <c r="B1416"/>
      <c r="C1416"/>
      <c r="D1416"/>
      <c r="E1416"/>
      <c r="F1416"/>
      <c r="G1416"/>
    </row>
    <row r="1417" spans="1:7">
      <c r="A1417"/>
      <c r="B1417"/>
      <c r="C1417"/>
      <c r="D1417"/>
      <c r="E1417"/>
      <c r="F1417"/>
      <c r="G1417"/>
    </row>
    <row r="1418" spans="1:7">
      <c r="A1418"/>
      <c r="B1418"/>
      <c r="C1418"/>
      <c r="D1418"/>
      <c r="E1418"/>
      <c r="F1418"/>
      <c r="G1418"/>
    </row>
    <row r="1419" spans="1:7">
      <c r="A1419"/>
      <c r="B1419"/>
      <c r="C1419"/>
      <c r="D1419"/>
      <c r="E1419"/>
      <c r="F1419"/>
      <c r="G1419"/>
    </row>
    <row r="1420" spans="1:7">
      <c r="A1420"/>
      <c r="B1420"/>
      <c r="C1420"/>
      <c r="D1420"/>
      <c r="E1420"/>
      <c r="F1420"/>
      <c r="G1420"/>
    </row>
    <row r="1421" spans="1:7">
      <c r="A1421"/>
      <c r="B1421"/>
      <c r="C1421"/>
      <c r="D1421"/>
      <c r="E1421"/>
      <c r="F1421"/>
      <c r="G1421"/>
    </row>
    <row r="1422" spans="1:7">
      <c r="A1422"/>
      <c r="B1422"/>
      <c r="C1422"/>
      <c r="D1422"/>
      <c r="E1422"/>
      <c r="F1422"/>
      <c r="G1422"/>
    </row>
    <row r="1423" spans="1:7">
      <c r="A1423"/>
      <c r="B1423"/>
      <c r="C1423"/>
      <c r="D1423"/>
      <c r="E1423"/>
      <c r="F1423"/>
      <c r="G1423"/>
    </row>
    <row r="1424" spans="1:7">
      <c r="A1424"/>
      <c r="B1424"/>
      <c r="C1424"/>
      <c r="D1424"/>
      <c r="E1424"/>
      <c r="F1424"/>
      <c r="G1424"/>
    </row>
    <row r="1425" spans="1:7">
      <c r="A1425"/>
      <c r="B1425"/>
      <c r="C1425"/>
      <c r="D1425"/>
      <c r="E1425"/>
      <c r="F1425"/>
      <c r="G1425"/>
    </row>
    <row r="1426" spans="1:7">
      <c r="A1426"/>
      <c r="B1426"/>
      <c r="C1426"/>
      <c r="D1426"/>
      <c r="E1426"/>
      <c r="F1426"/>
      <c r="G1426"/>
    </row>
    <row r="1427" spans="1:7">
      <c r="A1427"/>
      <c r="B1427"/>
      <c r="C1427"/>
      <c r="D1427"/>
      <c r="E1427"/>
      <c r="F1427"/>
      <c r="G1427"/>
    </row>
    <row r="1428" spans="1:7">
      <c r="A1428"/>
      <c r="B1428"/>
      <c r="C1428"/>
      <c r="D1428"/>
      <c r="E1428"/>
      <c r="F1428"/>
      <c r="G1428"/>
    </row>
    <row r="1429" spans="1:7">
      <c r="A1429"/>
      <c r="B1429"/>
      <c r="C1429"/>
      <c r="D1429"/>
      <c r="E1429"/>
      <c r="F1429"/>
      <c r="G1429"/>
    </row>
    <row r="1430" spans="1:7">
      <c r="A1430"/>
      <c r="B1430"/>
      <c r="C1430"/>
      <c r="D1430"/>
      <c r="E1430"/>
      <c r="F1430"/>
      <c r="G1430"/>
    </row>
    <row r="1431" spans="1:7">
      <c r="A1431"/>
      <c r="B1431"/>
      <c r="C1431"/>
      <c r="D1431"/>
      <c r="E1431"/>
      <c r="F1431"/>
      <c r="G1431"/>
    </row>
    <row r="1432" spans="1:7">
      <c r="A1432"/>
      <c r="B1432"/>
      <c r="C1432"/>
      <c r="D1432"/>
      <c r="E1432"/>
      <c r="F1432"/>
      <c r="G1432"/>
    </row>
    <row r="1433" spans="1:7">
      <c r="A1433"/>
      <c r="B1433"/>
      <c r="C1433"/>
      <c r="D1433"/>
      <c r="E1433"/>
      <c r="F1433"/>
      <c r="G1433"/>
    </row>
    <row r="1434" spans="1:7">
      <c r="A1434"/>
      <c r="B1434"/>
      <c r="C1434"/>
      <c r="D1434"/>
      <c r="E1434"/>
      <c r="F1434"/>
      <c r="G1434"/>
    </row>
    <row r="1435" spans="1:7">
      <c r="A1435"/>
      <c r="B1435"/>
      <c r="C1435"/>
      <c r="D1435"/>
      <c r="E1435"/>
      <c r="F1435"/>
      <c r="G1435"/>
    </row>
    <row r="1436" spans="1:7">
      <c r="A1436"/>
      <c r="B1436"/>
      <c r="C1436"/>
      <c r="D1436"/>
      <c r="E1436"/>
      <c r="F1436"/>
      <c r="G1436"/>
    </row>
    <row r="1437" spans="1:7">
      <c r="A1437"/>
      <c r="B1437"/>
      <c r="C1437"/>
      <c r="D1437"/>
      <c r="E1437"/>
      <c r="F1437"/>
      <c r="G1437"/>
    </row>
    <row r="1438" spans="1:7">
      <c r="A1438"/>
      <c r="B1438"/>
      <c r="C1438"/>
      <c r="D1438"/>
      <c r="E1438"/>
      <c r="F1438"/>
      <c r="G1438"/>
    </row>
    <row r="1439" spans="1:7">
      <c r="A1439"/>
      <c r="B1439"/>
      <c r="C1439"/>
      <c r="D1439"/>
      <c r="E1439"/>
      <c r="F1439"/>
      <c r="G1439"/>
    </row>
    <row r="1440" spans="1:7">
      <c r="A1440"/>
      <c r="B1440"/>
      <c r="C1440"/>
      <c r="D1440"/>
      <c r="E1440"/>
      <c r="F1440"/>
      <c r="G1440"/>
    </row>
    <row r="1441" spans="1:7">
      <c r="A1441"/>
      <c r="B1441"/>
      <c r="C1441"/>
      <c r="D1441"/>
      <c r="E1441"/>
      <c r="F1441"/>
      <c r="G1441"/>
    </row>
    <row r="1442" spans="1:7">
      <c r="A1442"/>
      <c r="B1442"/>
      <c r="C1442"/>
      <c r="D1442"/>
      <c r="E1442"/>
      <c r="F1442"/>
      <c r="G1442"/>
    </row>
    <row r="1443" spans="1:7">
      <c r="A1443"/>
      <c r="B1443"/>
      <c r="C1443"/>
      <c r="D1443"/>
      <c r="E1443"/>
      <c r="F1443"/>
      <c r="G1443"/>
    </row>
    <row r="1444" spans="1:7">
      <c r="A1444"/>
      <c r="B1444"/>
      <c r="C1444"/>
      <c r="D1444"/>
      <c r="E1444"/>
      <c r="F1444"/>
      <c r="G1444"/>
    </row>
    <row r="1445" spans="1:7">
      <c r="A1445"/>
      <c r="B1445"/>
      <c r="C1445"/>
      <c r="D1445"/>
      <c r="E1445"/>
      <c r="F1445"/>
      <c r="G1445"/>
    </row>
    <row r="1446" spans="1:7">
      <c r="A1446"/>
      <c r="B1446"/>
      <c r="C1446"/>
      <c r="D1446"/>
      <c r="E1446"/>
      <c r="F1446"/>
      <c r="G1446"/>
    </row>
    <row r="1447" spans="1:7">
      <c r="A1447"/>
      <c r="B1447"/>
      <c r="C1447"/>
      <c r="D1447"/>
      <c r="E1447"/>
      <c r="F1447"/>
      <c r="G1447"/>
    </row>
    <row r="1448" spans="1:7">
      <c r="A1448"/>
      <c r="B1448"/>
      <c r="C1448"/>
      <c r="D1448"/>
      <c r="E1448"/>
      <c r="F1448"/>
      <c r="G1448"/>
    </row>
    <row r="1449" spans="1:7">
      <c r="A1449"/>
      <c r="B1449"/>
      <c r="C1449"/>
      <c r="D1449"/>
      <c r="E1449"/>
      <c r="F1449"/>
      <c r="G1449"/>
    </row>
    <row r="1450" spans="1:7">
      <c r="A1450"/>
      <c r="B1450"/>
      <c r="C1450"/>
      <c r="D1450"/>
      <c r="E1450"/>
      <c r="F1450"/>
      <c r="G1450"/>
    </row>
    <row r="1451" spans="1:7">
      <c r="A1451"/>
      <c r="B1451"/>
      <c r="C1451"/>
      <c r="D1451"/>
      <c r="E1451"/>
      <c r="F1451"/>
      <c r="G1451"/>
    </row>
    <row r="1452" spans="1:7">
      <c r="A1452"/>
      <c r="B1452"/>
      <c r="C1452"/>
      <c r="D1452"/>
      <c r="E1452"/>
      <c r="F1452"/>
      <c r="G1452"/>
    </row>
    <row r="1453" spans="1:7">
      <c r="A1453"/>
      <c r="B1453"/>
      <c r="C1453"/>
      <c r="D1453"/>
      <c r="E1453"/>
      <c r="F1453"/>
      <c r="G1453"/>
    </row>
    <row r="1454" spans="1:7">
      <c r="A1454"/>
      <c r="B1454"/>
      <c r="C1454"/>
      <c r="D1454"/>
      <c r="E1454"/>
      <c r="F1454"/>
      <c r="G1454"/>
    </row>
    <row r="1455" spans="1:7">
      <c r="A1455"/>
      <c r="B1455"/>
      <c r="C1455"/>
      <c r="D1455"/>
      <c r="E1455"/>
      <c r="F1455"/>
      <c r="G1455"/>
    </row>
    <row r="1456" spans="1:7">
      <c r="A1456"/>
      <c r="B1456"/>
      <c r="C1456"/>
      <c r="D1456"/>
      <c r="E1456"/>
      <c r="F1456"/>
      <c r="G1456"/>
    </row>
    <row r="1457" spans="1:7">
      <c r="A1457"/>
      <c r="B1457"/>
      <c r="C1457"/>
      <c r="D1457"/>
      <c r="E1457"/>
      <c r="F1457"/>
      <c r="G1457"/>
    </row>
    <row r="1458" spans="1:7">
      <c r="A1458"/>
      <c r="B1458"/>
      <c r="C1458"/>
      <c r="D1458"/>
      <c r="E1458"/>
      <c r="F1458"/>
      <c r="G1458"/>
    </row>
    <row r="1459" spans="1:7">
      <c r="A1459"/>
      <c r="B1459"/>
      <c r="C1459"/>
      <c r="D1459"/>
      <c r="E1459"/>
      <c r="F1459"/>
      <c r="G1459"/>
    </row>
    <row r="1460" spans="1:7">
      <c r="A1460"/>
      <c r="B1460"/>
      <c r="C1460"/>
      <c r="D1460"/>
      <c r="E1460"/>
      <c r="F1460"/>
      <c r="G1460"/>
    </row>
    <row r="1461" spans="1:7">
      <c r="A1461"/>
      <c r="B1461"/>
      <c r="C1461"/>
      <c r="D1461"/>
      <c r="E1461"/>
      <c r="F1461"/>
      <c r="G1461"/>
    </row>
    <row r="1462" spans="1:7">
      <c r="A1462"/>
      <c r="B1462"/>
      <c r="C1462"/>
      <c r="D1462"/>
      <c r="E1462"/>
      <c r="F1462"/>
      <c r="G1462"/>
    </row>
    <row r="1463" spans="1:7">
      <c r="A1463"/>
      <c r="B1463"/>
      <c r="C1463"/>
      <c r="D1463"/>
      <c r="E1463"/>
      <c r="F1463"/>
      <c r="G1463"/>
    </row>
    <row r="1464" spans="1:7">
      <c r="A1464"/>
      <c r="B1464"/>
      <c r="C1464"/>
      <c r="D1464"/>
      <c r="E1464"/>
      <c r="F1464"/>
      <c r="G1464"/>
    </row>
    <row r="1465" spans="1:7">
      <c r="A1465"/>
      <c r="B1465"/>
      <c r="C1465"/>
      <c r="D1465"/>
      <c r="E1465"/>
      <c r="F1465"/>
      <c r="G1465"/>
    </row>
    <row r="1466" spans="1:7">
      <c r="A1466"/>
      <c r="B1466"/>
      <c r="C1466"/>
      <c r="D1466"/>
      <c r="E1466"/>
      <c r="F1466"/>
      <c r="G1466"/>
    </row>
    <row r="1467" spans="1:7">
      <c r="A1467"/>
      <c r="B1467"/>
      <c r="C1467"/>
      <c r="D1467"/>
      <c r="E1467"/>
      <c r="F1467"/>
      <c r="G1467"/>
    </row>
    <row r="1468" spans="1:7">
      <c r="A1468"/>
      <c r="B1468"/>
      <c r="C1468"/>
      <c r="D1468"/>
      <c r="E1468"/>
      <c r="F1468"/>
      <c r="G1468"/>
    </row>
    <row r="1469" spans="1:7">
      <c r="A1469"/>
      <c r="B1469"/>
      <c r="C1469"/>
      <c r="D1469"/>
      <c r="E1469"/>
      <c r="F1469"/>
      <c r="G1469"/>
    </row>
    <row r="1470" spans="1:7">
      <c r="A1470"/>
      <c r="B1470"/>
      <c r="C1470"/>
      <c r="D1470"/>
      <c r="E1470"/>
      <c r="F1470"/>
      <c r="G1470"/>
    </row>
    <row r="1471" spans="1:7">
      <c r="A1471"/>
      <c r="B1471"/>
      <c r="C1471"/>
      <c r="D1471"/>
      <c r="E1471"/>
      <c r="F1471"/>
      <c r="G1471"/>
    </row>
    <row r="1472" spans="1:7">
      <c r="A1472"/>
      <c r="B1472"/>
      <c r="C1472"/>
      <c r="D1472"/>
      <c r="E1472"/>
      <c r="F1472"/>
      <c r="G1472"/>
    </row>
    <row r="1473" spans="1:7">
      <c r="A1473"/>
      <c r="B1473"/>
      <c r="C1473"/>
      <c r="D1473"/>
      <c r="E1473"/>
      <c r="F1473"/>
      <c r="G1473"/>
    </row>
    <row r="1474" spans="1:7">
      <c r="A1474"/>
      <c r="B1474"/>
      <c r="C1474"/>
      <c r="D1474"/>
      <c r="E1474"/>
      <c r="F1474"/>
      <c r="G1474"/>
    </row>
    <row r="1475" spans="1:7">
      <c r="A1475"/>
      <c r="B1475"/>
      <c r="C1475"/>
      <c r="D1475"/>
      <c r="E1475"/>
      <c r="F1475"/>
      <c r="G1475"/>
    </row>
    <row r="1476" spans="1:7">
      <c r="A1476"/>
      <c r="B1476"/>
      <c r="C1476"/>
      <c r="D1476"/>
      <c r="E1476"/>
      <c r="F1476"/>
      <c r="G1476"/>
    </row>
    <row r="1477" spans="1:7">
      <c r="A1477"/>
      <c r="B1477"/>
      <c r="C1477"/>
      <c r="D1477"/>
      <c r="E1477"/>
      <c r="F1477"/>
      <c r="G1477"/>
    </row>
    <row r="1478" spans="1:7">
      <c r="A1478"/>
      <c r="B1478"/>
      <c r="C1478"/>
      <c r="D1478"/>
      <c r="E1478"/>
      <c r="F1478"/>
      <c r="G1478"/>
    </row>
    <row r="1479" spans="1:7">
      <c r="A1479"/>
      <c r="B1479"/>
      <c r="C1479"/>
      <c r="D1479"/>
      <c r="E1479"/>
      <c r="F1479"/>
      <c r="G1479"/>
    </row>
    <row r="1480" spans="1:7">
      <c r="A1480"/>
      <c r="B1480"/>
      <c r="C1480"/>
      <c r="D1480"/>
      <c r="E1480"/>
      <c r="F1480"/>
      <c r="G1480"/>
    </row>
    <row r="1481" spans="1:7">
      <c r="A1481"/>
      <c r="B1481"/>
      <c r="C1481"/>
      <c r="D1481"/>
      <c r="E1481"/>
      <c r="F1481"/>
      <c r="G1481"/>
    </row>
    <row r="1482" spans="1:7">
      <c r="A1482"/>
      <c r="B1482"/>
      <c r="C1482"/>
      <c r="D1482"/>
      <c r="E1482"/>
      <c r="F1482"/>
      <c r="G1482"/>
    </row>
    <row r="1483" spans="1:7">
      <c r="A1483"/>
      <c r="B1483"/>
      <c r="C1483"/>
      <c r="D1483"/>
      <c r="E1483"/>
      <c r="F1483"/>
      <c r="G1483"/>
    </row>
    <row r="1484" spans="1:7">
      <c r="A1484"/>
      <c r="B1484"/>
      <c r="C1484"/>
      <c r="D1484"/>
      <c r="E1484"/>
      <c r="F1484"/>
      <c r="G1484"/>
    </row>
    <row r="1485" spans="1:7">
      <c r="A1485"/>
      <c r="B1485"/>
      <c r="C1485"/>
      <c r="D1485"/>
      <c r="E1485"/>
      <c r="F1485"/>
      <c r="G1485"/>
    </row>
    <row r="1486" spans="1:7">
      <c r="A1486"/>
      <c r="B1486"/>
      <c r="C1486"/>
      <c r="D1486"/>
      <c r="E1486"/>
      <c r="F1486"/>
      <c r="G1486"/>
    </row>
    <row r="1487" spans="1:7">
      <c r="A1487"/>
      <c r="B1487"/>
      <c r="C1487"/>
      <c r="D1487"/>
      <c r="E1487"/>
      <c r="F1487"/>
      <c r="G1487"/>
    </row>
    <row r="1488" spans="1:7">
      <c r="A1488"/>
      <c r="B1488"/>
      <c r="C1488"/>
      <c r="D1488"/>
      <c r="E1488"/>
      <c r="F1488"/>
      <c r="G1488"/>
    </row>
    <row r="1489" spans="1:7">
      <c r="A1489"/>
      <c r="B1489"/>
      <c r="C1489"/>
      <c r="D1489"/>
      <c r="E1489"/>
      <c r="F1489"/>
      <c r="G1489"/>
    </row>
    <row r="1490" spans="1:7">
      <c r="A1490"/>
      <c r="B1490"/>
      <c r="C1490"/>
      <c r="D1490"/>
      <c r="E1490"/>
      <c r="F1490"/>
      <c r="G1490"/>
    </row>
    <row r="1491" spans="1:7">
      <c r="A1491"/>
      <c r="B1491"/>
      <c r="C1491"/>
      <c r="D1491"/>
      <c r="E1491"/>
      <c r="F1491"/>
      <c r="G1491"/>
    </row>
    <row r="1492" spans="1:7">
      <c r="A1492"/>
      <c r="B1492"/>
      <c r="C1492"/>
      <c r="D1492"/>
      <c r="E1492"/>
      <c r="F1492"/>
      <c r="G1492"/>
    </row>
    <row r="1493" spans="1:7">
      <c r="A1493"/>
      <c r="B1493"/>
      <c r="C1493"/>
      <c r="D1493"/>
      <c r="E1493"/>
      <c r="F1493"/>
      <c r="G1493"/>
    </row>
    <row r="1494" spans="1:7">
      <c r="A1494"/>
      <c r="B1494"/>
      <c r="C1494"/>
      <c r="D1494"/>
      <c r="E1494"/>
      <c r="F1494"/>
      <c r="G1494"/>
    </row>
    <row r="1495" spans="1:7">
      <c r="A1495"/>
      <c r="B1495"/>
      <c r="C1495"/>
      <c r="D1495"/>
      <c r="E1495"/>
      <c r="F1495"/>
      <c r="G1495"/>
    </row>
    <row r="1496" spans="1:7">
      <c r="A1496"/>
      <c r="B1496"/>
      <c r="C1496"/>
      <c r="D1496"/>
      <c r="E1496"/>
      <c r="F1496"/>
      <c r="G1496"/>
    </row>
    <row r="1497" spans="1:7">
      <c r="A1497"/>
      <c r="B1497"/>
      <c r="C1497"/>
      <c r="D1497"/>
      <c r="E1497"/>
      <c r="F1497"/>
      <c r="G1497"/>
    </row>
    <row r="1498" spans="1:7">
      <c r="A1498"/>
      <c r="B1498"/>
      <c r="C1498"/>
      <c r="D1498"/>
      <c r="E1498"/>
      <c r="F1498"/>
      <c r="G1498"/>
    </row>
    <row r="1499" spans="1:7">
      <c r="A1499"/>
      <c r="B1499"/>
      <c r="C1499"/>
      <c r="D1499"/>
      <c r="E1499"/>
      <c r="F1499"/>
      <c r="G1499"/>
    </row>
    <row r="1500" spans="1:7">
      <c r="A1500"/>
      <c r="B1500"/>
      <c r="C1500"/>
      <c r="D1500"/>
      <c r="E1500"/>
      <c r="F1500"/>
      <c r="G1500"/>
    </row>
    <row r="1501" spans="1:7">
      <c r="A1501"/>
      <c r="B1501"/>
      <c r="C1501"/>
      <c r="D1501"/>
      <c r="E1501"/>
      <c r="F1501"/>
      <c r="G1501"/>
    </row>
    <row r="1502" spans="1:7">
      <c r="A1502"/>
      <c r="B1502"/>
      <c r="C1502"/>
      <c r="D1502"/>
      <c r="E1502"/>
      <c r="F1502"/>
      <c r="G1502"/>
    </row>
    <row r="1503" spans="1:7">
      <c r="A1503"/>
      <c r="B1503"/>
      <c r="C1503"/>
      <c r="D1503"/>
      <c r="E1503"/>
      <c r="F1503"/>
      <c r="G1503"/>
    </row>
    <row r="1504" spans="1:7">
      <c r="A1504"/>
      <c r="B1504"/>
      <c r="C1504"/>
      <c r="D1504"/>
      <c r="E1504"/>
      <c r="F1504"/>
      <c r="G1504"/>
    </row>
    <row r="1505" spans="1:7">
      <c r="A1505"/>
      <c r="B1505"/>
      <c r="C1505"/>
      <c r="D1505"/>
      <c r="E1505"/>
      <c r="F1505"/>
      <c r="G1505"/>
    </row>
    <row r="1506" spans="1:7">
      <c r="A1506"/>
      <c r="B1506"/>
      <c r="C1506"/>
      <c r="D1506"/>
      <c r="E1506"/>
      <c r="F1506"/>
      <c r="G1506"/>
    </row>
    <row r="1507" spans="1:7">
      <c r="A1507"/>
      <c r="B1507"/>
      <c r="C1507"/>
      <c r="D1507"/>
      <c r="E1507"/>
      <c r="F1507"/>
      <c r="G1507"/>
    </row>
    <row r="1508" spans="1:7">
      <c r="A1508"/>
      <c r="B1508"/>
      <c r="C1508"/>
      <c r="D1508"/>
      <c r="E1508"/>
      <c r="F1508"/>
      <c r="G1508"/>
    </row>
    <row r="1509" spans="1:7">
      <c r="A1509"/>
      <c r="B1509"/>
      <c r="C1509"/>
      <c r="D1509"/>
      <c r="E1509"/>
      <c r="F1509"/>
      <c r="G1509"/>
    </row>
    <row r="1510" spans="1:7">
      <c r="A1510"/>
      <c r="B1510"/>
      <c r="C1510"/>
      <c r="D1510"/>
      <c r="E1510"/>
      <c r="F1510"/>
      <c r="G1510"/>
    </row>
    <row r="1511" spans="1:7">
      <c r="A1511"/>
      <c r="B1511"/>
      <c r="C1511"/>
      <c r="D1511"/>
      <c r="E1511"/>
      <c r="F1511"/>
      <c r="G1511"/>
    </row>
    <row r="1512" spans="1:7">
      <c r="A1512"/>
      <c r="B1512"/>
      <c r="C1512"/>
      <c r="D1512"/>
      <c r="E1512"/>
      <c r="F1512"/>
      <c r="G1512"/>
    </row>
    <row r="1513" spans="1:7">
      <c r="A1513"/>
      <c r="B1513"/>
      <c r="C1513"/>
      <c r="D1513"/>
      <c r="E1513"/>
      <c r="F1513"/>
      <c r="G1513"/>
    </row>
    <row r="1514" spans="1:7">
      <c r="A1514"/>
      <c r="B1514"/>
      <c r="C1514"/>
      <c r="D1514"/>
      <c r="E1514"/>
      <c r="F1514"/>
      <c r="G1514"/>
    </row>
    <row r="1515" spans="1:7">
      <c r="A1515"/>
      <c r="B1515"/>
      <c r="C1515"/>
      <c r="D1515"/>
      <c r="E1515"/>
      <c r="F1515"/>
      <c r="G1515"/>
    </row>
    <row r="1516" spans="1:7">
      <c r="A1516"/>
      <c r="B1516"/>
      <c r="C1516"/>
      <c r="D1516"/>
      <c r="E1516"/>
      <c r="F1516"/>
      <c r="G1516"/>
    </row>
    <row r="1517" spans="1:7">
      <c r="A1517"/>
      <c r="B1517"/>
      <c r="C1517"/>
      <c r="D1517"/>
      <c r="E1517"/>
      <c r="F1517"/>
      <c r="G1517"/>
    </row>
    <row r="1518" spans="1:7">
      <c r="A1518"/>
      <c r="B1518"/>
      <c r="C1518"/>
      <c r="D1518"/>
      <c r="E1518"/>
      <c r="F1518"/>
      <c r="G1518"/>
    </row>
    <row r="1519" spans="1:7">
      <c r="A1519"/>
      <c r="B1519"/>
      <c r="C1519"/>
      <c r="D1519"/>
      <c r="E1519"/>
      <c r="F1519"/>
      <c r="G1519"/>
    </row>
    <row r="1520" spans="1:7">
      <c r="A1520"/>
      <c r="B1520"/>
      <c r="C1520"/>
      <c r="D1520"/>
      <c r="E1520"/>
      <c r="F1520"/>
      <c r="G1520"/>
    </row>
    <row r="1521" spans="1:7">
      <c r="A1521"/>
      <c r="B1521"/>
      <c r="C1521"/>
      <c r="D1521"/>
      <c r="E1521"/>
      <c r="F1521"/>
      <c r="G1521"/>
    </row>
    <row r="1522" spans="1:7">
      <c r="A1522"/>
      <c r="B1522"/>
      <c r="C1522"/>
      <c r="D1522"/>
      <c r="E1522"/>
      <c r="F1522"/>
      <c r="G1522"/>
    </row>
    <row r="1523" spans="1:7">
      <c r="A1523"/>
      <c r="B1523"/>
      <c r="C1523"/>
      <c r="D1523"/>
      <c r="E1523"/>
      <c r="F1523"/>
      <c r="G1523"/>
    </row>
    <row r="1524" spans="1:7">
      <c r="A1524"/>
      <c r="B1524"/>
      <c r="C1524"/>
      <c r="D1524"/>
      <c r="E1524"/>
      <c r="F1524"/>
      <c r="G1524"/>
    </row>
    <row r="1525" spans="1:7">
      <c r="A1525"/>
      <c r="B1525"/>
      <c r="C1525"/>
      <c r="D1525"/>
      <c r="E1525"/>
      <c r="F1525"/>
      <c r="G1525"/>
    </row>
    <row r="1526" spans="1:7">
      <c r="A1526"/>
      <c r="B1526"/>
      <c r="C1526"/>
      <c r="D1526"/>
      <c r="E1526"/>
      <c r="F1526"/>
      <c r="G1526"/>
    </row>
    <row r="1527" spans="1:7">
      <c r="A1527"/>
      <c r="B1527"/>
      <c r="C1527"/>
      <c r="D1527"/>
      <c r="E1527"/>
      <c r="F1527"/>
      <c r="G1527"/>
    </row>
    <row r="1528" spans="1:7">
      <c r="A1528"/>
      <c r="B1528"/>
      <c r="C1528"/>
      <c r="D1528"/>
      <c r="E1528"/>
      <c r="F1528"/>
      <c r="G1528"/>
    </row>
    <row r="1529" spans="1:7">
      <c r="A1529"/>
      <c r="B1529"/>
      <c r="C1529"/>
      <c r="D1529"/>
      <c r="E1529"/>
      <c r="F1529"/>
      <c r="G1529"/>
    </row>
    <row r="1530" spans="1:7">
      <c r="A1530"/>
      <c r="B1530"/>
      <c r="C1530"/>
      <c r="D1530"/>
      <c r="E1530"/>
      <c r="F1530"/>
      <c r="G1530"/>
    </row>
    <row r="1531" spans="1:7">
      <c r="A1531"/>
      <c r="B1531"/>
      <c r="C1531"/>
      <c r="D1531"/>
      <c r="E1531"/>
      <c r="F1531"/>
      <c r="G1531"/>
    </row>
    <row r="1532" spans="1:7">
      <c r="A1532"/>
      <c r="B1532"/>
      <c r="C1532"/>
      <c r="D1532"/>
      <c r="E1532"/>
      <c r="F1532"/>
      <c r="G1532"/>
    </row>
    <row r="1533" spans="1:7">
      <c r="A1533"/>
      <c r="B1533"/>
      <c r="C1533"/>
      <c r="D1533"/>
      <c r="E1533"/>
      <c r="F1533"/>
      <c r="G1533"/>
    </row>
    <row r="1534" spans="1:7">
      <c r="A1534"/>
      <c r="B1534"/>
      <c r="C1534"/>
      <c r="D1534"/>
      <c r="E1534"/>
      <c r="F1534"/>
      <c r="G1534"/>
    </row>
    <row r="1535" spans="1:7">
      <c r="A1535"/>
      <c r="B1535"/>
      <c r="C1535"/>
      <c r="D1535"/>
      <c r="E1535"/>
      <c r="F1535"/>
      <c r="G1535"/>
    </row>
    <row r="1536" spans="1:7">
      <c r="A1536"/>
      <c r="B1536"/>
      <c r="C1536"/>
      <c r="D1536"/>
      <c r="E1536"/>
      <c r="F1536"/>
      <c r="G1536"/>
    </row>
    <row r="1537" spans="1:7">
      <c r="A1537"/>
      <c r="B1537"/>
      <c r="C1537"/>
      <c r="D1537"/>
      <c r="E1537"/>
      <c r="F1537"/>
      <c r="G1537"/>
    </row>
    <row r="1538" spans="1:7">
      <c r="A1538"/>
      <c r="B1538"/>
      <c r="C1538"/>
      <c r="D1538"/>
      <c r="E1538"/>
      <c r="F1538"/>
      <c r="G1538"/>
    </row>
    <row r="1539" spans="1:7">
      <c r="A1539"/>
      <c r="B1539"/>
      <c r="C1539"/>
      <c r="D1539"/>
      <c r="E1539"/>
      <c r="F1539"/>
      <c r="G1539"/>
    </row>
    <row r="1540" spans="1:7">
      <c r="A1540"/>
      <c r="B1540"/>
      <c r="C1540"/>
      <c r="D1540"/>
      <c r="E1540"/>
      <c r="F1540"/>
      <c r="G1540"/>
    </row>
    <row r="1541" spans="1:7">
      <c r="A1541"/>
      <c r="B1541"/>
      <c r="C1541"/>
      <c r="D1541"/>
      <c r="E1541"/>
      <c r="F1541"/>
      <c r="G1541"/>
    </row>
    <row r="1542" spans="1:7">
      <c r="A1542"/>
      <c r="B1542"/>
      <c r="C1542"/>
      <c r="D1542"/>
      <c r="E1542"/>
      <c r="F1542"/>
      <c r="G1542"/>
    </row>
    <row r="1543" spans="1:7">
      <c r="A1543"/>
      <c r="B1543"/>
      <c r="C1543"/>
      <c r="D1543"/>
      <c r="E1543"/>
      <c r="F1543"/>
      <c r="G1543"/>
    </row>
    <row r="1544" spans="1:7">
      <c r="A1544"/>
      <c r="B1544"/>
      <c r="C1544"/>
      <c r="D1544"/>
      <c r="E1544"/>
      <c r="F1544"/>
      <c r="G1544"/>
    </row>
    <row r="1545" spans="1:7">
      <c r="A1545"/>
      <c r="B1545"/>
      <c r="C1545"/>
      <c r="D1545"/>
      <c r="E1545"/>
      <c r="F1545"/>
      <c r="G1545"/>
    </row>
    <row r="1546" spans="1:7">
      <c r="A1546"/>
      <c r="B1546"/>
      <c r="C1546"/>
      <c r="D1546"/>
      <c r="E1546"/>
      <c r="F1546"/>
      <c r="G1546"/>
    </row>
    <row r="1547" spans="1:7">
      <c r="A1547"/>
      <c r="B1547"/>
      <c r="C1547"/>
      <c r="D1547"/>
      <c r="E1547"/>
      <c r="F1547"/>
      <c r="G1547"/>
    </row>
    <row r="1548" spans="1:7">
      <c r="A1548"/>
      <c r="B1548"/>
      <c r="C1548"/>
      <c r="D1548"/>
      <c r="E1548"/>
      <c r="F1548"/>
      <c r="G1548"/>
    </row>
    <row r="1549" spans="1:7">
      <c r="A1549"/>
      <c r="B1549"/>
      <c r="C1549"/>
      <c r="D1549"/>
      <c r="E1549"/>
      <c r="F1549"/>
      <c r="G1549"/>
    </row>
    <row r="1550" spans="1:7">
      <c r="A1550"/>
      <c r="B1550"/>
      <c r="C1550"/>
      <c r="D1550"/>
      <c r="E1550"/>
      <c r="F1550"/>
      <c r="G1550"/>
    </row>
    <row r="1551" spans="1:7">
      <c r="A1551"/>
      <c r="B1551"/>
      <c r="C1551"/>
      <c r="D1551"/>
      <c r="E1551"/>
      <c r="F1551"/>
      <c r="G1551"/>
    </row>
    <row r="1552" spans="1:7">
      <c r="A1552"/>
      <c r="B1552"/>
      <c r="C1552"/>
      <c r="D1552"/>
      <c r="E1552"/>
      <c r="F1552"/>
      <c r="G1552"/>
    </row>
    <row r="1553" spans="1:7">
      <c r="A1553"/>
      <c r="B1553"/>
      <c r="C1553"/>
      <c r="D1553"/>
      <c r="E1553"/>
      <c r="F1553"/>
      <c r="G1553"/>
    </row>
    <row r="1554" spans="1:7">
      <c r="A1554"/>
      <c r="B1554"/>
      <c r="C1554"/>
      <c r="D1554"/>
      <c r="E1554"/>
      <c r="F1554"/>
      <c r="G1554"/>
    </row>
    <row r="1555" spans="1:7">
      <c r="A1555"/>
      <c r="B1555"/>
      <c r="C1555"/>
      <c r="D1555"/>
      <c r="E1555"/>
      <c r="F1555"/>
      <c r="G1555"/>
    </row>
    <row r="1556" spans="1:7">
      <c r="A1556"/>
      <c r="B1556"/>
      <c r="C1556"/>
      <c r="D1556"/>
      <c r="E1556"/>
      <c r="F1556"/>
      <c r="G1556"/>
    </row>
    <row r="1557" spans="1:7">
      <c r="A1557"/>
      <c r="B1557"/>
      <c r="C1557"/>
      <c r="D1557"/>
      <c r="E1557"/>
      <c r="F1557"/>
      <c r="G1557"/>
    </row>
    <row r="1558" spans="1:7">
      <c r="A1558"/>
      <c r="B1558"/>
      <c r="C1558"/>
      <c r="D1558"/>
      <c r="E1558"/>
      <c r="F1558"/>
      <c r="G1558"/>
    </row>
    <row r="1559" spans="1:7">
      <c r="A1559"/>
      <c r="B1559"/>
      <c r="C1559"/>
      <c r="D1559"/>
      <c r="E1559"/>
      <c r="F1559"/>
      <c r="G1559"/>
    </row>
    <row r="1560" spans="1:7">
      <c r="A1560"/>
      <c r="B1560"/>
      <c r="C1560"/>
      <c r="D1560"/>
      <c r="E1560"/>
      <c r="F1560"/>
      <c r="G1560"/>
    </row>
    <row r="1561" spans="1:7">
      <c r="A1561"/>
      <c r="B1561"/>
      <c r="C1561"/>
      <c r="D1561"/>
      <c r="E1561"/>
      <c r="F1561"/>
      <c r="G1561"/>
    </row>
    <row r="1562" spans="1:7">
      <c r="A1562"/>
      <c r="B1562"/>
      <c r="C1562"/>
      <c r="D1562"/>
      <c r="E1562"/>
      <c r="F1562"/>
      <c r="G1562"/>
    </row>
    <row r="1563" spans="1:7">
      <c r="A1563"/>
      <c r="B1563"/>
      <c r="C1563"/>
      <c r="D1563"/>
      <c r="E1563"/>
      <c r="F1563"/>
      <c r="G1563"/>
    </row>
    <row r="1564" spans="1:7">
      <c r="A1564"/>
      <c r="B1564"/>
      <c r="C1564"/>
      <c r="D1564"/>
      <c r="E1564"/>
      <c r="F1564"/>
      <c r="G1564"/>
    </row>
    <row r="1565" spans="1:7">
      <c r="A1565"/>
      <c r="B1565"/>
      <c r="C1565"/>
      <c r="D1565"/>
      <c r="E1565"/>
      <c r="F1565"/>
      <c r="G1565"/>
    </row>
    <row r="1566" spans="1:7">
      <c r="A1566"/>
      <c r="B1566"/>
      <c r="C1566"/>
      <c r="D1566"/>
      <c r="E1566"/>
      <c r="F1566"/>
      <c r="G1566"/>
    </row>
    <row r="1567" spans="1:7">
      <c r="A1567"/>
      <c r="B1567"/>
      <c r="C1567"/>
      <c r="D1567"/>
      <c r="E1567"/>
      <c r="F1567"/>
      <c r="G1567"/>
    </row>
    <row r="1568" spans="1:7">
      <c r="A1568"/>
      <c r="B1568"/>
      <c r="C1568"/>
      <c r="D1568"/>
      <c r="E1568"/>
      <c r="F1568"/>
      <c r="G1568"/>
    </row>
    <row r="1569" spans="1:7">
      <c r="A1569"/>
      <c r="B1569"/>
      <c r="C1569"/>
      <c r="D1569"/>
      <c r="E1569"/>
      <c r="F1569"/>
      <c r="G1569"/>
    </row>
    <row r="1570" spans="1:7">
      <c r="A1570"/>
      <c r="B1570"/>
      <c r="C1570"/>
      <c r="D1570"/>
      <c r="E1570"/>
      <c r="F1570"/>
      <c r="G1570"/>
    </row>
    <row r="1571" spans="1:7">
      <c r="A1571"/>
      <c r="B1571"/>
      <c r="C1571"/>
      <c r="D1571"/>
      <c r="E1571"/>
      <c r="F1571"/>
      <c r="G1571"/>
    </row>
    <row r="1572" spans="1:7">
      <c r="A1572"/>
      <c r="B1572"/>
      <c r="C1572"/>
      <c r="D1572"/>
      <c r="E1572"/>
      <c r="F1572"/>
      <c r="G1572"/>
    </row>
    <row r="1573" spans="1:7">
      <c r="A1573"/>
      <c r="B1573"/>
      <c r="C1573"/>
      <c r="D1573"/>
      <c r="E1573"/>
      <c r="F1573"/>
      <c r="G1573"/>
    </row>
    <row r="1574" spans="1:7">
      <c r="A1574"/>
      <c r="B1574"/>
      <c r="C1574"/>
      <c r="D1574"/>
      <c r="E1574"/>
      <c r="F1574"/>
      <c r="G1574"/>
    </row>
    <row r="1575" spans="1:7">
      <c r="A1575"/>
      <c r="B1575"/>
      <c r="C1575"/>
      <c r="D1575"/>
      <c r="E1575"/>
      <c r="F1575"/>
      <c r="G1575"/>
    </row>
    <row r="1576" spans="1:7">
      <c r="A1576"/>
      <c r="B1576"/>
      <c r="C1576"/>
      <c r="D1576"/>
      <c r="E1576"/>
      <c r="F1576"/>
      <c r="G1576"/>
    </row>
    <row r="1577" spans="1:7">
      <c r="A1577"/>
      <c r="B1577"/>
      <c r="C1577"/>
      <c r="D1577"/>
      <c r="E1577"/>
      <c r="F1577"/>
      <c r="G1577"/>
    </row>
    <row r="1578" spans="1:7">
      <c r="A1578"/>
      <c r="B1578"/>
      <c r="C1578"/>
      <c r="D1578"/>
      <c r="E1578"/>
      <c r="F1578"/>
      <c r="G1578"/>
    </row>
    <row r="1579" spans="1:7">
      <c r="A1579"/>
      <c r="B1579"/>
      <c r="C1579"/>
      <c r="D1579"/>
      <c r="E1579"/>
      <c r="F1579"/>
      <c r="G1579"/>
    </row>
    <row r="1580" spans="1:7">
      <c r="A1580"/>
      <c r="B1580"/>
      <c r="C1580"/>
      <c r="D1580"/>
      <c r="E1580"/>
      <c r="F1580"/>
      <c r="G1580"/>
    </row>
    <row r="1581" spans="1:7">
      <c r="A1581"/>
      <c r="B1581"/>
      <c r="C1581"/>
      <c r="D1581"/>
      <c r="E1581"/>
      <c r="F1581"/>
      <c r="G1581"/>
    </row>
    <row r="1582" spans="1:7">
      <c r="A1582"/>
      <c r="B1582"/>
      <c r="C1582"/>
      <c r="D1582"/>
      <c r="E1582"/>
      <c r="F1582"/>
      <c r="G1582"/>
    </row>
    <row r="1583" spans="1:7">
      <c r="A1583"/>
      <c r="B1583"/>
      <c r="C1583"/>
      <c r="D1583"/>
      <c r="E1583"/>
      <c r="F1583"/>
      <c r="G1583"/>
    </row>
    <row r="1584" spans="1:7">
      <c r="A1584"/>
      <c r="B1584"/>
      <c r="C1584"/>
      <c r="D1584"/>
      <c r="E1584"/>
      <c r="F1584"/>
      <c r="G1584"/>
    </row>
    <row r="1585" spans="1:7">
      <c r="A1585"/>
      <c r="B1585"/>
      <c r="C1585"/>
      <c r="D1585"/>
      <c r="E1585"/>
      <c r="F1585"/>
      <c r="G1585"/>
    </row>
    <row r="1586" spans="1:7">
      <c r="A1586"/>
      <c r="B1586"/>
      <c r="C1586"/>
      <c r="D1586"/>
      <c r="E1586"/>
      <c r="F1586"/>
      <c r="G1586"/>
    </row>
    <row r="1587" spans="1:7">
      <c r="A1587"/>
      <c r="B1587"/>
      <c r="C1587"/>
      <c r="D1587"/>
      <c r="E1587"/>
      <c r="F1587"/>
      <c r="G1587"/>
    </row>
    <row r="1588" spans="1:7">
      <c r="A1588"/>
      <c r="B1588"/>
      <c r="C1588"/>
      <c r="D1588"/>
      <c r="E1588"/>
      <c r="F1588"/>
      <c r="G1588"/>
    </row>
    <row r="1589" spans="1:7">
      <c r="A1589"/>
      <c r="B1589"/>
      <c r="C1589"/>
      <c r="D1589"/>
      <c r="E1589"/>
      <c r="F1589"/>
      <c r="G1589"/>
    </row>
    <row r="1590" spans="1:7">
      <c r="A1590"/>
      <c r="B1590"/>
      <c r="C1590"/>
      <c r="D1590"/>
      <c r="E1590"/>
      <c r="F1590"/>
      <c r="G1590"/>
    </row>
    <row r="1591" spans="1:7">
      <c r="A1591"/>
      <c r="B1591"/>
      <c r="C1591"/>
      <c r="D1591"/>
      <c r="E1591"/>
      <c r="F1591"/>
      <c r="G1591"/>
    </row>
    <row r="1592" spans="1:7">
      <c r="A1592"/>
      <c r="B1592"/>
      <c r="C1592"/>
      <c r="D1592"/>
      <c r="E1592"/>
      <c r="F1592"/>
      <c r="G1592"/>
    </row>
    <row r="1593" spans="1:7">
      <c r="A1593"/>
      <c r="B1593"/>
      <c r="C1593"/>
      <c r="D1593"/>
      <c r="E1593"/>
      <c r="F1593"/>
      <c r="G1593"/>
    </row>
    <row r="1594" spans="1:7">
      <c r="A1594"/>
      <c r="B1594"/>
      <c r="C1594"/>
      <c r="D1594"/>
      <c r="E1594"/>
      <c r="F1594"/>
      <c r="G1594"/>
    </row>
    <row r="1595" spans="1:7">
      <c r="A1595"/>
      <c r="B1595"/>
      <c r="C1595"/>
      <c r="D1595"/>
      <c r="E1595"/>
      <c r="F1595"/>
      <c r="G1595"/>
    </row>
    <row r="1596" spans="1:7">
      <c r="A1596"/>
      <c r="B1596"/>
      <c r="C1596"/>
      <c r="D1596"/>
      <c r="E1596"/>
      <c r="F1596"/>
      <c r="G1596"/>
    </row>
    <row r="1597" spans="1:7">
      <c r="A1597"/>
      <c r="B1597"/>
      <c r="C1597"/>
      <c r="D1597"/>
      <c r="E1597"/>
      <c r="F1597"/>
      <c r="G1597"/>
    </row>
    <row r="1598" spans="1:7">
      <c r="A1598"/>
      <c r="B1598"/>
      <c r="C1598"/>
      <c r="D1598"/>
      <c r="E1598"/>
      <c r="F1598"/>
      <c r="G1598"/>
    </row>
    <row r="1599" spans="1:7">
      <c r="A1599"/>
      <c r="B1599"/>
      <c r="C1599"/>
      <c r="D1599"/>
      <c r="E1599"/>
      <c r="F1599"/>
      <c r="G1599"/>
    </row>
    <row r="1600" spans="1:7">
      <c r="A1600"/>
      <c r="B1600"/>
      <c r="C1600"/>
      <c r="D1600"/>
      <c r="E1600"/>
      <c r="F1600"/>
      <c r="G1600"/>
    </row>
    <row r="1601" spans="1:7">
      <c r="A1601"/>
      <c r="B1601"/>
      <c r="C1601"/>
      <c r="D1601"/>
      <c r="E1601"/>
      <c r="F1601"/>
      <c r="G1601"/>
    </row>
    <row r="1602" spans="1:7">
      <c r="A1602"/>
      <c r="B1602"/>
      <c r="C1602"/>
      <c r="D1602"/>
      <c r="E1602"/>
      <c r="F1602"/>
      <c r="G1602"/>
    </row>
    <row r="1603" spans="1:7">
      <c r="A1603"/>
      <c r="B1603"/>
      <c r="C1603"/>
      <c r="D1603"/>
      <c r="E1603"/>
      <c r="F1603"/>
      <c r="G1603"/>
    </row>
    <row r="1604" spans="1:7">
      <c r="A1604"/>
      <c r="B1604"/>
      <c r="C1604"/>
      <c r="D1604"/>
      <c r="E1604"/>
      <c r="F1604"/>
      <c r="G1604"/>
    </row>
    <row r="1605" spans="1:7">
      <c r="A1605"/>
      <c r="B1605"/>
      <c r="C1605"/>
      <c r="D1605"/>
      <c r="E1605"/>
      <c r="F1605"/>
      <c r="G1605"/>
    </row>
    <row r="1606" spans="1:7">
      <c r="A1606"/>
      <c r="B1606"/>
      <c r="C1606"/>
      <c r="D1606"/>
      <c r="E1606"/>
      <c r="F1606"/>
      <c r="G1606"/>
    </row>
    <row r="1607" spans="1:7">
      <c r="A1607"/>
      <c r="B1607"/>
      <c r="C1607"/>
      <c r="D1607"/>
      <c r="E1607"/>
      <c r="F1607"/>
      <c r="G1607"/>
    </row>
    <row r="1608" spans="1:7">
      <c r="A1608"/>
      <c r="B1608"/>
      <c r="C1608"/>
      <c r="D1608"/>
      <c r="E1608"/>
      <c r="F1608"/>
      <c r="G1608"/>
    </row>
    <row r="1609" spans="1:7">
      <c r="A1609"/>
      <c r="B1609"/>
      <c r="C1609"/>
      <c r="D1609"/>
      <c r="E1609"/>
      <c r="F1609"/>
      <c r="G1609"/>
    </row>
    <row r="1610" spans="1:7">
      <c r="A1610"/>
      <c r="B1610"/>
      <c r="C1610"/>
      <c r="D1610"/>
      <c r="E1610"/>
      <c r="F1610"/>
      <c r="G1610"/>
    </row>
    <row r="1611" spans="1:7">
      <c r="A1611"/>
      <c r="B1611"/>
      <c r="C1611"/>
      <c r="D1611"/>
      <c r="E1611"/>
      <c r="F1611"/>
      <c r="G1611"/>
    </row>
    <row r="1612" spans="1:7">
      <c r="A1612"/>
      <c r="B1612"/>
      <c r="C1612"/>
      <c r="D1612"/>
      <c r="E1612"/>
      <c r="F1612"/>
      <c r="G1612"/>
    </row>
    <row r="1613" spans="1:7">
      <c r="A1613"/>
      <c r="B1613"/>
      <c r="C1613"/>
      <c r="D1613"/>
      <c r="E1613"/>
      <c r="F1613"/>
      <c r="G1613"/>
    </row>
    <row r="1614" spans="1:7">
      <c r="A1614"/>
      <c r="B1614"/>
      <c r="C1614"/>
      <c r="D1614"/>
      <c r="E1614"/>
      <c r="F1614"/>
      <c r="G1614"/>
    </row>
    <row r="1615" spans="1:7">
      <c r="A1615"/>
      <c r="B1615"/>
      <c r="C1615"/>
      <c r="D1615"/>
      <c r="E1615"/>
      <c r="F1615"/>
      <c r="G1615"/>
    </row>
    <row r="1616" spans="1:7">
      <c r="A1616"/>
      <c r="B1616"/>
      <c r="C1616"/>
      <c r="D1616"/>
      <c r="E1616"/>
      <c r="F1616"/>
      <c r="G1616"/>
    </row>
    <row r="1617" spans="1:7">
      <c r="A1617"/>
      <c r="B1617"/>
      <c r="C1617"/>
      <c r="D1617"/>
      <c r="E1617"/>
      <c r="F1617"/>
      <c r="G1617"/>
    </row>
    <row r="1618" spans="1:7">
      <c r="A1618"/>
      <c r="B1618"/>
      <c r="C1618"/>
      <c r="D1618"/>
      <c r="E1618"/>
      <c r="F1618"/>
      <c r="G1618"/>
    </row>
    <row r="1619" spans="1:7">
      <c r="A1619"/>
      <c r="B1619"/>
      <c r="C1619"/>
      <c r="D1619"/>
      <c r="E1619"/>
      <c r="F1619"/>
      <c r="G1619"/>
    </row>
    <row r="1620" spans="1:7">
      <c r="A1620"/>
      <c r="B1620"/>
      <c r="C1620"/>
      <c r="D1620"/>
      <c r="E1620"/>
      <c r="F1620"/>
      <c r="G1620"/>
    </row>
    <row r="1621" spans="1:7">
      <c r="A1621"/>
      <c r="B1621"/>
      <c r="C1621"/>
      <c r="D1621"/>
      <c r="E1621"/>
      <c r="F1621"/>
      <c r="G1621"/>
    </row>
    <row r="1622" spans="1:7">
      <c r="A1622"/>
      <c r="B1622"/>
      <c r="C1622"/>
      <c r="D1622"/>
      <c r="E1622"/>
      <c r="F1622"/>
      <c r="G1622"/>
    </row>
    <row r="1623" spans="1:7">
      <c r="A1623"/>
      <c r="B1623"/>
      <c r="C1623"/>
      <c r="D1623"/>
      <c r="E1623"/>
      <c r="F1623"/>
      <c r="G1623"/>
    </row>
    <row r="1624" spans="1:7">
      <c r="A1624"/>
      <c r="B1624"/>
      <c r="C1624"/>
      <c r="D1624"/>
      <c r="E1624"/>
      <c r="F1624"/>
      <c r="G1624"/>
    </row>
    <row r="1625" spans="1:7">
      <c r="A1625"/>
      <c r="B1625"/>
      <c r="C1625"/>
      <c r="D1625"/>
      <c r="E1625"/>
      <c r="F1625"/>
      <c r="G1625"/>
    </row>
    <row r="1626" spans="1:7">
      <c r="A1626"/>
      <c r="B1626"/>
      <c r="C1626"/>
      <c r="D1626"/>
      <c r="E1626"/>
      <c r="F1626"/>
      <c r="G1626"/>
    </row>
    <row r="1627" spans="1:7">
      <c r="A1627"/>
      <c r="B1627"/>
      <c r="C1627"/>
      <c r="D1627"/>
      <c r="E1627"/>
      <c r="F1627"/>
      <c r="G1627"/>
    </row>
    <row r="1628" spans="1:7">
      <c r="A1628"/>
      <c r="B1628"/>
      <c r="C1628"/>
      <c r="D1628"/>
      <c r="E1628"/>
      <c r="F1628"/>
      <c r="G1628"/>
    </row>
    <row r="1629" spans="1:7">
      <c r="A1629"/>
      <c r="B1629"/>
      <c r="C1629"/>
      <c r="D1629"/>
      <c r="E1629"/>
      <c r="F1629"/>
      <c r="G1629"/>
    </row>
    <row r="1630" spans="1:7">
      <c r="A1630"/>
      <c r="B1630"/>
      <c r="C1630"/>
      <c r="D1630"/>
      <c r="E1630"/>
      <c r="F1630"/>
      <c r="G1630"/>
    </row>
    <row r="1631" spans="1:7">
      <c r="A1631"/>
      <c r="B1631"/>
      <c r="C1631"/>
      <c r="D1631"/>
      <c r="E1631"/>
      <c r="F1631"/>
      <c r="G1631"/>
    </row>
    <row r="1632" spans="1:7">
      <c r="A1632"/>
      <c r="B1632"/>
      <c r="C1632"/>
      <c r="D1632"/>
      <c r="E1632"/>
      <c r="F1632"/>
      <c r="G1632"/>
    </row>
    <row r="1633" spans="1:7">
      <c r="A1633"/>
      <c r="B1633"/>
      <c r="C1633"/>
      <c r="D1633"/>
      <c r="E1633"/>
      <c r="F1633"/>
      <c r="G1633"/>
    </row>
    <row r="1634" spans="1:7">
      <c r="A1634"/>
      <c r="B1634"/>
      <c r="C1634"/>
      <c r="D1634"/>
      <c r="E1634"/>
      <c r="F1634"/>
      <c r="G1634"/>
    </row>
    <row r="1635" spans="1:7">
      <c r="A1635"/>
      <c r="B1635"/>
      <c r="C1635"/>
      <c r="D1635"/>
      <c r="E1635"/>
      <c r="F1635"/>
      <c r="G1635"/>
    </row>
    <row r="1636" spans="1:7">
      <c r="A1636"/>
      <c r="B1636"/>
      <c r="C1636"/>
      <c r="D1636"/>
      <c r="E1636"/>
      <c r="F1636"/>
      <c r="G1636"/>
    </row>
    <row r="1637" spans="1:7">
      <c r="A1637"/>
      <c r="B1637"/>
      <c r="C1637"/>
      <c r="D1637"/>
      <c r="E1637"/>
      <c r="F1637"/>
      <c r="G1637"/>
    </row>
    <row r="1638" spans="1:7">
      <c r="A1638"/>
      <c r="B1638"/>
      <c r="C1638"/>
      <c r="D1638"/>
      <c r="E1638"/>
      <c r="F1638"/>
      <c r="G1638"/>
    </row>
    <row r="1639" spans="1:7">
      <c r="A1639"/>
      <c r="B1639"/>
      <c r="C1639"/>
      <c r="D1639"/>
      <c r="E1639"/>
      <c r="F1639"/>
      <c r="G1639"/>
    </row>
    <row r="1640" spans="1:7">
      <c r="A1640"/>
      <c r="B1640"/>
      <c r="C1640"/>
      <c r="D1640"/>
      <c r="E1640"/>
      <c r="F1640"/>
      <c r="G1640"/>
    </row>
    <row r="1641" spans="1:7">
      <c r="A1641"/>
      <c r="B1641"/>
      <c r="C1641"/>
      <c r="D1641"/>
      <c r="E1641"/>
      <c r="F1641"/>
      <c r="G1641"/>
    </row>
    <row r="1642" spans="1:7">
      <c r="A1642"/>
      <c r="B1642"/>
      <c r="C1642"/>
      <c r="D1642"/>
      <c r="E1642"/>
      <c r="F1642"/>
      <c r="G1642"/>
    </row>
    <row r="1643" spans="1:7">
      <c r="A1643"/>
      <c r="B1643"/>
      <c r="C1643"/>
      <c r="D1643"/>
      <c r="E1643"/>
      <c r="F1643"/>
      <c r="G1643"/>
    </row>
    <row r="1644" spans="1:7">
      <c r="A1644"/>
      <c r="B1644"/>
      <c r="C1644"/>
      <c r="D1644"/>
      <c r="E1644"/>
      <c r="F1644"/>
      <c r="G1644"/>
    </row>
    <row r="1645" spans="1:7">
      <c r="A1645"/>
      <c r="B1645"/>
      <c r="C1645"/>
      <c r="D1645"/>
      <c r="E1645"/>
      <c r="F1645"/>
      <c r="G1645"/>
    </row>
    <row r="1646" spans="1:7">
      <c r="A1646"/>
      <c r="B1646"/>
      <c r="C1646"/>
      <c r="D1646"/>
      <c r="E1646"/>
      <c r="F1646"/>
      <c r="G1646"/>
    </row>
    <row r="1647" spans="1:7">
      <c r="A1647"/>
      <c r="B1647"/>
      <c r="C1647"/>
      <c r="D1647"/>
      <c r="E1647"/>
      <c r="F1647"/>
      <c r="G1647"/>
    </row>
    <row r="1648" spans="1:7">
      <c r="A1648"/>
      <c r="B1648"/>
      <c r="C1648"/>
      <c r="D1648"/>
      <c r="E1648"/>
      <c r="F1648"/>
      <c r="G1648"/>
    </row>
    <row r="1649" spans="1:7">
      <c r="A1649"/>
      <c r="B1649"/>
      <c r="C1649"/>
      <c r="D1649"/>
      <c r="E1649"/>
      <c r="F1649"/>
      <c r="G1649"/>
    </row>
    <row r="1650" spans="1:7">
      <c r="A1650"/>
      <c r="B1650"/>
      <c r="C1650"/>
      <c r="D1650"/>
      <c r="E1650"/>
      <c r="F1650"/>
      <c r="G1650"/>
    </row>
    <row r="1651" spans="1:7">
      <c r="A1651"/>
      <c r="B1651"/>
      <c r="C1651"/>
      <c r="D1651"/>
      <c r="E1651"/>
      <c r="F1651"/>
      <c r="G1651"/>
    </row>
    <row r="1652" spans="1:7">
      <c r="A1652"/>
      <c r="B1652"/>
      <c r="C1652"/>
      <c r="D1652"/>
      <c r="E1652"/>
      <c r="F1652"/>
      <c r="G1652"/>
    </row>
    <row r="1653" spans="1:7">
      <c r="A1653"/>
      <c r="B1653"/>
      <c r="C1653"/>
      <c r="D1653"/>
      <c r="E1653"/>
      <c r="F1653"/>
      <c r="G1653"/>
    </row>
    <row r="1654" spans="1:7">
      <c r="A1654"/>
      <c r="B1654"/>
      <c r="C1654"/>
      <c r="D1654"/>
      <c r="E1654"/>
      <c r="F1654"/>
      <c r="G1654"/>
    </row>
    <row r="1655" spans="1:7">
      <c r="A1655"/>
      <c r="B1655"/>
      <c r="C1655"/>
      <c r="D1655"/>
      <c r="E1655"/>
      <c r="F1655"/>
      <c r="G1655"/>
    </row>
    <row r="1656" spans="1:7">
      <c r="A1656"/>
      <c r="B1656"/>
      <c r="C1656"/>
      <c r="D1656"/>
      <c r="E1656"/>
      <c r="F1656"/>
      <c r="G1656"/>
    </row>
    <row r="1657" spans="1:7">
      <c r="A1657"/>
      <c r="B1657"/>
      <c r="C1657"/>
      <c r="D1657"/>
      <c r="E1657"/>
      <c r="F1657"/>
      <c r="G1657"/>
    </row>
    <row r="1658" spans="1:7">
      <c r="A1658"/>
      <c r="B1658"/>
      <c r="C1658"/>
      <c r="D1658"/>
      <c r="E1658"/>
      <c r="F1658"/>
      <c r="G1658"/>
    </row>
    <row r="1659" spans="1:7">
      <c r="A1659"/>
      <c r="B1659"/>
      <c r="C1659"/>
      <c r="D1659"/>
      <c r="E1659"/>
      <c r="F1659"/>
      <c r="G1659"/>
    </row>
    <row r="1660" spans="1:7">
      <c r="A1660"/>
      <c r="B1660"/>
      <c r="C1660"/>
      <c r="D1660"/>
      <c r="E1660"/>
      <c r="F1660"/>
      <c r="G1660"/>
    </row>
    <row r="1661" spans="1:7">
      <c r="A1661"/>
      <c r="B1661"/>
      <c r="C1661"/>
      <c r="D1661"/>
      <c r="E1661"/>
      <c r="F1661"/>
      <c r="G1661"/>
    </row>
    <row r="1662" spans="1:7">
      <c r="A1662"/>
      <c r="B1662"/>
      <c r="C1662"/>
      <c r="D1662"/>
      <c r="E1662"/>
      <c r="F1662"/>
      <c r="G1662"/>
    </row>
    <row r="1663" spans="1:7">
      <c r="A1663"/>
      <c r="B1663"/>
      <c r="C1663"/>
      <c r="D1663"/>
      <c r="E1663"/>
      <c r="F1663"/>
      <c r="G1663"/>
    </row>
    <row r="1664" spans="1:7">
      <c r="A1664"/>
      <c r="B1664"/>
      <c r="C1664"/>
      <c r="D1664"/>
      <c r="E1664"/>
      <c r="F1664"/>
      <c r="G1664"/>
    </row>
    <row r="1665" spans="1:7">
      <c r="A1665"/>
      <c r="B1665"/>
      <c r="C1665"/>
      <c r="D1665"/>
      <c r="E1665"/>
      <c r="F1665"/>
      <c r="G1665"/>
    </row>
    <row r="1666" spans="1:7">
      <c r="A1666"/>
      <c r="B1666"/>
      <c r="C1666"/>
      <c r="D1666"/>
      <c r="E1666"/>
      <c r="F1666"/>
      <c r="G1666"/>
    </row>
    <row r="1667" spans="1:7">
      <c r="A1667"/>
      <c r="B1667"/>
      <c r="C1667"/>
      <c r="D1667"/>
      <c r="E1667"/>
      <c r="F1667"/>
      <c r="G1667"/>
    </row>
    <row r="1668" spans="1:7">
      <c r="A1668"/>
      <c r="B1668"/>
      <c r="C1668"/>
      <c r="D1668"/>
      <c r="E1668"/>
      <c r="F1668"/>
      <c r="G1668"/>
    </row>
    <row r="1669" spans="1:7">
      <c r="A1669"/>
      <c r="B1669"/>
      <c r="C1669"/>
      <c r="D1669"/>
      <c r="E1669"/>
      <c r="F1669"/>
      <c r="G1669"/>
    </row>
    <row r="1670" spans="1:7">
      <c r="A1670"/>
      <c r="B1670"/>
      <c r="C1670"/>
      <c r="D1670"/>
      <c r="E1670"/>
      <c r="F1670"/>
      <c r="G1670"/>
    </row>
    <row r="1671" spans="1:7">
      <c r="A1671"/>
      <c r="B1671"/>
      <c r="C1671"/>
      <c r="D1671"/>
      <c r="E1671"/>
      <c r="F1671"/>
      <c r="G1671"/>
    </row>
    <row r="1672" spans="1:7">
      <c r="A1672"/>
      <c r="B1672"/>
      <c r="C1672"/>
      <c r="D1672"/>
      <c r="E1672"/>
      <c r="F1672"/>
      <c r="G1672"/>
    </row>
    <row r="1673" spans="1:7">
      <c r="A1673"/>
      <c r="B1673"/>
      <c r="C1673"/>
      <c r="D1673"/>
      <c r="E1673"/>
      <c r="F1673"/>
      <c r="G1673"/>
    </row>
    <row r="1674" spans="1:7">
      <c r="A1674"/>
      <c r="B1674"/>
      <c r="C1674"/>
      <c r="D1674"/>
      <c r="E1674"/>
      <c r="F1674"/>
      <c r="G1674"/>
    </row>
    <row r="1675" spans="1:7">
      <c r="A1675"/>
      <c r="B1675"/>
      <c r="C1675"/>
      <c r="D1675"/>
      <c r="E1675"/>
      <c r="F1675"/>
      <c r="G1675"/>
    </row>
    <row r="1676" spans="1:7">
      <c r="A1676"/>
      <c r="B1676"/>
      <c r="C1676"/>
      <c r="D1676"/>
      <c r="E1676"/>
      <c r="F1676"/>
      <c r="G1676"/>
    </row>
    <row r="1677" spans="1:7">
      <c r="A1677"/>
      <c r="B1677"/>
      <c r="C1677"/>
      <c r="D1677"/>
      <c r="E1677"/>
      <c r="F1677"/>
      <c r="G1677"/>
    </row>
    <row r="1678" spans="1:7">
      <c r="A1678"/>
      <c r="B1678"/>
      <c r="C1678"/>
      <c r="D1678"/>
      <c r="E1678"/>
      <c r="F1678"/>
      <c r="G1678"/>
    </row>
    <row r="1679" spans="1:7">
      <c r="A1679"/>
      <c r="B1679"/>
      <c r="C1679"/>
      <c r="D1679"/>
      <c r="E1679"/>
      <c r="F1679"/>
      <c r="G1679"/>
    </row>
    <row r="1680" spans="1:7">
      <c r="A1680"/>
      <c r="B1680"/>
      <c r="C1680"/>
      <c r="D1680"/>
      <c r="E1680"/>
      <c r="F1680"/>
      <c r="G1680"/>
    </row>
    <row r="1681" spans="1:7">
      <c r="A1681"/>
      <c r="B1681"/>
      <c r="C1681"/>
      <c r="D1681"/>
      <c r="E1681"/>
      <c r="F1681"/>
      <c r="G1681"/>
    </row>
    <row r="1682" spans="1:7">
      <c r="A1682"/>
      <c r="B1682"/>
      <c r="C1682"/>
      <c r="D1682"/>
      <c r="E1682"/>
      <c r="F1682"/>
      <c r="G1682"/>
    </row>
    <row r="1683" spans="1:7">
      <c r="A1683"/>
      <c r="B1683"/>
      <c r="C1683"/>
      <c r="D1683"/>
      <c r="E1683"/>
      <c r="F1683"/>
      <c r="G1683"/>
    </row>
    <row r="1684" spans="1:7">
      <c r="A1684"/>
      <c r="B1684"/>
      <c r="C1684"/>
      <c r="D1684"/>
      <c r="E1684"/>
      <c r="F1684"/>
      <c r="G1684"/>
    </row>
    <row r="1685" spans="1:7">
      <c r="A1685"/>
      <c r="B1685"/>
      <c r="C1685"/>
      <c r="D1685"/>
      <c r="E1685"/>
      <c r="F1685"/>
      <c r="G1685"/>
    </row>
    <row r="1686" spans="1:7">
      <c r="A1686"/>
      <c r="B1686"/>
      <c r="C1686"/>
      <c r="D1686"/>
      <c r="E1686"/>
      <c r="F1686"/>
      <c r="G1686"/>
    </row>
    <row r="1687" spans="1:7">
      <c r="A1687"/>
      <c r="B1687"/>
      <c r="C1687"/>
      <c r="D1687"/>
      <c r="E1687"/>
      <c r="F1687"/>
      <c r="G1687"/>
    </row>
    <row r="1688" spans="1:7">
      <c r="A1688"/>
      <c r="B1688"/>
      <c r="C1688"/>
      <c r="D1688"/>
      <c r="E1688"/>
      <c r="F1688"/>
      <c r="G1688"/>
    </row>
    <row r="1689" spans="1:7">
      <c r="A1689"/>
      <c r="B1689"/>
      <c r="C1689"/>
      <c r="D1689"/>
      <c r="E1689"/>
      <c r="F1689"/>
      <c r="G1689"/>
    </row>
    <row r="1690" spans="1:7">
      <c r="A1690"/>
      <c r="B1690"/>
      <c r="C1690"/>
      <c r="D1690"/>
      <c r="E1690"/>
      <c r="F1690"/>
      <c r="G1690"/>
    </row>
    <row r="1691" spans="1:7">
      <c r="A1691"/>
      <c r="B1691"/>
      <c r="C1691"/>
      <c r="D1691"/>
      <c r="E1691"/>
      <c r="F1691"/>
      <c r="G1691"/>
    </row>
    <row r="1692" spans="1:7">
      <c r="A1692"/>
      <c r="B1692"/>
      <c r="C1692"/>
      <c r="D1692"/>
      <c r="E1692"/>
      <c r="F1692"/>
      <c r="G1692"/>
    </row>
    <row r="1693" spans="1:7">
      <c r="A1693"/>
      <c r="B1693"/>
      <c r="C1693"/>
      <c r="D1693"/>
      <c r="E1693"/>
      <c r="F1693"/>
      <c r="G1693"/>
    </row>
    <row r="1694" spans="1:7">
      <c r="A1694"/>
      <c r="B1694"/>
      <c r="C1694"/>
      <c r="D1694"/>
      <c r="E1694"/>
      <c r="F1694"/>
      <c r="G1694"/>
    </row>
    <row r="1695" spans="1:7">
      <c r="A1695"/>
      <c r="B1695"/>
      <c r="C1695"/>
      <c r="D1695"/>
      <c r="E1695"/>
      <c r="F1695"/>
      <c r="G1695"/>
    </row>
    <row r="1696" spans="1:7">
      <c r="A1696"/>
      <c r="B1696"/>
      <c r="C1696"/>
      <c r="D1696"/>
      <c r="E1696"/>
      <c r="F1696"/>
      <c r="G1696"/>
    </row>
    <row r="1697" spans="1:7">
      <c r="A1697"/>
      <c r="B1697"/>
      <c r="C1697"/>
      <c r="D1697"/>
      <c r="E1697"/>
      <c r="F1697"/>
      <c r="G1697"/>
    </row>
    <row r="1698" spans="1:7">
      <c r="A1698"/>
      <c r="B1698"/>
      <c r="C1698"/>
      <c r="D1698"/>
      <c r="E1698"/>
      <c r="F1698"/>
      <c r="G1698"/>
    </row>
    <row r="1699" spans="1:7">
      <c r="A1699"/>
      <c r="B1699"/>
      <c r="C1699"/>
      <c r="D1699"/>
      <c r="E1699"/>
      <c r="F1699"/>
      <c r="G1699"/>
    </row>
    <row r="1700" spans="1:7">
      <c r="A1700"/>
      <c r="B1700"/>
      <c r="C1700"/>
      <c r="D1700"/>
      <c r="E1700"/>
      <c r="F1700"/>
      <c r="G1700"/>
    </row>
    <row r="1701" spans="1:7">
      <c r="A1701"/>
      <c r="B1701"/>
      <c r="C1701"/>
      <c r="D1701"/>
      <c r="E1701"/>
      <c r="F1701"/>
      <c r="G1701"/>
    </row>
    <row r="1702" spans="1:7">
      <c r="A1702"/>
      <c r="B1702"/>
      <c r="C1702"/>
      <c r="D1702"/>
      <c r="E1702"/>
      <c r="F1702"/>
      <c r="G1702"/>
    </row>
    <row r="1703" spans="1:7">
      <c r="A1703"/>
      <c r="B1703"/>
      <c r="C1703"/>
      <c r="D1703"/>
      <c r="E1703"/>
      <c r="F1703"/>
      <c r="G1703"/>
    </row>
    <row r="1704" spans="1:7">
      <c r="A1704"/>
      <c r="B1704"/>
      <c r="C1704"/>
      <c r="D1704"/>
      <c r="E1704"/>
      <c r="F1704"/>
      <c r="G1704"/>
    </row>
    <row r="1705" spans="1:7">
      <c r="A1705"/>
      <c r="B1705"/>
      <c r="C1705"/>
      <c r="D1705"/>
      <c r="E1705"/>
      <c r="F1705"/>
      <c r="G1705"/>
    </row>
    <row r="1706" spans="1:7">
      <c r="A1706"/>
      <c r="B1706"/>
      <c r="C1706"/>
      <c r="D1706"/>
      <c r="E1706"/>
      <c r="F1706"/>
      <c r="G1706"/>
    </row>
    <row r="1707" spans="1:7">
      <c r="A1707"/>
      <c r="B1707"/>
      <c r="C1707"/>
      <c r="D1707"/>
      <c r="E1707"/>
      <c r="F1707"/>
      <c r="G1707"/>
    </row>
    <row r="1708" spans="1:7">
      <c r="A1708"/>
      <c r="B1708"/>
      <c r="C1708"/>
      <c r="D1708"/>
      <c r="E1708"/>
      <c r="F1708"/>
      <c r="G1708"/>
    </row>
    <row r="1709" spans="1:7">
      <c r="A1709"/>
      <c r="B1709"/>
      <c r="C1709"/>
      <c r="D1709"/>
      <c r="E1709"/>
      <c r="F1709"/>
      <c r="G1709"/>
    </row>
    <row r="1710" spans="1:7">
      <c r="A1710"/>
      <c r="B1710"/>
      <c r="C1710"/>
      <c r="D1710"/>
      <c r="E1710"/>
      <c r="F1710"/>
      <c r="G1710"/>
    </row>
    <row r="1711" spans="1:7">
      <c r="A1711"/>
      <c r="B1711"/>
      <c r="C1711"/>
      <c r="D1711"/>
      <c r="E1711"/>
      <c r="F1711"/>
      <c r="G1711"/>
    </row>
    <row r="1712" spans="1:7">
      <c r="A1712"/>
      <c r="B1712"/>
      <c r="C1712"/>
      <c r="D1712"/>
      <c r="E1712"/>
      <c r="F1712"/>
      <c r="G1712"/>
    </row>
    <row r="1713" spans="1:7">
      <c r="A1713"/>
      <c r="B1713"/>
      <c r="C1713"/>
      <c r="D1713"/>
      <c r="E1713"/>
      <c r="F1713"/>
      <c r="G1713"/>
    </row>
    <row r="1714" spans="1:7">
      <c r="A1714"/>
      <c r="B1714"/>
      <c r="C1714"/>
      <c r="D1714"/>
      <c r="E1714"/>
      <c r="F1714"/>
      <c r="G1714"/>
    </row>
    <row r="1715" spans="1:7">
      <c r="A1715"/>
      <c r="B1715"/>
      <c r="C1715"/>
      <c r="D1715"/>
      <c r="E1715"/>
      <c r="F1715"/>
      <c r="G1715"/>
    </row>
    <row r="1716" spans="1:7">
      <c r="A1716"/>
      <c r="B1716"/>
      <c r="C1716"/>
      <c r="D1716"/>
      <c r="E1716"/>
      <c r="F1716"/>
      <c r="G1716"/>
    </row>
    <row r="1717" spans="1:7">
      <c r="A1717"/>
      <c r="B1717"/>
      <c r="C1717"/>
      <c r="D1717"/>
      <c r="E1717"/>
      <c r="F1717"/>
      <c r="G1717"/>
    </row>
    <row r="1718" spans="1:7">
      <c r="A1718"/>
      <c r="B1718"/>
      <c r="C1718"/>
      <c r="D1718"/>
      <c r="E1718"/>
      <c r="F1718"/>
      <c r="G1718"/>
    </row>
    <row r="1719" spans="1:7">
      <c r="A1719"/>
      <c r="B1719"/>
      <c r="C1719"/>
      <c r="D1719"/>
      <c r="E1719"/>
      <c r="F1719"/>
      <c r="G1719"/>
    </row>
    <row r="1720" spans="1:7">
      <c r="A1720"/>
      <c r="B1720"/>
      <c r="C1720"/>
      <c r="D1720"/>
      <c r="E1720"/>
      <c r="F1720"/>
      <c r="G1720"/>
    </row>
    <row r="1721" spans="1:7">
      <c r="A1721"/>
      <c r="B1721"/>
      <c r="C1721"/>
      <c r="D1721"/>
      <c r="E1721"/>
      <c r="F1721"/>
      <c r="G1721"/>
    </row>
    <row r="1722" spans="1:7">
      <c r="A1722"/>
      <c r="B1722"/>
      <c r="C1722"/>
      <c r="D1722"/>
      <c r="E1722"/>
      <c r="F1722"/>
      <c r="G1722"/>
    </row>
    <row r="1723" spans="1:7">
      <c r="A1723"/>
      <c r="B1723"/>
      <c r="C1723"/>
      <c r="D1723"/>
      <c r="E1723"/>
      <c r="F1723"/>
      <c r="G1723"/>
    </row>
    <row r="1724" spans="1:7">
      <c r="A1724"/>
      <c r="B1724"/>
      <c r="C1724"/>
      <c r="D1724"/>
      <c r="E1724"/>
      <c r="F1724"/>
      <c r="G1724"/>
    </row>
    <row r="1725" spans="1:7">
      <c r="A1725"/>
      <c r="B1725"/>
      <c r="C1725"/>
      <c r="D1725"/>
      <c r="E1725"/>
      <c r="F1725"/>
      <c r="G1725"/>
    </row>
    <row r="1726" spans="1:7">
      <c r="A1726"/>
      <c r="B1726"/>
      <c r="C1726"/>
      <c r="D1726"/>
      <c r="E1726"/>
      <c r="F1726"/>
      <c r="G1726"/>
    </row>
    <row r="1727" spans="1:7">
      <c r="A1727"/>
      <c r="B1727"/>
      <c r="C1727"/>
      <c r="D1727"/>
      <c r="E1727"/>
      <c r="F1727"/>
      <c r="G1727"/>
    </row>
    <row r="1728" spans="1:7">
      <c r="A1728"/>
      <c r="B1728"/>
      <c r="C1728"/>
      <c r="D1728"/>
      <c r="E1728"/>
      <c r="F1728"/>
      <c r="G1728"/>
    </row>
    <row r="1729" spans="1:7">
      <c r="A1729"/>
      <c r="B1729"/>
      <c r="C1729"/>
      <c r="D1729"/>
      <c r="E1729"/>
      <c r="F1729"/>
      <c r="G1729"/>
    </row>
    <row r="1730" spans="1:7">
      <c r="A1730"/>
      <c r="B1730"/>
      <c r="C1730"/>
      <c r="D1730"/>
      <c r="E1730"/>
      <c r="F1730"/>
      <c r="G1730"/>
    </row>
    <row r="1731" spans="1:7">
      <c r="A1731"/>
      <c r="B1731"/>
      <c r="C1731"/>
      <c r="D1731"/>
      <c r="E1731"/>
      <c r="F1731"/>
      <c r="G1731"/>
    </row>
    <row r="1732" spans="1:7">
      <c r="A1732"/>
      <c r="B1732"/>
      <c r="C1732"/>
      <c r="D1732"/>
      <c r="E1732"/>
      <c r="F1732"/>
      <c r="G1732"/>
    </row>
    <row r="1733" spans="1:7">
      <c r="A1733"/>
      <c r="B1733"/>
      <c r="C1733"/>
      <c r="D1733"/>
      <c r="E1733"/>
      <c r="F1733"/>
      <c r="G1733"/>
    </row>
    <row r="1734" spans="1:7">
      <c r="A1734"/>
      <c r="B1734"/>
      <c r="C1734"/>
      <c r="D1734"/>
      <c r="E1734"/>
      <c r="F1734"/>
      <c r="G1734"/>
    </row>
    <row r="1735" spans="1:7">
      <c r="A1735"/>
      <c r="B1735"/>
      <c r="C1735"/>
      <c r="D1735"/>
      <c r="E1735"/>
      <c r="F1735"/>
      <c r="G1735"/>
    </row>
    <row r="1736" spans="1:7">
      <c r="A1736"/>
      <c r="B1736"/>
      <c r="C1736"/>
      <c r="D1736"/>
      <c r="E1736"/>
      <c r="F1736"/>
      <c r="G1736"/>
    </row>
    <row r="1737" spans="1:7">
      <c r="A1737"/>
      <c r="B1737"/>
      <c r="C1737"/>
      <c r="D1737"/>
      <c r="E1737"/>
      <c r="F1737"/>
      <c r="G1737"/>
    </row>
    <row r="1738" spans="1:7">
      <c r="A1738"/>
      <c r="B1738"/>
      <c r="C1738"/>
      <c r="D1738"/>
      <c r="E1738"/>
      <c r="F1738"/>
      <c r="G1738"/>
    </row>
    <row r="1739" spans="1:7">
      <c r="A1739"/>
      <c r="B1739"/>
      <c r="C1739"/>
      <c r="D1739"/>
      <c r="E1739"/>
      <c r="F1739"/>
      <c r="G1739"/>
    </row>
    <row r="1740" spans="1:7">
      <c r="A1740"/>
      <c r="B1740"/>
      <c r="C1740"/>
      <c r="D1740"/>
      <c r="E1740"/>
      <c r="F1740"/>
      <c r="G1740"/>
    </row>
    <row r="1741" spans="1:7">
      <c r="A1741"/>
      <c r="B1741"/>
      <c r="C1741"/>
      <c r="D1741"/>
      <c r="E1741"/>
      <c r="F1741"/>
      <c r="G1741"/>
    </row>
    <row r="1742" spans="1:7">
      <c r="A1742"/>
      <c r="B1742"/>
      <c r="C1742"/>
      <c r="D1742"/>
      <c r="E1742"/>
      <c r="F1742"/>
      <c r="G1742"/>
    </row>
    <row r="1743" spans="1:7">
      <c r="A1743"/>
      <c r="B1743"/>
      <c r="C1743"/>
      <c r="D1743"/>
      <c r="E1743"/>
      <c r="F1743"/>
      <c r="G1743"/>
    </row>
    <row r="1744" spans="1:7">
      <c r="A1744"/>
      <c r="B1744"/>
      <c r="C1744"/>
      <c r="D1744"/>
      <c r="E1744"/>
      <c r="F1744"/>
      <c r="G1744"/>
    </row>
    <row r="1745" spans="1:7">
      <c r="A1745"/>
      <c r="B1745"/>
      <c r="C1745"/>
      <c r="D1745"/>
      <c r="E1745"/>
      <c r="F1745"/>
      <c r="G1745"/>
    </row>
    <row r="1746" spans="1:7">
      <c r="A1746"/>
      <c r="B1746"/>
      <c r="C1746"/>
      <c r="D1746"/>
      <c r="E1746"/>
      <c r="F1746"/>
      <c r="G1746"/>
    </row>
    <row r="1747" spans="1:7">
      <c r="A1747"/>
      <c r="B1747"/>
      <c r="C1747"/>
      <c r="D1747"/>
      <c r="E1747"/>
      <c r="F1747"/>
      <c r="G1747"/>
    </row>
    <row r="1748" spans="1:7">
      <c r="A1748"/>
      <c r="B1748"/>
      <c r="C1748"/>
      <c r="D1748"/>
      <c r="E1748"/>
      <c r="F1748"/>
      <c r="G1748"/>
    </row>
    <row r="1749" spans="1:7">
      <c r="A1749"/>
      <c r="B1749"/>
      <c r="C1749"/>
      <c r="D1749"/>
      <c r="E1749"/>
      <c r="F1749"/>
      <c r="G1749"/>
    </row>
    <row r="1750" spans="1:7">
      <c r="A1750"/>
      <c r="B1750"/>
      <c r="C1750"/>
      <c r="D1750"/>
      <c r="E1750"/>
      <c r="F1750"/>
      <c r="G1750"/>
    </row>
    <row r="1751" spans="1:7">
      <c r="A1751"/>
      <c r="B1751"/>
      <c r="C1751"/>
      <c r="D1751"/>
      <c r="E1751"/>
      <c r="F1751"/>
      <c r="G1751"/>
    </row>
    <row r="1752" spans="1:7">
      <c r="A1752"/>
      <c r="B1752"/>
      <c r="C1752"/>
      <c r="D1752"/>
      <c r="E1752"/>
      <c r="F1752"/>
      <c r="G1752"/>
    </row>
    <row r="1753" spans="1:7">
      <c r="A1753"/>
      <c r="B1753"/>
      <c r="C1753"/>
      <c r="D1753"/>
      <c r="E1753"/>
      <c r="F1753"/>
      <c r="G1753"/>
    </row>
    <row r="1754" spans="1:7">
      <c r="A1754"/>
      <c r="B1754"/>
      <c r="C1754"/>
      <c r="D1754"/>
      <c r="E1754"/>
      <c r="F1754"/>
      <c r="G1754"/>
    </row>
    <row r="1755" spans="1:7">
      <c r="A1755"/>
      <c r="B1755"/>
      <c r="C1755"/>
      <c r="D1755"/>
      <c r="E1755"/>
      <c r="F1755"/>
      <c r="G1755"/>
    </row>
    <row r="1756" spans="1:7">
      <c r="A1756"/>
      <c r="B1756"/>
      <c r="C1756"/>
      <c r="D1756"/>
      <c r="E1756"/>
      <c r="F1756"/>
      <c r="G1756"/>
    </row>
    <row r="1757" spans="1:7">
      <c r="A1757"/>
      <c r="B1757"/>
      <c r="C1757"/>
      <c r="D1757"/>
      <c r="E1757"/>
      <c r="F1757"/>
      <c r="G1757"/>
    </row>
    <row r="1758" spans="1:7">
      <c r="A1758"/>
      <c r="B1758"/>
      <c r="C1758"/>
      <c r="D1758"/>
      <c r="E1758"/>
      <c r="F1758"/>
      <c r="G1758"/>
    </row>
    <row r="1759" spans="1:7">
      <c r="A1759"/>
      <c r="B1759"/>
      <c r="C1759"/>
      <c r="D1759"/>
      <c r="E1759"/>
      <c r="F1759"/>
      <c r="G1759"/>
    </row>
    <row r="1760" spans="1:7">
      <c r="A1760"/>
      <c r="B1760"/>
      <c r="C1760"/>
      <c r="D1760"/>
      <c r="E1760"/>
      <c r="F1760"/>
      <c r="G1760"/>
    </row>
    <row r="1761" spans="1:7">
      <c r="A1761"/>
      <c r="B1761"/>
      <c r="C1761"/>
      <c r="D1761"/>
      <c r="E1761"/>
      <c r="F1761"/>
      <c r="G1761"/>
    </row>
    <row r="1762" spans="1:7">
      <c r="A1762"/>
      <c r="B1762"/>
      <c r="C1762"/>
      <c r="D1762"/>
      <c r="E1762"/>
      <c r="F1762"/>
      <c r="G1762"/>
    </row>
    <row r="1763" spans="1:7">
      <c r="A1763"/>
      <c r="B1763"/>
      <c r="C1763"/>
      <c r="D1763"/>
      <c r="E1763"/>
      <c r="F1763"/>
      <c r="G1763"/>
    </row>
    <row r="1764" spans="1:7">
      <c r="A1764"/>
      <c r="B1764"/>
      <c r="C1764"/>
      <c r="D1764"/>
      <c r="E1764"/>
      <c r="F1764"/>
      <c r="G1764"/>
    </row>
    <row r="1765" spans="1:7">
      <c r="A1765"/>
      <c r="B1765"/>
      <c r="C1765"/>
      <c r="D1765"/>
      <c r="E1765"/>
      <c r="F1765"/>
      <c r="G1765"/>
    </row>
    <row r="1766" spans="1:7">
      <c r="A1766"/>
      <c r="B1766"/>
      <c r="C1766"/>
      <c r="D1766"/>
      <c r="E1766"/>
      <c r="F1766"/>
      <c r="G1766"/>
    </row>
    <row r="1767" spans="1:7">
      <c r="A1767"/>
      <c r="B1767"/>
      <c r="C1767"/>
      <c r="D1767"/>
      <c r="E1767"/>
      <c r="F1767"/>
      <c r="G1767"/>
    </row>
    <row r="1768" spans="1:7">
      <c r="A1768"/>
      <c r="B1768"/>
      <c r="C1768"/>
      <c r="D1768"/>
      <c r="E1768"/>
      <c r="F1768"/>
      <c r="G1768"/>
    </row>
    <row r="1769" spans="1:7">
      <c r="A1769"/>
      <c r="B1769"/>
      <c r="C1769"/>
      <c r="D1769"/>
      <c r="E1769"/>
      <c r="F1769"/>
      <c r="G1769"/>
    </row>
    <row r="1770" spans="1:7">
      <c r="A1770"/>
      <c r="B1770"/>
      <c r="C1770"/>
      <c r="D1770"/>
      <c r="E1770"/>
      <c r="F1770"/>
      <c r="G1770"/>
    </row>
    <row r="1771" spans="1:7">
      <c r="A1771"/>
      <c r="B1771"/>
      <c r="C1771"/>
      <c r="D1771"/>
      <c r="E1771"/>
      <c r="F1771"/>
      <c r="G1771"/>
    </row>
    <row r="1772" spans="1:7">
      <c r="A1772"/>
      <c r="B1772"/>
      <c r="C1772"/>
      <c r="D1772"/>
      <c r="E1772"/>
      <c r="F1772"/>
      <c r="G1772"/>
    </row>
    <row r="1773" spans="1:7">
      <c r="A1773"/>
      <c r="B1773"/>
      <c r="C1773"/>
      <c r="D1773"/>
      <c r="E1773"/>
      <c r="F1773"/>
      <c r="G1773"/>
    </row>
    <row r="1774" spans="1:7">
      <c r="A1774"/>
      <c r="B1774"/>
      <c r="C1774"/>
      <c r="D1774"/>
      <c r="E1774"/>
      <c r="F1774"/>
      <c r="G1774"/>
    </row>
    <row r="1775" spans="1:7">
      <c r="A1775"/>
      <c r="B1775"/>
      <c r="C1775"/>
      <c r="D1775"/>
      <c r="E1775"/>
      <c r="F1775"/>
      <c r="G1775"/>
    </row>
    <row r="1776" spans="1:7">
      <c r="A1776"/>
      <c r="B1776"/>
      <c r="C1776"/>
      <c r="D1776"/>
      <c r="E1776"/>
      <c r="F1776"/>
      <c r="G1776"/>
    </row>
    <row r="1777" spans="1:7">
      <c r="A1777"/>
      <c r="B1777"/>
      <c r="C1777"/>
      <c r="D1777"/>
      <c r="E1777"/>
      <c r="F1777"/>
      <c r="G1777"/>
    </row>
    <row r="1778" spans="1:7">
      <c r="A1778"/>
      <c r="B1778"/>
      <c r="C1778"/>
      <c r="D1778"/>
      <c r="E1778"/>
      <c r="F1778"/>
      <c r="G1778"/>
    </row>
    <row r="1779" spans="1:7">
      <c r="A1779"/>
      <c r="B1779"/>
      <c r="C1779"/>
      <c r="D1779"/>
      <c r="E1779"/>
      <c r="F1779"/>
      <c r="G1779"/>
    </row>
    <row r="1780" spans="1:7">
      <c r="A1780"/>
      <c r="B1780"/>
      <c r="C1780"/>
      <c r="D1780"/>
      <c r="E1780"/>
      <c r="F1780"/>
      <c r="G1780"/>
    </row>
    <row r="1781" spans="1:7">
      <c r="A1781"/>
      <c r="B1781"/>
      <c r="C1781"/>
      <c r="D1781"/>
      <c r="E1781"/>
      <c r="F1781"/>
      <c r="G1781"/>
    </row>
    <row r="1782" spans="1:7">
      <c r="A1782"/>
      <c r="B1782"/>
      <c r="C1782"/>
      <c r="D1782"/>
      <c r="E1782"/>
      <c r="F1782"/>
      <c r="G1782"/>
    </row>
    <row r="1783" spans="1:7">
      <c r="A1783"/>
      <c r="B1783"/>
      <c r="C1783"/>
      <c r="D1783"/>
      <c r="E1783"/>
      <c r="F1783"/>
      <c r="G1783"/>
    </row>
    <row r="1784" spans="1:7">
      <c r="A1784"/>
      <c r="B1784"/>
      <c r="C1784"/>
      <c r="D1784"/>
      <c r="E1784"/>
      <c r="F1784"/>
      <c r="G1784"/>
    </row>
    <row r="1785" spans="1:7">
      <c r="A1785"/>
      <c r="B1785"/>
      <c r="C1785"/>
      <c r="D1785"/>
      <c r="E1785"/>
      <c r="F1785"/>
      <c r="G1785"/>
    </row>
    <row r="1786" spans="1:7">
      <c r="A1786"/>
      <c r="B1786"/>
      <c r="C1786"/>
      <c r="D1786"/>
      <c r="E1786"/>
      <c r="F1786"/>
      <c r="G1786"/>
    </row>
    <row r="1787" spans="1:7">
      <c r="A1787"/>
      <c r="B1787"/>
      <c r="C1787"/>
      <c r="D1787"/>
      <c r="E1787"/>
      <c r="F1787"/>
      <c r="G1787"/>
    </row>
    <row r="1788" spans="1:7">
      <c r="A1788"/>
      <c r="B1788"/>
      <c r="C1788"/>
      <c r="D1788"/>
      <c r="E1788"/>
      <c r="F1788"/>
      <c r="G1788"/>
    </row>
    <row r="1789" spans="1:7">
      <c r="A1789"/>
      <c r="B1789"/>
      <c r="C1789"/>
      <c r="D1789"/>
      <c r="E1789"/>
      <c r="F1789"/>
      <c r="G1789"/>
    </row>
    <row r="1790" spans="1:7">
      <c r="A1790"/>
      <c r="B1790"/>
      <c r="C1790"/>
      <c r="D1790"/>
      <c r="E1790"/>
      <c r="F1790"/>
      <c r="G1790"/>
    </row>
    <row r="1791" spans="1:7">
      <c r="A1791"/>
      <c r="B1791"/>
      <c r="C1791"/>
      <c r="D1791"/>
      <c r="E1791"/>
      <c r="F1791"/>
      <c r="G1791"/>
    </row>
    <row r="1792" spans="1:7">
      <c r="A1792"/>
      <c r="B1792"/>
      <c r="C1792"/>
      <c r="D1792"/>
      <c r="E1792"/>
      <c r="F1792"/>
      <c r="G1792"/>
    </row>
    <row r="1793" spans="1:7">
      <c r="A1793"/>
      <c r="B1793"/>
      <c r="C1793"/>
      <c r="D1793"/>
      <c r="E1793"/>
      <c r="F1793"/>
      <c r="G1793"/>
    </row>
    <row r="1794" spans="1:7">
      <c r="A1794"/>
      <c r="B1794"/>
      <c r="C1794"/>
      <c r="D1794"/>
      <c r="E1794"/>
      <c r="F1794"/>
      <c r="G1794"/>
    </row>
    <row r="1795" spans="1:7">
      <c r="A1795"/>
      <c r="B1795"/>
      <c r="C1795"/>
      <c r="D1795"/>
      <c r="E1795"/>
      <c r="F1795"/>
      <c r="G1795"/>
    </row>
    <row r="1796" spans="1:7">
      <c r="A1796"/>
      <c r="B1796"/>
      <c r="C1796"/>
      <c r="D1796"/>
      <c r="E1796"/>
      <c r="F1796"/>
      <c r="G1796"/>
    </row>
    <row r="1797" spans="1:7">
      <c r="A1797"/>
      <c r="B1797"/>
      <c r="C1797"/>
      <c r="D1797"/>
      <c r="E1797"/>
      <c r="F1797"/>
      <c r="G1797"/>
    </row>
    <row r="1798" spans="1:7">
      <c r="A1798"/>
      <c r="B1798"/>
      <c r="C1798"/>
      <c r="D1798"/>
      <c r="E1798"/>
      <c r="F1798"/>
      <c r="G1798"/>
    </row>
    <row r="1799" spans="1:7">
      <c r="A1799"/>
      <c r="B1799"/>
      <c r="C1799"/>
      <c r="D1799"/>
      <c r="E1799"/>
      <c r="F1799"/>
      <c r="G1799"/>
    </row>
    <row r="1800" spans="1:7">
      <c r="A1800"/>
      <c r="B1800"/>
      <c r="C1800"/>
      <c r="D1800"/>
      <c r="E1800"/>
      <c r="F1800"/>
      <c r="G1800"/>
    </row>
    <row r="1801" spans="1:7">
      <c r="A1801"/>
      <c r="B1801"/>
      <c r="C1801"/>
      <c r="D1801"/>
      <c r="E1801"/>
      <c r="F1801"/>
      <c r="G1801"/>
    </row>
    <row r="1802" spans="1:7">
      <c r="A1802"/>
      <c r="B1802"/>
      <c r="C1802"/>
      <c r="D1802"/>
      <c r="E1802"/>
      <c r="F1802"/>
      <c r="G1802"/>
    </row>
    <row r="1803" spans="1:7">
      <c r="A1803"/>
      <c r="B1803"/>
      <c r="C1803"/>
      <c r="D1803"/>
      <c r="E1803"/>
      <c r="F1803"/>
      <c r="G1803"/>
    </row>
    <row r="1804" spans="1:7">
      <c r="A1804"/>
      <c r="B1804"/>
      <c r="C1804"/>
      <c r="D1804"/>
      <c r="E1804"/>
      <c r="F1804"/>
      <c r="G1804"/>
    </row>
    <row r="1805" spans="1:7">
      <c r="A1805"/>
      <c r="B1805"/>
      <c r="C1805"/>
      <c r="D1805"/>
      <c r="E1805"/>
      <c r="F1805"/>
      <c r="G1805"/>
    </row>
    <row r="1806" spans="1:7">
      <c r="A1806"/>
      <c r="B1806"/>
      <c r="C1806"/>
      <c r="D1806"/>
      <c r="E1806"/>
      <c r="F1806"/>
      <c r="G1806"/>
    </row>
    <row r="1807" spans="1:7">
      <c r="A1807"/>
      <c r="B1807"/>
      <c r="C1807"/>
      <c r="D1807"/>
      <c r="E1807"/>
      <c r="F1807"/>
      <c r="G1807"/>
    </row>
    <row r="1808" spans="1:7">
      <c r="A1808"/>
      <c r="B1808"/>
      <c r="C1808"/>
      <c r="D1808"/>
      <c r="E1808"/>
      <c r="F1808"/>
      <c r="G1808"/>
    </row>
    <row r="1809" spans="1:7">
      <c r="A1809"/>
      <c r="B1809"/>
      <c r="C1809"/>
      <c r="D1809"/>
      <c r="E1809"/>
      <c r="F1809"/>
      <c r="G1809"/>
    </row>
    <row r="1810" spans="1:7">
      <c r="A1810"/>
      <c r="B1810"/>
      <c r="C1810"/>
      <c r="D1810"/>
      <c r="E1810"/>
      <c r="F1810"/>
      <c r="G1810"/>
    </row>
    <row r="1811" spans="1:7">
      <c r="A1811"/>
      <c r="B1811"/>
      <c r="C1811"/>
      <c r="D1811"/>
      <c r="E1811"/>
      <c r="F1811"/>
      <c r="G1811"/>
    </row>
    <row r="1812" spans="1:7">
      <c r="A1812"/>
      <c r="B1812"/>
      <c r="C1812"/>
      <c r="D1812"/>
      <c r="E1812"/>
      <c r="F1812"/>
      <c r="G1812"/>
    </row>
    <row r="1813" spans="1:7">
      <c r="A1813"/>
      <c r="B1813"/>
      <c r="C1813"/>
      <c r="D1813"/>
      <c r="E1813"/>
      <c r="F1813"/>
      <c r="G1813"/>
    </row>
    <row r="1814" spans="1:7">
      <c r="A1814"/>
      <c r="B1814"/>
      <c r="C1814"/>
      <c r="D1814"/>
      <c r="E1814"/>
      <c r="F1814"/>
      <c r="G1814"/>
    </row>
    <row r="1815" spans="1:7">
      <c r="A1815"/>
      <c r="B1815"/>
      <c r="C1815"/>
      <c r="D1815"/>
      <c r="E1815"/>
      <c r="F1815"/>
      <c r="G1815"/>
    </row>
    <row r="1816" spans="1:7">
      <c r="A1816"/>
      <c r="B1816"/>
      <c r="C1816"/>
      <c r="D1816"/>
      <c r="E1816"/>
      <c r="F1816"/>
      <c r="G1816"/>
    </row>
    <row r="1817" spans="1:7">
      <c r="A1817"/>
      <c r="B1817"/>
      <c r="C1817"/>
      <c r="D1817"/>
      <c r="E1817"/>
      <c r="F1817"/>
      <c r="G1817"/>
    </row>
    <row r="1818" spans="1:7">
      <c r="A1818"/>
      <c r="B1818"/>
      <c r="C1818"/>
      <c r="D1818"/>
      <c r="E1818"/>
      <c r="F1818"/>
      <c r="G1818"/>
    </row>
    <row r="1819" spans="1:7">
      <c r="A1819"/>
      <c r="B1819"/>
      <c r="C1819"/>
      <c r="D1819"/>
      <c r="E1819"/>
      <c r="F1819"/>
      <c r="G1819"/>
    </row>
    <row r="1820" spans="1:7">
      <c r="A1820"/>
      <c r="B1820"/>
      <c r="C1820"/>
      <c r="D1820"/>
      <c r="E1820"/>
      <c r="F1820"/>
      <c r="G1820"/>
    </row>
    <row r="1821" spans="1:7">
      <c r="A1821"/>
      <c r="B1821"/>
      <c r="C1821"/>
      <c r="D1821"/>
      <c r="E1821"/>
      <c r="F1821"/>
      <c r="G1821"/>
    </row>
    <row r="1822" spans="1:7">
      <c r="A1822"/>
      <c r="B1822"/>
      <c r="C1822"/>
      <c r="D1822"/>
      <c r="E1822"/>
      <c r="F1822"/>
      <c r="G1822"/>
    </row>
    <row r="1823" spans="1:7">
      <c r="A1823"/>
      <c r="B1823"/>
      <c r="C1823"/>
      <c r="D1823"/>
      <c r="E1823"/>
      <c r="F1823"/>
      <c r="G1823"/>
    </row>
    <row r="1824" spans="1:7">
      <c r="A1824"/>
      <c r="B1824"/>
      <c r="C1824"/>
      <c r="D1824"/>
      <c r="E1824"/>
      <c r="F1824"/>
      <c r="G1824"/>
    </row>
    <row r="1825" spans="1:7">
      <c r="A1825"/>
      <c r="B1825"/>
      <c r="C1825"/>
      <c r="D1825"/>
      <c r="E1825"/>
      <c r="F1825"/>
      <c r="G1825"/>
    </row>
    <row r="1826" spans="1:7">
      <c r="A1826"/>
      <c r="B1826"/>
      <c r="C1826"/>
      <c r="D1826"/>
      <c r="E1826"/>
      <c r="F1826"/>
      <c r="G1826"/>
    </row>
    <row r="1827" spans="1:7">
      <c r="A1827"/>
      <c r="B1827"/>
      <c r="C1827"/>
      <c r="D1827"/>
      <c r="E1827"/>
      <c r="F1827"/>
      <c r="G1827"/>
    </row>
    <row r="1828" spans="1:7">
      <c r="A1828"/>
      <c r="B1828"/>
      <c r="C1828"/>
      <c r="D1828"/>
      <c r="E1828"/>
      <c r="F1828"/>
      <c r="G1828"/>
    </row>
    <row r="1829" spans="1:7">
      <c r="A1829"/>
      <c r="B1829"/>
      <c r="C1829"/>
      <c r="D1829"/>
      <c r="E1829"/>
      <c r="F1829"/>
      <c r="G1829"/>
    </row>
    <row r="1830" spans="1:7">
      <c r="A1830"/>
      <c r="B1830"/>
      <c r="C1830"/>
      <c r="D1830"/>
      <c r="E1830"/>
      <c r="F1830"/>
      <c r="G1830"/>
    </row>
    <row r="1831" spans="1:7">
      <c r="A1831"/>
      <c r="B1831"/>
      <c r="C1831"/>
      <c r="D1831"/>
      <c r="E1831"/>
      <c r="F1831"/>
      <c r="G1831"/>
    </row>
    <row r="1832" spans="1:7">
      <c r="A1832"/>
      <c r="B1832"/>
      <c r="C1832"/>
      <c r="D1832"/>
      <c r="E1832"/>
      <c r="F1832"/>
      <c r="G1832"/>
    </row>
    <row r="1833" spans="1:7">
      <c r="A1833"/>
      <c r="B1833"/>
      <c r="C1833"/>
      <c r="D1833"/>
      <c r="E1833"/>
      <c r="F1833"/>
      <c r="G1833"/>
    </row>
    <row r="1834" spans="1:7">
      <c r="A1834"/>
      <c r="B1834"/>
      <c r="C1834"/>
      <c r="D1834"/>
      <c r="E1834"/>
      <c r="F1834"/>
      <c r="G1834"/>
    </row>
    <row r="1835" spans="1:7">
      <c r="A1835"/>
      <c r="B1835"/>
      <c r="C1835"/>
      <c r="D1835"/>
      <c r="E1835"/>
      <c r="F1835"/>
      <c r="G1835"/>
    </row>
    <row r="1836" spans="1:7">
      <c r="A1836"/>
      <c r="B1836"/>
      <c r="C1836"/>
      <c r="D1836"/>
      <c r="E1836"/>
      <c r="F1836"/>
      <c r="G1836"/>
    </row>
    <row r="1837" spans="1:7">
      <c r="A1837"/>
      <c r="B1837"/>
      <c r="C1837"/>
      <c r="D1837"/>
      <c r="E1837"/>
      <c r="F1837"/>
      <c r="G1837"/>
    </row>
    <row r="1838" spans="1:7">
      <c r="A1838"/>
      <c r="B1838"/>
      <c r="C1838"/>
      <c r="D1838"/>
      <c r="E1838"/>
      <c r="F1838"/>
      <c r="G1838"/>
    </row>
    <row r="1839" spans="1:7">
      <c r="A1839"/>
      <c r="B1839"/>
      <c r="C1839"/>
      <c r="D1839"/>
      <c r="E1839"/>
      <c r="F1839"/>
      <c r="G1839"/>
    </row>
    <row r="1840" spans="1:7">
      <c r="A1840"/>
      <c r="B1840"/>
      <c r="C1840"/>
      <c r="D1840"/>
      <c r="E1840"/>
      <c r="F1840"/>
      <c r="G1840"/>
    </row>
    <row r="1841" spans="1:7">
      <c r="A1841"/>
      <c r="B1841"/>
      <c r="C1841"/>
      <c r="D1841"/>
      <c r="E1841"/>
      <c r="F1841"/>
      <c r="G1841"/>
    </row>
    <row r="1842" spans="1:7">
      <c r="A1842"/>
      <c r="B1842"/>
      <c r="C1842"/>
      <c r="D1842"/>
      <c r="E1842"/>
      <c r="F1842"/>
      <c r="G1842"/>
    </row>
    <row r="1843" spans="1:7">
      <c r="A1843"/>
      <c r="B1843"/>
      <c r="C1843"/>
      <c r="D1843"/>
      <c r="E1843"/>
      <c r="F1843"/>
      <c r="G1843"/>
    </row>
    <row r="1844" spans="1:7">
      <c r="A1844"/>
      <c r="B1844"/>
      <c r="C1844"/>
      <c r="D1844"/>
      <c r="E1844"/>
      <c r="F1844"/>
      <c r="G1844"/>
    </row>
    <row r="1845" spans="1:7">
      <c r="A1845"/>
      <c r="B1845"/>
      <c r="C1845"/>
      <c r="D1845"/>
      <c r="E1845"/>
      <c r="F1845"/>
      <c r="G1845"/>
    </row>
    <row r="1846" spans="1:7">
      <c r="A1846"/>
      <c r="B1846"/>
      <c r="C1846"/>
      <c r="D1846"/>
      <c r="E1846"/>
      <c r="F1846"/>
      <c r="G1846"/>
    </row>
    <row r="1847" spans="1:7">
      <c r="A1847"/>
      <c r="B1847"/>
      <c r="C1847"/>
      <c r="D1847"/>
      <c r="E1847"/>
      <c r="F1847"/>
      <c r="G1847"/>
    </row>
    <row r="1848" spans="1:7">
      <c r="A1848"/>
      <c r="B1848"/>
      <c r="C1848"/>
      <c r="D1848"/>
      <c r="E1848"/>
      <c r="F1848"/>
      <c r="G1848"/>
    </row>
    <row r="1849" spans="1:7">
      <c r="A1849"/>
      <c r="B1849"/>
      <c r="C1849"/>
      <c r="D1849"/>
      <c r="E1849"/>
      <c r="F1849"/>
      <c r="G1849"/>
    </row>
    <row r="1850" spans="1:7">
      <c r="A1850"/>
      <c r="B1850"/>
      <c r="C1850"/>
      <c r="D1850"/>
      <c r="E1850"/>
      <c r="F1850"/>
      <c r="G1850"/>
    </row>
    <row r="1851" spans="1:7">
      <c r="A1851"/>
      <c r="B1851"/>
      <c r="C1851"/>
      <c r="D1851"/>
      <c r="E1851"/>
      <c r="F1851"/>
    </row>
    <row r="1852" spans="1:7">
      <c r="A1852"/>
      <c r="B1852"/>
      <c r="C1852"/>
      <c r="D1852"/>
      <c r="E1852"/>
      <c r="F1852"/>
    </row>
    <row r="1853" spans="1:7">
      <c r="A1853"/>
      <c r="B1853"/>
      <c r="C1853"/>
      <c r="D1853"/>
      <c r="E1853"/>
      <c r="F1853"/>
    </row>
    <row r="1854" spans="1:7">
      <c r="A1854"/>
      <c r="B1854"/>
      <c r="C1854"/>
      <c r="D1854"/>
      <c r="E1854"/>
      <c r="F1854"/>
    </row>
    <row r="1855" spans="1:7">
      <c r="A1855"/>
      <c r="B1855"/>
      <c r="C1855"/>
      <c r="D1855"/>
      <c r="E1855"/>
      <c r="F1855"/>
    </row>
    <row r="1856" spans="1:7">
      <c r="A1856"/>
      <c r="B1856"/>
      <c r="C1856"/>
      <c r="D1856"/>
      <c r="E1856"/>
      <c r="F1856"/>
    </row>
    <row r="1857" spans="1:6">
      <c r="A1857"/>
      <c r="B1857"/>
      <c r="C1857"/>
      <c r="D1857"/>
      <c r="E1857"/>
      <c r="F1857"/>
    </row>
    <row r="1858" spans="1:6">
      <c r="A1858"/>
      <c r="B1858"/>
      <c r="C1858"/>
      <c r="D1858"/>
      <c r="E1858"/>
      <c r="F1858"/>
    </row>
    <row r="1859" spans="1:6">
      <c r="A1859"/>
      <c r="B1859"/>
      <c r="C1859"/>
      <c r="D1859"/>
      <c r="E1859"/>
      <c r="F1859"/>
    </row>
    <row r="1860" spans="1:6">
      <c r="A1860"/>
      <c r="B1860"/>
      <c r="C1860"/>
      <c r="D1860"/>
      <c r="E1860"/>
      <c r="F1860"/>
    </row>
    <row r="1861" spans="1:6">
      <c r="A1861"/>
      <c r="B1861"/>
      <c r="C1861"/>
      <c r="D1861"/>
      <c r="E1861"/>
      <c r="F1861"/>
    </row>
    <row r="1862" spans="1:6">
      <c r="A1862"/>
      <c r="B1862"/>
      <c r="C1862"/>
      <c r="D1862"/>
      <c r="E1862"/>
      <c r="F1862"/>
    </row>
    <row r="1863" spans="1:6">
      <c r="A1863"/>
      <c r="B1863"/>
      <c r="C1863"/>
      <c r="D1863"/>
      <c r="E1863"/>
      <c r="F1863"/>
    </row>
    <row r="1864" spans="1:6">
      <c r="A1864"/>
      <c r="B1864"/>
      <c r="C1864"/>
      <c r="D1864"/>
      <c r="E1864"/>
      <c r="F1864"/>
    </row>
    <row r="1865" spans="1:6">
      <c r="A1865"/>
      <c r="B1865"/>
      <c r="C1865"/>
      <c r="D1865"/>
      <c r="E1865"/>
      <c r="F1865"/>
    </row>
    <row r="1866" spans="1:6">
      <c r="A1866"/>
      <c r="B1866"/>
      <c r="C1866"/>
      <c r="D1866"/>
      <c r="E1866"/>
      <c r="F1866"/>
    </row>
    <row r="1867" spans="1:6">
      <c r="A1867"/>
      <c r="B1867"/>
      <c r="C1867"/>
      <c r="D1867"/>
      <c r="E1867"/>
      <c r="F1867"/>
    </row>
    <row r="1868" spans="1:6">
      <c r="A1868"/>
      <c r="B1868"/>
      <c r="C1868"/>
      <c r="D1868"/>
      <c r="E1868"/>
      <c r="F1868"/>
    </row>
    <row r="1869" spans="1:6">
      <c r="A1869"/>
      <c r="B1869"/>
      <c r="C1869"/>
      <c r="D1869"/>
      <c r="E1869"/>
      <c r="F1869"/>
    </row>
    <row r="1870" spans="1:6">
      <c r="A1870"/>
      <c r="B1870"/>
      <c r="C1870"/>
      <c r="D1870"/>
      <c r="E1870"/>
      <c r="F1870"/>
    </row>
    <row r="1871" spans="1:6">
      <c r="A1871"/>
      <c r="B1871"/>
      <c r="C1871"/>
      <c r="D1871"/>
      <c r="E1871"/>
      <c r="F1871"/>
    </row>
    <row r="1872" spans="1:6">
      <c r="A1872"/>
      <c r="B1872"/>
      <c r="C1872"/>
      <c r="D1872"/>
      <c r="E1872"/>
      <c r="F1872"/>
    </row>
    <row r="1873" spans="1:6">
      <c r="A1873"/>
      <c r="B1873"/>
      <c r="C1873"/>
      <c r="D1873"/>
      <c r="E1873"/>
      <c r="F1873"/>
    </row>
    <row r="1874" spans="1:6">
      <c r="A1874"/>
      <c r="B1874"/>
      <c r="C1874"/>
      <c r="D1874"/>
      <c r="E1874"/>
      <c r="F1874"/>
    </row>
    <row r="1875" spans="1:6">
      <c r="A1875"/>
      <c r="B1875"/>
      <c r="C1875"/>
      <c r="D1875"/>
      <c r="E1875"/>
      <c r="F1875"/>
    </row>
    <row r="1876" spans="1:6">
      <c r="A1876"/>
      <c r="B1876"/>
      <c r="C1876"/>
      <c r="D1876"/>
      <c r="E1876"/>
      <c r="F1876"/>
    </row>
    <row r="1877" spans="1:6">
      <c r="A1877"/>
      <c r="B1877"/>
      <c r="C1877"/>
      <c r="D1877"/>
      <c r="E1877"/>
      <c r="F1877"/>
    </row>
    <row r="1878" spans="1:6">
      <c r="A1878"/>
      <c r="B1878"/>
      <c r="C1878"/>
      <c r="D1878"/>
      <c r="E1878"/>
      <c r="F1878"/>
    </row>
    <row r="1879" spans="1:6">
      <c r="A1879"/>
      <c r="B1879"/>
      <c r="C1879"/>
      <c r="D1879"/>
      <c r="E1879"/>
      <c r="F1879"/>
    </row>
    <row r="1880" spans="1:6">
      <c r="A1880"/>
      <c r="B1880"/>
      <c r="C1880"/>
      <c r="D1880"/>
      <c r="E1880"/>
      <c r="F1880"/>
    </row>
    <row r="1881" spans="1:6">
      <c r="A1881"/>
      <c r="B1881"/>
      <c r="C1881"/>
      <c r="D1881"/>
      <c r="E1881"/>
      <c r="F1881"/>
    </row>
    <row r="1882" spans="1:6">
      <c r="A1882"/>
      <c r="B1882"/>
      <c r="C1882"/>
      <c r="D1882"/>
      <c r="E1882"/>
      <c r="F1882"/>
    </row>
    <row r="1883" spans="1:6">
      <c r="A1883"/>
      <c r="B1883"/>
      <c r="C1883"/>
      <c r="D1883"/>
      <c r="E1883"/>
      <c r="F1883"/>
    </row>
    <row r="1884" spans="1:6">
      <c r="A1884"/>
      <c r="B1884"/>
      <c r="C1884"/>
      <c r="D1884"/>
      <c r="E1884"/>
      <c r="F1884"/>
    </row>
    <row r="1885" spans="1:6">
      <c r="A1885"/>
      <c r="B1885"/>
      <c r="C1885"/>
      <c r="D1885"/>
      <c r="E1885"/>
      <c r="F1885"/>
    </row>
    <row r="1886" spans="1:6">
      <c r="A1886"/>
      <c r="B1886"/>
      <c r="C1886"/>
      <c r="D1886"/>
      <c r="E1886"/>
      <c r="F1886"/>
    </row>
    <row r="1887" spans="1:6">
      <c r="A1887"/>
      <c r="B1887"/>
      <c r="C1887"/>
      <c r="D1887"/>
      <c r="E1887"/>
      <c r="F1887"/>
    </row>
    <row r="1888" spans="1:6">
      <c r="A1888"/>
      <c r="B1888"/>
      <c r="C1888"/>
      <c r="D1888"/>
      <c r="E1888"/>
      <c r="F1888"/>
    </row>
    <row r="1889" spans="1:6">
      <c r="A1889"/>
      <c r="B1889"/>
      <c r="C1889"/>
      <c r="D1889"/>
      <c r="E1889"/>
      <c r="F1889"/>
    </row>
    <row r="1890" spans="1:6">
      <c r="A1890"/>
      <c r="B1890"/>
      <c r="C1890"/>
      <c r="D1890"/>
      <c r="E1890"/>
      <c r="F1890"/>
    </row>
    <row r="1891" spans="1:6">
      <c r="A1891"/>
      <c r="B1891"/>
      <c r="C1891"/>
      <c r="D1891"/>
      <c r="E1891"/>
      <c r="F1891"/>
    </row>
    <row r="1892" spans="1:6">
      <c r="A1892"/>
      <c r="B1892"/>
      <c r="C1892"/>
      <c r="D1892"/>
      <c r="E1892"/>
      <c r="F1892"/>
    </row>
    <row r="1893" spans="1:6">
      <c r="A1893"/>
      <c r="B1893"/>
      <c r="C1893"/>
      <c r="D1893"/>
      <c r="E1893"/>
      <c r="F1893"/>
    </row>
    <row r="1894" spans="1:6">
      <c r="A1894"/>
      <c r="B1894"/>
      <c r="C1894"/>
      <c r="D1894"/>
      <c r="E1894"/>
      <c r="F1894"/>
    </row>
    <row r="1895" spans="1:6">
      <c r="A1895"/>
      <c r="B1895"/>
      <c r="C1895"/>
      <c r="D1895"/>
      <c r="E1895"/>
      <c r="F1895"/>
    </row>
    <row r="1896" spans="1:6">
      <c r="A1896"/>
      <c r="B1896"/>
      <c r="C1896"/>
      <c r="D1896"/>
      <c r="E1896"/>
      <c r="F1896"/>
    </row>
    <row r="1897" spans="1:6">
      <c r="A1897"/>
      <c r="B1897"/>
      <c r="C1897"/>
      <c r="D1897"/>
      <c r="E1897"/>
      <c r="F1897"/>
    </row>
    <row r="1898" spans="1:6">
      <c r="A1898"/>
      <c r="B1898"/>
      <c r="C1898"/>
      <c r="D1898"/>
      <c r="E1898"/>
      <c r="F1898"/>
    </row>
    <row r="1899" spans="1:6">
      <c r="A1899"/>
      <c r="B1899"/>
      <c r="C1899"/>
      <c r="D1899"/>
      <c r="E1899"/>
      <c r="F1899"/>
    </row>
    <row r="1900" spans="1:6">
      <c r="A1900"/>
      <c r="B1900"/>
      <c r="C1900"/>
      <c r="D1900"/>
      <c r="E1900"/>
      <c r="F1900"/>
    </row>
    <row r="1901" spans="1:6">
      <c r="A1901"/>
      <c r="B1901"/>
      <c r="C1901"/>
      <c r="D1901"/>
      <c r="E1901"/>
      <c r="F1901"/>
    </row>
    <row r="1902" spans="1:6">
      <c r="A1902"/>
      <c r="B1902"/>
      <c r="C1902"/>
      <c r="D1902"/>
      <c r="E1902"/>
      <c r="F1902"/>
    </row>
    <row r="1903" spans="1:6">
      <c r="A1903"/>
      <c r="B1903"/>
      <c r="C1903"/>
      <c r="D1903"/>
      <c r="E1903"/>
      <c r="F1903"/>
    </row>
    <row r="1904" spans="1:6">
      <c r="A1904"/>
      <c r="B1904"/>
      <c r="C1904"/>
      <c r="D1904"/>
      <c r="E1904"/>
      <c r="F1904"/>
    </row>
    <row r="1905" spans="1:6">
      <c r="A1905"/>
      <c r="B1905"/>
      <c r="C1905"/>
      <c r="D1905"/>
      <c r="E1905"/>
      <c r="F1905"/>
    </row>
    <row r="1906" spans="1:6">
      <c r="A1906"/>
      <c r="B1906"/>
      <c r="C1906"/>
      <c r="D1906"/>
      <c r="E1906"/>
      <c r="F1906"/>
    </row>
    <row r="1907" spans="1:6">
      <c r="A1907"/>
      <c r="B1907"/>
      <c r="C1907"/>
      <c r="D1907"/>
      <c r="E1907"/>
      <c r="F1907"/>
    </row>
    <row r="1908" spans="1:6">
      <c r="A1908"/>
      <c r="B1908"/>
      <c r="C1908"/>
      <c r="D1908"/>
      <c r="E1908"/>
      <c r="F1908"/>
    </row>
    <row r="1909" spans="1:6">
      <c r="A1909"/>
      <c r="B1909"/>
      <c r="C1909"/>
      <c r="D1909"/>
      <c r="E1909"/>
      <c r="F1909"/>
    </row>
    <row r="1910" spans="1:6">
      <c r="A1910"/>
      <c r="B1910"/>
      <c r="C1910"/>
      <c r="D1910"/>
      <c r="E1910"/>
      <c r="F1910"/>
    </row>
    <row r="1911" spans="1:6">
      <c r="A1911"/>
      <c r="B1911"/>
      <c r="C1911"/>
      <c r="D1911"/>
      <c r="E1911"/>
      <c r="F1911"/>
    </row>
    <row r="1912" spans="1:6">
      <c r="A1912"/>
      <c r="B1912"/>
      <c r="C1912"/>
      <c r="D1912"/>
      <c r="E1912"/>
      <c r="F1912"/>
    </row>
    <row r="1913" spans="1:6">
      <c r="A1913"/>
      <c r="B1913"/>
      <c r="C1913"/>
      <c r="D1913"/>
      <c r="E1913"/>
      <c r="F1913"/>
    </row>
    <row r="1914" spans="1:6">
      <c r="A1914"/>
      <c r="B1914"/>
      <c r="C1914"/>
      <c r="D1914"/>
      <c r="E1914"/>
      <c r="F1914"/>
    </row>
    <row r="1915" spans="1:6">
      <c r="A1915"/>
      <c r="B1915"/>
      <c r="C1915"/>
      <c r="D1915"/>
      <c r="E1915"/>
      <c r="F1915"/>
    </row>
    <row r="1916" spans="1:6">
      <c r="A1916"/>
      <c r="B1916"/>
      <c r="C1916"/>
      <c r="D1916"/>
      <c r="E1916"/>
      <c r="F1916"/>
    </row>
    <row r="1917" spans="1:6">
      <c r="A1917"/>
      <c r="B1917"/>
      <c r="C1917"/>
      <c r="D1917"/>
      <c r="E1917"/>
      <c r="F1917"/>
    </row>
    <row r="1918" spans="1:6">
      <c r="A1918"/>
      <c r="B1918"/>
      <c r="C1918"/>
      <c r="D1918"/>
      <c r="E1918"/>
      <c r="F1918"/>
    </row>
    <row r="1919" spans="1:6">
      <c r="A1919"/>
      <c r="B1919"/>
      <c r="C1919"/>
      <c r="D1919"/>
      <c r="E1919"/>
      <c r="F1919"/>
    </row>
    <row r="1920" spans="1:6">
      <c r="A1920"/>
      <c r="B1920"/>
      <c r="C1920"/>
      <c r="D1920"/>
      <c r="E1920"/>
      <c r="F1920"/>
    </row>
    <row r="1921" spans="1:6">
      <c r="A1921"/>
      <c r="B1921"/>
      <c r="C1921"/>
      <c r="D1921"/>
      <c r="E1921"/>
      <c r="F1921"/>
    </row>
    <row r="1922" spans="1:6">
      <c r="A1922"/>
      <c r="B1922"/>
      <c r="C1922"/>
      <c r="D1922"/>
      <c r="E1922"/>
      <c r="F1922"/>
    </row>
    <row r="1923" spans="1:6">
      <c r="A1923"/>
      <c r="B1923"/>
      <c r="C1923"/>
      <c r="D1923"/>
      <c r="E1923"/>
      <c r="F1923"/>
    </row>
    <row r="1924" spans="1:6">
      <c r="A1924"/>
      <c r="B1924"/>
      <c r="C1924"/>
      <c r="D1924"/>
      <c r="E1924"/>
      <c r="F1924"/>
    </row>
    <row r="1925" spans="1:6">
      <c r="A1925"/>
      <c r="B1925"/>
      <c r="C1925"/>
      <c r="D1925"/>
      <c r="E1925"/>
      <c r="F1925"/>
    </row>
    <row r="1926" spans="1:6">
      <c r="A1926"/>
      <c r="B1926"/>
      <c r="C1926"/>
      <c r="D1926"/>
      <c r="E1926"/>
      <c r="F1926"/>
    </row>
    <row r="1927" spans="1:6">
      <c r="A1927"/>
      <c r="B1927"/>
      <c r="C1927"/>
      <c r="D1927"/>
      <c r="E1927"/>
      <c r="F1927"/>
    </row>
    <row r="1928" spans="1:6">
      <c r="A1928"/>
      <c r="B1928"/>
      <c r="C1928"/>
      <c r="D1928"/>
      <c r="E1928"/>
      <c r="F1928"/>
    </row>
    <row r="1929" spans="1:6">
      <c r="A1929"/>
      <c r="B1929"/>
      <c r="C1929"/>
      <c r="D1929"/>
      <c r="E1929"/>
      <c r="F1929"/>
    </row>
    <row r="1930" spans="1:6">
      <c r="A1930"/>
      <c r="B1930"/>
      <c r="C1930"/>
      <c r="D1930"/>
      <c r="E1930"/>
      <c r="F1930"/>
    </row>
    <row r="1931" spans="1:6">
      <c r="A1931"/>
      <c r="B1931"/>
      <c r="C1931"/>
      <c r="D1931"/>
      <c r="E1931"/>
      <c r="F1931"/>
    </row>
    <row r="1932" spans="1:6">
      <c r="A1932"/>
      <c r="B1932"/>
      <c r="C1932"/>
      <c r="D1932"/>
      <c r="E1932"/>
      <c r="F1932"/>
    </row>
    <row r="1933" spans="1:6">
      <c r="A1933"/>
      <c r="B1933"/>
      <c r="C1933"/>
      <c r="D1933"/>
      <c r="E1933"/>
      <c r="F1933"/>
    </row>
    <row r="1934" spans="1:6">
      <c r="A1934"/>
      <c r="B1934"/>
      <c r="C1934"/>
      <c r="D1934"/>
      <c r="E1934"/>
      <c r="F1934"/>
    </row>
    <row r="1935" spans="1:6">
      <c r="A1935"/>
      <c r="B1935"/>
      <c r="C1935"/>
      <c r="D1935"/>
      <c r="E1935"/>
      <c r="F1935"/>
    </row>
    <row r="1936" spans="1:6">
      <c r="A1936"/>
      <c r="B1936"/>
      <c r="C1936"/>
      <c r="D1936"/>
      <c r="E1936"/>
      <c r="F1936"/>
    </row>
    <row r="1937" spans="1:6">
      <c r="A1937"/>
      <c r="B1937"/>
      <c r="C1937"/>
      <c r="D1937"/>
      <c r="E1937"/>
      <c r="F1937"/>
    </row>
    <row r="1938" spans="1:6">
      <c r="A1938"/>
      <c r="B1938"/>
      <c r="C1938"/>
      <c r="D1938"/>
      <c r="E1938"/>
      <c r="F1938"/>
    </row>
    <row r="1939" spans="1:6">
      <c r="A1939"/>
      <c r="B1939"/>
      <c r="C1939"/>
      <c r="D1939"/>
      <c r="E1939"/>
      <c r="F1939"/>
    </row>
    <row r="1940" spans="1:6">
      <c r="A1940"/>
      <c r="B1940"/>
      <c r="C1940"/>
      <c r="D1940"/>
      <c r="E1940"/>
      <c r="F1940"/>
    </row>
    <row r="1941" spans="1:6">
      <c r="A1941"/>
      <c r="B1941"/>
      <c r="C1941"/>
      <c r="D1941"/>
      <c r="E1941"/>
      <c r="F1941"/>
    </row>
    <row r="1942" spans="1:6">
      <c r="A1942"/>
      <c r="B1942"/>
      <c r="C1942"/>
      <c r="D1942"/>
      <c r="E1942"/>
      <c r="F1942"/>
    </row>
    <row r="1943" spans="1:6">
      <c r="A1943"/>
      <c r="B1943"/>
      <c r="C1943"/>
      <c r="D1943"/>
      <c r="E1943"/>
      <c r="F1943"/>
    </row>
    <row r="1944" spans="1:6">
      <c r="A1944"/>
      <c r="B1944"/>
      <c r="C1944"/>
      <c r="D1944"/>
      <c r="E1944"/>
      <c r="F1944"/>
    </row>
    <row r="1945" spans="1:6">
      <c r="A1945"/>
      <c r="B1945"/>
      <c r="C1945"/>
      <c r="D1945"/>
      <c r="E1945"/>
      <c r="F1945"/>
    </row>
    <row r="1946" spans="1:6">
      <c r="A1946"/>
      <c r="B1946"/>
      <c r="C1946"/>
      <c r="D1946"/>
      <c r="E1946"/>
      <c r="F1946"/>
    </row>
    <row r="1947" spans="1:6">
      <c r="A1947"/>
      <c r="B1947"/>
      <c r="C1947"/>
      <c r="D1947"/>
      <c r="E1947"/>
      <c r="F1947"/>
    </row>
    <row r="1948" spans="1:6">
      <c r="A1948"/>
      <c r="B1948"/>
      <c r="C1948"/>
      <c r="D1948"/>
      <c r="E1948"/>
      <c r="F1948"/>
    </row>
    <row r="1949" spans="1:6">
      <c r="A1949"/>
      <c r="B1949"/>
      <c r="C1949"/>
      <c r="D1949"/>
      <c r="E1949"/>
      <c r="F1949"/>
    </row>
    <row r="1950" spans="1:6">
      <c r="A1950"/>
      <c r="B1950"/>
      <c r="C1950"/>
      <c r="D1950"/>
      <c r="E1950"/>
      <c r="F1950"/>
    </row>
    <row r="1951" spans="1:6">
      <c r="A1951"/>
      <c r="B1951"/>
      <c r="C1951"/>
      <c r="D1951"/>
      <c r="E1951"/>
      <c r="F1951"/>
    </row>
    <row r="1952" spans="1:6">
      <c r="A1952"/>
      <c r="B1952"/>
      <c r="C1952"/>
      <c r="D1952"/>
      <c r="E1952"/>
      <c r="F1952"/>
    </row>
    <row r="1953" spans="1:6">
      <c r="A1953"/>
      <c r="B1953"/>
      <c r="C1953"/>
      <c r="D1953"/>
      <c r="E1953"/>
      <c r="F1953"/>
    </row>
    <row r="1954" spans="1:6">
      <c r="A1954"/>
      <c r="B1954"/>
      <c r="C1954"/>
      <c r="D1954"/>
      <c r="E1954"/>
      <c r="F1954"/>
    </row>
    <row r="1955" spans="1:6">
      <c r="A1955"/>
      <c r="B1955"/>
      <c r="C1955"/>
      <c r="D1955"/>
      <c r="E1955"/>
      <c r="F1955"/>
    </row>
    <row r="1956" spans="1:6">
      <c r="A1956"/>
      <c r="B1956"/>
      <c r="C1956"/>
      <c r="D1956"/>
      <c r="E1956"/>
      <c r="F1956"/>
    </row>
    <row r="1957" spans="1:6">
      <c r="A1957"/>
      <c r="B1957"/>
      <c r="C1957"/>
      <c r="D1957"/>
      <c r="E1957"/>
      <c r="F1957"/>
    </row>
    <row r="1958" spans="1:6">
      <c r="A1958"/>
      <c r="B1958"/>
      <c r="C1958"/>
      <c r="D1958"/>
      <c r="E1958"/>
      <c r="F1958"/>
    </row>
    <row r="1959" spans="1:6">
      <c r="A1959"/>
      <c r="B1959"/>
      <c r="C1959"/>
      <c r="D1959"/>
      <c r="E1959"/>
      <c r="F1959"/>
    </row>
    <row r="1960" spans="1:6">
      <c r="A1960"/>
      <c r="B1960"/>
      <c r="C1960"/>
      <c r="D1960"/>
      <c r="E1960"/>
      <c r="F1960"/>
    </row>
    <row r="1961" spans="1:6">
      <c r="A1961"/>
      <c r="B1961"/>
      <c r="C1961"/>
      <c r="D1961"/>
      <c r="E1961"/>
      <c r="F1961"/>
    </row>
    <row r="1962" spans="1:6">
      <c r="A1962"/>
      <c r="B1962"/>
      <c r="C1962"/>
      <c r="D1962"/>
      <c r="E1962"/>
      <c r="F1962"/>
    </row>
    <row r="1963" spans="1:6">
      <c r="A1963"/>
      <c r="B1963"/>
      <c r="C1963"/>
      <c r="D1963"/>
      <c r="E1963"/>
      <c r="F1963"/>
    </row>
    <row r="1964" spans="1:6">
      <c r="A1964"/>
      <c r="B1964"/>
      <c r="C1964"/>
      <c r="D1964"/>
      <c r="E1964"/>
      <c r="F1964"/>
    </row>
    <row r="1965" spans="1:6">
      <c r="A1965"/>
      <c r="B1965"/>
      <c r="C1965"/>
      <c r="D1965"/>
      <c r="E1965"/>
      <c r="F1965"/>
    </row>
    <row r="1966" spans="1:6">
      <c r="A1966"/>
      <c r="B1966"/>
      <c r="C1966"/>
      <c r="D1966"/>
      <c r="E1966"/>
      <c r="F1966"/>
    </row>
    <row r="1967" spans="1:6">
      <c r="A1967"/>
      <c r="B1967"/>
      <c r="C1967"/>
      <c r="D1967"/>
      <c r="E1967"/>
      <c r="F1967"/>
    </row>
    <row r="1968" spans="1:6">
      <c r="A1968"/>
      <c r="B1968"/>
      <c r="C1968"/>
      <c r="D1968"/>
      <c r="E1968"/>
      <c r="F1968"/>
    </row>
    <row r="1969" spans="1:6">
      <c r="A1969"/>
      <c r="B1969"/>
      <c r="C1969"/>
      <c r="D1969"/>
      <c r="E1969"/>
      <c r="F1969"/>
    </row>
    <row r="1970" spans="1:6">
      <c r="A1970"/>
      <c r="B1970"/>
      <c r="C1970"/>
      <c r="D1970"/>
      <c r="E1970"/>
      <c r="F1970"/>
    </row>
    <row r="1971" spans="1:6">
      <c r="A1971"/>
      <c r="B1971"/>
      <c r="C1971"/>
      <c r="D1971"/>
      <c r="E1971"/>
      <c r="F1971"/>
    </row>
    <row r="1972" spans="1:6">
      <c r="A1972"/>
      <c r="B1972"/>
      <c r="C1972"/>
      <c r="D1972"/>
      <c r="E1972"/>
      <c r="F1972"/>
    </row>
    <row r="1973" spans="1:6">
      <c r="A1973"/>
      <c r="B1973"/>
      <c r="C1973"/>
      <c r="D1973"/>
      <c r="E1973"/>
      <c r="F1973"/>
    </row>
    <row r="1974" spans="1:6">
      <c r="A1974"/>
      <c r="B1974"/>
      <c r="C1974"/>
      <c r="D1974"/>
      <c r="E1974"/>
      <c r="F1974"/>
    </row>
    <row r="1975" spans="1:6">
      <c r="A1975"/>
      <c r="B1975"/>
      <c r="C1975"/>
      <c r="D1975"/>
      <c r="E1975"/>
      <c r="F1975"/>
    </row>
    <row r="1976" spans="1:6">
      <c r="A1976"/>
      <c r="B1976"/>
      <c r="C1976"/>
      <c r="D1976"/>
      <c r="E1976"/>
      <c r="F1976"/>
    </row>
    <row r="1977" spans="1:6">
      <c r="A1977"/>
      <c r="B1977"/>
      <c r="C1977"/>
      <c r="D1977"/>
      <c r="E1977"/>
      <c r="F1977"/>
    </row>
    <row r="1978" spans="1:6">
      <c r="A1978"/>
      <c r="B1978"/>
      <c r="C1978"/>
      <c r="D1978"/>
      <c r="E1978"/>
      <c r="F1978"/>
    </row>
    <row r="1979" spans="1:6">
      <c r="A1979"/>
      <c r="B1979"/>
      <c r="C1979"/>
      <c r="D1979"/>
      <c r="E1979"/>
      <c r="F1979"/>
    </row>
    <row r="1980" spans="1:6">
      <c r="A1980"/>
      <c r="B1980"/>
      <c r="C1980"/>
      <c r="D1980"/>
      <c r="E1980"/>
      <c r="F1980"/>
    </row>
    <row r="1981" spans="1:6">
      <c r="A1981"/>
      <c r="B1981"/>
      <c r="C1981"/>
      <c r="D1981"/>
      <c r="E1981"/>
      <c r="F1981"/>
    </row>
    <row r="1982" spans="1:6">
      <c r="A1982"/>
      <c r="B1982"/>
      <c r="C1982"/>
      <c r="D1982"/>
      <c r="E1982"/>
      <c r="F1982"/>
    </row>
    <row r="1983" spans="1:6">
      <c r="A1983"/>
      <c r="B1983"/>
      <c r="C1983"/>
      <c r="D1983"/>
      <c r="E1983"/>
      <c r="F1983"/>
    </row>
    <row r="1984" spans="1:6">
      <c r="A1984"/>
      <c r="B1984"/>
      <c r="C1984"/>
      <c r="D1984"/>
      <c r="E1984"/>
      <c r="F1984"/>
    </row>
    <row r="1985" spans="1:6">
      <c r="A1985"/>
      <c r="B1985"/>
      <c r="C1985"/>
      <c r="D1985"/>
      <c r="E1985"/>
      <c r="F1985"/>
    </row>
    <row r="1986" spans="1:6">
      <c r="A1986"/>
      <c r="B1986"/>
      <c r="C1986"/>
      <c r="D1986"/>
      <c r="E1986"/>
      <c r="F1986"/>
    </row>
    <row r="1987" spans="1:6">
      <c r="A1987"/>
      <c r="B1987"/>
      <c r="C1987"/>
      <c r="D1987"/>
      <c r="E1987"/>
      <c r="F1987"/>
    </row>
    <row r="1988" spans="1:6">
      <c r="A1988"/>
      <c r="B1988"/>
      <c r="C1988"/>
      <c r="D1988"/>
      <c r="E1988"/>
      <c r="F1988"/>
    </row>
    <row r="1989" spans="1:6">
      <c r="A1989"/>
      <c r="B1989"/>
      <c r="C1989"/>
      <c r="D1989"/>
      <c r="E1989"/>
      <c r="F1989"/>
    </row>
    <row r="1990" spans="1:6">
      <c r="A1990"/>
      <c r="B1990"/>
      <c r="C1990"/>
      <c r="D1990"/>
      <c r="E1990"/>
      <c r="F1990"/>
    </row>
    <row r="1991" spans="1:6">
      <c r="A1991"/>
      <c r="B1991"/>
      <c r="C1991"/>
      <c r="D1991"/>
      <c r="E1991"/>
      <c r="F1991"/>
    </row>
    <row r="1992" spans="1:6">
      <c r="A1992"/>
      <c r="B1992"/>
      <c r="C1992"/>
      <c r="D1992"/>
      <c r="E1992"/>
      <c r="F1992"/>
    </row>
    <row r="1993" spans="1:6">
      <c r="A1993"/>
      <c r="B1993"/>
      <c r="C1993"/>
      <c r="D1993"/>
      <c r="E1993"/>
      <c r="F1993"/>
    </row>
    <row r="1994" spans="1:6">
      <c r="A1994"/>
      <c r="B1994"/>
      <c r="C1994"/>
      <c r="D1994"/>
      <c r="E1994"/>
      <c r="F1994"/>
    </row>
    <row r="1995" spans="1:6">
      <c r="A1995"/>
      <c r="B1995"/>
      <c r="C1995"/>
      <c r="D1995"/>
      <c r="E1995"/>
      <c r="F1995"/>
    </row>
    <row r="1996" spans="1:6">
      <c r="A1996"/>
      <c r="B1996"/>
      <c r="C1996"/>
      <c r="D1996"/>
      <c r="E1996"/>
      <c r="F1996"/>
    </row>
    <row r="1997" spans="1:6">
      <c r="A1997"/>
      <c r="B1997"/>
      <c r="C1997"/>
      <c r="D1997"/>
      <c r="E1997"/>
      <c r="F1997"/>
    </row>
    <row r="1998" spans="1:6">
      <c r="A1998"/>
      <c r="B1998"/>
      <c r="C1998"/>
      <c r="D1998"/>
      <c r="E1998"/>
      <c r="F1998"/>
    </row>
    <row r="1999" spans="1:6">
      <c r="A1999"/>
      <c r="B1999"/>
      <c r="C1999"/>
      <c r="D1999"/>
      <c r="E1999"/>
      <c r="F1999"/>
    </row>
    <row r="2000" spans="1:6">
      <c r="A2000"/>
      <c r="B2000"/>
      <c r="C2000"/>
      <c r="D2000"/>
      <c r="E2000"/>
      <c r="F2000"/>
    </row>
    <row r="2001" spans="1:6">
      <c r="A2001"/>
      <c r="B2001"/>
      <c r="C2001"/>
      <c r="D2001"/>
      <c r="E2001"/>
      <c r="F2001"/>
    </row>
    <row r="2002" spans="1:6">
      <c r="A2002"/>
      <c r="B2002"/>
      <c r="C2002"/>
      <c r="D2002"/>
      <c r="E2002"/>
      <c r="F2002"/>
    </row>
    <row r="2003" spans="1:6">
      <c r="A2003"/>
      <c r="B2003"/>
      <c r="C2003"/>
      <c r="D2003"/>
      <c r="E2003"/>
      <c r="F2003"/>
    </row>
    <row r="2004" spans="1:6">
      <c r="A2004"/>
      <c r="B2004"/>
      <c r="C2004"/>
      <c r="D2004"/>
      <c r="E2004"/>
      <c r="F2004"/>
    </row>
    <row r="2005" spans="1:6">
      <c r="A2005"/>
      <c r="B2005"/>
      <c r="C2005"/>
      <c r="D2005"/>
      <c r="E2005"/>
      <c r="F2005"/>
    </row>
    <row r="2006" spans="1:6">
      <c r="A2006"/>
      <c r="B2006"/>
      <c r="C2006"/>
      <c r="D2006"/>
      <c r="E2006"/>
      <c r="F2006"/>
    </row>
    <row r="2007" spans="1:6">
      <c r="A2007"/>
      <c r="B2007"/>
      <c r="C2007"/>
      <c r="D2007"/>
      <c r="E2007"/>
      <c r="F2007"/>
    </row>
    <row r="2008" spans="1:6">
      <c r="A2008"/>
      <c r="B2008"/>
      <c r="C2008"/>
      <c r="D2008"/>
      <c r="E2008"/>
      <c r="F2008"/>
    </row>
    <row r="2009" spans="1:6">
      <c r="A2009"/>
      <c r="B2009"/>
      <c r="C2009"/>
      <c r="D2009"/>
      <c r="E2009"/>
      <c r="F2009"/>
    </row>
    <row r="2010" spans="1:6">
      <c r="A2010"/>
      <c r="B2010"/>
      <c r="C2010"/>
      <c r="D2010"/>
      <c r="E2010"/>
      <c r="F2010"/>
    </row>
    <row r="2011" spans="1:6">
      <c r="A2011"/>
      <c r="B2011"/>
      <c r="C2011"/>
      <c r="D2011"/>
      <c r="E2011"/>
      <c r="F2011"/>
    </row>
    <row r="2012" spans="1:6">
      <c r="A2012"/>
      <c r="B2012"/>
      <c r="C2012"/>
      <c r="D2012"/>
      <c r="E2012"/>
      <c r="F2012"/>
    </row>
    <row r="2013" spans="1:6">
      <c r="A2013"/>
      <c r="B2013"/>
      <c r="C2013"/>
      <c r="D2013"/>
      <c r="E2013"/>
      <c r="F2013"/>
    </row>
    <row r="2014" spans="1:6">
      <c r="A2014"/>
      <c r="B2014"/>
      <c r="C2014"/>
      <c r="D2014"/>
      <c r="E2014"/>
      <c r="F2014"/>
    </row>
    <row r="2015" spans="1:6">
      <c r="A2015"/>
      <c r="B2015"/>
      <c r="C2015"/>
      <c r="D2015"/>
      <c r="E2015"/>
      <c r="F2015"/>
    </row>
    <row r="2016" spans="1:6">
      <c r="A2016"/>
      <c r="B2016"/>
      <c r="C2016"/>
      <c r="D2016"/>
      <c r="E2016"/>
      <c r="F2016"/>
    </row>
    <row r="2017" spans="1:6">
      <c r="A2017"/>
      <c r="B2017"/>
      <c r="C2017"/>
      <c r="D2017"/>
      <c r="E2017"/>
      <c r="F2017"/>
    </row>
    <row r="2018" spans="1:6">
      <c r="A2018"/>
      <c r="B2018"/>
      <c r="C2018"/>
      <c r="D2018"/>
      <c r="E2018"/>
      <c r="F2018"/>
    </row>
    <row r="2019" spans="1:6">
      <c r="A2019"/>
      <c r="B2019"/>
      <c r="C2019"/>
      <c r="D2019"/>
      <c r="E2019"/>
      <c r="F2019"/>
    </row>
    <row r="2020" spans="1:6">
      <c r="A2020"/>
      <c r="B2020"/>
      <c r="C2020"/>
      <c r="D2020"/>
      <c r="E2020"/>
      <c r="F2020"/>
    </row>
    <row r="2021" spans="1:6">
      <c r="A2021"/>
      <c r="B2021"/>
      <c r="C2021"/>
      <c r="D2021"/>
      <c r="E2021"/>
      <c r="F2021"/>
    </row>
    <row r="2022" spans="1:6">
      <c r="A2022"/>
      <c r="B2022"/>
      <c r="C2022"/>
      <c r="D2022"/>
      <c r="E2022"/>
      <c r="F2022"/>
    </row>
    <row r="2023" spans="1:6">
      <c r="A2023"/>
      <c r="B2023"/>
      <c r="C2023"/>
      <c r="D2023"/>
      <c r="E2023"/>
      <c r="F2023"/>
    </row>
    <row r="2024" spans="1:6">
      <c r="A2024"/>
      <c r="B2024"/>
      <c r="C2024"/>
      <c r="D2024"/>
      <c r="E2024"/>
      <c r="F2024"/>
    </row>
    <row r="2025" spans="1:6">
      <c r="A2025"/>
      <c r="B2025"/>
      <c r="C2025"/>
      <c r="D2025"/>
      <c r="E2025"/>
      <c r="F2025"/>
    </row>
    <row r="2026" spans="1:6">
      <c r="A2026"/>
      <c r="B2026"/>
      <c r="C2026"/>
      <c r="D2026"/>
      <c r="E2026"/>
      <c r="F2026"/>
    </row>
    <row r="2027" spans="1:6">
      <c r="A2027"/>
      <c r="B2027"/>
      <c r="C2027"/>
      <c r="D2027"/>
      <c r="E2027"/>
      <c r="F2027"/>
    </row>
    <row r="2028" spans="1:6">
      <c r="A2028"/>
      <c r="B2028"/>
      <c r="C2028"/>
      <c r="D2028"/>
      <c r="E2028"/>
      <c r="F2028"/>
    </row>
    <row r="2029" spans="1:6">
      <c r="A2029"/>
      <c r="B2029"/>
      <c r="C2029"/>
      <c r="D2029"/>
      <c r="E2029"/>
      <c r="F2029"/>
    </row>
    <row r="2030" spans="1:6">
      <c r="A2030"/>
      <c r="B2030"/>
      <c r="C2030"/>
      <c r="D2030"/>
      <c r="E2030"/>
      <c r="F2030"/>
    </row>
    <row r="2031" spans="1:6">
      <c r="A2031"/>
      <c r="B2031"/>
      <c r="C2031"/>
      <c r="D2031"/>
      <c r="E2031"/>
      <c r="F2031"/>
    </row>
    <row r="2032" spans="1:6">
      <c r="A2032"/>
      <c r="B2032"/>
      <c r="C2032"/>
      <c r="D2032"/>
      <c r="E2032"/>
      <c r="F2032"/>
    </row>
    <row r="2033" spans="1:6">
      <c r="A2033"/>
      <c r="B2033"/>
      <c r="C2033"/>
      <c r="D2033"/>
      <c r="E2033"/>
      <c r="F2033"/>
    </row>
    <row r="2034" spans="1:6">
      <c r="A2034"/>
      <c r="B2034"/>
      <c r="C2034"/>
      <c r="D2034"/>
      <c r="E2034"/>
      <c r="F2034"/>
    </row>
    <row r="2035" spans="1:6">
      <c r="A2035"/>
      <c r="B2035"/>
      <c r="C2035"/>
      <c r="D2035"/>
      <c r="E2035"/>
      <c r="F2035"/>
    </row>
    <row r="2036" spans="1:6">
      <c r="A2036"/>
      <c r="B2036"/>
      <c r="C2036"/>
      <c r="D2036"/>
      <c r="E2036"/>
      <c r="F2036"/>
    </row>
    <row r="2037" spans="1:6">
      <c r="A2037"/>
      <c r="B2037"/>
      <c r="C2037"/>
      <c r="D2037"/>
      <c r="E2037"/>
      <c r="F2037"/>
    </row>
    <row r="2038" spans="1:6">
      <c r="A2038"/>
      <c r="B2038"/>
      <c r="C2038"/>
      <c r="D2038"/>
      <c r="E2038"/>
      <c r="F2038"/>
    </row>
    <row r="2039" spans="1:6">
      <c r="A2039"/>
      <c r="B2039"/>
      <c r="C2039"/>
      <c r="D2039"/>
      <c r="E2039"/>
      <c r="F2039"/>
    </row>
    <row r="2040" spans="1:6">
      <c r="A2040"/>
      <c r="B2040"/>
      <c r="C2040"/>
      <c r="D2040"/>
      <c r="E2040"/>
      <c r="F2040"/>
    </row>
    <row r="2041" spans="1:6">
      <c r="A2041"/>
      <c r="B2041"/>
      <c r="C2041"/>
      <c r="D2041"/>
      <c r="E2041"/>
      <c r="F2041"/>
    </row>
    <row r="2042" spans="1:6">
      <c r="A2042"/>
      <c r="B2042"/>
      <c r="C2042"/>
      <c r="D2042"/>
      <c r="E2042"/>
      <c r="F2042"/>
    </row>
    <row r="2043" spans="1:6">
      <c r="A2043"/>
      <c r="B2043"/>
      <c r="C2043"/>
      <c r="D2043"/>
      <c r="E2043"/>
      <c r="F2043"/>
    </row>
    <row r="2044" spans="1:6">
      <c r="A2044"/>
      <c r="B2044"/>
      <c r="C2044"/>
      <c r="D2044"/>
      <c r="E2044"/>
      <c r="F2044"/>
    </row>
    <row r="2045" spans="1:6">
      <c r="A2045"/>
      <c r="B2045"/>
      <c r="C2045"/>
      <c r="D2045"/>
      <c r="E2045"/>
      <c r="F2045"/>
    </row>
    <row r="2046" spans="1:6">
      <c r="A2046"/>
      <c r="B2046"/>
      <c r="C2046"/>
      <c r="D2046"/>
      <c r="E2046"/>
      <c r="F2046"/>
    </row>
    <row r="2047" spans="1:6">
      <c r="A2047"/>
      <c r="B2047"/>
      <c r="C2047"/>
      <c r="D2047"/>
      <c r="E2047"/>
      <c r="F2047"/>
    </row>
    <row r="2048" spans="1:6">
      <c r="A2048"/>
      <c r="B2048"/>
      <c r="C2048"/>
      <c r="D2048"/>
      <c r="E2048"/>
      <c r="F2048"/>
    </row>
    <row r="2049" spans="1:6">
      <c r="A2049"/>
      <c r="B2049"/>
      <c r="C2049"/>
      <c r="D2049"/>
      <c r="E2049"/>
      <c r="F2049"/>
    </row>
    <row r="2050" spans="1:6">
      <c r="A2050"/>
      <c r="B2050"/>
      <c r="C2050"/>
      <c r="D2050"/>
      <c r="E2050"/>
      <c r="F2050"/>
    </row>
    <row r="2051" spans="1:6">
      <c r="A2051"/>
      <c r="B2051"/>
      <c r="C2051"/>
      <c r="D2051"/>
      <c r="E2051"/>
      <c r="F2051"/>
    </row>
    <row r="2052" spans="1:6">
      <c r="A2052"/>
      <c r="B2052"/>
      <c r="C2052"/>
      <c r="D2052"/>
      <c r="E2052"/>
      <c r="F2052"/>
    </row>
    <row r="2053" spans="1:6">
      <c r="A2053"/>
      <c r="B2053"/>
      <c r="C2053"/>
      <c r="D2053"/>
      <c r="E2053"/>
      <c r="F2053"/>
    </row>
    <row r="2054" spans="1:6">
      <c r="A2054"/>
      <c r="B2054"/>
      <c r="C2054"/>
      <c r="D2054"/>
      <c r="E2054"/>
      <c r="F2054"/>
    </row>
    <row r="2055" spans="1:6">
      <c r="A2055"/>
      <c r="B2055"/>
      <c r="C2055"/>
      <c r="D2055"/>
      <c r="E2055"/>
      <c r="F2055"/>
    </row>
    <row r="2056" spans="1:6">
      <c r="A2056"/>
      <c r="B2056"/>
      <c r="C2056"/>
      <c r="D2056"/>
      <c r="E2056"/>
      <c r="F2056"/>
    </row>
    <row r="2057" spans="1:6">
      <c r="A2057"/>
      <c r="B2057"/>
      <c r="C2057"/>
      <c r="D2057"/>
      <c r="E2057"/>
      <c r="F2057"/>
    </row>
    <row r="2058" spans="1:6">
      <c r="A2058"/>
      <c r="B2058"/>
      <c r="C2058"/>
      <c r="D2058"/>
      <c r="E2058"/>
      <c r="F2058"/>
    </row>
    <row r="2059" spans="1:6">
      <c r="A2059"/>
      <c r="B2059"/>
      <c r="C2059"/>
      <c r="D2059"/>
      <c r="E2059"/>
      <c r="F2059"/>
    </row>
    <row r="2060" spans="1:6">
      <c r="A2060"/>
      <c r="B2060"/>
      <c r="C2060"/>
      <c r="D2060"/>
      <c r="E2060"/>
      <c r="F2060"/>
    </row>
    <row r="2061" spans="1:6">
      <c r="A2061"/>
      <c r="B2061"/>
      <c r="C2061"/>
      <c r="D2061"/>
      <c r="E2061"/>
      <c r="F2061"/>
    </row>
    <row r="2062" spans="1:6">
      <c r="A2062"/>
      <c r="B2062"/>
      <c r="C2062"/>
      <c r="D2062"/>
      <c r="E2062"/>
      <c r="F2062"/>
    </row>
    <row r="2063" spans="1:6">
      <c r="A2063"/>
      <c r="B2063"/>
      <c r="C2063"/>
      <c r="D2063"/>
      <c r="E2063"/>
      <c r="F2063"/>
    </row>
    <row r="2064" spans="1:6">
      <c r="A2064"/>
      <c r="B2064"/>
      <c r="C2064"/>
      <c r="D2064"/>
      <c r="E2064"/>
      <c r="F2064"/>
    </row>
    <row r="2065" spans="1:6">
      <c r="A2065"/>
      <c r="B2065"/>
      <c r="C2065"/>
      <c r="D2065"/>
      <c r="E2065"/>
      <c r="F2065"/>
    </row>
    <row r="2066" spans="1:6">
      <c r="A2066"/>
      <c r="B2066"/>
      <c r="C2066"/>
      <c r="D2066"/>
      <c r="E2066"/>
      <c r="F2066"/>
    </row>
    <row r="2067" spans="1:6">
      <c r="A2067"/>
      <c r="B2067"/>
      <c r="C2067"/>
      <c r="D2067"/>
      <c r="E2067"/>
      <c r="F2067"/>
    </row>
    <row r="2068" spans="1:6">
      <c r="A2068"/>
      <c r="B2068"/>
      <c r="C2068"/>
      <c r="D2068"/>
      <c r="E2068"/>
      <c r="F2068"/>
    </row>
    <row r="2069" spans="1:6">
      <c r="A2069"/>
      <c r="B2069"/>
      <c r="C2069"/>
      <c r="D2069"/>
      <c r="E2069"/>
      <c r="F2069"/>
    </row>
    <row r="2070" spans="1:6">
      <c r="A2070"/>
      <c r="B2070"/>
      <c r="C2070"/>
      <c r="D2070"/>
      <c r="E2070"/>
      <c r="F2070"/>
    </row>
    <row r="2071" spans="1:6">
      <c r="A2071"/>
      <c r="B2071"/>
      <c r="C2071"/>
      <c r="D2071"/>
      <c r="E2071"/>
      <c r="F2071"/>
    </row>
    <row r="2072" spans="1:6">
      <c r="A2072"/>
      <c r="B2072"/>
      <c r="C2072"/>
      <c r="D2072"/>
      <c r="E2072"/>
      <c r="F2072"/>
    </row>
    <row r="2073" spans="1:6">
      <c r="A2073"/>
      <c r="B2073"/>
      <c r="C2073"/>
      <c r="D2073"/>
      <c r="E2073"/>
      <c r="F2073"/>
    </row>
    <row r="2074" spans="1:6">
      <c r="A2074"/>
      <c r="B2074"/>
      <c r="C2074"/>
      <c r="D2074"/>
      <c r="E2074"/>
      <c r="F2074"/>
    </row>
    <row r="2075" spans="1:6">
      <c r="A2075"/>
      <c r="B2075"/>
      <c r="C2075"/>
      <c r="D2075"/>
      <c r="E2075"/>
      <c r="F2075"/>
    </row>
    <row r="2076" spans="1:6">
      <c r="A2076"/>
      <c r="B2076"/>
      <c r="C2076"/>
      <c r="D2076"/>
      <c r="E2076"/>
      <c r="F2076"/>
    </row>
    <row r="2077" spans="1:6">
      <c r="A2077"/>
      <c r="B2077"/>
      <c r="C2077"/>
      <c r="D2077"/>
      <c r="E2077"/>
      <c r="F2077"/>
    </row>
    <row r="2078" spans="1:6">
      <c r="A2078"/>
      <c r="B2078"/>
      <c r="C2078"/>
      <c r="D2078"/>
      <c r="E2078"/>
      <c r="F2078"/>
    </row>
    <row r="2079" spans="1:6">
      <c r="A2079"/>
      <c r="B2079"/>
      <c r="C2079"/>
      <c r="D2079"/>
      <c r="E2079"/>
      <c r="F2079"/>
    </row>
    <row r="2080" spans="1:6">
      <c r="A2080"/>
      <c r="B2080"/>
      <c r="C2080"/>
      <c r="D2080"/>
      <c r="E2080"/>
      <c r="F2080"/>
    </row>
    <row r="2081" spans="1:6">
      <c r="A2081"/>
      <c r="B2081"/>
      <c r="C2081"/>
      <c r="D2081"/>
      <c r="E2081"/>
      <c r="F2081"/>
    </row>
    <row r="2082" spans="1:6">
      <c r="A2082"/>
      <c r="B2082"/>
      <c r="C2082"/>
      <c r="D2082"/>
      <c r="E2082"/>
      <c r="F2082"/>
    </row>
    <row r="2083" spans="1:6">
      <c r="A2083"/>
      <c r="B2083"/>
      <c r="C2083"/>
      <c r="D2083"/>
      <c r="E2083"/>
      <c r="F2083"/>
    </row>
    <row r="2084" spans="1:6">
      <c r="A2084"/>
      <c r="B2084"/>
      <c r="C2084"/>
      <c r="D2084"/>
      <c r="E2084"/>
      <c r="F2084"/>
    </row>
    <row r="2085" spans="1:6">
      <c r="A2085"/>
      <c r="B2085"/>
      <c r="C2085"/>
      <c r="D2085"/>
      <c r="E2085"/>
      <c r="F2085"/>
    </row>
    <row r="2086" spans="1:6">
      <c r="A2086"/>
      <c r="B2086"/>
      <c r="C2086"/>
      <c r="D2086"/>
      <c r="E2086"/>
      <c r="F2086"/>
    </row>
    <row r="2087" spans="1:6">
      <c r="A2087"/>
      <c r="B2087"/>
      <c r="C2087"/>
      <c r="D2087"/>
      <c r="E2087"/>
      <c r="F2087"/>
    </row>
    <row r="2088" spans="1:6">
      <c r="A2088"/>
      <c r="B2088"/>
      <c r="C2088"/>
      <c r="D2088"/>
      <c r="E2088"/>
      <c r="F2088"/>
    </row>
    <row r="2089" spans="1:6">
      <c r="A2089"/>
      <c r="B2089"/>
      <c r="C2089"/>
      <c r="D2089"/>
      <c r="E2089"/>
      <c r="F2089"/>
    </row>
    <row r="2090" spans="1:6">
      <c r="A2090"/>
      <c r="B2090"/>
      <c r="C2090"/>
      <c r="D2090"/>
      <c r="E2090"/>
      <c r="F2090"/>
    </row>
    <row r="2091" spans="1:6">
      <c r="A2091"/>
      <c r="B2091"/>
      <c r="C2091"/>
      <c r="D2091"/>
      <c r="E2091"/>
      <c r="F2091"/>
    </row>
    <row r="2092" spans="1:6">
      <c r="A2092"/>
      <c r="B2092"/>
      <c r="C2092"/>
      <c r="D2092"/>
      <c r="E2092"/>
      <c r="F2092"/>
    </row>
    <row r="2093" spans="1:6">
      <c r="A2093"/>
      <c r="B2093"/>
      <c r="C2093"/>
      <c r="D2093"/>
      <c r="E2093"/>
      <c r="F2093"/>
    </row>
    <row r="2094" spans="1:6">
      <c r="A2094"/>
      <c r="B2094"/>
      <c r="C2094"/>
      <c r="D2094"/>
      <c r="E2094"/>
      <c r="F2094"/>
    </row>
    <row r="2095" spans="1:6">
      <c r="A2095"/>
      <c r="B2095"/>
      <c r="C2095"/>
      <c r="D2095"/>
      <c r="E2095"/>
      <c r="F2095"/>
    </row>
    <row r="2096" spans="1:6">
      <c r="A2096"/>
      <c r="B2096"/>
      <c r="C2096"/>
      <c r="D2096"/>
      <c r="E2096"/>
      <c r="F2096"/>
    </row>
    <row r="2097" spans="1:6">
      <c r="A2097"/>
      <c r="B2097"/>
      <c r="C2097"/>
      <c r="D2097"/>
      <c r="E2097"/>
      <c r="F2097"/>
    </row>
    <row r="2098" spans="1:6">
      <c r="A2098"/>
      <c r="B2098"/>
      <c r="C2098"/>
      <c r="D2098"/>
      <c r="E2098"/>
      <c r="F2098"/>
    </row>
    <row r="2099" spans="1:6">
      <c r="A2099"/>
      <c r="B2099"/>
      <c r="C2099"/>
      <c r="D2099"/>
      <c r="E2099"/>
      <c r="F2099"/>
    </row>
    <row r="2100" spans="1:6">
      <c r="A2100"/>
      <c r="B2100"/>
      <c r="C2100"/>
      <c r="D2100"/>
      <c r="E2100"/>
      <c r="F2100"/>
    </row>
    <row r="2101" spans="1:6">
      <c r="A2101"/>
      <c r="B2101"/>
      <c r="C2101"/>
      <c r="D2101"/>
      <c r="E2101"/>
      <c r="F2101"/>
    </row>
    <row r="2102" spans="1:6">
      <c r="A2102"/>
      <c r="B2102"/>
      <c r="C2102"/>
      <c r="D2102"/>
      <c r="E2102"/>
      <c r="F2102"/>
    </row>
    <row r="2103" spans="1:6">
      <c r="A2103"/>
      <c r="B2103"/>
      <c r="C2103"/>
      <c r="D2103"/>
      <c r="E2103"/>
      <c r="F2103"/>
    </row>
    <row r="2104" spans="1:6">
      <c r="A2104"/>
      <c r="B2104"/>
      <c r="C2104"/>
      <c r="D2104"/>
      <c r="E2104"/>
      <c r="F2104"/>
    </row>
    <row r="2105" spans="1:6">
      <c r="A2105"/>
      <c r="B2105"/>
      <c r="C2105"/>
      <c r="D2105"/>
      <c r="E2105"/>
      <c r="F2105"/>
    </row>
    <row r="2106" spans="1:6">
      <c r="A2106"/>
      <c r="B2106"/>
      <c r="C2106"/>
      <c r="D2106"/>
      <c r="E2106"/>
      <c r="F2106"/>
    </row>
    <row r="2107" spans="1:6">
      <c r="A2107"/>
      <c r="B2107"/>
      <c r="C2107"/>
      <c r="D2107"/>
      <c r="E2107"/>
      <c r="F2107"/>
    </row>
    <row r="2108" spans="1:6">
      <c r="A2108"/>
      <c r="B2108"/>
      <c r="C2108"/>
      <c r="D2108"/>
      <c r="E2108"/>
      <c r="F2108"/>
    </row>
    <row r="2109" spans="1:6">
      <c r="A2109"/>
      <c r="B2109"/>
      <c r="C2109"/>
      <c r="D2109"/>
      <c r="E2109"/>
      <c r="F2109"/>
    </row>
    <row r="2110" spans="1:6">
      <c r="A2110"/>
      <c r="B2110"/>
      <c r="C2110"/>
      <c r="D2110"/>
      <c r="E2110"/>
      <c r="F2110"/>
    </row>
    <row r="2111" spans="1:6">
      <c r="A2111"/>
      <c r="B2111"/>
      <c r="C2111"/>
      <c r="D2111"/>
      <c r="E2111"/>
      <c r="F2111"/>
    </row>
    <row r="2112" spans="1:6">
      <c r="A2112"/>
      <c r="B2112"/>
      <c r="C2112"/>
      <c r="D2112"/>
      <c r="E2112"/>
      <c r="F2112"/>
    </row>
    <row r="2113" spans="1:6">
      <c r="A2113"/>
      <c r="B2113"/>
      <c r="C2113"/>
      <c r="D2113"/>
      <c r="E2113"/>
      <c r="F2113"/>
    </row>
    <row r="2114" spans="1:6">
      <c r="A2114"/>
      <c r="B2114"/>
      <c r="C2114"/>
      <c r="D2114"/>
      <c r="E2114"/>
      <c r="F2114"/>
    </row>
    <row r="2115" spans="1:6">
      <c r="A2115"/>
      <c r="B2115"/>
      <c r="C2115"/>
      <c r="D2115"/>
      <c r="E2115"/>
      <c r="F2115"/>
    </row>
    <row r="2116" spans="1:6">
      <c r="A2116"/>
      <c r="B2116"/>
      <c r="C2116"/>
      <c r="D2116"/>
      <c r="E2116"/>
      <c r="F2116"/>
    </row>
    <row r="2117" spans="1:6">
      <c r="A2117"/>
      <c r="B2117"/>
      <c r="C2117"/>
      <c r="D2117"/>
      <c r="E2117"/>
      <c r="F2117"/>
    </row>
    <row r="2118" spans="1:6">
      <c r="A2118"/>
      <c r="B2118"/>
      <c r="C2118"/>
      <c r="D2118"/>
      <c r="E2118"/>
      <c r="F2118"/>
    </row>
    <row r="2119" spans="1:6">
      <c r="A2119"/>
      <c r="B2119"/>
      <c r="C2119"/>
      <c r="D2119"/>
      <c r="E2119"/>
      <c r="F2119"/>
    </row>
    <row r="2120" spans="1:6">
      <c r="A2120"/>
      <c r="B2120"/>
      <c r="C2120"/>
      <c r="D2120"/>
      <c r="E2120"/>
      <c r="F2120"/>
    </row>
    <row r="2121" spans="1:6">
      <c r="A2121"/>
      <c r="B2121"/>
      <c r="C2121"/>
      <c r="D2121"/>
      <c r="E2121"/>
      <c r="F2121"/>
    </row>
    <row r="2122" spans="1:6">
      <c r="A2122"/>
      <c r="B2122"/>
      <c r="C2122"/>
      <c r="D2122"/>
      <c r="E2122"/>
      <c r="F2122"/>
    </row>
    <row r="2123" spans="1:6">
      <c r="A2123"/>
      <c r="B2123"/>
      <c r="C2123"/>
      <c r="D2123"/>
      <c r="E2123"/>
      <c r="F2123"/>
    </row>
    <row r="2124" spans="1:6">
      <c r="A2124"/>
      <c r="B2124"/>
      <c r="C2124"/>
      <c r="D2124"/>
      <c r="E2124"/>
      <c r="F2124"/>
    </row>
    <row r="2125" spans="1:6">
      <c r="A2125"/>
      <c r="B2125"/>
      <c r="C2125"/>
      <c r="D2125"/>
      <c r="E2125"/>
      <c r="F2125"/>
    </row>
    <row r="2126" spans="1:6">
      <c r="A2126"/>
      <c r="B2126"/>
      <c r="C2126"/>
      <c r="D2126"/>
      <c r="E2126"/>
      <c r="F2126"/>
    </row>
    <row r="2127" spans="1:6">
      <c r="A2127"/>
      <c r="B2127"/>
      <c r="C2127"/>
      <c r="D2127"/>
      <c r="E2127"/>
      <c r="F2127"/>
    </row>
    <row r="2128" spans="1:6">
      <c r="A2128"/>
      <c r="B2128"/>
      <c r="C2128"/>
      <c r="D2128"/>
      <c r="E2128"/>
      <c r="F2128"/>
    </row>
    <row r="2129" spans="1:6">
      <c r="A2129"/>
      <c r="B2129"/>
      <c r="C2129"/>
      <c r="D2129"/>
      <c r="E2129"/>
      <c r="F2129"/>
    </row>
    <row r="2130" spans="1:6">
      <c r="A2130"/>
      <c r="B2130"/>
      <c r="C2130"/>
      <c r="D2130"/>
      <c r="E2130"/>
      <c r="F2130"/>
    </row>
    <row r="2131" spans="1:6">
      <c r="A2131"/>
      <c r="B2131"/>
      <c r="C2131"/>
      <c r="D2131"/>
      <c r="E2131"/>
      <c r="F2131"/>
    </row>
    <row r="2132" spans="1:6">
      <c r="A2132"/>
      <c r="B2132"/>
      <c r="C2132"/>
      <c r="D2132"/>
      <c r="E2132"/>
      <c r="F2132"/>
    </row>
    <row r="2133" spans="1:6">
      <c r="A2133"/>
      <c r="B2133"/>
      <c r="C2133"/>
      <c r="D2133"/>
      <c r="E2133"/>
      <c r="F2133"/>
    </row>
    <row r="2134" spans="1:6">
      <c r="A2134"/>
      <c r="B2134"/>
      <c r="C2134"/>
      <c r="D2134"/>
      <c r="E2134"/>
      <c r="F2134"/>
    </row>
    <row r="2135" spans="1:6">
      <c r="A2135"/>
      <c r="B2135"/>
      <c r="C2135"/>
      <c r="D2135"/>
      <c r="E2135"/>
      <c r="F2135"/>
    </row>
    <row r="2136" spans="1:6">
      <c r="A2136"/>
      <c r="B2136"/>
      <c r="C2136"/>
      <c r="D2136"/>
      <c r="E2136"/>
      <c r="F2136"/>
    </row>
    <row r="2137" spans="1:6">
      <c r="A2137"/>
      <c r="B2137"/>
      <c r="C2137"/>
      <c r="D2137"/>
      <c r="E2137"/>
      <c r="F2137"/>
    </row>
    <row r="2138" spans="1:6">
      <c r="A2138"/>
      <c r="B2138"/>
      <c r="C2138"/>
      <c r="D2138"/>
      <c r="E2138"/>
      <c r="F2138"/>
    </row>
    <row r="2139" spans="1:6">
      <c r="A2139"/>
      <c r="B2139"/>
      <c r="C2139"/>
      <c r="D2139"/>
      <c r="E2139"/>
      <c r="F2139"/>
    </row>
    <row r="2140" spans="1:6">
      <c r="A2140"/>
      <c r="B2140"/>
      <c r="C2140"/>
      <c r="D2140"/>
      <c r="E2140"/>
      <c r="F2140"/>
    </row>
    <row r="2141" spans="1:6">
      <c r="A2141"/>
      <c r="B2141"/>
      <c r="C2141"/>
      <c r="D2141"/>
      <c r="E2141"/>
      <c r="F2141"/>
    </row>
    <row r="2142" spans="1:6">
      <c r="A2142"/>
      <c r="B2142"/>
      <c r="C2142"/>
      <c r="D2142"/>
      <c r="E2142"/>
      <c r="F2142"/>
    </row>
    <row r="2143" spans="1:6">
      <c r="A2143"/>
      <c r="B2143"/>
      <c r="C2143"/>
      <c r="D2143"/>
      <c r="E2143"/>
      <c r="F2143"/>
    </row>
    <row r="2144" spans="1:6">
      <c r="A2144"/>
      <c r="B2144"/>
      <c r="C2144"/>
      <c r="D2144"/>
      <c r="E2144"/>
      <c r="F2144"/>
    </row>
    <row r="2145" spans="1:6">
      <c r="A2145"/>
      <c r="B2145"/>
      <c r="C2145"/>
      <c r="D2145"/>
      <c r="E2145"/>
      <c r="F2145"/>
    </row>
    <row r="2146" spans="1:6">
      <c r="A2146"/>
      <c r="B2146"/>
      <c r="C2146"/>
      <c r="D2146"/>
      <c r="E2146"/>
      <c r="F2146"/>
    </row>
    <row r="2147" spans="1:6">
      <c r="A2147"/>
      <c r="B2147"/>
      <c r="C2147"/>
      <c r="D2147"/>
      <c r="E2147"/>
      <c r="F2147"/>
    </row>
    <row r="2148" spans="1:6">
      <c r="A2148"/>
      <c r="B2148"/>
      <c r="C2148"/>
      <c r="D2148"/>
      <c r="E2148"/>
      <c r="F2148"/>
    </row>
    <row r="2149" spans="1:6">
      <c r="A2149"/>
      <c r="B2149"/>
      <c r="C2149"/>
      <c r="D2149"/>
      <c r="E2149"/>
      <c r="F2149"/>
    </row>
    <row r="2150" spans="1:6">
      <c r="A2150"/>
      <c r="B2150"/>
      <c r="C2150"/>
      <c r="D2150"/>
      <c r="E2150"/>
      <c r="F2150"/>
    </row>
    <row r="2151" spans="1:6">
      <c r="A2151"/>
      <c r="B2151"/>
      <c r="C2151"/>
      <c r="D2151"/>
      <c r="E2151"/>
      <c r="F2151"/>
    </row>
    <row r="2152" spans="1:6">
      <c r="A2152"/>
      <c r="B2152"/>
      <c r="C2152"/>
      <c r="D2152"/>
      <c r="E2152"/>
      <c r="F2152"/>
    </row>
    <row r="2153" spans="1:6">
      <c r="A2153"/>
      <c r="B2153"/>
      <c r="C2153"/>
      <c r="D2153"/>
      <c r="E2153"/>
      <c r="F2153"/>
    </row>
    <row r="2154" spans="1:6">
      <c r="A2154"/>
      <c r="B2154"/>
      <c r="C2154"/>
      <c r="D2154"/>
      <c r="E2154"/>
      <c r="F2154"/>
    </row>
    <row r="2155" spans="1:6">
      <c r="A2155"/>
      <c r="B2155"/>
      <c r="C2155"/>
      <c r="D2155"/>
      <c r="E2155"/>
      <c r="F2155"/>
    </row>
    <row r="2156" spans="1:6">
      <c r="A2156"/>
      <c r="B2156"/>
      <c r="C2156"/>
      <c r="D2156"/>
      <c r="E2156"/>
      <c r="F2156"/>
    </row>
    <row r="2157" spans="1:6">
      <c r="A2157"/>
      <c r="B2157"/>
      <c r="C2157"/>
      <c r="D2157"/>
      <c r="E2157"/>
      <c r="F2157"/>
    </row>
    <row r="2158" spans="1:6">
      <c r="A2158"/>
      <c r="B2158"/>
      <c r="C2158"/>
      <c r="D2158"/>
      <c r="E2158"/>
      <c r="F2158"/>
    </row>
    <row r="2159" spans="1:6">
      <c r="A2159"/>
      <c r="B2159"/>
      <c r="C2159"/>
      <c r="D2159"/>
      <c r="E2159"/>
      <c r="F2159"/>
    </row>
    <row r="2160" spans="1:6">
      <c r="A2160"/>
      <c r="B2160"/>
      <c r="C2160"/>
      <c r="D2160"/>
      <c r="E2160"/>
      <c r="F2160"/>
    </row>
    <row r="2161" spans="1:6">
      <c r="A2161"/>
      <c r="B2161"/>
      <c r="C2161"/>
      <c r="D2161"/>
      <c r="E2161"/>
      <c r="F2161"/>
    </row>
    <row r="2162" spans="1:6">
      <c r="A2162"/>
      <c r="B2162"/>
      <c r="C2162"/>
      <c r="D2162"/>
      <c r="E2162"/>
      <c r="F2162"/>
    </row>
    <row r="2163" spans="1:6">
      <c r="A2163"/>
      <c r="B2163"/>
      <c r="C2163"/>
      <c r="D2163"/>
      <c r="E2163"/>
      <c r="F2163"/>
    </row>
    <row r="2164" spans="1:6">
      <c r="A2164"/>
      <c r="B2164"/>
      <c r="C2164"/>
      <c r="D2164"/>
      <c r="E2164"/>
      <c r="F2164"/>
    </row>
    <row r="2165" spans="1:6">
      <c r="A2165"/>
      <c r="B2165"/>
      <c r="C2165"/>
      <c r="D2165"/>
      <c r="E2165"/>
      <c r="F2165"/>
    </row>
    <row r="2166" spans="1:6">
      <c r="A2166"/>
      <c r="B2166"/>
      <c r="C2166"/>
      <c r="D2166"/>
      <c r="E2166"/>
      <c r="F2166"/>
    </row>
    <row r="2167" spans="1:6">
      <c r="A2167"/>
      <c r="B2167"/>
      <c r="C2167"/>
      <c r="D2167"/>
      <c r="E2167"/>
      <c r="F2167"/>
    </row>
    <row r="2168" spans="1:6">
      <c r="A2168"/>
      <c r="B2168"/>
      <c r="C2168"/>
      <c r="D2168"/>
      <c r="E2168"/>
      <c r="F2168"/>
    </row>
    <row r="2169" spans="1:6">
      <c r="A2169"/>
      <c r="B2169"/>
      <c r="C2169"/>
      <c r="D2169"/>
      <c r="E2169"/>
      <c r="F2169"/>
    </row>
    <row r="2170" spans="1:6">
      <c r="A2170"/>
      <c r="B2170"/>
      <c r="C2170"/>
      <c r="D2170"/>
      <c r="E2170"/>
      <c r="F2170"/>
    </row>
    <row r="2171" spans="1:6">
      <c r="A2171"/>
      <c r="B2171"/>
      <c r="C2171"/>
      <c r="D2171"/>
      <c r="E2171"/>
      <c r="F2171"/>
    </row>
    <row r="2172" spans="1:6">
      <c r="A2172"/>
      <c r="B2172"/>
      <c r="C2172"/>
      <c r="D2172"/>
      <c r="E2172"/>
      <c r="F2172"/>
    </row>
    <row r="2173" spans="1:6">
      <c r="A2173"/>
      <c r="B2173"/>
      <c r="C2173"/>
      <c r="D2173"/>
      <c r="E2173"/>
      <c r="F2173"/>
    </row>
    <row r="2174" spans="1:6">
      <c r="A2174"/>
      <c r="B2174"/>
      <c r="C2174"/>
      <c r="D2174"/>
      <c r="E2174"/>
      <c r="F2174"/>
    </row>
    <row r="2175" spans="1:6">
      <c r="A2175"/>
      <c r="B2175"/>
      <c r="C2175"/>
      <c r="D2175"/>
      <c r="E2175"/>
      <c r="F2175"/>
    </row>
    <row r="2176" spans="1:6">
      <c r="A2176"/>
      <c r="B2176"/>
      <c r="C2176"/>
      <c r="D2176"/>
      <c r="E2176"/>
      <c r="F2176"/>
    </row>
    <row r="2177" spans="1:6">
      <c r="A2177"/>
      <c r="B2177"/>
      <c r="C2177"/>
      <c r="D2177"/>
      <c r="E2177"/>
      <c r="F2177"/>
    </row>
    <row r="2178" spans="1:6">
      <c r="A2178"/>
      <c r="B2178"/>
      <c r="C2178"/>
      <c r="D2178"/>
      <c r="E2178"/>
      <c r="F2178"/>
    </row>
    <row r="2179" spans="1:6">
      <c r="A2179"/>
      <c r="B2179"/>
      <c r="C2179"/>
      <c r="D2179"/>
      <c r="E2179"/>
      <c r="F2179"/>
    </row>
    <row r="2180" spans="1:6">
      <c r="A2180"/>
      <c r="B2180"/>
      <c r="C2180"/>
      <c r="D2180"/>
      <c r="E2180"/>
      <c r="F2180"/>
    </row>
    <row r="2181" spans="1:6">
      <c r="A2181"/>
      <c r="B2181"/>
      <c r="C2181"/>
      <c r="D2181"/>
      <c r="E2181"/>
      <c r="F2181"/>
    </row>
    <row r="2182" spans="1:6">
      <c r="A2182"/>
      <c r="B2182"/>
      <c r="C2182"/>
      <c r="D2182"/>
      <c r="E2182"/>
      <c r="F2182"/>
    </row>
    <row r="2183" spans="1:6">
      <c r="A2183"/>
      <c r="B2183"/>
      <c r="C2183"/>
      <c r="D2183"/>
      <c r="E2183"/>
      <c r="F2183"/>
    </row>
    <row r="2184" spans="1:6">
      <c r="A2184"/>
      <c r="B2184"/>
      <c r="C2184"/>
      <c r="D2184"/>
      <c r="E2184"/>
      <c r="F2184"/>
    </row>
    <row r="2185" spans="1:6">
      <c r="A2185"/>
      <c r="B2185"/>
      <c r="C2185"/>
      <c r="D2185"/>
      <c r="E2185"/>
      <c r="F2185"/>
    </row>
    <row r="2186" spans="1:6">
      <c r="A2186"/>
      <c r="B2186"/>
      <c r="C2186"/>
      <c r="D2186"/>
      <c r="E2186"/>
      <c r="F2186"/>
    </row>
    <row r="2187" spans="1:6">
      <c r="A2187"/>
      <c r="B2187"/>
      <c r="C2187"/>
      <c r="D2187"/>
      <c r="E2187"/>
      <c r="F2187"/>
    </row>
    <row r="2188" spans="1:6">
      <c r="A2188"/>
      <c r="B2188"/>
      <c r="C2188"/>
      <c r="D2188"/>
      <c r="E2188"/>
      <c r="F2188"/>
    </row>
    <row r="2189" spans="1:6">
      <c r="A2189"/>
      <c r="B2189"/>
      <c r="C2189"/>
      <c r="D2189"/>
      <c r="E2189"/>
      <c r="F2189"/>
    </row>
    <row r="2190" spans="1:6">
      <c r="A2190"/>
      <c r="B2190"/>
      <c r="C2190"/>
      <c r="D2190"/>
      <c r="E2190"/>
      <c r="F2190"/>
    </row>
    <row r="2191" spans="1:6">
      <c r="A2191"/>
      <c r="B2191"/>
      <c r="C2191"/>
      <c r="D2191"/>
      <c r="E2191"/>
      <c r="F2191"/>
    </row>
    <row r="2192" spans="1:6">
      <c r="A2192"/>
      <c r="B2192"/>
      <c r="C2192"/>
      <c r="D2192"/>
      <c r="E2192"/>
      <c r="F2192"/>
    </row>
    <row r="2193" spans="1:6">
      <c r="A2193"/>
      <c r="B2193"/>
      <c r="C2193"/>
      <c r="D2193"/>
      <c r="E2193"/>
      <c r="F2193"/>
    </row>
    <row r="2194" spans="1:6">
      <c r="A2194"/>
      <c r="B2194"/>
      <c r="C2194"/>
      <c r="D2194"/>
      <c r="E2194"/>
      <c r="F2194"/>
    </row>
    <row r="2195" spans="1:6">
      <c r="A2195"/>
      <c r="B2195"/>
      <c r="C2195"/>
      <c r="D2195"/>
      <c r="E2195"/>
      <c r="F2195"/>
    </row>
    <row r="2196" spans="1:6">
      <c r="A2196"/>
      <c r="B2196"/>
      <c r="C2196"/>
      <c r="D2196"/>
      <c r="E2196"/>
      <c r="F2196"/>
    </row>
    <row r="2197" spans="1:6">
      <c r="A2197"/>
      <c r="B2197"/>
      <c r="C2197"/>
      <c r="D2197"/>
      <c r="E2197"/>
      <c r="F2197"/>
    </row>
    <row r="2198" spans="1:6">
      <c r="A2198"/>
      <c r="B2198"/>
      <c r="C2198"/>
      <c r="D2198"/>
      <c r="E2198"/>
      <c r="F2198"/>
    </row>
    <row r="2199" spans="1:6">
      <c r="A2199"/>
      <c r="B2199"/>
      <c r="C2199"/>
      <c r="D2199"/>
      <c r="E2199"/>
      <c r="F2199"/>
    </row>
    <row r="2200" spans="1:6">
      <c r="A2200"/>
      <c r="B2200"/>
      <c r="C2200"/>
      <c r="D2200"/>
      <c r="E2200"/>
      <c r="F2200"/>
    </row>
    <row r="2201" spans="1:6">
      <c r="A2201"/>
      <c r="B2201"/>
      <c r="C2201"/>
      <c r="D2201"/>
      <c r="E2201"/>
      <c r="F2201"/>
    </row>
    <row r="2202" spans="1:6">
      <c r="A2202"/>
      <c r="B2202"/>
      <c r="C2202"/>
      <c r="D2202"/>
      <c r="E2202"/>
      <c r="F2202"/>
    </row>
    <row r="2203" spans="1:6">
      <c r="A2203"/>
      <c r="B2203"/>
      <c r="C2203"/>
      <c r="D2203"/>
      <c r="E2203"/>
      <c r="F2203"/>
    </row>
    <row r="2204" spans="1:6">
      <c r="A2204"/>
      <c r="B2204"/>
      <c r="C2204"/>
      <c r="D2204"/>
      <c r="E2204"/>
      <c r="F2204"/>
    </row>
    <row r="2205" spans="1:6">
      <c r="A2205"/>
      <c r="B2205"/>
      <c r="C2205"/>
      <c r="D2205"/>
      <c r="E2205"/>
      <c r="F2205"/>
    </row>
    <row r="2206" spans="1:6">
      <c r="A2206"/>
      <c r="B2206"/>
      <c r="C2206"/>
      <c r="D2206"/>
      <c r="E2206"/>
      <c r="F2206"/>
    </row>
    <row r="2207" spans="1:6">
      <c r="A2207"/>
      <c r="B2207"/>
      <c r="C2207"/>
      <c r="D2207"/>
      <c r="E2207"/>
      <c r="F2207"/>
    </row>
    <row r="2208" spans="1:6">
      <c r="A2208"/>
      <c r="B2208"/>
      <c r="C2208"/>
      <c r="D2208"/>
      <c r="E2208"/>
      <c r="F2208"/>
    </row>
    <row r="2209" spans="1:6">
      <c r="A2209"/>
      <c r="B2209"/>
      <c r="C2209"/>
      <c r="D2209"/>
      <c r="E2209"/>
      <c r="F2209"/>
    </row>
    <row r="2210" spans="1:6">
      <c r="A2210"/>
      <c r="B2210"/>
      <c r="C2210"/>
      <c r="D2210"/>
      <c r="E2210"/>
      <c r="F2210"/>
    </row>
    <row r="2211" spans="1:6">
      <c r="A2211"/>
      <c r="B2211"/>
      <c r="C2211"/>
      <c r="D2211"/>
      <c r="E2211"/>
      <c r="F2211"/>
    </row>
    <row r="2212" spans="1:6">
      <c r="A2212"/>
      <c r="B2212"/>
      <c r="C2212"/>
      <c r="D2212"/>
      <c r="E2212"/>
      <c r="F2212"/>
    </row>
    <row r="2213" spans="1:6">
      <c r="A2213"/>
      <c r="B2213"/>
      <c r="C2213"/>
      <c r="D2213"/>
      <c r="E2213"/>
      <c r="F2213"/>
    </row>
    <row r="2214" spans="1:6">
      <c r="A2214"/>
      <c r="B2214"/>
      <c r="C2214"/>
      <c r="D2214"/>
      <c r="E2214"/>
      <c r="F2214"/>
    </row>
    <row r="2215" spans="1:6">
      <c r="A2215"/>
      <c r="B2215"/>
      <c r="C2215"/>
      <c r="D2215"/>
      <c r="E2215"/>
      <c r="F2215"/>
    </row>
    <row r="2216" spans="1:6">
      <c r="A2216"/>
      <c r="B2216"/>
      <c r="C2216"/>
      <c r="D2216"/>
      <c r="E2216"/>
      <c r="F2216"/>
    </row>
    <row r="2217" spans="1:6">
      <c r="A2217"/>
      <c r="B2217"/>
      <c r="C2217"/>
      <c r="D2217"/>
      <c r="E2217"/>
      <c r="F2217"/>
    </row>
    <row r="2218" spans="1:6">
      <c r="A2218"/>
      <c r="B2218"/>
      <c r="C2218"/>
      <c r="D2218"/>
      <c r="E2218"/>
      <c r="F2218"/>
    </row>
    <row r="2219" spans="1:6">
      <c r="A2219"/>
      <c r="B2219"/>
      <c r="C2219"/>
      <c r="D2219"/>
      <c r="E2219"/>
      <c r="F2219"/>
    </row>
    <row r="2220" spans="1:6">
      <c r="A2220"/>
      <c r="B2220"/>
      <c r="C2220"/>
      <c r="D2220"/>
      <c r="E2220"/>
      <c r="F2220"/>
    </row>
    <row r="2221" spans="1:6">
      <c r="A2221"/>
      <c r="B2221"/>
      <c r="C2221"/>
      <c r="D2221"/>
      <c r="E2221"/>
      <c r="F2221"/>
    </row>
    <row r="2222" spans="1:6">
      <c r="A2222"/>
      <c r="B2222"/>
      <c r="C2222"/>
      <c r="D2222"/>
      <c r="E2222"/>
      <c r="F2222"/>
    </row>
    <row r="2223" spans="1:6">
      <c r="A2223"/>
      <c r="B2223"/>
      <c r="C2223"/>
      <c r="D2223"/>
      <c r="E2223"/>
      <c r="F2223"/>
    </row>
    <row r="2224" spans="1:6">
      <c r="A2224"/>
      <c r="B2224"/>
      <c r="C2224"/>
      <c r="D2224"/>
      <c r="E2224"/>
      <c r="F2224"/>
    </row>
    <row r="2225" spans="1:6">
      <c r="A2225"/>
      <c r="B2225"/>
      <c r="C2225"/>
      <c r="D2225"/>
      <c r="E2225"/>
      <c r="F2225"/>
    </row>
    <row r="2226" spans="1:6">
      <c r="A2226"/>
      <c r="B2226"/>
      <c r="C2226"/>
      <c r="D2226"/>
      <c r="E2226"/>
      <c r="F2226"/>
    </row>
    <row r="2227" spans="1:6">
      <c r="A2227"/>
      <c r="B2227"/>
      <c r="C2227"/>
      <c r="D2227"/>
      <c r="E2227"/>
      <c r="F2227"/>
    </row>
    <row r="2228" spans="1:6">
      <c r="A2228"/>
      <c r="B2228"/>
      <c r="C2228"/>
      <c r="D2228"/>
      <c r="E2228"/>
      <c r="F2228"/>
    </row>
    <row r="2229" spans="1:6">
      <c r="A2229"/>
      <c r="B2229"/>
      <c r="C2229"/>
      <c r="D2229"/>
      <c r="E2229"/>
      <c r="F2229"/>
    </row>
    <row r="2230" spans="1:6">
      <c r="A2230"/>
      <c r="B2230"/>
      <c r="C2230"/>
      <c r="D2230"/>
      <c r="E2230"/>
      <c r="F2230"/>
    </row>
    <row r="2231" spans="1:6">
      <c r="A2231"/>
      <c r="B2231"/>
      <c r="C2231"/>
      <c r="D2231"/>
      <c r="E2231"/>
      <c r="F2231"/>
    </row>
    <row r="2232" spans="1:6">
      <c r="A2232"/>
      <c r="B2232"/>
      <c r="C2232"/>
      <c r="D2232"/>
      <c r="E2232"/>
      <c r="F2232"/>
    </row>
    <row r="2233" spans="1:6">
      <c r="A2233"/>
      <c r="B2233"/>
      <c r="C2233"/>
      <c r="D2233"/>
      <c r="E2233"/>
      <c r="F2233"/>
    </row>
    <row r="2234" spans="1:6">
      <c r="A2234"/>
      <c r="B2234"/>
      <c r="C2234"/>
      <c r="D2234"/>
      <c r="E2234"/>
      <c r="F2234"/>
    </row>
    <row r="2235" spans="1:6">
      <c r="A2235"/>
      <c r="B2235"/>
      <c r="C2235"/>
      <c r="D2235"/>
      <c r="E2235"/>
      <c r="F2235"/>
    </row>
    <row r="2236" spans="1:6">
      <c r="A2236"/>
      <c r="B2236"/>
      <c r="C2236"/>
      <c r="D2236"/>
      <c r="E2236"/>
      <c r="F2236"/>
    </row>
    <row r="2237" spans="1:6">
      <c r="A2237"/>
      <c r="B2237"/>
      <c r="C2237"/>
      <c r="D2237"/>
      <c r="E2237"/>
      <c r="F2237"/>
    </row>
    <row r="2238" spans="1:6">
      <c r="A2238"/>
      <c r="B2238"/>
      <c r="C2238"/>
      <c r="D2238"/>
      <c r="E2238"/>
      <c r="F2238"/>
    </row>
    <row r="2239" spans="1:6">
      <c r="A2239"/>
      <c r="B2239"/>
      <c r="C2239"/>
      <c r="D2239"/>
      <c r="E2239"/>
      <c r="F2239"/>
    </row>
    <row r="2240" spans="1:6">
      <c r="A2240"/>
      <c r="B2240"/>
      <c r="C2240"/>
      <c r="D2240"/>
      <c r="E2240"/>
      <c r="F2240"/>
    </row>
    <row r="2241" spans="1:6">
      <c r="A2241"/>
      <c r="B2241"/>
      <c r="C2241"/>
      <c r="D2241"/>
      <c r="E2241"/>
      <c r="F2241"/>
    </row>
    <row r="2242" spans="1:6">
      <c r="A2242"/>
      <c r="B2242"/>
      <c r="C2242"/>
      <c r="D2242"/>
      <c r="E2242"/>
      <c r="F2242"/>
    </row>
    <row r="2243" spans="1:6">
      <c r="A2243"/>
      <c r="B2243"/>
      <c r="C2243"/>
      <c r="D2243"/>
      <c r="E2243"/>
      <c r="F2243"/>
    </row>
    <row r="2244" spans="1:6">
      <c r="A2244"/>
      <c r="B2244"/>
      <c r="C2244"/>
      <c r="D2244"/>
      <c r="E2244"/>
      <c r="F2244"/>
    </row>
    <row r="2245" spans="1:6">
      <c r="A2245"/>
      <c r="B2245"/>
      <c r="C2245"/>
      <c r="D2245"/>
      <c r="E2245"/>
      <c r="F2245"/>
    </row>
    <row r="2246" spans="1:6">
      <c r="A2246"/>
      <c r="B2246"/>
      <c r="C2246"/>
      <c r="D2246"/>
      <c r="E2246"/>
      <c r="F2246"/>
    </row>
    <row r="2247" spans="1:6">
      <c r="A2247"/>
      <c r="B2247"/>
      <c r="C2247"/>
      <c r="D2247"/>
      <c r="E2247"/>
      <c r="F2247"/>
    </row>
    <row r="2248" spans="1:6">
      <c r="A2248"/>
      <c r="B2248"/>
      <c r="C2248"/>
      <c r="D2248"/>
      <c r="E2248"/>
      <c r="F2248"/>
    </row>
    <row r="2249" spans="1:6">
      <c r="A2249"/>
      <c r="B2249"/>
      <c r="C2249"/>
      <c r="D2249"/>
      <c r="E2249"/>
      <c r="F2249"/>
    </row>
    <row r="2250" spans="1:6">
      <c r="A2250"/>
      <c r="B2250"/>
      <c r="C2250"/>
      <c r="D2250"/>
      <c r="E2250"/>
      <c r="F2250"/>
    </row>
    <row r="2251" spans="1:6">
      <c r="A2251"/>
      <c r="B2251"/>
      <c r="C2251"/>
      <c r="D2251"/>
      <c r="E2251"/>
      <c r="F2251"/>
    </row>
    <row r="2252" spans="1:6">
      <c r="A2252"/>
      <c r="B2252"/>
      <c r="C2252"/>
      <c r="D2252"/>
      <c r="E2252"/>
      <c r="F2252"/>
    </row>
    <row r="2253" spans="1:6">
      <c r="A2253"/>
      <c r="B2253"/>
      <c r="C2253"/>
      <c r="D2253"/>
      <c r="E2253"/>
      <c r="F2253"/>
    </row>
    <row r="2254" spans="1:6">
      <c r="A2254"/>
      <c r="B2254"/>
      <c r="C2254"/>
      <c r="D2254"/>
      <c r="E2254"/>
      <c r="F2254"/>
    </row>
    <row r="2255" spans="1:6">
      <c r="A2255"/>
      <c r="B2255"/>
      <c r="C2255"/>
      <c r="D2255"/>
      <c r="E2255"/>
      <c r="F2255"/>
    </row>
    <row r="2256" spans="1:6">
      <c r="A2256"/>
      <c r="B2256"/>
      <c r="C2256"/>
      <c r="D2256"/>
      <c r="E2256"/>
      <c r="F2256"/>
    </row>
    <row r="2257" spans="1:6">
      <c r="A2257"/>
      <c r="B2257"/>
      <c r="C2257"/>
      <c r="D2257"/>
      <c r="E2257"/>
      <c r="F2257"/>
    </row>
    <row r="2258" spans="1:6">
      <c r="A2258"/>
      <c r="B2258"/>
      <c r="C2258"/>
      <c r="D2258"/>
      <c r="E2258"/>
      <c r="F2258"/>
    </row>
    <row r="2259" spans="1:6">
      <c r="A2259"/>
      <c r="B2259"/>
      <c r="C2259"/>
      <c r="D2259"/>
      <c r="E2259"/>
      <c r="F2259"/>
    </row>
    <row r="2260" spans="1:6">
      <c r="A2260"/>
      <c r="B2260"/>
      <c r="C2260"/>
      <c r="D2260"/>
      <c r="E2260"/>
      <c r="F2260"/>
    </row>
    <row r="2261" spans="1:6">
      <c r="A2261"/>
      <c r="B2261"/>
      <c r="C2261"/>
      <c r="D2261"/>
      <c r="E2261"/>
      <c r="F2261"/>
    </row>
    <row r="2262" spans="1:6">
      <c r="A2262"/>
      <c r="B2262"/>
      <c r="C2262"/>
      <c r="D2262"/>
      <c r="E2262"/>
      <c r="F2262"/>
    </row>
    <row r="2263" spans="1:6">
      <c r="A2263"/>
      <c r="B2263"/>
      <c r="C2263"/>
      <c r="D2263"/>
      <c r="E2263"/>
      <c r="F2263"/>
    </row>
    <row r="2264" spans="1:6">
      <c r="A2264"/>
      <c r="B2264"/>
      <c r="C2264"/>
      <c r="D2264"/>
      <c r="E2264"/>
      <c r="F2264"/>
    </row>
    <row r="2265" spans="1:6">
      <c r="A2265"/>
      <c r="B2265"/>
      <c r="C2265"/>
      <c r="D2265"/>
      <c r="E2265"/>
      <c r="F2265"/>
    </row>
    <row r="2266" spans="1:6">
      <c r="A2266"/>
      <c r="B2266"/>
      <c r="C2266"/>
      <c r="D2266"/>
      <c r="E2266"/>
      <c r="F2266"/>
    </row>
    <row r="2267" spans="1:6">
      <c r="A2267"/>
      <c r="B2267"/>
      <c r="C2267"/>
      <c r="D2267"/>
      <c r="E2267"/>
      <c r="F2267"/>
    </row>
    <row r="2268" spans="1:6">
      <c r="A2268"/>
      <c r="B2268"/>
      <c r="C2268"/>
      <c r="D2268"/>
      <c r="E2268"/>
      <c r="F2268"/>
    </row>
    <row r="2269" spans="1:6">
      <c r="A2269"/>
      <c r="B2269"/>
      <c r="C2269"/>
      <c r="D2269"/>
      <c r="E2269"/>
      <c r="F2269"/>
    </row>
    <row r="2270" spans="1:6">
      <c r="A2270"/>
      <c r="B2270"/>
      <c r="C2270"/>
      <c r="D2270"/>
      <c r="E2270"/>
      <c r="F2270"/>
    </row>
    <row r="2271" spans="1:6">
      <c r="A2271"/>
      <c r="B2271"/>
      <c r="C2271"/>
      <c r="D2271"/>
      <c r="E2271"/>
      <c r="F2271"/>
    </row>
    <row r="2272" spans="1:6">
      <c r="A2272"/>
      <c r="B2272"/>
      <c r="C2272"/>
      <c r="D2272"/>
      <c r="E2272"/>
      <c r="F2272"/>
    </row>
    <row r="2273" spans="1:6">
      <c r="A2273"/>
      <c r="B2273"/>
      <c r="C2273"/>
      <c r="D2273"/>
      <c r="E2273"/>
      <c r="F2273"/>
    </row>
    <row r="2274" spans="1:6">
      <c r="A2274"/>
      <c r="B2274"/>
      <c r="C2274"/>
      <c r="D2274"/>
      <c r="E2274"/>
      <c r="F2274"/>
    </row>
    <row r="2275" spans="1:6">
      <c r="A2275"/>
      <c r="B2275"/>
      <c r="C2275"/>
      <c r="D2275"/>
      <c r="E2275"/>
      <c r="F2275"/>
    </row>
    <row r="2276" spans="1:6">
      <c r="A2276"/>
      <c r="B2276"/>
      <c r="C2276"/>
      <c r="D2276"/>
      <c r="E2276"/>
      <c r="F2276"/>
    </row>
    <row r="2277" spans="1:6">
      <c r="A2277"/>
      <c r="B2277"/>
      <c r="C2277"/>
      <c r="D2277"/>
      <c r="E2277"/>
      <c r="F2277"/>
    </row>
    <row r="2278" spans="1:6">
      <c r="A2278"/>
      <c r="B2278"/>
      <c r="C2278"/>
      <c r="D2278"/>
      <c r="E2278"/>
      <c r="F2278"/>
    </row>
    <row r="2279" spans="1:6">
      <c r="A2279"/>
      <c r="B2279"/>
      <c r="C2279"/>
      <c r="D2279"/>
      <c r="E2279"/>
      <c r="F2279"/>
    </row>
    <row r="2280" spans="1:6">
      <c r="A2280"/>
      <c r="B2280"/>
      <c r="C2280"/>
      <c r="D2280"/>
      <c r="E2280"/>
      <c r="F2280"/>
    </row>
    <row r="2281" spans="1:6">
      <c r="A2281"/>
      <c r="B2281"/>
      <c r="C2281"/>
      <c r="D2281"/>
      <c r="E2281"/>
      <c r="F2281"/>
    </row>
    <row r="2282" spans="1:6">
      <c r="A2282"/>
      <c r="B2282"/>
      <c r="C2282"/>
      <c r="D2282"/>
      <c r="E2282"/>
      <c r="F2282"/>
    </row>
    <row r="2283" spans="1:6">
      <c r="A2283"/>
      <c r="B2283"/>
      <c r="C2283"/>
      <c r="D2283"/>
      <c r="E2283"/>
      <c r="F2283"/>
    </row>
    <row r="2284" spans="1:6">
      <c r="A2284"/>
      <c r="B2284"/>
      <c r="C2284"/>
      <c r="D2284"/>
      <c r="E2284"/>
      <c r="F2284"/>
    </row>
    <row r="2285" spans="1:6">
      <c r="A2285"/>
      <c r="B2285"/>
      <c r="C2285"/>
      <c r="D2285"/>
      <c r="E2285"/>
      <c r="F2285"/>
    </row>
    <row r="2286" spans="1:6">
      <c r="A2286"/>
      <c r="B2286"/>
      <c r="C2286"/>
      <c r="D2286"/>
      <c r="E2286"/>
      <c r="F2286"/>
    </row>
    <row r="2287" spans="1:6">
      <c r="A2287"/>
      <c r="B2287"/>
      <c r="C2287"/>
      <c r="D2287"/>
      <c r="E2287"/>
      <c r="F2287"/>
    </row>
    <row r="2288" spans="1:6">
      <c r="A2288"/>
      <c r="B2288"/>
      <c r="C2288"/>
      <c r="D2288"/>
      <c r="E2288"/>
      <c r="F2288"/>
    </row>
    <row r="2289" spans="1:6">
      <c r="A2289"/>
      <c r="B2289"/>
      <c r="C2289"/>
      <c r="D2289"/>
      <c r="E2289"/>
      <c r="F2289"/>
    </row>
    <row r="2290" spans="1:6">
      <c r="A2290"/>
      <c r="B2290"/>
      <c r="C2290"/>
      <c r="D2290"/>
      <c r="E2290"/>
      <c r="F2290"/>
    </row>
    <row r="2291" spans="1:6">
      <c r="A2291"/>
      <c r="B2291"/>
      <c r="C2291"/>
      <c r="D2291"/>
      <c r="E2291"/>
      <c r="F2291"/>
    </row>
    <row r="2292" spans="1:6">
      <c r="A2292"/>
      <c r="B2292"/>
      <c r="C2292"/>
      <c r="D2292"/>
      <c r="E2292"/>
      <c r="F2292"/>
    </row>
    <row r="2293" spans="1:6">
      <c r="A2293"/>
      <c r="B2293"/>
      <c r="C2293"/>
      <c r="D2293"/>
      <c r="E2293"/>
      <c r="F2293"/>
    </row>
    <row r="2294" spans="1:6">
      <c r="A2294"/>
      <c r="B2294"/>
      <c r="C2294"/>
      <c r="D2294"/>
      <c r="E2294"/>
      <c r="F2294"/>
    </row>
    <row r="2295" spans="1:6">
      <c r="A2295"/>
      <c r="B2295"/>
      <c r="C2295"/>
      <c r="D2295"/>
      <c r="E2295"/>
      <c r="F2295"/>
    </row>
    <row r="2296" spans="1:6">
      <c r="A2296"/>
      <c r="B2296"/>
      <c r="C2296"/>
      <c r="D2296"/>
      <c r="E2296"/>
      <c r="F2296"/>
    </row>
    <row r="2297" spans="1:6">
      <c r="A2297"/>
      <c r="B2297"/>
      <c r="C2297"/>
      <c r="D2297"/>
      <c r="E2297"/>
      <c r="F2297"/>
    </row>
    <row r="2298" spans="1:6">
      <c r="A2298"/>
      <c r="B2298"/>
      <c r="C2298"/>
      <c r="D2298"/>
      <c r="E2298"/>
      <c r="F2298"/>
    </row>
    <row r="2299" spans="1:6">
      <c r="A2299"/>
      <c r="B2299"/>
      <c r="C2299"/>
      <c r="D2299"/>
      <c r="E2299"/>
      <c r="F2299"/>
    </row>
    <row r="2300" spans="1:6">
      <c r="A2300"/>
      <c r="B2300"/>
      <c r="C2300"/>
      <c r="D2300"/>
      <c r="E2300"/>
      <c r="F2300"/>
    </row>
    <row r="2301" spans="1:6">
      <c r="A2301"/>
      <c r="B2301"/>
      <c r="C2301"/>
      <c r="D2301"/>
      <c r="E2301"/>
      <c r="F2301"/>
    </row>
    <row r="2302" spans="1:6">
      <c r="A2302"/>
      <c r="B2302"/>
      <c r="C2302"/>
      <c r="D2302"/>
      <c r="E2302"/>
      <c r="F2302"/>
    </row>
    <row r="2303" spans="1:6">
      <c r="A2303"/>
      <c r="B2303"/>
      <c r="C2303"/>
      <c r="D2303"/>
      <c r="E2303"/>
      <c r="F2303"/>
    </row>
    <row r="2304" spans="1:6">
      <c r="A2304"/>
      <c r="B2304"/>
      <c r="C2304"/>
      <c r="D2304"/>
      <c r="E2304"/>
      <c r="F2304"/>
    </row>
    <row r="2305" spans="1:6">
      <c r="A2305"/>
      <c r="B2305"/>
      <c r="C2305"/>
      <c r="D2305"/>
      <c r="E2305"/>
      <c r="F2305"/>
    </row>
    <row r="2306" spans="1:6">
      <c r="A2306"/>
      <c r="B2306"/>
      <c r="C2306"/>
      <c r="D2306"/>
      <c r="E2306"/>
      <c r="F2306"/>
    </row>
    <row r="2307" spans="1:6">
      <c r="A2307"/>
      <c r="B2307"/>
      <c r="C2307"/>
      <c r="D2307"/>
      <c r="E2307"/>
      <c r="F2307"/>
    </row>
    <row r="2308" spans="1:6">
      <c r="A2308"/>
      <c r="B2308"/>
      <c r="C2308"/>
      <c r="D2308"/>
      <c r="E2308"/>
      <c r="F2308"/>
    </row>
    <row r="2309" spans="1:6">
      <c r="A2309"/>
      <c r="B2309"/>
      <c r="C2309"/>
      <c r="D2309"/>
      <c r="E2309"/>
      <c r="F2309"/>
    </row>
    <row r="2310" spans="1:6">
      <c r="A2310"/>
      <c r="B2310"/>
      <c r="C2310"/>
      <c r="D2310"/>
      <c r="E2310"/>
      <c r="F2310"/>
    </row>
    <row r="2311" spans="1:6">
      <c r="A2311"/>
      <c r="B2311"/>
      <c r="C2311"/>
      <c r="D2311"/>
      <c r="E2311"/>
      <c r="F2311"/>
    </row>
    <row r="2312" spans="1:6">
      <c r="A2312"/>
      <c r="B2312"/>
      <c r="C2312"/>
      <c r="D2312"/>
      <c r="E2312"/>
      <c r="F2312"/>
    </row>
    <row r="2313" spans="1:6">
      <c r="A2313"/>
      <c r="B2313"/>
      <c r="C2313"/>
      <c r="D2313"/>
      <c r="E2313"/>
      <c r="F2313"/>
    </row>
    <row r="2314" spans="1:6">
      <c r="A2314"/>
      <c r="B2314"/>
      <c r="C2314"/>
      <c r="D2314"/>
      <c r="E2314"/>
      <c r="F2314"/>
    </row>
    <row r="2315" spans="1:6">
      <c r="A2315"/>
      <c r="B2315"/>
      <c r="C2315"/>
      <c r="D2315"/>
      <c r="E2315"/>
      <c r="F2315"/>
    </row>
    <row r="2316" spans="1:6">
      <c r="A2316"/>
      <c r="B2316"/>
      <c r="C2316"/>
      <c r="D2316"/>
      <c r="E2316"/>
      <c r="F2316"/>
    </row>
    <row r="2317" spans="1:6">
      <c r="A2317"/>
      <c r="B2317"/>
      <c r="C2317"/>
      <c r="D2317"/>
      <c r="E2317"/>
      <c r="F2317"/>
    </row>
    <row r="2318" spans="1:6">
      <c r="A2318"/>
      <c r="B2318"/>
      <c r="C2318"/>
      <c r="D2318"/>
      <c r="E2318"/>
      <c r="F2318"/>
    </row>
    <row r="2319" spans="1:6">
      <c r="A2319"/>
      <c r="B2319"/>
      <c r="C2319"/>
      <c r="D2319"/>
      <c r="E2319"/>
      <c r="F2319"/>
    </row>
    <row r="2320" spans="1:6">
      <c r="A2320"/>
      <c r="B2320"/>
      <c r="C2320"/>
      <c r="D2320"/>
      <c r="E2320"/>
      <c r="F2320"/>
    </row>
    <row r="2321" spans="1:6">
      <c r="A2321"/>
      <c r="B2321"/>
      <c r="C2321"/>
      <c r="D2321"/>
      <c r="E2321"/>
      <c r="F2321"/>
    </row>
    <row r="2322" spans="1:6">
      <c r="A2322"/>
      <c r="B2322"/>
      <c r="C2322"/>
      <c r="D2322"/>
      <c r="E2322"/>
      <c r="F2322"/>
    </row>
    <row r="2323" spans="1:6">
      <c r="A2323"/>
      <c r="B2323"/>
      <c r="C2323"/>
      <c r="D2323"/>
      <c r="E2323"/>
      <c r="F2323"/>
    </row>
    <row r="2324" spans="1:6">
      <c r="A2324"/>
      <c r="B2324"/>
      <c r="C2324"/>
      <c r="D2324"/>
      <c r="E2324"/>
      <c r="F2324"/>
    </row>
    <row r="2325" spans="1:6">
      <c r="A2325"/>
      <c r="B2325"/>
      <c r="C2325"/>
      <c r="D2325"/>
      <c r="E2325"/>
      <c r="F2325"/>
    </row>
    <row r="2326" spans="1:6">
      <c r="A2326"/>
      <c r="B2326"/>
      <c r="C2326"/>
      <c r="D2326"/>
      <c r="E2326"/>
      <c r="F2326"/>
    </row>
    <row r="2327" spans="1:6">
      <c r="A2327"/>
      <c r="B2327"/>
      <c r="C2327"/>
      <c r="D2327"/>
      <c r="E2327"/>
      <c r="F2327"/>
    </row>
    <row r="2328" spans="1:6">
      <c r="A2328"/>
      <c r="B2328"/>
      <c r="C2328"/>
      <c r="D2328"/>
      <c r="E2328"/>
      <c r="F2328"/>
    </row>
    <row r="2329" spans="1:6">
      <c r="A2329"/>
      <c r="B2329"/>
      <c r="C2329"/>
      <c r="D2329"/>
      <c r="E2329"/>
      <c r="F2329"/>
    </row>
    <row r="2330" spans="1:6">
      <c r="A2330"/>
      <c r="B2330"/>
      <c r="C2330"/>
      <c r="D2330"/>
      <c r="E2330"/>
      <c r="F2330"/>
    </row>
    <row r="2331" spans="1:6">
      <c r="A2331"/>
      <c r="B2331"/>
      <c r="C2331"/>
      <c r="D2331"/>
      <c r="E2331"/>
      <c r="F2331"/>
    </row>
    <row r="2332" spans="1:6">
      <c r="A2332"/>
      <c r="B2332"/>
      <c r="C2332"/>
      <c r="D2332"/>
      <c r="E2332"/>
      <c r="F2332"/>
    </row>
    <row r="2333" spans="1:6">
      <c r="A2333"/>
      <c r="B2333"/>
      <c r="C2333"/>
      <c r="D2333"/>
      <c r="E2333"/>
      <c r="F2333"/>
    </row>
    <row r="2334" spans="1:6">
      <c r="A2334"/>
      <c r="B2334"/>
      <c r="C2334"/>
      <c r="D2334"/>
      <c r="E2334"/>
      <c r="F2334"/>
    </row>
    <row r="2335" spans="1:6">
      <c r="A2335"/>
      <c r="B2335"/>
      <c r="C2335"/>
      <c r="D2335"/>
      <c r="E2335"/>
      <c r="F2335"/>
    </row>
    <row r="2336" spans="1:6">
      <c r="A2336"/>
      <c r="B2336"/>
      <c r="C2336"/>
      <c r="D2336"/>
      <c r="E2336"/>
      <c r="F2336"/>
    </row>
    <row r="2337" spans="1:6">
      <c r="A2337"/>
      <c r="B2337"/>
      <c r="C2337"/>
      <c r="D2337"/>
      <c r="E2337"/>
      <c r="F2337"/>
    </row>
    <row r="2338" spans="1:6">
      <c r="A2338"/>
      <c r="B2338"/>
      <c r="C2338"/>
      <c r="D2338"/>
      <c r="E2338"/>
      <c r="F2338"/>
    </row>
    <row r="2339" spans="1:6">
      <c r="A2339"/>
      <c r="B2339"/>
      <c r="C2339"/>
      <c r="D2339"/>
      <c r="E2339"/>
      <c r="F2339"/>
    </row>
    <row r="2340" spans="1:6">
      <c r="A2340"/>
      <c r="B2340"/>
      <c r="C2340"/>
      <c r="D2340"/>
      <c r="E2340"/>
      <c r="F2340"/>
    </row>
    <row r="2341" spans="1:6">
      <c r="A2341"/>
      <c r="B2341"/>
      <c r="C2341"/>
      <c r="D2341"/>
      <c r="E2341"/>
      <c r="F2341"/>
    </row>
    <row r="2342" spans="1:6">
      <c r="A2342"/>
      <c r="B2342"/>
      <c r="C2342"/>
      <c r="D2342"/>
      <c r="E2342"/>
      <c r="F2342"/>
    </row>
    <row r="2343" spans="1:6">
      <c r="A2343"/>
      <c r="B2343"/>
      <c r="C2343"/>
      <c r="D2343"/>
      <c r="E2343"/>
      <c r="F2343"/>
    </row>
    <row r="2344" spans="1:6">
      <c r="A2344"/>
      <c r="B2344"/>
      <c r="C2344"/>
      <c r="D2344"/>
      <c r="E2344"/>
      <c r="F2344"/>
    </row>
    <row r="2345" spans="1:6">
      <c r="A2345"/>
      <c r="B2345"/>
      <c r="C2345"/>
      <c r="D2345"/>
      <c r="E2345"/>
      <c r="F2345"/>
    </row>
    <row r="2346" spans="1:6">
      <c r="A2346"/>
      <c r="B2346"/>
      <c r="C2346"/>
      <c r="D2346"/>
      <c r="E2346"/>
      <c r="F2346"/>
    </row>
    <row r="2347" spans="1:6">
      <c r="A2347"/>
      <c r="B2347"/>
      <c r="C2347"/>
      <c r="D2347"/>
      <c r="E2347"/>
      <c r="F2347"/>
    </row>
    <row r="2348" spans="1:6">
      <c r="A2348"/>
      <c r="B2348"/>
      <c r="C2348"/>
      <c r="D2348"/>
      <c r="E2348"/>
      <c r="F2348"/>
    </row>
    <row r="2349" spans="1:6">
      <c r="A2349"/>
      <c r="B2349"/>
      <c r="C2349"/>
      <c r="D2349"/>
      <c r="E2349"/>
      <c r="F2349"/>
    </row>
    <row r="2350" spans="1:6">
      <c r="A2350"/>
      <c r="B2350"/>
      <c r="C2350"/>
      <c r="D2350"/>
      <c r="E2350"/>
      <c r="F2350"/>
    </row>
    <row r="2351" spans="1:6">
      <c r="A2351"/>
      <c r="B2351"/>
      <c r="C2351"/>
      <c r="D2351"/>
      <c r="E2351"/>
      <c r="F2351"/>
    </row>
    <row r="2352" spans="1:6">
      <c r="A2352"/>
      <c r="B2352"/>
      <c r="C2352"/>
      <c r="D2352"/>
      <c r="E2352"/>
      <c r="F2352"/>
    </row>
    <row r="2353" spans="1:6">
      <c r="A2353"/>
      <c r="B2353"/>
      <c r="C2353"/>
      <c r="D2353"/>
      <c r="E2353"/>
      <c r="F2353"/>
    </row>
    <row r="2354" spans="1:6">
      <c r="A2354"/>
      <c r="B2354"/>
      <c r="C2354"/>
      <c r="D2354"/>
      <c r="E2354"/>
      <c r="F2354"/>
    </row>
    <row r="2355" spans="1:6">
      <c r="A2355"/>
      <c r="B2355"/>
      <c r="C2355"/>
      <c r="D2355"/>
      <c r="E2355"/>
      <c r="F2355"/>
    </row>
    <row r="2356" spans="1:6">
      <c r="A2356"/>
      <c r="B2356"/>
      <c r="C2356"/>
      <c r="D2356"/>
      <c r="E2356"/>
      <c r="F2356"/>
    </row>
    <row r="2357" spans="1:6">
      <c r="A2357"/>
      <c r="B2357"/>
      <c r="C2357"/>
      <c r="D2357"/>
      <c r="E2357"/>
      <c r="F2357"/>
    </row>
    <row r="2358" spans="1:6">
      <c r="A2358"/>
      <c r="B2358"/>
      <c r="C2358"/>
      <c r="D2358"/>
      <c r="E2358"/>
      <c r="F2358"/>
    </row>
    <row r="2359" spans="1:6">
      <c r="A2359"/>
      <c r="B2359"/>
      <c r="C2359"/>
      <c r="D2359"/>
      <c r="E2359"/>
      <c r="F2359"/>
    </row>
    <row r="2360" spans="1:6">
      <c r="A2360"/>
      <c r="B2360"/>
      <c r="C2360"/>
      <c r="D2360"/>
      <c r="E2360"/>
      <c r="F2360"/>
    </row>
    <row r="2361" spans="1:6">
      <c r="A2361"/>
      <c r="B2361"/>
      <c r="C2361"/>
      <c r="D2361"/>
      <c r="E2361"/>
      <c r="F2361"/>
    </row>
    <row r="2362" spans="1:6">
      <c r="A2362"/>
      <c r="B2362"/>
      <c r="C2362"/>
      <c r="D2362"/>
      <c r="E2362"/>
      <c r="F2362"/>
    </row>
    <row r="2363" spans="1:6">
      <c r="A2363"/>
      <c r="B2363"/>
      <c r="C2363"/>
      <c r="D2363"/>
      <c r="E2363"/>
      <c r="F2363"/>
    </row>
    <row r="2364" spans="1:6">
      <c r="A2364"/>
      <c r="B2364"/>
      <c r="C2364"/>
      <c r="D2364"/>
      <c r="E2364"/>
      <c r="F2364"/>
    </row>
    <row r="2365" spans="1:6">
      <c r="A2365"/>
      <c r="B2365"/>
      <c r="C2365"/>
      <c r="D2365"/>
      <c r="E2365"/>
      <c r="F2365"/>
    </row>
    <row r="2366" spans="1:6">
      <c r="A2366"/>
      <c r="B2366"/>
      <c r="C2366"/>
      <c r="D2366"/>
      <c r="E2366"/>
      <c r="F2366"/>
    </row>
    <row r="2367" spans="1:6">
      <c r="A2367"/>
      <c r="B2367"/>
      <c r="C2367"/>
      <c r="D2367"/>
      <c r="E2367"/>
      <c r="F2367"/>
    </row>
    <row r="2368" spans="1:6">
      <c r="A2368"/>
      <c r="B2368"/>
      <c r="C2368"/>
      <c r="D2368"/>
      <c r="E2368"/>
      <c r="F2368"/>
    </row>
    <row r="2369" spans="1:6">
      <c r="A2369"/>
      <c r="B2369"/>
      <c r="C2369"/>
      <c r="D2369"/>
      <c r="E2369"/>
      <c r="F2369"/>
    </row>
    <row r="2370" spans="1:6">
      <c r="A2370"/>
      <c r="B2370"/>
      <c r="C2370"/>
      <c r="D2370"/>
      <c r="E2370"/>
      <c r="F2370"/>
    </row>
    <row r="2371" spans="1:6">
      <c r="A2371"/>
      <c r="B2371"/>
      <c r="C2371"/>
      <c r="D2371"/>
      <c r="E2371"/>
      <c r="F2371"/>
    </row>
    <row r="2372" spans="1:6">
      <c r="A2372"/>
      <c r="B2372"/>
      <c r="C2372"/>
      <c r="D2372"/>
      <c r="E2372"/>
      <c r="F2372"/>
    </row>
    <row r="2373" spans="1:6">
      <c r="A2373"/>
      <c r="B2373"/>
      <c r="C2373"/>
      <c r="D2373"/>
      <c r="E2373"/>
      <c r="F2373"/>
    </row>
    <row r="2374" spans="1:6">
      <c r="A2374"/>
      <c r="B2374"/>
      <c r="C2374"/>
      <c r="D2374"/>
      <c r="E2374"/>
      <c r="F2374"/>
    </row>
    <row r="2375" spans="1:6">
      <c r="A2375"/>
      <c r="B2375"/>
      <c r="C2375"/>
      <c r="D2375"/>
      <c r="E2375"/>
      <c r="F2375"/>
    </row>
    <row r="2376" spans="1:6">
      <c r="A2376"/>
      <c r="B2376"/>
      <c r="C2376"/>
      <c r="D2376"/>
      <c r="E2376"/>
      <c r="F2376"/>
    </row>
    <row r="2377" spans="1:6">
      <c r="A2377"/>
      <c r="B2377"/>
      <c r="C2377"/>
      <c r="D2377"/>
      <c r="E2377"/>
      <c r="F2377"/>
    </row>
    <row r="2378" spans="1:6">
      <c r="A2378"/>
      <c r="B2378"/>
      <c r="C2378"/>
      <c r="D2378"/>
      <c r="E2378"/>
      <c r="F2378"/>
    </row>
    <row r="2379" spans="1:6">
      <c r="A2379"/>
      <c r="B2379"/>
      <c r="C2379"/>
      <c r="D2379"/>
      <c r="E2379"/>
      <c r="F2379"/>
    </row>
    <row r="2380" spans="1:6">
      <c r="A2380"/>
      <c r="B2380"/>
      <c r="C2380"/>
      <c r="D2380"/>
      <c r="E2380"/>
      <c r="F2380"/>
    </row>
    <row r="2381" spans="1:6">
      <c r="A2381"/>
      <c r="B2381"/>
      <c r="C2381"/>
      <c r="D2381"/>
      <c r="E2381"/>
      <c r="F2381"/>
    </row>
    <row r="2382" spans="1:6">
      <c r="A2382"/>
      <c r="B2382"/>
      <c r="C2382"/>
      <c r="D2382"/>
      <c r="E2382"/>
      <c r="F2382"/>
    </row>
    <row r="2383" spans="1:6">
      <c r="A2383"/>
      <c r="B2383"/>
      <c r="C2383"/>
      <c r="D2383"/>
      <c r="E2383"/>
      <c r="F2383"/>
    </row>
    <row r="2384" spans="1:6">
      <c r="A2384"/>
      <c r="B2384"/>
      <c r="C2384"/>
      <c r="D2384"/>
      <c r="E2384"/>
      <c r="F2384"/>
    </row>
    <row r="2385" spans="1:6">
      <c r="A2385"/>
      <c r="B2385"/>
      <c r="C2385"/>
      <c r="D2385"/>
      <c r="E2385"/>
      <c r="F2385"/>
    </row>
    <row r="2386" spans="1:6">
      <c r="A2386"/>
      <c r="B2386"/>
      <c r="C2386"/>
      <c r="D2386"/>
      <c r="E2386"/>
      <c r="F2386"/>
    </row>
    <row r="2387" spans="1:6">
      <c r="A2387"/>
      <c r="B2387"/>
      <c r="C2387"/>
      <c r="D2387"/>
      <c r="E2387"/>
      <c r="F2387"/>
    </row>
    <row r="2388" spans="1:6">
      <c r="A2388"/>
      <c r="B2388"/>
      <c r="C2388"/>
      <c r="D2388"/>
      <c r="E2388"/>
      <c r="F2388"/>
    </row>
    <row r="2389" spans="1:6">
      <c r="A2389"/>
      <c r="B2389"/>
      <c r="C2389"/>
      <c r="D2389"/>
      <c r="E2389"/>
      <c r="F2389"/>
    </row>
    <row r="2390" spans="1:6">
      <c r="A2390"/>
      <c r="B2390"/>
      <c r="C2390"/>
      <c r="D2390"/>
      <c r="E2390"/>
      <c r="F2390"/>
    </row>
    <row r="2391" spans="1:6">
      <c r="A2391"/>
      <c r="B2391"/>
      <c r="C2391"/>
      <c r="D2391"/>
      <c r="E2391"/>
      <c r="F2391"/>
    </row>
    <row r="2392" spans="1:6">
      <c r="A2392"/>
      <c r="B2392"/>
      <c r="C2392"/>
      <c r="D2392"/>
      <c r="E2392"/>
      <c r="F2392"/>
    </row>
    <row r="2393" spans="1:6">
      <c r="A2393"/>
      <c r="B2393"/>
      <c r="C2393"/>
      <c r="D2393"/>
      <c r="E2393"/>
      <c r="F2393"/>
    </row>
    <row r="2394" spans="1:6">
      <c r="A2394"/>
      <c r="B2394"/>
      <c r="C2394"/>
      <c r="D2394"/>
      <c r="E2394"/>
      <c r="F2394"/>
    </row>
    <row r="2395" spans="1:6">
      <c r="A2395"/>
      <c r="B2395"/>
      <c r="C2395"/>
      <c r="D2395"/>
      <c r="E2395"/>
      <c r="F2395"/>
    </row>
    <row r="2396" spans="1:6">
      <c r="A2396"/>
      <c r="B2396"/>
      <c r="C2396"/>
      <c r="D2396"/>
      <c r="E2396"/>
      <c r="F2396"/>
    </row>
    <row r="2397" spans="1:6">
      <c r="A2397"/>
      <c r="B2397"/>
      <c r="C2397"/>
      <c r="D2397"/>
      <c r="E2397"/>
      <c r="F2397"/>
    </row>
    <row r="2398" spans="1:6">
      <c r="A2398"/>
      <c r="B2398"/>
      <c r="C2398"/>
      <c r="D2398"/>
      <c r="E2398"/>
      <c r="F2398"/>
    </row>
    <row r="2399" spans="1:6">
      <c r="A2399"/>
      <c r="B2399"/>
      <c r="C2399"/>
      <c r="D2399"/>
      <c r="E2399"/>
      <c r="F2399"/>
    </row>
    <row r="2400" spans="1:6">
      <c r="A2400"/>
      <c r="B2400"/>
      <c r="C2400"/>
      <c r="D2400"/>
      <c r="E2400"/>
      <c r="F2400"/>
    </row>
    <row r="2401" spans="1:6">
      <c r="A2401"/>
      <c r="B2401"/>
      <c r="C2401"/>
      <c r="D2401"/>
      <c r="E2401"/>
      <c r="F2401"/>
    </row>
    <row r="2402" spans="1:6">
      <c r="A2402"/>
      <c r="B2402"/>
      <c r="C2402"/>
      <c r="D2402"/>
      <c r="E2402"/>
      <c r="F2402"/>
    </row>
    <row r="2403" spans="1:6">
      <c r="A2403"/>
      <c r="B2403"/>
      <c r="C2403"/>
      <c r="D2403"/>
      <c r="E2403"/>
      <c r="F2403"/>
    </row>
    <row r="2404" spans="1:6">
      <c r="A2404"/>
      <c r="B2404"/>
      <c r="C2404"/>
      <c r="D2404"/>
      <c r="E2404"/>
      <c r="F2404"/>
    </row>
    <row r="2405" spans="1:6">
      <c r="A2405"/>
      <c r="B2405"/>
      <c r="C2405"/>
      <c r="D2405"/>
      <c r="E2405"/>
      <c r="F2405"/>
    </row>
    <row r="2406" spans="1:6">
      <c r="A2406"/>
      <c r="B2406"/>
      <c r="C2406"/>
      <c r="D2406"/>
      <c r="E2406"/>
      <c r="F2406"/>
    </row>
    <row r="2407" spans="1:6">
      <c r="A2407"/>
      <c r="B2407"/>
      <c r="C2407"/>
      <c r="D2407"/>
      <c r="E2407"/>
      <c r="F2407"/>
    </row>
    <row r="2408" spans="1:6">
      <c r="A2408"/>
      <c r="B2408"/>
      <c r="C2408"/>
      <c r="D2408"/>
      <c r="E2408"/>
      <c r="F2408"/>
    </row>
    <row r="2409" spans="1:6">
      <c r="A2409"/>
      <c r="B2409"/>
      <c r="C2409"/>
      <c r="D2409"/>
      <c r="E2409"/>
      <c r="F2409"/>
    </row>
    <row r="2410" spans="1:6">
      <c r="A2410"/>
      <c r="B2410"/>
      <c r="C2410"/>
      <c r="D2410"/>
      <c r="E2410"/>
      <c r="F2410"/>
    </row>
    <row r="2411" spans="1:6">
      <c r="A2411"/>
      <c r="B2411"/>
      <c r="C2411"/>
      <c r="D2411"/>
      <c r="E2411"/>
      <c r="F2411"/>
    </row>
    <row r="2412" spans="1:6">
      <c r="A2412"/>
      <c r="B2412"/>
      <c r="C2412"/>
      <c r="D2412"/>
      <c r="E2412"/>
      <c r="F2412"/>
    </row>
    <row r="2413" spans="1:6">
      <c r="A2413"/>
      <c r="B2413"/>
      <c r="C2413"/>
      <c r="D2413"/>
      <c r="E2413"/>
      <c r="F2413"/>
    </row>
    <row r="2414" spans="1:6">
      <c r="A2414"/>
      <c r="B2414"/>
      <c r="C2414"/>
      <c r="D2414"/>
      <c r="E2414"/>
      <c r="F2414"/>
    </row>
    <row r="2415" spans="1:6">
      <c r="A2415"/>
      <c r="B2415"/>
      <c r="C2415"/>
      <c r="D2415"/>
      <c r="E2415"/>
      <c r="F2415"/>
    </row>
    <row r="2416" spans="1:6">
      <c r="A2416"/>
      <c r="B2416"/>
      <c r="C2416"/>
      <c r="D2416"/>
      <c r="E2416"/>
      <c r="F2416"/>
    </row>
    <row r="2417" spans="1:6">
      <c r="A2417"/>
      <c r="B2417"/>
      <c r="C2417"/>
      <c r="D2417"/>
      <c r="E2417"/>
      <c r="F2417"/>
    </row>
    <row r="2418" spans="1:6">
      <c r="A2418"/>
      <c r="B2418"/>
      <c r="C2418"/>
      <c r="D2418"/>
      <c r="E2418"/>
      <c r="F2418"/>
    </row>
    <row r="2419" spans="1:6">
      <c r="A2419"/>
      <c r="B2419"/>
      <c r="C2419"/>
      <c r="D2419"/>
      <c r="E2419"/>
      <c r="F2419"/>
    </row>
    <row r="2420" spans="1:6">
      <c r="A2420"/>
      <c r="B2420"/>
      <c r="C2420"/>
      <c r="D2420"/>
      <c r="E2420"/>
      <c r="F2420"/>
    </row>
    <row r="2421" spans="1:6">
      <c r="A2421"/>
      <c r="B2421"/>
      <c r="C2421"/>
      <c r="D2421"/>
      <c r="E2421"/>
      <c r="F2421"/>
    </row>
    <row r="2422" spans="1:6">
      <c r="A2422"/>
      <c r="B2422"/>
      <c r="C2422"/>
      <c r="D2422"/>
      <c r="E2422"/>
      <c r="F2422"/>
    </row>
    <row r="2423" spans="1:6">
      <c r="A2423"/>
      <c r="B2423"/>
      <c r="C2423"/>
      <c r="D2423"/>
      <c r="E2423"/>
      <c r="F2423"/>
    </row>
    <row r="2424" spans="1:6">
      <c r="A2424"/>
      <c r="B2424"/>
      <c r="C2424"/>
      <c r="D2424"/>
      <c r="E2424"/>
      <c r="F2424"/>
    </row>
    <row r="2425" spans="1:6">
      <c r="A2425"/>
      <c r="B2425"/>
      <c r="C2425"/>
      <c r="D2425"/>
      <c r="E2425"/>
      <c r="F2425"/>
    </row>
    <row r="2426" spans="1:6">
      <c r="A2426"/>
      <c r="B2426"/>
      <c r="C2426"/>
      <c r="D2426"/>
      <c r="E2426"/>
      <c r="F2426"/>
    </row>
    <row r="2427" spans="1:6">
      <c r="A2427"/>
      <c r="B2427"/>
      <c r="C2427"/>
      <c r="D2427"/>
      <c r="E2427"/>
      <c r="F2427"/>
    </row>
    <row r="2428" spans="1:6">
      <c r="A2428"/>
      <c r="B2428"/>
      <c r="C2428"/>
      <c r="D2428"/>
      <c r="E2428"/>
      <c r="F2428"/>
    </row>
    <row r="2429" spans="1:6">
      <c r="A2429"/>
      <c r="B2429"/>
      <c r="C2429"/>
      <c r="D2429"/>
      <c r="E2429"/>
      <c r="F2429"/>
    </row>
    <row r="2430" spans="1:6">
      <c r="A2430"/>
      <c r="B2430"/>
      <c r="C2430"/>
      <c r="D2430"/>
      <c r="E2430"/>
      <c r="F2430"/>
    </row>
    <row r="2431" spans="1:6">
      <c r="A2431"/>
      <c r="B2431"/>
      <c r="C2431"/>
      <c r="D2431"/>
      <c r="E2431"/>
      <c r="F2431"/>
    </row>
    <row r="2432" spans="1:6">
      <c r="A2432"/>
      <c r="B2432"/>
      <c r="C2432"/>
      <c r="D2432"/>
      <c r="E2432"/>
      <c r="F2432"/>
    </row>
    <row r="2433" spans="1:6">
      <c r="A2433"/>
      <c r="B2433"/>
      <c r="C2433"/>
      <c r="D2433"/>
      <c r="E2433"/>
      <c r="F2433"/>
    </row>
    <row r="2434" spans="1:6">
      <c r="A2434"/>
      <c r="B2434"/>
      <c r="C2434"/>
      <c r="D2434"/>
      <c r="E2434"/>
      <c r="F2434"/>
    </row>
    <row r="2435" spans="1:6">
      <c r="A2435"/>
      <c r="B2435"/>
      <c r="C2435"/>
      <c r="D2435"/>
      <c r="E2435"/>
      <c r="F2435"/>
    </row>
    <row r="2436" spans="1:6">
      <c r="A2436"/>
      <c r="B2436"/>
      <c r="C2436"/>
      <c r="D2436"/>
      <c r="E2436"/>
      <c r="F2436"/>
    </row>
    <row r="2437" spans="1:6">
      <c r="A2437"/>
      <c r="B2437"/>
      <c r="C2437"/>
      <c r="D2437"/>
      <c r="E2437"/>
      <c r="F2437"/>
    </row>
    <row r="2438" spans="1:6">
      <c r="A2438"/>
      <c r="B2438"/>
      <c r="C2438"/>
      <c r="D2438"/>
      <c r="E2438"/>
      <c r="F2438"/>
    </row>
    <row r="2439" spans="1:6">
      <c r="A2439"/>
      <c r="B2439"/>
      <c r="C2439"/>
      <c r="D2439"/>
      <c r="E2439"/>
      <c r="F2439"/>
    </row>
    <row r="2440" spans="1:6">
      <c r="A2440"/>
      <c r="B2440"/>
      <c r="C2440"/>
      <c r="D2440"/>
      <c r="E2440"/>
      <c r="F2440"/>
    </row>
    <row r="2441" spans="1:6">
      <c r="A2441"/>
      <c r="B2441"/>
      <c r="C2441"/>
      <c r="D2441"/>
      <c r="E2441"/>
      <c r="F2441"/>
    </row>
    <row r="2442" spans="1:6">
      <c r="A2442"/>
      <c r="B2442"/>
      <c r="C2442"/>
      <c r="D2442"/>
      <c r="E2442"/>
      <c r="F2442"/>
    </row>
    <row r="2443" spans="1:6">
      <c r="A2443"/>
      <c r="B2443"/>
      <c r="C2443"/>
      <c r="D2443"/>
      <c r="E2443"/>
      <c r="F2443"/>
    </row>
    <row r="2444" spans="1:6">
      <c r="A2444"/>
      <c r="B2444"/>
      <c r="C2444"/>
      <c r="D2444"/>
      <c r="E2444"/>
      <c r="F2444"/>
    </row>
    <row r="2445" spans="1:6">
      <c r="A2445"/>
      <c r="B2445"/>
      <c r="C2445"/>
      <c r="D2445"/>
      <c r="E2445"/>
      <c r="F2445"/>
    </row>
    <row r="2446" spans="1:6">
      <c r="A2446"/>
      <c r="B2446"/>
      <c r="C2446"/>
      <c r="D2446"/>
      <c r="E2446"/>
      <c r="F2446"/>
    </row>
    <row r="2447" spans="1:6">
      <c r="A2447"/>
      <c r="B2447"/>
      <c r="C2447"/>
      <c r="D2447"/>
      <c r="E2447"/>
      <c r="F2447"/>
    </row>
    <row r="2448" spans="1:6">
      <c r="A2448"/>
      <c r="B2448"/>
      <c r="C2448"/>
      <c r="D2448"/>
      <c r="E2448"/>
      <c r="F2448"/>
    </row>
    <row r="2449" spans="1:6">
      <c r="A2449"/>
      <c r="B2449"/>
      <c r="C2449"/>
      <c r="D2449"/>
      <c r="E2449"/>
      <c r="F2449"/>
    </row>
    <row r="2450" spans="1:6">
      <c r="A2450"/>
      <c r="B2450"/>
      <c r="C2450"/>
      <c r="D2450"/>
      <c r="E2450"/>
      <c r="F2450"/>
    </row>
    <row r="2451" spans="1:6">
      <c r="A2451"/>
      <c r="B2451"/>
      <c r="C2451"/>
      <c r="D2451"/>
      <c r="E2451"/>
      <c r="F2451"/>
    </row>
    <row r="2452" spans="1:6">
      <c r="A2452"/>
      <c r="B2452"/>
      <c r="C2452"/>
      <c r="D2452"/>
      <c r="E2452"/>
      <c r="F2452"/>
    </row>
    <row r="2453" spans="1:6">
      <c r="A2453"/>
      <c r="B2453"/>
      <c r="C2453"/>
      <c r="D2453"/>
      <c r="E2453"/>
      <c r="F2453"/>
    </row>
    <row r="2454" spans="1:6">
      <c r="A2454"/>
      <c r="B2454"/>
      <c r="C2454"/>
      <c r="D2454"/>
      <c r="E2454"/>
      <c r="F2454"/>
    </row>
    <row r="2455" spans="1:6">
      <c r="A2455"/>
      <c r="B2455"/>
      <c r="C2455"/>
      <c r="D2455"/>
      <c r="E2455"/>
      <c r="F2455"/>
    </row>
    <row r="2456" spans="1:6">
      <c r="A2456"/>
      <c r="B2456"/>
      <c r="C2456"/>
      <c r="D2456"/>
      <c r="E2456"/>
      <c r="F2456"/>
    </row>
    <row r="2457" spans="1:6">
      <c r="A2457"/>
      <c r="B2457"/>
      <c r="C2457"/>
      <c r="D2457"/>
      <c r="E2457"/>
      <c r="F2457"/>
    </row>
    <row r="2458" spans="1:6">
      <c r="A2458"/>
      <c r="B2458"/>
      <c r="C2458"/>
      <c r="D2458"/>
      <c r="E2458"/>
      <c r="F2458"/>
    </row>
    <row r="2459" spans="1:6">
      <c r="A2459"/>
      <c r="B2459"/>
      <c r="C2459"/>
      <c r="D2459"/>
      <c r="E2459"/>
      <c r="F2459"/>
    </row>
    <row r="2460" spans="1:6">
      <c r="A2460"/>
      <c r="B2460"/>
      <c r="C2460"/>
      <c r="D2460"/>
      <c r="E2460"/>
      <c r="F2460"/>
    </row>
    <row r="2461" spans="1:6">
      <c r="A2461"/>
      <c r="B2461"/>
      <c r="C2461"/>
      <c r="D2461"/>
      <c r="E2461"/>
      <c r="F2461"/>
    </row>
    <row r="2462" spans="1:6">
      <c r="A2462"/>
      <c r="B2462"/>
      <c r="C2462"/>
      <c r="D2462"/>
      <c r="E2462"/>
      <c r="F2462"/>
    </row>
    <row r="2463" spans="1:6">
      <c r="A2463"/>
      <c r="B2463"/>
      <c r="C2463"/>
      <c r="D2463"/>
      <c r="E2463"/>
      <c r="F2463"/>
    </row>
    <row r="2464" spans="1:6">
      <c r="A2464"/>
      <c r="B2464"/>
      <c r="C2464"/>
      <c r="D2464"/>
      <c r="E2464"/>
      <c r="F2464"/>
    </row>
    <row r="2465" spans="1:6">
      <c r="A2465"/>
      <c r="B2465"/>
      <c r="C2465"/>
      <c r="D2465"/>
      <c r="E2465"/>
      <c r="F2465"/>
    </row>
    <row r="2466" spans="1:6">
      <c r="A2466"/>
      <c r="B2466"/>
      <c r="C2466"/>
      <c r="D2466"/>
      <c r="E2466"/>
      <c r="F2466"/>
    </row>
    <row r="2467" spans="1:6">
      <c r="A2467"/>
      <c r="B2467"/>
      <c r="C2467"/>
      <c r="D2467"/>
      <c r="E2467"/>
      <c r="F2467"/>
    </row>
    <row r="2468" spans="1:6">
      <c r="A2468"/>
      <c r="B2468"/>
      <c r="C2468"/>
      <c r="D2468"/>
      <c r="E2468"/>
      <c r="F2468"/>
    </row>
    <row r="2469" spans="1:6">
      <c r="A2469"/>
      <c r="B2469"/>
      <c r="C2469"/>
      <c r="D2469"/>
      <c r="E2469"/>
      <c r="F2469"/>
    </row>
    <row r="2470" spans="1:6">
      <c r="A2470"/>
      <c r="B2470"/>
      <c r="C2470"/>
      <c r="D2470"/>
      <c r="E2470"/>
      <c r="F2470"/>
    </row>
    <row r="2471" spans="1:6">
      <c r="A2471"/>
      <c r="B2471"/>
      <c r="C2471"/>
      <c r="D2471"/>
      <c r="E2471"/>
      <c r="F2471"/>
    </row>
    <row r="2472" spans="1:6">
      <c r="A2472"/>
      <c r="B2472"/>
      <c r="C2472"/>
      <c r="D2472"/>
      <c r="E2472"/>
      <c r="F2472"/>
    </row>
    <row r="2473" spans="1:6">
      <c r="A2473"/>
      <c r="B2473"/>
      <c r="C2473"/>
      <c r="D2473"/>
      <c r="E2473"/>
      <c r="F2473"/>
    </row>
    <row r="2474" spans="1:6">
      <c r="A2474"/>
      <c r="B2474"/>
      <c r="C2474"/>
      <c r="D2474"/>
      <c r="E2474"/>
      <c r="F2474"/>
    </row>
    <row r="2475" spans="1:6">
      <c r="A2475"/>
      <c r="B2475"/>
      <c r="C2475"/>
      <c r="D2475"/>
      <c r="E2475"/>
      <c r="F2475"/>
    </row>
    <row r="2476" spans="1:6">
      <c r="A2476"/>
      <c r="B2476"/>
      <c r="C2476"/>
      <c r="D2476"/>
      <c r="E2476"/>
      <c r="F2476"/>
    </row>
    <row r="2477" spans="1:6">
      <c r="A2477"/>
      <c r="B2477"/>
      <c r="C2477"/>
      <c r="D2477"/>
      <c r="E2477"/>
      <c r="F2477"/>
    </row>
    <row r="2478" spans="1:6">
      <c r="A2478"/>
      <c r="B2478"/>
      <c r="C2478"/>
      <c r="D2478"/>
      <c r="E2478"/>
      <c r="F2478"/>
    </row>
    <row r="2479" spans="1:6">
      <c r="A2479"/>
      <c r="B2479"/>
      <c r="C2479"/>
      <c r="D2479"/>
      <c r="E2479"/>
      <c r="F2479"/>
    </row>
    <row r="2480" spans="1:6">
      <c r="A2480"/>
      <c r="B2480"/>
      <c r="C2480"/>
      <c r="D2480"/>
      <c r="E2480"/>
      <c r="F2480"/>
    </row>
    <row r="2481" spans="1:6">
      <c r="A2481"/>
      <c r="B2481"/>
      <c r="C2481"/>
      <c r="D2481"/>
      <c r="E2481"/>
      <c r="F2481"/>
    </row>
    <row r="2482" spans="1:6">
      <c r="A2482"/>
      <c r="B2482"/>
      <c r="C2482"/>
      <c r="D2482"/>
      <c r="E2482"/>
      <c r="F2482"/>
    </row>
    <row r="2483" spans="1:6">
      <c r="A2483"/>
      <c r="B2483"/>
      <c r="C2483"/>
      <c r="D2483"/>
      <c r="E2483"/>
      <c r="F2483"/>
    </row>
    <row r="2484" spans="1:6">
      <c r="A2484"/>
      <c r="B2484"/>
      <c r="C2484"/>
      <c r="D2484"/>
      <c r="E2484"/>
      <c r="F2484"/>
    </row>
    <row r="2485" spans="1:6">
      <c r="A2485"/>
      <c r="B2485"/>
      <c r="C2485"/>
      <c r="D2485"/>
      <c r="E2485"/>
      <c r="F2485"/>
    </row>
    <row r="2486" spans="1:6">
      <c r="A2486"/>
      <c r="B2486"/>
      <c r="C2486"/>
      <c r="D2486"/>
      <c r="E2486"/>
      <c r="F2486"/>
    </row>
    <row r="2487" spans="1:6">
      <c r="A2487"/>
      <c r="B2487"/>
      <c r="C2487"/>
      <c r="D2487"/>
      <c r="E2487"/>
      <c r="F2487"/>
    </row>
    <row r="2488" spans="1:6">
      <c r="A2488"/>
      <c r="B2488"/>
      <c r="C2488"/>
      <c r="D2488"/>
      <c r="E2488"/>
      <c r="F2488"/>
    </row>
    <row r="2489" spans="1:6">
      <c r="A2489"/>
      <c r="B2489"/>
      <c r="C2489"/>
      <c r="D2489"/>
      <c r="E2489"/>
      <c r="F2489"/>
    </row>
    <row r="2490" spans="1:6">
      <c r="A2490"/>
      <c r="B2490"/>
      <c r="C2490"/>
      <c r="D2490"/>
      <c r="E2490"/>
      <c r="F2490"/>
    </row>
    <row r="2491" spans="1:6">
      <c r="A2491"/>
      <c r="B2491"/>
      <c r="C2491"/>
      <c r="D2491"/>
      <c r="E2491"/>
      <c r="F2491"/>
    </row>
    <row r="2492" spans="1:6">
      <c r="A2492"/>
      <c r="B2492"/>
      <c r="C2492"/>
      <c r="D2492"/>
      <c r="E2492"/>
      <c r="F2492"/>
    </row>
    <row r="2493" spans="1:6">
      <c r="A2493"/>
      <c r="B2493"/>
      <c r="C2493"/>
      <c r="D2493"/>
      <c r="E2493"/>
      <c r="F2493"/>
    </row>
    <row r="2494" spans="1:6">
      <c r="A2494"/>
      <c r="B2494"/>
      <c r="C2494"/>
      <c r="D2494"/>
      <c r="E2494"/>
      <c r="F2494"/>
    </row>
    <row r="2495" spans="1:6">
      <c r="A2495"/>
      <c r="B2495"/>
      <c r="C2495"/>
      <c r="D2495"/>
      <c r="E2495"/>
      <c r="F2495"/>
    </row>
    <row r="2496" spans="1:6">
      <c r="A2496"/>
      <c r="B2496"/>
      <c r="C2496"/>
      <c r="D2496"/>
      <c r="E2496"/>
      <c r="F2496"/>
    </row>
    <row r="2497" spans="1:6">
      <c r="A2497"/>
      <c r="B2497"/>
      <c r="C2497"/>
      <c r="D2497"/>
      <c r="E2497"/>
      <c r="F2497"/>
    </row>
    <row r="2498" spans="1:6">
      <c r="A2498"/>
      <c r="B2498"/>
      <c r="C2498"/>
      <c r="D2498"/>
      <c r="E2498"/>
      <c r="F2498"/>
    </row>
    <row r="2499" spans="1:6">
      <c r="A2499"/>
      <c r="B2499"/>
      <c r="C2499"/>
      <c r="D2499"/>
      <c r="E2499"/>
      <c r="F2499"/>
    </row>
    <row r="2500" spans="1:6">
      <c r="A2500"/>
      <c r="B2500"/>
      <c r="C2500"/>
      <c r="D2500"/>
      <c r="E2500"/>
      <c r="F2500"/>
    </row>
    <row r="2501" spans="1:6">
      <c r="A2501"/>
      <c r="B2501"/>
      <c r="C2501"/>
      <c r="D2501"/>
      <c r="E2501"/>
      <c r="F2501"/>
    </row>
    <row r="2502" spans="1:6">
      <c r="A2502"/>
      <c r="B2502"/>
      <c r="C2502"/>
      <c r="D2502"/>
      <c r="E2502"/>
      <c r="F2502"/>
    </row>
    <row r="2503" spans="1:6">
      <c r="A2503"/>
      <c r="B2503"/>
      <c r="C2503"/>
      <c r="D2503"/>
      <c r="E2503"/>
      <c r="F2503"/>
    </row>
    <row r="2504" spans="1:6">
      <c r="A2504"/>
      <c r="B2504"/>
      <c r="C2504"/>
      <c r="D2504"/>
      <c r="E2504"/>
      <c r="F2504"/>
    </row>
    <row r="2505" spans="1:6">
      <c r="A2505"/>
      <c r="B2505"/>
      <c r="C2505"/>
      <c r="D2505"/>
      <c r="E2505"/>
      <c r="F2505"/>
    </row>
    <row r="2506" spans="1:6">
      <c r="A2506"/>
      <c r="B2506"/>
      <c r="C2506"/>
      <c r="D2506"/>
      <c r="E2506"/>
      <c r="F2506"/>
    </row>
    <row r="2507" spans="1:6">
      <c r="A2507"/>
      <c r="B2507"/>
      <c r="C2507"/>
      <c r="D2507"/>
      <c r="E2507"/>
      <c r="F2507"/>
    </row>
    <row r="2508" spans="1:6">
      <c r="A2508"/>
      <c r="B2508"/>
      <c r="C2508"/>
      <c r="D2508"/>
      <c r="E2508"/>
      <c r="F2508"/>
    </row>
    <row r="2509" spans="1:6">
      <c r="A2509"/>
      <c r="B2509"/>
      <c r="C2509"/>
      <c r="D2509"/>
      <c r="E2509"/>
      <c r="F2509"/>
    </row>
    <row r="2510" spans="1:6">
      <c r="A2510"/>
      <c r="B2510"/>
      <c r="C2510"/>
      <c r="D2510"/>
      <c r="E2510"/>
      <c r="F2510"/>
    </row>
    <row r="2511" spans="1:6">
      <c r="A2511"/>
      <c r="B2511"/>
      <c r="C2511"/>
      <c r="D2511"/>
      <c r="E2511"/>
      <c r="F2511"/>
    </row>
    <row r="2512" spans="1:6">
      <c r="A2512"/>
      <c r="B2512"/>
      <c r="C2512"/>
      <c r="D2512"/>
      <c r="E2512"/>
      <c r="F2512"/>
    </row>
    <row r="2513" spans="1:6">
      <c r="A2513"/>
      <c r="B2513"/>
      <c r="C2513"/>
      <c r="D2513"/>
      <c r="E2513"/>
      <c r="F2513"/>
    </row>
    <row r="2514" spans="1:6">
      <c r="A2514"/>
      <c r="B2514"/>
      <c r="C2514"/>
      <c r="D2514"/>
      <c r="E2514"/>
      <c r="F2514"/>
    </row>
    <row r="2515" spans="1:6">
      <c r="A2515"/>
      <c r="B2515"/>
      <c r="C2515"/>
      <c r="D2515"/>
      <c r="E2515"/>
      <c r="F2515"/>
    </row>
    <row r="2516" spans="1:6">
      <c r="A2516"/>
      <c r="B2516"/>
      <c r="C2516"/>
      <c r="D2516"/>
      <c r="E2516"/>
      <c r="F2516"/>
    </row>
    <row r="2517" spans="1:6">
      <c r="A2517"/>
      <c r="B2517"/>
      <c r="C2517"/>
      <c r="D2517"/>
      <c r="E2517"/>
      <c r="F2517"/>
    </row>
    <row r="2518" spans="1:6">
      <c r="A2518"/>
      <c r="B2518"/>
      <c r="C2518"/>
      <c r="D2518"/>
      <c r="E2518"/>
      <c r="F2518"/>
    </row>
    <row r="2519" spans="1:6">
      <c r="A2519"/>
      <c r="B2519"/>
      <c r="C2519"/>
      <c r="D2519"/>
      <c r="E2519"/>
      <c r="F2519"/>
    </row>
    <row r="2520" spans="1:6">
      <c r="A2520"/>
      <c r="B2520"/>
      <c r="C2520"/>
      <c r="D2520"/>
      <c r="E2520"/>
      <c r="F2520"/>
    </row>
    <row r="2521" spans="1:6">
      <c r="A2521"/>
      <c r="B2521"/>
      <c r="C2521"/>
      <c r="D2521"/>
      <c r="E2521"/>
      <c r="F2521"/>
    </row>
    <row r="2522" spans="1:6">
      <c r="A2522"/>
      <c r="B2522"/>
      <c r="C2522"/>
      <c r="D2522"/>
      <c r="E2522"/>
      <c r="F2522"/>
    </row>
    <row r="2523" spans="1:6">
      <c r="A2523"/>
      <c r="B2523"/>
      <c r="C2523"/>
      <c r="D2523"/>
      <c r="E2523"/>
      <c r="F2523"/>
    </row>
    <row r="2524" spans="1:6">
      <c r="A2524"/>
      <c r="B2524"/>
      <c r="C2524"/>
      <c r="D2524"/>
      <c r="E2524"/>
      <c r="F2524"/>
    </row>
    <row r="2525" spans="1:6">
      <c r="A2525"/>
      <c r="B2525"/>
      <c r="C2525"/>
      <c r="D2525"/>
      <c r="E2525"/>
      <c r="F2525"/>
    </row>
    <row r="2526" spans="1:6">
      <c r="A2526"/>
      <c r="B2526"/>
      <c r="C2526"/>
      <c r="D2526"/>
      <c r="E2526"/>
      <c r="F2526"/>
    </row>
    <row r="2527" spans="1:6">
      <c r="A2527"/>
      <c r="B2527"/>
      <c r="C2527"/>
      <c r="D2527"/>
      <c r="E2527"/>
      <c r="F2527"/>
    </row>
    <row r="2528" spans="1:6">
      <c r="A2528"/>
      <c r="B2528"/>
      <c r="C2528"/>
      <c r="D2528"/>
      <c r="E2528"/>
      <c r="F2528"/>
    </row>
    <row r="2529" spans="1:6">
      <c r="A2529"/>
      <c r="B2529"/>
      <c r="C2529"/>
      <c r="D2529"/>
      <c r="E2529"/>
      <c r="F2529"/>
    </row>
    <row r="2530" spans="1:6">
      <c r="A2530"/>
      <c r="B2530"/>
      <c r="C2530"/>
      <c r="D2530"/>
      <c r="E2530"/>
      <c r="F2530"/>
    </row>
    <row r="2531" spans="1:6">
      <c r="A2531"/>
      <c r="B2531"/>
      <c r="C2531"/>
      <c r="D2531"/>
      <c r="E2531"/>
      <c r="F2531"/>
    </row>
    <row r="2532" spans="1:6">
      <c r="A2532"/>
      <c r="B2532"/>
      <c r="C2532"/>
      <c r="D2532"/>
      <c r="E2532"/>
      <c r="F2532"/>
    </row>
    <row r="2533" spans="1:6">
      <c r="A2533"/>
      <c r="B2533"/>
      <c r="C2533"/>
      <c r="D2533"/>
      <c r="E2533"/>
      <c r="F2533"/>
    </row>
    <row r="2534" spans="1:6">
      <c r="A2534"/>
      <c r="B2534"/>
      <c r="C2534"/>
      <c r="D2534"/>
      <c r="E2534"/>
      <c r="F2534"/>
    </row>
    <row r="2535" spans="1:6">
      <c r="A2535"/>
      <c r="B2535"/>
      <c r="C2535"/>
      <c r="D2535"/>
      <c r="E2535"/>
      <c r="F2535"/>
    </row>
    <row r="2536" spans="1:6">
      <c r="A2536"/>
      <c r="B2536"/>
      <c r="C2536"/>
      <c r="D2536"/>
      <c r="E2536"/>
      <c r="F2536"/>
    </row>
    <row r="2537" spans="1:6">
      <c r="A2537"/>
      <c r="B2537"/>
      <c r="C2537"/>
      <c r="D2537"/>
      <c r="E2537"/>
      <c r="F2537"/>
    </row>
    <row r="2538" spans="1:6">
      <c r="A2538"/>
      <c r="B2538"/>
      <c r="C2538"/>
      <c r="D2538"/>
      <c r="E2538"/>
      <c r="F2538"/>
    </row>
    <row r="2539" spans="1:6">
      <c r="A2539"/>
      <c r="B2539"/>
      <c r="C2539"/>
      <c r="D2539"/>
      <c r="E2539"/>
      <c r="F2539"/>
    </row>
    <row r="2540" spans="1:6">
      <c r="A2540"/>
      <c r="B2540"/>
      <c r="C2540"/>
      <c r="D2540"/>
      <c r="E2540"/>
      <c r="F2540"/>
    </row>
    <row r="2541" spans="1:6">
      <c r="A2541"/>
      <c r="B2541"/>
      <c r="C2541"/>
      <c r="D2541"/>
      <c r="E2541"/>
      <c r="F2541"/>
    </row>
    <row r="2542" spans="1:6">
      <c r="A2542"/>
      <c r="B2542"/>
      <c r="C2542"/>
      <c r="D2542"/>
      <c r="E2542"/>
      <c r="F2542"/>
    </row>
    <row r="2543" spans="1:6">
      <c r="A2543"/>
      <c r="B2543"/>
      <c r="C2543"/>
      <c r="D2543"/>
      <c r="E2543"/>
      <c r="F2543"/>
    </row>
    <row r="2544" spans="1:6">
      <c r="A2544"/>
      <c r="B2544"/>
      <c r="C2544"/>
      <c r="D2544"/>
      <c r="E2544"/>
      <c r="F2544"/>
    </row>
    <row r="2545" spans="1:6">
      <c r="A2545"/>
      <c r="B2545"/>
      <c r="C2545"/>
      <c r="D2545"/>
      <c r="E2545"/>
      <c r="F2545"/>
    </row>
    <row r="2546" spans="1:6">
      <c r="A2546"/>
      <c r="B2546"/>
      <c r="C2546"/>
      <c r="D2546"/>
      <c r="E2546"/>
      <c r="F2546"/>
    </row>
    <row r="2547" spans="1:6">
      <c r="A2547"/>
      <c r="B2547"/>
      <c r="C2547"/>
      <c r="D2547"/>
      <c r="E2547"/>
      <c r="F2547"/>
    </row>
    <row r="2548" spans="1:6">
      <c r="A2548"/>
      <c r="B2548"/>
      <c r="C2548"/>
      <c r="D2548"/>
      <c r="E2548"/>
      <c r="F2548"/>
    </row>
    <row r="2549" spans="1:6">
      <c r="A2549"/>
      <c r="B2549"/>
      <c r="C2549"/>
      <c r="D2549"/>
      <c r="E2549"/>
      <c r="F2549"/>
    </row>
    <row r="2550" spans="1:6">
      <c r="A2550"/>
      <c r="B2550"/>
      <c r="C2550"/>
      <c r="D2550"/>
      <c r="E2550"/>
      <c r="F2550"/>
    </row>
    <row r="2551" spans="1:6">
      <c r="A2551"/>
      <c r="B2551"/>
      <c r="C2551"/>
      <c r="D2551"/>
      <c r="E2551"/>
      <c r="F2551"/>
    </row>
    <row r="2552" spans="1:6">
      <c r="A2552"/>
      <c r="B2552"/>
      <c r="C2552"/>
      <c r="D2552"/>
      <c r="E2552"/>
      <c r="F2552"/>
    </row>
    <row r="2553" spans="1:6">
      <c r="A2553"/>
      <c r="B2553"/>
      <c r="C2553"/>
      <c r="D2553"/>
      <c r="E2553"/>
      <c r="F2553"/>
    </row>
    <row r="2554" spans="1:6">
      <c r="A2554"/>
      <c r="B2554"/>
      <c r="C2554"/>
      <c r="D2554"/>
      <c r="E2554"/>
      <c r="F2554"/>
    </row>
    <row r="2555" spans="1:6">
      <c r="A2555"/>
      <c r="B2555"/>
      <c r="C2555"/>
      <c r="D2555"/>
      <c r="E2555"/>
      <c r="F2555"/>
    </row>
    <row r="2556" spans="1:6">
      <c r="A2556"/>
      <c r="B2556"/>
      <c r="C2556"/>
      <c r="D2556"/>
      <c r="E2556"/>
      <c r="F2556"/>
    </row>
    <row r="2557" spans="1:6">
      <c r="A2557"/>
      <c r="B2557"/>
      <c r="C2557"/>
      <c r="D2557"/>
      <c r="E2557"/>
      <c r="F2557"/>
    </row>
    <row r="2558" spans="1:6">
      <c r="A2558"/>
      <c r="B2558"/>
      <c r="C2558"/>
      <c r="D2558"/>
      <c r="E2558"/>
      <c r="F2558"/>
    </row>
    <row r="2559" spans="1:6">
      <c r="A2559"/>
      <c r="B2559"/>
      <c r="C2559"/>
      <c r="D2559"/>
      <c r="E2559"/>
      <c r="F2559"/>
    </row>
    <row r="2560" spans="1:6">
      <c r="A2560"/>
      <c r="B2560"/>
      <c r="C2560"/>
      <c r="D2560"/>
      <c r="E2560"/>
      <c r="F2560"/>
    </row>
    <row r="2561" spans="1:6">
      <c r="A2561"/>
      <c r="B2561"/>
      <c r="C2561"/>
      <c r="D2561"/>
      <c r="E2561"/>
      <c r="F2561"/>
    </row>
    <row r="2562" spans="1:6">
      <c r="A2562"/>
      <c r="B2562"/>
      <c r="C2562"/>
      <c r="D2562"/>
      <c r="E2562"/>
      <c r="F2562"/>
    </row>
    <row r="2563" spans="1:6">
      <c r="A2563"/>
      <c r="B2563"/>
      <c r="C2563"/>
      <c r="D2563"/>
      <c r="E2563"/>
      <c r="F2563"/>
    </row>
    <row r="2564" spans="1:6">
      <c r="A2564"/>
      <c r="B2564"/>
      <c r="C2564"/>
      <c r="D2564"/>
      <c r="E2564"/>
      <c r="F2564"/>
    </row>
    <row r="2565" spans="1:6">
      <c r="A2565"/>
      <c r="B2565"/>
      <c r="C2565"/>
      <c r="D2565"/>
      <c r="E2565"/>
      <c r="F2565"/>
    </row>
    <row r="2566" spans="1:6">
      <c r="A2566"/>
      <c r="B2566"/>
      <c r="C2566"/>
      <c r="D2566"/>
      <c r="E2566"/>
      <c r="F2566"/>
    </row>
    <row r="2567" spans="1:6">
      <c r="A2567"/>
      <c r="B2567"/>
      <c r="C2567"/>
      <c r="D2567"/>
      <c r="E2567"/>
      <c r="F2567"/>
    </row>
    <row r="2568" spans="1:6">
      <c r="A2568"/>
      <c r="B2568"/>
      <c r="C2568"/>
      <c r="D2568"/>
      <c r="E2568"/>
      <c r="F2568"/>
    </row>
    <row r="2569" spans="1:6">
      <c r="A2569"/>
      <c r="B2569"/>
      <c r="C2569"/>
      <c r="D2569"/>
      <c r="E2569"/>
      <c r="F2569"/>
    </row>
    <row r="2570" spans="1:6">
      <c r="A2570"/>
      <c r="B2570"/>
      <c r="C2570"/>
      <c r="D2570"/>
      <c r="E2570"/>
      <c r="F2570"/>
    </row>
    <row r="2571" spans="1:6">
      <c r="A2571"/>
      <c r="B2571"/>
      <c r="C2571"/>
      <c r="D2571"/>
      <c r="E2571"/>
      <c r="F2571"/>
    </row>
    <row r="2572" spans="1:6">
      <c r="A2572"/>
      <c r="B2572"/>
      <c r="C2572"/>
      <c r="D2572"/>
      <c r="E2572"/>
      <c r="F2572"/>
    </row>
    <row r="2573" spans="1:6">
      <c r="A2573"/>
      <c r="B2573"/>
      <c r="C2573"/>
      <c r="D2573"/>
      <c r="E2573"/>
      <c r="F2573"/>
    </row>
    <row r="2574" spans="1:6">
      <c r="A2574"/>
      <c r="B2574"/>
      <c r="C2574"/>
      <c r="D2574"/>
      <c r="E2574"/>
      <c r="F2574"/>
    </row>
    <row r="2575" spans="1:6">
      <c r="A2575"/>
      <c r="B2575"/>
      <c r="C2575"/>
      <c r="D2575"/>
      <c r="E2575"/>
      <c r="F2575"/>
    </row>
    <row r="2576" spans="1:6">
      <c r="A2576"/>
      <c r="B2576"/>
      <c r="C2576"/>
      <c r="D2576"/>
      <c r="E2576"/>
      <c r="F2576"/>
    </row>
    <row r="2577" spans="1:6">
      <c r="A2577"/>
      <c r="B2577"/>
      <c r="C2577"/>
      <c r="D2577"/>
      <c r="E2577"/>
      <c r="F2577"/>
    </row>
    <row r="2578" spans="1:6">
      <c r="A2578"/>
      <c r="B2578"/>
      <c r="C2578"/>
      <c r="D2578"/>
      <c r="E2578"/>
      <c r="F2578"/>
    </row>
    <row r="2579" spans="1:6">
      <c r="A2579"/>
      <c r="B2579"/>
      <c r="C2579"/>
      <c r="D2579"/>
      <c r="E2579"/>
      <c r="F2579"/>
    </row>
    <row r="2580" spans="1:6">
      <c r="A2580"/>
      <c r="B2580"/>
      <c r="C2580"/>
      <c r="D2580"/>
      <c r="E2580"/>
      <c r="F2580"/>
    </row>
    <row r="2581" spans="1:6">
      <c r="A2581"/>
      <c r="B2581"/>
      <c r="C2581"/>
      <c r="D2581"/>
      <c r="E2581"/>
      <c r="F2581"/>
    </row>
    <row r="2582" spans="1:6">
      <c r="A2582"/>
      <c r="B2582"/>
      <c r="C2582"/>
      <c r="D2582"/>
      <c r="E2582"/>
      <c r="F2582"/>
    </row>
    <row r="2583" spans="1:6">
      <c r="A2583"/>
      <c r="B2583"/>
      <c r="C2583"/>
      <c r="D2583"/>
      <c r="E2583"/>
      <c r="F2583"/>
    </row>
    <row r="2584" spans="1:6">
      <c r="A2584"/>
      <c r="B2584"/>
      <c r="C2584"/>
      <c r="D2584"/>
      <c r="E2584"/>
      <c r="F2584"/>
    </row>
    <row r="2585" spans="1:6">
      <c r="A2585"/>
      <c r="B2585"/>
      <c r="C2585"/>
      <c r="D2585"/>
      <c r="E2585"/>
      <c r="F2585"/>
    </row>
    <row r="2586" spans="1:6">
      <c r="A2586"/>
      <c r="B2586"/>
      <c r="C2586"/>
      <c r="D2586"/>
      <c r="E2586"/>
      <c r="F2586"/>
    </row>
    <row r="2587" spans="1:6">
      <c r="A2587"/>
      <c r="B2587"/>
      <c r="C2587"/>
      <c r="D2587"/>
      <c r="E2587"/>
      <c r="F2587"/>
    </row>
    <row r="2588" spans="1:6">
      <c r="A2588"/>
      <c r="B2588"/>
      <c r="C2588"/>
      <c r="D2588"/>
      <c r="E2588"/>
      <c r="F2588"/>
    </row>
    <row r="2589" spans="1:6">
      <c r="A2589"/>
      <c r="B2589"/>
      <c r="C2589"/>
      <c r="D2589"/>
      <c r="E2589"/>
      <c r="F2589"/>
    </row>
    <row r="2590" spans="1:6">
      <c r="A2590"/>
      <c r="B2590"/>
      <c r="C2590"/>
      <c r="D2590"/>
      <c r="E2590"/>
      <c r="F2590"/>
    </row>
    <row r="2591" spans="1:6">
      <c r="A2591"/>
      <c r="B2591"/>
      <c r="C2591"/>
      <c r="D2591"/>
      <c r="E2591"/>
      <c r="F2591"/>
    </row>
    <row r="2592" spans="1:6">
      <c r="A2592"/>
      <c r="B2592"/>
      <c r="C2592"/>
      <c r="D2592"/>
      <c r="E2592"/>
      <c r="F2592"/>
    </row>
    <row r="2593" spans="1:6">
      <c r="A2593"/>
      <c r="B2593"/>
      <c r="C2593"/>
      <c r="D2593"/>
      <c r="E2593"/>
      <c r="F2593"/>
    </row>
    <row r="2594" spans="1:6">
      <c r="A2594"/>
      <c r="B2594"/>
      <c r="C2594"/>
      <c r="D2594"/>
      <c r="E2594"/>
      <c r="F2594"/>
    </row>
    <row r="2595" spans="1:6">
      <c r="A2595"/>
      <c r="B2595"/>
      <c r="C2595"/>
      <c r="D2595"/>
      <c r="E2595"/>
      <c r="F2595"/>
    </row>
    <row r="2596" spans="1:6">
      <c r="A2596"/>
      <c r="B2596"/>
      <c r="C2596"/>
      <c r="D2596"/>
      <c r="E2596"/>
      <c r="F2596"/>
    </row>
    <row r="2597" spans="1:6">
      <c r="A2597"/>
      <c r="B2597"/>
      <c r="C2597"/>
      <c r="D2597"/>
      <c r="E2597"/>
      <c r="F2597"/>
    </row>
    <row r="2598" spans="1:6">
      <c r="A2598"/>
      <c r="B2598"/>
      <c r="C2598"/>
      <c r="D2598"/>
      <c r="E2598"/>
      <c r="F2598"/>
    </row>
    <row r="2599" spans="1:6">
      <c r="A2599"/>
      <c r="B2599"/>
      <c r="C2599"/>
      <c r="D2599"/>
      <c r="E2599"/>
      <c r="F2599"/>
    </row>
    <row r="2600" spans="1:6">
      <c r="A2600"/>
      <c r="B2600"/>
      <c r="C2600"/>
      <c r="D2600"/>
      <c r="E2600"/>
      <c r="F2600"/>
    </row>
    <row r="2601" spans="1:6">
      <c r="A2601"/>
      <c r="B2601"/>
      <c r="C2601"/>
      <c r="D2601"/>
      <c r="E2601"/>
      <c r="F2601"/>
    </row>
    <row r="2602" spans="1:6">
      <c r="A2602"/>
      <c r="B2602"/>
      <c r="C2602"/>
      <c r="D2602"/>
      <c r="E2602"/>
      <c r="F2602"/>
    </row>
    <row r="2603" spans="1:6">
      <c r="A2603"/>
      <c r="B2603"/>
      <c r="C2603"/>
      <c r="D2603"/>
      <c r="E2603"/>
      <c r="F2603"/>
    </row>
    <row r="2604" spans="1:6">
      <c r="A2604"/>
      <c r="B2604"/>
      <c r="C2604"/>
      <c r="D2604"/>
      <c r="E2604"/>
      <c r="F2604"/>
    </row>
    <row r="2605" spans="1:6">
      <c r="A2605"/>
      <c r="B2605"/>
      <c r="C2605"/>
      <c r="D2605"/>
      <c r="E2605"/>
      <c r="F2605"/>
    </row>
    <row r="2606" spans="1:6">
      <c r="A2606"/>
      <c r="B2606"/>
      <c r="C2606"/>
      <c r="D2606"/>
      <c r="E2606"/>
      <c r="F2606"/>
    </row>
    <row r="2607" spans="1:6">
      <c r="A2607"/>
      <c r="B2607"/>
      <c r="C2607"/>
      <c r="D2607"/>
      <c r="E2607"/>
      <c r="F2607"/>
    </row>
    <row r="2608" spans="1:6">
      <c r="A2608"/>
      <c r="B2608"/>
      <c r="C2608"/>
      <c r="D2608"/>
      <c r="E2608"/>
      <c r="F2608"/>
    </row>
    <row r="2609" spans="1:6">
      <c r="A2609"/>
      <c r="B2609"/>
      <c r="C2609"/>
      <c r="D2609"/>
      <c r="E2609"/>
      <c r="F2609"/>
    </row>
    <row r="2610" spans="1:6">
      <c r="A2610"/>
      <c r="B2610"/>
      <c r="C2610"/>
      <c r="D2610"/>
      <c r="E2610"/>
      <c r="F2610"/>
    </row>
    <row r="2611" spans="1:6">
      <c r="A2611"/>
      <c r="B2611"/>
      <c r="C2611"/>
      <c r="D2611"/>
      <c r="E2611"/>
      <c r="F2611"/>
    </row>
    <row r="2612" spans="1:6">
      <c r="A2612"/>
      <c r="B2612"/>
      <c r="C2612"/>
      <c r="D2612"/>
      <c r="E2612"/>
      <c r="F2612"/>
    </row>
    <row r="2613" spans="1:6">
      <c r="A2613"/>
      <c r="B2613"/>
      <c r="C2613"/>
      <c r="D2613"/>
      <c r="E2613"/>
      <c r="F2613"/>
    </row>
    <row r="2614" spans="1:6">
      <c r="A2614"/>
      <c r="B2614"/>
      <c r="C2614"/>
      <c r="D2614"/>
      <c r="E2614"/>
      <c r="F2614"/>
    </row>
    <row r="2615" spans="1:6">
      <c r="A2615"/>
      <c r="B2615"/>
      <c r="C2615"/>
      <c r="D2615"/>
      <c r="E2615"/>
      <c r="F2615"/>
    </row>
    <row r="2616" spans="1:6">
      <c r="A2616"/>
      <c r="B2616"/>
      <c r="C2616"/>
      <c r="D2616"/>
      <c r="E2616"/>
      <c r="F2616"/>
    </row>
    <row r="2617" spans="1:6">
      <c r="A2617"/>
      <c r="B2617"/>
      <c r="C2617"/>
      <c r="D2617"/>
      <c r="E2617"/>
      <c r="F2617"/>
    </row>
    <row r="2618" spans="1:6">
      <c r="A2618"/>
      <c r="B2618"/>
      <c r="C2618"/>
      <c r="D2618"/>
      <c r="E2618"/>
      <c r="F2618"/>
    </row>
    <row r="2619" spans="1:6">
      <c r="A2619"/>
      <c r="B2619"/>
      <c r="C2619"/>
      <c r="D2619"/>
      <c r="E2619"/>
      <c r="F2619"/>
    </row>
    <row r="2620" spans="1:6">
      <c r="A2620"/>
      <c r="B2620"/>
      <c r="C2620"/>
      <c r="D2620"/>
      <c r="E2620"/>
      <c r="F2620"/>
    </row>
    <row r="2621" spans="1:6">
      <c r="A2621"/>
      <c r="B2621"/>
      <c r="C2621"/>
      <c r="D2621"/>
      <c r="E2621"/>
      <c r="F2621"/>
    </row>
    <row r="2622" spans="1:6">
      <c r="A2622"/>
      <c r="B2622"/>
      <c r="C2622"/>
      <c r="D2622"/>
      <c r="E2622"/>
      <c r="F2622"/>
    </row>
    <row r="2623" spans="1:6">
      <c r="A2623"/>
      <c r="B2623"/>
      <c r="C2623"/>
      <c r="D2623"/>
      <c r="E2623"/>
      <c r="F2623"/>
    </row>
    <row r="2624" spans="1:6">
      <c r="A2624"/>
      <c r="B2624"/>
      <c r="C2624"/>
      <c r="D2624"/>
      <c r="E2624"/>
      <c r="F2624"/>
    </row>
    <row r="2625" spans="1:6">
      <c r="A2625"/>
      <c r="B2625"/>
      <c r="C2625"/>
      <c r="D2625"/>
      <c r="E2625"/>
      <c r="F2625"/>
    </row>
    <row r="2626" spans="1:6">
      <c r="A2626"/>
      <c r="B2626"/>
      <c r="C2626"/>
      <c r="D2626"/>
      <c r="E2626"/>
      <c r="F2626"/>
    </row>
    <row r="2627" spans="1:6">
      <c r="A2627"/>
      <c r="B2627"/>
      <c r="C2627"/>
      <c r="D2627"/>
      <c r="E2627"/>
      <c r="F2627"/>
    </row>
    <row r="2628" spans="1:6">
      <c r="A2628"/>
      <c r="B2628"/>
      <c r="C2628"/>
      <c r="D2628"/>
      <c r="E2628"/>
      <c r="F2628"/>
    </row>
    <row r="2629" spans="1:6">
      <c r="A2629"/>
      <c r="B2629"/>
      <c r="C2629"/>
      <c r="D2629"/>
      <c r="E2629"/>
      <c r="F2629"/>
    </row>
    <row r="2630" spans="1:6">
      <c r="A2630"/>
      <c r="B2630"/>
      <c r="C2630"/>
      <c r="D2630"/>
      <c r="E2630"/>
      <c r="F2630"/>
    </row>
    <row r="2631" spans="1:6">
      <c r="A2631"/>
      <c r="B2631"/>
      <c r="C2631"/>
      <c r="D2631"/>
      <c r="E2631"/>
      <c r="F2631"/>
    </row>
    <row r="2632" spans="1:6">
      <c r="A2632"/>
      <c r="B2632"/>
      <c r="C2632"/>
      <c r="D2632"/>
      <c r="E2632"/>
      <c r="F2632"/>
    </row>
    <row r="2633" spans="1:6">
      <c r="A2633"/>
      <c r="B2633"/>
      <c r="C2633"/>
      <c r="D2633"/>
      <c r="E2633"/>
      <c r="F2633"/>
    </row>
    <row r="2634" spans="1:6">
      <c r="A2634"/>
      <c r="B2634"/>
      <c r="C2634"/>
      <c r="D2634"/>
      <c r="E2634"/>
      <c r="F2634"/>
    </row>
    <row r="2635" spans="1:6">
      <c r="A2635"/>
      <c r="B2635"/>
      <c r="C2635"/>
      <c r="D2635"/>
      <c r="E2635"/>
      <c r="F2635"/>
    </row>
    <row r="2636" spans="1:6">
      <c r="A2636"/>
      <c r="B2636"/>
      <c r="C2636"/>
      <c r="D2636"/>
      <c r="E2636"/>
      <c r="F2636"/>
    </row>
    <row r="2637" spans="1:6">
      <c r="A2637"/>
      <c r="B2637"/>
      <c r="C2637"/>
      <c r="D2637"/>
      <c r="E2637"/>
      <c r="F2637"/>
    </row>
    <row r="2638" spans="1:6">
      <c r="A2638"/>
      <c r="B2638"/>
      <c r="C2638"/>
      <c r="D2638"/>
      <c r="E2638"/>
      <c r="F2638"/>
    </row>
    <row r="2639" spans="1:6">
      <c r="A2639"/>
      <c r="B2639"/>
      <c r="C2639"/>
      <c r="D2639"/>
      <c r="E2639"/>
      <c r="F2639"/>
    </row>
    <row r="2640" spans="1:6">
      <c r="A2640"/>
      <c r="B2640"/>
      <c r="C2640"/>
      <c r="D2640"/>
      <c r="E2640"/>
      <c r="F2640"/>
    </row>
    <row r="2641" spans="1:6">
      <c r="A2641"/>
      <c r="B2641"/>
      <c r="C2641"/>
      <c r="D2641"/>
      <c r="E2641"/>
      <c r="F2641"/>
    </row>
    <row r="2642" spans="1:6">
      <c r="A2642"/>
      <c r="B2642"/>
      <c r="C2642"/>
      <c r="D2642"/>
      <c r="E2642"/>
      <c r="F2642"/>
    </row>
    <row r="2643" spans="1:6">
      <c r="A2643"/>
      <c r="B2643"/>
      <c r="C2643"/>
      <c r="D2643"/>
      <c r="E2643"/>
      <c r="F2643"/>
    </row>
    <row r="2644" spans="1:6">
      <c r="A2644"/>
      <c r="B2644"/>
      <c r="C2644"/>
      <c r="D2644"/>
      <c r="E2644"/>
      <c r="F2644"/>
    </row>
    <row r="2645" spans="1:6">
      <c r="A2645"/>
      <c r="B2645"/>
      <c r="C2645"/>
      <c r="D2645"/>
      <c r="E2645"/>
      <c r="F2645"/>
    </row>
    <row r="2646" spans="1:6">
      <c r="A2646"/>
      <c r="B2646"/>
      <c r="C2646"/>
      <c r="D2646"/>
      <c r="E2646"/>
      <c r="F2646"/>
    </row>
    <row r="2647" spans="1:6">
      <c r="A2647"/>
      <c r="B2647"/>
      <c r="C2647"/>
      <c r="D2647"/>
      <c r="E2647"/>
      <c r="F2647"/>
    </row>
    <row r="2648" spans="1:6">
      <c r="A2648"/>
      <c r="B2648"/>
      <c r="C2648"/>
      <c r="D2648"/>
      <c r="E2648"/>
      <c r="F2648"/>
    </row>
    <row r="2649" spans="1:6">
      <c r="A2649"/>
      <c r="B2649"/>
      <c r="C2649"/>
      <c r="D2649"/>
      <c r="E2649"/>
      <c r="F2649"/>
    </row>
    <row r="2650" spans="1:6">
      <c r="A2650"/>
      <c r="B2650"/>
      <c r="C2650"/>
      <c r="D2650"/>
      <c r="E2650"/>
      <c r="F2650"/>
    </row>
    <row r="2651" spans="1:6">
      <c r="A2651"/>
      <c r="B2651"/>
      <c r="C2651"/>
      <c r="D2651"/>
      <c r="E2651"/>
      <c r="F2651"/>
    </row>
    <row r="2652" spans="1:6">
      <c r="A2652"/>
      <c r="B2652"/>
      <c r="C2652"/>
      <c r="D2652"/>
      <c r="E2652"/>
      <c r="F2652"/>
    </row>
    <row r="2653" spans="1:6">
      <c r="A2653"/>
      <c r="B2653"/>
      <c r="C2653"/>
      <c r="D2653"/>
      <c r="E2653"/>
      <c r="F2653"/>
    </row>
    <row r="2654" spans="1:6">
      <c r="A2654"/>
      <c r="B2654"/>
      <c r="C2654"/>
      <c r="D2654"/>
      <c r="E2654"/>
      <c r="F2654"/>
    </row>
    <row r="2655" spans="1:6">
      <c r="A2655"/>
      <c r="B2655"/>
      <c r="C2655"/>
      <c r="D2655"/>
      <c r="E2655"/>
      <c r="F2655"/>
    </row>
    <row r="2656" spans="1:6">
      <c r="A2656"/>
      <c r="B2656"/>
      <c r="C2656"/>
      <c r="D2656"/>
      <c r="E2656"/>
      <c r="F2656"/>
    </row>
    <row r="2657" spans="1:6">
      <c r="A2657"/>
      <c r="B2657"/>
      <c r="C2657"/>
      <c r="D2657"/>
      <c r="E2657"/>
      <c r="F2657"/>
    </row>
    <row r="2658" spans="1:6">
      <c r="A2658"/>
      <c r="B2658"/>
      <c r="C2658"/>
      <c r="D2658"/>
      <c r="E2658"/>
      <c r="F2658"/>
    </row>
    <row r="2659" spans="1:6">
      <c r="A2659"/>
      <c r="B2659"/>
      <c r="C2659"/>
      <c r="D2659"/>
      <c r="E2659"/>
      <c r="F2659"/>
    </row>
    <row r="2660" spans="1:6">
      <c r="A2660"/>
      <c r="B2660"/>
      <c r="C2660"/>
      <c r="D2660"/>
      <c r="E2660"/>
      <c r="F2660"/>
    </row>
    <row r="2661" spans="1:6">
      <c r="A2661"/>
      <c r="B2661"/>
      <c r="C2661"/>
      <c r="D2661"/>
      <c r="E2661"/>
      <c r="F2661"/>
    </row>
    <row r="2662" spans="1:6">
      <c r="A2662"/>
      <c r="B2662"/>
      <c r="C2662"/>
      <c r="D2662"/>
      <c r="E2662"/>
      <c r="F2662"/>
    </row>
    <row r="2663" spans="1:6">
      <c r="A2663"/>
      <c r="B2663"/>
      <c r="C2663"/>
      <c r="D2663"/>
      <c r="E2663"/>
      <c r="F2663"/>
    </row>
    <row r="2664" spans="1:6">
      <c r="A2664"/>
      <c r="B2664"/>
      <c r="C2664"/>
      <c r="D2664"/>
      <c r="E2664"/>
      <c r="F2664"/>
    </row>
    <row r="2665" spans="1:6">
      <c r="A2665"/>
      <c r="B2665"/>
      <c r="C2665"/>
      <c r="D2665"/>
      <c r="E2665"/>
      <c r="F2665"/>
    </row>
    <row r="2666" spans="1:6">
      <c r="A2666"/>
      <c r="B2666"/>
      <c r="C2666"/>
      <c r="D2666"/>
      <c r="E2666"/>
      <c r="F2666"/>
    </row>
    <row r="2667" spans="1:6">
      <c r="A2667"/>
      <c r="B2667"/>
      <c r="C2667"/>
      <c r="D2667"/>
      <c r="E2667"/>
      <c r="F2667"/>
    </row>
    <row r="2668" spans="1:6">
      <c r="A2668"/>
      <c r="B2668"/>
      <c r="C2668"/>
      <c r="D2668"/>
      <c r="E2668"/>
      <c r="F2668"/>
    </row>
    <row r="2669" spans="1:6">
      <c r="A2669"/>
      <c r="B2669"/>
      <c r="C2669"/>
      <c r="D2669"/>
      <c r="E2669"/>
      <c r="F2669"/>
    </row>
    <row r="2670" spans="1:6">
      <c r="A2670"/>
      <c r="B2670"/>
      <c r="C2670"/>
      <c r="D2670"/>
      <c r="E2670"/>
      <c r="F2670"/>
    </row>
    <row r="2671" spans="1:6">
      <c r="A2671"/>
      <c r="B2671"/>
      <c r="C2671"/>
      <c r="D2671"/>
      <c r="E2671"/>
      <c r="F2671"/>
    </row>
    <row r="2672" spans="1:6">
      <c r="A2672"/>
      <c r="B2672"/>
      <c r="C2672"/>
      <c r="D2672"/>
      <c r="E2672"/>
      <c r="F2672"/>
    </row>
    <row r="2673" spans="1:6">
      <c r="A2673"/>
      <c r="B2673"/>
      <c r="C2673"/>
      <c r="D2673"/>
      <c r="E2673"/>
      <c r="F2673"/>
    </row>
    <row r="2674" spans="1:6">
      <c r="A2674"/>
      <c r="B2674"/>
      <c r="C2674"/>
      <c r="D2674"/>
      <c r="E2674"/>
      <c r="F2674"/>
    </row>
    <row r="2675" spans="1:6">
      <c r="A2675"/>
      <c r="B2675"/>
      <c r="C2675"/>
      <c r="D2675"/>
      <c r="E2675"/>
      <c r="F2675"/>
    </row>
    <row r="2676" spans="1:6">
      <c r="A2676"/>
      <c r="B2676"/>
      <c r="C2676"/>
      <c r="D2676"/>
      <c r="E2676"/>
      <c r="F2676"/>
    </row>
    <row r="2677" spans="1:6">
      <c r="A2677"/>
      <c r="B2677"/>
      <c r="C2677"/>
      <c r="D2677"/>
      <c r="E2677"/>
      <c r="F2677"/>
    </row>
    <row r="2678" spans="1:6">
      <c r="A2678"/>
      <c r="B2678"/>
      <c r="C2678"/>
      <c r="D2678"/>
      <c r="E2678"/>
      <c r="F2678"/>
    </row>
    <row r="2679" spans="1:6">
      <c r="A2679"/>
      <c r="B2679"/>
      <c r="C2679"/>
      <c r="D2679"/>
      <c r="E2679"/>
      <c r="F2679"/>
    </row>
    <row r="2680" spans="1:6">
      <c r="A2680"/>
      <c r="B2680"/>
      <c r="C2680"/>
      <c r="D2680"/>
      <c r="E2680"/>
      <c r="F2680"/>
    </row>
    <row r="2681" spans="1:6">
      <c r="A2681"/>
      <c r="B2681"/>
      <c r="C2681"/>
      <c r="D2681"/>
      <c r="E2681"/>
      <c r="F2681"/>
    </row>
    <row r="2682" spans="1:6">
      <c r="A2682"/>
      <c r="B2682"/>
      <c r="C2682"/>
      <c r="D2682"/>
      <c r="E2682"/>
      <c r="F2682"/>
    </row>
    <row r="2683" spans="1:6">
      <c r="A2683"/>
      <c r="B2683"/>
      <c r="C2683"/>
      <c r="D2683"/>
      <c r="E2683"/>
      <c r="F2683"/>
    </row>
    <row r="2684" spans="1:6">
      <c r="A2684"/>
      <c r="B2684"/>
      <c r="C2684"/>
      <c r="D2684"/>
      <c r="E2684"/>
      <c r="F2684"/>
    </row>
    <row r="2685" spans="1:6">
      <c r="A2685"/>
      <c r="B2685"/>
      <c r="C2685"/>
      <c r="D2685"/>
      <c r="E2685"/>
      <c r="F2685"/>
    </row>
    <row r="2686" spans="1:6">
      <c r="A2686"/>
      <c r="B2686"/>
      <c r="C2686"/>
      <c r="D2686"/>
      <c r="E2686"/>
      <c r="F2686"/>
    </row>
    <row r="2687" spans="1:6">
      <c r="A2687"/>
      <c r="B2687"/>
      <c r="C2687"/>
      <c r="D2687"/>
      <c r="E2687"/>
      <c r="F2687"/>
    </row>
    <row r="2688" spans="1:6">
      <c r="A2688"/>
      <c r="B2688"/>
      <c r="C2688"/>
      <c r="D2688"/>
      <c r="E2688"/>
      <c r="F2688"/>
    </row>
    <row r="2689" spans="1:6">
      <c r="A2689"/>
      <c r="B2689"/>
      <c r="C2689"/>
      <c r="D2689"/>
      <c r="E2689"/>
      <c r="F2689"/>
    </row>
    <row r="2690" spans="1:6">
      <c r="A2690"/>
      <c r="B2690"/>
      <c r="C2690"/>
      <c r="D2690"/>
      <c r="E2690"/>
      <c r="F2690"/>
    </row>
    <row r="2691" spans="1:6">
      <c r="A2691"/>
      <c r="B2691"/>
      <c r="C2691"/>
      <c r="D2691"/>
      <c r="E2691"/>
      <c r="F2691"/>
    </row>
    <row r="2692" spans="1:6">
      <c r="A2692"/>
      <c r="B2692"/>
      <c r="C2692"/>
      <c r="D2692"/>
      <c r="E2692"/>
      <c r="F2692"/>
    </row>
    <row r="2693" spans="1:6">
      <c r="A2693"/>
      <c r="B2693"/>
      <c r="C2693"/>
      <c r="D2693"/>
      <c r="E2693"/>
      <c r="F2693"/>
    </row>
    <row r="2694" spans="1:6">
      <c r="A2694"/>
      <c r="B2694"/>
      <c r="C2694"/>
      <c r="D2694"/>
      <c r="E2694"/>
      <c r="F2694"/>
    </row>
    <row r="2695" spans="1:6">
      <c r="A2695"/>
      <c r="B2695"/>
      <c r="C2695"/>
      <c r="D2695"/>
      <c r="E2695"/>
      <c r="F2695"/>
    </row>
    <row r="2696" spans="1:6">
      <c r="A2696"/>
      <c r="B2696"/>
      <c r="C2696"/>
      <c r="D2696"/>
      <c r="E2696"/>
      <c r="F2696"/>
    </row>
    <row r="2697" spans="1:6">
      <c r="A2697"/>
      <c r="B2697"/>
      <c r="C2697"/>
      <c r="D2697"/>
      <c r="E2697"/>
      <c r="F2697"/>
    </row>
    <row r="2698" spans="1:6">
      <c r="A2698"/>
      <c r="B2698"/>
      <c r="C2698"/>
      <c r="D2698"/>
      <c r="E2698"/>
      <c r="F2698"/>
    </row>
    <row r="2699" spans="1:6">
      <c r="A2699"/>
      <c r="B2699"/>
      <c r="C2699"/>
      <c r="D2699"/>
      <c r="E2699"/>
      <c r="F2699"/>
    </row>
    <row r="2700" spans="1:6">
      <c r="A2700"/>
      <c r="B2700"/>
      <c r="C2700"/>
      <c r="D2700"/>
      <c r="E2700"/>
      <c r="F2700"/>
    </row>
    <row r="2701" spans="1:6">
      <c r="A2701"/>
      <c r="B2701"/>
      <c r="C2701"/>
      <c r="D2701"/>
      <c r="E2701"/>
      <c r="F2701"/>
    </row>
    <row r="2702" spans="1:6">
      <c r="A2702"/>
      <c r="B2702"/>
      <c r="C2702"/>
      <c r="D2702"/>
      <c r="E2702"/>
      <c r="F2702"/>
    </row>
    <row r="2703" spans="1:6">
      <c r="A2703"/>
      <c r="B2703"/>
      <c r="C2703"/>
      <c r="D2703"/>
      <c r="E2703"/>
      <c r="F2703"/>
    </row>
    <row r="2704" spans="1:6">
      <c r="A2704"/>
      <c r="B2704"/>
      <c r="C2704"/>
      <c r="D2704"/>
      <c r="E2704"/>
      <c r="F2704"/>
    </row>
    <row r="2705" spans="1:6">
      <c r="A2705"/>
      <c r="B2705"/>
      <c r="C2705"/>
      <c r="D2705"/>
      <c r="E2705"/>
      <c r="F2705"/>
    </row>
    <row r="2706" spans="1:6">
      <c r="A2706"/>
      <c r="B2706"/>
      <c r="C2706"/>
      <c r="D2706"/>
      <c r="E2706"/>
      <c r="F2706"/>
    </row>
    <row r="2707" spans="1:6">
      <c r="A2707"/>
      <c r="B2707"/>
      <c r="C2707"/>
      <c r="D2707"/>
      <c r="E2707"/>
      <c r="F2707"/>
    </row>
    <row r="2708" spans="1:6">
      <c r="A2708"/>
      <c r="B2708"/>
      <c r="C2708"/>
      <c r="D2708"/>
      <c r="E2708"/>
      <c r="F2708"/>
    </row>
    <row r="2709" spans="1:6">
      <c r="A2709"/>
      <c r="B2709"/>
      <c r="C2709"/>
      <c r="D2709"/>
      <c r="E2709"/>
      <c r="F2709"/>
    </row>
    <row r="2710" spans="1:6">
      <c r="A2710"/>
      <c r="B2710"/>
      <c r="C2710"/>
      <c r="D2710"/>
      <c r="E2710"/>
      <c r="F2710"/>
    </row>
    <row r="2711" spans="1:6">
      <c r="A2711"/>
      <c r="B2711"/>
      <c r="C2711"/>
      <c r="D2711"/>
      <c r="E2711"/>
      <c r="F2711"/>
    </row>
    <row r="2712" spans="1:6">
      <c r="A2712"/>
      <c r="B2712"/>
      <c r="C2712"/>
      <c r="D2712"/>
      <c r="E2712"/>
      <c r="F2712"/>
    </row>
    <row r="2713" spans="1:6">
      <c r="A2713"/>
      <c r="B2713"/>
      <c r="C2713"/>
      <c r="D2713"/>
      <c r="E2713"/>
      <c r="F2713"/>
    </row>
    <row r="2714" spans="1:6">
      <c r="A2714"/>
      <c r="B2714"/>
      <c r="C2714"/>
      <c r="D2714"/>
      <c r="E2714"/>
      <c r="F2714"/>
    </row>
    <row r="2715" spans="1:6">
      <c r="A2715"/>
      <c r="B2715"/>
      <c r="C2715"/>
      <c r="D2715"/>
      <c r="E2715"/>
      <c r="F2715"/>
    </row>
    <row r="2716" spans="1:6">
      <c r="A2716"/>
      <c r="B2716"/>
      <c r="C2716"/>
      <c r="D2716"/>
      <c r="E2716"/>
      <c r="F2716"/>
    </row>
    <row r="2717" spans="1:6">
      <c r="A2717"/>
      <c r="B2717"/>
      <c r="C2717"/>
      <c r="D2717"/>
      <c r="E2717"/>
      <c r="F2717"/>
    </row>
    <row r="2718" spans="1:6">
      <c r="A2718"/>
      <c r="B2718"/>
      <c r="C2718"/>
      <c r="D2718"/>
      <c r="E2718"/>
      <c r="F2718"/>
    </row>
    <row r="2719" spans="1:6">
      <c r="A2719"/>
      <c r="B2719"/>
      <c r="C2719"/>
      <c r="D2719"/>
      <c r="E2719"/>
      <c r="F2719"/>
    </row>
    <row r="2720" spans="1:6">
      <c r="A2720"/>
      <c r="B2720"/>
      <c r="C2720"/>
      <c r="D2720"/>
      <c r="E2720"/>
      <c r="F2720"/>
    </row>
    <row r="2721" spans="1:6">
      <c r="A2721"/>
      <c r="B2721"/>
      <c r="C2721"/>
      <c r="D2721"/>
      <c r="E2721"/>
      <c r="F2721"/>
    </row>
    <row r="2722" spans="1:6">
      <c r="A2722"/>
      <c r="B2722"/>
      <c r="C2722"/>
      <c r="D2722"/>
      <c r="E2722"/>
      <c r="F2722"/>
    </row>
    <row r="2723" spans="1:6">
      <c r="A2723"/>
      <c r="B2723"/>
      <c r="C2723"/>
      <c r="D2723"/>
      <c r="E2723"/>
      <c r="F2723"/>
    </row>
    <row r="2724" spans="1:6">
      <c r="A2724"/>
      <c r="B2724"/>
      <c r="C2724"/>
      <c r="D2724"/>
      <c r="E2724"/>
      <c r="F2724"/>
    </row>
    <row r="2725" spans="1:6">
      <c r="A2725"/>
      <c r="B2725"/>
      <c r="C2725"/>
      <c r="D2725"/>
      <c r="E2725"/>
      <c r="F2725"/>
    </row>
    <row r="2726" spans="1:6">
      <c r="A2726"/>
      <c r="B2726"/>
      <c r="C2726"/>
      <c r="D2726"/>
      <c r="E2726"/>
      <c r="F2726"/>
    </row>
    <row r="2727" spans="1:6">
      <c r="A2727"/>
      <c r="B2727"/>
      <c r="C2727"/>
      <c r="D2727"/>
      <c r="E2727"/>
      <c r="F2727"/>
    </row>
    <row r="2728" spans="1:6">
      <c r="A2728"/>
      <c r="B2728"/>
      <c r="C2728"/>
      <c r="D2728"/>
      <c r="E2728"/>
      <c r="F2728"/>
    </row>
    <row r="2729" spans="1:6">
      <c r="A2729"/>
      <c r="B2729"/>
      <c r="C2729"/>
      <c r="D2729"/>
      <c r="E2729"/>
      <c r="F2729"/>
    </row>
    <row r="2730" spans="1:6">
      <c r="A2730"/>
      <c r="B2730"/>
      <c r="C2730"/>
      <c r="D2730"/>
      <c r="E2730"/>
      <c r="F2730"/>
    </row>
    <row r="2731" spans="1:6">
      <c r="A2731"/>
      <c r="B2731"/>
      <c r="C2731"/>
      <c r="D2731"/>
      <c r="E2731"/>
      <c r="F2731"/>
    </row>
    <row r="2732" spans="1:6">
      <c r="A2732"/>
      <c r="B2732"/>
      <c r="C2732"/>
      <c r="D2732"/>
      <c r="E2732"/>
      <c r="F2732"/>
    </row>
    <row r="2733" spans="1:6">
      <c r="A2733"/>
      <c r="B2733"/>
      <c r="C2733"/>
      <c r="D2733"/>
      <c r="E2733"/>
      <c r="F2733"/>
    </row>
    <row r="2734" spans="1:6">
      <c r="A2734"/>
      <c r="B2734"/>
      <c r="C2734"/>
      <c r="D2734"/>
      <c r="E2734"/>
      <c r="F2734"/>
    </row>
    <row r="2735" spans="1:6">
      <c r="A2735"/>
      <c r="B2735"/>
      <c r="C2735"/>
      <c r="D2735"/>
      <c r="E2735"/>
      <c r="F2735"/>
    </row>
    <row r="2736" spans="1:6">
      <c r="A2736"/>
      <c r="B2736"/>
      <c r="C2736"/>
      <c r="D2736"/>
      <c r="E2736"/>
      <c r="F2736"/>
    </row>
    <row r="2737" spans="1:6">
      <c r="A2737"/>
      <c r="B2737"/>
      <c r="C2737"/>
      <c r="D2737"/>
      <c r="E2737"/>
      <c r="F2737"/>
    </row>
    <row r="2738" spans="1:6">
      <c r="A2738"/>
      <c r="B2738"/>
      <c r="C2738"/>
      <c r="D2738"/>
      <c r="E2738"/>
      <c r="F2738"/>
    </row>
    <row r="2739" spans="1:6">
      <c r="A2739"/>
      <c r="B2739"/>
      <c r="C2739"/>
      <c r="D2739"/>
      <c r="E2739"/>
      <c r="F2739"/>
    </row>
    <row r="2740" spans="1:6">
      <c r="A2740"/>
      <c r="B2740"/>
      <c r="C2740"/>
      <c r="D2740"/>
      <c r="E2740"/>
      <c r="F2740"/>
    </row>
    <row r="2741" spans="1:6">
      <c r="A2741"/>
      <c r="B2741"/>
      <c r="C2741"/>
      <c r="D2741"/>
      <c r="E2741"/>
      <c r="F2741"/>
    </row>
    <row r="2742" spans="1:6">
      <c r="A2742"/>
      <c r="B2742"/>
      <c r="C2742"/>
      <c r="D2742"/>
      <c r="E2742"/>
      <c r="F2742"/>
    </row>
    <row r="2743" spans="1:6">
      <c r="A2743"/>
      <c r="B2743"/>
      <c r="C2743"/>
      <c r="D2743"/>
      <c r="E2743"/>
      <c r="F2743"/>
    </row>
    <row r="2744" spans="1:6">
      <c r="A2744"/>
      <c r="B2744"/>
      <c r="C2744"/>
      <c r="D2744"/>
      <c r="E2744"/>
      <c r="F2744"/>
    </row>
    <row r="2745" spans="1:6">
      <c r="A2745"/>
      <c r="B2745"/>
      <c r="C2745"/>
      <c r="D2745"/>
      <c r="E2745"/>
      <c r="F2745"/>
    </row>
    <row r="2746" spans="1:6">
      <c r="A2746"/>
      <c r="B2746"/>
      <c r="C2746"/>
      <c r="D2746"/>
      <c r="E2746"/>
      <c r="F2746"/>
    </row>
    <row r="2747" spans="1:6">
      <c r="A2747"/>
      <c r="B2747"/>
      <c r="C2747"/>
      <c r="D2747"/>
      <c r="E2747"/>
      <c r="F2747"/>
    </row>
    <row r="2748" spans="1:6">
      <c r="A2748"/>
      <c r="B2748"/>
      <c r="C2748"/>
      <c r="D2748"/>
      <c r="E2748"/>
      <c r="F2748"/>
    </row>
    <row r="2749" spans="1:6">
      <c r="A2749"/>
      <c r="B2749"/>
      <c r="C2749"/>
      <c r="D2749"/>
      <c r="E2749"/>
      <c r="F2749"/>
    </row>
    <row r="2750" spans="1:6">
      <c r="A2750"/>
      <c r="B2750"/>
      <c r="C2750"/>
      <c r="D2750"/>
      <c r="E2750"/>
      <c r="F2750"/>
    </row>
    <row r="2751" spans="1:6">
      <c r="A2751"/>
      <c r="B2751"/>
      <c r="C2751"/>
      <c r="D2751"/>
      <c r="E2751"/>
      <c r="F2751"/>
    </row>
    <row r="2752" spans="1:6">
      <c r="A2752"/>
      <c r="B2752"/>
      <c r="C2752"/>
      <c r="D2752"/>
      <c r="E2752"/>
      <c r="F2752"/>
    </row>
    <row r="2753" spans="1:6">
      <c r="A2753"/>
      <c r="B2753"/>
      <c r="C2753"/>
      <c r="D2753"/>
      <c r="E2753"/>
      <c r="F2753"/>
    </row>
    <row r="2754" spans="1:6">
      <c r="A2754"/>
      <c r="B2754"/>
      <c r="C2754"/>
      <c r="D2754"/>
      <c r="E2754"/>
      <c r="F2754"/>
    </row>
    <row r="2755" spans="1:6">
      <c r="A2755"/>
      <c r="B2755"/>
      <c r="C2755"/>
      <c r="D2755"/>
      <c r="E2755"/>
      <c r="F2755"/>
    </row>
    <row r="2756" spans="1:6">
      <c r="A2756"/>
      <c r="B2756"/>
      <c r="C2756"/>
      <c r="D2756"/>
      <c r="E2756"/>
      <c r="F2756"/>
    </row>
    <row r="2757" spans="1:6">
      <c r="A2757"/>
      <c r="B2757"/>
      <c r="C2757"/>
      <c r="D2757"/>
      <c r="E2757"/>
      <c r="F2757"/>
    </row>
    <row r="2758" spans="1:6">
      <c r="A2758"/>
      <c r="B2758"/>
      <c r="C2758"/>
      <c r="D2758"/>
      <c r="E2758"/>
      <c r="F2758"/>
    </row>
    <row r="2759" spans="1:6">
      <c r="A2759"/>
      <c r="B2759"/>
      <c r="C2759"/>
      <c r="D2759"/>
      <c r="E2759"/>
      <c r="F2759"/>
    </row>
    <row r="2760" spans="1:6">
      <c r="A2760"/>
      <c r="B2760"/>
      <c r="C2760"/>
      <c r="D2760"/>
      <c r="E2760"/>
      <c r="F2760"/>
    </row>
    <row r="2761" spans="1:6">
      <c r="A2761"/>
      <c r="B2761"/>
      <c r="C2761"/>
      <c r="D2761"/>
      <c r="E2761"/>
      <c r="F2761"/>
    </row>
    <row r="2762" spans="1:6">
      <c r="A2762"/>
      <c r="B2762"/>
      <c r="C2762"/>
      <c r="D2762"/>
      <c r="E2762"/>
      <c r="F2762"/>
    </row>
    <row r="2763" spans="1:6">
      <c r="A2763"/>
      <c r="B2763"/>
      <c r="C2763"/>
      <c r="D2763"/>
      <c r="E2763"/>
      <c r="F2763"/>
    </row>
    <row r="2764" spans="1:6">
      <c r="A2764"/>
      <c r="B2764"/>
      <c r="C2764"/>
      <c r="D2764"/>
      <c r="E2764"/>
      <c r="F2764"/>
    </row>
    <row r="2765" spans="1:6">
      <c r="A2765"/>
      <c r="B2765"/>
      <c r="C2765"/>
      <c r="D2765"/>
      <c r="E2765"/>
      <c r="F2765"/>
    </row>
    <row r="2766" spans="1:6">
      <c r="A2766"/>
      <c r="B2766"/>
      <c r="C2766"/>
      <c r="D2766"/>
      <c r="E2766"/>
      <c r="F2766"/>
    </row>
    <row r="2767" spans="1:6">
      <c r="A2767"/>
      <c r="B2767"/>
      <c r="C2767"/>
      <c r="D2767"/>
      <c r="E2767"/>
      <c r="F2767"/>
    </row>
    <row r="2768" spans="1:6">
      <c r="A2768"/>
      <c r="B2768"/>
      <c r="C2768"/>
      <c r="D2768"/>
      <c r="E2768"/>
      <c r="F2768"/>
    </row>
    <row r="2769" spans="1:6">
      <c r="A2769"/>
      <c r="B2769"/>
      <c r="C2769"/>
      <c r="D2769"/>
      <c r="E2769"/>
      <c r="F2769"/>
    </row>
    <row r="2770" spans="1:6">
      <c r="A2770"/>
      <c r="B2770"/>
      <c r="C2770"/>
      <c r="D2770"/>
      <c r="E2770"/>
      <c r="F2770"/>
    </row>
    <row r="2771" spans="1:6">
      <c r="A2771"/>
      <c r="B2771"/>
      <c r="C2771"/>
      <c r="D2771"/>
      <c r="E2771"/>
      <c r="F2771"/>
    </row>
    <row r="2772" spans="1:6">
      <c r="A2772"/>
      <c r="B2772"/>
      <c r="C2772"/>
      <c r="D2772"/>
      <c r="E2772"/>
      <c r="F2772"/>
    </row>
    <row r="2773" spans="1:6">
      <c r="A2773"/>
      <c r="B2773"/>
      <c r="C2773"/>
      <c r="D2773"/>
      <c r="E2773"/>
      <c r="F2773"/>
    </row>
    <row r="2774" spans="1:6">
      <c r="A2774"/>
      <c r="B2774"/>
      <c r="C2774"/>
      <c r="D2774"/>
      <c r="E2774"/>
      <c r="F2774"/>
    </row>
    <row r="2775" spans="1:6">
      <c r="A2775"/>
      <c r="B2775"/>
      <c r="C2775"/>
      <c r="D2775"/>
      <c r="E2775"/>
      <c r="F2775"/>
    </row>
    <row r="2776" spans="1:6">
      <c r="A2776"/>
      <c r="B2776"/>
      <c r="C2776"/>
      <c r="D2776"/>
      <c r="E2776"/>
      <c r="F2776"/>
    </row>
    <row r="2777" spans="1:6">
      <c r="A2777"/>
      <c r="B2777"/>
      <c r="C2777"/>
      <c r="D2777"/>
      <c r="E2777"/>
      <c r="F2777"/>
    </row>
    <row r="2778" spans="1:6">
      <c r="A2778"/>
      <c r="B2778"/>
      <c r="C2778"/>
      <c r="D2778"/>
      <c r="E2778"/>
      <c r="F2778"/>
    </row>
    <row r="2779" spans="1:6">
      <c r="A2779"/>
      <c r="B2779"/>
      <c r="C2779"/>
      <c r="D2779"/>
      <c r="E2779"/>
      <c r="F2779"/>
    </row>
    <row r="2780" spans="1:6">
      <c r="A2780"/>
      <c r="B2780"/>
      <c r="C2780"/>
      <c r="D2780"/>
      <c r="E2780"/>
      <c r="F2780"/>
    </row>
    <row r="2781" spans="1:6">
      <c r="A2781"/>
      <c r="B2781"/>
      <c r="C2781"/>
      <c r="D2781"/>
      <c r="E2781"/>
      <c r="F2781"/>
    </row>
    <row r="2782" spans="1:6">
      <c r="A2782"/>
      <c r="B2782"/>
      <c r="C2782"/>
      <c r="D2782"/>
      <c r="E2782"/>
      <c r="F2782"/>
    </row>
    <row r="2783" spans="1:6">
      <c r="A2783"/>
      <c r="B2783"/>
      <c r="C2783"/>
      <c r="D2783"/>
      <c r="E2783"/>
      <c r="F2783"/>
    </row>
    <row r="2784" spans="1:6">
      <c r="A2784"/>
      <c r="B2784"/>
      <c r="C2784"/>
      <c r="D2784"/>
      <c r="E2784"/>
      <c r="F2784"/>
    </row>
    <row r="2785" spans="1:6">
      <c r="A2785"/>
      <c r="B2785"/>
      <c r="C2785"/>
      <c r="D2785"/>
      <c r="E2785"/>
      <c r="F2785"/>
    </row>
    <row r="2786" spans="1:6">
      <c r="A2786"/>
      <c r="B2786"/>
      <c r="C2786"/>
      <c r="D2786"/>
      <c r="E2786"/>
      <c r="F2786"/>
    </row>
    <row r="2787" spans="1:6">
      <c r="A2787"/>
      <c r="B2787"/>
      <c r="C2787"/>
      <c r="D2787"/>
      <c r="E2787"/>
      <c r="F2787"/>
    </row>
    <row r="2788" spans="1:6">
      <c r="A2788"/>
      <c r="B2788"/>
      <c r="C2788"/>
      <c r="D2788"/>
      <c r="E2788"/>
      <c r="F2788"/>
    </row>
    <row r="2789" spans="1:6">
      <c r="A2789"/>
      <c r="B2789"/>
      <c r="C2789"/>
      <c r="D2789"/>
      <c r="E2789"/>
      <c r="F2789"/>
    </row>
    <row r="2790" spans="1:6">
      <c r="A2790"/>
      <c r="B2790"/>
      <c r="C2790"/>
      <c r="D2790"/>
      <c r="E2790"/>
      <c r="F2790"/>
    </row>
    <row r="2791" spans="1:6">
      <c r="A2791"/>
      <c r="B2791"/>
      <c r="C2791"/>
      <c r="D2791"/>
      <c r="E2791"/>
      <c r="F2791"/>
    </row>
    <row r="2792" spans="1:6">
      <c r="A2792"/>
      <c r="B2792"/>
      <c r="C2792"/>
      <c r="D2792"/>
      <c r="E2792"/>
      <c r="F2792"/>
    </row>
    <row r="2793" spans="1:6">
      <c r="A2793"/>
      <c r="B2793"/>
      <c r="C2793"/>
      <c r="D2793"/>
      <c r="E2793"/>
      <c r="F2793"/>
    </row>
    <row r="2794" spans="1:6">
      <c r="A2794"/>
      <c r="B2794"/>
      <c r="C2794"/>
      <c r="D2794"/>
      <c r="E2794"/>
      <c r="F2794"/>
    </row>
    <row r="2795" spans="1:6">
      <c r="A2795"/>
      <c r="B2795"/>
      <c r="C2795"/>
      <c r="D2795"/>
      <c r="E2795"/>
      <c r="F2795"/>
    </row>
    <row r="2796" spans="1:6">
      <c r="A2796"/>
      <c r="B2796"/>
      <c r="C2796"/>
      <c r="D2796"/>
      <c r="E2796"/>
      <c r="F2796"/>
    </row>
    <row r="2797" spans="1:6">
      <c r="A2797"/>
      <c r="B2797"/>
      <c r="C2797"/>
      <c r="D2797"/>
      <c r="E2797"/>
      <c r="F2797"/>
    </row>
    <row r="2798" spans="1:6">
      <c r="A2798"/>
      <c r="B2798"/>
      <c r="C2798"/>
      <c r="D2798"/>
      <c r="E2798"/>
      <c r="F2798"/>
    </row>
    <row r="2799" spans="1:6">
      <c r="A2799"/>
      <c r="B2799"/>
      <c r="C2799"/>
      <c r="D2799"/>
      <c r="E2799"/>
      <c r="F2799"/>
    </row>
    <row r="2800" spans="1:6">
      <c r="A2800"/>
      <c r="B2800"/>
      <c r="C2800"/>
      <c r="D2800"/>
      <c r="E2800"/>
      <c r="F2800"/>
    </row>
    <row r="2801" spans="1:6">
      <c r="A2801"/>
      <c r="B2801"/>
      <c r="C2801"/>
      <c r="D2801"/>
      <c r="E2801"/>
      <c r="F2801"/>
    </row>
    <row r="2802" spans="1:6">
      <c r="A2802"/>
      <c r="B2802"/>
      <c r="C2802"/>
      <c r="D2802"/>
      <c r="E2802"/>
      <c r="F2802"/>
    </row>
    <row r="2803" spans="1:6">
      <c r="A2803"/>
      <c r="B2803"/>
      <c r="C2803"/>
      <c r="D2803"/>
      <c r="E2803"/>
      <c r="F2803"/>
    </row>
    <row r="2804" spans="1:6">
      <c r="A2804"/>
      <c r="B2804"/>
      <c r="C2804"/>
      <c r="D2804"/>
      <c r="E2804"/>
      <c r="F2804"/>
    </row>
    <row r="2805" spans="1:6">
      <c r="A2805"/>
      <c r="B2805"/>
      <c r="C2805"/>
      <c r="D2805"/>
      <c r="E2805"/>
      <c r="F2805"/>
    </row>
    <row r="2806" spans="1:6">
      <c r="A2806"/>
      <c r="B2806"/>
      <c r="C2806"/>
      <c r="D2806"/>
      <c r="E2806"/>
      <c r="F2806"/>
    </row>
    <row r="2807" spans="1:6">
      <c r="A2807"/>
      <c r="B2807"/>
      <c r="C2807"/>
      <c r="D2807"/>
      <c r="E2807"/>
      <c r="F2807"/>
    </row>
    <row r="2808" spans="1:6">
      <c r="A2808"/>
      <c r="B2808"/>
      <c r="C2808"/>
      <c r="D2808"/>
      <c r="E2808"/>
      <c r="F2808"/>
    </row>
    <row r="2809" spans="1:6">
      <c r="A2809"/>
      <c r="B2809"/>
      <c r="C2809"/>
      <c r="D2809"/>
      <c r="E2809"/>
      <c r="F2809"/>
    </row>
    <row r="2810" spans="1:6">
      <c r="A2810"/>
      <c r="B2810"/>
      <c r="C2810"/>
      <c r="D2810"/>
      <c r="E2810"/>
      <c r="F2810"/>
    </row>
    <row r="2811" spans="1:6">
      <c r="A2811"/>
      <c r="B2811"/>
      <c r="C2811"/>
      <c r="D2811"/>
      <c r="E2811"/>
      <c r="F2811"/>
    </row>
    <row r="2812" spans="1:6">
      <c r="A2812"/>
      <c r="B2812"/>
      <c r="C2812"/>
      <c r="D2812"/>
      <c r="E2812"/>
      <c r="F2812"/>
    </row>
    <row r="2813" spans="1:6">
      <c r="A2813"/>
      <c r="B2813"/>
      <c r="C2813"/>
      <c r="D2813"/>
      <c r="E2813"/>
      <c r="F2813"/>
    </row>
    <row r="2814" spans="1:6">
      <c r="A2814"/>
      <c r="B2814"/>
      <c r="C2814"/>
      <c r="D2814"/>
      <c r="E2814"/>
      <c r="F2814"/>
    </row>
    <row r="2815" spans="1:6">
      <c r="A2815"/>
      <c r="B2815"/>
      <c r="C2815"/>
      <c r="D2815"/>
      <c r="E2815"/>
      <c r="F2815"/>
    </row>
    <row r="2816" spans="1:6">
      <c r="A2816"/>
      <c r="B2816"/>
      <c r="C2816"/>
      <c r="D2816"/>
      <c r="E2816"/>
      <c r="F2816"/>
    </row>
    <row r="2817" spans="1:6">
      <c r="A2817"/>
      <c r="B2817"/>
      <c r="C2817"/>
      <c r="D2817"/>
      <c r="E2817"/>
      <c r="F2817"/>
    </row>
    <row r="2818" spans="1:6">
      <c r="A2818"/>
      <c r="B2818"/>
      <c r="C2818"/>
      <c r="D2818"/>
      <c r="E2818"/>
      <c r="F2818"/>
    </row>
    <row r="2819" spans="1:6">
      <c r="A2819"/>
      <c r="B2819"/>
      <c r="C2819"/>
      <c r="D2819"/>
      <c r="E2819"/>
      <c r="F2819"/>
    </row>
    <row r="2820" spans="1:6">
      <c r="A2820"/>
      <c r="B2820"/>
      <c r="C2820"/>
      <c r="D2820"/>
      <c r="E2820"/>
      <c r="F2820"/>
    </row>
    <row r="2821" spans="1:6">
      <c r="A2821"/>
      <c r="B2821"/>
      <c r="C2821"/>
      <c r="D2821"/>
      <c r="E2821"/>
      <c r="F2821"/>
    </row>
    <row r="2822" spans="1:6">
      <c r="A2822"/>
      <c r="B2822"/>
      <c r="C2822"/>
      <c r="D2822"/>
      <c r="E2822"/>
      <c r="F2822"/>
    </row>
    <row r="2823" spans="1:6">
      <c r="A2823"/>
      <c r="B2823"/>
      <c r="C2823"/>
      <c r="D2823"/>
      <c r="E2823"/>
      <c r="F2823"/>
    </row>
    <row r="2824" spans="1:6">
      <c r="A2824"/>
      <c r="B2824"/>
      <c r="C2824"/>
      <c r="D2824"/>
      <c r="E2824"/>
      <c r="F2824"/>
    </row>
    <row r="2825" spans="1:6">
      <c r="A2825"/>
      <c r="B2825"/>
      <c r="C2825"/>
      <c r="D2825"/>
      <c r="E2825"/>
      <c r="F2825"/>
    </row>
    <row r="2826" spans="1:6">
      <c r="A2826"/>
      <c r="B2826"/>
      <c r="C2826"/>
      <c r="D2826"/>
      <c r="E2826"/>
      <c r="F2826"/>
    </row>
    <row r="2827" spans="1:6">
      <c r="A2827"/>
      <c r="B2827"/>
      <c r="C2827"/>
      <c r="D2827"/>
      <c r="E2827"/>
      <c r="F2827"/>
    </row>
    <row r="2828" spans="1:6">
      <c r="A2828"/>
      <c r="B2828"/>
      <c r="C2828"/>
      <c r="D2828"/>
      <c r="E2828"/>
      <c r="F2828"/>
    </row>
    <row r="2829" spans="1:6">
      <c r="A2829"/>
      <c r="B2829"/>
      <c r="C2829"/>
      <c r="D2829"/>
      <c r="E2829"/>
      <c r="F2829"/>
    </row>
    <row r="2830" spans="1:6">
      <c r="A2830"/>
      <c r="B2830"/>
      <c r="C2830"/>
      <c r="D2830"/>
      <c r="E2830"/>
      <c r="F2830"/>
    </row>
    <row r="2831" spans="1:6">
      <c r="A2831"/>
      <c r="B2831"/>
      <c r="C2831"/>
      <c r="D2831"/>
      <c r="E2831"/>
      <c r="F2831"/>
    </row>
    <row r="2832" spans="1:6">
      <c r="A2832"/>
      <c r="B2832"/>
      <c r="C2832"/>
      <c r="D2832"/>
      <c r="E2832"/>
      <c r="F2832"/>
    </row>
    <row r="2833" spans="1:6">
      <c r="A2833"/>
      <c r="B2833"/>
      <c r="C2833"/>
      <c r="D2833"/>
      <c r="E2833"/>
      <c r="F2833"/>
    </row>
    <row r="2834" spans="1:6">
      <c r="A2834"/>
      <c r="B2834"/>
      <c r="C2834"/>
      <c r="D2834"/>
      <c r="E2834"/>
      <c r="F2834"/>
    </row>
    <row r="2835" spans="1:6">
      <c r="A2835"/>
      <c r="B2835"/>
      <c r="C2835"/>
      <c r="D2835"/>
      <c r="E2835"/>
      <c r="F2835"/>
    </row>
    <row r="2836" spans="1:6">
      <c r="A2836"/>
      <c r="B2836"/>
      <c r="C2836"/>
      <c r="D2836"/>
      <c r="E2836"/>
      <c r="F2836"/>
    </row>
    <row r="2837" spans="1:6">
      <c r="A2837"/>
      <c r="B2837"/>
      <c r="C2837"/>
      <c r="D2837"/>
      <c r="E2837"/>
      <c r="F2837"/>
    </row>
    <row r="2838" spans="1:6">
      <c r="A2838"/>
      <c r="B2838"/>
      <c r="C2838"/>
      <c r="D2838"/>
      <c r="E2838"/>
      <c r="F2838"/>
    </row>
    <row r="2839" spans="1:6">
      <c r="A2839"/>
      <c r="B2839"/>
      <c r="C2839"/>
      <c r="D2839"/>
      <c r="E2839"/>
      <c r="F2839"/>
    </row>
    <row r="2840" spans="1:6">
      <c r="A2840"/>
      <c r="B2840"/>
      <c r="C2840"/>
      <c r="D2840"/>
      <c r="E2840"/>
      <c r="F2840"/>
    </row>
    <row r="2841" spans="1:6">
      <c r="A2841"/>
      <c r="B2841"/>
      <c r="C2841"/>
      <c r="D2841"/>
      <c r="E2841"/>
      <c r="F2841"/>
    </row>
    <row r="2842" spans="1:6">
      <c r="A2842"/>
      <c r="B2842"/>
      <c r="C2842"/>
      <c r="D2842"/>
      <c r="E2842"/>
      <c r="F2842"/>
    </row>
    <row r="2843" spans="1:6">
      <c r="A2843"/>
      <c r="B2843"/>
      <c r="C2843"/>
      <c r="D2843"/>
      <c r="E2843"/>
      <c r="F2843"/>
    </row>
    <row r="2844" spans="1:6">
      <c r="A2844"/>
      <c r="B2844"/>
      <c r="C2844"/>
      <c r="D2844"/>
      <c r="E2844"/>
      <c r="F2844"/>
    </row>
    <row r="2845" spans="1:6">
      <c r="A2845"/>
      <c r="B2845"/>
      <c r="C2845"/>
      <c r="D2845"/>
      <c r="E2845"/>
      <c r="F2845"/>
    </row>
    <row r="2846" spans="1:6">
      <c r="A2846"/>
      <c r="B2846"/>
      <c r="C2846"/>
      <c r="D2846"/>
      <c r="E2846"/>
      <c r="F2846"/>
    </row>
    <row r="2847" spans="1:6">
      <c r="A2847"/>
      <c r="B2847"/>
      <c r="C2847"/>
      <c r="D2847"/>
      <c r="E2847"/>
      <c r="F2847"/>
    </row>
    <row r="2848" spans="1:6">
      <c r="A2848"/>
      <c r="B2848"/>
      <c r="C2848"/>
      <c r="D2848"/>
      <c r="E2848"/>
      <c r="F2848"/>
    </row>
    <row r="2849" spans="1:6">
      <c r="A2849"/>
      <c r="B2849"/>
      <c r="C2849"/>
      <c r="D2849"/>
      <c r="E2849"/>
      <c r="F2849"/>
    </row>
    <row r="2850" spans="1:6">
      <c r="A2850"/>
      <c r="B2850"/>
      <c r="C2850"/>
      <c r="D2850"/>
      <c r="E2850"/>
      <c r="F2850"/>
    </row>
    <row r="2851" spans="1:6">
      <c r="A2851"/>
      <c r="B2851"/>
      <c r="C2851"/>
      <c r="D2851"/>
      <c r="E2851"/>
      <c r="F2851"/>
    </row>
    <row r="2852" spans="1:6">
      <c r="A2852"/>
      <c r="B2852"/>
      <c r="C2852"/>
      <c r="D2852"/>
      <c r="E2852"/>
      <c r="F2852"/>
    </row>
    <row r="2853" spans="1:6">
      <c r="A2853"/>
      <c r="B2853"/>
      <c r="C2853"/>
      <c r="D2853"/>
      <c r="E2853"/>
      <c r="F2853"/>
    </row>
    <row r="2854" spans="1:6">
      <c r="A2854"/>
      <c r="B2854"/>
      <c r="C2854"/>
      <c r="D2854"/>
      <c r="E2854"/>
      <c r="F2854"/>
    </row>
    <row r="2855" spans="1:6">
      <c r="A2855"/>
      <c r="B2855"/>
      <c r="C2855"/>
      <c r="D2855"/>
      <c r="E2855"/>
      <c r="F2855"/>
    </row>
    <row r="2856" spans="1:6">
      <c r="A2856"/>
      <c r="B2856"/>
      <c r="C2856"/>
      <c r="D2856"/>
      <c r="E2856"/>
      <c r="F2856"/>
    </row>
    <row r="2857" spans="1:6">
      <c r="A2857"/>
      <c r="B2857"/>
      <c r="C2857"/>
      <c r="D2857"/>
      <c r="E2857"/>
      <c r="F2857"/>
    </row>
    <row r="2858" spans="1:6">
      <c r="A2858"/>
      <c r="B2858"/>
      <c r="C2858"/>
      <c r="D2858"/>
      <c r="E2858"/>
      <c r="F2858"/>
    </row>
    <row r="2859" spans="1:6">
      <c r="A2859"/>
      <c r="B2859"/>
      <c r="C2859"/>
      <c r="D2859"/>
      <c r="E2859"/>
      <c r="F2859"/>
    </row>
    <row r="2860" spans="1:6">
      <c r="A2860"/>
      <c r="B2860"/>
      <c r="C2860"/>
      <c r="D2860"/>
      <c r="E2860"/>
      <c r="F2860"/>
    </row>
    <row r="2861" spans="1:6">
      <c r="A2861"/>
      <c r="B2861"/>
      <c r="C2861"/>
      <c r="D2861"/>
      <c r="E2861"/>
      <c r="F2861"/>
    </row>
    <row r="2862" spans="1:6">
      <c r="A2862"/>
      <c r="B2862"/>
      <c r="C2862"/>
      <c r="D2862"/>
      <c r="E2862"/>
      <c r="F2862"/>
    </row>
    <row r="2863" spans="1:6">
      <c r="A2863"/>
      <c r="B2863"/>
      <c r="C2863"/>
      <c r="D2863"/>
      <c r="E2863"/>
      <c r="F2863"/>
    </row>
    <row r="2864" spans="1:6">
      <c r="A2864"/>
      <c r="B2864"/>
      <c r="C2864"/>
      <c r="D2864"/>
      <c r="E2864"/>
      <c r="F2864"/>
    </row>
    <row r="2865" spans="1:6">
      <c r="A2865"/>
      <c r="B2865"/>
      <c r="C2865"/>
      <c r="D2865"/>
      <c r="E2865"/>
      <c r="F2865"/>
    </row>
    <row r="2866" spans="1:6">
      <c r="A2866"/>
      <c r="B2866"/>
      <c r="C2866"/>
      <c r="D2866"/>
      <c r="E2866"/>
      <c r="F2866"/>
    </row>
    <row r="2867" spans="1:6">
      <c r="A2867"/>
      <c r="B2867"/>
      <c r="C2867"/>
      <c r="D2867"/>
      <c r="E2867"/>
      <c r="F2867"/>
    </row>
    <row r="2868" spans="1:6">
      <c r="A2868"/>
      <c r="B2868"/>
      <c r="C2868"/>
      <c r="D2868"/>
      <c r="E2868"/>
      <c r="F2868"/>
    </row>
    <row r="2869" spans="1:6">
      <c r="A2869"/>
      <c r="B2869"/>
      <c r="C2869"/>
      <c r="D2869"/>
      <c r="E2869"/>
      <c r="F2869"/>
    </row>
    <row r="2870" spans="1:6">
      <c r="A2870"/>
      <c r="B2870"/>
      <c r="C2870"/>
      <c r="D2870"/>
      <c r="E2870"/>
      <c r="F2870"/>
    </row>
    <row r="2871" spans="1:6">
      <c r="A2871"/>
      <c r="B2871"/>
      <c r="C2871"/>
      <c r="D2871"/>
      <c r="E2871"/>
      <c r="F2871"/>
    </row>
    <row r="2872" spans="1:6">
      <c r="A2872"/>
      <c r="B2872"/>
      <c r="C2872"/>
      <c r="D2872"/>
      <c r="E2872"/>
      <c r="F2872"/>
    </row>
    <row r="2873" spans="1:6">
      <c r="A2873"/>
      <c r="B2873"/>
      <c r="C2873"/>
      <c r="D2873"/>
      <c r="E2873"/>
      <c r="F2873"/>
    </row>
    <row r="2874" spans="1:6">
      <c r="A2874"/>
      <c r="B2874"/>
      <c r="C2874"/>
      <c r="D2874"/>
      <c r="E2874"/>
      <c r="F2874"/>
    </row>
    <row r="2875" spans="1:6">
      <c r="A2875"/>
      <c r="B2875"/>
      <c r="C2875"/>
      <c r="D2875"/>
      <c r="E2875"/>
      <c r="F2875"/>
    </row>
    <row r="2876" spans="1:6">
      <c r="A2876"/>
      <c r="B2876"/>
      <c r="C2876"/>
      <c r="D2876"/>
      <c r="E2876"/>
      <c r="F2876"/>
    </row>
    <row r="2877" spans="1:6">
      <c r="A2877"/>
      <c r="B2877"/>
      <c r="C2877"/>
      <c r="D2877"/>
      <c r="E2877"/>
      <c r="F2877"/>
    </row>
    <row r="2878" spans="1:6">
      <c r="A2878"/>
      <c r="B2878"/>
      <c r="C2878"/>
      <c r="D2878"/>
      <c r="E2878"/>
      <c r="F2878"/>
    </row>
    <row r="2879" spans="1:6">
      <c r="A2879"/>
      <c r="B2879"/>
      <c r="C2879"/>
      <c r="D2879"/>
      <c r="E2879"/>
      <c r="F2879"/>
    </row>
    <row r="2880" spans="1:6">
      <c r="A2880"/>
      <c r="B2880"/>
      <c r="C2880"/>
      <c r="D2880"/>
      <c r="E2880"/>
      <c r="F2880"/>
    </row>
    <row r="2881" spans="1:6">
      <c r="A2881"/>
      <c r="B2881"/>
      <c r="C2881"/>
      <c r="D2881"/>
      <c r="E2881"/>
      <c r="F2881"/>
    </row>
    <row r="2882" spans="1:6">
      <c r="A2882"/>
      <c r="B2882"/>
      <c r="C2882"/>
      <c r="D2882"/>
      <c r="E2882"/>
      <c r="F2882"/>
    </row>
    <row r="2883" spans="1:6">
      <c r="A2883"/>
      <c r="B2883"/>
      <c r="C2883"/>
      <c r="D2883"/>
      <c r="E2883"/>
      <c r="F2883"/>
    </row>
    <row r="2884" spans="1:6">
      <c r="A2884"/>
      <c r="B2884"/>
      <c r="C2884"/>
      <c r="D2884"/>
      <c r="E2884"/>
      <c r="F2884"/>
    </row>
    <row r="2885" spans="1:6">
      <c r="A2885"/>
      <c r="B2885"/>
      <c r="C2885"/>
      <c r="D2885"/>
      <c r="E2885"/>
      <c r="F2885"/>
    </row>
    <row r="2886" spans="1:6">
      <c r="A2886"/>
      <c r="B2886"/>
      <c r="C2886"/>
      <c r="D2886"/>
      <c r="E2886"/>
      <c r="F2886"/>
    </row>
    <row r="2887" spans="1:6">
      <c r="A2887"/>
      <c r="B2887"/>
      <c r="C2887"/>
      <c r="D2887"/>
      <c r="E2887"/>
      <c r="F2887"/>
    </row>
    <row r="2888" spans="1:6">
      <c r="A2888"/>
      <c r="B2888"/>
      <c r="C2888"/>
      <c r="D2888"/>
      <c r="E2888"/>
      <c r="F2888"/>
    </row>
    <row r="2889" spans="1:6">
      <c r="A2889"/>
      <c r="B2889"/>
      <c r="C2889"/>
      <c r="D2889"/>
      <c r="E2889"/>
      <c r="F2889"/>
    </row>
    <row r="2890" spans="1:6">
      <c r="A2890"/>
      <c r="B2890"/>
      <c r="C2890"/>
      <c r="D2890"/>
      <c r="E2890"/>
      <c r="F2890"/>
    </row>
    <row r="2891" spans="1:6">
      <c r="A2891"/>
      <c r="B2891"/>
      <c r="C2891"/>
      <c r="D2891"/>
      <c r="E2891"/>
      <c r="F2891"/>
    </row>
    <row r="2892" spans="1:6">
      <c r="A2892"/>
      <c r="B2892"/>
      <c r="C2892"/>
      <c r="D2892"/>
      <c r="E2892"/>
      <c r="F2892"/>
    </row>
    <row r="2893" spans="1:6">
      <c r="A2893"/>
      <c r="B2893"/>
      <c r="C2893"/>
      <c r="D2893"/>
      <c r="E2893"/>
      <c r="F2893"/>
    </row>
    <row r="2894" spans="1:6">
      <c r="A2894"/>
      <c r="B2894"/>
      <c r="C2894"/>
      <c r="D2894"/>
      <c r="E2894"/>
      <c r="F2894"/>
    </row>
    <row r="2895" spans="1:6">
      <c r="A2895"/>
      <c r="B2895"/>
      <c r="C2895"/>
      <c r="D2895"/>
      <c r="E2895"/>
      <c r="F2895"/>
    </row>
    <row r="2896" spans="1:6">
      <c r="A2896"/>
      <c r="B2896"/>
      <c r="C2896"/>
      <c r="D2896"/>
      <c r="E2896"/>
      <c r="F2896"/>
    </row>
    <row r="2897" spans="1:6">
      <c r="A2897"/>
      <c r="B2897"/>
      <c r="C2897"/>
      <c r="D2897"/>
      <c r="E2897"/>
      <c r="F2897"/>
    </row>
    <row r="2898" spans="1:6">
      <c r="A2898"/>
      <c r="B2898"/>
      <c r="C2898"/>
      <c r="D2898"/>
      <c r="E2898"/>
      <c r="F2898"/>
    </row>
    <row r="2899" spans="1:6">
      <c r="A2899"/>
      <c r="B2899"/>
      <c r="C2899"/>
      <c r="D2899"/>
      <c r="E2899"/>
      <c r="F2899"/>
    </row>
    <row r="2900" spans="1:6">
      <c r="A2900"/>
      <c r="B2900"/>
      <c r="C2900"/>
      <c r="D2900"/>
      <c r="E2900"/>
      <c r="F2900"/>
    </row>
    <row r="2901" spans="1:6">
      <c r="A2901"/>
      <c r="B2901"/>
      <c r="C2901"/>
      <c r="D2901"/>
      <c r="E2901"/>
      <c r="F2901"/>
    </row>
    <row r="2902" spans="1:6">
      <c r="A2902"/>
      <c r="B2902"/>
      <c r="C2902"/>
      <c r="D2902"/>
      <c r="E2902"/>
      <c r="F2902"/>
    </row>
    <row r="2903" spans="1:6">
      <c r="A2903"/>
      <c r="B2903"/>
      <c r="C2903"/>
      <c r="D2903"/>
      <c r="E2903"/>
      <c r="F2903"/>
    </row>
    <row r="2904" spans="1:6">
      <c r="A2904"/>
      <c r="B2904"/>
      <c r="C2904"/>
      <c r="D2904"/>
      <c r="E2904"/>
      <c r="F2904"/>
    </row>
    <row r="2905" spans="1:6">
      <c r="A2905"/>
      <c r="B2905"/>
      <c r="C2905"/>
      <c r="D2905"/>
      <c r="E2905"/>
      <c r="F2905"/>
    </row>
    <row r="2906" spans="1:6">
      <c r="A2906"/>
      <c r="B2906"/>
      <c r="C2906"/>
      <c r="D2906"/>
      <c r="E2906"/>
      <c r="F2906"/>
    </row>
    <row r="2907" spans="1:6">
      <c r="A2907"/>
      <c r="B2907"/>
      <c r="C2907"/>
      <c r="D2907"/>
      <c r="E2907"/>
      <c r="F2907"/>
    </row>
    <row r="2908" spans="1:6">
      <c r="A2908"/>
      <c r="B2908"/>
      <c r="C2908"/>
      <c r="D2908"/>
      <c r="E2908"/>
      <c r="F2908"/>
    </row>
    <row r="2909" spans="1:6">
      <c r="A2909"/>
      <c r="B2909"/>
      <c r="C2909"/>
      <c r="D2909"/>
      <c r="E2909"/>
      <c r="F2909"/>
    </row>
    <row r="2910" spans="1:6">
      <c r="A2910"/>
      <c r="B2910"/>
      <c r="C2910"/>
      <c r="D2910"/>
      <c r="E2910"/>
      <c r="F2910"/>
    </row>
    <row r="2911" spans="1:6">
      <c r="A2911"/>
      <c r="B2911"/>
      <c r="C2911"/>
      <c r="D2911"/>
      <c r="E2911"/>
      <c r="F2911"/>
    </row>
    <row r="2912" spans="1:6">
      <c r="A2912"/>
      <c r="B2912"/>
      <c r="C2912"/>
      <c r="D2912"/>
      <c r="E2912"/>
      <c r="F2912"/>
    </row>
    <row r="2913" spans="1:6">
      <c r="A2913"/>
      <c r="B2913"/>
      <c r="C2913"/>
      <c r="D2913"/>
      <c r="E2913"/>
      <c r="F2913"/>
    </row>
    <row r="2914" spans="1:6">
      <c r="A2914"/>
      <c r="B2914"/>
      <c r="C2914"/>
      <c r="D2914"/>
      <c r="E2914"/>
      <c r="F2914"/>
    </row>
    <row r="2915" spans="1:6">
      <c r="A2915"/>
      <c r="B2915"/>
      <c r="C2915"/>
      <c r="D2915"/>
      <c r="E2915"/>
      <c r="F2915"/>
    </row>
    <row r="2916" spans="1:6">
      <c r="A2916"/>
      <c r="B2916"/>
      <c r="C2916"/>
      <c r="D2916"/>
      <c r="E2916"/>
      <c r="F2916"/>
    </row>
    <row r="2917" spans="1:6">
      <c r="A2917"/>
      <c r="B2917"/>
      <c r="C2917"/>
      <c r="D2917"/>
      <c r="E2917"/>
      <c r="F2917"/>
    </row>
    <row r="2918" spans="1:6">
      <c r="A2918"/>
      <c r="B2918"/>
      <c r="C2918"/>
      <c r="D2918"/>
      <c r="E2918"/>
      <c r="F2918"/>
    </row>
    <row r="2919" spans="1:6">
      <c r="A2919"/>
      <c r="B2919"/>
      <c r="C2919"/>
      <c r="D2919"/>
      <c r="E2919"/>
      <c r="F2919"/>
    </row>
    <row r="2920" spans="1:6">
      <c r="A2920"/>
      <c r="B2920"/>
      <c r="C2920"/>
      <c r="D2920"/>
      <c r="E2920"/>
      <c r="F2920"/>
    </row>
    <row r="2921" spans="1:6">
      <c r="A2921"/>
      <c r="B2921"/>
      <c r="C2921"/>
      <c r="D2921"/>
      <c r="E2921"/>
      <c r="F2921"/>
    </row>
    <row r="2922" spans="1:6">
      <c r="A2922"/>
      <c r="B2922"/>
      <c r="C2922"/>
      <c r="D2922"/>
      <c r="E2922"/>
      <c r="F2922"/>
    </row>
    <row r="2923" spans="1:6">
      <c r="A2923"/>
      <c r="B2923"/>
      <c r="C2923"/>
      <c r="D2923"/>
      <c r="E2923"/>
      <c r="F2923"/>
    </row>
    <row r="2924" spans="1:6">
      <c r="A2924"/>
      <c r="B2924"/>
      <c r="C2924"/>
      <c r="D2924"/>
      <c r="E2924"/>
      <c r="F2924"/>
    </row>
    <row r="2925" spans="1:6">
      <c r="A2925"/>
      <c r="B2925"/>
      <c r="C2925"/>
      <c r="D2925"/>
      <c r="E2925"/>
      <c r="F2925"/>
    </row>
    <row r="2926" spans="1:6">
      <c r="A2926"/>
      <c r="B2926"/>
      <c r="C2926"/>
      <c r="D2926"/>
      <c r="E2926"/>
      <c r="F2926"/>
    </row>
    <row r="2927" spans="1:6">
      <c r="A2927"/>
      <c r="B2927"/>
      <c r="C2927"/>
      <c r="D2927"/>
      <c r="E2927"/>
      <c r="F2927"/>
    </row>
    <row r="2928" spans="1:6">
      <c r="A2928"/>
      <c r="B2928"/>
      <c r="C2928"/>
      <c r="D2928"/>
      <c r="E2928"/>
      <c r="F2928"/>
    </row>
    <row r="2929" spans="1:6">
      <c r="A2929"/>
      <c r="B2929"/>
      <c r="C2929"/>
      <c r="D2929"/>
      <c r="E2929"/>
      <c r="F2929"/>
    </row>
    <row r="2930" spans="1:6">
      <c r="A2930"/>
      <c r="B2930"/>
      <c r="C2930"/>
      <c r="D2930"/>
      <c r="E2930"/>
      <c r="F2930"/>
    </row>
    <row r="2931" spans="1:6">
      <c r="A2931"/>
      <c r="B2931"/>
      <c r="C2931"/>
      <c r="D2931"/>
      <c r="E2931"/>
      <c r="F2931"/>
    </row>
    <row r="2932" spans="1:6">
      <c r="A2932"/>
      <c r="B2932"/>
      <c r="C2932"/>
      <c r="D2932"/>
      <c r="E2932"/>
      <c r="F2932"/>
    </row>
    <row r="2933" spans="1:6">
      <c r="A2933"/>
      <c r="B2933"/>
      <c r="C2933"/>
      <c r="D2933"/>
      <c r="E2933"/>
      <c r="F2933"/>
    </row>
    <row r="2934" spans="1:6">
      <c r="A2934"/>
      <c r="B2934"/>
      <c r="C2934"/>
      <c r="D2934"/>
      <c r="E2934"/>
      <c r="F2934"/>
    </row>
    <row r="2935" spans="1:6">
      <c r="A2935"/>
      <c r="B2935"/>
      <c r="C2935"/>
      <c r="D2935"/>
      <c r="E2935"/>
      <c r="F2935"/>
    </row>
    <row r="2936" spans="1:6">
      <c r="A2936"/>
      <c r="B2936"/>
      <c r="C2936"/>
      <c r="D2936"/>
      <c r="E2936"/>
      <c r="F2936"/>
    </row>
    <row r="2937" spans="1:6">
      <c r="A2937"/>
      <c r="B2937"/>
      <c r="C2937"/>
      <c r="D2937"/>
      <c r="E2937"/>
      <c r="F2937"/>
    </row>
    <row r="2938" spans="1:6">
      <c r="A2938"/>
      <c r="B2938"/>
      <c r="C2938"/>
      <c r="D2938"/>
      <c r="E2938"/>
      <c r="F2938"/>
    </row>
    <row r="2939" spans="1:6">
      <c r="A2939"/>
      <c r="B2939"/>
      <c r="C2939"/>
      <c r="D2939"/>
      <c r="E2939"/>
      <c r="F2939"/>
    </row>
    <row r="2940" spans="1:6">
      <c r="A2940"/>
      <c r="B2940"/>
      <c r="C2940"/>
      <c r="D2940"/>
      <c r="E2940"/>
      <c r="F2940"/>
    </row>
    <row r="2941" spans="1:6">
      <c r="A2941"/>
      <c r="B2941"/>
      <c r="C2941"/>
      <c r="D2941"/>
      <c r="E2941"/>
      <c r="F2941"/>
    </row>
    <row r="2942" spans="1:6">
      <c r="A2942"/>
      <c r="B2942"/>
      <c r="C2942"/>
      <c r="D2942"/>
      <c r="E2942"/>
      <c r="F2942"/>
    </row>
    <row r="2943" spans="1:6">
      <c r="A2943"/>
      <c r="B2943"/>
      <c r="C2943"/>
      <c r="D2943"/>
      <c r="E2943"/>
      <c r="F2943"/>
    </row>
    <row r="2944" spans="1:6">
      <c r="A2944"/>
      <c r="B2944"/>
      <c r="C2944"/>
      <c r="D2944"/>
      <c r="E2944"/>
      <c r="F2944"/>
    </row>
    <row r="2945" spans="1:6">
      <c r="A2945"/>
      <c r="B2945"/>
      <c r="C2945"/>
      <c r="D2945"/>
      <c r="E2945"/>
      <c r="F2945"/>
    </row>
    <row r="2946" spans="1:6">
      <c r="A2946"/>
      <c r="B2946"/>
      <c r="C2946"/>
      <c r="D2946"/>
      <c r="E2946"/>
      <c r="F2946"/>
    </row>
    <row r="2947" spans="1:6">
      <c r="A2947"/>
      <c r="B2947"/>
      <c r="C2947"/>
      <c r="D2947"/>
      <c r="E2947"/>
      <c r="F2947"/>
    </row>
    <row r="2948" spans="1:6">
      <c r="A2948"/>
      <c r="B2948"/>
      <c r="C2948"/>
      <c r="D2948"/>
      <c r="E2948"/>
      <c r="F2948"/>
    </row>
    <row r="2949" spans="1:6">
      <c r="A2949"/>
      <c r="B2949"/>
      <c r="C2949"/>
      <c r="D2949"/>
      <c r="E2949"/>
      <c r="F2949"/>
    </row>
    <row r="2950" spans="1:6">
      <c r="A2950"/>
      <c r="B2950"/>
      <c r="C2950"/>
      <c r="D2950"/>
      <c r="E2950"/>
      <c r="F2950"/>
    </row>
    <row r="2951" spans="1:6">
      <c r="A2951"/>
      <c r="B2951"/>
      <c r="C2951"/>
      <c r="D2951"/>
      <c r="E2951"/>
      <c r="F2951"/>
    </row>
    <row r="2952" spans="1:6">
      <c r="A2952"/>
      <c r="B2952"/>
      <c r="C2952"/>
      <c r="D2952"/>
      <c r="E2952"/>
      <c r="F2952"/>
    </row>
    <row r="2953" spans="1:6">
      <c r="A2953"/>
      <c r="B2953"/>
      <c r="C2953"/>
      <c r="D2953"/>
      <c r="E2953"/>
      <c r="F2953"/>
    </row>
    <row r="2954" spans="1:6">
      <c r="A2954"/>
      <c r="B2954"/>
      <c r="C2954"/>
      <c r="D2954"/>
      <c r="E2954"/>
      <c r="F2954"/>
    </row>
    <row r="2955" spans="1:6">
      <c r="A2955"/>
      <c r="B2955"/>
      <c r="C2955"/>
      <c r="D2955"/>
      <c r="E2955"/>
      <c r="F2955"/>
    </row>
    <row r="2956" spans="1:6">
      <c r="A2956"/>
      <c r="B2956"/>
      <c r="C2956"/>
      <c r="D2956"/>
      <c r="E2956"/>
      <c r="F2956"/>
    </row>
    <row r="2957" spans="1:6">
      <c r="A2957"/>
      <c r="B2957"/>
      <c r="C2957"/>
      <c r="D2957"/>
      <c r="E2957"/>
      <c r="F2957"/>
    </row>
    <row r="2958" spans="1:6">
      <c r="A2958"/>
      <c r="B2958"/>
      <c r="C2958"/>
      <c r="D2958"/>
      <c r="E2958"/>
      <c r="F2958"/>
    </row>
    <row r="2959" spans="1:6">
      <c r="A2959"/>
      <c r="B2959"/>
      <c r="C2959"/>
      <c r="D2959"/>
      <c r="E2959"/>
      <c r="F2959"/>
    </row>
    <row r="2960" spans="1:6">
      <c r="A2960"/>
      <c r="B2960"/>
      <c r="C2960"/>
      <c r="D2960"/>
      <c r="E2960"/>
      <c r="F2960"/>
    </row>
    <row r="2961" spans="1:6">
      <c r="A2961"/>
      <c r="B2961"/>
      <c r="C2961"/>
      <c r="D2961"/>
      <c r="E2961"/>
      <c r="F2961"/>
    </row>
    <row r="2962" spans="1:6">
      <c r="A2962"/>
      <c r="B2962"/>
      <c r="C2962"/>
      <c r="D2962"/>
      <c r="E2962"/>
      <c r="F2962"/>
    </row>
    <row r="2963" spans="1:6">
      <c r="A2963"/>
      <c r="B2963"/>
      <c r="C2963"/>
      <c r="D2963"/>
      <c r="E2963"/>
      <c r="F2963"/>
    </row>
    <row r="2964" spans="1:6">
      <c r="A2964"/>
      <c r="B2964"/>
      <c r="C2964"/>
      <c r="D2964"/>
      <c r="E2964"/>
      <c r="F2964"/>
    </row>
    <row r="2965" spans="1:6">
      <c r="A2965"/>
      <c r="B2965"/>
      <c r="C2965"/>
      <c r="D2965"/>
      <c r="E2965"/>
      <c r="F2965"/>
    </row>
    <row r="2966" spans="1:6">
      <c r="A2966"/>
      <c r="B2966"/>
      <c r="C2966"/>
      <c r="D2966"/>
      <c r="E2966"/>
      <c r="F2966"/>
    </row>
    <row r="2967" spans="1:6">
      <c r="A2967"/>
      <c r="B2967"/>
      <c r="C2967"/>
      <c r="D2967"/>
      <c r="E2967"/>
      <c r="F2967"/>
    </row>
    <row r="2968" spans="1:6">
      <c r="A2968"/>
      <c r="B2968"/>
      <c r="C2968"/>
      <c r="D2968"/>
      <c r="E2968"/>
      <c r="F2968"/>
    </row>
    <row r="2969" spans="1:6">
      <c r="A2969"/>
      <c r="B2969"/>
      <c r="C2969"/>
      <c r="D2969"/>
      <c r="E2969"/>
      <c r="F2969"/>
    </row>
    <row r="2970" spans="1:6">
      <c r="A2970"/>
      <c r="B2970"/>
      <c r="C2970"/>
      <c r="D2970"/>
      <c r="E2970"/>
      <c r="F2970"/>
    </row>
    <row r="2971" spans="1:6">
      <c r="A2971"/>
      <c r="B2971"/>
      <c r="C2971"/>
      <c r="D2971"/>
      <c r="E2971"/>
      <c r="F2971"/>
    </row>
    <row r="2972" spans="1:6">
      <c r="A2972"/>
      <c r="B2972"/>
      <c r="C2972"/>
      <c r="D2972"/>
      <c r="E2972"/>
      <c r="F2972"/>
    </row>
    <row r="2973" spans="1:6">
      <c r="A2973"/>
      <c r="B2973"/>
      <c r="C2973"/>
      <c r="D2973"/>
      <c r="E2973"/>
      <c r="F2973"/>
    </row>
    <row r="2974" spans="1:6">
      <c r="A2974"/>
      <c r="B2974"/>
      <c r="C2974"/>
      <c r="D2974"/>
      <c r="E2974"/>
      <c r="F2974"/>
    </row>
    <row r="2975" spans="1:6">
      <c r="A2975"/>
      <c r="B2975"/>
      <c r="C2975"/>
      <c r="D2975"/>
      <c r="E2975"/>
      <c r="F2975"/>
    </row>
    <row r="2976" spans="1:6">
      <c r="A2976"/>
      <c r="B2976"/>
      <c r="C2976"/>
      <c r="D2976"/>
      <c r="E2976"/>
      <c r="F2976"/>
    </row>
    <row r="2977" spans="1:6">
      <c r="A2977"/>
      <c r="B2977"/>
      <c r="C2977"/>
      <c r="D2977"/>
      <c r="E2977"/>
      <c r="F2977"/>
    </row>
    <row r="2978" spans="1:6">
      <c r="A2978"/>
      <c r="B2978"/>
      <c r="C2978"/>
      <c r="D2978"/>
      <c r="E2978"/>
      <c r="F2978"/>
    </row>
    <row r="2979" spans="1:6">
      <c r="A2979"/>
      <c r="B2979"/>
      <c r="C2979"/>
      <c r="D2979"/>
      <c r="E2979"/>
      <c r="F2979"/>
    </row>
    <row r="2980" spans="1:6">
      <c r="A2980"/>
      <c r="B2980"/>
      <c r="C2980"/>
      <c r="D2980"/>
      <c r="E2980"/>
      <c r="F2980"/>
    </row>
    <row r="2981" spans="1:6">
      <c r="A2981"/>
      <c r="B2981"/>
      <c r="C2981"/>
      <c r="D2981"/>
      <c r="E2981"/>
      <c r="F2981"/>
    </row>
    <row r="2982" spans="1:6">
      <c r="A2982"/>
      <c r="B2982"/>
      <c r="C2982"/>
      <c r="D2982"/>
      <c r="E2982"/>
      <c r="F2982"/>
    </row>
    <row r="2983" spans="1:6">
      <c r="A2983"/>
      <c r="B2983"/>
      <c r="C2983"/>
      <c r="D2983"/>
      <c r="E2983"/>
      <c r="F2983"/>
    </row>
    <row r="2984" spans="1:6">
      <c r="A2984"/>
      <c r="B2984"/>
      <c r="C2984"/>
      <c r="D2984"/>
      <c r="E2984"/>
      <c r="F2984"/>
    </row>
    <row r="2985" spans="1:6">
      <c r="A2985"/>
      <c r="B2985"/>
      <c r="C2985"/>
      <c r="D2985"/>
      <c r="E2985"/>
      <c r="F2985"/>
    </row>
    <row r="2986" spans="1:6">
      <c r="A2986"/>
      <c r="B2986"/>
      <c r="C2986"/>
      <c r="D2986"/>
      <c r="E2986"/>
      <c r="F2986"/>
    </row>
    <row r="2987" spans="1:6">
      <c r="A2987"/>
      <c r="B2987"/>
      <c r="C2987"/>
      <c r="D2987"/>
      <c r="E2987"/>
      <c r="F2987"/>
    </row>
    <row r="2988" spans="1:6">
      <c r="A2988"/>
      <c r="B2988"/>
      <c r="C2988"/>
      <c r="D2988"/>
      <c r="E2988"/>
      <c r="F2988"/>
    </row>
    <row r="2989" spans="1:6">
      <c r="A2989"/>
      <c r="B2989"/>
      <c r="C2989"/>
      <c r="D2989"/>
      <c r="E2989"/>
      <c r="F2989"/>
    </row>
    <row r="2990" spans="1:6">
      <c r="A2990"/>
      <c r="B2990"/>
      <c r="C2990"/>
      <c r="D2990"/>
      <c r="E2990"/>
      <c r="F2990"/>
    </row>
    <row r="2991" spans="1:6">
      <c r="A2991"/>
      <c r="B2991"/>
      <c r="C2991"/>
      <c r="D2991"/>
      <c r="E2991"/>
      <c r="F2991"/>
    </row>
    <row r="2992" spans="1:6">
      <c r="A2992"/>
      <c r="B2992"/>
      <c r="C2992"/>
      <c r="D2992"/>
      <c r="E2992"/>
      <c r="F2992"/>
    </row>
    <row r="2993" spans="1:6">
      <c r="A2993"/>
      <c r="B2993"/>
      <c r="C2993"/>
      <c r="D2993"/>
      <c r="E2993"/>
      <c r="F2993"/>
    </row>
    <row r="2994" spans="1:6">
      <c r="A2994"/>
      <c r="B2994"/>
      <c r="C2994"/>
      <c r="D2994"/>
      <c r="E2994"/>
      <c r="F2994"/>
    </row>
    <row r="2995" spans="1:6">
      <c r="A2995"/>
      <c r="B2995"/>
      <c r="C2995"/>
      <c r="D2995"/>
      <c r="E2995"/>
      <c r="F2995"/>
    </row>
    <row r="2996" spans="1:6">
      <c r="A2996"/>
      <c r="B2996"/>
      <c r="C2996"/>
      <c r="D2996"/>
      <c r="E2996"/>
      <c r="F2996"/>
    </row>
    <row r="2997" spans="1:6">
      <c r="A2997"/>
      <c r="B2997"/>
      <c r="C2997"/>
      <c r="D2997"/>
      <c r="E2997"/>
      <c r="F2997"/>
    </row>
    <row r="2998" spans="1:6">
      <c r="A2998"/>
      <c r="B2998"/>
      <c r="C2998"/>
      <c r="D2998"/>
      <c r="E2998"/>
      <c r="F2998"/>
    </row>
    <row r="2999" spans="1:6">
      <c r="A2999"/>
      <c r="B2999"/>
      <c r="C2999"/>
      <c r="D2999"/>
      <c r="E2999"/>
      <c r="F2999"/>
    </row>
    <row r="3000" spans="1:6">
      <c r="A3000"/>
      <c r="B3000"/>
      <c r="C3000"/>
      <c r="D3000"/>
      <c r="E3000"/>
      <c r="F3000"/>
    </row>
    <row r="3001" spans="1:6">
      <c r="A3001"/>
      <c r="B3001"/>
      <c r="C3001"/>
      <c r="D3001"/>
      <c r="E3001"/>
      <c r="F3001"/>
    </row>
    <row r="3002" spans="1:6">
      <c r="A3002"/>
      <c r="B3002"/>
      <c r="C3002"/>
      <c r="D3002"/>
      <c r="E3002"/>
      <c r="F3002"/>
    </row>
    <row r="3003" spans="1:6">
      <c r="A3003"/>
      <c r="B3003"/>
      <c r="C3003"/>
      <c r="D3003"/>
      <c r="E3003"/>
      <c r="F3003"/>
    </row>
    <row r="3004" spans="1:6">
      <c r="A3004"/>
      <c r="B3004"/>
      <c r="C3004"/>
      <c r="D3004"/>
      <c r="E3004"/>
      <c r="F3004"/>
    </row>
    <row r="3005" spans="1:6">
      <c r="A3005"/>
      <c r="B3005"/>
      <c r="C3005"/>
      <c r="D3005"/>
      <c r="E3005"/>
      <c r="F3005"/>
    </row>
    <row r="3006" spans="1:6">
      <c r="A3006"/>
      <c r="B3006"/>
      <c r="C3006"/>
      <c r="D3006"/>
      <c r="E3006"/>
      <c r="F3006"/>
    </row>
    <row r="3007" spans="1:6">
      <c r="A3007"/>
      <c r="B3007"/>
      <c r="C3007"/>
      <c r="D3007"/>
      <c r="E3007"/>
      <c r="F3007"/>
    </row>
    <row r="3008" spans="1:6">
      <c r="A3008"/>
      <c r="B3008"/>
      <c r="C3008"/>
      <c r="D3008"/>
      <c r="E3008"/>
      <c r="F3008"/>
    </row>
    <row r="3009" spans="1:6">
      <c r="A3009"/>
      <c r="B3009"/>
      <c r="C3009"/>
      <c r="D3009"/>
      <c r="E3009"/>
      <c r="F3009"/>
    </row>
    <row r="3010" spans="1:6">
      <c r="A3010"/>
      <c r="B3010"/>
      <c r="C3010"/>
      <c r="D3010"/>
      <c r="E3010"/>
      <c r="F3010"/>
    </row>
    <row r="3011" spans="1:6">
      <c r="A3011"/>
      <c r="B3011"/>
      <c r="C3011"/>
      <c r="D3011"/>
      <c r="E3011"/>
      <c r="F3011"/>
    </row>
    <row r="3012" spans="1:6">
      <c r="A3012"/>
      <c r="B3012"/>
      <c r="C3012"/>
      <c r="D3012"/>
      <c r="E3012"/>
      <c r="F3012"/>
    </row>
    <row r="3013" spans="1:6">
      <c r="A3013"/>
      <c r="B3013"/>
      <c r="C3013"/>
      <c r="D3013"/>
      <c r="E3013"/>
      <c r="F3013"/>
    </row>
    <row r="3014" spans="1:6">
      <c r="A3014"/>
      <c r="B3014"/>
      <c r="C3014"/>
      <c r="D3014"/>
      <c r="E3014"/>
      <c r="F3014"/>
    </row>
    <row r="3015" spans="1:6">
      <c r="A3015"/>
      <c r="B3015"/>
      <c r="C3015"/>
      <c r="D3015"/>
      <c r="E3015"/>
      <c r="F3015"/>
    </row>
    <row r="3016" spans="1:6">
      <c r="A3016"/>
      <c r="B3016"/>
      <c r="C3016"/>
      <c r="D3016"/>
      <c r="E3016"/>
      <c r="F3016"/>
    </row>
    <row r="3017" spans="1:6">
      <c r="A3017"/>
      <c r="B3017"/>
      <c r="C3017"/>
      <c r="D3017"/>
      <c r="E3017"/>
      <c r="F3017"/>
    </row>
    <row r="3018" spans="1:6">
      <c r="A3018"/>
      <c r="B3018"/>
      <c r="C3018"/>
      <c r="D3018"/>
      <c r="E3018"/>
      <c r="F3018"/>
    </row>
    <row r="3019" spans="1:6">
      <c r="A3019"/>
      <c r="B3019"/>
      <c r="C3019"/>
      <c r="D3019"/>
      <c r="E3019"/>
      <c r="F3019"/>
    </row>
    <row r="3020" spans="1:6">
      <c r="A3020"/>
      <c r="B3020"/>
      <c r="C3020"/>
      <c r="D3020"/>
      <c r="E3020"/>
      <c r="F3020"/>
    </row>
    <row r="3021" spans="1:6">
      <c r="A3021"/>
      <c r="B3021"/>
      <c r="C3021"/>
      <c r="D3021"/>
      <c r="E3021"/>
      <c r="F3021"/>
    </row>
    <row r="3022" spans="1:6">
      <c r="A3022"/>
      <c r="B3022"/>
      <c r="C3022"/>
      <c r="D3022"/>
      <c r="E3022"/>
      <c r="F3022"/>
    </row>
    <row r="3023" spans="1:6">
      <c r="A3023"/>
      <c r="B3023"/>
      <c r="C3023"/>
      <c r="D3023"/>
      <c r="E3023"/>
      <c r="F3023"/>
    </row>
    <row r="3024" spans="1:6">
      <c r="A3024"/>
      <c r="B3024"/>
      <c r="C3024"/>
      <c r="D3024"/>
      <c r="E3024"/>
      <c r="F3024"/>
    </row>
    <row r="3025" spans="1:6">
      <c r="A3025"/>
      <c r="B3025"/>
      <c r="C3025"/>
      <c r="D3025"/>
      <c r="E3025"/>
      <c r="F3025"/>
    </row>
    <row r="3026" spans="1:6">
      <c r="A3026"/>
      <c r="B3026"/>
      <c r="C3026"/>
      <c r="D3026"/>
      <c r="E3026"/>
      <c r="F3026"/>
    </row>
    <row r="3027" spans="1:6">
      <c r="A3027"/>
      <c r="B3027"/>
      <c r="C3027"/>
      <c r="D3027"/>
      <c r="E3027"/>
      <c r="F3027"/>
    </row>
    <row r="3028" spans="1:6">
      <c r="A3028"/>
      <c r="B3028"/>
      <c r="C3028"/>
      <c r="D3028"/>
      <c r="E3028"/>
      <c r="F3028"/>
    </row>
    <row r="3029" spans="1:6">
      <c r="A3029"/>
      <c r="B3029"/>
      <c r="C3029"/>
      <c r="D3029"/>
      <c r="E3029"/>
      <c r="F3029"/>
    </row>
    <row r="3030" spans="1:6">
      <c r="A3030"/>
      <c r="B3030"/>
      <c r="C3030"/>
      <c r="D3030"/>
      <c r="E3030"/>
      <c r="F3030"/>
    </row>
    <row r="3031" spans="1:6">
      <c r="A3031"/>
      <c r="B3031"/>
      <c r="C3031"/>
      <c r="D3031"/>
      <c r="E3031"/>
      <c r="F3031"/>
    </row>
    <row r="3032" spans="1:6">
      <c r="A3032"/>
      <c r="B3032"/>
      <c r="C3032"/>
      <c r="D3032"/>
      <c r="E3032"/>
      <c r="F3032"/>
    </row>
    <row r="3033" spans="1:6">
      <c r="A3033"/>
      <c r="B3033"/>
      <c r="C3033"/>
      <c r="D3033"/>
      <c r="E3033"/>
      <c r="F3033"/>
    </row>
    <row r="3034" spans="1:6">
      <c r="A3034"/>
      <c r="B3034"/>
      <c r="C3034"/>
      <c r="D3034"/>
      <c r="E3034"/>
      <c r="F3034"/>
    </row>
    <row r="3035" spans="1:6">
      <c r="A3035"/>
      <c r="B3035"/>
      <c r="C3035"/>
      <c r="D3035"/>
      <c r="E3035"/>
      <c r="F3035"/>
    </row>
    <row r="3036" spans="1:6">
      <c r="A3036"/>
      <c r="B3036"/>
      <c r="C3036"/>
      <c r="D3036"/>
      <c r="E3036"/>
      <c r="F3036"/>
    </row>
    <row r="3037" spans="1:6">
      <c r="A3037"/>
      <c r="B3037"/>
      <c r="C3037"/>
      <c r="D3037"/>
      <c r="E3037"/>
      <c r="F3037"/>
    </row>
    <row r="3038" spans="1:6">
      <c r="A3038"/>
      <c r="B3038"/>
      <c r="C3038"/>
      <c r="D3038"/>
      <c r="E3038"/>
      <c r="F3038"/>
    </row>
    <row r="3039" spans="1:6">
      <c r="A3039"/>
      <c r="B3039"/>
      <c r="C3039"/>
      <c r="D3039"/>
      <c r="E3039"/>
      <c r="F3039"/>
    </row>
    <row r="3040" spans="1:6">
      <c r="A3040"/>
      <c r="B3040"/>
      <c r="C3040"/>
      <c r="D3040"/>
      <c r="E3040"/>
      <c r="F3040"/>
    </row>
    <row r="3041" spans="1:6">
      <c r="A3041"/>
      <c r="B3041"/>
      <c r="C3041"/>
      <c r="D3041"/>
      <c r="E3041"/>
      <c r="F3041"/>
    </row>
    <row r="3042" spans="1:6">
      <c r="A3042"/>
      <c r="B3042"/>
      <c r="C3042"/>
      <c r="D3042"/>
      <c r="E3042"/>
      <c r="F3042"/>
    </row>
    <row r="3043" spans="1:6">
      <c r="A3043"/>
      <c r="B3043"/>
      <c r="C3043"/>
      <c r="D3043"/>
      <c r="E3043"/>
      <c r="F3043"/>
    </row>
    <row r="3044" spans="1:6">
      <c r="A3044"/>
      <c r="B3044"/>
      <c r="C3044"/>
      <c r="D3044"/>
      <c r="E3044"/>
      <c r="F3044"/>
    </row>
    <row r="3045" spans="1:6">
      <c r="A3045"/>
      <c r="B3045"/>
      <c r="C3045"/>
      <c r="D3045"/>
      <c r="E3045"/>
      <c r="F3045"/>
    </row>
    <row r="3046" spans="1:6">
      <c r="A3046"/>
      <c r="B3046"/>
      <c r="C3046"/>
      <c r="D3046"/>
      <c r="E3046"/>
      <c r="F3046"/>
    </row>
    <row r="3047" spans="1:6">
      <c r="A3047"/>
      <c r="B3047"/>
      <c r="C3047"/>
      <c r="D3047"/>
      <c r="E3047"/>
      <c r="F3047"/>
    </row>
    <row r="3048" spans="1:6">
      <c r="A3048"/>
      <c r="B3048"/>
      <c r="C3048"/>
      <c r="D3048"/>
      <c r="E3048"/>
      <c r="F3048"/>
    </row>
    <row r="3049" spans="1:6">
      <c r="A3049"/>
      <c r="B3049"/>
      <c r="C3049"/>
      <c r="D3049"/>
      <c r="E3049"/>
      <c r="F3049"/>
    </row>
    <row r="3050" spans="1:6">
      <c r="A3050"/>
      <c r="B3050"/>
      <c r="C3050"/>
      <c r="D3050"/>
      <c r="E3050"/>
      <c r="F3050"/>
    </row>
    <row r="3051" spans="1:6">
      <c r="A3051"/>
      <c r="B3051"/>
      <c r="C3051"/>
      <c r="D3051"/>
      <c r="E3051"/>
      <c r="F3051"/>
    </row>
    <row r="3052" spans="1:6">
      <c r="A3052"/>
      <c r="B3052"/>
      <c r="C3052"/>
      <c r="D3052"/>
      <c r="E3052"/>
      <c r="F3052"/>
    </row>
    <row r="3053" spans="1:6">
      <c r="A3053"/>
      <c r="B3053"/>
      <c r="C3053"/>
      <c r="D3053"/>
      <c r="E3053"/>
      <c r="F3053"/>
    </row>
    <row r="3054" spans="1:6">
      <c r="A3054"/>
      <c r="B3054"/>
      <c r="C3054"/>
      <c r="D3054"/>
      <c r="E3054"/>
      <c r="F3054"/>
    </row>
    <row r="3055" spans="1:6">
      <c r="A3055"/>
      <c r="B3055"/>
      <c r="C3055"/>
      <c r="D3055"/>
      <c r="E3055"/>
      <c r="F3055"/>
    </row>
    <row r="3056" spans="1:6">
      <c r="A3056"/>
      <c r="B3056"/>
      <c r="C3056"/>
      <c r="D3056"/>
      <c r="E3056"/>
      <c r="F3056"/>
    </row>
    <row r="3057" spans="1:6">
      <c r="A3057"/>
      <c r="B3057"/>
      <c r="C3057"/>
      <c r="D3057"/>
      <c r="E3057"/>
      <c r="F3057"/>
    </row>
    <row r="3058" spans="1:6">
      <c r="A3058"/>
      <c r="B3058"/>
      <c r="C3058"/>
      <c r="D3058"/>
      <c r="E3058"/>
      <c r="F3058"/>
    </row>
    <row r="3059" spans="1:6">
      <c r="A3059"/>
      <c r="B3059"/>
      <c r="C3059"/>
      <c r="D3059"/>
      <c r="E3059"/>
      <c r="F3059"/>
    </row>
    <row r="3060" spans="1:6">
      <c r="A3060"/>
      <c r="B3060"/>
      <c r="C3060"/>
      <c r="D3060"/>
      <c r="E3060"/>
      <c r="F3060"/>
    </row>
    <row r="3061" spans="1:6">
      <c r="A3061"/>
      <c r="B3061"/>
      <c r="C3061"/>
      <c r="D3061"/>
      <c r="E3061"/>
      <c r="F3061"/>
    </row>
    <row r="3062" spans="1:6">
      <c r="A3062"/>
      <c r="B3062"/>
      <c r="C3062"/>
      <c r="D3062"/>
      <c r="E3062"/>
      <c r="F3062"/>
    </row>
    <row r="3063" spans="1:6">
      <c r="A3063"/>
      <c r="B3063"/>
      <c r="C3063"/>
      <c r="D3063"/>
      <c r="E3063"/>
      <c r="F3063"/>
    </row>
    <row r="3064" spans="1:6">
      <c r="A3064"/>
      <c r="B3064"/>
      <c r="C3064"/>
      <c r="D3064"/>
      <c r="E3064"/>
      <c r="F3064"/>
    </row>
    <row r="3065" spans="1:6">
      <c r="A3065"/>
      <c r="B3065"/>
      <c r="C3065"/>
      <c r="D3065"/>
      <c r="E3065"/>
      <c r="F3065"/>
    </row>
    <row r="3066" spans="1:6">
      <c r="A3066"/>
      <c r="B3066"/>
      <c r="C3066"/>
      <c r="D3066"/>
      <c r="E3066"/>
      <c r="F3066"/>
    </row>
    <row r="3067" spans="1:6">
      <c r="A3067"/>
      <c r="B3067"/>
      <c r="C3067"/>
      <c r="D3067"/>
      <c r="E3067"/>
      <c r="F3067"/>
    </row>
    <row r="3068" spans="1:6">
      <c r="A3068"/>
      <c r="B3068"/>
      <c r="C3068"/>
      <c r="D3068"/>
      <c r="E3068"/>
      <c r="F3068"/>
    </row>
    <row r="3069" spans="1:6">
      <c r="A3069"/>
      <c r="B3069"/>
      <c r="C3069"/>
      <c r="D3069"/>
      <c r="E3069"/>
      <c r="F3069"/>
    </row>
    <row r="3070" spans="1:6">
      <c r="A3070"/>
      <c r="B3070"/>
      <c r="C3070"/>
      <c r="D3070"/>
      <c r="E3070"/>
      <c r="F3070"/>
    </row>
    <row r="3071" spans="1:6">
      <c r="A3071"/>
      <c r="B3071"/>
      <c r="C3071"/>
      <c r="D3071"/>
      <c r="E3071"/>
      <c r="F3071"/>
    </row>
    <row r="3072" spans="1:6">
      <c r="A3072"/>
      <c r="B3072"/>
      <c r="C3072"/>
      <c r="D3072"/>
      <c r="E3072"/>
      <c r="F3072"/>
    </row>
    <row r="3073" spans="1:6">
      <c r="A3073"/>
      <c r="B3073"/>
      <c r="C3073"/>
      <c r="D3073"/>
      <c r="E3073"/>
      <c r="F3073"/>
    </row>
    <row r="3074" spans="1:6">
      <c r="A3074"/>
      <c r="B3074"/>
      <c r="C3074"/>
      <c r="D3074"/>
      <c r="E3074"/>
      <c r="F3074"/>
    </row>
    <row r="3075" spans="1:6">
      <c r="A3075"/>
      <c r="B3075"/>
      <c r="C3075"/>
      <c r="D3075"/>
      <c r="E3075"/>
      <c r="F3075"/>
    </row>
    <row r="3076" spans="1:6">
      <c r="A3076"/>
      <c r="B3076"/>
      <c r="C3076"/>
      <c r="D3076"/>
      <c r="E3076"/>
      <c r="F3076"/>
    </row>
    <row r="3077" spans="1:6">
      <c r="A3077"/>
      <c r="B3077"/>
      <c r="C3077"/>
      <c r="D3077"/>
      <c r="E3077"/>
      <c r="F3077"/>
    </row>
    <row r="3078" spans="1:6">
      <c r="A3078"/>
      <c r="B3078"/>
      <c r="C3078"/>
      <c r="D3078"/>
      <c r="E3078"/>
      <c r="F3078"/>
    </row>
    <row r="3079" spans="1:6">
      <c r="A3079"/>
      <c r="B3079"/>
      <c r="C3079"/>
      <c r="D3079"/>
      <c r="E3079"/>
      <c r="F3079"/>
    </row>
    <row r="3080" spans="1:6">
      <c r="A3080"/>
      <c r="B3080"/>
      <c r="C3080"/>
      <c r="D3080"/>
      <c r="E3080"/>
      <c r="F3080"/>
    </row>
    <row r="3081" spans="1:6">
      <c r="A3081"/>
      <c r="B3081"/>
      <c r="C3081"/>
      <c r="D3081"/>
      <c r="E3081"/>
      <c r="F3081"/>
    </row>
    <row r="3082" spans="1:6">
      <c r="A3082"/>
      <c r="B3082"/>
      <c r="C3082"/>
      <c r="D3082"/>
      <c r="E3082"/>
      <c r="F3082"/>
    </row>
    <row r="3083" spans="1:6">
      <c r="A3083"/>
      <c r="B3083"/>
      <c r="C3083"/>
      <c r="D3083"/>
      <c r="E3083"/>
      <c r="F3083"/>
    </row>
    <row r="3084" spans="1:6">
      <c r="A3084"/>
      <c r="B3084"/>
      <c r="C3084"/>
      <c r="D3084"/>
      <c r="E3084"/>
      <c r="F3084"/>
    </row>
    <row r="3085" spans="1:6">
      <c r="A3085"/>
      <c r="B3085"/>
      <c r="C3085"/>
      <c r="D3085"/>
      <c r="E3085"/>
      <c r="F3085"/>
    </row>
    <row r="3086" spans="1:6">
      <c r="A3086"/>
      <c r="B3086"/>
      <c r="C3086"/>
      <c r="D3086"/>
      <c r="E3086"/>
      <c r="F3086"/>
    </row>
    <row r="3087" spans="1:6">
      <c r="A3087"/>
      <c r="B3087"/>
      <c r="C3087"/>
      <c r="D3087"/>
      <c r="E3087"/>
      <c r="F3087"/>
    </row>
    <row r="3088" spans="1:6">
      <c r="A3088"/>
      <c r="B3088"/>
      <c r="C3088"/>
      <c r="D3088"/>
      <c r="E3088"/>
      <c r="F3088"/>
    </row>
    <row r="3089" spans="1:6">
      <c r="A3089"/>
      <c r="B3089"/>
      <c r="C3089"/>
      <c r="D3089"/>
      <c r="E3089"/>
      <c r="F3089"/>
    </row>
    <row r="3090" spans="1:6">
      <c r="A3090"/>
      <c r="B3090"/>
      <c r="C3090"/>
      <c r="D3090"/>
      <c r="E3090"/>
      <c r="F3090"/>
    </row>
    <row r="3091" spans="1:6">
      <c r="A3091"/>
      <c r="B3091"/>
      <c r="C3091"/>
      <c r="D3091"/>
      <c r="E3091"/>
      <c r="F3091"/>
    </row>
    <row r="3092" spans="1:6">
      <c r="A3092"/>
      <c r="B3092"/>
      <c r="C3092"/>
      <c r="D3092"/>
      <c r="E3092"/>
      <c r="F3092"/>
    </row>
    <row r="3093" spans="1:6">
      <c r="A3093"/>
      <c r="B3093"/>
      <c r="C3093"/>
      <c r="D3093"/>
      <c r="E3093"/>
      <c r="F3093"/>
    </row>
    <row r="3094" spans="1:6">
      <c r="A3094"/>
      <c r="B3094"/>
      <c r="C3094"/>
      <c r="D3094"/>
      <c r="E3094"/>
      <c r="F3094"/>
    </row>
    <row r="3095" spans="1:6">
      <c r="A3095"/>
      <c r="B3095"/>
      <c r="C3095"/>
      <c r="D3095"/>
      <c r="E3095"/>
      <c r="F3095"/>
    </row>
    <row r="3096" spans="1:6">
      <c r="A3096"/>
      <c r="B3096"/>
      <c r="C3096"/>
      <c r="D3096"/>
      <c r="E3096"/>
      <c r="F3096"/>
    </row>
    <row r="3097" spans="1:6">
      <c r="A3097"/>
      <c r="B3097"/>
      <c r="C3097"/>
      <c r="D3097"/>
      <c r="E3097"/>
      <c r="F3097"/>
    </row>
    <row r="3098" spans="1:6">
      <c r="A3098"/>
      <c r="B3098"/>
      <c r="C3098"/>
      <c r="D3098"/>
      <c r="E3098"/>
      <c r="F3098"/>
    </row>
    <row r="3099" spans="1:6">
      <c r="A3099"/>
      <c r="B3099"/>
      <c r="C3099"/>
      <c r="D3099"/>
      <c r="E3099"/>
      <c r="F3099"/>
    </row>
    <row r="3100" spans="1:6">
      <c r="A3100"/>
      <c r="B3100"/>
      <c r="C3100"/>
      <c r="D3100"/>
      <c r="E3100"/>
      <c r="F3100"/>
    </row>
    <row r="3101" spans="1:6">
      <c r="A3101"/>
      <c r="B3101"/>
      <c r="C3101"/>
      <c r="D3101"/>
      <c r="E3101"/>
      <c r="F3101"/>
    </row>
    <row r="3102" spans="1:6">
      <c r="A3102"/>
      <c r="B3102"/>
      <c r="C3102"/>
      <c r="D3102"/>
      <c r="E3102"/>
      <c r="F3102"/>
    </row>
    <row r="3103" spans="1:6">
      <c r="A3103"/>
      <c r="B3103"/>
      <c r="C3103"/>
      <c r="D3103"/>
      <c r="E3103"/>
      <c r="F3103"/>
    </row>
    <row r="3104" spans="1:6">
      <c r="A3104"/>
      <c r="B3104"/>
      <c r="C3104"/>
      <c r="D3104"/>
      <c r="E3104"/>
      <c r="F3104"/>
    </row>
    <row r="3105" spans="1:6">
      <c r="A3105"/>
      <c r="B3105"/>
      <c r="C3105"/>
      <c r="D3105"/>
      <c r="E3105"/>
      <c r="F3105"/>
    </row>
    <row r="3106" spans="1:6">
      <c r="A3106"/>
      <c r="B3106"/>
      <c r="C3106"/>
      <c r="D3106"/>
      <c r="E3106"/>
      <c r="F3106"/>
    </row>
    <row r="3107" spans="1:6">
      <c r="A3107"/>
      <c r="B3107"/>
      <c r="C3107"/>
      <c r="D3107"/>
      <c r="E3107"/>
      <c r="F3107"/>
    </row>
    <row r="3108" spans="1:6">
      <c r="A3108"/>
      <c r="B3108"/>
      <c r="C3108"/>
      <c r="D3108"/>
      <c r="E3108"/>
      <c r="F3108"/>
    </row>
    <row r="3109" spans="1:6">
      <c r="A3109"/>
      <c r="B3109"/>
      <c r="C3109"/>
      <c r="D3109"/>
      <c r="E3109"/>
      <c r="F3109"/>
    </row>
    <row r="3110" spans="1:6">
      <c r="A3110"/>
      <c r="B3110"/>
      <c r="C3110"/>
      <c r="D3110"/>
      <c r="E3110"/>
      <c r="F3110"/>
    </row>
    <row r="3111" spans="1:6">
      <c r="A3111"/>
      <c r="B3111"/>
      <c r="C3111"/>
      <c r="D3111"/>
      <c r="E3111"/>
      <c r="F3111"/>
    </row>
    <row r="3112" spans="1:6">
      <c r="A3112"/>
      <c r="B3112"/>
      <c r="C3112"/>
      <c r="D3112"/>
      <c r="E3112"/>
      <c r="F3112"/>
    </row>
    <row r="3113" spans="1:6">
      <c r="A3113"/>
      <c r="B3113"/>
      <c r="C3113"/>
      <c r="D3113"/>
      <c r="E3113"/>
      <c r="F3113"/>
    </row>
    <row r="3114" spans="1:6">
      <c r="A3114"/>
      <c r="B3114"/>
      <c r="C3114"/>
      <c r="D3114"/>
      <c r="E3114"/>
      <c r="F3114"/>
    </row>
    <row r="3115" spans="1:6">
      <c r="A3115"/>
      <c r="B3115"/>
      <c r="C3115"/>
      <c r="D3115"/>
      <c r="E3115"/>
      <c r="F3115"/>
    </row>
    <row r="3116" spans="1:6">
      <c r="A3116"/>
      <c r="B3116"/>
      <c r="C3116"/>
      <c r="D3116"/>
      <c r="E3116"/>
      <c r="F3116"/>
    </row>
    <row r="3117" spans="1:6">
      <c r="A3117"/>
      <c r="B3117"/>
      <c r="C3117"/>
      <c r="D3117"/>
      <c r="E3117"/>
      <c r="F3117"/>
    </row>
    <row r="3118" spans="1:6">
      <c r="A3118"/>
      <c r="B3118"/>
      <c r="C3118"/>
      <c r="D3118"/>
      <c r="E3118"/>
      <c r="F3118"/>
    </row>
    <row r="3119" spans="1:6">
      <c r="A3119"/>
      <c r="B3119"/>
      <c r="C3119"/>
      <c r="D3119"/>
      <c r="E3119"/>
      <c r="F3119"/>
    </row>
    <row r="3120" spans="1:6">
      <c r="A3120"/>
      <c r="B3120"/>
      <c r="C3120"/>
      <c r="D3120"/>
      <c r="E3120"/>
      <c r="F3120"/>
    </row>
    <row r="3121" spans="1:6">
      <c r="A3121"/>
      <c r="B3121"/>
      <c r="C3121"/>
      <c r="D3121"/>
      <c r="E3121"/>
      <c r="F3121"/>
    </row>
    <row r="3122" spans="1:6">
      <c r="A3122"/>
      <c r="B3122"/>
      <c r="C3122"/>
      <c r="D3122"/>
      <c r="E3122"/>
      <c r="F3122"/>
    </row>
    <row r="3123" spans="1:6">
      <c r="A3123"/>
      <c r="B3123"/>
      <c r="C3123"/>
      <c r="D3123"/>
      <c r="E3123"/>
      <c r="F3123"/>
    </row>
    <row r="3124" spans="1:6">
      <c r="A3124"/>
      <c r="B3124"/>
      <c r="C3124"/>
      <c r="D3124"/>
      <c r="E3124"/>
      <c r="F3124"/>
    </row>
    <row r="3125" spans="1:6">
      <c r="A3125"/>
      <c r="B3125"/>
      <c r="C3125"/>
      <c r="D3125"/>
      <c r="E3125"/>
      <c r="F3125"/>
    </row>
    <row r="3126" spans="1:6">
      <c r="A3126"/>
      <c r="B3126"/>
      <c r="C3126"/>
      <c r="D3126"/>
      <c r="E3126"/>
      <c r="F3126"/>
    </row>
    <row r="3127" spans="1:6">
      <c r="A3127"/>
      <c r="B3127"/>
      <c r="C3127"/>
      <c r="D3127"/>
      <c r="E3127"/>
      <c r="F3127"/>
    </row>
    <row r="3128" spans="1:6">
      <c r="A3128"/>
      <c r="B3128"/>
      <c r="C3128"/>
      <c r="D3128"/>
      <c r="E3128"/>
      <c r="F3128"/>
    </row>
    <row r="3129" spans="1:6">
      <c r="A3129"/>
      <c r="B3129"/>
      <c r="C3129"/>
      <c r="D3129"/>
      <c r="E3129"/>
      <c r="F3129"/>
    </row>
    <row r="3130" spans="1:6">
      <c r="A3130"/>
      <c r="B3130"/>
      <c r="C3130"/>
      <c r="D3130"/>
      <c r="E3130"/>
      <c r="F3130"/>
    </row>
    <row r="3131" spans="1:6">
      <c r="A3131"/>
      <c r="B3131"/>
      <c r="C3131"/>
      <c r="D3131"/>
      <c r="E3131"/>
      <c r="F3131"/>
    </row>
    <row r="3132" spans="1:6">
      <c r="A3132"/>
      <c r="B3132"/>
      <c r="C3132"/>
      <c r="D3132"/>
      <c r="E3132"/>
      <c r="F3132"/>
    </row>
    <row r="3133" spans="1:6">
      <c r="A3133"/>
      <c r="B3133"/>
      <c r="C3133"/>
      <c r="D3133"/>
      <c r="E3133"/>
      <c r="F3133"/>
    </row>
    <row r="3134" spans="1:6">
      <c r="A3134"/>
      <c r="B3134"/>
      <c r="C3134"/>
      <c r="D3134"/>
      <c r="E3134"/>
      <c r="F3134"/>
    </row>
    <row r="3135" spans="1:6">
      <c r="A3135"/>
      <c r="B3135"/>
      <c r="C3135"/>
      <c r="D3135"/>
      <c r="E3135"/>
      <c r="F3135"/>
    </row>
    <row r="3136" spans="1:6">
      <c r="A3136"/>
      <c r="B3136"/>
      <c r="C3136"/>
      <c r="D3136"/>
      <c r="E3136"/>
      <c r="F3136"/>
    </row>
    <row r="3137" spans="1:6">
      <c r="A3137"/>
      <c r="B3137"/>
      <c r="C3137"/>
      <c r="D3137"/>
      <c r="E3137"/>
      <c r="F3137"/>
    </row>
    <row r="3138" spans="1:6">
      <c r="A3138"/>
      <c r="B3138"/>
      <c r="C3138"/>
      <c r="D3138"/>
      <c r="E3138"/>
      <c r="F3138"/>
    </row>
    <row r="3139" spans="1:6">
      <c r="A3139"/>
      <c r="B3139"/>
      <c r="C3139"/>
      <c r="D3139"/>
      <c r="E3139"/>
      <c r="F3139"/>
    </row>
    <row r="3140" spans="1:6">
      <c r="A3140"/>
      <c r="B3140"/>
      <c r="C3140"/>
      <c r="D3140"/>
      <c r="E3140"/>
      <c r="F3140"/>
    </row>
    <row r="3141" spans="1:6">
      <c r="A3141"/>
      <c r="B3141"/>
      <c r="C3141"/>
      <c r="D3141"/>
      <c r="E3141"/>
      <c r="F3141"/>
    </row>
    <row r="3142" spans="1:6">
      <c r="A3142"/>
      <c r="B3142"/>
      <c r="C3142"/>
      <c r="D3142"/>
      <c r="E3142"/>
      <c r="F3142"/>
    </row>
    <row r="3143" spans="1:6">
      <c r="A3143"/>
      <c r="B3143"/>
      <c r="C3143"/>
      <c r="D3143"/>
      <c r="E3143"/>
      <c r="F3143"/>
    </row>
    <row r="3144" spans="1:6">
      <c r="A3144"/>
      <c r="B3144"/>
      <c r="C3144"/>
      <c r="D3144"/>
      <c r="E3144"/>
      <c r="F3144"/>
    </row>
    <row r="3145" spans="1:6">
      <c r="A3145"/>
      <c r="B3145"/>
      <c r="C3145"/>
      <c r="D3145"/>
      <c r="E3145"/>
      <c r="F3145"/>
    </row>
    <row r="3146" spans="1:6">
      <c r="A3146"/>
      <c r="B3146"/>
      <c r="C3146"/>
      <c r="D3146"/>
      <c r="E3146"/>
      <c r="F3146"/>
    </row>
    <row r="3147" spans="1:6">
      <c r="A3147"/>
      <c r="B3147"/>
      <c r="C3147"/>
      <c r="D3147"/>
      <c r="E3147"/>
      <c r="F3147"/>
    </row>
    <row r="3148" spans="1:6">
      <c r="A3148"/>
      <c r="B3148"/>
      <c r="C3148"/>
      <c r="D3148"/>
      <c r="E3148"/>
      <c r="F3148"/>
    </row>
    <row r="3149" spans="1:6">
      <c r="A3149"/>
      <c r="B3149"/>
      <c r="C3149"/>
      <c r="D3149"/>
      <c r="E3149"/>
      <c r="F3149"/>
    </row>
    <row r="3150" spans="1:6">
      <c r="A3150"/>
      <c r="B3150"/>
      <c r="C3150"/>
      <c r="D3150"/>
      <c r="E3150"/>
      <c r="F3150"/>
    </row>
    <row r="3151" spans="1:6">
      <c r="A3151"/>
      <c r="B3151"/>
      <c r="C3151"/>
      <c r="D3151"/>
      <c r="E3151"/>
      <c r="F3151"/>
    </row>
    <row r="3152" spans="1:6">
      <c r="A3152"/>
      <c r="B3152"/>
      <c r="C3152"/>
      <c r="D3152"/>
      <c r="E3152"/>
      <c r="F3152"/>
    </row>
    <row r="3153" spans="1:6">
      <c r="A3153"/>
      <c r="B3153"/>
      <c r="C3153"/>
      <c r="D3153"/>
      <c r="E3153"/>
      <c r="F3153"/>
    </row>
    <row r="3154" spans="1:6">
      <c r="A3154"/>
      <c r="B3154"/>
      <c r="C3154"/>
      <c r="D3154"/>
      <c r="E3154"/>
      <c r="F3154"/>
    </row>
    <row r="3155" spans="1:6">
      <c r="A3155"/>
      <c r="B3155"/>
      <c r="C3155"/>
      <c r="D3155"/>
      <c r="E3155"/>
      <c r="F3155"/>
    </row>
    <row r="3156" spans="1:6">
      <c r="A3156"/>
      <c r="B3156"/>
      <c r="C3156"/>
      <c r="D3156"/>
      <c r="E3156"/>
      <c r="F3156"/>
    </row>
    <row r="3157" spans="1:6">
      <c r="A3157"/>
      <c r="B3157"/>
      <c r="C3157"/>
      <c r="D3157"/>
      <c r="E3157"/>
      <c r="F3157"/>
    </row>
    <row r="3158" spans="1:6">
      <c r="A3158"/>
      <c r="B3158"/>
      <c r="C3158"/>
      <c r="D3158"/>
      <c r="E3158"/>
      <c r="F3158"/>
    </row>
    <row r="3159" spans="1:6">
      <c r="A3159"/>
      <c r="B3159"/>
      <c r="C3159"/>
      <c r="D3159"/>
      <c r="E3159"/>
      <c r="F3159"/>
    </row>
    <row r="3160" spans="1:6">
      <c r="A3160"/>
      <c r="B3160"/>
      <c r="C3160"/>
      <c r="D3160"/>
      <c r="E3160"/>
      <c r="F3160"/>
    </row>
    <row r="3161" spans="1:6">
      <c r="A3161"/>
      <c r="B3161"/>
      <c r="C3161"/>
      <c r="D3161"/>
      <c r="E3161"/>
      <c r="F3161"/>
    </row>
    <row r="3162" spans="1:6">
      <c r="A3162"/>
      <c r="B3162"/>
      <c r="C3162"/>
      <c r="D3162"/>
      <c r="E3162"/>
      <c r="F3162"/>
    </row>
    <row r="3163" spans="1:6">
      <c r="A3163"/>
      <c r="B3163"/>
      <c r="C3163"/>
      <c r="D3163"/>
      <c r="E3163"/>
      <c r="F3163"/>
    </row>
    <row r="3164" spans="1:6">
      <c r="A3164"/>
      <c r="B3164"/>
      <c r="C3164"/>
      <c r="D3164"/>
      <c r="E3164"/>
      <c r="F3164"/>
    </row>
    <row r="3165" spans="1:6">
      <c r="A3165"/>
      <c r="B3165"/>
      <c r="C3165"/>
      <c r="D3165"/>
      <c r="E3165"/>
      <c r="F3165"/>
    </row>
    <row r="3166" spans="1:6">
      <c r="A3166"/>
      <c r="B3166"/>
      <c r="C3166"/>
      <c r="D3166"/>
      <c r="E3166"/>
      <c r="F3166"/>
    </row>
    <row r="3167" spans="1:6">
      <c r="A3167"/>
      <c r="B3167"/>
      <c r="C3167"/>
      <c r="D3167"/>
      <c r="E3167"/>
      <c r="F3167"/>
    </row>
    <row r="3168" spans="1:6">
      <c r="A3168"/>
      <c r="B3168"/>
      <c r="C3168"/>
      <c r="D3168"/>
      <c r="E3168"/>
      <c r="F3168"/>
    </row>
    <row r="3169" spans="1:6">
      <c r="A3169"/>
      <c r="B3169"/>
      <c r="C3169"/>
      <c r="D3169"/>
      <c r="E3169"/>
      <c r="F3169"/>
    </row>
    <row r="3170" spans="1:6">
      <c r="A3170"/>
      <c r="B3170"/>
      <c r="C3170"/>
      <c r="D3170"/>
      <c r="E3170"/>
      <c r="F3170"/>
    </row>
    <row r="3171" spans="1:6">
      <c r="A3171"/>
      <c r="B3171"/>
      <c r="C3171"/>
      <c r="D3171"/>
      <c r="E3171"/>
      <c r="F3171"/>
    </row>
    <row r="3172" spans="1:6">
      <c r="A3172"/>
      <c r="B3172"/>
      <c r="C3172"/>
      <c r="D3172"/>
      <c r="E3172"/>
      <c r="F3172"/>
    </row>
    <row r="3173" spans="1:6">
      <c r="A3173"/>
      <c r="B3173"/>
      <c r="C3173"/>
      <c r="D3173"/>
      <c r="E3173"/>
      <c r="F3173"/>
    </row>
    <row r="3174" spans="1:6">
      <c r="A3174"/>
      <c r="B3174"/>
      <c r="C3174"/>
      <c r="D3174"/>
      <c r="E3174"/>
      <c r="F3174"/>
    </row>
    <row r="3175" spans="1:6">
      <c r="A3175"/>
      <c r="B3175"/>
      <c r="C3175"/>
      <c r="D3175"/>
      <c r="E3175"/>
      <c r="F3175"/>
    </row>
    <row r="3176" spans="1:6">
      <c r="A3176"/>
      <c r="B3176"/>
      <c r="C3176"/>
      <c r="D3176"/>
      <c r="E3176"/>
      <c r="F3176"/>
    </row>
    <row r="3177" spans="1:6">
      <c r="A3177"/>
      <c r="B3177"/>
      <c r="C3177"/>
      <c r="D3177"/>
      <c r="E3177"/>
      <c r="F3177"/>
    </row>
    <row r="3178" spans="1:6">
      <c r="A3178"/>
      <c r="B3178"/>
      <c r="C3178"/>
      <c r="D3178"/>
      <c r="E3178"/>
      <c r="F3178"/>
    </row>
    <row r="3179" spans="1:6">
      <c r="A3179"/>
      <c r="B3179"/>
      <c r="C3179"/>
      <c r="D3179"/>
      <c r="E3179"/>
      <c r="F3179"/>
    </row>
    <row r="3180" spans="1:6">
      <c r="A3180"/>
      <c r="B3180"/>
      <c r="C3180"/>
      <c r="D3180"/>
      <c r="E3180"/>
      <c r="F3180"/>
    </row>
    <row r="3181" spans="1:6">
      <c r="A3181"/>
      <c r="B3181"/>
      <c r="C3181"/>
      <c r="D3181"/>
      <c r="E3181"/>
      <c r="F3181"/>
    </row>
    <row r="3182" spans="1:6">
      <c r="A3182"/>
      <c r="B3182"/>
      <c r="C3182"/>
      <c r="D3182"/>
      <c r="E3182"/>
      <c r="F3182"/>
    </row>
    <row r="3183" spans="1:6">
      <c r="A3183"/>
      <c r="B3183"/>
      <c r="C3183"/>
      <c r="D3183"/>
      <c r="E3183"/>
      <c r="F3183"/>
    </row>
    <row r="3184" spans="1:6">
      <c r="A3184"/>
      <c r="B3184"/>
      <c r="C3184"/>
      <c r="D3184"/>
      <c r="E3184"/>
      <c r="F3184"/>
    </row>
    <row r="3185" spans="1:6">
      <c r="A3185"/>
      <c r="B3185"/>
      <c r="C3185"/>
      <c r="D3185"/>
      <c r="E3185"/>
      <c r="F3185"/>
    </row>
    <row r="3186" spans="1:6">
      <c r="A3186"/>
      <c r="B3186"/>
      <c r="C3186"/>
      <c r="D3186"/>
      <c r="E3186"/>
      <c r="F3186"/>
    </row>
    <row r="3187" spans="1:6">
      <c r="A3187"/>
      <c r="B3187"/>
      <c r="C3187"/>
      <c r="D3187"/>
      <c r="E3187"/>
      <c r="F3187"/>
    </row>
    <row r="3188" spans="1:6">
      <c r="A3188"/>
      <c r="B3188"/>
      <c r="C3188"/>
      <c r="D3188"/>
      <c r="E3188"/>
      <c r="F3188"/>
    </row>
    <row r="3189" spans="1:6">
      <c r="A3189"/>
      <c r="B3189"/>
      <c r="C3189"/>
      <c r="D3189"/>
      <c r="E3189"/>
      <c r="F3189"/>
    </row>
    <row r="3190" spans="1:6">
      <c r="A3190"/>
      <c r="B3190"/>
      <c r="C3190"/>
      <c r="D3190"/>
      <c r="E3190"/>
      <c r="F3190"/>
    </row>
    <row r="3191" spans="1:6">
      <c r="A3191"/>
      <c r="B3191"/>
      <c r="C3191"/>
      <c r="D3191"/>
      <c r="E3191"/>
      <c r="F3191"/>
    </row>
    <row r="3192" spans="1:6">
      <c r="A3192"/>
      <c r="B3192"/>
      <c r="C3192"/>
      <c r="D3192"/>
      <c r="E3192"/>
      <c r="F3192"/>
    </row>
    <row r="3193" spans="1:6">
      <c r="A3193"/>
      <c r="B3193"/>
      <c r="C3193"/>
      <c r="D3193"/>
      <c r="E3193"/>
      <c r="F3193"/>
    </row>
    <row r="3194" spans="1:6">
      <c r="A3194"/>
      <c r="B3194"/>
      <c r="C3194"/>
      <c r="D3194"/>
      <c r="E3194"/>
      <c r="F3194"/>
    </row>
    <row r="3195" spans="1:6">
      <c r="A3195"/>
      <c r="B3195"/>
      <c r="C3195"/>
      <c r="D3195"/>
      <c r="E3195"/>
      <c r="F3195"/>
    </row>
    <row r="3196" spans="1:6">
      <c r="A3196"/>
      <c r="B3196"/>
      <c r="C3196"/>
      <c r="D3196"/>
      <c r="E3196"/>
      <c r="F3196"/>
    </row>
    <row r="3197" spans="1:6">
      <c r="A3197"/>
      <c r="B3197"/>
      <c r="C3197"/>
      <c r="D3197"/>
      <c r="E3197"/>
      <c r="F3197"/>
    </row>
    <row r="3198" spans="1:6">
      <c r="A3198"/>
      <c r="B3198"/>
      <c r="C3198"/>
      <c r="D3198"/>
      <c r="E3198"/>
      <c r="F3198"/>
    </row>
    <row r="3199" spans="1:6">
      <c r="A3199"/>
      <c r="B3199"/>
      <c r="C3199"/>
      <c r="D3199"/>
      <c r="E3199"/>
      <c r="F3199"/>
    </row>
    <row r="3200" spans="1:6">
      <c r="A3200"/>
      <c r="B3200"/>
      <c r="C3200"/>
      <c r="D3200"/>
      <c r="E3200"/>
      <c r="F3200"/>
    </row>
    <row r="3201" spans="1:6">
      <c r="A3201"/>
      <c r="B3201"/>
      <c r="C3201"/>
      <c r="D3201"/>
      <c r="E3201"/>
      <c r="F3201"/>
    </row>
    <row r="3202" spans="1:6">
      <c r="A3202"/>
      <c r="B3202"/>
      <c r="C3202"/>
      <c r="D3202"/>
      <c r="E3202"/>
      <c r="F3202"/>
    </row>
    <row r="3203" spans="1:6">
      <c r="A3203"/>
      <c r="B3203"/>
      <c r="C3203"/>
      <c r="D3203"/>
      <c r="E3203"/>
      <c r="F3203"/>
    </row>
    <row r="3204" spans="1:6">
      <c r="A3204"/>
      <c r="B3204"/>
      <c r="C3204"/>
      <c r="D3204"/>
      <c r="E3204"/>
      <c r="F3204"/>
    </row>
    <row r="3205" spans="1:6">
      <c r="A3205"/>
      <c r="B3205"/>
      <c r="C3205"/>
      <c r="D3205"/>
      <c r="E3205"/>
      <c r="F3205"/>
    </row>
    <row r="3206" spans="1:6">
      <c r="A3206"/>
      <c r="B3206"/>
      <c r="C3206"/>
      <c r="D3206"/>
      <c r="E3206"/>
      <c r="F3206"/>
    </row>
    <row r="3207" spans="1:6">
      <c r="A3207"/>
      <c r="B3207"/>
      <c r="C3207"/>
      <c r="D3207"/>
      <c r="E3207"/>
      <c r="F3207"/>
    </row>
    <row r="3208" spans="1:6">
      <c r="A3208"/>
      <c r="B3208"/>
      <c r="C3208"/>
      <c r="D3208"/>
      <c r="E3208"/>
      <c r="F3208"/>
    </row>
    <row r="3209" spans="1:6">
      <c r="A3209"/>
      <c r="B3209"/>
      <c r="C3209"/>
      <c r="D3209"/>
      <c r="E3209"/>
      <c r="F3209"/>
    </row>
    <row r="3210" spans="1:6">
      <c r="A3210"/>
      <c r="B3210"/>
      <c r="C3210"/>
      <c r="D3210"/>
      <c r="E3210"/>
      <c r="F3210"/>
    </row>
    <row r="3211" spans="1:6">
      <c r="A3211"/>
      <c r="B3211"/>
      <c r="C3211"/>
      <c r="D3211"/>
      <c r="E3211"/>
      <c r="F3211"/>
    </row>
    <row r="3212" spans="1:6">
      <c r="A3212"/>
      <c r="B3212"/>
      <c r="C3212"/>
      <c r="D3212"/>
      <c r="E3212"/>
      <c r="F3212"/>
    </row>
    <row r="3213" spans="1:6">
      <c r="A3213"/>
      <c r="B3213"/>
      <c r="C3213"/>
      <c r="D3213"/>
      <c r="E3213"/>
      <c r="F3213"/>
    </row>
    <row r="3214" spans="1:6">
      <c r="A3214"/>
      <c r="B3214"/>
      <c r="C3214"/>
      <c r="D3214"/>
      <c r="E3214"/>
      <c r="F3214"/>
    </row>
    <row r="3215" spans="1:6">
      <c r="A3215"/>
      <c r="B3215"/>
      <c r="C3215"/>
      <c r="D3215"/>
      <c r="E3215"/>
      <c r="F3215"/>
    </row>
    <row r="3216" spans="1:6">
      <c r="A3216"/>
      <c r="B3216"/>
      <c r="C3216"/>
      <c r="D3216"/>
      <c r="E3216"/>
      <c r="F3216"/>
    </row>
    <row r="3217" spans="1:6">
      <c r="A3217"/>
      <c r="B3217"/>
      <c r="C3217"/>
      <c r="D3217"/>
      <c r="E3217"/>
      <c r="F3217"/>
    </row>
    <row r="3218" spans="1:6">
      <c r="A3218"/>
      <c r="B3218"/>
      <c r="C3218"/>
      <c r="D3218"/>
      <c r="E3218"/>
      <c r="F3218"/>
    </row>
    <row r="3219" spans="1:6">
      <c r="A3219"/>
      <c r="B3219"/>
      <c r="C3219"/>
      <c r="D3219"/>
      <c r="E3219"/>
      <c r="F3219"/>
    </row>
    <row r="3220" spans="1:6">
      <c r="A3220"/>
      <c r="B3220"/>
      <c r="C3220"/>
      <c r="D3220"/>
      <c r="E3220"/>
      <c r="F3220"/>
    </row>
    <row r="3221" spans="1:6">
      <c r="A3221"/>
      <c r="B3221"/>
      <c r="C3221"/>
      <c r="D3221"/>
      <c r="E3221"/>
      <c r="F3221"/>
    </row>
    <row r="3222" spans="1:6">
      <c r="A3222"/>
      <c r="B3222"/>
      <c r="C3222"/>
      <c r="D3222"/>
      <c r="E3222"/>
      <c r="F3222"/>
    </row>
    <row r="3223" spans="1:6">
      <c r="A3223"/>
      <c r="B3223"/>
      <c r="C3223"/>
      <c r="D3223"/>
      <c r="E3223"/>
      <c r="F3223"/>
    </row>
    <row r="3224" spans="1:6">
      <c r="A3224"/>
      <c r="B3224"/>
      <c r="C3224"/>
      <c r="D3224"/>
      <c r="E3224"/>
      <c r="F3224"/>
    </row>
    <row r="3225" spans="1:6">
      <c r="A3225"/>
      <c r="B3225"/>
      <c r="C3225"/>
      <c r="D3225"/>
      <c r="E3225"/>
      <c r="F3225"/>
    </row>
    <row r="3226" spans="1:6">
      <c r="A3226"/>
      <c r="B3226"/>
      <c r="C3226"/>
      <c r="D3226"/>
      <c r="E3226"/>
      <c r="F3226"/>
    </row>
    <row r="3227" spans="1:6">
      <c r="A3227"/>
      <c r="B3227"/>
      <c r="C3227"/>
      <c r="D3227"/>
      <c r="E3227"/>
      <c r="F3227"/>
    </row>
    <row r="3228" spans="1:6">
      <c r="A3228"/>
      <c r="B3228"/>
      <c r="C3228"/>
      <c r="D3228"/>
      <c r="E3228"/>
      <c r="F3228"/>
    </row>
    <row r="3229" spans="1:6">
      <c r="A3229"/>
      <c r="B3229"/>
      <c r="C3229"/>
      <c r="D3229"/>
      <c r="E3229"/>
      <c r="F3229"/>
    </row>
    <row r="3230" spans="1:6">
      <c r="A3230"/>
      <c r="B3230"/>
      <c r="C3230"/>
      <c r="D3230"/>
      <c r="E3230"/>
      <c r="F3230"/>
    </row>
    <row r="3231" spans="1:6">
      <c r="A3231"/>
      <c r="B3231"/>
      <c r="C3231"/>
      <c r="D3231"/>
      <c r="E3231"/>
      <c r="F3231"/>
    </row>
    <row r="3232" spans="1:6">
      <c r="A3232"/>
      <c r="B3232"/>
      <c r="C3232"/>
      <c r="D3232"/>
      <c r="E3232"/>
      <c r="F3232"/>
    </row>
    <row r="3233" spans="1:6">
      <c r="A3233"/>
      <c r="B3233"/>
      <c r="C3233"/>
      <c r="D3233"/>
      <c r="E3233"/>
      <c r="F3233"/>
    </row>
    <row r="3234" spans="1:6">
      <c r="A3234"/>
      <c r="B3234"/>
      <c r="C3234"/>
      <c r="D3234"/>
      <c r="E3234"/>
      <c r="F3234"/>
    </row>
    <row r="3235" spans="1:6">
      <c r="A3235"/>
      <c r="B3235"/>
      <c r="C3235"/>
      <c r="D3235"/>
      <c r="E3235"/>
      <c r="F3235"/>
    </row>
    <row r="3236" spans="1:6">
      <c r="A3236"/>
      <c r="B3236"/>
      <c r="C3236"/>
      <c r="D3236"/>
      <c r="E3236"/>
      <c r="F3236"/>
    </row>
    <row r="3237" spans="1:6">
      <c r="A3237"/>
      <c r="B3237"/>
      <c r="C3237"/>
      <c r="D3237"/>
      <c r="E3237"/>
      <c r="F3237"/>
    </row>
    <row r="3238" spans="1:6">
      <c r="A3238"/>
      <c r="B3238"/>
      <c r="C3238"/>
      <c r="D3238"/>
      <c r="E3238"/>
      <c r="F3238"/>
    </row>
    <row r="3239" spans="1:6">
      <c r="A3239"/>
      <c r="B3239"/>
      <c r="C3239"/>
      <c r="D3239"/>
      <c r="E3239"/>
      <c r="F3239"/>
    </row>
    <row r="3240" spans="1:6">
      <c r="A3240"/>
      <c r="B3240"/>
      <c r="C3240"/>
      <c r="D3240"/>
      <c r="E3240"/>
      <c r="F3240"/>
    </row>
    <row r="3241" spans="1:6">
      <c r="A3241"/>
      <c r="B3241"/>
      <c r="C3241"/>
      <c r="D3241"/>
      <c r="E3241"/>
      <c r="F3241"/>
    </row>
    <row r="3242" spans="1:6">
      <c r="A3242"/>
      <c r="B3242"/>
      <c r="C3242"/>
      <c r="D3242"/>
      <c r="E3242"/>
      <c r="F3242"/>
    </row>
    <row r="3243" spans="1:6">
      <c r="A3243"/>
      <c r="B3243"/>
      <c r="C3243"/>
      <c r="D3243"/>
      <c r="E3243"/>
      <c r="F3243"/>
    </row>
    <row r="3244" spans="1:6">
      <c r="A3244"/>
      <c r="B3244"/>
      <c r="C3244"/>
      <c r="D3244"/>
      <c r="E3244"/>
      <c r="F3244"/>
    </row>
    <row r="3245" spans="1:6">
      <c r="A3245"/>
      <c r="B3245"/>
      <c r="C3245"/>
      <c r="D3245"/>
      <c r="E3245"/>
      <c r="F3245"/>
    </row>
    <row r="3246" spans="1:6">
      <c r="A3246"/>
      <c r="B3246"/>
      <c r="C3246"/>
      <c r="D3246"/>
      <c r="E3246"/>
      <c r="F3246"/>
    </row>
    <row r="3247" spans="1:6">
      <c r="A3247"/>
      <c r="B3247"/>
      <c r="C3247"/>
      <c r="D3247"/>
      <c r="E3247"/>
      <c r="F3247"/>
    </row>
    <row r="3248" spans="1:6">
      <c r="A3248"/>
      <c r="B3248"/>
      <c r="C3248"/>
      <c r="D3248"/>
      <c r="E3248"/>
      <c r="F3248"/>
    </row>
    <row r="3249" spans="1:6">
      <c r="A3249"/>
      <c r="B3249"/>
      <c r="C3249"/>
      <c r="D3249"/>
      <c r="E3249"/>
      <c r="F3249"/>
    </row>
    <row r="3250" spans="1:6">
      <c r="A3250"/>
      <c r="B3250"/>
      <c r="C3250"/>
      <c r="D3250"/>
      <c r="E3250"/>
      <c r="F3250"/>
    </row>
    <row r="3251" spans="1:6">
      <c r="A3251"/>
      <c r="B3251"/>
      <c r="C3251"/>
      <c r="D3251"/>
      <c r="E3251"/>
      <c r="F3251"/>
    </row>
    <row r="3252" spans="1:6">
      <c r="A3252"/>
      <c r="B3252"/>
      <c r="C3252"/>
      <c r="D3252"/>
      <c r="E3252"/>
      <c r="F3252"/>
    </row>
    <row r="3253" spans="1:6">
      <c r="A3253"/>
      <c r="B3253"/>
      <c r="C3253"/>
      <c r="D3253"/>
      <c r="E3253"/>
      <c r="F3253"/>
    </row>
    <row r="3254" spans="1:6">
      <c r="A3254"/>
      <c r="B3254"/>
      <c r="C3254"/>
      <c r="D3254"/>
      <c r="E3254"/>
      <c r="F3254"/>
    </row>
    <row r="3255" spans="1:6">
      <c r="A3255"/>
      <c r="B3255"/>
      <c r="C3255"/>
      <c r="D3255"/>
      <c r="E3255"/>
      <c r="F3255"/>
    </row>
    <row r="3256" spans="1:6">
      <c r="A3256"/>
      <c r="B3256"/>
      <c r="C3256"/>
      <c r="D3256"/>
      <c r="E3256"/>
      <c r="F3256"/>
    </row>
    <row r="3257" spans="1:6">
      <c r="A3257"/>
      <c r="B3257"/>
      <c r="C3257"/>
      <c r="D3257"/>
      <c r="E3257"/>
      <c r="F3257"/>
    </row>
    <row r="3258" spans="1:6">
      <c r="A3258"/>
      <c r="B3258"/>
      <c r="C3258"/>
      <c r="D3258"/>
      <c r="E3258"/>
      <c r="F3258"/>
    </row>
    <row r="3259" spans="1:6">
      <c r="A3259"/>
      <c r="B3259"/>
      <c r="C3259"/>
      <c r="D3259"/>
      <c r="E3259"/>
      <c r="F3259"/>
    </row>
    <row r="3260" spans="1:6">
      <c r="A3260"/>
      <c r="B3260"/>
      <c r="C3260"/>
      <c r="D3260"/>
      <c r="E3260"/>
      <c r="F3260"/>
    </row>
    <row r="3261" spans="1:6">
      <c r="A3261"/>
      <c r="B3261"/>
      <c r="C3261"/>
      <c r="D3261"/>
      <c r="E3261"/>
      <c r="F3261"/>
    </row>
    <row r="3262" spans="1:6">
      <c r="A3262"/>
      <c r="B3262"/>
      <c r="C3262"/>
      <c r="D3262"/>
      <c r="E3262"/>
      <c r="F3262"/>
    </row>
    <row r="3263" spans="1:6">
      <c r="A3263"/>
      <c r="B3263"/>
      <c r="C3263"/>
      <c r="D3263"/>
      <c r="E3263"/>
      <c r="F3263"/>
    </row>
    <row r="3264" spans="1:6">
      <c r="A3264"/>
      <c r="B3264"/>
      <c r="C3264"/>
      <c r="D3264"/>
      <c r="E3264"/>
      <c r="F3264"/>
    </row>
    <row r="3265" spans="1:6">
      <c r="A3265"/>
      <c r="B3265"/>
      <c r="C3265"/>
      <c r="D3265"/>
      <c r="E3265"/>
      <c r="F3265"/>
    </row>
    <row r="3266" spans="1:6">
      <c r="A3266"/>
      <c r="B3266"/>
      <c r="C3266"/>
      <c r="D3266"/>
      <c r="E3266"/>
      <c r="F3266"/>
    </row>
    <row r="3267" spans="1:6">
      <c r="A3267"/>
      <c r="B3267"/>
      <c r="C3267"/>
      <c r="D3267"/>
      <c r="E3267"/>
      <c r="F3267"/>
    </row>
    <row r="3268" spans="1:6">
      <c r="A3268"/>
      <c r="B3268"/>
      <c r="C3268"/>
      <c r="D3268"/>
      <c r="E3268"/>
      <c r="F3268"/>
    </row>
    <row r="3269" spans="1:6">
      <c r="A3269"/>
      <c r="B3269"/>
      <c r="C3269"/>
      <c r="D3269"/>
      <c r="E3269"/>
      <c r="F3269"/>
    </row>
    <row r="3270" spans="1:6">
      <c r="A3270"/>
      <c r="B3270"/>
      <c r="C3270"/>
      <c r="D3270"/>
      <c r="E3270"/>
      <c r="F3270"/>
    </row>
    <row r="3271" spans="1:6">
      <c r="A3271"/>
      <c r="B3271"/>
      <c r="C3271"/>
      <c r="D3271"/>
      <c r="E3271"/>
      <c r="F3271"/>
    </row>
    <row r="3272" spans="1:6">
      <c r="A3272"/>
      <c r="B3272"/>
      <c r="C3272"/>
      <c r="D3272"/>
      <c r="E3272"/>
      <c r="F3272"/>
    </row>
    <row r="3273" spans="1:6">
      <c r="A3273"/>
      <c r="B3273"/>
      <c r="C3273"/>
      <c r="D3273"/>
      <c r="E3273"/>
      <c r="F3273"/>
    </row>
    <row r="3274" spans="1:6">
      <c r="A3274"/>
      <c r="B3274"/>
      <c r="C3274"/>
      <c r="D3274"/>
      <c r="E3274"/>
      <c r="F3274"/>
    </row>
    <row r="3275" spans="1:6">
      <c r="A3275"/>
      <c r="B3275"/>
      <c r="C3275"/>
      <c r="D3275"/>
      <c r="E3275"/>
      <c r="F3275"/>
    </row>
    <row r="3276" spans="1:6">
      <c r="A3276"/>
      <c r="B3276"/>
      <c r="C3276"/>
      <c r="D3276"/>
      <c r="E3276"/>
      <c r="F3276"/>
    </row>
    <row r="3277" spans="1:6">
      <c r="A3277"/>
      <c r="B3277"/>
      <c r="C3277"/>
      <c r="D3277"/>
      <c r="E3277"/>
      <c r="F3277"/>
    </row>
    <row r="3278" spans="1:6">
      <c r="A3278"/>
      <c r="B3278"/>
      <c r="C3278"/>
      <c r="D3278"/>
      <c r="E3278"/>
      <c r="F3278"/>
    </row>
    <row r="3279" spans="1:6">
      <c r="A3279"/>
      <c r="B3279"/>
      <c r="C3279"/>
      <c r="D3279"/>
      <c r="E3279"/>
      <c r="F3279"/>
    </row>
    <row r="3280" spans="1:6">
      <c r="A3280"/>
      <c r="B3280"/>
      <c r="C3280"/>
      <c r="D3280"/>
      <c r="E3280"/>
      <c r="F3280"/>
    </row>
    <row r="3281" spans="1:6">
      <c r="A3281"/>
      <c r="B3281"/>
      <c r="C3281"/>
      <c r="D3281"/>
      <c r="E3281"/>
      <c r="F3281"/>
    </row>
    <row r="3282" spans="1:6">
      <c r="A3282"/>
      <c r="B3282"/>
      <c r="C3282"/>
      <c r="D3282"/>
      <c r="E3282"/>
      <c r="F3282"/>
    </row>
    <row r="3283" spans="1:6">
      <c r="A3283"/>
      <c r="B3283"/>
      <c r="C3283"/>
      <c r="D3283"/>
      <c r="E3283"/>
      <c r="F3283"/>
    </row>
    <row r="3284" spans="1:6">
      <c r="A3284"/>
      <c r="B3284"/>
      <c r="C3284"/>
      <c r="D3284"/>
      <c r="E3284"/>
      <c r="F3284"/>
    </row>
    <row r="3285" spans="1:6">
      <c r="A3285"/>
      <c r="B3285"/>
      <c r="C3285"/>
      <c r="D3285"/>
      <c r="E3285"/>
      <c r="F3285"/>
    </row>
    <row r="3286" spans="1:6">
      <c r="A3286"/>
      <c r="B3286"/>
      <c r="C3286"/>
      <c r="D3286"/>
      <c r="E3286"/>
      <c r="F3286"/>
    </row>
    <row r="3287" spans="1:6">
      <c r="A3287"/>
      <c r="B3287"/>
      <c r="C3287"/>
      <c r="D3287"/>
      <c r="E3287"/>
      <c r="F3287"/>
    </row>
    <row r="3288" spans="1:6">
      <c r="A3288"/>
      <c r="B3288"/>
      <c r="C3288"/>
      <c r="D3288"/>
      <c r="E3288"/>
      <c r="F3288"/>
    </row>
    <row r="3289" spans="1:6">
      <c r="A3289"/>
      <c r="B3289"/>
      <c r="C3289"/>
      <c r="D3289"/>
      <c r="E3289"/>
      <c r="F3289"/>
    </row>
    <row r="3290" spans="1:6">
      <c r="A3290"/>
      <c r="B3290"/>
      <c r="C3290"/>
      <c r="D3290"/>
      <c r="E3290"/>
      <c r="F3290"/>
    </row>
    <row r="3291" spans="1:6">
      <c r="A3291"/>
      <c r="B3291"/>
      <c r="C3291"/>
      <c r="D3291"/>
      <c r="E3291"/>
      <c r="F3291"/>
    </row>
    <row r="3292" spans="1:6">
      <c r="A3292"/>
      <c r="B3292"/>
      <c r="C3292"/>
      <c r="D3292"/>
      <c r="E3292"/>
      <c r="F3292"/>
    </row>
    <row r="3293" spans="1:6">
      <c r="A3293"/>
      <c r="B3293"/>
      <c r="C3293"/>
      <c r="D3293"/>
      <c r="E3293"/>
      <c r="F3293"/>
    </row>
    <row r="3294" spans="1:6">
      <c r="A3294"/>
      <c r="B3294"/>
      <c r="C3294"/>
      <c r="D3294"/>
      <c r="E3294"/>
      <c r="F3294"/>
    </row>
    <row r="3295" spans="1:6">
      <c r="A3295"/>
      <c r="B3295"/>
      <c r="C3295"/>
      <c r="D3295"/>
      <c r="E3295"/>
      <c r="F3295"/>
    </row>
    <row r="3296" spans="1:6">
      <c r="A3296"/>
      <c r="B3296"/>
      <c r="C3296"/>
      <c r="D3296"/>
      <c r="E3296"/>
      <c r="F3296"/>
    </row>
    <row r="3297" spans="1:6">
      <c r="A3297"/>
      <c r="B3297"/>
      <c r="C3297"/>
      <c r="D3297"/>
      <c r="E3297"/>
      <c r="F3297"/>
    </row>
    <row r="3298" spans="1:6">
      <c r="A3298"/>
      <c r="B3298"/>
      <c r="C3298"/>
      <c r="D3298"/>
      <c r="E3298"/>
      <c r="F3298"/>
    </row>
    <row r="3299" spans="1:6">
      <c r="A3299"/>
      <c r="B3299"/>
      <c r="C3299"/>
      <c r="D3299"/>
      <c r="E3299"/>
      <c r="F3299"/>
    </row>
    <row r="3300" spans="1:6">
      <c r="A3300"/>
      <c r="B3300"/>
      <c r="C3300"/>
      <c r="D3300"/>
      <c r="E3300"/>
      <c r="F3300"/>
    </row>
    <row r="3301" spans="1:6">
      <c r="A3301"/>
      <c r="B3301"/>
      <c r="C3301"/>
      <c r="D3301"/>
      <c r="E3301"/>
      <c r="F3301"/>
    </row>
    <row r="3302" spans="1:6">
      <c r="A3302"/>
      <c r="B3302"/>
      <c r="C3302"/>
      <c r="D3302"/>
      <c r="E3302"/>
      <c r="F3302"/>
    </row>
    <row r="3303" spans="1:6">
      <c r="A3303"/>
      <c r="B3303"/>
      <c r="C3303"/>
      <c r="D3303"/>
      <c r="E3303"/>
      <c r="F3303"/>
    </row>
    <row r="3304" spans="1:6">
      <c r="A3304"/>
      <c r="B3304"/>
      <c r="C3304"/>
      <c r="D3304"/>
      <c r="E3304"/>
      <c r="F3304"/>
    </row>
    <row r="3305" spans="1:6">
      <c r="A3305"/>
      <c r="B3305"/>
      <c r="C3305"/>
      <c r="D3305"/>
      <c r="E3305"/>
      <c r="F3305"/>
    </row>
    <row r="3306" spans="1:6">
      <c r="A3306"/>
      <c r="B3306"/>
      <c r="C3306"/>
      <c r="D3306"/>
      <c r="E3306"/>
      <c r="F3306"/>
    </row>
    <row r="3307" spans="1:6">
      <c r="A3307"/>
      <c r="B3307"/>
      <c r="C3307"/>
      <c r="D3307"/>
      <c r="E3307"/>
      <c r="F3307"/>
    </row>
    <row r="3308" spans="1:6">
      <c r="A3308"/>
      <c r="B3308"/>
      <c r="C3308"/>
      <c r="D3308"/>
      <c r="E3308"/>
      <c r="F3308"/>
    </row>
    <row r="3309" spans="1:6">
      <c r="A3309"/>
      <c r="B3309"/>
      <c r="C3309"/>
      <c r="D3309"/>
      <c r="E3309"/>
      <c r="F3309"/>
    </row>
    <row r="3310" spans="1:6">
      <c r="A3310"/>
      <c r="B3310"/>
      <c r="C3310"/>
      <c r="D3310"/>
      <c r="E3310"/>
      <c r="F3310"/>
    </row>
    <row r="3311" spans="1:6">
      <c r="A3311"/>
      <c r="B3311"/>
      <c r="C3311"/>
      <c r="D3311"/>
      <c r="E3311"/>
      <c r="F3311"/>
    </row>
    <row r="3312" spans="1:6">
      <c r="A3312"/>
      <c r="B3312"/>
      <c r="C3312"/>
      <c r="D3312"/>
      <c r="E3312"/>
      <c r="F3312"/>
    </row>
    <row r="3313" spans="1:6">
      <c r="A3313"/>
      <c r="B3313"/>
      <c r="C3313"/>
      <c r="D3313"/>
      <c r="E3313"/>
      <c r="F3313"/>
    </row>
    <row r="3314" spans="1:6">
      <c r="A3314"/>
      <c r="B3314"/>
      <c r="C3314"/>
      <c r="D3314"/>
      <c r="E3314"/>
      <c r="F3314"/>
    </row>
    <row r="3315" spans="1:6">
      <c r="A3315"/>
      <c r="B3315"/>
      <c r="C3315"/>
      <c r="D3315"/>
      <c r="E3315"/>
      <c r="F3315"/>
    </row>
    <row r="3316" spans="1:6">
      <c r="A3316"/>
      <c r="B3316"/>
      <c r="C3316"/>
      <c r="D3316"/>
      <c r="E3316"/>
      <c r="F3316"/>
    </row>
    <row r="3317" spans="1:6">
      <c r="A3317"/>
      <c r="B3317"/>
      <c r="C3317"/>
      <c r="D3317"/>
      <c r="E3317"/>
      <c r="F3317"/>
    </row>
    <row r="3318" spans="1:6">
      <c r="A3318"/>
      <c r="B3318"/>
      <c r="C3318"/>
      <c r="D3318"/>
      <c r="E3318"/>
      <c r="F3318"/>
    </row>
    <row r="3319" spans="1:6">
      <c r="A3319"/>
      <c r="B3319"/>
      <c r="C3319"/>
      <c r="D3319"/>
      <c r="E3319"/>
      <c r="F3319"/>
    </row>
    <row r="3320" spans="1:6">
      <c r="A3320"/>
      <c r="B3320"/>
      <c r="C3320"/>
      <c r="D3320"/>
      <c r="E3320"/>
      <c r="F3320"/>
    </row>
    <row r="3321" spans="1:6">
      <c r="A3321"/>
      <c r="B3321"/>
      <c r="C3321"/>
      <c r="D3321"/>
      <c r="E3321"/>
      <c r="F3321"/>
    </row>
    <row r="3322" spans="1:6">
      <c r="A3322"/>
      <c r="B3322"/>
      <c r="C3322"/>
      <c r="D3322"/>
      <c r="E3322"/>
      <c r="F3322"/>
    </row>
    <row r="3323" spans="1:6">
      <c r="A3323"/>
      <c r="B3323"/>
      <c r="C3323"/>
      <c r="D3323"/>
      <c r="E3323"/>
      <c r="F3323"/>
    </row>
    <row r="3324" spans="1:6">
      <c r="A3324"/>
      <c r="B3324"/>
      <c r="C3324"/>
      <c r="D3324"/>
      <c r="E3324"/>
      <c r="F3324"/>
    </row>
    <row r="3325" spans="1:6">
      <c r="A3325"/>
      <c r="B3325"/>
      <c r="C3325"/>
      <c r="D3325"/>
      <c r="E3325"/>
      <c r="F3325"/>
    </row>
    <row r="3326" spans="1:6">
      <c r="A3326"/>
      <c r="B3326"/>
      <c r="C3326"/>
      <c r="D3326"/>
      <c r="E3326"/>
      <c r="F3326"/>
    </row>
    <row r="3327" spans="1:6">
      <c r="A3327"/>
      <c r="B3327"/>
      <c r="C3327"/>
      <c r="D3327"/>
      <c r="E3327"/>
      <c r="F3327"/>
    </row>
    <row r="3328" spans="1:6">
      <c r="A3328"/>
      <c r="B3328"/>
      <c r="C3328"/>
      <c r="D3328"/>
      <c r="E3328"/>
      <c r="F3328"/>
    </row>
    <row r="3329" spans="1:6">
      <c r="A3329"/>
      <c r="B3329"/>
      <c r="C3329"/>
      <c r="D3329"/>
      <c r="E3329"/>
      <c r="F3329"/>
    </row>
    <row r="3330" spans="1:6">
      <c r="A3330"/>
      <c r="B3330"/>
      <c r="C3330"/>
      <c r="D3330"/>
      <c r="E3330"/>
      <c r="F3330"/>
    </row>
    <row r="3331" spans="1:6">
      <c r="A3331"/>
      <c r="B3331"/>
      <c r="C3331"/>
      <c r="D3331"/>
      <c r="E3331"/>
      <c r="F3331"/>
    </row>
    <row r="3332" spans="1:6">
      <c r="A3332"/>
      <c r="B3332"/>
      <c r="C3332"/>
      <c r="D3332"/>
      <c r="E3332"/>
      <c r="F3332"/>
    </row>
    <row r="3333" spans="1:6">
      <c r="A3333"/>
      <c r="B3333"/>
      <c r="C3333"/>
      <c r="D3333"/>
      <c r="E3333"/>
      <c r="F3333"/>
    </row>
    <row r="3334" spans="1:6">
      <c r="A3334"/>
      <c r="B3334"/>
      <c r="C3334"/>
      <c r="D3334"/>
      <c r="E3334"/>
      <c r="F3334"/>
    </row>
    <row r="3335" spans="1:6">
      <c r="A3335"/>
      <c r="B3335"/>
      <c r="C3335"/>
      <c r="D3335"/>
      <c r="E3335"/>
      <c r="F3335"/>
    </row>
    <row r="3336" spans="1:6">
      <c r="A3336"/>
      <c r="B3336"/>
      <c r="C3336"/>
      <c r="D3336"/>
      <c r="E3336"/>
      <c r="F3336"/>
    </row>
    <row r="3337" spans="1:6">
      <c r="A3337"/>
      <c r="B3337"/>
      <c r="C3337"/>
      <c r="D3337"/>
      <c r="E3337"/>
      <c r="F3337"/>
    </row>
    <row r="3338" spans="1:6">
      <c r="A3338"/>
      <c r="B3338"/>
      <c r="C3338"/>
      <c r="D3338"/>
      <c r="E3338"/>
      <c r="F3338"/>
    </row>
    <row r="3339" spans="1:6">
      <c r="A3339"/>
      <c r="B3339"/>
      <c r="C3339"/>
      <c r="D3339"/>
      <c r="E3339"/>
      <c r="F3339"/>
    </row>
    <row r="3340" spans="1:6">
      <c r="A3340"/>
      <c r="B3340"/>
      <c r="C3340"/>
      <c r="D3340"/>
      <c r="E3340"/>
      <c r="F3340"/>
    </row>
    <row r="3341" spans="1:6">
      <c r="A3341"/>
      <c r="B3341"/>
      <c r="C3341"/>
      <c r="D3341"/>
      <c r="E3341"/>
      <c r="F3341"/>
    </row>
    <row r="3342" spans="1:6">
      <c r="A3342"/>
      <c r="B3342"/>
      <c r="C3342"/>
      <c r="D3342"/>
      <c r="E3342"/>
      <c r="F3342"/>
    </row>
    <row r="3343" spans="1:6">
      <c r="A3343"/>
      <c r="B3343"/>
      <c r="C3343"/>
      <c r="D3343"/>
      <c r="E3343"/>
      <c r="F3343"/>
    </row>
    <row r="3344" spans="1:6">
      <c r="A3344"/>
      <c r="B3344"/>
      <c r="C3344"/>
      <c r="D3344"/>
      <c r="E3344"/>
      <c r="F3344"/>
    </row>
    <row r="3345" spans="1:6">
      <c r="A3345"/>
      <c r="B3345"/>
      <c r="C3345"/>
      <c r="D3345"/>
      <c r="E3345"/>
      <c r="F3345"/>
    </row>
    <row r="3346" spans="1:6">
      <c r="A3346"/>
      <c r="B3346"/>
      <c r="C3346"/>
      <c r="D3346"/>
      <c r="E3346"/>
      <c r="F3346"/>
    </row>
    <row r="3347" spans="1:6">
      <c r="A3347"/>
      <c r="B3347"/>
      <c r="C3347"/>
      <c r="D3347"/>
      <c r="E3347"/>
      <c r="F3347"/>
    </row>
    <row r="3348" spans="1:6">
      <c r="A3348"/>
      <c r="B3348"/>
      <c r="C3348"/>
      <c r="D3348"/>
      <c r="E3348"/>
      <c r="F3348"/>
    </row>
    <row r="3349" spans="1:6">
      <c r="A3349"/>
      <c r="B3349"/>
      <c r="C3349"/>
      <c r="D3349"/>
      <c r="E3349"/>
      <c r="F3349"/>
    </row>
    <row r="3350" spans="1:6">
      <c r="A3350"/>
      <c r="B3350"/>
      <c r="C3350"/>
      <c r="D3350"/>
      <c r="E3350"/>
      <c r="F3350"/>
    </row>
    <row r="3351" spans="1:6">
      <c r="A3351"/>
      <c r="B3351"/>
      <c r="C3351"/>
      <c r="D3351"/>
      <c r="E3351"/>
      <c r="F3351"/>
    </row>
    <row r="3352" spans="1:6">
      <c r="A3352"/>
      <c r="B3352"/>
      <c r="C3352"/>
      <c r="D3352"/>
      <c r="E3352"/>
      <c r="F3352"/>
    </row>
    <row r="3353" spans="1:6">
      <c r="A3353"/>
      <c r="B3353"/>
      <c r="C3353"/>
      <c r="D3353"/>
      <c r="E3353"/>
      <c r="F3353"/>
    </row>
    <row r="3354" spans="1:6">
      <c r="A3354"/>
      <c r="B3354"/>
      <c r="C3354"/>
      <c r="D3354"/>
      <c r="E3354"/>
      <c r="F3354"/>
    </row>
    <row r="3355" spans="1:6">
      <c r="A3355"/>
      <c r="B3355"/>
      <c r="C3355"/>
      <c r="D3355"/>
      <c r="E3355"/>
      <c r="F3355"/>
    </row>
    <row r="3356" spans="1:6">
      <c r="A3356"/>
      <c r="B3356"/>
      <c r="C3356"/>
      <c r="D3356"/>
      <c r="E3356"/>
      <c r="F3356"/>
    </row>
    <row r="3357" spans="1:6">
      <c r="A3357"/>
      <c r="B3357"/>
      <c r="C3357"/>
      <c r="D3357"/>
      <c r="E3357"/>
      <c r="F3357"/>
    </row>
    <row r="3358" spans="1:6">
      <c r="A3358"/>
      <c r="B3358"/>
      <c r="C3358"/>
      <c r="D3358"/>
      <c r="E3358"/>
      <c r="F3358"/>
    </row>
    <row r="3359" spans="1:6">
      <c r="A3359"/>
      <c r="B3359"/>
      <c r="C3359"/>
      <c r="D3359"/>
      <c r="E3359"/>
      <c r="F3359"/>
    </row>
    <row r="3360" spans="1:6">
      <c r="A3360"/>
      <c r="B3360"/>
      <c r="C3360"/>
      <c r="D3360"/>
      <c r="E3360"/>
      <c r="F3360"/>
    </row>
    <row r="3361" spans="1:6">
      <c r="A3361"/>
      <c r="B3361"/>
      <c r="C3361"/>
      <c r="D3361"/>
      <c r="E3361"/>
      <c r="F3361"/>
    </row>
    <row r="3362" spans="1:6">
      <c r="A3362"/>
      <c r="B3362"/>
      <c r="C3362"/>
      <c r="D3362"/>
      <c r="E3362"/>
      <c r="F3362"/>
    </row>
    <row r="3363" spans="1:6">
      <c r="A3363"/>
      <c r="B3363"/>
      <c r="C3363"/>
      <c r="D3363"/>
      <c r="E3363"/>
      <c r="F3363"/>
    </row>
    <row r="3364" spans="1:6">
      <c r="A3364"/>
      <c r="B3364"/>
      <c r="C3364"/>
      <c r="D3364"/>
      <c r="E3364"/>
      <c r="F3364"/>
    </row>
    <row r="3365" spans="1:6">
      <c r="A3365"/>
      <c r="B3365"/>
      <c r="C3365"/>
      <c r="D3365"/>
      <c r="E3365"/>
      <c r="F3365"/>
    </row>
    <row r="3366" spans="1:6">
      <c r="A3366"/>
      <c r="B3366"/>
      <c r="C3366"/>
      <c r="D3366"/>
      <c r="E3366"/>
      <c r="F3366"/>
    </row>
    <row r="3367" spans="1:6">
      <c r="A3367"/>
      <c r="B3367"/>
      <c r="C3367"/>
      <c r="D3367"/>
      <c r="E3367"/>
      <c r="F3367"/>
    </row>
    <row r="3368" spans="1:6">
      <c r="A3368"/>
      <c r="B3368"/>
      <c r="C3368"/>
      <c r="D3368"/>
      <c r="E3368"/>
      <c r="F3368"/>
    </row>
    <row r="3369" spans="1:6">
      <c r="A3369"/>
      <c r="B3369"/>
      <c r="C3369"/>
      <c r="D3369"/>
      <c r="E3369"/>
      <c r="F3369"/>
    </row>
    <row r="3370" spans="1:6">
      <c r="A3370"/>
      <c r="B3370"/>
      <c r="C3370"/>
      <c r="D3370"/>
      <c r="E3370"/>
      <c r="F3370"/>
    </row>
    <row r="3371" spans="1:6">
      <c r="A3371"/>
      <c r="B3371"/>
      <c r="C3371"/>
      <c r="D3371"/>
      <c r="E3371"/>
      <c r="F3371"/>
    </row>
    <row r="3372" spans="1:6">
      <c r="A3372"/>
      <c r="B3372"/>
      <c r="C3372"/>
      <c r="D3372"/>
      <c r="E3372"/>
      <c r="F3372"/>
    </row>
    <row r="3373" spans="1:6">
      <c r="A3373"/>
      <c r="B3373"/>
      <c r="C3373"/>
      <c r="D3373"/>
      <c r="E3373"/>
      <c r="F3373"/>
    </row>
    <row r="3374" spans="1:6">
      <c r="A3374"/>
      <c r="B3374"/>
      <c r="C3374"/>
      <c r="D3374"/>
      <c r="E3374"/>
      <c r="F3374"/>
    </row>
    <row r="3375" spans="1:6">
      <c r="A3375"/>
      <c r="B3375"/>
      <c r="C3375"/>
      <c r="D3375"/>
      <c r="E3375"/>
      <c r="F3375"/>
    </row>
    <row r="3376" spans="1:6">
      <c r="A3376"/>
      <c r="B3376"/>
      <c r="C3376"/>
      <c r="D3376"/>
      <c r="E3376"/>
      <c r="F3376"/>
    </row>
    <row r="3377" spans="1:6">
      <c r="A3377"/>
      <c r="B3377"/>
      <c r="C3377"/>
      <c r="D3377"/>
      <c r="E3377"/>
      <c r="F3377"/>
    </row>
    <row r="3378" spans="1:6">
      <c r="A3378"/>
      <c r="B3378"/>
      <c r="C3378"/>
      <c r="D3378"/>
      <c r="E3378"/>
      <c r="F3378"/>
    </row>
    <row r="3379" spans="1:6">
      <c r="A3379"/>
      <c r="B3379"/>
      <c r="C3379"/>
      <c r="D3379"/>
      <c r="E3379"/>
      <c r="F3379"/>
    </row>
    <row r="3380" spans="1:6">
      <c r="A3380"/>
      <c r="B3380"/>
      <c r="C3380"/>
      <c r="D3380"/>
      <c r="E3380"/>
      <c r="F3380"/>
    </row>
    <row r="3381" spans="1:6">
      <c r="A3381"/>
      <c r="B3381"/>
      <c r="C3381"/>
      <c r="D3381"/>
      <c r="E3381"/>
      <c r="F3381"/>
    </row>
    <row r="3382" spans="1:6">
      <c r="A3382"/>
      <c r="B3382"/>
      <c r="C3382"/>
      <c r="D3382"/>
      <c r="E3382"/>
      <c r="F3382"/>
    </row>
    <row r="3383" spans="1:6">
      <c r="A3383"/>
      <c r="B3383"/>
      <c r="C3383"/>
      <c r="D3383"/>
      <c r="E3383"/>
      <c r="F3383"/>
    </row>
    <row r="3384" spans="1:6">
      <c r="A3384"/>
      <c r="B3384"/>
      <c r="C3384"/>
      <c r="D3384"/>
      <c r="E3384"/>
      <c r="F3384"/>
    </row>
    <row r="3385" spans="1:6">
      <c r="A3385"/>
      <c r="B3385"/>
      <c r="C3385"/>
      <c r="D3385"/>
      <c r="E3385"/>
      <c r="F3385"/>
    </row>
    <row r="3386" spans="1:6">
      <c r="A3386"/>
      <c r="B3386"/>
      <c r="C3386"/>
      <c r="D3386"/>
      <c r="E3386"/>
      <c r="F3386"/>
    </row>
    <row r="3387" spans="1:6">
      <c r="A3387"/>
      <c r="B3387"/>
      <c r="C3387"/>
      <c r="D3387"/>
      <c r="E3387"/>
      <c r="F3387"/>
    </row>
    <row r="3388" spans="1:6">
      <c r="A3388"/>
      <c r="B3388"/>
      <c r="C3388"/>
      <c r="D3388"/>
      <c r="E3388"/>
      <c r="F3388"/>
    </row>
    <row r="3389" spans="1:6">
      <c r="A3389"/>
      <c r="B3389"/>
      <c r="C3389"/>
      <c r="D3389"/>
      <c r="E3389"/>
      <c r="F3389"/>
    </row>
    <row r="3390" spans="1:6">
      <c r="A3390"/>
      <c r="B3390"/>
      <c r="C3390"/>
      <c r="D3390"/>
      <c r="E3390"/>
      <c r="F3390"/>
    </row>
    <row r="3391" spans="1:6">
      <c r="A3391"/>
      <c r="B3391"/>
      <c r="C3391"/>
      <c r="D3391"/>
      <c r="E3391"/>
      <c r="F3391"/>
    </row>
    <row r="3392" spans="1:6">
      <c r="A3392"/>
      <c r="B3392"/>
      <c r="C3392"/>
      <c r="D3392"/>
      <c r="E3392"/>
      <c r="F3392"/>
    </row>
    <row r="3393" spans="1:6">
      <c r="A3393"/>
      <c r="B3393"/>
      <c r="C3393"/>
      <c r="D3393"/>
      <c r="E3393"/>
      <c r="F3393"/>
    </row>
    <row r="3394" spans="1:6">
      <c r="A3394"/>
      <c r="B3394"/>
      <c r="C3394"/>
      <c r="D3394"/>
      <c r="E3394"/>
      <c r="F3394"/>
    </row>
    <row r="3395" spans="1:6">
      <c r="A3395"/>
      <c r="B3395"/>
      <c r="C3395"/>
      <c r="D3395"/>
      <c r="E3395"/>
      <c r="F3395"/>
    </row>
    <row r="3396" spans="1:6">
      <c r="A3396"/>
      <c r="B3396"/>
      <c r="C3396"/>
      <c r="D3396"/>
      <c r="E3396"/>
      <c r="F3396"/>
    </row>
    <row r="3397" spans="1:6">
      <c r="A3397"/>
      <c r="B3397"/>
      <c r="C3397"/>
      <c r="D3397"/>
      <c r="E3397"/>
      <c r="F3397"/>
    </row>
    <row r="3398" spans="1:6">
      <c r="A3398"/>
      <c r="B3398"/>
      <c r="C3398"/>
      <c r="D3398"/>
      <c r="E3398"/>
      <c r="F3398"/>
    </row>
    <row r="3399" spans="1:6">
      <c r="A3399"/>
      <c r="B3399"/>
      <c r="C3399"/>
      <c r="D3399"/>
      <c r="E3399"/>
      <c r="F3399"/>
    </row>
    <row r="3400" spans="1:6">
      <c r="A3400"/>
      <c r="B3400"/>
      <c r="C3400"/>
      <c r="D3400"/>
      <c r="E3400"/>
      <c r="F3400"/>
    </row>
    <row r="3401" spans="1:6">
      <c r="A3401"/>
      <c r="B3401"/>
      <c r="C3401"/>
      <c r="D3401"/>
      <c r="E3401"/>
      <c r="F3401"/>
    </row>
    <row r="3402" spans="1:6">
      <c r="A3402"/>
      <c r="B3402"/>
      <c r="C3402"/>
      <c r="D3402"/>
      <c r="E3402"/>
      <c r="F3402"/>
    </row>
    <row r="3403" spans="1:6">
      <c r="A3403"/>
      <c r="B3403"/>
      <c r="C3403"/>
      <c r="D3403"/>
      <c r="E3403"/>
      <c r="F3403"/>
    </row>
    <row r="3404" spans="1:6">
      <c r="A3404"/>
      <c r="B3404"/>
      <c r="C3404"/>
      <c r="D3404"/>
      <c r="E3404"/>
      <c r="F3404"/>
    </row>
    <row r="3405" spans="1:6">
      <c r="A3405"/>
      <c r="B3405"/>
      <c r="C3405"/>
      <c r="D3405"/>
      <c r="E3405"/>
      <c r="F3405"/>
    </row>
    <row r="3406" spans="1:6">
      <c r="A3406"/>
      <c r="B3406"/>
      <c r="C3406"/>
      <c r="D3406"/>
      <c r="E3406"/>
      <c r="F3406"/>
    </row>
    <row r="3407" spans="1:6">
      <c r="A3407"/>
      <c r="B3407"/>
      <c r="C3407"/>
      <c r="D3407"/>
      <c r="E3407"/>
      <c r="F3407"/>
    </row>
    <row r="3408" spans="1:6">
      <c r="A3408"/>
      <c r="B3408"/>
      <c r="C3408"/>
      <c r="D3408"/>
      <c r="E3408"/>
      <c r="F3408"/>
    </row>
    <row r="3409" spans="1:6">
      <c r="A3409"/>
      <c r="B3409"/>
      <c r="C3409"/>
      <c r="D3409"/>
      <c r="E3409"/>
      <c r="F3409"/>
    </row>
    <row r="3410" spans="1:6">
      <c r="A3410"/>
      <c r="B3410"/>
      <c r="C3410"/>
      <c r="D3410"/>
      <c r="E3410"/>
      <c r="F3410"/>
    </row>
    <row r="3411" spans="1:6">
      <c r="A3411"/>
      <c r="B3411"/>
      <c r="C3411"/>
      <c r="D3411"/>
      <c r="E3411"/>
      <c r="F3411"/>
    </row>
    <row r="3412" spans="1:6">
      <c r="A3412"/>
      <c r="B3412"/>
      <c r="C3412"/>
      <c r="D3412"/>
      <c r="E3412"/>
      <c r="F3412"/>
    </row>
    <row r="3413" spans="1:6">
      <c r="A3413"/>
      <c r="B3413"/>
      <c r="C3413"/>
      <c r="D3413"/>
      <c r="E3413"/>
      <c r="F3413"/>
    </row>
    <row r="3414" spans="1:6">
      <c r="A3414"/>
      <c r="B3414"/>
      <c r="C3414"/>
      <c r="D3414"/>
      <c r="E3414"/>
      <c r="F3414"/>
    </row>
    <row r="3415" spans="1:6">
      <c r="A3415"/>
      <c r="B3415"/>
      <c r="C3415"/>
      <c r="D3415"/>
      <c r="E3415"/>
      <c r="F3415"/>
    </row>
    <row r="3416" spans="1:6">
      <c r="A3416"/>
      <c r="B3416"/>
      <c r="C3416"/>
      <c r="D3416"/>
      <c r="E3416"/>
      <c r="F3416"/>
    </row>
    <row r="3417" spans="1:6">
      <c r="A3417"/>
      <c r="B3417"/>
      <c r="C3417"/>
      <c r="D3417"/>
      <c r="E3417"/>
      <c r="F3417"/>
    </row>
    <row r="3418" spans="1:6">
      <c r="A3418"/>
      <c r="B3418"/>
      <c r="C3418"/>
      <c r="D3418"/>
      <c r="E3418"/>
      <c r="F3418"/>
    </row>
    <row r="3419" spans="1:6">
      <c r="A3419"/>
      <c r="B3419"/>
      <c r="C3419"/>
      <c r="D3419"/>
      <c r="E3419"/>
      <c r="F3419"/>
    </row>
    <row r="3420" spans="1:6">
      <c r="A3420"/>
      <c r="B3420"/>
      <c r="C3420"/>
      <c r="D3420"/>
      <c r="E3420"/>
      <c r="F3420"/>
    </row>
    <row r="3421" spans="1:6">
      <c r="A3421"/>
      <c r="B3421"/>
      <c r="C3421"/>
      <c r="D3421"/>
      <c r="E3421"/>
      <c r="F3421"/>
    </row>
    <row r="3422" spans="1:6">
      <c r="A3422"/>
      <c r="B3422"/>
      <c r="C3422"/>
      <c r="D3422"/>
      <c r="E3422"/>
      <c r="F3422"/>
    </row>
    <row r="3423" spans="1:6">
      <c r="A3423"/>
      <c r="B3423"/>
      <c r="C3423"/>
      <c r="D3423"/>
      <c r="E3423"/>
      <c r="F3423"/>
    </row>
    <row r="3424" spans="1:6">
      <c r="A3424"/>
      <c r="B3424"/>
      <c r="C3424"/>
      <c r="D3424"/>
      <c r="E3424"/>
      <c r="F3424"/>
    </row>
    <row r="3425" spans="1:6">
      <c r="A3425"/>
      <c r="B3425"/>
      <c r="C3425"/>
      <c r="D3425"/>
      <c r="E3425"/>
      <c r="F3425"/>
    </row>
    <row r="3426" spans="1:6">
      <c r="A3426"/>
      <c r="B3426"/>
      <c r="C3426"/>
      <c r="D3426"/>
      <c r="E3426"/>
      <c r="F3426"/>
    </row>
    <row r="3427" spans="1:6">
      <c r="A3427"/>
      <c r="B3427"/>
      <c r="C3427"/>
      <c r="D3427"/>
      <c r="E3427"/>
      <c r="F3427"/>
    </row>
    <row r="3428" spans="1:6">
      <c r="A3428"/>
      <c r="B3428"/>
      <c r="C3428"/>
      <c r="D3428"/>
      <c r="E3428"/>
      <c r="F3428"/>
    </row>
    <row r="3429" spans="1:6">
      <c r="A3429"/>
      <c r="B3429"/>
      <c r="C3429"/>
      <c r="D3429"/>
      <c r="E3429"/>
      <c r="F3429"/>
    </row>
    <row r="3430" spans="1:6">
      <c r="A3430"/>
      <c r="B3430"/>
      <c r="C3430"/>
      <c r="D3430"/>
      <c r="E3430"/>
      <c r="F3430"/>
    </row>
    <row r="3431" spans="1:6">
      <c r="A3431"/>
      <c r="B3431"/>
      <c r="C3431"/>
      <c r="D3431"/>
      <c r="E3431"/>
      <c r="F3431"/>
    </row>
    <row r="3432" spans="1:6">
      <c r="A3432"/>
      <c r="B3432"/>
      <c r="C3432"/>
      <c r="D3432"/>
      <c r="E3432"/>
      <c r="F3432"/>
    </row>
    <row r="3433" spans="1:6">
      <c r="A3433"/>
      <c r="B3433"/>
      <c r="C3433"/>
      <c r="D3433"/>
      <c r="E3433"/>
      <c r="F3433"/>
    </row>
    <row r="3434" spans="1:6">
      <c r="A3434"/>
      <c r="B3434"/>
      <c r="C3434"/>
      <c r="D3434"/>
      <c r="E3434"/>
      <c r="F3434"/>
    </row>
    <row r="3435" spans="1:6">
      <c r="A3435"/>
      <c r="B3435"/>
      <c r="C3435"/>
      <c r="D3435"/>
      <c r="E3435"/>
      <c r="F3435"/>
    </row>
    <row r="3436" spans="1:6">
      <c r="A3436"/>
      <c r="B3436"/>
      <c r="C3436"/>
      <c r="D3436"/>
      <c r="E3436"/>
      <c r="F3436"/>
    </row>
    <row r="3437" spans="1:6">
      <c r="A3437"/>
      <c r="B3437"/>
      <c r="C3437"/>
      <c r="D3437"/>
      <c r="E3437"/>
      <c r="F3437"/>
    </row>
    <row r="3438" spans="1:6">
      <c r="A3438"/>
      <c r="B3438"/>
      <c r="C3438"/>
      <c r="D3438"/>
      <c r="E3438"/>
      <c r="F3438"/>
    </row>
    <row r="3439" spans="1:6">
      <c r="A3439"/>
      <c r="B3439"/>
      <c r="C3439"/>
      <c r="D3439"/>
      <c r="E3439"/>
      <c r="F3439"/>
    </row>
    <row r="3440" spans="1:6">
      <c r="A3440"/>
      <c r="B3440"/>
      <c r="C3440"/>
      <c r="D3440"/>
      <c r="E3440"/>
      <c r="F3440"/>
    </row>
    <row r="3441" spans="1:6">
      <c r="A3441"/>
      <c r="B3441"/>
      <c r="C3441"/>
      <c r="D3441"/>
      <c r="E3441"/>
      <c r="F3441"/>
    </row>
    <row r="3442" spans="1:6">
      <c r="A3442"/>
      <c r="B3442"/>
      <c r="C3442"/>
      <c r="D3442"/>
      <c r="E3442"/>
      <c r="F3442"/>
    </row>
    <row r="3443" spans="1:6">
      <c r="A3443"/>
      <c r="B3443"/>
      <c r="C3443"/>
      <c r="D3443"/>
      <c r="E3443"/>
      <c r="F3443"/>
    </row>
    <row r="3444" spans="1:6">
      <c r="A3444"/>
      <c r="B3444"/>
      <c r="C3444"/>
      <c r="D3444"/>
      <c r="E3444"/>
      <c r="F3444"/>
    </row>
    <row r="3445" spans="1:6">
      <c r="A3445"/>
      <c r="B3445"/>
      <c r="C3445"/>
      <c r="D3445"/>
      <c r="E3445"/>
      <c r="F3445"/>
    </row>
    <row r="3446" spans="1:6">
      <c r="A3446"/>
      <c r="B3446"/>
      <c r="C3446"/>
      <c r="D3446"/>
      <c r="E3446"/>
      <c r="F3446"/>
    </row>
    <row r="3447" spans="1:6">
      <c r="A3447"/>
      <c r="B3447"/>
      <c r="C3447"/>
      <c r="D3447"/>
      <c r="E3447"/>
      <c r="F3447"/>
    </row>
    <row r="3448" spans="1:6">
      <c r="A3448"/>
      <c r="B3448"/>
      <c r="C3448"/>
      <c r="D3448"/>
      <c r="E3448"/>
      <c r="F3448"/>
    </row>
    <row r="3449" spans="1:6">
      <c r="A3449"/>
      <c r="B3449"/>
      <c r="C3449"/>
      <c r="D3449"/>
      <c r="E3449"/>
      <c r="F3449"/>
    </row>
    <row r="3450" spans="1:6">
      <c r="A3450"/>
      <c r="B3450"/>
      <c r="C3450"/>
      <c r="D3450"/>
      <c r="E3450"/>
      <c r="F3450"/>
    </row>
    <row r="3451" spans="1:6">
      <c r="A3451"/>
      <c r="B3451"/>
      <c r="C3451"/>
      <c r="D3451"/>
      <c r="E3451"/>
      <c r="F3451"/>
    </row>
    <row r="3452" spans="1:6">
      <c r="A3452"/>
      <c r="B3452"/>
      <c r="C3452"/>
      <c r="D3452"/>
      <c r="E3452"/>
      <c r="F3452"/>
    </row>
    <row r="3453" spans="1:6">
      <c r="A3453"/>
      <c r="B3453"/>
      <c r="C3453"/>
      <c r="D3453"/>
      <c r="E3453"/>
      <c r="F3453"/>
    </row>
    <row r="3454" spans="1:6">
      <c r="A3454"/>
      <c r="B3454"/>
      <c r="C3454"/>
      <c r="D3454"/>
      <c r="E3454"/>
      <c r="F3454"/>
    </row>
    <row r="3455" spans="1:6">
      <c r="A3455"/>
      <c r="B3455"/>
      <c r="C3455"/>
      <c r="D3455"/>
      <c r="E3455"/>
      <c r="F3455"/>
    </row>
    <row r="3456" spans="1:6">
      <c r="A3456"/>
      <c r="B3456"/>
      <c r="C3456"/>
      <c r="D3456"/>
      <c r="E3456"/>
      <c r="F3456"/>
    </row>
    <row r="3457" spans="1:6">
      <c r="A3457"/>
      <c r="B3457"/>
      <c r="C3457"/>
      <c r="D3457"/>
      <c r="E3457"/>
      <c r="F3457"/>
    </row>
    <row r="3458" spans="1:6">
      <c r="A3458"/>
      <c r="B3458"/>
      <c r="C3458"/>
      <c r="D3458"/>
      <c r="E3458"/>
      <c r="F3458"/>
    </row>
    <row r="3459" spans="1:6">
      <c r="A3459"/>
      <c r="B3459"/>
      <c r="C3459"/>
      <c r="D3459"/>
      <c r="E3459"/>
      <c r="F3459"/>
    </row>
    <row r="3460" spans="1:6">
      <c r="A3460"/>
      <c r="B3460"/>
      <c r="C3460"/>
      <c r="D3460"/>
      <c r="E3460"/>
      <c r="F3460"/>
    </row>
    <row r="3461" spans="1:6">
      <c r="A3461"/>
      <c r="B3461"/>
      <c r="C3461"/>
      <c r="D3461"/>
      <c r="E3461"/>
      <c r="F3461"/>
    </row>
    <row r="3462" spans="1:6">
      <c r="A3462"/>
      <c r="B3462"/>
      <c r="C3462"/>
      <c r="D3462"/>
      <c r="E3462"/>
      <c r="F3462"/>
    </row>
    <row r="3463" spans="1:6">
      <c r="A3463"/>
      <c r="B3463"/>
      <c r="C3463"/>
      <c r="D3463"/>
      <c r="E3463"/>
      <c r="F3463"/>
    </row>
    <row r="3464" spans="1:6">
      <c r="A3464"/>
      <c r="B3464"/>
      <c r="C3464"/>
      <c r="D3464"/>
      <c r="E3464"/>
      <c r="F3464"/>
    </row>
    <row r="3465" spans="1:6">
      <c r="A3465"/>
      <c r="B3465"/>
      <c r="C3465"/>
      <c r="D3465"/>
      <c r="E3465"/>
      <c r="F3465"/>
    </row>
    <row r="3466" spans="1:6">
      <c r="A3466"/>
      <c r="B3466"/>
      <c r="C3466"/>
      <c r="D3466"/>
      <c r="E3466"/>
      <c r="F3466"/>
    </row>
    <row r="3467" spans="1:6">
      <c r="A3467"/>
      <c r="B3467"/>
      <c r="C3467"/>
      <c r="D3467"/>
      <c r="E3467"/>
      <c r="F3467"/>
    </row>
    <row r="3468" spans="1:6">
      <c r="A3468"/>
      <c r="B3468"/>
      <c r="C3468"/>
      <c r="D3468"/>
      <c r="E3468"/>
      <c r="F3468"/>
    </row>
    <row r="3469" spans="1:6">
      <c r="A3469"/>
      <c r="B3469"/>
      <c r="C3469"/>
      <c r="D3469"/>
      <c r="E3469"/>
      <c r="F3469"/>
    </row>
    <row r="3470" spans="1:6">
      <c r="A3470"/>
      <c r="B3470"/>
      <c r="C3470"/>
      <c r="D3470"/>
      <c r="E3470"/>
      <c r="F3470"/>
    </row>
    <row r="3471" spans="1:6">
      <c r="A3471"/>
      <c r="B3471"/>
      <c r="C3471"/>
      <c r="D3471"/>
      <c r="E3471"/>
      <c r="F3471"/>
    </row>
    <row r="3472" spans="1:6">
      <c r="A3472"/>
      <c r="B3472"/>
      <c r="C3472"/>
      <c r="D3472"/>
      <c r="E3472"/>
      <c r="F3472"/>
    </row>
    <row r="3473" spans="1:6">
      <c r="A3473"/>
      <c r="B3473"/>
      <c r="C3473"/>
      <c r="D3473"/>
      <c r="E3473"/>
      <c r="F3473"/>
    </row>
    <row r="3474" spans="1:6">
      <c r="A3474"/>
      <c r="B3474"/>
      <c r="C3474"/>
      <c r="D3474"/>
      <c r="E3474"/>
      <c r="F3474"/>
    </row>
    <row r="3475" spans="1:6">
      <c r="A3475"/>
      <c r="B3475"/>
      <c r="C3475"/>
      <c r="D3475"/>
      <c r="E3475"/>
      <c r="F3475"/>
    </row>
    <row r="3476" spans="1:6">
      <c r="A3476"/>
      <c r="B3476"/>
      <c r="C3476"/>
      <c r="D3476"/>
      <c r="E3476"/>
      <c r="F3476"/>
    </row>
    <row r="3477" spans="1:6">
      <c r="A3477"/>
      <c r="B3477"/>
      <c r="C3477"/>
      <c r="D3477"/>
      <c r="E3477"/>
      <c r="F3477"/>
    </row>
    <row r="3478" spans="1:6">
      <c r="A3478"/>
      <c r="B3478"/>
      <c r="C3478"/>
      <c r="D3478"/>
      <c r="E3478"/>
      <c r="F3478"/>
    </row>
    <row r="3479" spans="1:6">
      <c r="A3479"/>
      <c r="B3479"/>
      <c r="C3479"/>
      <c r="D3479"/>
      <c r="E3479"/>
      <c r="F3479"/>
    </row>
    <row r="3480" spans="1:6">
      <c r="A3480"/>
      <c r="B3480"/>
      <c r="C3480"/>
      <c r="D3480"/>
      <c r="E3480"/>
      <c r="F3480"/>
    </row>
    <row r="3481" spans="1:6">
      <c r="A3481"/>
      <c r="B3481"/>
      <c r="C3481"/>
      <c r="D3481"/>
      <c r="E3481"/>
      <c r="F3481"/>
    </row>
    <row r="3482" spans="1:6">
      <c r="A3482"/>
      <c r="B3482"/>
      <c r="C3482"/>
      <c r="D3482"/>
      <c r="E3482"/>
      <c r="F3482"/>
    </row>
    <row r="3483" spans="1:6">
      <c r="A3483"/>
      <c r="B3483"/>
      <c r="C3483"/>
      <c r="D3483"/>
      <c r="E3483"/>
      <c r="F3483"/>
    </row>
    <row r="3484" spans="1:6">
      <c r="A3484"/>
      <c r="B3484"/>
      <c r="C3484"/>
      <c r="D3484"/>
      <c r="E3484"/>
      <c r="F3484"/>
    </row>
    <row r="3485" spans="1:6">
      <c r="A3485"/>
      <c r="B3485"/>
      <c r="C3485"/>
      <c r="D3485"/>
      <c r="E3485"/>
      <c r="F3485"/>
    </row>
    <row r="3486" spans="1:6">
      <c r="A3486"/>
      <c r="B3486"/>
      <c r="C3486"/>
      <c r="D3486"/>
      <c r="E3486"/>
      <c r="F3486"/>
    </row>
    <row r="3487" spans="1:6">
      <c r="A3487"/>
      <c r="B3487"/>
      <c r="C3487"/>
      <c r="D3487"/>
      <c r="E3487"/>
      <c r="F3487"/>
    </row>
    <row r="3488" spans="1:6">
      <c r="A3488"/>
      <c r="B3488"/>
      <c r="C3488"/>
      <c r="D3488"/>
      <c r="E3488"/>
      <c r="F3488"/>
    </row>
    <row r="3489" spans="1:6">
      <c r="A3489"/>
      <c r="B3489"/>
      <c r="C3489"/>
      <c r="D3489"/>
      <c r="E3489"/>
      <c r="F3489"/>
    </row>
    <row r="3490" spans="1:6">
      <c r="A3490"/>
      <c r="B3490"/>
      <c r="C3490"/>
      <c r="D3490"/>
      <c r="E3490"/>
      <c r="F3490"/>
    </row>
    <row r="3491" spans="1:6">
      <c r="A3491"/>
      <c r="B3491"/>
      <c r="C3491"/>
      <c r="D3491"/>
      <c r="E3491"/>
      <c r="F3491"/>
    </row>
    <row r="3492" spans="1:6">
      <c r="A3492"/>
      <c r="B3492"/>
      <c r="C3492"/>
      <c r="D3492"/>
      <c r="E3492"/>
      <c r="F3492"/>
    </row>
    <row r="3493" spans="1:6">
      <c r="A3493"/>
      <c r="B3493"/>
      <c r="C3493"/>
      <c r="D3493"/>
      <c r="E3493"/>
      <c r="F3493"/>
    </row>
    <row r="3494" spans="1:6">
      <c r="A3494"/>
      <c r="B3494"/>
      <c r="C3494"/>
      <c r="D3494"/>
      <c r="E3494"/>
      <c r="F3494"/>
    </row>
    <row r="3495" spans="1:6">
      <c r="A3495"/>
      <c r="B3495"/>
      <c r="C3495"/>
      <c r="D3495"/>
      <c r="E3495"/>
      <c r="F3495"/>
    </row>
    <row r="3496" spans="1:6">
      <c r="A3496"/>
      <c r="B3496"/>
      <c r="C3496"/>
      <c r="D3496"/>
      <c r="E3496"/>
      <c r="F3496"/>
    </row>
    <row r="3497" spans="1:6">
      <c r="A3497"/>
      <c r="B3497"/>
      <c r="C3497"/>
      <c r="D3497"/>
      <c r="E3497"/>
      <c r="F3497"/>
    </row>
    <row r="3498" spans="1:6">
      <c r="A3498"/>
      <c r="B3498"/>
      <c r="C3498"/>
      <c r="D3498"/>
      <c r="E3498"/>
      <c r="F3498"/>
    </row>
    <row r="3499" spans="1:6">
      <c r="A3499"/>
      <c r="B3499"/>
      <c r="C3499"/>
      <c r="D3499"/>
      <c r="E3499"/>
      <c r="F3499"/>
    </row>
    <row r="3500" spans="1:6">
      <c r="A3500"/>
      <c r="B3500"/>
      <c r="C3500"/>
      <c r="D3500"/>
      <c r="E3500"/>
      <c r="F3500"/>
    </row>
    <row r="3501" spans="1:6">
      <c r="A3501"/>
      <c r="B3501"/>
      <c r="C3501"/>
      <c r="D3501"/>
      <c r="E3501"/>
      <c r="F3501"/>
    </row>
    <row r="3502" spans="1:6">
      <c r="A3502"/>
      <c r="B3502"/>
      <c r="C3502"/>
      <c r="D3502"/>
      <c r="E3502"/>
      <c r="F3502"/>
    </row>
    <row r="3503" spans="1:6">
      <c r="A3503"/>
      <c r="B3503"/>
      <c r="C3503"/>
      <c r="D3503"/>
      <c r="E3503"/>
      <c r="F3503"/>
    </row>
    <row r="3504" spans="1:6">
      <c r="A3504"/>
      <c r="B3504"/>
      <c r="C3504"/>
      <c r="D3504"/>
      <c r="E3504"/>
      <c r="F3504"/>
    </row>
    <row r="3505" spans="1:6">
      <c r="A3505"/>
      <c r="B3505"/>
      <c r="C3505"/>
      <c r="D3505"/>
      <c r="E3505"/>
      <c r="F3505"/>
    </row>
    <row r="3506" spans="1:6">
      <c r="A3506"/>
      <c r="B3506"/>
      <c r="C3506"/>
      <c r="D3506"/>
      <c r="E3506"/>
      <c r="F3506"/>
    </row>
    <row r="3507" spans="1:6">
      <c r="A3507"/>
      <c r="B3507"/>
      <c r="C3507"/>
      <c r="D3507"/>
      <c r="E3507"/>
      <c r="F3507"/>
    </row>
    <row r="3508" spans="1:6">
      <c r="A3508"/>
      <c r="B3508"/>
      <c r="C3508"/>
      <c r="D3508"/>
      <c r="E3508"/>
      <c r="F3508"/>
    </row>
    <row r="3509" spans="1:6">
      <c r="A3509"/>
      <c r="B3509"/>
      <c r="C3509"/>
      <c r="D3509"/>
      <c r="E3509"/>
      <c r="F3509"/>
    </row>
    <row r="3510" spans="1:6">
      <c r="A3510"/>
      <c r="B3510"/>
      <c r="C3510"/>
      <c r="D3510"/>
      <c r="E3510"/>
      <c r="F3510"/>
    </row>
    <row r="3511" spans="1:6">
      <c r="A3511"/>
      <c r="B3511"/>
      <c r="C3511"/>
      <c r="D3511"/>
      <c r="E3511"/>
      <c r="F3511"/>
    </row>
    <row r="3512" spans="1:6">
      <c r="A3512"/>
      <c r="B3512"/>
      <c r="C3512"/>
      <c r="D3512"/>
      <c r="E3512"/>
      <c r="F3512"/>
    </row>
    <row r="3513" spans="1:6">
      <c r="A3513"/>
      <c r="B3513"/>
      <c r="C3513"/>
      <c r="D3513"/>
      <c r="E3513"/>
      <c r="F3513"/>
    </row>
    <row r="3514" spans="1:6">
      <c r="A3514"/>
      <c r="B3514"/>
      <c r="C3514"/>
      <c r="D3514"/>
      <c r="E3514"/>
      <c r="F3514"/>
    </row>
    <row r="3515" spans="1:6">
      <c r="A3515"/>
      <c r="B3515"/>
      <c r="C3515"/>
      <c r="D3515"/>
      <c r="E3515"/>
      <c r="F3515"/>
    </row>
    <row r="3516" spans="1:6">
      <c r="A3516"/>
      <c r="B3516"/>
      <c r="C3516"/>
      <c r="D3516"/>
      <c r="E3516"/>
      <c r="F3516"/>
    </row>
    <row r="3517" spans="1:6">
      <c r="A3517"/>
      <c r="B3517"/>
      <c r="C3517"/>
      <c r="D3517"/>
      <c r="E3517"/>
      <c r="F3517"/>
    </row>
    <row r="3518" spans="1:6">
      <c r="A3518"/>
      <c r="B3518"/>
      <c r="C3518"/>
      <c r="D3518"/>
      <c r="E3518"/>
      <c r="F3518"/>
    </row>
    <row r="3519" spans="1:6">
      <c r="A3519"/>
      <c r="B3519"/>
      <c r="C3519"/>
      <c r="D3519"/>
      <c r="E3519"/>
      <c r="F3519"/>
    </row>
    <row r="3520" spans="1:6">
      <c r="A3520"/>
      <c r="B3520"/>
      <c r="C3520"/>
      <c r="D3520"/>
      <c r="E3520"/>
      <c r="F3520"/>
    </row>
    <row r="3521" spans="1:6">
      <c r="A3521"/>
      <c r="B3521"/>
      <c r="C3521"/>
      <c r="D3521"/>
      <c r="E3521"/>
      <c r="F3521"/>
    </row>
    <row r="3522" spans="1:6">
      <c r="A3522"/>
      <c r="B3522"/>
      <c r="C3522"/>
      <c r="D3522"/>
      <c r="E3522"/>
      <c r="F3522"/>
    </row>
    <row r="3523" spans="1:6">
      <c r="A3523"/>
      <c r="B3523"/>
      <c r="C3523"/>
      <c r="D3523"/>
      <c r="E3523"/>
      <c r="F3523"/>
    </row>
    <row r="3524" spans="1:6">
      <c r="A3524"/>
      <c r="B3524"/>
      <c r="C3524"/>
      <c r="D3524"/>
      <c r="E3524"/>
      <c r="F3524"/>
    </row>
    <row r="3525" spans="1:6">
      <c r="A3525"/>
      <c r="B3525"/>
      <c r="C3525"/>
      <c r="D3525"/>
      <c r="E3525"/>
      <c r="F3525"/>
    </row>
    <row r="3526" spans="1:6">
      <c r="A3526"/>
      <c r="B3526"/>
      <c r="C3526"/>
      <c r="D3526"/>
      <c r="E3526"/>
      <c r="F3526"/>
    </row>
    <row r="3527" spans="1:6">
      <c r="A3527"/>
      <c r="B3527"/>
      <c r="C3527"/>
      <c r="D3527"/>
      <c r="E3527"/>
      <c r="F3527"/>
    </row>
    <row r="3528" spans="1:6">
      <c r="A3528"/>
      <c r="B3528"/>
      <c r="C3528"/>
      <c r="D3528"/>
      <c r="E3528"/>
      <c r="F3528"/>
    </row>
    <row r="3529" spans="1:6">
      <c r="A3529"/>
      <c r="B3529"/>
      <c r="C3529"/>
      <c r="D3529"/>
      <c r="E3529"/>
      <c r="F3529"/>
    </row>
    <row r="3530" spans="1:6">
      <c r="A3530"/>
      <c r="B3530"/>
      <c r="C3530"/>
      <c r="D3530"/>
      <c r="E3530"/>
      <c r="F3530"/>
    </row>
    <row r="3531" spans="1:6">
      <c r="A3531"/>
      <c r="B3531"/>
      <c r="C3531"/>
      <c r="D3531"/>
      <c r="E3531"/>
      <c r="F3531"/>
    </row>
    <row r="3532" spans="1:6">
      <c r="A3532"/>
      <c r="B3532"/>
      <c r="C3532"/>
      <c r="D3532"/>
      <c r="E3532"/>
      <c r="F3532"/>
    </row>
    <row r="3533" spans="1:6">
      <c r="A3533"/>
      <c r="B3533"/>
      <c r="C3533"/>
      <c r="D3533"/>
      <c r="E3533"/>
      <c r="F3533"/>
    </row>
    <row r="3534" spans="1:6">
      <c r="A3534"/>
      <c r="B3534"/>
      <c r="C3534"/>
      <c r="D3534"/>
      <c r="E3534"/>
      <c r="F3534"/>
    </row>
    <row r="3535" spans="1:6">
      <c r="A3535"/>
      <c r="B3535"/>
      <c r="C3535"/>
      <c r="D3535"/>
      <c r="E3535"/>
      <c r="F3535"/>
    </row>
    <row r="3536" spans="1:6">
      <c r="A3536"/>
      <c r="B3536"/>
      <c r="C3536"/>
      <c r="D3536"/>
      <c r="E3536"/>
      <c r="F3536"/>
    </row>
    <row r="3537" spans="1:6">
      <c r="A3537"/>
      <c r="B3537"/>
      <c r="C3537"/>
      <c r="D3537"/>
      <c r="E3537"/>
      <c r="F3537"/>
    </row>
    <row r="3538" spans="1:6">
      <c r="A3538"/>
      <c r="B3538"/>
      <c r="C3538"/>
      <c r="D3538"/>
      <c r="E3538"/>
      <c r="F3538"/>
    </row>
    <row r="3539" spans="1:6">
      <c r="A3539"/>
      <c r="B3539"/>
      <c r="C3539"/>
      <c r="D3539"/>
      <c r="E3539"/>
      <c r="F3539"/>
    </row>
    <row r="3540" spans="1:6">
      <c r="A3540"/>
      <c r="B3540"/>
      <c r="C3540"/>
      <c r="D3540"/>
      <c r="E3540"/>
      <c r="F3540"/>
    </row>
    <row r="3541" spans="1:6">
      <c r="A3541"/>
      <c r="B3541"/>
      <c r="C3541"/>
      <c r="D3541"/>
      <c r="E3541"/>
      <c r="F3541"/>
    </row>
    <row r="3542" spans="1:6">
      <c r="A3542"/>
      <c r="B3542"/>
      <c r="C3542"/>
      <c r="D3542"/>
      <c r="E3542"/>
      <c r="F3542"/>
    </row>
    <row r="3543" spans="1:6">
      <c r="A3543"/>
      <c r="B3543"/>
      <c r="C3543"/>
      <c r="D3543"/>
      <c r="E3543"/>
      <c r="F3543"/>
    </row>
    <row r="3544" spans="1:6">
      <c r="A3544"/>
      <c r="B3544"/>
      <c r="C3544"/>
      <c r="D3544"/>
      <c r="E3544"/>
      <c r="F3544"/>
    </row>
    <row r="3545" spans="1:6">
      <c r="A3545"/>
      <c r="B3545"/>
      <c r="C3545"/>
      <c r="D3545"/>
      <c r="E3545"/>
      <c r="F3545"/>
    </row>
    <row r="3546" spans="1:6">
      <c r="A3546"/>
      <c r="B3546"/>
      <c r="C3546"/>
      <c r="D3546"/>
      <c r="E3546"/>
      <c r="F3546"/>
    </row>
    <row r="3547" spans="1:6">
      <c r="A3547"/>
      <c r="B3547"/>
      <c r="C3547"/>
      <c r="D3547"/>
      <c r="E3547"/>
      <c r="F3547"/>
    </row>
    <row r="3548" spans="1:6">
      <c r="A3548"/>
      <c r="B3548"/>
      <c r="C3548"/>
      <c r="D3548"/>
      <c r="E3548"/>
      <c r="F3548"/>
    </row>
    <row r="3549" spans="1:6">
      <c r="A3549"/>
      <c r="B3549"/>
      <c r="C3549"/>
      <c r="D3549"/>
      <c r="E3549"/>
      <c r="F3549"/>
    </row>
    <row r="3550" spans="1:6">
      <c r="A3550"/>
      <c r="B3550"/>
      <c r="C3550"/>
      <c r="D3550"/>
      <c r="E3550"/>
      <c r="F3550"/>
    </row>
    <row r="3551" spans="1:6">
      <c r="A3551"/>
      <c r="B3551"/>
      <c r="C3551"/>
      <c r="D3551"/>
      <c r="E3551"/>
      <c r="F3551"/>
    </row>
    <row r="3552" spans="1:6">
      <c r="A3552"/>
      <c r="B3552"/>
      <c r="C3552"/>
      <c r="D3552"/>
      <c r="E3552"/>
      <c r="F3552"/>
    </row>
    <row r="3553" spans="1:6">
      <c r="A3553"/>
      <c r="B3553"/>
      <c r="C3553"/>
      <c r="D3553"/>
      <c r="E3553"/>
      <c r="F3553"/>
    </row>
    <row r="3554" spans="1:6">
      <c r="A3554"/>
      <c r="B3554"/>
      <c r="C3554"/>
      <c r="D3554"/>
      <c r="E3554"/>
      <c r="F3554"/>
    </row>
    <row r="3555" spans="1:6">
      <c r="A3555"/>
      <c r="B3555"/>
      <c r="C3555"/>
      <c r="D3555"/>
      <c r="E3555"/>
      <c r="F3555"/>
    </row>
    <row r="3556" spans="1:6">
      <c r="A3556"/>
      <c r="B3556"/>
      <c r="C3556"/>
      <c r="D3556"/>
      <c r="E3556"/>
      <c r="F3556"/>
    </row>
    <row r="3557" spans="1:6">
      <c r="A3557"/>
      <c r="B3557"/>
      <c r="C3557"/>
      <c r="D3557"/>
      <c r="E3557"/>
      <c r="F3557"/>
    </row>
    <row r="3558" spans="1:6">
      <c r="A3558"/>
      <c r="B3558"/>
      <c r="C3558"/>
      <c r="D3558"/>
      <c r="E3558"/>
      <c r="F3558"/>
    </row>
    <row r="3559" spans="1:6">
      <c r="A3559"/>
      <c r="B3559"/>
      <c r="C3559"/>
      <c r="D3559"/>
      <c r="E3559"/>
      <c r="F3559"/>
    </row>
    <row r="3560" spans="1:6">
      <c r="A3560"/>
      <c r="B3560"/>
      <c r="C3560"/>
      <c r="D3560"/>
      <c r="E3560"/>
      <c r="F3560"/>
    </row>
    <row r="3561" spans="1:6">
      <c r="A3561"/>
      <c r="B3561"/>
      <c r="C3561"/>
      <c r="D3561"/>
      <c r="E3561"/>
      <c r="F3561"/>
    </row>
    <row r="3562" spans="1:6">
      <c r="A3562"/>
      <c r="B3562"/>
      <c r="C3562"/>
      <c r="D3562"/>
      <c r="E3562"/>
      <c r="F3562"/>
    </row>
    <row r="3563" spans="1:6">
      <c r="A3563"/>
      <c r="B3563"/>
      <c r="C3563"/>
      <c r="D3563"/>
      <c r="E3563"/>
      <c r="F3563"/>
    </row>
    <row r="3564" spans="1:6">
      <c r="A3564"/>
      <c r="B3564"/>
      <c r="C3564"/>
      <c r="D3564"/>
      <c r="E3564"/>
      <c r="F3564"/>
    </row>
    <row r="3565" spans="1:6">
      <c r="A3565"/>
      <c r="B3565"/>
      <c r="C3565"/>
      <c r="D3565"/>
      <c r="E3565"/>
      <c r="F3565"/>
    </row>
    <row r="3566" spans="1:6">
      <c r="A3566"/>
      <c r="B3566"/>
      <c r="C3566"/>
      <c r="D3566"/>
      <c r="E3566"/>
      <c r="F3566"/>
    </row>
    <row r="3567" spans="1:6">
      <c r="A3567"/>
      <c r="B3567"/>
      <c r="C3567"/>
      <c r="D3567"/>
      <c r="E3567"/>
      <c r="F3567"/>
    </row>
    <row r="3568" spans="1:6">
      <c r="A3568"/>
      <c r="B3568"/>
      <c r="C3568"/>
      <c r="D3568"/>
      <c r="E3568"/>
      <c r="F3568"/>
    </row>
    <row r="3569" spans="1:6">
      <c r="A3569"/>
      <c r="B3569"/>
      <c r="C3569"/>
      <c r="D3569"/>
      <c r="E3569"/>
      <c r="F3569"/>
    </row>
    <row r="3570" spans="1:6">
      <c r="A3570"/>
      <c r="B3570"/>
      <c r="C3570"/>
      <c r="D3570"/>
      <c r="E3570"/>
      <c r="F3570"/>
    </row>
    <row r="3571" spans="1:6">
      <c r="A3571"/>
      <c r="B3571"/>
      <c r="C3571"/>
      <c r="D3571"/>
      <c r="E3571"/>
      <c r="F3571"/>
    </row>
    <row r="3572" spans="1:6">
      <c r="A3572"/>
      <c r="B3572"/>
      <c r="C3572"/>
      <c r="D3572"/>
      <c r="E3572"/>
      <c r="F3572"/>
    </row>
    <row r="3573" spans="1:6">
      <c r="A3573"/>
      <c r="B3573"/>
      <c r="C3573"/>
      <c r="D3573"/>
      <c r="E3573"/>
      <c r="F3573"/>
    </row>
    <row r="3574" spans="1:6">
      <c r="A3574"/>
      <c r="B3574"/>
      <c r="C3574"/>
      <c r="D3574"/>
      <c r="E3574"/>
      <c r="F3574"/>
    </row>
    <row r="3575" spans="1:6">
      <c r="A3575"/>
      <c r="B3575"/>
      <c r="C3575"/>
      <c r="D3575"/>
      <c r="E3575"/>
      <c r="F3575"/>
    </row>
    <row r="3576" spans="1:6">
      <c r="A3576"/>
      <c r="B3576"/>
      <c r="C3576"/>
      <c r="D3576"/>
      <c r="E3576"/>
      <c r="F3576"/>
    </row>
    <row r="3577" spans="1:6">
      <c r="A3577"/>
      <c r="B3577"/>
      <c r="C3577"/>
      <c r="D3577"/>
      <c r="E3577"/>
      <c r="F3577"/>
    </row>
    <row r="3578" spans="1:6">
      <c r="A3578"/>
      <c r="B3578"/>
      <c r="C3578"/>
      <c r="D3578"/>
      <c r="E3578"/>
      <c r="F3578"/>
    </row>
    <row r="3579" spans="1:6">
      <c r="A3579"/>
      <c r="B3579"/>
      <c r="C3579"/>
      <c r="D3579"/>
      <c r="E3579"/>
      <c r="F3579"/>
    </row>
    <row r="3580" spans="1:6">
      <c r="A3580"/>
      <c r="B3580"/>
      <c r="C3580"/>
      <c r="D3580"/>
      <c r="E3580"/>
      <c r="F3580"/>
    </row>
    <row r="3581" spans="1:6">
      <c r="A3581"/>
      <c r="B3581"/>
      <c r="C3581"/>
      <c r="D3581"/>
      <c r="E3581"/>
      <c r="F3581"/>
    </row>
    <row r="3582" spans="1:6">
      <c r="A3582"/>
      <c r="B3582"/>
      <c r="C3582"/>
      <c r="D3582"/>
      <c r="E3582"/>
      <c r="F3582"/>
    </row>
    <row r="3583" spans="1:6">
      <c r="A3583"/>
      <c r="B3583"/>
      <c r="C3583"/>
      <c r="D3583"/>
      <c r="E3583"/>
      <c r="F3583"/>
    </row>
    <row r="3584" spans="1:6">
      <c r="A3584"/>
      <c r="B3584"/>
      <c r="C3584"/>
      <c r="D3584"/>
      <c r="E3584"/>
      <c r="F3584"/>
    </row>
    <row r="3585" spans="1:6">
      <c r="A3585"/>
      <c r="B3585"/>
      <c r="C3585"/>
      <c r="D3585"/>
      <c r="E3585"/>
      <c r="F3585"/>
    </row>
    <row r="3586" spans="1:6">
      <c r="A3586"/>
      <c r="B3586"/>
      <c r="C3586"/>
      <c r="D3586"/>
      <c r="E3586"/>
      <c r="F3586"/>
    </row>
    <row r="3587" spans="1:6">
      <c r="A3587"/>
      <c r="B3587"/>
      <c r="C3587"/>
      <c r="D3587"/>
      <c r="E3587"/>
      <c r="F3587"/>
    </row>
    <row r="3588" spans="1:6">
      <c r="A3588"/>
      <c r="B3588"/>
      <c r="C3588"/>
      <c r="D3588"/>
      <c r="E3588"/>
      <c r="F3588"/>
    </row>
    <row r="3589" spans="1:6">
      <c r="A3589"/>
      <c r="B3589"/>
      <c r="C3589"/>
      <c r="D3589"/>
      <c r="E3589"/>
      <c r="F3589"/>
    </row>
    <row r="3590" spans="1:6">
      <c r="A3590"/>
      <c r="B3590"/>
      <c r="C3590"/>
      <c r="D3590"/>
      <c r="E3590"/>
      <c r="F3590"/>
    </row>
    <row r="3591" spans="1:6">
      <c r="A3591"/>
      <c r="B3591"/>
      <c r="C3591"/>
      <c r="D3591"/>
      <c r="E3591"/>
      <c r="F3591"/>
    </row>
    <row r="3592" spans="1:6">
      <c r="A3592"/>
      <c r="B3592"/>
      <c r="C3592"/>
      <c r="D3592"/>
      <c r="E3592"/>
      <c r="F3592"/>
    </row>
    <row r="3593" spans="1:6">
      <c r="A3593"/>
      <c r="B3593"/>
      <c r="C3593"/>
      <c r="D3593"/>
      <c r="E3593"/>
      <c r="F3593"/>
    </row>
    <row r="3594" spans="1:6">
      <c r="A3594"/>
      <c r="B3594"/>
      <c r="C3594"/>
      <c r="D3594"/>
      <c r="E3594"/>
      <c r="F3594"/>
    </row>
    <row r="3595" spans="1:6">
      <c r="A3595"/>
      <c r="B3595"/>
      <c r="C3595"/>
      <c r="D3595"/>
      <c r="E3595"/>
      <c r="F3595"/>
    </row>
    <row r="3596" spans="1:6">
      <c r="A3596"/>
      <c r="B3596"/>
      <c r="C3596"/>
      <c r="D3596"/>
      <c r="E3596"/>
      <c r="F3596"/>
    </row>
    <row r="3597" spans="1:6">
      <c r="A3597"/>
      <c r="B3597"/>
      <c r="C3597"/>
      <c r="D3597"/>
      <c r="E3597"/>
      <c r="F3597"/>
    </row>
    <row r="3598" spans="1:6">
      <c r="A3598"/>
      <c r="B3598"/>
      <c r="C3598"/>
      <c r="D3598"/>
      <c r="E3598"/>
      <c r="F3598"/>
    </row>
    <row r="3599" spans="1:6">
      <c r="A3599"/>
      <c r="B3599"/>
      <c r="C3599"/>
      <c r="D3599"/>
      <c r="E3599"/>
      <c r="F3599"/>
    </row>
    <row r="3600" spans="1:6">
      <c r="A3600"/>
      <c r="B3600"/>
      <c r="C3600"/>
      <c r="D3600"/>
      <c r="E3600"/>
      <c r="F3600"/>
    </row>
    <row r="3601" spans="1:6">
      <c r="A3601"/>
      <c r="B3601"/>
      <c r="C3601"/>
      <c r="D3601"/>
      <c r="E3601"/>
      <c r="F3601"/>
    </row>
    <row r="3602" spans="1:6">
      <c r="A3602"/>
      <c r="B3602"/>
      <c r="C3602"/>
      <c r="D3602"/>
      <c r="E3602"/>
      <c r="F3602"/>
    </row>
    <row r="3603" spans="1:6">
      <c r="A3603"/>
      <c r="B3603"/>
      <c r="C3603"/>
      <c r="D3603"/>
      <c r="E3603"/>
      <c r="F3603"/>
    </row>
    <row r="3604" spans="1:6">
      <c r="A3604"/>
      <c r="B3604"/>
      <c r="C3604"/>
      <c r="D3604"/>
      <c r="E3604"/>
      <c r="F3604"/>
    </row>
    <row r="3605" spans="1:6">
      <c r="A3605"/>
      <c r="B3605"/>
      <c r="C3605"/>
      <c r="D3605"/>
      <c r="E3605"/>
      <c r="F3605"/>
    </row>
    <row r="3606" spans="1:6">
      <c r="A3606"/>
      <c r="B3606"/>
      <c r="C3606"/>
      <c r="D3606"/>
      <c r="E3606"/>
      <c r="F3606"/>
    </row>
    <row r="3607" spans="1:6">
      <c r="A3607"/>
      <c r="B3607"/>
      <c r="C3607"/>
      <c r="D3607"/>
      <c r="E3607"/>
      <c r="F3607"/>
    </row>
    <row r="3608" spans="1:6">
      <c r="A3608"/>
      <c r="B3608"/>
      <c r="C3608"/>
      <c r="D3608"/>
      <c r="E3608"/>
      <c r="F3608"/>
    </row>
    <row r="3609" spans="1:6">
      <c r="A3609"/>
      <c r="B3609"/>
      <c r="C3609"/>
      <c r="D3609"/>
      <c r="E3609"/>
      <c r="F3609"/>
    </row>
    <row r="3610" spans="1:6">
      <c r="A3610"/>
      <c r="B3610"/>
      <c r="C3610"/>
      <c r="D3610"/>
      <c r="E3610"/>
      <c r="F3610"/>
    </row>
    <row r="3611" spans="1:6">
      <c r="A3611"/>
      <c r="B3611"/>
      <c r="C3611"/>
      <c r="D3611"/>
      <c r="E3611"/>
      <c r="F3611"/>
    </row>
    <row r="3612" spans="1:6">
      <c r="A3612"/>
      <c r="B3612"/>
      <c r="C3612"/>
      <c r="D3612"/>
      <c r="E3612"/>
      <c r="F3612"/>
    </row>
    <row r="3613" spans="1:6">
      <c r="A3613"/>
      <c r="B3613"/>
      <c r="C3613"/>
      <c r="D3613"/>
      <c r="E3613"/>
      <c r="F3613"/>
    </row>
    <row r="3614" spans="1:6">
      <c r="A3614"/>
      <c r="B3614"/>
      <c r="C3614"/>
      <c r="D3614"/>
      <c r="E3614"/>
      <c r="F3614"/>
    </row>
    <row r="3615" spans="1:6">
      <c r="A3615"/>
      <c r="B3615"/>
      <c r="C3615"/>
      <c r="D3615"/>
      <c r="E3615"/>
      <c r="F3615"/>
    </row>
    <row r="3616" spans="1:6">
      <c r="A3616"/>
      <c r="B3616"/>
      <c r="C3616"/>
      <c r="D3616"/>
      <c r="E3616"/>
      <c r="F3616"/>
    </row>
    <row r="3617" spans="1:6">
      <c r="A3617"/>
      <c r="B3617"/>
      <c r="C3617"/>
      <c r="D3617"/>
      <c r="E3617"/>
      <c r="F3617"/>
    </row>
    <row r="3618" spans="1:6">
      <c r="A3618"/>
      <c r="B3618"/>
      <c r="C3618"/>
      <c r="D3618"/>
      <c r="E3618"/>
      <c r="F3618"/>
    </row>
    <row r="3619" spans="1:6">
      <c r="A3619"/>
      <c r="B3619"/>
      <c r="C3619"/>
      <c r="D3619"/>
      <c r="E3619"/>
      <c r="F3619"/>
    </row>
    <row r="3620" spans="1:6">
      <c r="A3620"/>
      <c r="B3620"/>
      <c r="C3620"/>
      <c r="D3620"/>
      <c r="E3620"/>
      <c r="F3620"/>
    </row>
    <row r="3621" spans="1:6">
      <c r="A3621"/>
      <c r="B3621"/>
      <c r="C3621"/>
      <c r="D3621"/>
      <c r="E3621"/>
      <c r="F3621"/>
    </row>
    <row r="3622" spans="1:6">
      <c r="A3622"/>
      <c r="B3622"/>
      <c r="C3622"/>
      <c r="D3622"/>
      <c r="E3622"/>
      <c r="F3622"/>
    </row>
    <row r="3623" spans="1:6">
      <c r="A3623"/>
      <c r="B3623"/>
      <c r="C3623"/>
      <c r="D3623"/>
      <c r="E3623"/>
      <c r="F3623"/>
    </row>
    <row r="3624" spans="1:6">
      <c r="A3624"/>
      <c r="B3624"/>
      <c r="C3624"/>
      <c r="D3624"/>
      <c r="E3624"/>
      <c r="F3624"/>
    </row>
    <row r="3625" spans="1:6">
      <c r="A3625"/>
      <c r="B3625"/>
      <c r="C3625"/>
      <c r="D3625"/>
      <c r="E3625"/>
      <c r="F3625"/>
    </row>
    <row r="3626" spans="1:6">
      <c r="A3626"/>
      <c r="B3626"/>
      <c r="C3626"/>
      <c r="D3626"/>
      <c r="E3626"/>
      <c r="F3626"/>
    </row>
    <row r="3627" spans="1:6">
      <c r="A3627"/>
      <c r="B3627"/>
      <c r="C3627"/>
      <c r="D3627"/>
      <c r="E3627"/>
      <c r="F3627"/>
    </row>
    <row r="3628" spans="1:6">
      <c r="A3628"/>
      <c r="B3628"/>
      <c r="C3628"/>
      <c r="D3628"/>
      <c r="E3628"/>
      <c r="F3628"/>
    </row>
    <row r="3629" spans="1:6">
      <c r="A3629"/>
      <c r="B3629"/>
      <c r="C3629"/>
      <c r="D3629"/>
      <c r="E3629"/>
      <c r="F3629"/>
    </row>
    <row r="3630" spans="1:6">
      <c r="A3630"/>
      <c r="B3630"/>
      <c r="C3630"/>
      <c r="D3630"/>
      <c r="E3630"/>
      <c r="F3630"/>
    </row>
    <row r="3631" spans="1:6">
      <c r="A3631"/>
      <c r="B3631"/>
      <c r="C3631"/>
      <c r="D3631"/>
      <c r="E3631"/>
      <c r="F3631"/>
    </row>
    <row r="3632" spans="1:6">
      <c r="A3632"/>
      <c r="B3632"/>
      <c r="C3632"/>
      <c r="D3632"/>
      <c r="E3632"/>
      <c r="F3632"/>
    </row>
    <row r="3633" spans="1:6">
      <c r="A3633"/>
      <c r="B3633"/>
      <c r="C3633"/>
      <c r="D3633"/>
      <c r="E3633"/>
      <c r="F3633"/>
    </row>
    <row r="3634" spans="1:6">
      <c r="A3634"/>
      <c r="B3634"/>
      <c r="C3634"/>
      <c r="D3634"/>
      <c r="E3634"/>
      <c r="F3634"/>
    </row>
    <row r="3635" spans="1:6">
      <c r="A3635"/>
      <c r="B3635"/>
      <c r="C3635"/>
      <c r="D3635"/>
      <c r="E3635"/>
      <c r="F3635"/>
    </row>
    <row r="3636" spans="1:6">
      <c r="A3636"/>
      <c r="B3636"/>
      <c r="C3636"/>
      <c r="D3636"/>
      <c r="E3636"/>
      <c r="F3636"/>
    </row>
    <row r="3637" spans="1:6">
      <c r="A3637"/>
      <c r="B3637"/>
      <c r="C3637"/>
      <c r="D3637"/>
      <c r="E3637"/>
      <c r="F3637"/>
    </row>
    <row r="3638" spans="1:6">
      <c r="A3638"/>
      <c r="B3638"/>
      <c r="C3638"/>
      <c r="D3638"/>
      <c r="E3638"/>
      <c r="F3638"/>
    </row>
    <row r="3639" spans="1:6">
      <c r="A3639"/>
      <c r="B3639"/>
      <c r="C3639"/>
      <c r="D3639"/>
      <c r="E3639"/>
      <c r="F3639"/>
    </row>
    <row r="3640" spans="1:6">
      <c r="A3640"/>
      <c r="B3640"/>
      <c r="C3640"/>
      <c r="D3640"/>
      <c r="E3640"/>
      <c r="F3640"/>
    </row>
    <row r="3641" spans="1:6">
      <c r="A3641"/>
      <c r="B3641"/>
      <c r="C3641"/>
      <c r="D3641"/>
      <c r="E3641"/>
      <c r="F3641"/>
    </row>
    <row r="3642" spans="1:6">
      <c r="A3642"/>
      <c r="B3642"/>
      <c r="C3642"/>
      <c r="D3642"/>
      <c r="E3642"/>
      <c r="F3642"/>
    </row>
    <row r="3643" spans="1:6">
      <c r="A3643"/>
      <c r="B3643"/>
      <c r="C3643"/>
      <c r="D3643"/>
      <c r="E3643"/>
      <c r="F3643"/>
    </row>
    <row r="3644" spans="1:6">
      <c r="A3644"/>
      <c r="B3644"/>
      <c r="C3644"/>
      <c r="D3644"/>
      <c r="E3644"/>
      <c r="F3644"/>
    </row>
    <row r="3645" spans="1:6">
      <c r="A3645"/>
      <c r="B3645"/>
      <c r="C3645"/>
      <c r="D3645"/>
      <c r="E3645"/>
      <c r="F3645"/>
    </row>
    <row r="3646" spans="1:6">
      <c r="A3646"/>
      <c r="B3646"/>
      <c r="C3646"/>
      <c r="D3646"/>
      <c r="E3646"/>
      <c r="F3646"/>
    </row>
    <row r="3647" spans="1:6">
      <c r="A3647"/>
      <c r="B3647"/>
      <c r="C3647"/>
      <c r="D3647"/>
      <c r="E3647"/>
      <c r="F3647"/>
    </row>
    <row r="3648" spans="1:6">
      <c r="A3648"/>
      <c r="B3648"/>
      <c r="C3648"/>
      <c r="D3648"/>
      <c r="E3648"/>
      <c r="F3648"/>
    </row>
    <row r="3649" spans="1:6">
      <c r="A3649"/>
      <c r="B3649"/>
      <c r="C3649"/>
      <c r="D3649"/>
      <c r="E3649"/>
      <c r="F3649"/>
    </row>
    <row r="3650" spans="1:6">
      <c r="A3650"/>
      <c r="B3650"/>
      <c r="C3650"/>
      <c r="D3650"/>
      <c r="E3650"/>
      <c r="F3650"/>
    </row>
    <row r="3651" spans="1:6">
      <c r="A3651"/>
      <c r="B3651"/>
      <c r="C3651"/>
      <c r="D3651"/>
      <c r="E3651"/>
      <c r="F3651"/>
    </row>
    <row r="3652" spans="1:6">
      <c r="A3652"/>
      <c r="B3652"/>
      <c r="C3652"/>
      <c r="D3652"/>
      <c r="E3652"/>
      <c r="F3652"/>
    </row>
    <row r="3653" spans="1:6">
      <c r="A3653"/>
      <c r="B3653"/>
      <c r="C3653"/>
      <c r="D3653"/>
      <c r="E3653"/>
      <c r="F3653"/>
    </row>
    <row r="3654" spans="1:6">
      <c r="A3654"/>
      <c r="B3654"/>
      <c r="C3654"/>
      <c r="D3654"/>
      <c r="E3654"/>
      <c r="F3654"/>
    </row>
    <row r="3655" spans="1:6">
      <c r="A3655"/>
      <c r="B3655"/>
      <c r="C3655"/>
      <c r="D3655"/>
      <c r="E3655"/>
      <c r="F3655"/>
    </row>
    <row r="3656" spans="1:6">
      <c r="A3656"/>
      <c r="B3656"/>
      <c r="C3656"/>
      <c r="D3656"/>
      <c r="E3656"/>
      <c r="F3656"/>
    </row>
    <row r="3657" spans="1:6">
      <c r="A3657"/>
      <c r="B3657"/>
      <c r="C3657"/>
      <c r="D3657"/>
      <c r="E3657"/>
      <c r="F3657"/>
    </row>
    <row r="3658" spans="1:6">
      <c r="A3658"/>
      <c r="B3658"/>
      <c r="C3658"/>
      <c r="D3658"/>
      <c r="E3658"/>
      <c r="F3658"/>
    </row>
    <row r="3659" spans="1:6">
      <c r="A3659"/>
      <c r="B3659"/>
      <c r="C3659"/>
      <c r="D3659"/>
      <c r="E3659"/>
      <c r="F3659"/>
    </row>
    <row r="3660" spans="1:6">
      <c r="A3660"/>
      <c r="B3660"/>
      <c r="C3660"/>
      <c r="D3660"/>
      <c r="E3660"/>
      <c r="F3660"/>
    </row>
    <row r="3661" spans="1:6">
      <c r="A3661"/>
      <c r="B3661"/>
      <c r="C3661"/>
      <c r="D3661"/>
      <c r="E3661"/>
      <c r="F3661"/>
    </row>
    <row r="3662" spans="1:6">
      <c r="A3662"/>
      <c r="B3662"/>
      <c r="C3662"/>
      <c r="D3662"/>
      <c r="E3662"/>
      <c r="F3662"/>
    </row>
    <row r="3663" spans="1:6">
      <c r="A3663"/>
      <c r="B3663"/>
      <c r="C3663"/>
      <c r="D3663"/>
      <c r="E3663"/>
      <c r="F3663"/>
    </row>
    <row r="3664" spans="1:6">
      <c r="A3664"/>
      <c r="B3664"/>
      <c r="C3664"/>
      <c r="D3664"/>
      <c r="E3664"/>
      <c r="F3664"/>
    </row>
    <row r="3665" spans="1:6">
      <c r="A3665"/>
      <c r="B3665"/>
      <c r="C3665"/>
      <c r="D3665"/>
      <c r="E3665"/>
      <c r="F3665"/>
    </row>
    <row r="3666" spans="1:6">
      <c r="A3666"/>
      <c r="B3666"/>
      <c r="C3666"/>
      <c r="D3666"/>
      <c r="E3666"/>
      <c r="F3666"/>
    </row>
    <row r="3667" spans="1:6">
      <c r="A3667"/>
      <c r="B3667"/>
      <c r="C3667"/>
      <c r="D3667"/>
      <c r="E3667"/>
      <c r="F3667"/>
    </row>
    <row r="3668" spans="1:6">
      <c r="A3668"/>
      <c r="B3668"/>
      <c r="C3668"/>
      <c r="D3668"/>
      <c r="E3668"/>
      <c r="F3668"/>
    </row>
    <row r="3669" spans="1:6">
      <c r="A3669"/>
      <c r="B3669"/>
      <c r="C3669"/>
      <c r="D3669"/>
      <c r="E3669"/>
      <c r="F3669"/>
    </row>
    <row r="3670" spans="1:6">
      <c r="A3670"/>
      <c r="B3670"/>
      <c r="C3670"/>
      <c r="D3670"/>
      <c r="E3670"/>
      <c r="F3670"/>
    </row>
    <row r="3671" spans="1:6">
      <c r="A3671"/>
      <c r="B3671"/>
      <c r="C3671"/>
      <c r="D3671"/>
      <c r="E3671"/>
      <c r="F3671"/>
    </row>
    <row r="3672" spans="1:6">
      <c r="A3672"/>
      <c r="B3672"/>
      <c r="C3672"/>
      <c r="D3672"/>
      <c r="E3672"/>
      <c r="F3672"/>
    </row>
    <row r="3673" spans="1:6">
      <c r="A3673"/>
      <c r="B3673"/>
      <c r="C3673"/>
      <c r="D3673"/>
      <c r="E3673"/>
      <c r="F3673"/>
    </row>
    <row r="3674" spans="1:6">
      <c r="A3674"/>
      <c r="B3674"/>
      <c r="C3674"/>
      <c r="D3674"/>
      <c r="E3674"/>
      <c r="F3674"/>
    </row>
    <row r="3675" spans="1:6">
      <c r="A3675"/>
      <c r="B3675"/>
      <c r="C3675"/>
      <c r="D3675"/>
      <c r="E3675"/>
      <c r="F3675"/>
    </row>
    <row r="3676" spans="1:6">
      <c r="A3676"/>
      <c r="B3676"/>
      <c r="C3676"/>
      <c r="D3676"/>
      <c r="E3676"/>
      <c r="F3676"/>
    </row>
    <row r="3677" spans="1:6">
      <c r="A3677"/>
      <c r="B3677"/>
      <c r="C3677"/>
      <c r="D3677"/>
      <c r="E3677"/>
      <c r="F3677"/>
    </row>
    <row r="3678" spans="1:6">
      <c r="A3678"/>
      <c r="B3678"/>
      <c r="C3678"/>
      <c r="D3678"/>
      <c r="E3678"/>
      <c r="F3678"/>
    </row>
    <row r="3679" spans="1:6">
      <c r="A3679"/>
      <c r="B3679"/>
      <c r="C3679"/>
      <c r="D3679"/>
      <c r="E3679"/>
      <c r="F3679"/>
    </row>
    <row r="3680" spans="1:6">
      <c r="A3680"/>
      <c r="B3680"/>
      <c r="C3680"/>
      <c r="D3680"/>
      <c r="E3680"/>
      <c r="F3680"/>
    </row>
    <row r="3681" spans="1:6">
      <c r="A3681"/>
      <c r="B3681"/>
      <c r="C3681"/>
      <c r="D3681"/>
      <c r="E3681"/>
      <c r="F3681"/>
    </row>
    <row r="3682" spans="1:6">
      <c r="A3682"/>
      <c r="B3682"/>
      <c r="C3682"/>
      <c r="D3682"/>
      <c r="E3682"/>
      <c r="F3682"/>
    </row>
    <row r="3683" spans="1:6">
      <c r="A3683"/>
      <c r="B3683"/>
      <c r="C3683"/>
      <c r="D3683"/>
      <c r="E3683"/>
      <c r="F3683"/>
    </row>
    <row r="3684" spans="1:6">
      <c r="A3684"/>
      <c r="B3684"/>
      <c r="C3684"/>
      <c r="D3684"/>
      <c r="E3684"/>
      <c r="F3684"/>
    </row>
    <row r="3685" spans="1:6">
      <c r="A3685"/>
      <c r="B3685"/>
      <c r="C3685"/>
      <c r="D3685"/>
      <c r="E3685"/>
      <c r="F3685"/>
    </row>
    <row r="3686" spans="1:6">
      <c r="A3686"/>
      <c r="B3686"/>
      <c r="C3686"/>
      <c r="D3686"/>
      <c r="E3686"/>
      <c r="F3686"/>
    </row>
    <row r="3687" spans="1:6">
      <c r="A3687"/>
      <c r="B3687"/>
      <c r="C3687"/>
      <c r="D3687"/>
      <c r="E3687"/>
      <c r="F3687"/>
    </row>
    <row r="3688" spans="1:6">
      <c r="A3688"/>
      <c r="B3688"/>
      <c r="C3688"/>
      <c r="D3688"/>
      <c r="E3688"/>
      <c r="F3688"/>
    </row>
    <row r="3689" spans="1:6">
      <c r="A3689"/>
      <c r="B3689"/>
      <c r="C3689"/>
      <c r="D3689"/>
      <c r="E3689"/>
      <c r="F3689"/>
    </row>
    <row r="3690" spans="1:6">
      <c r="A3690"/>
      <c r="B3690"/>
      <c r="C3690"/>
      <c r="D3690"/>
      <c r="E3690"/>
      <c r="F3690"/>
    </row>
    <row r="3691" spans="1:6">
      <c r="A3691"/>
      <c r="B3691"/>
      <c r="C3691"/>
      <c r="D3691"/>
      <c r="E3691"/>
      <c r="F3691"/>
    </row>
    <row r="3692" spans="1:6">
      <c r="A3692"/>
      <c r="B3692"/>
      <c r="C3692"/>
      <c r="D3692"/>
      <c r="E3692"/>
      <c r="F3692"/>
    </row>
    <row r="3693" spans="1:6">
      <c r="A3693"/>
      <c r="B3693"/>
      <c r="C3693"/>
      <c r="D3693"/>
      <c r="E3693"/>
      <c r="F3693"/>
    </row>
    <row r="3694" spans="1:6">
      <c r="A3694"/>
      <c r="B3694"/>
      <c r="C3694"/>
      <c r="D3694"/>
      <c r="E3694"/>
      <c r="F3694"/>
    </row>
    <row r="3695" spans="1:6">
      <c r="A3695"/>
      <c r="B3695"/>
      <c r="C3695"/>
      <c r="D3695"/>
      <c r="E3695"/>
      <c r="F3695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X902"/>
  <sheetViews>
    <sheetView zoomScale="80" zoomScaleNormal="80" workbookViewId="0">
      <pane xSplit="17" ySplit="2" topLeftCell="R504" activePane="bottomRight" state="frozen"/>
      <selection pane="topRight" activeCell="L1" sqref="L1"/>
      <selection pane="bottomLeft" activeCell="A3" sqref="A3"/>
      <selection pane="bottomRight" activeCell="J776" sqref="J776"/>
    </sheetView>
  </sheetViews>
  <sheetFormatPr defaultColWidth="6.125" defaultRowHeight="13.5"/>
  <cols>
    <col min="1" max="16" width="6.25" style="1" customWidth="1"/>
    <col min="17" max="17" width="15.75" style="1" bestFit="1" customWidth="1"/>
    <col min="18" max="18" width="5.25" style="1" bestFit="1" customWidth="1"/>
    <col min="19" max="19" width="8.75" style="26" bestFit="1" customWidth="1"/>
    <col min="20" max="20" width="10.875" style="26" bestFit="1" customWidth="1"/>
    <col min="21" max="21" width="10" style="26" bestFit="1" customWidth="1"/>
    <col min="22" max="22" width="5.25" style="26" bestFit="1" customWidth="1"/>
    <col min="23" max="23" width="9.375" style="26" bestFit="1" customWidth="1"/>
    <col min="24" max="24" width="11.125" style="26" bestFit="1" customWidth="1"/>
    <col min="25" max="16384" width="6.125" style="1"/>
  </cols>
  <sheetData>
    <row r="1" spans="1:24" s="2" customFormat="1">
      <c r="A1" s="23" t="s">
        <v>11</v>
      </c>
      <c r="B1" s="23" t="s">
        <v>763</v>
      </c>
      <c r="C1" s="28" t="s">
        <v>785</v>
      </c>
      <c r="D1" s="28" t="s">
        <v>786</v>
      </c>
      <c r="E1" s="28" t="s">
        <v>794</v>
      </c>
      <c r="F1" s="28" t="s">
        <v>787</v>
      </c>
      <c r="G1" s="23" t="s">
        <v>761</v>
      </c>
      <c r="H1" s="23" t="s">
        <v>764</v>
      </c>
      <c r="I1" s="23" t="s">
        <v>765</v>
      </c>
      <c r="J1" s="23" t="s">
        <v>766</v>
      </c>
      <c r="K1" s="28" t="s">
        <v>760</v>
      </c>
      <c r="L1" s="28" t="s">
        <v>759</v>
      </c>
      <c r="M1" s="28" t="s">
        <v>769</v>
      </c>
      <c r="N1" s="28" t="s">
        <v>43</v>
      </c>
      <c r="O1" s="28" t="s">
        <v>784</v>
      </c>
      <c r="P1" s="23" t="s">
        <v>788</v>
      </c>
      <c r="Q1" s="20" t="s">
        <v>0</v>
      </c>
      <c r="R1" s="20" t="s">
        <v>13</v>
      </c>
      <c r="S1" s="27" t="s">
        <v>780</v>
      </c>
      <c r="T1" s="27" t="s">
        <v>771</v>
      </c>
      <c r="U1" s="27" t="s">
        <v>781</v>
      </c>
      <c r="V1" s="27" t="s">
        <v>782</v>
      </c>
      <c r="W1" s="27" t="s">
        <v>40</v>
      </c>
      <c r="X1" s="27" t="s">
        <v>41</v>
      </c>
    </row>
    <row r="2" spans="1:24">
      <c r="A2" s="24" t="str">
        <f>IF(OR(MID(Q2,8,1)="3",MID(Q2,8,1)="8"),"신규","러닝")</f>
        <v>신규</v>
      </c>
      <c r="B2" s="24" t="str">
        <f>IF(COUNTIF(Q$1:Q1,Q2)=0,"최초","리오더")</f>
        <v>최초</v>
      </c>
      <c r="C2" s="24" t="str">
        <f>IF($B2="리오더","",P2)</f>
        <v>ELSSBE3801</v>
      </c>
      <c r="D2" s="24">
        <f t="shared" ref="D2:D65" si="0">IF(C2="",0,1/COUNTIF(C:C,C2))</f>
        <v>0.33333333333333331</v>
      </c>
      <c r="E2" s="24" t="str">
        <f>IF($B2="리오더",P2,"")</f>
        <v/>
      </c>
      <c r="F2" s="24">
        <f t="shared" ref="F2:F65" si="1">IF(E2="",0,1/COUNTIF(E:E,E2))</f>
        <v>0</v>
      </c>
      <c r="G2" s="24" t="str">
        <f>IF($B2="리오더","",Q2)</f>
        <v>ELSSBE3801BK</v>
      </c>
      <c r="H2" s="24">
        <f t="shared" ref="H2:H65" si="2">IF(G2="",0,1/COUNTIF(G:G,G2))</f>
        <v>0.5</v>
      </c>
      <c r="I2" s="24" t="str">
        <f>IF($B2="리오더",Q2,"")</f>
        <v/>
      </c>
      <c r="J2" s="24">
        <f t="shared" ref="J2:J65" si="3">IF(I2="",0,1/COUNTIF(I:I,I2))</f>
        <v>0</v>
      </c>
      <c r="K2" s="24" t="str">
        <f>MID(Q2,6,2)</f>
        <v>E3</v>
      </c>
      <c r="L2" s="24" t="str">
        <f>VLOOKUP(N2,CODE!K:P,CODE!$P$1,FALSE)</f>
        <v>가방</v>
      </c>
      <c r="M2" s="24" t="str">
        <f>VLOOKUP(MID(Q2,1,3),CODE!$B:$G,CODE!D$1,FALSE)</f>
        <v>ELS</v>
      </c>
      <c r="N2" s="24" t="str">
        <f>MID(Q2,4,2)</f>
        <v>SB</v>
      </c>
      <c r="O2" s="29" t="str">
        <f>IF(ISERROR(IF(VLOOKUP($N2,CODE!$K:$P,CODE!$O$1,FALSE)="",$M2,$M2&amp;"-"&amp;VLOOKUP($N2,CODE!$K:$P,CODE!$O$1,FALSE)))=TRUE,"",IF(VLOOKUP($N2,CODE!$K:$P,CODE!$O$1,FALSE)="",$M2,$M2&amp;"-"&amp;VLOOKUP($N2,CODE!$K:$P,CODE!$O$1,FALSE)))</f>
        <v>ELS-가방</v>
      </c>
      <c r="P2" s="29" t="str">
        <f>MID(Q2,1,10)</f>
        <v>ELSSBE3801</v>
      </c>
      <c r="Q2" s="1" t="s">
        <v>797</v>
      </c>
      <c r="R2" s="1" t="s">
        <v>14</v>
      </c>
      <c r="S2" s="26">
        <v>500</v>
      </c>
      <c r="T2" s="26">
        <v>22500000</v>
      </c>
      <c r="U2" s="26">
        <v>5010000</v>
      </c>
      <c r="V2" s="26">
        <v>4.0827436037016875</v>
      </c>
      <c r="W2" s="26">
        <v>500</v>
      </c>
      <c r="X2" s="26">
        <v>0</v>
      </c>
    </row>
    <row r="3" spans="1:24">
      <c r="A3" s="24" t="str">
        <f t="shared" ref="A3:A66" si="4">IF(OR(MID(Q3,8,1)="3",MID(Q3,8,1)="8"),"신규","러닝")</f>
        <v>신규</v>
      </c>
      <c r="B3" s="24" t="str">
        <f>IF(COUNTIF(Q$1:Q2,Q3)=0,"최초","리오더")</f>
        <v>최초</v>
      </c>
      <c r="C3" s="24" t="str">
        <f t="shared" ref="C3:C66" si="5">IF($B3="리오더","",P3)</f>
        <v>ELSSBE3801</v>
      </c>
      <c r="D3" s="24">
        <f t="shared" si="0"/>
        <v>0.33333333333333331</v>
      </c>
      <c r="E3" s="24" t="str">
        <f t="shared" ref="E3:E66" si="6">IF($B3="리오더",P3,"")</f>
        <v/>
      </c>
      <c r="F3" s="24">
        <f t="shared" si="1"/>
        <v>0</v>
      </c>
      <c r="G3" s="24" t="str">
        <f t="shared" ref="G3:G66" si="7">IF($B3="리오더","",Q3)</f>
        <v>ELSSBE3801BL</v>
      </c>
      <c r="H3" s="24">
        <f t="shared" si="2"/>
        <v>1</v>
      </c>
      <c r="I3" s="24" t="str">
        <f t="shared" ref="I3:I66" si="8">IF($B3="리오더",Q3,"")</f>
        <v/>
      </c>
      <c r="J3" s="24">
        <f t="shared" si="3"/>
        <v>0</v>
      </c>
      <c r="K3" s="24" t="str">
        <f t="shared" ref="K3:K66" si="9">MID(Q3,6,2)</f>
        <v>E3</v>
      </c>
      <c r="L3" s="24" t="str">
        <f>VLOOKUP(N3,CODE!K:P,CODE!$P$1,FALSE)</f>
        <v>가방</v>
      </c>
      <c r="M3" s="24" t="str">
        <f>VLOOKUP(MID(Q3,1,3),CODE!$B:$G,CODE!D$1,FALSE)</f>
        <v>ELS</v>
      </c>
      <c r="N3" s="24" t="str">
        <f t="shared" ref="N3:N66" si="10">MID(Q3,4,2)</f>
        <v>SB</v>
      </c>
      <c r="O3" s="29" t="str">
        <f>IF(ISERROR(IF(VLOOKUP($N3,CODE!$K:$P,CODE!$O$1,FALSE)="",$M3,$M3&amp;"-"&amp;VLOOKUP($N3,CODE!$K:$P,CODE!$O$1,FALSE)))=TRUE,"",IF(VLOOKUP($N3,CODE!$K:$P,CODE!$O$1,FALSE)="",$M3,$M3&amp;"-"&amp;VLOOKUP($N3,CODE!$K:$P,CODE!$O$1,FALSE)))</f>
        <v>ELS-가방</v>
      </c>
      <c r="P3" s="29" t="str">
        <f t="shared" ref="P3:P66" si="11">MID(Q3,1,10)</f>
        <v>ELSSBE3801</v>
      </c>
      <c r="Q3" s="1" t="s">
        <v>798</v>
      </c>
      <c r="R3" s="1" t="s">
        <v>14</v>
      </c>
      <c r="S3" s="26">
        <v>500</v>
      </c>
      <c r="T3" s="26">
        <v>22500000</v>
      </c>
      <c r="U3" s="26">
        <v>5010000</v>
      </c>
      <c r="V3" s="26">
        <v>4.0827436037016875</v>
      </c>
      <c r="W3" s="26">
        <v>500</v>
      </c>
      <c r="X3" s="26">
        <v>0</v>
      </c>
    </row>
    <row r="4" spans="1:24">
      <c r="A4" s="24" t="str">
        <f t="shared" si="4"/>
        <v>신규</v>
      </c>
      <c r="B4" s="24" t="str">
        <f>IF(COUNTIF(Q$1:Q3,Q4)=0,"최초","리오더")</f>
        <v>최초</v>
      </c>
      <c r="C4" s="24" t="str">
        <f t="shared" si="5"/>
        <v>ELSSBE3802</v>
      </c>
      <c r="D4" s="24">
        <f t="shared" si="0"/>
        <v>1</v>
      </c>
      <c r="E4" s="24" t="str">
        <f t="shared" si="6"/>
        <v/>
      </c>
      <c r="F4" s="24">
        <f t="shared" si="1"/>
        <v>0</v>
      </c>
      <c r="G4" s="24" t="str">
        <f t="shared" si="7"/>
        <v>ELSSBE3802YE</v>
      </c>
      <c r="H4" s="24">
        <f t="shared" si="2"/>
        <v>1</v>
      </c>
      <c r="I4" s="24" t="str">
        <f t="shared" si="8"/>
        <v/>
      </c>
      <c r="J4" s="24">
        <f t="shared" si="3"/>
        <v>0</v>
      </c>
      <c r="K4" s="24" t="str">
        <f t="shared" si="9"/>
        <v>E3</v>
      </c>
      <c r="L4" s="24" t="str">
        <f>VLOOKUP(N4,CODE!K:P,CODE!$P$1,FALSE)</f>
        <v>가방</v>
      </c>
      <c r="M4" s="24" t="str">
        <f>VLOOKUP(MID(Q4,1,3),CODE!$B:$G,CODE!D$1,FALSE)</f>
        <v>ELS</v>
      </c>
      <c r="N4" s="24" t="str">
        <f t="shared" si="10"/>
        <v>SB</v>
      </c>
      <c r="O4" s="29" t="str">
        <f>IF(ISERROR(IF(VLOOKUP($N4,CODE!$K:$P,CODE!$O$1,FALSE)="",$M4,$M4&amp;"-"&amp;VLOOKUP($N4,CODE!$K:$P,CODE!$O$1,FALSE)))=TRUE,"",IF(VLOOKUP($N4,CODE!$K:$P,CODE!$O$1,FALSE)="",$M4,$M4&amp;"-"&amp;VLOOKUP($N4,CODE!$K:$P,CODE!$O$1,FALSE)))</f>
        <v>ELS-가방</v>
      </c>
      <c r="P4" s="29" t="str">
        <f t="shared" si="11"/>
        <v>ELSSBE3802</v>
      </c>
      <c r="Q4" s="1" t="s">
        <v>799</v>
      </c>
      <c r="R4" s="1" t="s">
        <v>14</v>
      </c>
      <c r="S4" s="26">
        <v>500</v>
      </c>
      <c r="T4" s="26">
        <v>22500000</v>
      </c>
      <c r="U4" s="26">
        <v>5010000</v>
      </c>
      <c r="V4" s="26">
        <v>4.0827436037016875</v>
      </c>
      <c r="W4" s="26">
        <v>500</v>
      </c>
      <c r="X4" s="26">
        <v>0</v>
      </c>
    </row>
    <row r="5" spans="1:24">
      <c r="A5" s="24" t="str">
        <f t="shared" si="4"/>
        <v>신규</v>
      </c>
      <c r="B5" s="24" t="str">
        <f>IF(COUNTIF(Q$1:Q4,Q5)=0,"최초","리오더")</f>
        <v>최초</v>
      </c>
      <c r="C5" s="24" t="str">
        <f t="shared" si="5"/>
        <v>ELSSBE3803</v>
      </c>
      <c r="D5" s="24">
        <f t="shared" si="0"/>
        <v>1</v>
      </c>
      <c r="E5" s="24" t="str">
        <f t="shared" si="6"/>
        <v/>
      </c>
      <c r="F5" s="24">
        <f t="shared" si="1"/>
        <v>0</v>
      </c>
      <c r="G5" s="24" t="str">
        <f t="shared" si="7"/>
        <v>ELSSBE3803PK</v>
      </c>
      <c r="H5" s="24">
        <f t="shared" si="2"/>
        <v>1</v>
      </c>
      <c r="I5" s="24" t="str">
        <f t="shared" si="8"/>
        <v/>
      </c>
      <c r="J5" s="24">
        <f t="shared" si="3"/>
        <v>0</v>
      </c>
      <c r="K5" s="24" t="str">
        <f t="shared" si="9"/>
        <v>E3</v>
      </c>
      <c r="L5" s="24" t="str">
        <f>VLOOKUP(N5,CODE!K:P,CODE!$P$1,FALSE)</f>
        <v>가방</v>
      </c>
      <c r="M5" s="24" t="str">
        <f>VLOOKUP(MID(Q5,1,3),CODE!$B:$G,CODE!D$1,FALSE)</f>
        <v>ELS</v>
      </c>
      <c r="N5" s="24" t="str">
        <f t="shared" si="10"/>
        <v>SB</v>
      </c>
      <c r="O5" s="29" t="str">
        <f>IF(ISERROR(IF(VLOOKUP($N5,CODE!$K:$P,CODE!$O$1,FALSE)="",$M5,$M5&amp;"-"&amp;VLOOKUP($N5,CODE!$K:$P,CODE!$O$1,FALSE)))=TRUE,"",IF(VLOOKUP($N5,CODE!$K:$P,CODE!$O$1,FALSE)="",$M5,$M5&amp;"-"&amp;VLOOKUP($N5,CODE!$K:$P,CODE!$O$1,FALSE)))</f>
        <v>ELS-가방</v>
      </c>
      <c r="P5" s="29" t="str">
        <f t="shared" si="11"/>
        <v>ELSSBE3803</v>
      </c>
      <c r="Q5" s="1" t="s">
        <v>800</v>
      </c>
      <c r="R5" s="1" t="s">
        <v>14</v>
      </c>
      <c r="S5" s="26">
        <v>500</v>
      </c>
      <c r="T5" s="26">
        <v>22500000</v>
      </c>
      <c r="U5" s="26">
        <v>5010000</v>
      </c>
      <c r="V5" s="26">
        <v>4.0827436037016875</v>
      </c>
      <c r="W5" s="26">
        <v>500</v>
      </c>
      <c r="X5" s="26">
        <v>0</v>
      </c>
    </row>
    <row r="6" spans="1:24">
      <c r="A6" s="24" t="str">
        <f t="shared" si="4"/>
        <v>신규</v>
      </c>
      <c r="B6" s="24" t="str">
        <f>IF(COUNTIF(Q$1:Q5,Q6)=0,"최초","리오더")</f>
        <v>최초</v>
      </c>
      <c r="C6" s="24" t="str">
        <f t="shared" si="5"/>
        <v>DAKBEE5301</v>
      </c>
      <c r="D6" s="24">
        <f t="shared" si="0"/>
        <v>1</v>
      </c>
      <c r="E6" s="24" t="str">
        <f t="shared" si="6"/>
        <v/>
      </c>
      <c r="F6" s="24">
        <f t="shared" si="1"/>
        <v>0</v>
      </c>
      <c r="G6" s="24" t="str">
        <f t="shared" si="7"/>
        <v>DAKBEE5301GY</v>
      </c>
      <c r="H6" s="24">
        <f t="shared" si="2"/>
        <v>1</v>
      </c>
      <c r="I6" s="24" t="str">
        <f t="shared" si="8"/>
        <v/>
      </c>
      <c r="J6" s="24">
        <f t="shared" si="3"/>
        <v>0</v>
      </c>
      <c r="K6" s="24" t="str">
        <f t="shared" si="9"/>
        <v>E5</v>
      </c>
      <c r="L6" s="24" t="str">
        <f>VLOOKUP(N6,CODE!K:P,CODE!$P$1,FALSE)</f>
        <v>모자</v>
      </c>
      <c r="M6" s="24" t="str">
        <f>VLOOKUP(MID(Q6,1,3),CODE!$B:$G,CODE!D$1,FALSE)</f>
        <v>DAK</v>
      </c>
      <c r="N6" s="24" t="str">
        <f t="shared" si="10"/>
        <v>BE</v>
      </c>
      <c r="O6" s="29" t="str">
        <f>IF(ISERROR(IF(VLOOKUP($N6,CODE!$K:$P,CODE!$O$1,FALSE)="",$M6,$M6&amp;"-"&amp;VLOOKUP($N6,CODE!$K:$P,CODE!$O$1,FALSE)))=TRUE,"",IF(VLOOKUP($N6,CODE!$K:$P,CODE!$O$1,FALSE)="",$M6,$M6&amp;"-"&amp;VLOOKUP($N6,CODE!$K:$P,CODE!$O$1,FALSE)))</f>
        <v>DAK</v>
      </c>
      <c r="P6" s="29" t="str">
        <f t="shared" si="11"/>
        <v>DAKBEE5301</v>
      </c>
      <c r="Q6" s="1" t="s">
        <v>801</v>
      </c>
      <c r="R6" s="1" t="s">
        <v>15</v>
      </c>
      <c r="S6" s="26">
        <v>360</v>
      </c>
      <c r="T6" s="26">
        <v>12600000</v>
      </c>
      <c r="U6" s="26">
        <v>3436363.6363636358</v>
      </c>
      <c r="V6" s="26">
        <v>3.3333333333333339</v>
      </c>
      <c r="W6" s="26">
        <v>0</v>
      </c>
      <c r="X6" s="26">
        <v>360</v>
      </c>
    </row>
    <row r="7" spans="1:24">
      <c r="A7" s="24" t="str">
        <f t="shared" si="4"/>
        <v>신규</v>
      </c>
      <c r="B7" s="24" t="str">
        <f>IF(COUNTIF(Q$1:Q6,Q7)=0,"최초","리오더")</f>
        <v>최초</v>
      </c>
      <c r="C7" s="24" t="str">
        <f t="shared" si="5"/>
        <v>DAKBEE5302</v>
      </c>
      <c r="D7" s="24">
        <f t="shared" si="0"/>
        <v>0.5</v>
      </c>
      <c r="E7" s="24" t="str">
        <f t="shared" si="6"/>
        <v/>
      </c>
      <c r="F7" s="24">
        <f t="shared" si="1"/>
        <v>0</v>
      </c>
      <c r="G7" s="24" t="str">
        <f t="shared" si="7"/>
        <v>DAKBEE5302BK</v>
      </c>
      <c r="H7" s="24">
        <f t="shared" si="2"/>
        <v>1</v>
      </c>
      <c r="I7" s="24" t="str">
        <f t="shared" si="8"/>
        <v/>
      </c>
      <c r="J7" s="24">
        <f t="shared" si="3"/>
        <v>0</v>
      </c>
      <c r="K7" s="24" t="str">
        <f t="shared" si="9"/>
        <v>E5</v>
      </c>
      <c r="L7" s="24" t="str">
        <f>VLOOKUP(N7,CODE!K:P,CODE!$P$1,FALSE)</f>
        <v>모자</v>
      </c>
      <c r="M7" s="24" t="str">
        <f>VLOOKUP(MID(Q7,1,3),CODE!$B:$G,CODE!D$1,FALSE)</f>
        <v>DAK</v>
      </c>
      <c r="N7" s="24" t="str">
        <f t="shared" si="10"/>
        <v>BE</v>
      </c>
      <c r="O7" s="29" t="str">
        <f>IF(ISERROR(IF(VLOOKUP($N7,CODE!$K:$P,CODE!$O$1,FALSE)="",$M7,$M7&amp;"-"&amp;VLOOKUP($N7,CODE!$K:$P,CODE!$O$1,FALSE)))=TRUE,"",IF(VLOOKUP($N7,CODE!$K:$P,CODE!$O$1,FALSE)="",$M7,$M7&amp;"-"&amp;VLOOKUP($N7,CODE!$K:$P,CODE!$O$1,FALSE)))</f>
        <v>DAK</v>
      </c>
      <c r="P7" s="29" t="str">
        <f t="shared" si="11"/>
        <v>DAKBEE5302</v>
      </c>
      <c r="Q7" s="1" t="s">
        <v>802</v>
      </c>
      <c r="R7" s="1" t="s">
        <v>15</v>
      </c>
      <c r="S7" s="26">
        <v>480</v>
      </c>
      <c r="T7" s="26">
        <v>13920000</v>
      </c>
      <c r="U7" s="26">
        <v>3796363.6363636358</v>
      </c>
      <c r="V7" s="26">
        <v>3.3333333333333339</v>
      </c>
      <c r="W7" s="26">
        <v>0</v>
      </c>
      <c r="X7" s="26">
        <v>480</v>
      </c>
    </row>
    <row r="8" spans="1:24">
      <c r="A8" s="24" t="str">
        <f t="shared" si="4"/>
        <v>신규</v>
      </c>
      <c r="B8" s="24" t="str">
        <f>IF(COUNTIF(Q$1:Q7,Q8)=0,"최초","리오더")</f>
        <v>최초</v>
      </c>
      <c r="C8" s="24" t="str">
        <f t="shared" si="5"/>
        <v>DAKBEE5302</v>
      </c>
      <c r="D8" s="24">
        <f t="shared" si="0"/>
        <v>0.5</v>
      </c>
      <c r="E8" s="24" t="str">
        <f t="shared" si="6"/>
        <v/>
      </c>
      <c r="F8" s="24">
        <f t="shared" si="1"/>
        <v>0</v>
      </c>
      <c r="G8" s="24" t="str">
        <f t="shared" si="7"/>
        <v>DAKBEE5302GY</v>
      </c>
      <c r="H8" s="24">
        <f t="shared" si="2"/>
        <v>1</v>
      </c>
      <c r="I8" s="24" t="str">
        <f t="shared" si="8"/>
        <v/>
      </c>
      <c r="J8" s="24">
        <f t="shared" si="3"/>
        <v>0</v>
      </c>
      <c r="K8" s="24" t="str">
        <f t="shared" si="9"/>
        <v>E5</v>
      </c>
      <c r="L8" s="24" t="str">
        <f>VLOOKUP(N8,CODE!K:P,CODE!$P$1,FALSE)</f>
        <v>모자</v>
      </c>
      <c r="M8" s="24" t="str">
        <f>VLOOKUP(MID(Q8,1,3),CODE!$B:$G,CODE!D$1,FALSE)</f>
        <v>DAK</v>
      </c>
      <c r="N8" s="24" t="str">
        <f t="shared" si="10"/>
        <v>BE</v>
      </c>
      <c r="O8" s="29" t="str">
        <f>IF(ISERROR(IF(VLOOKUP($N8,CODE!$K:$P,CODE!$O$1,FALSE)="",$M8,$M8&amp;"-"&amp;VLOOKUP($N8,CODE!$K:$P,CODE!$O$1,FALSE)))=TRUE,"",IF(VLOOKUP($N8,CODE!$K:$P,CODE!$O$1,FALSE)="",$M8,$M8&amp;"-"&amp;VLOOKUP($N8,CODE!$K:$P,CODE!$O$1,FALSE)))</f>
        <v>DAK</v>
      </c>
      <c r="P8" s="29" t="str">
        <f t="shared" si="11"/>
        <v>DAKBEE5302</v>
      </c>
      <c r="Q8" s="1" t="s">
        <v>803</v>
      </c>
      <c r="R8" s="1" t="s">
        <v>15</v>
      </c>
      <c r="S8" s="26">
        <v>480</v>
      </c>
      <c r="T8" s="26">
        <v>13920000</v>
      </c>
      <c r="U8" s="26">
        <v>3796363.6363636358</v>
      </c>
      <c r="V8" s="26">
        <v>3.3333333333333339</v>
      </c>
      <c r="W8" s="26">
        <v>0</v>
      </c>
      <c r="X8" s="26">
        <v>480</v>
      </c>
    </row>
    <row r="9" spans="1:24">
      <c r="A9" s="24" t="str">
        <f t="shared" si="4"/>
        <v>신규</v>
      </c>
      <c r="B9" s="24" t="str">
        <f>IF(COUNTIF(Q$1:Q8,Q9)=0,"최초","리오더")</f>
        <v>최초</v>
      </c>
      <c r="C9" s="24" t="str">
        <f t="shared" si="5"/>
        <v>DAKTPE5303</v>
      </c>
      <c r="D9" s="24">
        <f t="shared" si="0"/>
        <v>1</v>
      </c>
      <c r="E9" s="24" t="str">
        <f t="shared" si="6"/>
        <v/>
      </c>
      <c r="F9" s="24">
        <f t="shared" si="1"/>
        <v>0</v>
      </c>
      <c r="G9" s="24" t="str">
        <f t="shared" si="7"/>
        <v>DAKTPE5303RE</v>
      </c>
      <c r="H9" s="24">
        <f t="shared" si="2"/>
        <v>1</v>
      </c>
      <c r="I9" s="24" t="str">
        <f t="shared" si="8"/>
        <v/>
      </c>
      <c r="J9" s="24">
        <f t="shared" si="3"/>
        <v>0</v>
      </c>
      <c r="K9" s="24" t="str">
        <f t="shared" si="9"/>
        <v>E5</v>
      </c>
      <c r="L9" s="24" t="str">
        <f>VLOOKUP(N9,CODE!K:P,CODE!$P$1,FALSE)</f>
        <v>모자</v>
      </c>
      <c r="M9" s="24" t="str">
        <f>VLOOKUP(MID(Q9,1,3),CODE!$B:$G,CODE!D$1,FALSE)</f>
        <v>DAK</v>
      </c>
      <c r="N9" s="24" t="str">
        <f t="shared" si="10"/>
        <v>TP</v>
      </c>
      <c r="O9" s="29" t="str">
        <f>IF(ISERROR(IF(VLOOKUP($N9,CODE!$K:$P,CODE!$O$1,FALSE)="",$M9,$M9&amp;"-"&amp;VLOOKUP($N9,CODE!$K:$P,CODE!$O$1,FALSE)))=TRUE,"",IF(VLOOKUP($N9,CODE!$K:$P,CODE!$O$1,FALSE)="",$M9,$M9&amp;"-"&amp;VLOOKUP($N9,CODE!$K:$P,CODE!$O$1,FALSE)))</f>
        <v>DAK</v>
      </c>
      <c r="P9" s="29" t="str">
        <f t="shared" si="11"/>
        <v>DAKTPE5303</v>
      </c>
      <c r="Q9" s="1" t="s">
        <v>804</v>
      </c>
      <c r="R9" s="1" t="s">
        <v>15</v>
      </c>
      <c r="S9" s="26">
        <v>240</v>
      </c>
      <c r="T9" s="26">
        <v>14160000</v>
      </c>
      <c r="U9" s="26">
        <v>3861818.1818181816</v>
      </c>
      <c r="V9" s="26">
        <v>3.3333333333333335</v>
      </c>
      <c r="W9" s="26">
        <v>0</v>
      </c>
      <c r="X9" s="26">
        <v>240</v>
      </c>
    </row>
    <row r="10" spans="1:24">
      <c r="A10" s="24" t="str">
        <f t="shared" si="4"/>
        <v>신규</v>
      </c>
      <c r="B10" s="24" t="str">
        <f>IF(COUNTIF(Q$1:Q9,Q10)=0,"최초","리오더")</f>
        <v>최초</v>
      </c>
      <c r="C10" s="24" t="str">
        <f t="shared" si="5"/>
        <v>DAKBEE5304</v>
      </c>
      <c r="D10" s="24">
        <f t="shared" si="0"/>
        <v>1</v>
      </c>
      <c r="E10" s="24" t="str">
        <f t="shared" si="6"/>
        <v/>
      </c>
      <c r="F10" s="24">
        <f t="shared" si="1"/>
        <v>0</v>
      </c>
      <c r="G10" s="24" t="str">
        <f t="shared" si="7"/>
        <v>DAKBEE5304GY</v>
      </c>
      <c r="H10" s="24">
        <f t="shared" si="2"/>
        <v>1</v>
      </c>
      <c r="I10" s="24" t="str">
        <f t="shared" si="8"/>
        <v/>
      </c>
      <c r="J10" s="24">
        <f t="shared" si="3"/>
        <v>0</v>
      </c>
      <c r="K10" s="24" t="str">
        <f t="shared" si="9"/>
        <v>E5</v>
      </c>
      <c r="L10" s="24" t="str">
        <f>VLOOKUP(N10,CODE!K:P,CODE!$P$1,FALSE)</f>
        <v>모자</v>
      </c>
      <c r="M10" s="24" t="str">
        <f>VLOOKUP(MID(Q10,1,3),CODE!$B:$G,CODE!D$1,FALSE)</f>
        <v>DAK</v>
      </c>
      <c r="N10" s="24" t="str">
        <f t="shared" si="10"/>
        <v>BE</v>
      </c>
      <c r="O10" s="29" t="str">
        <f>IF(ISERROR(IF(VLOOKUP($N10,CODE!$K:$P,CODE!$O$1,FALSE)="",$M10,$M10&amp;"-"&amp;VLOOKUP($N10,CODE!$K:$P,CODE!$O$1,FALSE)))=TRUE,"",IF(VLOOKUP($N10,CODE!$K:$P,CODE!$O$1,FALSE)="",$M10,$M10&amp;"-"&amp;VLOOKUP($N10,CODE!$K:$P,CODE!$O$1,FALSE)))</f>
        <v>DAK</v>
      </c>
      <c r="P10" s="29" t="str">
        <f t="shared" si="11"/>
        <v>DAKBEE5304</v>
      </c>
      <c r="Q10" s="1" t="s">
        <v>805</v>
      </c>
      <c r="R10" s="1" t="s">
        <v>15</v>
      </c>
      <c r="S10" s="26">
        <v>360</v>
      </c>
      <c r="T10" s="26">
        <v>9000000</v>
      </c>
      <c r="U10" s="26">
        <v>2454545.4545454546</v>
      </c>
      <c r="V10" s="26">
        <v>3.3333333333333326</v>
      </c>
      <c r="W10" s="26">
        <v>0</v>
      </c>
      <c r="X10" s="26">
        <v>360</v>
      </c>
    </row>
    <row r="11" spans="1:24">
      <c r="A11" s="24" t="str">
        <f t="shared" si="4"/>
        <v>러닝</v>
      </c>
      <c r="B11" s="24" t="str">
        <f>IF(COUNTIF(Q$1:Q10,Q11)=0,"최초","리오더")</f>
        <v>최초</v>
      </c>
      <c r="C11" s="24" t="str">
        <f t="shared" si="5"/>
        <v>DAKBEE5004</v>
      </c>
      <c r="D11" s="24">
        <f t="shared" si="0"/>
        <v>0.5</v>
      </c>
      <c r="E11" s="24" t="str">
        <f t="shared" si="6"/>
        <v/>
      </c>
      <c r="F11" s="24">
        <f t="shared" si="1"/>
        <v>0</v>
      </c>
      <c r="G11" s="24" t="str">
        <f t="shared" si="7"/>
        <v>DAKBEE5004MT</v>
      </c>
      <c r="H11" s="24">
        <f t="shared" si="2"/>
        <v>1</v>
      </c>
      <c r="I11" s="24" t="str">
        <f t="shared" si="8"/>
        <v/>
      </c>
      <c r="J11" s="24">
        <f t="shared" si="3"/>
        <v>0</v>
      </c>
      <c r="K11" s="24" t="str">
        <f t="shared" si="9"/>
        <v>E5</v>
      </c>
      <c r="L11" s="24" t="str">
        <f>VLOOKUP(N11,CODE!K:P,CODE!$P$1,FALSE)</f>
        <v>모자</v>
      </c>
      <c r="M11" s="24" t="str">
        <f>VLOOKUP(MID(Q11,1,3),CODE!$B:$G,CODE!D$1,FALSE)</f>
        <v>DAK</v>
      </c>
      <c r="N11" s="24" t="str">
        <f t="shared" si="10"/>
        <v>BE</v>
      </c>
      <c r="O11" s="29" t="str">
        <f>IF(ISERROR(IF(VLOOKUP($N11,CODE!$K:$P,CODE!$O$1,FALSE)="",$M11,$M11&amp;"-"&amp;VLOOKUP($N11,CODE!$K:$P,CODE!$O$1,FALSE)))=TRUE,"",IF(VLOOKUP($N11,CODE!$K:$P,CODE!$O$1,FALSE)="",$M11,$M11&amp;"-"&amp;VLOOKUP($N11,CODE!$K:$P,CODE!$O$1,FALSE)))</f>
        <v>DAK</v>
      </c>
      <c r="P11" s="29" t="str">
        <f t="shared" si="11"/>
        <v>DAKBEE5004</v>
      </c>
      <c r="Q11" s="1" t="s">
        <v>806</v>
      </c>
      <c r="R11" s="1" t="s">
        <v>15</v>
      </c>
      <c r="S11" s="26">
        <v>360</v>
      </c>
      <c r="T11" s="26">
        <v>14040000</v>
      </c>
      <c r="U11" s="26">
        <v>3829090.9090909092</v>
      </c>
      <c r="V11" s="26">
        <v>3.3333333333333335</v>
      </c>
      <c r="W11" s="26">
        <v>0</v>
      </c>
      <c r="X11" s="26">
        <v>360</v>
      </c>
    </row>
    <row r="12" spans="1:24">
      <c r="A12" s="24" t="str">
        <f t="shared" si="4"/>
        <v>러닝</v>
      </c>
      <c r="B12" s="24" t="str">
        <f>IF(COUNTIF(Q$1:Q11,Q12)=0,"최초","리오더")</f>
        <v>최초</v>
      </c>
      <c r="C12" s="24" t="str">
        <f t="shared" si="5"/>
        <v>DAKBEE5004</v>
      </c>
      <c r="D12" s="24">
        <f t="shared" si="0"/>
        <v>0.5</v>
      </c>
      <c r="E12" s="24" t="str">
        <f t="shared" si="6"/>
        <v/>
      </c>
      <c r="F12" s="24">
        <f t="shared" si="1"/>
        <v>0</v>
      </c>
      <c r="G12" s="24" t="str">
        <f t="shared" si="7"/>
        <v>DAKBEE5004GR</v>
      </c>
      <c r="H12" s="24">
        <f t="shared" si="2"/>
        <v>1</v>
      </c>
      <c r="I12" s="24" t="str">
        <f t="shared" si="8"/>
        <v/>
      </c>
      <c r="J12" s="24">
        <f t="shared" si="3"/>
        <v>0</v>
      </c>
      <c r="K12" s="24" t="str">
        <f t="shared" si="9"/>
        <v>E5</v>
      </c>
      <c r="L12" s="24" t="str">
        <f>VLOOKUP(N12,CODE!K:P,CODE!$P$1,FALSE)</f>
        <v>모자</v>
      </c>
      <c r="M12" s="24" t="str">
        <f>VLOOKUP(MID(Q12,1,3),CODE!$B:$G,CODE!D$1,FALSE)</f>
        <v>DAK</v>
      </c>
      <c r="N12" s="24" t="str">
        <f t="shared" si="10"/>
        <v>BE</v>
      </c>
      <c r="O12" s="29" t="str">
        <f>IF(ISERROR(IF(VLOOKUP($N12,CODE!$K:$P,CODE!$O$1,FALSE)="",$M12,$M12&amp;"-"&amp;VLOOKUP($N12,CODE!$K:$P,CODE!$O$1,FALSE)))=TRUE,"",IF(VLOOKUP($N12,CODE!$K:$P,CODE!$O$1,FALSE)="",$M12,$M12&amp;"-"&amp;VLOOKUP($N12,CODE!$K:$P,CODE!$O$1,FALSE)))</f>
        <v>DAK</v>
      </c>
      <c r="P12" s="29" t="str">
        <f t="shared" si="11"/>
        <v>DAKBEE5004</v>
      </c>
      <c r="Q12" s="1" t="s">
        <v>807</v>
      </c>
      <c r="R12" s="1" t="s">
        <v>15</v>
      </c>
      <c r="S12" s="26">
        <v>240</v>
      </c>
      <c r="T12" s="26">
        <v>9360000</v>
      </c>
      <c r="U12" s="26">
        <v>2552727.2727272725</v>
      </c>
      <c r="V12" s="26">
        <v>3.3333333333333335</v>
      </c>
      <c r="W12" s="26">
        <v>0</v>
      </c>
      <c r="X12" s="26">
        <v>240</v>
      </c>
    </row>
    <row r="13" spans="1:24">
      <c r="A13" s="24" t="str">
        <f t="shared" si="4"/>
        <v>신규</v>
      </c>
      <c r="B13" s="24" t="str">
        <f>IF(COUNTIF(Q$1:Q12,Q13)=0,"최초","리오더")</f>
        <v>최초</v>
      </c>
      <c r="C13" s="24" t="str">
        <f t="shared" si="5"/>
        <v>DAKEBE5305</v>
      </c>
      <c r="D13" s="24">
        <f t="shared" si="0"/>
        <v>0.5</v>
      </c>
      <c r="E13" s="24" t="str">
        <f t="shared" si="6"/>
        <v/>
      </c>
      <c r="F13" s="24">
        <f t="shared" si="1"/>
        <v>0</v>
      </c>
      <c r="G13" s="24" t="str">
        <f t="shared" si="7"/>
        <v>DAKEBE5305BK</v>
      </c>
      <c r="H13" s="24">
        <f t="shared" si="2"/>
        <v>1</v>
      </c>
      <c r="I13" s="24" t="str">
        <f t="shared" si="8"/>
        <v/>
      </c>
      <c r="J13" s="24">
        <f t="shared" si="3"/>
        <v>0</v>
      </c>
      <c r="K13" s="24" t="str">
        <f t="shared" si="9"/>
        <v>E5</v>
      </c>
      <c r="L13" s="24" t="str">
        <f>VLOOKUP(N13,CODE!K:P,CODE!$P$1,FALSE)</f>
        <v>모자</v>
      </c>
      <c r="M13" s="24" t="str">
        <f>VLOOKUP(MID(Q13,1,3),CODE!$B:$G,CODE!D$1,FALSE)</f>
        <v>DAK</v>
      </c>
      <c r="N13" s="24" t="str">
        <f t="shared" si="10"/>
        <v>EB</v>
      </c>
      <c r="O13" s="29" t="str">
        <f>IF(ISERROR(IF(VLOOKUP($N13,CODE!$K:$P,CODE!$O$1,FALSE)="",$M13,$M13&amp;"-"&amp;VLOOKUP($N13,CODE!$K:$P,CODE!$O$1,FALSE)))=TRUE,"",IF(VLOOKUP($N13,CODE!$K:$P,CODE!$O$1,FALSE)="",$M13,$M13&amp;"-"&amp;VLOOKUP($N13,CODE!$K:$P,CODE!$O$1,FALSE)))</f>
        <v>DAK</v>
      </c>
      <c r="P13" s="29" t="str">
        <f t="shared" si="11"/>
        <v>DAKEBE5305</v>
      </c>
      <c r="Q13" s="1" t="s">
        <v>808</v>
      </c>
      <c r="R13" s="1" t="s">
        <v>15</v>
      </c>
      <c r="S13" s="26">
        <v>360</v>
      </c>
      <c r="T13" s="26">
        <v>14040000</v>
      </c>
      <c r="U13" s="26">
        <v>3829090.9090909092</v>
      </c>
      <c r="V13" s="26">
        <v>3.3333333333333335</v>
      </c>
      <c r="W13" s="26">
        <v>0</v>
      </c>
      <c r="X13" s="26">
        <v>360</v>
      </c>
    </row>
    <row r="14" spans="1:24">
      <c r="A14" s="24" t="str">
        <f t="shared" si="4"/>
        <v>신규</v>
      </c>
      <c r="B14" s="24" t="str">
        <f>IF(COUNTIF(Q$1:Q13,Q14)=0,"최초","리오더")</f>
        <v>최초</v>
      </c>
      <c r="C14" s="24" t="str">
        <f t="shared" si="5"/>
        <v>DAKEBE5305</v>
      </c>
      <c r="D14" s="24">
        <f t="shared" si="0"/>
        <v>0.5</v>
      </c>
      <c r="E14" s="24" t="str">
        <f t="shared" si="6"/>
        <v/>
      </c>
      <c r="F14" s="24">
        <f t="shared" si="1"/>
        <v>0</v>
      </c>
      <c r="G14" s="24" t="str">
        <f t="shared" si="7"/>
        <v>DAKEBE5305BG</v>
      </c>
      <c r="H14" s="24">
        <f t="shared" si="2"/>
        <v>1</v>
      </c>
      <c r="I14" s="24" t="str">
        <f t="shared" si="8"/>
        <v/>
      </c>
      <c r="J14" s="24">
        <f t="shared" si="3"/>
        <v>0</v>
      </c>
      <c r="K14" s="24" t="str">
        <f t="shared" si="9"/>
        <v>E5</v>
      </c>
      <c r="L14" s="24" t="str">
        <f>VLOOKUP(N14,CODE!K:P,CODE!$P$1,FALSE)</f>
        <v>모자</v>
      </c>
      <c r="M14" s="24" t="str">
        <f>VLOOKUP(MID(Q14,1,3),CODE!$B:$G,CODE!D$1,FALSE)</f>
        <v>DAK</v>
      </c>
      <c r="N14" s="24" t="str">
        <f t="shared" si="10"/>
        <v>EB</v>
      </c>
      <c r="O14" s="29" t="str">
        <f>IF(ISERROR(IF(VLOOKUP($N14,CODE!$K:$P,CODE!$O$1,FALSE)="",$M14,$M14&amp;"-"&amp;VLOOKUP($N14,CODE!$K:$P,CODE!$O$1,FALSE)))=TRUE,"",IF(VLOOKUP($N14,CODE!$K:$P,CODE!$O$1,FALSE)="",$M14,$M14&amp;"-"&amp;VLOOKUP($N14,CODE!$K:$P,CODE!$O$1,FALSE)))</f>
        <v>DAK</v>
      </c>
      <c r="P14" s="29" t="str">
        <f t="shared" si="11"/>
        <v>DAKEBE5305</v>
      </c>
      <c r="Q14" s="1" t="s">
        <v>809</v>
      </c>
      <c r="R14" s="1" t="s">
        <v>15</v>
      </c>
      <c r="S14" s="26">
        <v>360</v>
      </c>
      <c r="T14" s="26">
        <v>14040000</v>
      </c>
      <c r="U14" s="26">
        <v>3829090.9090909092</v>
      </c>
      <c r="V14" s="26">
        <v>3.3333333333333335</v>
      </c>
      <c r="W14" s="26">
        <v>0</v>
      </c>
      <c r="X14" s="26">
        <v>360</v>
      </c>
    </row>
    <row r="15" spans="1:24">
      <c r="A15" s="24" t="str">
        <f t="shared" si="4"/>
        <v>신규</v>
      </c>
      <c r="B15" s="24" t="str">
        <f>IF(COUNTIF(Q$1:Q14,Q15)=0,"최초","리오더")</f>
        <v>최초</v>
      </c>
      <c r="C15" s="24" t="str">
        <f t="shared" si="5"/>
        <v>DAKBEE5306</v>
      </c>
      <c r="D15" s="24">
        <f t="shared" si="0"/>
        <v>0.5</v>
      </c>
      <c r="E15" s="24" t="str">
        <f t="shared" si="6"/>
        <v/>
      </c>
      <c r="F15" s="24">
        <f t="shared" si="1"/>
        <v>0</v>
      </c>
      <c r="G15" s="24" t="str">
        <f t="shared" si="7"/>
        <v>DAKBEE5306BW</v>
      </c>
      <c r="H15" s="24">
        <f t="shared" si="2"/>
        <v>1</v>
      </c>
      <c r="I15" s="24" t="str">
        <f t="shared" si="8"/>
        <v/>
      </c>
      <c r="J15" s="24">
        <f t="shared" si="3"/>
        <v>0</v>
      </c>
      <c r="K15" s="24" t="str">
        <f t="shared" si="9"/>
        <v>E5</v>
      </c>
      <c r="L15" s="24" t="str">
        <f>VLOOKUP(N15,CODE!K:P,CODE!$P$1,FALSE)</f>
        <v>모자</v>
      </c>
      <c r="M15" s="24" t="str">
        <f>VLOOKUP(MID(Q15,1,3),CODE!$B:$G,CODE!D$1,FALSE)</f>
        <v>DAK</v>
      </c>
      <c r="N15" s="24" t="str">
        <f t="shared" si="10"/>
        <v>BE</v>
      </c>
      <c r="O15" s="29" t="str">
        <f>IF(ISERROR(IF(VLOOKUP($N15,CODE!$K:$P,CODE!$O$1,FALSE)="",$M15,$M15&amp;"-"&amp;VLOOKUP($N15,CODE!$K:$P,CODE!$O$1,FALSE)))=TRUE,"",IF(VLOOKUP($N15,CODE!$K:$P,CODE!$O$1,FALSE)="",$M15,$M15&amp;"-"&amp;VLOOKUP($N15,CODE!$K:$P,CODE!$O$1,FALSE)))</f>
        <v>DAK</v>
      </c>
      <c r="P15" s="29" t="str">
        <f t="shared" si="11"/>
        <v>DAKBEE5306</v>
      </c>
      <c r="Q15" s="1" t="s">
        <v>810</v>
      </c>
      <c r="R15" s="1" t="s">
        <v>15</v>
      </c>
      <c r="S15" s="26">
        <v>480</v>
      </c>
      <c r="T15" s="26">
        <v>18720000</v>
      </c>
      <c r="U15" s="26">
        <v>5105454.5454545449</v>
      </c>
      <c r="V15" s="26">
        <v>3.3333333333333335</v>
      </c>
      <c r="W15" s="26">
        <v>0</v>
      </c>
      <c r="X15" s="26">
        <v>480</v>
      </c>
    </row>
    <row r="16" spans="1:24">
      <c r="A16" s="24" t="str">
        <f t="shared" si="4"/>
        <v>신규</v>
      </c>
      <c r="B16" s="24" t="str">
        <f>IF(COUNTIF(Q$1:Q15,Q16)=0,"최초","리오더")</f>
        <v>최초</v>
      </c>
      <c r="C16" s="24" t="str">
        <f t="shared" si="5"/>
        <v>DAKBEE5306</v>
      </c>
      <c r="D16" s="24">
        <f t="shared" si="0"/>
        <v>0.5</v>
      </c>
      <c r="E16" s="24" t="str">
        <f t="shared" si="6"/>
        <v/>
      </c>
      <c r="F16" s="24">
        <f t="shared" si="1"/>
        <v>0</v>
      </c>
      <c r="G16" s="24" t="str">
        <f t="shared" si="7"/>
        <v>DAKBEE5306OR</v>
      </c>
      <c r="H16" s="24">
        <f t="shared" si="2"/>
        <v>1</v>
      </c>
      <c r="I16" s="24" t="str">
        <f t="shared" si="8"/>
        <v/>
      </c>
      <c r="J16" s="24">
        <f t="shared" si="3"/>
        <v>0</v>
      </c>
      <c r="K16" s="24" t="str">
        <f t="shared" si="9"/>
        <v>E5</v>
      </c>
      <c r="L16" s="24" t="str">
        <f>VLOOKUP(N16,CODE!K:P,CODE!$P$1,FALSE)</f>
        <v>모자</v>
      </c>
      <c r="M16" s="24" t="str">
        <f>VLOOKUP(MID(Q16,1,3),CODE!$B:$G,CODE!D$1,FALSE)</f>
        <v>DAK</v>
      </c>
      <c r="N16" s="24" t="str">
        <f t="shared" si="10"/>
        <v>BE</v>
      </c>
      <c r="O16" s="29" t="str">
        <f>IF(ISERROR(IF(VLOOKUP($N16,CODE!$K:$P,CODE!$O$1,FALSE)="",$M16,$M16&amp;"-"&amp;VLOOKUP($N16,CODE!$K:$P,CODE!$O$1,FALSE)))=TRUE,"",IF(VLOOKUP($N16,CODE!$K:$P,CODE!$O$1,FALSE)="",$M16,$M16&amp;"-"&amp;VLOOKUP($N16,CODE!$K:$P,CODE!$O$1,FALSE)))</f>
        <v>DAK</v>
      </c>
      <c r="P16" s="29" t="str">
        <f t="shared" si="11"/>
        <v>DAKBEE5306</v>
      </c>
      <c r="Q16" s="1" t="s">
        <v>811</v>
      </c>
      <c r="R16" s="1" t="s">
        <v>15</v>
      </c>
      <c r="S16" s="26">
        <v>480</v>
      </c>
      <c r="T16" s="26">
        <v>18720000</v>
      </c>
      <c r="U16" s="26">
        <v>5105454.5454545449</v>
      </c>
      <c r="V16" s="26">
        <v>3.3333333333333335</v>
      </c>
      <c r="W16" s="26">
        <v>0</v>
      </c>
      <c r="X16" s="26">
        <v>480</v>
      </c>
    </row>
    <row r="17" spans="1:24">
      <c r="A17" s="24" t="str">
        <f t="shared" si="4"/>
        <v>신규</v>
      </c>
      <c r="B17" s="24" t="str">
        <f>IF(COUNTIF(Q$1:Q16,Q17)=0,"최초","리오더")</f>
        <v>최초</v>
      </c>
      <c r="C17" s="24" t="str">
        <f t="shared" si="5"/>
        <v>DAKBEE5307</v>
      </c>
      <c r="D17" s="24">
        <f t="shared" si="0"/>
        <v>0.5</v>
      </c>
      <c r="E17" s="24" t="str">
        <f t="shared" si="6"/>
        <v/>
      </c>
      <c r="F17" s="24">
        <f t="shared" si="1"/>
        <v>0</v>
      </c>
      <c r="G17" s="24" t="str">
        <f t="shared" si="7"/>
        <v>DAKBEE5307BU</v>
      </c>
      <c r="H17" s="24">
        <f t="shared" si="2"/>
        <v>1</v>
      </c>
      <c r="I17" s="24" t="str">
        <f t="shared" si="8"/>
        <v/>
      </c>
      <c r="J17" s="24">
        <f t="shared" si="3"/>
        <v>0</v>
      </c>
      <c r="K17" s="24" t="str">
        <f t="shared" si="9"/>
        <v>E5</v>
      </c>
      <c r="L17" s="24" t="str">
        <f>VLOOKUP(N17,CODE!K:P,CODE!$P$1,FALSE)</f>
        <v>모자</v>
      </c>
      <c r="M17" s="24" t="str">
        <f>VLOOKUP(MID(Q17,1,3),CODE!$B:$G,CODE!D$1,FALSE)</f>
        <v>DAK</v>
      </c>
      <c r="N17" s="24" t="str">
        <f t="shared" si="10"/>
        <v>BE</v>
      </c>
      <c r="O17" s="29" t="str">
        <f>IF(ISERROR(IF(VLOOKUP($N17,CODE!$K:$P,CODE!$O$1,FALSE)="",$M17,$M17&amp;"-"&amp;VLOOKUP($N17,CODE!$K:$P,CODE!$O$1,FALSE)))=TRUE,"",IF(VLOOKUP($N17,CODE!$K:$P,CODE!$O$1,FALSE)="",$M17,$M17&amp;"-"&amp;VLOOKUP($N17,CODE!$K:$P,CODE!$O$1,FALSE)))</f>
        <v>DAK</v>
      </c>
      <c r="P17" s="29" t="str">
        <f t="shared" si="11"/>
        <v>DAKBEE5307</v>
      </c>
      <c r="Q17" s="1" t="s">
        <v>812</v>
      </c>
      <c r="R17" s="1" t="s">
        <v>15</v>
      </c>
      <c r="S17" s="26">
        <v>480</v>
      </c>
      <c r="T17" s="26">
        <v>18720000</v>
      </c>
      <c r="U17" s="26">
        <v>5105454.5454545449</v>
      </c>
      <c r="V17" s="26">
        <v>3.3333333333333335</v>
      </c>
      <c r="W17" s="26">
        <v>0</v>
      </c>
      <c r="X17" s="26">
        <v>480</v>
      </c>
    </row>
    <row r="18" spans="1:24">
      <c r="A18" s="24" t="str">
        <f t="shared" si="4"/>
        <v>신규</v>
      </c>
      <c r="B18" s="24" t="str">
        <f>IF(COUNTIF(Q$1:Q17,Q18)=0,"최초","리오더")</f>
        <v>최초</v>
      </c>
      <c r="C18" s="24" t="str">
        <f t="shared" si="5"/>
        <v>DAKBEE5307</v>
      </c>
      <c r="D18" s="24">
        <f t="shared" si="0"/>
        <v>0.5</v>
      </c>
      <c r="E18" s="24" t="str">
        <f t="shared" si="6"/>
        <v/>
      </c>
      <c r="F18" s="24">
        <f t="shared" si="1"/>
        <v>0</v>
      </c>
      <c r="G18" s="24" t="str">
        <f t="shared" si="7"/>
        <v>DAKBEE5307OR</v>
      </c>
      <c r="H18" s="24">
        <f t="shared" si="2"/>
        <v>1</v>
      </c>
      <c r="I18" s="24" t="str">
        <f t="shared" si="8"/>
        <v/>
      </c>
      <c r="J18" s="24">
        <f t="shared" si="3"/>
        <v>0</v>
      </c>
      <c r="K18" s="24" t="str">
        <f t="shared" si="9"/>
        <v>E5</v>
      </c>
      <c r="L18" s="24" t="str">
        <f>VLOOKUP(N18,CODE!K:P,CODE!$P$1,FALSE)</f>
        <v>모자</v>
      </c>
      <c r="M18" s="24" t="str">
        <f>VLOOKUP(MID(Q18,1,3),CODE!$B:$G,CODE!D$1,FALSE)</f>
        <v>DAK</v>
      </c>
      <c r="N18" s="24" t="str">
        <f t="shared" si="10"/>
        <v>BE</v>
      </c>
      <c r="O18" s="29" t="str">
        <f>IF(ISERROR(IF(VLOOKUP($N18,CODE!$K:$P,CODE!$O$1,FALSE)="",$M18,$M18&amp;"-"&amp;VLOOKUP($N18,CODE!$K:$P,CODE!$O$1,FALSE)))=TRUE,"",IF(VLOOKUP($N18,CODE!$K:$P,CODE!$O$1,FALSE)="",$M18,$M18&amp;"-"&amp;VLOOKUP($N18,CODE!$K:$P,CODE!$O$1,FALSE)))</f>
        <v>DAK</v>
      </c>
      <c r="P18" s="29" t="str">
        <f t="shared" si="11"/>
        <v>DAKBEE5307</v>
      </c>
      <c r="Q18" s="1" t="s">
        <v>813</v>
      </c>
      <c r="R18" s="1" t="s">
        <v>15</v>
      </c>
      <c r="S18" s="26">
        <v>360</v>
      </c>
      <c r="T18" s="26">
        <v>14040000</v>
      </c>
      <c r="U18" s="26">
        <v>3829090.9090909092</v>
      </c>
      <c r="V18" s="26">
        <v>3.3333333333333335</v>
      </c>
      <c r="W18" s="26">
        <v>0</v>
      </c>
      <c r="X18" s="26">
        <v>360</v>
      </c>
    </row>
    <row r="19" spans="1:24">
      <c r="A19" s="24" t="str">
        <f t="shared" si="4"/>
        <v>신규</v>
      </c>
      <c r="B19" s="24" t="str">
        <f>IF(COUNTIF(Q$1:Q18,Q19)=0,"최초","리오더")</f>
        <v>최초</v>
      </c>
      <c r="C19" s="24" t="str">
        <f t="shared" si="5"/>
        <v>DAKTPE5308</v>
      </c>
      <c r="D19" s="24">
        <f t="shared" si="0"/>
        <v>0.5</v>
      </c>
      <c r="E19" s="24" t="str">
        <f t="shared" si="6"/>
        <v/>
      </c>
      <c r="F19" s="24">
        <f t="shared" si="1"/>
        <v>0</v>
      </c>
      <c r="G19" s="24" t="str">
        <f t="shared" si="7"/>
        <v>DAKTPE5308BK</v>
      </c>
      <c r="H19" s="24">
        <f t="shared" si="2"/>
        <v>1</v>
      </c>
      <c r="I19" s="24" t="str">
        <f t="shared" si="8"/>
        <v/>
      </c>
      <c r="J19" s="24">
        <f t="shared" si="3"/>
        <v>0</v>
      </c>
      <c r="K19" s="24" t="str">
        <f t="shared" si="9"/>
        <v>E5</v>
      </c>
      <c r="L19" s="24" t="str">
        <f>VLOOKUP(N19,CODE!K:P,CODE!$P$1,FALSE)</f>
        <v>모자</v>
      </c>
      <c r="M19" s="24" t="str">
        <f>VLOOKUP(MID(Q19,1,3),CODE!$B:$G,CODE!D$1,FALSE)</f>
        <v>DAK</v>
      </c>
      <c r="N19" s="24" t="str">
        <f t="shared" si="10"/>
        <v>TP</v>
      </c>
      <c r="O19" s="29" t="str">
        <f>IF(ISERROR(IF(VLOOKUP($N19,CODE!$K:$P,CODE!$O$1,FALSE)="",$M19,$M19&amp;"-"&amp;VLOOKUP($N19,CODE!$K:$P,CODE!$O$1,FALSE)))=TRUE,"",IF(VLOOKUP($N19,CODE!$K:$P,CODE!$O$1,FALSE)="",$M19,$M19&amp;"-"&amp;VLOOKUP($N19,CODE!$K:$P,CODE!$O$1,FALSE)))</f>
        <v>DAK</v>
      </c>
      <c r="P19" s="29" t="str">
        <f t="shared" si="11"/>
        <v>DAKTPE5308</v>
      </c>
      <c r="Q19" s="1" t="s">
        <v>814</v>
      </c>
      <c r="R19" s="1" t="s">
        <v>15</v>
      </c>
      <c r="S19" s="26">
        <v>240</v>
      </c>
      <c r="T19" s="26">
        <v>13200000</v>
      </c>
      <c r="U19" s="26">
        <v>3599999.9999999995</v>
      </c>
      <c r="V19" s="26">
        <v>3.3333333333333335</v>
      </c>
      <c r="W19" s="26">
        <v>0</v>
      </c>
      <c r="X19" s="26">
        <v>240</v>
      </c>
    </row>
    <row r="20" spans="1:24">
      <c r="A20" s="24" t="str">
        <f t="shared" si="4"/>
        <v>신규</v>
      </c>
      <c r="B20" s="24" t="str">
        <f>IF(COUNTIF(Q$1:Q19,Q20)=0,"최초","리오더")</f>
        <v>최초</v>
      </c>
      <c r="C20" s="24" t="str">
        <f t="shared" si="5"/>
        <v>DAKTPE5308</v>
      </c>
      <c r="D20" s="24">
        <f t="shared" si="0"/>
        <v>0.5</v>
      </c>
      <c r="E20" s="24" t="str">
        <f t="shared" si="6"/>
        <v/>
      </c>
      <c r="F20" s="24">
        <f t="shared" si="1"/>
        <v>0</v>
      </c>
      <c r="G20" s="24" t="str">
        <f t="shared" si="7"/>
        <v>DAKTPE5308NA</v>
      </c>
      <c r="H20" s="24">
        <f t="shared" si="2"/>
        <v>1</v>
      </c>
      <c r="I20" s="24" t="str">
        <f t="shared" si="8"/>
        <v/>
      </c>
      <c r="J20" s="24">
        <f t="shared" si="3"/>
        <v>0</v>
      </c>
      <c r="K20" s="24" t="str">
        <f t="shared" si="9"/>
        <v>E5</v>
      </c>
      <c r="L20" s="24" t="str">
        <f>VLOOKUP(N20,CODE!K:P,CODE!$P$1,FALSE)</f>
        <v>모자</v>
      </c>
      <c r="M20" s="24" t="str">
        <f>VLOOKUP(MID(Q20,1,3),CODE!$B:$G,CODE!D$1,FALSE)</f>
        <v>DAK</v>
      </c>
      <c r="N20" s="24" t="str">
        <f t="shared" si="10"/>
        <v>TP</v>
      </c>
      <c r="O20" s="29" t="str">
        <f>IF(ISERROR(IF(VLOOKUP($N20,CODE!$K:$P,CODE!$O$1,FALSE)="",$M20,$M20&amp;"-"&amp;VLOOKUP($N20,CODE!$K:$P,CODE!$O$1,FALSE)))=TRUE,"",IF(VLOOKUP($N20,CODE!$K:$P,CODE!$O$1,FALSE)="",$M20,$M20&amp;"-"&amp;VLOOKUP($N20,CODE!$K:$P,CODE!$O$1,FALSE)))</f>
        <v>DAK</v>
      </c>
      <c r="P20" s="29" t="str">
        <f t="shared" si="11"/>
        <v>DAKTPE5308</v>
      </c>
      <c r="Q20" s="1" t="s">
        <v>815</v>
      </c>
      <c r="R20" s="1" t="s">
        <v>15</v>
      </c>
      <c r="S20" s="26">
        <v>240</v>
      </c>
      <c r="T20" s="26">
        <v>13200000</v>
      </c>
      <c r="U20" s="26">
        <v>3599999.9999999995</v>
      </c>
      <c r="V20" s="26">
        <v>3.3333333333333335</v>
      </c>
      <c r="W20" s="26">
        <v>0</v>
      </c>
      <c r="X20" s="26">
        <v>240</v>
      </c>
    </row>
    <row r="21" spans="1:24">
      <c r="A21" s="24" t="str">
        <f t="shared" si="4"/>
        <v>신규</v>
      </c>
      <c r="B21" s="24" t="str">
        <f>IF(COUNTIF(Q$1:Q20,Q21)=0,"최초","리오더")</f>
        <v>최초</v>
      </c>
      <c r="C21" s="24" t="str">
        <f t="shared" si="5"/>
        <v>DAKEBE5801</v>
      </c>
      <c r="D21" s="24">
        <f t="shared" si="0"/>
        <v>0.5</v>
      </c>
      <c r="E21" s="24" t="str">
        <f t="shared" si="6"/>
        <v/>
      </c>
      <c r="F21" s="24">
        <f t="shared" si="1"/>
        <v>0</v>
      </c>
      <c r="G21" s="24" t="str">
        <f t="shared" si="7"/>
        <v>DAKEBE5801BL</v>
      </c>
      <c r="H21" s="24">
        <f t="shared" si="2"/>
        <v>1</v>
      </c>
      <c r="I21" s="24" t="str">
        <f t="shared" si="8"/>
        <v/>
      </c>
      <c r="J21" s="24">
        <f t="shared" si="3"/>
        <v>0</v>
      </c>
      <c r="K21" s="24" t="str">
        <f t="shared" si="9"/>
        <v>E5</v>
      </c>
      <c r="L21" s="24" t="str">
        <f>VLOOKUP(N21,CODE!K:P,CODE!$P$1,FALSE)</f>
        <v>모자</v>
      </c>
      <c r="M21" s="24" t="str">
        <f>VLOOKUP(MID(Q21,1,3),CODE!$B:$G,CODE!D$1,FALSE)</f>
        <v>DAK</v>
      </c>
      <c r="N21" s="24" t="str">
        <f t="shared" si="10"/>
        <v>EB</v>
      </c>
      <c r="O21" s="29" t="str">
        <f>IF(ISERROR(IF(VLOOKUP($N21,CODE!$K:$P,CODE!$O$1,FALSE)="",$M21,$M21&amp;"-"&amp;VLOOKUP($N21,CODE!$K:$P,CODE!$O$1,FALSE)))=TRUE,"",IF(VLOOKUP($N21,CODE!$K:$P,CODE!$O$1,FALSE)="",$M21,$M21&amp;"-"&amp;VLOOKUP($N21,CODE!$K:$P,CODE!$O$1,FALSE)))</f>
        <v>DAK</v>
      </c>
      <c r="P21" s="29" t="str">
        <f t="shared" si="11"/>
        <v>DAKEBE5801</v>
      </c>
      <c r="Q21" s="1" t="s">
        <v>816</v>
      </c>
      <c r="R21" s="1" t="s">
        <v>15</v>
      </c>
      <c r="S21" s="26">
        <v>120</v>
      </c>
      <c r="T21" s="26">
        <v>4200000</v>
      </c>
      <c r="U21" s="26">
        <v>1145454.5454545454</v>
      </c>
      <c r="V21" s="26">
        <v>3.3333333333333335</v>
      </c>
      <c r="W21" s="26">
        <v>0</v>
      </c>
      <c r="X21" s="26">
        <v>120</v>
      </c>
    </row>
    <row r="22" spans="1:24">
      <c r="A22" s="24" t="str">
        <f t="shared" si="4"/>
        <v>신규</v>
      </c>
      <c r="B22" s="24" t="str">
        <f>IF(COUNTIF(Q$1:Q21,Q22)=0,"최초","리오더")</f>
        <v>최초</v>
      </c>
      <c r="C22" s="24" t="str">
        <f t="shared" si="5"/>
        <v>DAKEBE5801</v>
      </c>
      <c r="D22" s="24">
        <f t="shared" si="0"/>
        <v>0.5</v>
      </c>
      <c r="E22" s="24" t="str">
        <f t="shared" si="6"/>
        <v/>
      </c>
      <c r="F22" s="24">
        <f t="shared" si="1"/>
        <v>0</v>
      </c>
      <c r="G22" s="24" t="str">
        <f t="shared" si="7"/>
        <v>DAKEBE5801OR</v>
      </c>
      <c r="H22" s="24">
        <f t="shared" si="2"/>
        <v>1</v>
      </c>
      <c r="I22" s="24" t="str">
        <f t="shared" si="8"/>
        <v/>
      </c>
      <c r="J22" s="24">
        <f t="shared" si="3"/>
        <v>0</v>
      </c>
      <c r="K22" s="24" t="str">
        <f t="shared" si="9"/>
        <v>E5</v>
      </c>
      <c r="L22" s="24" t="str">
        <f>VLOOKUP(N22,CODE!K:P,CODE!$P$1,FALSE)</f>
        <v>모자</v>
      </c>
      <c r="M22" s="24" t="str">
        <f>VLOOKUP(MID(Q22,1,3),CODE!$B:$G,CODE!D$1,FALSE)</f>
        <v>DAK</v>
      </c>
      <c r="N22" s="24" t="str">
        <f t="shared" si="10"/>
        <v>EB</v>
      </c>
      <c r="O22" s="29" t="str">
        <f>IF(ISERROR(IF(VLOOKUP($N22,CODE!$K:$P,CODE!$O$1,FALSE)="",$M22,$M22&amp;"-"&amp;VLOOKUP($N22,CODE!$K:$P,CODE!$O$1,FALSE)))=TRUE,"",IF(VLOOKUP($N22,CODE!$K:$P,CODE!$O$1,FALSE)="",$M22,$M22&amp;"-"&amp;VLOOKUP($N22,CODE!$K:$P,CODE!$O$1,FALSE)))</f>
        <v>DAK</v>
      </c>
      <c r="P22" s="29" t="str">
        <f t="shared" si="11"/>
        <v>DAKEBE5801</v>
      </c>
      <c r="Q22" s="1" t="s">
        <v>817</v>
      </c>
      <c r="R22" s="1" t="s">
        <v>15</v>
      </c>
      <c r="S22" s="26">
        <v>120</v>
      </c>
      <c r="T22" s="26">
        <v>4200000</v>
      </c>
      <c r="U22" s="26">
        <v>1145454.5454545454</v>
      </c>
      <c r="V22" s="26">
        <v>3.3333333333333335</v>
      </c>
      <c r="W22" s="26">
        <v>0</v>
      </c>
      <c r="X22" s="26">
        <v>120</v>
      </c>
    </row>
    <row r="23" spans="1:24">
      <c r="A23" s="24" t="str">
        <f t="shared" si="4"/>
        <v>러닝</v>
      </c>
      <c r="B23" s="24" t="str">
        <f>IF(COUNTIF(Q$1:Q22,Q23)=0,"최초","리오더")</f>
        <v>최초</v>
      </c>
      <c r="C23" s="24" t="str">
        <f t="shared" si="5"/>
        <v>ELSEDE5102</v>
      </c>
      <c r="D23" s="24">
        <f t="shared" si="0"/>
        <v>1</v>
      </c>
      <c r="E23" s="24" t="str">
        <f t="shared" si="6"/>
        <v/>
      </c>
      <c r="F23" s="24">
        <f t="shared" si="1"/>
        <v>0</v>
      </c>
      <c r="G23" s="24" t="str">
        <f t="shared" si="7"/>
        <v>ELSEDE5102BK</v>
      </c>
      <c r="H23" s="24">
        <f t="shared" si="2"/>
        <v>1</v>
      </c>
      <c r="I23" s="24" t="str">
        <f t="shared" si="8"/>
        <v/>
      </c>
      <c r="J23" s="24">
        <f t="shared" si="3"/>
        <v>0</v>
      </c>
      <c r="K23" s="24" t="str">
        <f t="shared" si="9"/>
        <v>E5</v>
      </c>
      <c r="L23" s="24" t="str">
        <f>VLOOKUP(N23,CODE!K:P,CODE!$P$1,FALSE)</f>
        <v>ACC</v>
      </c>
      <c r="M23" s="24" t="str">
        <f>VLOOKUP(MID(Q23,1,3),CODE!$B:$G,CODE!D$1,FALSE)</f>
        <v>ELS</v>
      </c>
      <c r="N23" s="24" t="str">
        <f t="shared" si="10"/>
        <v>ED</v>
      </c>
      <c r="O23" s="29" t="str">
        <f>IF(ISERROR(IF(VLOOKUP($N23,CODE!$K:$P,CODE!$O$1,FALSE)="",$M23,$M23&amp;"-"&amp;VLOOKUP($N23,CODE!$K:$P,CODE!$O$1,FALSE)))=TRUE,"",IF(VLOOKUP($N23,CODE!$K:$P,CODE!$O$1,FALSE)="",$M23,$M23&amp;"-"&amp;VLOOKUP($N23,CODE!$K:$P,CODE!$O$1,FALSE)))</f>
        <v>ELS-ACC</v>
      </c>
      <c r="P23" s="29" t="str">
        <f t="shared" si="11"/>
        <v>ELSEDE5102</v>
      </c>
      <c r="Q23" s="1" t="s">
        <v>818</v>
      </c>
      <c r="R23" s="1" t="s">
        <v>14</v>
      </c>
      <c r="S23" s="26">
        <v>500</v>
      </c>
      <c r="T23" s="26">
        <v>19500000</v>
      </c>
      <c r="U23" s="26">
        <v>4157605.0000000005</v>
      </c>
      <c r="V23" s="26">
        <v>4.2638184068165987</v>
      </c>
      <c r="W23" s="26">
        <v>0</v>
      </c>
      <c r="X23" s="26">
        <v>500</v>
      </c>
    </row>
    <row r="24" spans="1:24">
      <c r="A24" s="24" t="str">
        <f t="shared" si="4"/>
        <v>러닝</v>
      </c>
      <c r="B24" s="24" t="str">
        <f>IF(COUNTIF(Q$1:Q23,Q24)=0,"최초","리오더")</f>
        <v>최초</v>
      </c>
      <c r="C24" s="24" t="str">
        <f t="shared" si="5"/>
        <v>ELSEDE5103</v>
      </c>
      <c r="D24" s="24">
        <f t="shared" si="0"/>
        <v>1</v>
      </c>
      <c r="E24" s="24" t="str">
        <f t="shared" si="6"/>
        <v/>
      </c>
      <c r="F24" s="24">
        <f t="shared" si="1"/>
        <v>0</v>
      </c>
      <c r="G24" s="24" t="str">
        <f t="shared" si="7"/>
        <v>ELSEDE5103GY</v>
      </c>
      <c r="H24" s="24">
        <f t="shared" si="2"/>
        <v>1</v>
      </c>
      <c r="I24" s="24" t="str">
        <f t="shared" si="8"/>
        <v/>
      </c>
      <c r="J24" s="24">
        <f t="shared" si="3"/>
        <v>0</v>
      </c>
      <c r="K24" s="24" t="str">
        <f t="shared" si="9"/>
        <v>E5</v>
      </c>
      <c r="L24" s="24" t="str">
        <f>VLOOKUP(N24,CODE!K:P,CODE!$P$1,FALSE)</f>
        <v>ACC</v>
      </c>
      <c r="M24" s="24" t="str">
        <f>VLOOKUP(MID(Q24,1,3),CODE!$B:$G,CODE!D$1,FALSE)</f>
        <v>ELS</v>
      </c>
      <c r="N24" s="24" t="str">
        <f t="shared" si="10"/>
        <v>ED</v>
      </c>
      <c r="O24" s="29" t="str">
        <f>IF(ISERROR(IF(VLOOKUP($N24,CODE!$K:$P,CODE!$O$1,FALSE)="",$M24,$M24&amp;"-"&amp;VLOOKUP($N24,CODE!$K:$P,CODE!$O$1,FALSE)))=TRUE,"",IF(VLOOKUP($N24,CODE!$K:$P,CODE!$O$1,FALSE)="",$M24,$M24&amp;"-"&amp;VLOOKUP($N24,CODE!$K:$P,CODE!$O$1,FALSE)))</f>
        <v>ELS-ACC</v>
      </c>
      <c r="P24" s="29" t="str">
        <f t="shared" si="11"/>
        <v>ELSEDE5103</v>
      </c>
      <c r="Q24" s="1" t="s">
        <v>819</v>
      </c>
      <c r="R24" s="1" t="s">
        <v>14</v>
      </c>
      <c r="S24" s="26">
        <v>500</v>
      </c>
      <c r="T24" s="26">
        <v>19500000</v>
      </c>
      <c r="U24" s="26">
        <v>4157605.0000000005</v>
      </c>
      <c r="V24" s="26">
        <v>4.2638184068165987</v>
      </c>
      <c r="W24" s="26">
        <v>0</v>
      </c>
      <c r="X24" s="26">
        <v>500</v>
      </c>
    </row>
    <row r="25" spans="1:24">
      <c r="A25" s="24" t="str">
        <f t="shared" si="4"/>
        <v>러닝</v>
      </c>
      <c r="B25" s="24" t="str">
        <f>IF(COUNTIF(Q$1:Q24,Q25)=0,"최초","리오더")</f>
        <v>최초</v>
      </c>
      <c r="C25" s="24" t="str">
        <f t="shared" si="5"/>
        <v>ELSERE5104</v>
      </c>
      <c r="D25" s="24">
        <f t="shared" si="0"/>
        <v>1</v>
      </c>
      <c r="E25" s="24" t="str">
        <f t="shared" si="6"/>
        <v/>
      </c>
      <c r="F25" s="24">
        <f t="shared" si="1"/>
        <v>0</v>
      </c>
      <c r="G25" s="24" t="str">
        <f t="shared" si="7"/>
        <v>ELSERE5104BK</v>
      </c>
      <c r="H25" s="24">
        <f t="shared" si="2"/>
        <v>1</v>
      </c>
      <c r="I25" s="24" t="str">
        <f t="shared" si="8"/>
        <v/>
      </c>
      <c r="J25" s="24">
        <f t="shared" si="3"/>
        <v>0</v>
      </c>
      <c r="K25" s="24" t="str">
        <f t="shared" si="9"/>
        <v>E5</v>
      </c>
      <c r="L25" s="24" t="str">
        <f>VLOOKUP(N25,CODE!K:P,CODE!$P$1,FALSE)</f>
        <v>모자</v>
      </c>
      <c r="M25" s="24" t="str">
        <f>VLOOKUP(MID(Q25,1,3),CODE!$B:$G,CODE!D$1,FALSE)</f>
        <v>ELS</v>
      </c>
      <c r="N25" s="24" t="str">
        <f t="shared" si="10"/>
        <v>ER</v>
      </c>
      <c r="O25" s="29" t="str">
        <f>IF(ISERROR(IF(VLOOKUP($N25,CODE!$K:$P,CODE!$O$1,FALSE)="",$M25,$M25&amp;"-"&amp;VLOOKUP($N25,CODE!$K:$P,CODE!$O$1,FALSE)))=TRUE,"",IF(VLOOKUP($N25,CODE!$K:$P,CODE!$O$1,FALSE)="",$M25,$M25&amp;"-"&amp;VLOOKUP($N25,CODE!$K:$P,CODE!$O$1,FALSE)))</f>
        <v>ELS</v>
      </c>
      <c r="P25" s="29" t="str">
        <f t="shared" si="11"/>
        <v>ELSERE5104</v>
      </c>
      <c r="Q25" s="1" t="s">
        <v>820</v>
      </c>
      <c r="R25" s="1" t="s">
        <v>14</v>
      </c>
      <c r="S25" s="26">
        <v>500</v>
      </c>
      <c r="T25" s="26">
        <v>14500000</v>
      </c>
      <c r="U25" s="26">
        <v>2592005</v>
      </c>
      <c r="V25" s="26">
        <v>5.0855681921208413</v>
      </c>
      <c r="W25" s="26">
        <v>0</v>
      </c>
      <c r="X25" s="26">
        <v>500</v>
      </c>
    </row>
    <row r="26" spans="1:24">
      <c r="A26" s="24" t="str">
        <f t="shared" si="4"/>
        <v>러닝</v>
      </c>
      <c r="B26" s="24" t="str">
        <f>IF(COUNTIF(Q$1:Q25,Q26)=0,"최초","리오더")</f>
        <v>최초</v>
      </c>
      <c r="C26" s="24" t="str">
        <f t="shared" si="5"/>
        <v>ELSERE5105</v>
      </c>
      <c r="D26" s="24">
        <f t="shared" si="0"/>
        <v>1</v>
      </c>
      <c r="E26" s="24" t="str">
        <f t="shared" si="6"/>
        <v/>
      </c>
      <c r="F26" s="24">
        <f t="shared" si="1"/>
        <v>0</v>
      </c>
      <c r="G26" s="24" t="str">
        <f t="shared" si="7"/>
        <v>ELSERE5105GY</v>
      </c>
      <c r="H26" s="24">
        <f t="shared" si="2"/>
        <v>1</v>
      </c>
      <c r="I26" s="24" t="str">
        <f t="shared" si="8"/>
        <v/>
      </c>
      <c r="J26" s="24">
        <f t="shared" si="3"/>
        <v>0</v>
      </c>
      <c r="K26" s="24" t="str">
        <f t="shared" si="9"/>
        <v>E5</v>
      </c>
      <c r="L26" s="24" t="str">
        <f>VLOOKUP(N26,CODE!K:P,CODE!$P$1,FALSE)</f>
        <v>모자</v>
      </c>
      <c r="M26" s="24" t="str">
        <f>VLOOKUP(MID(Q26,1,3),CODE!$B:$G,CODE!D$1,FALSE)</f>
        <v>ELS</v>
      </c>
      <c r="N26" s="24" t="str">
        <f t="shared" si="10"/>
        <v>ER</v>
      </c>
      <c r="O26" s="29" t="str">
        <f>IF(ISERROR(IF(VLOOKUP($N26,CODE!$K:$P,CODE!$O$1,FALSE)="",$M26,$M26&amp;"-"&amp;VLOOKUP($N26,CODE!$K:$P,CODE!$O$1,FALSE)))=TRUE,"",IF(VLOOKUP($N26,CODE!$K:$P,CODE!$O$1,FALSE)="",$M26,$M26&amp;"-"&amp;VLOOKUP($N26,CODE!$K:$P,CODE!$O$1,FALSE)))</f>
        <v>ELS</v>
      </c>
      <c r="P26" s="29" t="str">
        <f t="shared" si="11"/>
        <v>ELSERE5105</v>
      </c>
      <c r="Q26" s="1" t="s">
        <v>821</v>
      </c>
      <c r="R26" s="1" t="s">
        <v>14</v>
      </c>
      <c r="S26" s="26">
        <v>500</v>
      </c>
      <c r="T26" s="26">
        <v>14500000</v>
      </c>
      <c r="U26" s="26">
        <v>2592005</v>
      </c>
      <c r="V26" s="26">
        <v>5.0855681921208413</v>
      </c>
      <c r="W26" s="26">
        <v>0</v>
      </c>
      <c r="X26" s="26">
        <v>500</v>
      </c>
    </row>
    <row r="27" spans="1:24">
      <c r="A27" s="24" t="str">
        <f t="shared" si="4"/>
        <v>러닝</v>
      </c>
      <c r="B27" s="24" t="str">
        <f>IF(COUNTIF(Q$1:Q26,Q27)=0,"최초","리오더")</f>
        <v>최초</v>
      </c>
      <c r="C27" s="24" t="str">
        <f t="shared" si="5"/>
        <v>ELSTPE5108</v>
      </c>
      <c r="D27" s="24">
        <f t="shared" si="0"/>
        <v>1</v>
      </c>
      <c r="E27" s="24" t="str">
        <f t="shared" si="6"/>
        <v/>
      </c>
      <c r="F27" s="24">
        <f t="shared" si="1"/>
        <v>0</v>
      </c>
      <c r="G27" s="24" t="str">
        <f t="shared" si="7"/>
        <v>ELSTPE5108BU</v>
      </c>
      <c r="H27" s="24">
        <f t="shared" si="2"/>
        <v>1</v>
      </c>
      <c r="I27" s="24" t="str">
        <f t="shared" si="8"/>
        <v/>
      </c>
      <c r="J27" s="24">
        <f t="shared" si="3"/>
        <v>0</v>
      </c>
      <c r="K27" s="24" t="str">
        <f t="shared" si="9"/>
        <v>E5</v>
      </c>
      <c r="L27" s="24" t="str">
        <f>VLOOKUP(N27,CODE!K:P,CODE!$P$1,FALSE)</f>
        <v>모자</v>
      </c>
      <c r="M27" s="24" t="str">
        <f>VLOOKUP(MID(Q27,1,3),CODE!$B:$G,CODE!D$1,FALSE)</f>
        <v>ELS</v>
      </c>
      <c r="N27" s="24" t="str">
        <f t="shared" si="10"/>
        <v>TP</v>
      </c>
      <c r="O27" s="29" t="str">
        <f>IF(ISERROR(IF(VLOOKUP($N27,CODE!$K:$P,CODE!$O$1,FALSE)="",$M27,$M27&amp;"-"&amp;VLOOKUP($N27,CODE!$K:$P,CODE!$O$1,FALSE)))=TRUE,"",IF(VLOOKUP($N27,CODE!$K:$P,CODE!$O$1,FALSE)="",$M27,$M27&amp;"-"&amp;VLOOKUP($N27,CODE!$K:$P,CODE!$O$1,FALSE)))</f>
        <v>ELS</v>
      </c>
      <c r="P27" s="29" t="str">
        <f t="shared" si="11"/>
        <v>ELSTPE5108</v>
      </c>
      <c r="Q27" s="1" t="s">
        <v>822</v>
      </c>
      <c r="R27" s="1" t="s">
        <v>14</v>
      </c>
      <c r="S27" s="26">
        <v>1000</v>
      </c>
      <c r="T27" s="26">
        <v>55000000</v>
      </c>
      <c r="U27" s="26">
        <v>8795510.0000000019</v>
      </c>
      <c r="V27" s="26">
        <v>5.6847186803266645</v>
      </c>
      <c r="W27" s="26">
        <v>0</v>
      </c>
      <c r="X27" s="26">
        <v>1000</v>
      </c>
    </row>
    <row r="28" spans="1:24">
      <c r="A28" s="24" t="str">
        <f t="shared" si="4"/>
        <v>러닝</v>
      </c>
      <c r="B28" s="24" t="str">
        <f>IF(COUNTIF(Q$1:Q27,Q28)=0,"최초","리오더")</f>
        <v>최초</v>
      </c>
      <c r="C28" s="24" t="str">
        <f t="shared" si="5"/>
        <v>ELSTPE5608</v>
      </c>
      <c r="D28" s="24">
        <f t="shared" si="0"/>
        <v>1</v>
      </c>
      <c r="E28" s="24" t="str">
        <f t="shared" si="6"/>
        <v/>
      </c>
      <c r="F28" s="24">
        <f t="shared" si="1"/>
        <v>0</v>
      </c>
      <c r="G28" s="24" t="str">
        <f t="shared" si="7"/>
        <v>ELSTPE5608BU</v>
      </c>
      <c r="H28" s="24">
        <f t="shared" si="2"/>
        <v>1</v>
      </c>
      <c r="I28" s="24" t="str">
        <f t="shared" si="8"/>
        <v/>
      </c>
      <c r="J28" s="24">
        <f t="shared" si="3"/>
        <v>0</v>
      </c>
      <c r="K28" s="24" t="str">
        <f t="shared" si="9"/>
        <v>E5</v>
      </c>
      <c r="L28" s="24" t="str">
        <f>VLOOKUP(N28,CODE!K:P,CODE!$P$1,FALSE)</f>
        <v>모자</v>
      </c>
      <c r="M28" s="24" t="str">
        <f>VLOOKUP(MID(Q28,1,3),CODE!$B:$G,CODE!D$1,FALSE)</f>
        <v>ELS</v>
      </c>
      <c r="N28" s="24" t="str">
        <f t="shared" si="10"/>
        <v>TP</v>
      </c>
      <c r="O28" s="29" t="str">
        <f>IF(ISERROR(IF(VLOOKUP($N28,CODE!$K:$P,CODE!$O$1,FALSE)="",$M28,$M28&amp;"-"&amp;VLOOKUP($N28,CODE!$K:$P,CODE!$O$1,FALSE)))=TRUE,"",IF(VLOOKUP($N28,CODE!$K:$P,CODE!$O$1,FALSE)="",$M28,$M28&amp;"-"&amp;VLOOKUP($N28,CODE!$K:$P,CODE!$O$1,FALSE)))</f>
        <v>ELS</v>
      </c>
      <c r="P28" s="29" t="str">
        <f t="shared" si="11"/>
        <v>ELSTPE5608</v>
      </c>
      <c r="Q28" s="1" t="s">
        <v>823</v>
      </c>
      <c r="R28" s="1" t="s">
        <v>14</v>
      </c>
      <c r="S28" s="26">
        <v>1000</v>
      </c>
      <c r="T28" s="26">
        <v>49000000</v>
      </c>
      <c r="U28" s="26">
        <v>8633510.0000000019</v>
      </c>
      <c r="V28" s="26">
        <v>5.1595995771655474</v>
      </c>
      <c r="W28" s="26">
        <v>0</v>
      </c>
      <c r="X28" s="26">
        <v>1000</v>
      </c>
    </row>
    <row r="29" spans="1:24">
      <c r="A29" s="24" t="str">
        <f t="shared" si="4"/>
        <v>러닝</v>
      </c>
      <c r="B29" s="24" t="str">
        <f>IF(COUNTIF(Q$1:Q28,Q29)=0,"최초","리오더")</f>
        <v>최초</v>
      </c>
      <c r="C29" s="24" t="str">
        <f t="shared" si="5"/>
        <v>JILBAE5022</v>
      </c>
      <c r="D29" s="24">
        <f t="shared" si="0"/>
        <v>0.5</v>
      </c>
      <c r="E29" s="24" t="str">
        <f t="shared" si="6"/>
        <v/>
      </c>
      <c r="F29" s="24">
        <f t="shared" si="1"/>
        <v>0</v>
      </c>
      <c r="G29" s="24" t="str">
        <f t="shared" si="7"/>
        <v>JILBAE5022BG</v>
      </c>
      <c r="H29" s="24">
        <f t="shared" si="2"/>
        <v>1</v>
      </c>
      <c r="I29" s="24" t="str">
        <f t="shared" si="8"/>
        <v/>
      </c>
      <c r="J29" s="24">
        <f t="shared" si="3"/>
        <v>0</v>
      </c>
      <c r="K29" s="24" t="str">
        <f t="shared" si="9"/>
        <v>E5</v>
      </c>
      <c r="L29" s="24" t="str">
        <f>VLOOKUP(N29,CODE!K:P,CODE!$P$1,FALSE)</f>
        <v>모자</v>
      </c>
      <c r="M29" s="24" t="str">
        <f>VLOOKUP(MID(Q29,1,3),CODE!$B:$G,CODE!D$1,FALSE)</f>
        <v>JIL</v>
      </c>
      <c r="N29" s="24" t="str">
        <f t="shared" si="10"/>
        <v>BA</v>
      </c>
      <c r="O29" s="29" t="str">
        <f>IF(ISERROR(IF(VLOOKUP($N29,CODE!$K:$P,CODE!$O$1,FALSE)="",$M29,$M29&amp;"-"&amp;VLOOKUP($N29,CODE!$K:$P,CODE!$O$1,FALSE)))=TRUE,"",IF(VLOOKUP($N29,CODE!$K:$P,CODE!$O$1,FALSE)="",$M29,$M29&amp;"-"&amp;VLOOKUP($N29,CODE!$K:$P,CODE!$O$1,FALSE)))</f>
        <v>JIL</v>
      </c>
      <c r="P29" s="29" t="str">
        <f t="shared" si="11"/>
        <v>JILBAE5022</v>
      </c>
      <c r="Q29" s="1" t="s">
        <v>824</v>
      </c>
      <c r="R29" s="1" t="s">
        <v>14</v>
      </c>
      <c r="S29" s="26">
        <v>1000</v>
      </c>
      <c r="T29" s="26">
        <v>39000000</v>
      </c>
      <c r="U29" s="26">
        <v>6186444</v>
      </c>
      <c r="V29" s="26">
        <v>5.7310056398385649</v>
      </c>
      <c r="W29" s="26">
        <v>0</v>
      </c>
      <c r="X29" s="26">
        <v>1000</v>
      </c>
    </row>
    <row r="30" spans="1:24">
      <c r="A30" s="24" t="str">
        <f t="shared" si="4"/>
        <v>러닝</v>
      </c>
      <c r="B30" s="24" t="str">
        <f>IF(COUNTIF(Q$1:Q29,Q30)=0,"최초","리오더")</f>
        <v>최초</v>
      </c>
      <c r="C30" s="24" t="str">
        <f t="shared" si="5"/>
        <v>JILBAE5022</v>
      </c>
      <c r="D30" s="24">
        <f t="shared" si="0"/>
        <v>0.5</v>
      </c>
      <c r="E30" s="24" t="str">
        <f t="shared" si="6"/>
        <v/>
      </c>
      <c r="F30" s="24">
        <f t="shared" si="1"/>
        <v>0</v>
      </c>
      <c r="G30" s="24" t="str">
        <f t="shared" si="7"/>
        <v>JILBAE5022PP</v>
      </c>
      <c r="H30" s="24">
        <f t="shared" si="2"/>
        <v>1</v>
      </c>
      <c r="I30" s="24" t="str">
        <f t="shared" si="8"/>
        <v/>
      </c>
      <c r="J30" s="24">
        <f t="shared" si="3"/>
        <v>0</v>
      </c>
      <c r="K30" s="24" t="str">
        <f t="shared" si="9"/>
        <v>E5</v>
      </c>
      <c r="L30" s="24" t="str">
        <f>VLOOKUP(N30,CODE!K:P,CODE!$P$1,FALSE)</f>
        <v>모자</v>
      </c>
      <c r="M30" s="24" t="str">
        <f>VLOOKUP(MID(Q30,1,3),CODE!$B:$G,CODE!D$1,FALSE)</f>
        <v>JIL</v>
      </c>
      <c r="N30" s="24" t="str">
        <f t="shared" si="10"/>
        <v>BA</v>
      </c>
      <c r="O30" s="29" t="str">
        <f>IF(ISERROR(IF(VLOOKUP($N30,CODE!$K:$P,CODE!$O$1,FALSE)="",$M30,$M30&amp;"-"&amp;VLOOKUP($N30,CODE!$K:$P,CODE!$O$1,FALSE)))=TRUE,"",IF(VLOOKUP($N30,CODE!$K:$P,CODE!$O$1,FALSE)="",$M30,$M30&amp;"-"&amp;VLOOKUP($N30,CODE!$K:$P,CODE!$O$1,FALSE)))</f>
        <v>JIL</v>
      </c>
      <c r="P30" s="29" t="str">
        <f t="shared" si="11"/>
        <v>JILBAE5022</v>
      </c>
      <c r="Q30" s="1" t="s">
        <v>825</v>
      </c>
      <c r="R30" s="1" t="s">
        <v>14</v>
      </c>
      <c r="S30" s="26">
        <v>1000</v>
      </c>
      <c r="T30" s="26">
        <v>39000000</v>
      </c>
      <c r="U30" s="26">
        <v>6186444</v>
      </c>
      <c r="V30" s="26">
        <v>5.7310056398385649</v>
      </c>
      <c r="W30" s="26">
        <v>0</v>
      </c>
      <c r="X30" s="26">
        <v>1000</v>
      </c>
    </row>
    <row r="31" spans="1:24">
      <c r="A31" s="24" t="str">
        <f t="shared" si="4"/>
        <v>러닝</v>
      </c>
      <c r="B31" s="24" t="str">
        <f>IF(COUNTIF(Q$1:Q30,Q31)=0,"최초","리오더")</f>
        <v>최초</v>
      </c>
      <c r="C31" s="24" t="str">
        <f t="shared" si="5"/>
        <v>JILEBE5036</v>
      </c>
      <c r="D31" s="24">
        <f t="shared" si="0"/>
        <v>0.2</v>
      </c>
      <c r="E31" s="24" t="str">
        <f t="shared" si="6"/>
        <v/>
      </c>
      <c r="F31" s="24">
        <f t="shared" si="1"/>
        <v>0</v>
      </c>
      <c r="G31" s="24" t="str">
        <f t="shared" si="7"/>
        <v>JILEBE5036BK</v>
      </c>
      <c r="H31" s="24">
        <f t="shared" si="2"/>
        <v>1</v>
      </c>
      <c r="I31" s="24" t="str">
        <f t="shared" si="8"/>
        <v/>
      </c>
      <c r="J31" s="24">
        <f t="shared" si="3"/>
        <v>0</v>
      </c>
      <c r="K31" s="24" t="str">
        <f t="shared" si="9"/>
        <v>E5</v>
      </c>
      <c r="L31" s="24" t="str">
        <f>VLOOKUP(N31,CODE!K:P,CODE!$P$1,FALSE)</f>
        <v>모자</v>
      </c>
      <c r="M31" s="24" t="str">
        <f>VLOOKUP(MID(Q31,1,3),CODE!$B:$G,CODE!D$1,FALSE)</f>
        <v>JIL</v>
      </c>
      <c r="N31" s="24" t="str">
        <f t="shared" si="10"/>
        <v>EB</v>
      </c>
      <c r="O31" s="29" t="str">
        <f>IF(ISERROR(IF(VLOOKUP($N31,CODE!$K:$P,CODE!$O$1,FALSE)="",$M31,$M31&amp;"-"&amp;VLOOKUP($N31,CODE!$K:$P,CODE!$O$1,FALSE)))=TRUE,"",IF(VLOOKUP($N31,CODE!$K:$P,CODE!$O$1,FALSE)="",$M31,$M31&amp;"-"&amp;VLOOKUP($N31,CODE!$K:$P,CODE!$O$1,FALSE)))</f>
        <v>JIL</v>
      </c>
      <c r="P31" s="29" t="str">
        <f t="shared" si="11"/>
        <v>JILEBE5036</v>
      </c>
      <c r="Q31" s="1" t="s">
        <v>826</v>
      </c>
      <c r="R31" s="1" t="s">
        <v>14</v>
      </c>
      <c r="S31" s="26">
        <v>1500</v>
      </c>
      <c r="T31" s="26">
        <v>64500000</v>
      </c>
      <c r="U31" s="26">
        <v>10197495.000000002</v>
      </c>
      <c r="V31" s="26">
        <v>5.7500752524383305</v>
      </c>
      <c r="W31" s="26">
        <v>0</v>
      </c>
      <c r="X31" s="26">
        <v>1500</v>
      </c>
    </row>
    <row r="32" spans="1:24">
      <c r="A32" s="24" t="str">
        <f t="shared" si="4"/>
        <v>러닝</v>
      </c>
      <c r="B32" s="24" t="str">
        <f>IF(COUNTIF(Q$1:Q31,Q32)=0,"최초","리오더")</f>
        <v>최초</v>
      </c>
      <c r="C32" s="24" t="str">
        <f t="shared" si="5"/>
        <v>JILEBE5036</v>
      </c>
      <c r="D32" s="24">
        <f t="shared" si="0"/>
        <v>0.2</v>
      </c>
      <c r="E32" s="24" t="str">
        <f t="shared" si="6"/>
        <v/>
      </c>
      <c r="F32" s="24">
        <f t="shared" si="1"/>
        <v>0</v>
      </c>
      <c r="G32" s="24" t="str">
        <f t="shared" si="7"/>
        <v>JILEBE5036GY</v>
      </c>
      <c r="H32" s="24">
        <f t="shared" si="2"/>
        <v>0.5</v>
      </c>
      <c r="I32" s="24" t="str">
        <f t="shared" si="8"/>
        <v/>
      </c>
      <c r="J32" s="24">
        <f t="shared" si="3"/>
        <v>0</v>
      </c>
      <c r="K32" s="24" t="str">
        <f t="shared" si="9"/>
        <v>E5</v>
      </c>
      <c r="L32" s="24" t="str">
        <f>VLOOKUP(N32,CODE!K:P,CODE!$P$1,FALSE)</f>
        <v>모자</v>
      </c>
      <c r="M32" s="24" t="str">
        <f>VLOOKUP(MID(Q32,1,3),CODE!$B:$G,CODE!D$1,FALSE)</f>
        <v>JIL</v>
      </c>
      <c r="N32" s="24" t="str">
        <f t="shared" si="10"/>
        <v>EB</v>
      </c>
      <c r="O32" s="29" t="str">
        <f>IF(ISERROR(IF(VLOOKUP($N32,CODE!$K:$P,CODE!$O$1,FALSE)="",$M32,$M32&amp;"-"&amp;VLOOKUP($N32,CODE!$K:$P,CODE!$O$1,FALSE)))=TRUE,"",IF(VLOOKUP($N32,CODE!$K:$P,CODE!$O$1,FALSE)="",$M32,$M32&amp;"-"&amp;VLOOKUP($N32,CODE!$K:$P,CODE!$O$1,FALSE)))</f>
        <v>JIL</v>
      </c>
      <c r="P32" s="29" t="str">
        <f t="shared" si="11"/>
        <v>JILEBE5036</v>
      </c>
      <c r="Q32" s="1" t="s">
        <v>827</v>
      </c>
      <c r="R32" s="1" t="s">
        <v>14</v>
      </c>
      <c r="S32" s="26">
        <v>1500</v>
      </c>
      <c r="T32" s="26">
        <v>64500000</v>
      </c>
      <c r="U32" s="26">
        <v>10197495.000000002</v>
      </c>
      <c r="V32" s="26">
        <v>5.7500752524383305</v>
      </c>
      <c r="W32" s="26">
        <v>0</v>
      </c>
      <c r="X32" s="26">
        <v>1500</v>
      </c>
    </row>
    <row r="33" spans="1:24">
      <c r="A33" s="24" t="str">
        <f t="shared" si="4"/>
        <v>러닝</v>
      </c>
      <c r="B33" s="24" t="str">
        <f>IF(COUNTIF(Q$1:Q32,Q33)=0,"최초","리오더")</f>
        <v>최초</v>
      </c>
      <c r="C33" s="24" t="str">
        <f t="shared" si="5"/>
        <v>JILEBE5036</v>
      </c>
      <c r="D33" s="24">
        <f t="shared" si="0"/>
        <v>0.2</v>
      </c>
      <c r="E33" s="24" t="str">
        <f t="shared" si="6"/>
        <v/>
      </c>
      <c r="F33" s="24">
        <f t="shared" si="1"/>
        <v>0</v>
      </c>
      <c r="G33" s="24" t="str">
        <f t="shared" si="7"/>
        <v>JILEBE5036RE</v>
      </c>
      <c r="H33" s="24">
        <f t="shared" si="2"/>
        <v>0.5</v>
      </c>
      <c r="I33" s="24" t="str">
        <f t="shared" si="8"/>
        <v/>
      </c>
      <c r="J33" s="24">
        <f t="shared" si="3"/>
        <v>0</v>
      </c>
      <c r="K33" s="24" t="str">
        <f t="shared" si="9"/>
        <v>E5</v>
      </c>
      <c r="L33" s="24" t="str">
        <f>VLOOKUP(N33,CODE!K:P,CODE!$P$1,FALSE)</f>
        <v>모자</v>
      </c>
      <c r="M33" s="24" t="str">
        <f>VLOOKUP(MID(Q33,1,3),CODE!$B:$G,CODE!D$1,FALSE)</f>
        <v>JIL</v>
      </c>
      <c r="N33" s="24" t="str">
        <f t="shared" si="10"/>
        <v>EB</v>
      </c>
      <c r="O33" s="29" t="str">
        <f>IF(ISERROR(IF(VLOOKUP($N33,CODE!$K:$P,CODE!$O$1,FALSE)="",$M33,$M33&amp;"-"&amp;VLOOKUP($N33,CODE!$K:$P,CODE!$O$1,FALSE)))=TRUE,"",IF(VLOOKUP($N33,CODE!$K:$P,CODE!$O$1,FALSE)="",$M33,$M33&amp;"-"&amp;VLOOKUP($N33,CODE!$K:$P,CODE!$O$1,FALSE)))</f>
        <v>JIL</v>
      </c>
      <c r="P33" s="29" t="str">
        <f t="shared" si="11"/>
        <v>JILEBE5036</v>
      </c>
      <c r="Q33" s="1" t="s">
        <v>828</v>
      </c>
      <c r="R33" s="1" t="s">
        <v>14</v>
      </c>
      <c r="S33" s="26">
        <v>1000</v>
      </c>
      <c r="T33" s="26">
        <v>43000000</v>
      </c>
      <c r="U33" s="26">
        <v>6798330.0000000009</v>
      </c>
      <c r="V33" s="26">
        <v>5.7500752524383314</v>
      </c>
      <c r="W33" s="26">
        <v>0</v>
      </c>
      <c r="X33" s="26">
        <v>1000</v>
      </c>
    </row>
    <row r="34" spans="1:24">
      <c r="A34" s="24" t="str">
        <f t="shared" si="4"/>
        <v>러닝</v>
      </c>
      <c r="B34" s="24" t="str">
        <f>IF(COUNTIF(Q$1:Q33,Q34)=0,"최초","리오더")</f>
        <v>최초</v>
      </c>
      <c r="C34" s="24" t="str">
        <f t="shared" si="5"/>
        <v>JILFAE5001</v>
      </c>
      <c r="D34" s="24">
        <f t="shared" si="0"/>
        <v>1</v>
      </c>
      <c r="E34" s="24" t="str">
        <f t="shared" si="6"/>
        <v/>
      </c>
      <c r="F34" s="24">
        <f t="shared" si="1"/>
        <v>0</v>
      </c>
      <c r="G34" s="24" t="str">
        <f t="shared" si="7"/>
        <v>JILFAE5001GY</v>
      </c>
      <c r="H34" s="24">
        <f t="shared" si="2"/>
        <v>1</v>
      </c>
      <c r="I34" s="24" t="str">
        <f t="shared" si="8"/>
        <v/>
      </c>
      <c r="J34" s="24">
        <f t="shared" si="3"/>
        <v>0</v>
      </c>
      <c r="K34" s="24" t="str">
        <f t="shared" si="9"/>
        <v>E5</v>
      </c>
      <c r="L34" s="24" t="str">
        <f>VLOOKUP(N34,CODE!K:P,CODE!$P$1,FALSE)</f>
        <v>모자</v>
      </c>
      <c r="M34" s="24" t="str">
        <f>VLOOKUP(MID(Q34,1,3),CODE!$B:$G,CODE!D$1,FALSE)</f>
        <v>JIL</v>
      </c>
      <c r="N34" s="24" t="str">
        <f t="shared" si="10"/>
        <v>FA</v>
      </c>
      <c r="O34" s="29" t="str">
        <f>IF(ISERROR(IF(VLOOKUP($N34,CODE!$K:$P,CODE!$O$1,FALSE)="",$M34,$M34&amp;"-"&amp;VLOOKUP($N34,CODE!$K:$P,CODE!$O$1,FALSE)))=TRUE,"",IF(VLOOKUP($N34,CODE!$K:$P,CODE!$O$1,FALSE)="",$M34,$M34&amp;"-"&amp;VLOOKUP($N34,CODE!$K:$P,CODE!$O$1,FALSE)))</f>
        <v>JIL</v>
      </c>
      <c r="P34" s="29" t="str">
        <f t="shared" si="11"/>
        <v>JILFAE5001</v>
      </c>
      <c r="Q34" s="1" t="s">
        <v>829</v>
      </c>
      <c r="R34" s="1" t="s">
        <v>14</v>
      </c>
      <c r="S34" s="26">
        <v>800</v>
      </c>
      <c r="T34" s="26">
        <v>31200000</v>
      </c>
      <c r="U34" s="26">
        <v>6160560.0000000009</v>
      </c>
      <c r="V34" s="26">
        <v>4.6040678710435996</v>
      </c>
      <c r="W34" s="26">
        <v>0</v>
      </c>
      <c r="X34" s="26">
        <v>800</v>
      </c>
    </row>
    <row r="35" spans="1:24">
      <c r="A35" s="24" t="str">
        <f t="shared" si="4"/>
        <v>러닝</v>
      </c>
      <c r="B35" s="24" t="str">
        <f>IF(COUNTIF(Q$1:Q34,Q35)=0,"최초","리오더")</f>
        <v>최초</v>
      </c>
      <c r="C35" s="24" t="str">
        <f t="shared" si="5"/>
        <v>JILTPE5021</v>
      </c>
      <c r="D35" s="24">
        <f t="shared" si="0"/>
        <v>0.5</v>
      </c>
      <c r="E35" s="24" t="str">
        <f t="shared" si="6"/>
        <v/>
      </c>
      <c r="F35" s="24">
        <f t="shared" si="1"/>
        <v>0</v>
      </c>
      <c r="G35" s="24" t="str">
        <f t="shared" si="7"/>
        <v>JILTPE5021BK</v>
      </c>
      <c r="H35" s="24">
        <f t="shared" si="2"/>
        <v>1</v>
      </c>
      <c r="I35" s="24" t="str">
        <f t="shared" si="8"/>
        <v/>
      </c>
      <c r="J35" s="24">
        <f t="shared" si="3"/>
        <v>0</v>
      </c>
      <c r="K35" s="24" t="str">
        <f t="shared" si="9"/>
        <v>E5</v>
      </c>
      <c r="L35" s="24" t="str">
        <f>VLOOKUP(N35,CODE!K:P,CODE!$P$1,FALSE)</f>
        <v>모자</v>
      </c>
      <c r="M35" s="24" t="str">
        <f>VLOOKUP(MID(Q35,1,3),CODE!$B:$G,CODE!D$1,FALSE)</f>
        <v>JIL</v>
      </c>
      <c r="N35" s="24" t="str">
        <f t="shared" si="10"/>
        <v>TP</v>
      </c>
      <c r="O35" s="29" t="str">
        <f>IF(ISERROR(IF(VLOOKUP($N35,CODE!$K:$P,CODE!$O$1,FALSE)="",$M35,$M35&amp;"-"&amp;VLOOKUP($N35,CODE!$K:$P,CODE!$O$1,FALSE)))=TRUE,"",IF(VLOOKUP($N35,CODE!$K:$P,CODE!$O$1,FALSE)="",$M35,$M35&amp;"-"&amp;VLOOKUP($N35,CODE!$K:$P,CODE!$O$1,FALSE)))</f>
        <v>JIL</v>
      </c>
      <c r="P35" s="29" t="str">
        <f t="shared" si="11"/>
        <v>JILTPE5021</v>
      </c>
      <c r="Q35" s="1" t="s">
        <v>830</v>
      </c>
      <c r="R35" s="1" t="s">
        <v>14</v>
      </c>
      <c r="S35" s="26">
        <v>1000</v>
      </c>
      <c r="T35" s="26">
        <v>65000000</v>
      </c>
      <c r="U35" s="26">
        <v>6752143.9999999991</v>
      </c>
      <c r="V35" s="26">
        <v>8.7514290410437177</v>
      </c>
      <c r="W35" s="26">
        <v>0</v>
      </c>
      <c r="X35" s="26">
        <v>1000</v>
      </c>
    </row>
    <row r="36" spans="1:24">
      <c r="A36" s="24" t="str">
        <f t="shared" si="4"/>
        <v>러닝</v>
      </c>
      <c r="B36" s="24" t="str">
        <f>IF(COUNTIF(Q$1:Q35,Q36)=0,"최초","리오더")</f>
        <v>최초</v>
      </c>
      <c r="C36" s="24" t="str">
        <f t="shared" si="5"/>
        <v>JILTPE5021</v>
      </c>
      <c r="D36" s="24">
        <f t="shared" si="0"/>
        <v>0.5</v>
      </c>
      <c r="E36" s="24" t="str">
        <f t="shared" si="6"/>
        <v/>
      </c>
      <c r="F36" s="24">
        <f t="shared" si="1"/>
        <v>0</v>
      </c>
      <c r="G36" s="24" t="str">
        <f t="shared" si="7"/>
        <v>JILTPE5021RE</v>
      </c>
      <c r="H36" s="24">
        <f t="shared" si="2"/>
        <v>1</v>
      </c>
      <c r="I36" s="24" t="str">
        <f t="shared" si="8"/>
        <v/>
      </c>
      <c r="J36" s="24">
        <f t="shared" si="3"/>
        <v>0</v>
      </c>
      <c r="K36" s="24" t="str">
        <f t="shared" si="9"/>
        <v>E5</v>
      </c>
      <c r="L36" s="24" t="str">
        <f>VLOOKUP(N36,CODE!K:P,CODE!$P$1,FALSE)</f>
        <v>모자</v>
      </c>
      <c r="M36" s="24" t="str">
        <f>VLOOKUP(MID(Q36,1,3),CODE!$B:$G,CODE!D$1,FALSE)</f>
        <v>JIL</v>
      </c>
      <c r="N36" s="24" t="str">
        <f t="shared" si="10"/>
        <v>TP</v>
      </c>
      <c r="O36" s="29" t="str">
        <f>IF(ISERROR(IF(VLOOKUP($N36,CODE!$K:$P,CODE!$O$1,FALSE)="",$M36,$M36&amp;"-"&amp;VLOOKUP($N36,CODE!$K:$P,CODE!$O$1,FALSE)))=TRUE,"",IF(VLOOKUP($N36,CODE!$K:$P,CODE!$O$1,FALSE)="",$M36,$M36&amp;"-"&amp;VLOOKUP($N36,CODE!$K:$P,CODE!$O$1,FALSE)))</f>
        <v>JIL</v>
      </c>
      <c r="P36" s="29" t="str">
        <f t="shared" si="11"/>
        <v>JILTPE5021</v>
      </c>
      <c r="Q36" s="1" t="s">
        <v>831</v>
      </c>
      <c r="R36" s="1" t="s">
        <v>14</v>
      </c>
      <c r="S36" s="26">
        <v>1000</v>
      </c>
      <c r="T36" s="26">
        <v>65000000</v>
      </c>
      <c r="U36" s="26">
        <v>6752143.9999999991</v>
      </c>
      <c r="V36" s="26">
        <v>8.7514290410437177</v>
      </c>
      <c r="W36" s="26">
        <v>0</v>
      </c>
      <c r="X36" s="26">
        <v>1000</v>
      </c>
    </row>
    <row r="37" spans="1:24">
      <c r="A37" s="24" t="str">
        <f t="shared" si="4"/>
        <v>러닝</v>
      </c>
      <c r="B37" s="24" t="str">
        <f>IF(COUNTIF(Q$1:Q36,Q37)=0,"최초","리오더")</f>
        <v>최초</v>
      </c>
      <c r="C37" s="24" t="str">
        <f t="shared" si="5"/>
        <v>JILBEE5042</v>
      </c>
      <c r="D37" s="24">
        <f t="shared" si="0"/>
        <v>0.5</v>
      </c>
      <c r="E37" s="24" t="str">
        <f t="shared" si="6"/>
        <v/>
      </c>
      <c r="F37" s="24">
        <f t="shared" si="1"/>
        <v>0</v>
      </c>
      <c r="G37" s="24" t="str">
        <f t="shared" si="7"/>
        <v>JILBEE5042BK</v>
      </c>
      <c r="H37" s="24">
        <f t="shared" si="2"/>
        <v>1</v>
      </c>
      <c r="I37" s="24" t="str">
        <f t="shared" si="8"/>
        <v/>
      </c>
      <c r="J37" s="24">
        <f t="shared" si="3"/>
        <v>0</v>
      </c>
      <c r="K37" s="24" t="str">
        <f t="shared" si="9"/>
        <v>E5</v>
      </c>
      <c r="L37" s="24" t="str">
        <f>VLOOKUP(N37,CODE!K:P,CODE!$P$1,FALSE)</f>
        <v>모자</v>
      </c>
      <c r="M37" s="24" t="str">
        <f>VLOOKUP(MID(Q37,1,3),CODE!$B:$G,CODE!D$1,FALSE)</f>
        <v>JIL</v>
      </c>
      <c r="N37" s="24" t="str">
        <f t="shared" si="10"/>
        <v>BE</v>
      </c>
      <c r="O37" s="29" t="str">
        <f>IF(ISERROR(IF(VLOOKUP($N37,CODE!$K:$P,CODE!$O$1,FALSE)="",$M37,$M37&amp;"-"&amp;VLOOKUP($N37,CODE!$K:$P,CODE!$O$1,FALSE)))=TRUE,"",IF(VLOOKUP($N37,CODE!$K:$P,CODE!$O$1,FALSE)="",$M37,$M37&amp;"-"&amp;VLOOKUP($N37,CODE!$K:$P,CODE!$O$1,FALSE)))</f>
        <v>JIL</v>
      </c>
      <c r="P37" s="29" t="str">
        <f t="shared" si="11"/>
        <v>JILBEE5042</v>
      </c>
      <c r="Q37" s="1" t="s">
        <v>832</v>
      </c>
      <c r="R37" s="1" t="s">
        <v>14</v>
      </c>
      <c r="S37" s="26">
        <v>1000</v>
      </c>
      <c r="T37" s="26">
        <v>39000000</v>
      </c>
      <c r="U37" s="26">
        <v>4783750</v>
      </c>
      <c r="V37" s="26">
        <v>7.4114544979452219</v>
      </c>
      <c r="W37" s="26">
        <v>0</v>
      </c>
      <c r="X37" s="26">
        <v>1000</v>
      </c>
    </row>
    <row r="38" spans="1:24">
      <c r="A38" s="24" t="str">
        <f t="shared" si="4"/>
        <v>러닝</v>
      </c>
      <c r="B38" s="24" t="str">
        <f>IF(COUNTIF(Q$1:Q37,Q38)=0,"최초","리오더")</f>
        <v>최초</v>
      </c>
      <c r="C38" s="24" t="str">
        <f t="shared" si="5"/>
        <v>JILBEE5042</v>
      </c>
      <c r="D38" s="24">
        <f t="shared" si="0"/>
        <v>0.5</v>
      </c>
      <c r="E38" s="24" t="str">
        <f t="shared" si="6"/>
        <v/>
      </c>
      <c r="F38" s="24">
        <f t="shared" si="1"/>
        <v>0</v>
      </c>
      <c r="G38" s="24" t="str">
        <f t="shared" si="7"/>
        <v>JILBEE5042KH</v>
      </c>
      <c r="H38" s="24">
        <f t="shared" si="2"/>
        <v>1</v>
      </c>
      <c r="I38" s="24" t="str">
        <f t="shared" si="8"/>
        <v/>
      </c>
      <c r="J38" s="24">
        <f t="shared" si="3"/>
        <v>0</v>
      </c>
      <c r="K38" s="24" t="str">
        <f t="shared" si="9"/>
        <v>E5</v>
      </c>
      <c r="L38" s="24" t="str">
        <f>VLOOKUP(N38,CODE!K:P,CODE!$P$1,FALSE)</f>
        <v>모자</v>
      </c>
      <c r="M38" s="24" t="str">
        <f>VLOOKUP(MID(Q38,1,3),CODE!$B:$G,CODE!D$1,FALSE)</f>
        <v>JIL</v>
      </c>
      <c r="N38" s="24" t="str">
        <f t="shared" si="10"/>
        <v>BE</v>
      </c>
      <c r="O38" s="29" t="str">
        <f>IF(ISERROR(IF(VLOOKUP($N38,CODE!$K:$P,CODE!$O$1,FALSE)="",$M38,$M38&amp;"-"&amp;VLOOKUP($N38,CODE!$K:$P,CODE!$O$1,FALSE)))=TRUE,"",IF(VLOOKUP($N38,CODE!$K:$P,CODE!$O$1,FALSE)="",$M38,$M38&amp;"-"&amp;VLOOKUP($N38,CODE!$K:$P,CODE!$O$1,FALSE)))</f>
        <v>JIL</v>
      </c>
      <c r="P38" s="29" t="str">
        <f t="shared" si="11"/>
        <v>JILBEE5042</v>
      </c>
      <c r="Q38" s="1" t="s">
        <v>833</v>
      </c>
      <c r="R38" s="1" t="s">
        <v>14</v>
      </c>
      <c r="S38" s="26">
        <v>1000</v>
      </c>
      <c r="T38" s="26">
        <v>39000000</v>
      </c>
      <c r="U38" s="26">
        <v>4783750</v>
      </c>
      <c r="V38" s="26">
        <v>7.4114544979452219</v>
      </c>
      <c r="W38" s="26">
        <v>0</v>
      </c>
      <c r="X38" s="26">
        <v>1000</v>
      </c>
    </row>
    <row r="39" spans="1:24">
      <c r="A39" s="24" t="str">
        <f t="shared" si="4"/>
        <v>러닝</v>
      </c>
      <c r="B39" s="24" t="str">
        <f>IF(COUNTIF(Q$1:Q38,Q39)=0,"최초","리오더")</f>
        <v>최초</v>
      </c>
      <c r="C39" s="24" t="str">
        <f t="shared" si="5"/>
        <v>JILBEE5071</v>
      </c>
      <c r="D39" s="24">
        <f t="shared" si="0"/>
        <v>0.5</v>
      </c>
      <c r="E39" s="24" t="str">
        <f t="shared" si="6"/>
        <v/>
      </c>
      <c r="F39" s="24">
        <f t="shared" si="1"/>
        <v>0</v>
      </c>
      <c r="G39" s="24" t="str">
        <f t="shared" si="7"/>
        <v>JILBEE5071PK</v>
      </c>
      <c r="H39" s="24">
        <f t="shared" si="2"/>
        <v>1</v>
      </c>
      <c r="I39" s="24" t="str">
        <f t="shared" si="8"/>
        <v/>
      </c>
      <c r="J39" s="24">
        <f t="shared" si="3"/>
        <v>0</v>
      </c>
      <c r="K39" s="24" t="str">
        <f t="shared" si="9"/>
        <v>E5</v>
      </c>
      <c r="L39" s="24" t="str">
        <f>VLOOKUP(N39,CODE!K:P,CODE!$P$1,FALSE)</f>
        <v>모자</v>
      </c>
      <c r="M39" s="24" t="str">
        <f>VLOOKUP(MID(Q39,1,3),CODE!$B:$G,CODE!D$1,FALSE)</f>
        <v>JIL</v>
      </c>
      <c r="N39" s="24" t="str">
        <f t="shared" si="10"/>
        <v>BE</v>
      </c>
      <c r="O39" s="29" t="str">
        <f>IF(ISERROR(IF(VLOOKUP($N39,CODE!$K:$P,CODE!$O$1,FALSE)="",$M39,$M39&amp;"-"&amp;VLOOKUP($N39,CODE!$K:$P,CODE!$O$1,FALSE)))=TRUE,"",IF(VLOOKUP($N39,CODE!$K:$P,CODE!$O$1,FALSE)="",$M39,$M39&amp;"-"&amp;VLOOKUP($N39,CODE!$K:$P,CODE!$O$1,FALSE)))</f>
        <v>JIL</v>
      </c>
      <c r="P39" s="29" t="str">
        <f t="shared" si="11"/>
        <v>JILBEE5071</v>
      </c>
      <c r="Q39" s="1" t="s">
        <v>834</v>
      </c>
      <c r="R39" s="1" t="s">
        <v>14</v>
      </c>
      <c r="S39" s="26">
        <v>1500</v>
      </c>
      <c r="T39" s="26">
        <v>58500000</v>
      </c>
      <c r="U39" s="26">
        <v>6710850.0000000009</v>
      </c>
      <c r="V39" s="26">
        <v>7.9247514371231915</v>
      </c>
      <c r="W39" s="26">
        <v>0</v>
      </c>
      <c r="X39" s="26">
        <v>1500</v>
      </c>
    </row>
    <row r="40" spans="1:24">
      <c r="A40" s="24" t="str">
        <f t="shared" si="4"/>
        <v>러닝</v>
      </c>
      <c r="B40" s="24" t="str">
        <f>IF(COUNTIF(Q$1:Q39,Q40)=0,"최초","리오더")</f>
        <v>최초</v>
      </c>
      <c r="C40" s="24" t="str">
        <f t="shared" si="5"/>
        <v>JILBEE5071</v>
      </c>
      <c r="D40" s="24">
        <f t="shared" si="0"/>
        <v>0.5</v>
      </c>
      <c r="E40" s="24" t="str">
        <f t="shared" si="6"/>
        <v/>
      </c>
      <c r="F40" s="24">
        <f t="shared" si="1"/>
        <v>0</v>
      </c>
      <c r="G40" s="24" t="str">
        <f t="shared" si="7"/>
        <v>JILBEE5071RE</v>
      </c>
      <c r="H40" s="24">
        <f t="shared" si="2"/>
        <v>1</v>
      </c>
      <c r="I40" s="24" t="str">
        <f t="shared" si="8"/>
        <v/>
      </c>
      <c r="J40" s="24">
        <f t="shared" si="3"/>
        <v>0</v>
      </c>
      <c r="K40" s="24" t="str">
        <f t="shared" si="9"/>
        <v>E5</v>
      </c>
      <c r="L40" s="24" t="str">
        <f>VLOOKUP(N40,CODE!K:P,CODE!$P$1,FALSE)</f>
        <v>모자</v>
      </c>
      <c r="M40" s="24" t="str">
        <f>VLOOKUP(MID(Q40,1,3),CODE!$B:$G,CODE!D$1,FALSE)</f>
        <v>JIL</v>
      </c>
      <c r="N40" s="24" t="str">
        <f t="shared" si="10"/>
        <v>BE</v>
      </c>
      <c r="O40" s="29" t="str">
        <f>IF(ISERROR(IF(VLOOKUP($N40,CODE!$K:$P,CODE!$O$1,FALSE)="",$M40,$M40&amp;"-"&amp;VLOOKUP($N40,CODE!$K:$P,CODE!$O$1,FALSE)))=TRUE,"",IF(VLOOKUP($N40,CODE!$K:$P,CODE!$O$1,FALSE)="",$M40,$M40&amp;"-"&amp;VLOOKUP($N40,CODE!$K:$P,CODE!$O$1,FALSE)))</f>
        <v>JIL</v>
      </c>
      <c r="P40" s="29" t="str">
        <f t="shared" si="11"/>
        <v>JILBEE5071</v>
      </c>
      <c r="Q40" s="1" t="s">
        <v>835</v>
      </c>
      <c r="R40" s="1" t="s">
        <v>14</v>
      </c>
      <c r="S40" s="26">
        <v>1500</v>
      </c>
      <c r="T40" s="26">
        <v>58500000</v>
      </c>
      <c r="U40" s="26">
        <v>6710850.0000000009</v>
      </c>
      <c r="V40" s="26">
        <v>7.9247514371231915</v>
      </c>
      <c r="W40" s="26">
        <v>0</v>
      </c>
      <c r="X40" s="26">
        <v>1500</v>
      </c>
    </row>
    <row r="41" spans="1:24">
      <c r="A41" s="24" t="str">
        <f t="shared" si="4"/>
        <v>러닝</v>
      </c>
      <c r="B41" s="24" t="str">
        <f>IF(COUNTIF(Q$1:Q40,Q41)=0,"최초","리오더")</f>
        <v>최초</v>
      </c>
      <c r="C41" s="24" t="str">
        <f t="shared" si="5"/>
        <v>JILEBE5041</v>
      </c>
      <c r="D41" s="24">
        <f t="shared" si="0"/>
        <v>1</v>
      </c>
      <c r="E41" s="24" t="str">
        <f t="shared" si="6"/>
        <v/>
      </c>
      <c r="F41" s="24">
        <f t="shared" si="1"/>
        <v>0</v>
      </c>
      <c r="G41" s="24" t="str">
        <f t="shared" si="7"/>
        <v>JILEBE5041CL</v>
      </c>
      <c r="H41" s="24">
        <f t="shared" si="2"/>
        <v>1</v>
      </c>
      <c r="I41" s="24" t="str">
        <f t="shared" si="8"/>
        <v/>
      </c>
      <c r="J41" s="24">
        <f t="shared" si="3"/>
        <v>0</v>
      </c>
      <c r="K41" s="24" t="str">
        <f t="shared" si="9"/>
        <v>E5</v>
      </c>
      <c r="L41" s="24" t="str">
        <f>VLOOKUP(N41,CODE!K:P,CODE!$P$1,FALSE)</f>
        <v>모자</v>
      </c>
      <c r="M41" s="24" t="str">
        <f>VLOOKUP(MID(Q41,1,3),CODE!$B:$G,CODE!D$1,FALSE)</f>
        <v>JIL</v>
      </c>
      <c r="N41" s="24" t="str">
        <f t="shared" si="10"/>
        <v>EB</v>
      </c>
      <c r="O41" s="29" t="str">
        <f>IF(ISERROR(IF(VLOOKUP($N41,CODE!$K:$P,CODE!$O$1,FALSE)="",$M41,$M41&amp;"-"&amp;VLOOKUP($N41,CODE!$K:$P,CODE!$O$1,FALSE)))=TRUE,"",IF(VLOOKUP($N41,CODE!$K:$P,CODE!$O$1,FALSE)="",$M41,$M41&amp;"-"&amp;VLOOKUP($N41,CODE!$K:$P,CODE!$O$1,FALSE)))</f>
        <v>JIL</v>
      </c>
      <c r="P41" s="29" t="str">
        <f t="shared" si="11"/>
        <v>JILEBE5041</v>
      </c>
      <c r="Q41" s="1" t="s">
        <v>836</v>
      </c>
      <c r="R41" s="1" t="s">
        <v>14</v>
      </c>
      <c r="S41" s="26">
        <v>1000</v>
      </c>
      <c r="T41" s="26">
        <v>45000000</v>
      </c>
      <c r="U41" s="26">
        <v>7216180.0000000009</v>
      </c>
      <c r="V41" s="26">
        <v>5.6690785026275536</v>
      </c>
      <c r="W41" s="26">
        <v>0</v>
      </c>
      <c r="X41" s="26">
        <v>1000</v>
      </c>
    </row>
    <row r="42" spans="1:24">
      <c r="A42" s="24" t="str">
        <f t="shared" si="4"/>
        <v>러닝</v>
      </c>
      <c r="B42" s="24" t="str">
        <f>IF(COUNTIF(Q$1:Q41,Q42)=0,"최초","리오더")</f>
        <v>최초</v>
      </c>
      <c r="C42" s="24" t="str">
        <f t="shared" si="5"/>
        <v>JILBEE5007</v>
      </c>
      <c r="D42" s="24">
        <f t="shared" si="0"/>
        <v>0.5</v>
      </c>
      <c r="E42" s="24" t="str">
        <f t="shared" si="6"/>
        <v/>
      </c>
      <c r="F42" s="24">
        <f t="shared" si="1"/>
        <v>0</v>
      </c>
      <c r="G42" s="24" t="str">
        <f t="shared" si="7"/>
        <v>JILBEE5007GY</v>
      </c>
      <c r="H42" s="24">
        <f t="shared" si="2"/>
        <v>1</v>
      </c>
      <c r="I42" s="24" t="str">
        <f t="shared" si="8"/>
        <v/>
      </c>
      <c r="J42" s="24">
        <f t="shared" si="3"/>
        <v>0</v>
      </c>
      <c r="K42" s="24" t="str">
        <f t="shared" si="9"/>
        <v>E5</v>
      </c>
      <c r="L42" s="24" t="str">
        <f>VLOOKUP(N42,CODE!K:P,CODE!$P$1,FALSE)</f>
        <v>모자</v>
      </c>
      <c r="M42" s="24" t="str">
        <f>VLOOKUP(MID(Q42,1,3),CODE!$B:$G,CODE!D$1,FALSE)</f>
        <v>JIL</v>
      </c>
      <c r="N42" s="24" t="str">
        <f t="shared" si="10"/>
        <v>BE</v>
      </c>
      <c r="O42" s="29" t="str">
        <f>IF(ISERROR(IF(VLOOKUP($N42,CODE!$K:$P,CODE!$O$1,FALSE)="",$M42,$M42&amp;"-"&amp;VLOOKUP($N42,CODE!$K:$P,CODE!$O$1,FALSE)))=TRUE,"",IF(VLOOKUP($N42,CODE!$K:$P,CODE!$O$1,FALSE)="",$M42,$M42&amp;"-"&amp;VLOOKUP($N42,CODE!$K:$P,CODE!$O$1,FALSE)))</f>
        <v>JIL</v>
      </c>
      <c r="P42" s="29" t="str">
        <f t="shared" si="11"/>
        <v>JILBEE5007</v>
      </c>
      <c r="Q42" s="1" t="s">
        <v>837</v>
      </c>
      <c r="R42" s="1" t="s">
        <v>14</v>
      </c>
      <c r="S42" s="26">
        <v>2000</v>
      </c>
      <c r="T42" s="26">
        <v>78000000</v>
      </c>
      <c r="U42" s="26">
        <v>9696240</v>
      </c>
      <c r="V42" s="26">
        <v>7.3130503070356045</v>
      </c>
      <c r="W42" s="26">
        <v>0</v>
      </c>
      <c r="X42" s="26">
        <v>2000</v>
      </c>
    </row>
    <row r="43" spans="1:24">
      <c r="A43" s="24" t="str">
        <f t="shared" si="4"/>
        <v>러닝</v>
      </c>
      <c r="B43" s="24" t="str">
        <f>IF(COUNTIF(Q$1:Q42,Q43)=0,"최초","리오더")</f>
        <v>최초</v>
      </c>
      <c r="C43" s="24" t="str">
        <f t="shared" si="5"/>
        <v>JILBEE5007</v>
      </c>
      <c r="D43" s="24">
        <f t="shared" si="0"/>
        <v>0.5</v>
      </c>
      <c r="E43" s="24" t="str">
        <f t="shared" si="6"/>
        <v/>
      </c>
      <c r="F43" s="24">
        <f t="shared" si="1"/>
        <v>0</v>
      </c>
      <c r="G43" s="24" t="str">
        <f t="shared" si="7"/>
        <v>JILBEE5007RE</v>
      </c>
      <c r="H43" s="24">
        <f t="shared" si="2"/>
        <v>1</v>
      </c>
      <c r="I43" s="24" t="str">
        <f t="shared" si="8"/>
        <v/>
      </c>
      <c r="J43" s="24">
        <f t="shared" si="3"/>
        <v>0</v>
      </c>
      <c r="K43" s="24" t="str">
        <f t="shared" si="9"/>
        <v>E5</v>
      </c>
      <c r="L43" s="24" t="str">
        <f>VLOOKUP(N43,CODE!K:P,CODE!$P$1,FALSE)</f>
        <v>모자</v>
      </c>
      <c r="M43" s="24" t="str">
        <f>VLOOKUP(MID(Q43,1,3),CODE!$B:$G,CODE!D$1,FALSE)</f>
        <v>JIL</v>
      </c>
      <c r="N43" s="24" t="str">
        <f t="shared" si="10"/>
        <v>BE</v>
      </c>
      <c r="O43" s="29" t="str">
        <f>IF(ISERROR(IF(VLOOKUP($N43,CODE!$K:$P,CODE!$O$1,FALSE)="",$M43,$M43&amp;"-"&amp;VLOOKUP($N43,CODE!$K:$P,CODE!$O$1,FALSE)))=TRUE,"",IF(VLOOKUP($N43,CODE!$K:$P,CODE!$O$1,FALSE)="",$M43,$M43&amp;"-"&amp;VLOOKUP($N43,CODE!$K:$P,CODE!$O$1,FALSE)))</f>
        <v>JIL</v>
      </c>
      <c r="P43" s="29" t="str">
        <f t="shared" si="11"/>
        <v>JILBEE5007</v>
      </c>
      <c r="Q43" s="1" t="s">
        <v>838</v>
      </c>
      <c r="R43" s="1" t="s">
        <v>14</v>
      </c>
      <c r="S43" s="26">
        <v>1500</v>
      </c>
      <c r="T43" s="26">
        <v>58500000</v>
      </c>
      <c r="U43" s="26">
        <v>7272180</v>
      </c>
      <c r="V43" s="26">
        <v>7.3130503070356037</v>
      </c>
      <c r="W43" s="26">
        <v>0</v>
      </c>
      <c r="X43" s="26">
        <v>1500</v>
      </c>
    </row>
    <row r="44" spans="1:24">
      <c r="A44" s="24" t="str">
        <f t="shared" si="4"/>
        <v>러닝</v>
      </c>
      <c r="B44" s="24" t="str">
        <f>IF(COUNTIF(Q$1:Q43,Q44)=0,"최초","리오더")</f>
        <v>최초</v>
      </c>
      <c r="C44" s="24" t="str">
        <f t="shared" si="5"/>
        <v>JILBEE5008</v>
      </c>
      <c r="D44" s="24">
        <f t="shared" si="0"/>
        <v>1</v>
      </c>
      <c r="E44" s="24" t="str">
        <f t="shared" si="6"/>
        <v/>
      </c>
      <c r="F44" s="24">
        <f t="shared" si="1"/>
        <v>0</v>
      </c>
      <c r="G44" s="24" t="str">
        <f t="shared" si="7"/>
        <v>JILBEE5008NY</v>
      </c>
      <c r="H44" s="24">
        <f t="shared" si="2"/>
        <v>1</v>
      </c>
      <c r="I44" s="24" t="str">
        <f t="shared" si="8"/>
        <v/>
      </c>
      <c r="J44" s="24">
        <f t="shared" si="3"/>
        <v>0</v>
      </c>
      <c r="K44" s="24" t="str">
        <f t="shared" si="9"/>
        <v>E5</v>
      </c>
      <c r="L44" s="24" t="str">
        <f>VLOOKUP(N44,CODE!K:P,CODE!$P$1,FALSE)</f>
        <v>모자</v>
      </c>
      <c r="M44" s="24" t="str">
        <f>VLOOKUP(MID(Q44,1,3),CODE!$B:$G,CODE!D$1,FALSE)</f>
        <v>JIL</v>
      </c>
      <c r="N44" s="24" t="str">
        <f t="shared" si="10"/>
        <v>BE</v>
      </c>
      <c r="O44" s="29" t="str">
        <f>IF(ISERROR(IF(VLOOKUP($N44,CODE!$K:$P,CODE!$O$1,FALSE)="",$M44,$M44&amp;"-"&amp;VLOOKUP($N44,CODE!$K:$P,CODE!$O$1,FALSE)))=TRUE,"",IF(VLOOKUP($N44,CODE!$K:$P,CODE!$O$1,FALSE)="",$M44,$M44&amp;"-"&amp;VLOOKUP($N44,CODE!$K:$P,CODE!$O$1,FALSE)))</f>
        <v>JIL</v>
      </c>
      <c r="P44" s="29" t="str">
        <f t="shared" si="11"/>
        <v>JILBEE5008</v>
      </c>
      <c r="Q44" s="1" t="s">
        <v>839</v>
      </c>
      <c r="R44" s="1" t="s">
        <v>14</v>
      </c>
      <c r="S44" s="26">
        <v>1000</v>
      </c>
      <c r="T44" s="26">
        <v>39000000</v>
      </c>
      <c r="U44" s="26">
        <v>3848200.0000000009</v>
      </c>
      <c r="V44" s="26">
        <v>9.2132803530340013</v>
      </c>
      <c r="W44" s="26">
        <v>0</v>
      </c>
      <c r="X44" s="26">
        <v>1000</v>
      </c>
    </row>
    <row r="45" spans="1:24">
      <c r="A45" s="24" t="str">
        <f t="shared" si="4"/>
        <v>러닝</v>
      </c>
      <c r="B45" s="24" t="str">
        <f>IF(COUNTIF(Q$1:Q44,Q45)=0,"최초","리오더")</f>
        <v>최초</v>
      </c>
      <c r="C45" s="24" t="str">
        <f t="shared" si="5"/>
        <v>JILVBE5150</v>
      </c>
      <c r="D45" s="24">
        <f t="shared" si="0"/>
        <v>1</v>
      </c>
      <c r="E45" s="24" t="str">
        <f t="shared" si="6"/>
        <v/>
      </c>
      <c r="F45" s="24">
        <f t="shared" si="1"/>
        <v>0</v>
      </c>
      <c r="G45" s="24" t="str">
        <f t="shared" si="7"/>
        <v>JILVBE5150GY</v>
      </c>
      <c r="H45" s="24">
        <f t="shared" si="2"/>
        <v>1</v>
      </c>
      <c r="I45" s="24" t="str">
        <f t="shared" si="8"/>
        <v/>
      </c>
      <c r="J45" s="24">
        <f t="shared" si="3"/>
        <v>0</v>
      </c>
      <c r="K45" s="24" t="str">
        <f t="shared" si="9"/>
        <v>E5</v>
      </c>
      <c r="L45" s="24" t="str">
        <f>VLOOKUP(N45,CODE!K:P,CODE!$P$1,FALSE)</f>
        <v>모자</v>
      </c>
      <c r="M45" s="24" t="str">
        <f>VLOOKUP(MID(Q45,1,3),CODE!$B:$G,CODE!D$1,FALSE)</f>
        <v>JIL</v>
      </c>
      <c r="N45" s="24" t="str">
        <f t="shared" si="10"/>
        <v>VB</v>
      </c>
      <c r="O45" s="29" t="str">
        <f>IF(ISERROR(IF(VLOOKUP($N45,CODE!$K:$P,CODE!$O$1,FALSE)="",$M45,$M45&amp;"-"&amp;VLOOKUP($N45,CODE!$K:$P,CODE!$O$1,FALSE)))=TRUE,"",IF(VLOOKUP($N45,CODE!$K:$P,CODE!$O$1,FALSE)="",$M45,$M45&amp;"-"&amp;VLOOKUP($N45,CODE!$K:$P,CODE!$O$1,FALSE)))</f>
        <v>JIL</v>
      </c>
      <c r="P45" s="29" t="str">
        <f t="shared" si="11"/>
        <v>JILVBE5150</v>
      </c>
      <c r="Q45" s="1" t="s">
        <v>840</v>
      </c>
      <c r="R45" s="1" t="s">
        <v>14</v>
      </c>
      <c r="S45" s="26">
        <v>1000</v>
      </c>
      <c r="T45" s="26">
        <v>43000000</v>
      </c>
      <c r="U45" s="26">
        <v>5200542</v>
      </c>
      <c r="V45" s="26">
        <v>7.5166990461588599</v>
      </c>
      <c r="W45" s="26">
        <v>0</v>
      </c>
      <c r="X45" s="26">
        <v>1000</v>
      </c>
    </row>
    <row r="46" spans="1:24">
      <c r="A46" s="24" t="str">
        <f t="shared" si="4"/>
        <v>러닝</v>
      </c>
      <c r="B46" s="24" t="str">
        <f>IF(COUNTIF(Q$1:Q45,Q46)=0,"최초","리오더")</f>
        <v>최초</v>
      </c>
      <c r="C46" s="24" t="str">
        <f t="shared" si="5"/>
        <v>JILEDE5147</v>
      </c>
      <c r="D46" s="24">
        <f t="shared" si="0"/>
        <v>0.5</v>
      </c>
      <c r="E46" s="24" t="str">
        <f t="shared" si="6"/>
        <v/>
      </c>
      <c r="F46" s="24">
        <f t="shared" si="1"/>
        <v>0</v>
      </c>
      <c r="G46" s="24" t="str">
        <f t="shared" si="7"/>
        <v>JILEDE5147BK</v>
      </c>
      <c r="H46" s="24">
        <f t="shared" si="2"/>
        <v>1</v>
      </c>
      <c r="I46" s="24" t="str">
        <f t="shared" si="8"/>
        <v/>
      </c>
      <c r="J46" s="24">
        <f t="shared" si="3"/>
        <v>0</v>
      </c>
      <c r="K46" s="24" t="str">
        <f t="shared" si="9"/>
        <v>E5</v>
      </c>
      <c r="L46" s="24" t="str">
        <f>VLOOKUP(N46,CODE!K:P,CODE!$P$1,FALSE)</f>
        <v>ACC</v>
      </c>
      <c r="M46" s="24" t="str">
        <f>VLOOKUP(MID(Q46,1,3),CODE!$B:$G,CODE!D$1,FALSE)</f>
        <v>JIL</v>
      </c>
      <c r="N46" s="24" t="str">
        <f t="shared" si="10"/>
        <v>ED</v>
      </c>
      <c r="O46" s="29" t="str">
        <f>IF(ISERROR(IF(VLOOKUP($N46,CODE!$K:$P,CODE!$O$1,FALSE)="",$M46,$M46&amp;"-"&amp;VLOOKUP($N46,CODE!$K:$P,CODE!$O$1,FALSE)))=TRUE,"",IF(VLOOKUP($N46,CODE!$K:$P,CODE!$O$1,FALSE)="",$M46,$M46&amp;"-"&amp;VLOOKUP($N46,CODE!$K:$P,CODE!$O$1,FALSE)))</f>
        <v>JIL-ACC</v>
      </c>
      <c r="P46" s="29" t="str">
        <f t="shared" si="11"/>
        <v>JILEDE5147</v>
      </c>
      <c r="Q46" s="1" t="s">
        <v>841</v>
      </c>
      <c r="R46" s="1" t="s">
        <v>14</v>
      </c>
      <c r="S46" s="26">
        <v>500</v>
      </c>
      <c r="T46" s="26">
        <v>14500000</v>
      </c>
      <c r="U46" s="26">
        <v>2470505</v>
      </c>
      <c r="V46" s="26">
        <v>5.3356775970168782</v>
      </c>
      <c r="W46" s="26">
        <v>0</v>
      </c>
      <c r="X46" s="26">
        <v>500</v>
      </c>
    </row>
    <row r="47" spans="1:24">
      <c r="A47" s="24" t="str">
        <f t="shared" si="4"/>
        <v>러닝</v>
      </c>
      <c r="B47" s="24" t="str">
        <f>IF(COUNTIF(Q$1:Q46,Q47)=0,"최초","리오더")</f>
        <v>최초</v>
      </c>
      <c r="C47" s="24" t="str">
        <f t="shared" si="5"/>
        <v>JILEDE5147</v>
      </c>
      <c r="D47" s="24">
        <f t="shared" si="0"/>
        <v>0.5</v>
      </c>
      <c r="E47" s="24" t="str">
        <f t="shared" si="6"/>
        <v/>
      </c>
      <c r="F47" s="24">
        <f t="shared" si="1"/>
        <v>0</v>
      </c>
      <c r="G47" s="24" t="str">
        <f t="shared" si="7"/>
        <v>JILEDE5147CL</v>
      </c>
      <c r="H47" s="24">
        <f t="shared" si="2"/>
        <v>1</v>
      </c>
      <c r="I47" s="24" t="str">
        <f t="shared" si="8"/>
        <v/>
      </c>
      <c r="J47" s="24">
        <f t="shared" si="3"/>
        <v>0</v>
      </c>
      <c r="K47" s="24" t="str">
        <f t="shared" si="9"/>
        <v>E5</v>
      </c>
      <c r="L47" s="24" t="str">
        <f>VLOOKUP(N47,CODE!K:P,CODE!$P$1,FALSE)</f>
        <v>ACC</v>
      </c>
      <c r="M47" s="24" t="str">
        <f>VLOOKUP(MID(Q47,1,3),CODE!$B:$G,CODE!D$1,FALSE)</f>
        <v>JIL</v>
      </c>
      <c r="N47" s="24" t="str">
        <f t="shared" si="10"/>
        <v>ED</v>
      </c>
      <c r="O47" s="29" t="str">
        <f>IF(ISERROR(IF(VLOOKUP($N47,CODE!$K:$P,CODE!$O$1,FALSE)="",$M47,$M47&amp;"-"&amp;VLOOKUP($N47,CODE!$K:$P,CODE!$O$1,FALSE)))=TRUE,"",IF(VLOOKUP($N47,CODE!$K:$P,CODE!$O$1,FALSE)="",$M47,$M47&amp;"-"&amp;VLOOKUP($N47,CODE!$K:$P,CODE!$O$1,FALSE)))</f>
        <v>JIL-ACC</v>
      </c>
      <c r="P47" s="29" t="str">
        <f t="shared" si="11"/>
        <v>JILEDE5147</v>
      </c>
      <c r="Q47" s="1" t="s">
        <v>842</v>
      </c>
      <c r="R47" s="1" t="s">
        <v>14</v>
      </c>
      <c r="S47" s="26">
        <v>500</v>
      </c>
      <c r="T47" s="26">
        <v>14500000</v>
      </c>
      <c r="U47" s="26">
        <v>2470505</v>
      </c>
      <c r="V47" s="26">
        <v>5.3356775970168782</v>
      </c>
      <c r="W47" s="26">
        <v>0</v>
      </c>
      <c r="X47" s="26">
        <v>500</v>
      </c>
    </row>
    <row r="48" spans="1:24">
      <c r="A48" s="24" t="str">
        <f t="shared" si="4"/>
        <v>러닝</v>
      </c>
      <c r="B48" s="24" t="str">
        <f>IF(COUNTIF(Q$1:Q47,Q48)=0,"최초","리오더")</f>
        <v>최초</v>
      </c>
      <c r="C48" s="24" t="str">
        <f t="shared" si="5"/>
        <v>JILFAE5104</v>
      </c>
      <c r="D48" s="24">
        <f t="shared" si="0"/>
        <v>1</v>
      </c>
      <c r="E48" s="24" t="str">
        <f t="shared" si="6"/>
        <v/>
      </c>
      <c r="F48" s="24">
        <f t="shared" si="1"/>
        <v>0</v>
      </c>
      <c r="G48" s="24" t="str">
        <f t="shared" si="7"/>
        <v>JILFAE5104BK</v>
      </c>
      <c r="H48" s="24">
        <f t="shared" si="2"/>
        <v>1</v>
      </c>
      <c r="I48" s="24" t="str">
        <f t="shared" si="8"/>
        <v/>
      </c>
      <c r="J48" s="24">
        <f t="shared" si="3"/>
        <v>0</v>
      </c>
      <c r="K48" s="24" t="str">
        <f t="shared" si="9"/>
        <v>E5</v>
      </c>
      <c r="L48" s="24" t="str">
        <f>VLOOKUP(N48,CODE!K:P,CODE!$P$1,FALSE)</f>
        <v>모자</v>
      </c>
      <c r="M48" s="24" t="str">
        <f>VLOOKUP(MID(Q48,1,3),CODE!$B:$G,CODE!D$1,FALSE)</f>
        <v>JIL</v>
      </c>
      <c r="N48" s="24" t="str">
        <f t="shared" si="10"/>
        <v>FA</v>
      </c>
      <c r="O48" s="29" t="str">
        <f>IF(ISERROR(IF(VLOOKUP($N48,CODE!$K:$P,CODE!$O$1,FALSE)="",$M48,$M48&amp;"-"&amp;VLOOKUP($N48,CODE!$K:$P,CODE!$O$1,FALSE)))=TRUE,"",IF(VLOOKUP($N48,CODE!$K:$P,CODE!$O$1,FALSE)="",$M48,$M48&amp;"-"&amp;VLOOKUP($N48,CODE!$K:$P,CODE!$O$1,FALSE)))</f>
        <v>JIL</v>
      </c>
      <c r="P48" s="29" t="str">
        <f t="shared" si="11"/>
        <v>JILFAE5104</v>
      </c>
      <c r="Q48" s="1" t="s">
        <v>843</v>
      </c>
      <c r="R48" s="1" t="s">
        <v>14</v>
      </c>
      <c r="S48" s="26">
        <v>500</v>
      </c>
      <c r="T48" s="26">
        <v>29500000</v>
      </c>
      <c r="U48" s="26">
        <v>3657535.0000000005</v>
      </c>
      <c r="V48" s="26">
        <v>7.3323103724726657</v>
      </c>
      <c r="W48" s="26">
        <v>0</v>
      </c>
      <c r="X48" s="26">
        <v>500</v>
      </c>
    </row>
    <row r="49" spans="1:24">
      <c r="A49" s="24" t="str">
        <f t="shared" si="4"/>
        <v>러닝</v>
      </c>
      <c r="B49" s="24" t="str">
        <f>IF(COUNTIF(Q$1:Q48,Q49)=0,"최초","리오더")</f>
        <v>최초</v>
      </c>
      <c r="C49" s="24" t="str">
        <f t="shared" si="5"/>
        <v>JILFAE5604</v>
      </c>
      <c r="D49" s="24">
        <f t="shared" si="0"/>
        <v>1</v>
      </c>
      <c r="E49" s="24" t="str">
        <f t="shared" si="6"/>
        <v/>
      </c>
      <c r="F49" s="24">
        <f t="shared" si="1"/>
        <v>0</v>
      </c>
      <c r="G49" s="24" t="str">
        <f t="shared" si="7"/>
        <v>JILFAE5604BK</v>
      </c>
      <c r="H49" s="24">
        <f t="shared" si="2"/>
        <v>1</v>
      </c>
      <c r="I49" s="24" t="str">
        <f t="shared" si="8"/>
        <v/>
      </c>
      <c r="J49" s="24">
        <f t="shared" si="3"/>
        <v>0</v>
      </c>
      <c r="K49" s="24" t="str">
        <f t="shared" si="9"/>
        <v>E5</v>
      </c>
      <c r="L49" s="24" t="str">
        <f>VLOOKUP(N49,CODE!K:P,CODE!$P$1,FALSE)</f>
        <v>모자</v>
      </c>
      <c r="M49" s="24" t="str">
        <f>VLOOKUP(MID(Q49,1,3),CODE!$B:$G,CODE!D$1,FALSE)</f>
        <v>JIL</v>
      </c>
      <c r="N49" s="24" t="str">
        <f t="shared" si="10"/>
        <v>FA</v>
      </c>
      <c r="O49" s="29" t="str">
        <f>IF(ISERROR(IF(VLOOKUP($N49,CODE!$K:$P,CODE!$O$1,FALSE)="",$M49,$M49&amp;"-"&amp;VLOOKUP($N49,CODE!$K:$P,CODE!$O$1,FALSE)))=TRUE,"",IF(VLOOKUP($N49,CODE!$K:$P,CODE!$O$1,FALSE)="",$M49,$M49&amp;"-"&amp;VLOOKUP($N49,CODE!$K:$P,CODE!$O$1,FALSE)))</f>
        <v>JIL</v>
      </c>
      <c r="P49" s="29" t="str">
        <f t="shared" si="11"/>
        <v>JILFAE5604</v>
      </c>
      <c r="Q49" s="1" t="s">
        <v>844</v>
      </c>
      <c r="R49" s="1" t="s">
        <v>14</v>
      </c>
      <c r="S49" s="26">
        <v>200</v>
      </c>
      <c r="T49" s="26">
        <v>9800000</v>
      </c>
      <c r="U49" s="26">
        <v>1451866.0000000002</v>
      </c>
      <c r="V49" s="26">
        <v>6.13630383870888</v>
      </c>
      <c r="W49" s="26">
        <v>0</v>
      </c>
      <c r="X49" s="26">
        <v>200</v>
      </c>
    </row>
    <row r="50" spans="1:24">
      <c r="A50" s="24" t="str">
        <f t="shared" si="4"/>
        <v>러닝</v>
      </c>
      <c r="B50" s="24" t="str">
        <f>IF(COUNTIF(Q$1:Q49,Q50)=0,"최초","리오더")</f>
        <v>최초</v>
      </c>
      <c r="C50" s="24" t="str">
        <f t="shared" si="5"/>
        <v>JOIEBE5106</v>
      </c>
      <c r="D50" s="24">
        <f t="shared" si="0"/>
        <v>1</v>
      </c>
      <c r="E50" s="24" t="str">
        <f t="shared" si="6"/>
        <v/>
      </c>
      <c r="F50" s="24">
        <f t="shared" si="1"/>
        <v>0</v>
      </c>
      <c r="G50" s="24" t="str">
        <f t="shared" si="7"/>
        <v>JOIEBE5106BW</v>
      </c>
      <c r="H50" s="24">
        <f t="shared" si="2"/>
        <v>1</v>
      </c>
      <c r="I50" s="24" t="str">
        <f t="shared" si="8"/>
        <v/>
      </c>
      <c r="J50" s="24">
        <f t="shared" si="3"/>
        <v>0</v>
      </c>
      <c r="K50" s="24" t="str">
        <f t="shared" si="9"/>
        <v>E5</v>
      </c>
      <c r="L50" s="24" t="str">
        <f>VLOOKUP(N50,CODE!K:P,CODE!$P$1,FALSE)</f>
        <v>모자</v>
      </c>
      <c r="M50" s="24" t="str">
        <f>VLOOKUP(MID(Q50,1,3),CODE!$B:$G,CODE!D$1,FALSE)</f>
        <v>JOI</v>
      </c>
      <c r="N50" s="24" t="str">
        <f t="shared" si="10"/>
        <v>EB</v>
      </c>
      <c r="O50" s="29" t="str">
        <f>IF(ISERROR(IF(VLOOKUP($N50,CODE!$K:$P,CODE!$O$1,FALSE)="",$M50,$M50&amp;"-"&amp;VLOOKUP($N50,CODE!$K:$P,CODE!$O$1,FALSE)))=TRUE,"",IF(VLOOKUP($N50,CODE!$K:$P,CODE!$O$1,FALSE)="",$M50,$M50&amp;"-"&amp;VLOOKUP($N50,CODE!$K:$P,CODE!$O$1,FALSE)))</f>
        <v>JOI</v>
      </c>
      <c r="P50" s="29" t="str">
        <f t="shared" si="11"/>
        <v>JOIEBE5106</v>
      </c>
      <c r="Q50" s="1" t="s">
        <v>845</v>
      </c>
      <c r="R50" s="1" t="s">
        <v>14</v>
      </c>
      <c r="S50" s="26">
        <v>500</v>
      </c>
      <c r="T50" s="26">
        <v>29500000</v>
      </c>
      <c r="U50" s="26">
        <v>4095235</v>
      </c>
      <c r="V50" s="26">
        <v>6.5486307423583305</v>
      </c>
      <c r="W50" s="26">
        <v>0</v>
      </c>
      <c r="X50" s="26">
        <v>500</v>
      </c>
    </row>
    <row r="51" spans="1:24">
      <c r="A51" s="24" t="str">
        <f t="shared" si="4"/>
        <v>러닝</v>
      </c>
      <c r="B51" s="24" t="str">
        <f>IF(COUNTIF(Q$1:Q50,Q51)=0,"최초","리오더")</f>
        <v>최초</v>
      </c>
      <c r="C51" s="24" t="str">
        <f t="shared" si="5"/>
        <v>JOIEBE5111</v>
      </c>
      <c r="D51" s="24">
        <f t="shared" si="0"/>
        <v>1</v>
      </c>
      <c r="E51" s="24" t="str">
        <f t="shared" si="6"/>
        <v/>
      </c>
      <c r="F51" s="24">
        <f t="shared" si="1"/>
        <v>0</v>
      </c>
      <c r="G51" s="24" t="str">
        <f t="shared" si="7"/>
        <v>JOIEBE5111GY</v>
      </c>
      <c r="H51" s="24">
        <f t="shared" si="2"/>
        <v>1</v>
      </c>
      <c r="I51" s="24" t="str">
        <f t="shared" si="8"/>
        <v/>
      </c>
      <c r="J51" s="24">
        <f t="shared" si="3"/>
        <v>0</v>
      </c>
      <c r="K51" s="24" t="str">
        <f t="shared" si="9"/>
        <v>E5</v>
      </c>
      <c r="L51" s="24" t="str">
        <f>VLOOKUP(N51,CODE!K:P,CODE!$P$1,FALSE)</f>
        <v>모자</v>
      </c>
      <c r="M51" s="24" t="str">
        <f>VLOOKUP(MID(Q51,1,3),CODE!$B:$G,CODE!D$1,FALSE)</f>
        <v>JOI</v>
      </c>
      <c r="N51" s="24" t="str">
        <f t="shared" si="10"/>
        <v>EB</v>
      </c>
      <c r="O51" s="29" t="str">
        <f>IF(ISERROR(IF(VLOOKUP($N51,CODE!$K:$P,CODE!$O$1,FALSE)="",$M51,$M51&amp;"-"&amp;VLOOKUP($N51,CODE!$K:$P,CODE!$O$1,FALSE)))=TRUE,"",IF(VLOOKUP($N51,CODE!$K:$P,CODE!$O$1,FALSE)="",$M51,$M51&amp;"-"&amp;VLOOKUP($N51,CODE!$K:$P,CODE!$O$1,FALSE)))</f>
        <v>JOI</v>
      </c>
      <c r="P51" s="29" t="str">
        <f t="shared" si="11"/>
        <v>JOIEBE5111</v>
      </c>
      <c r="Q51" s="1" t="s">
        <v>846</v>
      </c>
      <c r="R51" s="1" t="s">
        <v>14</v>
      </c>
      <c r="S51" s="26">
        <v>500</v>
      </c>
      <c r="T51" s="26">
        <v>27500000</v>
      </c>
      <c r="U51" s="26">
        <v>4349395</v>
      </c>
      <c r="V51" s="26">
        <v>5.7479258609530754</v>
      </c>
      <c r="W51" s="26">
        <v>0</v>
      </c>
      <c r="X51" s="26">
        <v>500</v>
      </c>
    </row>
    <row r="52" spans="1:24">
      <c r="A52" s="24" t="str">
        <f t="shared" si="4"/>
        <v>러닝</v>
      </c>
      <c r="B52" s="24" t="str">
        <f>IF(COUNTIF(Q$1:Q51,Q52)=0,"최초","리오더")</f>
        <v>최초</v>
      </c>
      <c r="C52" s="24" t="str">
        <f t="shared" si="5"/>
        <v>JOIEBE5604</v>
      </c>
      <c r="D52" s="24">
        <f t="shared" si="0"/>
        <v>1</v>
      </c>
      <c r="E52" s="24" t="str">
        <f t="shared" si="6"/>
        <v/>
      </c>
      <c r="F52" s="24">
        <f t="shared" si="1"/>
        <v>0</v>
      </c>
      <c r="G52" s="24" t="str">
        <f t="shared" si="7"/>
        <v>JOIEBE5604YE</v>
      </c>
      <c r="H52" s="24">
        <f t="shared" si="2"/>
        <v>1</v>
      </c>
      <c r="I52" s="24" t="str">
        <f t="shared" si="8"/>
        <v/>
      </c>
      <c r="J52" s="24">
        <f t="shared" si="3"/>
        <v>0</v>
      </c>
      <c r="K52" s="24" t="str">
        <f t="shared" si="9"/>
        <v>E5</v>
      </c>
      <c r="L52" s="24" t="str">
        <f>VLOOKUP(N52,CODE!K:P,CODE!$P$1,FALSE)</f>
        <v>모자</v>
      </c>
      <c r="M52" s="24" t="str">
        <f>VLOOKUP(MID(Q52,1,3),CODE!$B:$G,CODE!D$1,FALSE)</f>
        <v>JOI</v>
      </c>
      <c r="N52" s="24" t="str">
        <f t="shared" si="10"/>
        <v>EB</v>
      </c>
      <c r="O52" s="29" t="str">
        <f>IF(ISERROR(IF(VLOOKUP($N52,CODE!$K:$P,CODE!$O$1,FALSE)="",$M52,$M52&amp;"-"&amp;VLOOKUP($N52,CODE!$K:$P,CODE!$O$1,FALSE)))=TRUE,"",IF(VLOOKUP($N52,CODE!$K:$P,CODE!$O$1,FALSE)="",$M52,$M52&amp;"-"&amp;VLOOKUP($N52,CODE!$K:$P,CODE!$O$1,FALSE)))</f>
        <v>JOI</v>
      </c>
      <c r="P52" s="29" t="str">
        <f t="shared" si="11"/>
        <v>JOIEBE5604</v>
      </c>
      <c r="Q52" s="1" t="s">
        <v>847</v>
      </c>
      <c r="R52" s="1" t="s">
        <v>14</v>
      </c>
      <c r="S52" s="26">
        <v>500</v>
      </c>
      <c r="T52" s="26">
        <v>26500000</v>
      </c>
      <c r="U52" s="26">
        <v>3752200.0000000009</v>
      </c>
      <c r="V52" s="26">
        <v>6.4204757451386074</v>
      </c>
      <c r="W52" s="26">
        <v>0</v>
      </c>
      <c r="X52" s="26">
        <v>500</v>
      </c>
    </row>
    <row r="53" spans="1:24">
      <c r="A53" s="24" t="str">
        <f t="shared" si="4"/>
        <v>러닝</v>
      </c>
      <c r="B53" s="24" t="str">
        <f>IF(COUNTIF(Q$1:Q52,Q53)=0,"최초","리오더")</f>
        <v>최초</v>
      </c>
      <c r="C53" s="24" t="str">
        <f t="shared" si="5"/>
        <v>JOIEBE5606</v>
      </c>
      <c r="D53" s="24">
        <f t="shared" si="0"/>
        <v>1</v>
      </c>
      <c r="E53" s="24" t="str">
        <f t="shared" si="6"/>
        <v/>
      </c>
      <c r="F53" s="24">
        <f t="shared" si="1"/>
        <v>0</v>
      </c>
      <c r="G53" s="24" t="str">
        <f t="shared" si="7"/>
        <v>JOIEBE5606BW</v>
      </c>
      <c r="H53" s="24">
        <f t="shared" si="2"/>
        <v>1</v>
      </c>
      <c r="I53" s="24" t="str">
        <f t="shared" si="8"/>
        <v/>
      </c>
      <c r="J53" s="24">
        <f t="shared" si="3"/>
        <v>0</v>
      </c>
      <c r="K53" s="24" t="str">
        <f t="shared" si="9"/>
        <v>E5</v>
      </c>
      <c r="L53" s="24" t="str">
        <f>VLOOKUP(N53,CODE!K:P,CODE!$P$1,FALSE)</f>
        <v>모자</v>
      </c>
      <c r="M53" s="24" t="str">
        <f>VLOOKUP(MID(Q53,1,3),CODE!$B:$G,CODE!D$1,FALSE)</f>
        <v>JOI</v>
      </c>
      <c r="N53" s="24" t="str">
        <f t="shared" si="10"/>
        <v>EB</v>
      </c>
      <c r="O53" s="29" t="str">
        <f>IF(ISERROR(IF(VLOOKUP($N53,CODE!$K:$P,CODE!$O$1,FALSE)="",$M53,$M53&amp;"-"&amp;VLOOKUP($N53,CODE!$K:$P,CODE!$O$1,FALSE)))=TRUE,"",IF(VLOOKUP($N53,CODE!$K:$P,CODE!$O$1,FALSE)="",$M53,$M53&amp;"-"&amp;VLOOKUP($N53,CODE!$K:$P,CODE!$O$1,FALSE)))</f>
        <v>JOI</v>
      </c>
      <c r="P53" s="29" t="str">
        <f t="shared" si="11"/>
        <v>JOIEBE5606</v>
      </c>
      <c r="Q53" s="1" t="s">
        <v>848</v>
      </c>
      <c r="R53" s="1" t="s">
        <v>14</v>
      </c>
      <c r="S53" s="26">
        <v>500</v>
      </c>
      <c r="T53" s="26">
        <v>26500000</v>
      </c>
      <c r="U53" s="26">
        <v>3970495</v>
      </c>
      <c r="V53" s="26">
        <v>6.0674825408189887</v>
      </c>
      <c r="W53" s="26">
        <v>0</v>
      </c>
      <c r="X53" s="26">
        <v>500</v>
      </c>
    </row>
    <row r="54" spans="1:24">
      <c r="A54" s="24" t="str">
        <f t="shared" si="4"/>
        <v>러닝</v>
      </c>
      <c r="B54" s="24" t="str">
        <f>IF(COUNTIF(Q$1:Q53,Q54)=0,"최초","리오더")</f>
        <v>최초</v>
      </c>
      <c r="C54" s="24" t="str">
        <f t="shared" si="5"/>
        <v>BROERE5105</v>
      </c>
      <c r="D54" s="24">
        <f t="shared" si="0"/>
        <v>1</v>
      </c>
      <c r="E54" s="24" t="str">
        <f t="shared" si="6"/>
        <v/>
      </c>
      <c r="F54" s="24">
        <f t="shared" si="1"/>
        <v>0</v>
      </c>
      <c r="G54" s="24" t="str">
        <f t="shared" si="7"/>
        <v>BROERE5105RE</v>
      </c>
      <c r="H54" s="24">
        <f t="shared" si="2"/>
        <v>1</v>
      </c>
      <c r="I54" s="24" t="str">
        <f t="shared" si="8"/>
        <v/>
      </c>
      <c r="J54" s="24">
        <f t="shared" si="3"/>
        <v>0</v>
      </c>
      <c r="K54" s="24" t="str">
        <f t="shared" si="9"/>
        <v>E5</v>
      </c>
      <c r="L54" s="24" t="str">
        <f>VLOOKUP(N54,CODE!K:P,CODE!$P$1,FALSE)</f>
        <v>모자</v>
      </c>
      <c r="M54" s="24" t="str">
        <f>VLOOKUP(MID(Q54,1,3),CODE!$B:$G,CODE!D$1,FALSE)</f>
        <v>BRO</v>
      </c>
      <c r="N54" s="24" t="str">
        <f t="shared" si="10"/>
        <v>ER</v>
      </c>
      <c r="O54" s="29" t="str">
        <f>IF(ISERROR(IF(VLOOKUP($N54,CODE!$K:$P,CODE!$O$1,FALSE)="",$M54,$M54&amp;"-"&amp;VLOOKUP($N54,CODE!$K:$P,CODE!$O$1,FALSE)))=TRUE,"",IF(VLOOKUP($N54,CODE!$K:$P,CODE!$O$1,FALSE)="",$M54,$M54&amp;"-"&amp;VLOOKUP($N54,CODE!$K:$P,CODE!$O$1,FALSE)))</f>
        <v>BRO</v>
      </c>
      <c r="P54" s="29" t="str">
        <f t="shared" si="11"/>
        <v>BROERE5105</v>
      </c>
      <c r="Q54" s="1" t="s">
        <v>849</v>
      </c>
      <c r="R54" s="1" t="s">
        <v>14</v>
      </c>
      <c r="S54" s="26">
        <v>500</v>
      </c>
      <c r="T54" s="26">
        <v>29500000</v>
      </c>
      <c r="U54" s="26">
        <v>4970570</v>
      </c>
      <c r="V54" s="26">
        <v>5.3953936506641726</v>
      </c>
      <c r="W54" s="26">
        <v>0</v>
      </c>
      <c r="X54" s="26">
        <v>500</v>
      </c>
    </row>
    <row r="55" spans="1:24">
      <c r="A55" s="24" t="str">
        <f t="shared" si="4"/>
        <v>러닝</v>
      </c>
      <c r="B55" s="24" t="str">
        <f>IF(COUNTIF(Q$1:Q54,Q55)=0,"최초","리오더")</f>
        <v>최초</v>
      </c>
      <c r="C55" s="24" t="str">
        <f t="shared" si="5"/>
        <v>BROERE5106</v>
      </c>
      <c r="D55" s="24">
        <f t="shared" si="0"/>
        <v>1</v>
      </c>
      <c r="E55" s="24" t="str">
        <f t="shared" si="6"/>
        <v/>
      </c>
      <c r="F55" s="24">
        <f t="shared" si="1"/>
        <v>0</v>
      </c>
      <c r="G55" s="24" t="str">
        <f t="shared" si="7"/>
        <v>BROERE5106OR</v>
      </c>
      <c r="H55" s="24">
        <f t="shared" si="2"/>
        <v>1</v>
      </c>
      <c r="I55" s="24" t="str">
        <f t="shared" si="8"/>
        <v/>
      </c>
      <c r="J55" s="24">
        <f t="shared" si="3"/>
        <v>0</v>
      </c>
      <c r="K55" s="24" t="str">
        <f t="shared" si="9"/>
        <v>E5</v>
      </c>
      <c r="L55" s="24" t="str">
        <f>VLOOKUP(N55,CODE!K:P,CODE!$P$1,FALSE)</f>
        <v>모자</v>
      </c>
      <c r="M55" s="24" t="str">
        <f>VLOOKUP(MID(Q55,1,3),CODE!$B:$G,CODE!D$1,FALSE)</f>
        <v>BRO</v>
      </c>
      <c r="N55" s="24" t="str">
        <f t="shared" si="10"/>
        <v>ER</v>
      </c>
      <c r="O55" s="29" t="str">
        <f>IF(ISERROR(IF(VLOOKUP($N55,CODE!$K:$P,CODE!$O$1,FALSE)="",$M55,$M55&amp;"-"&amp;VLOOKUP($N55,CODE!$K:$P,CODE!$O$1,FALSE)))=TRUE,"",IF(VLOOKUP($N55,CODE!$K:$P,CODE!$O$1,FALSE)="",$M55,$M55&amp;"-"&amp;VLOOKUP($N55,CODE!$K:$P,CODE!$O$1,FALSE)))</f>
        <v>BRO</v>
      </c>
      <c r="P55" s="29" t="str">
        <f t="shared" si="11"/>
        <v>BROERE5106</v>
      </c>
      <c r="Q55" s="1" t="s">
        <v>850</v>
      </c>
      <c r="R55" s="1" t="s">
        <v>14</v>
      </c>
      <c r="S55" s="26">
        <v>500</v>
      </c>
      <c r="T55" s="26">
        <v>29500000</v>
      </c>
      <c r="U55" s="26">
        <v>4699330</v>
      </c>
      <c r="V55" s="26">
        <v>5.7068096554576542</v>
      </c>
      <c r="W55" s="26">
        <v>0</v>
      </c>
      <c r="X55" s="26">
        <v>500</v>
      </c>
    </row>
    <row r="56" spans="1:24">
      <c r="A56" s="24" t="str">
        <f t="shared" si="4"/>
        <v>러닝</v>
      </c>
      <c r="B56" s="24" t="str">
        <f>IF(COUNTIF(Q$1:Q55,Q56)=0,"최초","리오더")</f>
        <v>최초</v>
      </c>
      <c r="C56" s="24" t="str">
        <f t="shared" si="5"/>
        <v>BROERE5107</v>
      </c>
      <c r="D56" s="24">
        <f t="shared" si="0"/>
        <v>1</v>
      </c>
      <c r="E56" s="24" t="str">
        <f t="shared" si="6"/>
        <v/>
      </c>
      <c r="F56" s="24">
        <f t="shared" si="1"/>
        <v>0</v>
      </c>
      <c r="G56" s="24" t="str">
        <f t="shared" si="7"/>
        <v>BROERE5107PK</v>
      </c>
      <c r="H56" s="24">
        <f t="shared" si="2"/>
        <v>1</v>
      </c>
      <c r="I56" s="24" t="str">
        <f t="shared" si="8"/>
        <v/>
      </c>
      <c r="J56" s="24">
        <f t="shared" si="3"/>
        <v>0</v>
      </c>
      <c r="K56" s="24" t="str">
        <f t="shared" si="9"/>
        <v>E5</v>
      </c>
      <c r="L56" s="24" t="str">
        <f>VLOOKUP(N56,CODE!K:P,CODE!$P$1,FALSE)</f>
        <v>모자</v>
      </c>
      <c r="M56" s="24" t="str">
        <f>VLOOKUP(MID(Q56,1,3),CODE!$B:$G,CODE!D$1,FALSE)</f>
        <v>BRO</v>
      </c>
      <c r="N56" s="24" t="str">
        <f t="shared" si="10"/>
        <v>ER</v>
      </c>
      <c r="O56" s="29" t="str">
        <f>IF(ISERROR(IF(VLOOKUP($N56,CODE!$K:$P,CODE!$O$1,FALSE)="",$M56,$M56&amp;"-"&amp;VLOOKUP($N56,CODE!$K:$P,CODE!$O$1,FALSE)))=TRUE,"",IF(VLOOKUP($N56,CODE!$K:$P,CODE!$O$1,FALSE)="",$M56,$M56&amp;"-"&amp;VLOOKUP($N56,CODE!$K:$P,CODE!$O$1,FALSE)))</f>
        <v>BRO</v>
      </c>
      <c r="P56" s="29" t="str">
        <f t="shared" si="11"/>
        <v>BROERE5107</v>
      </c>
      <c r="Q56" s="1" t="s">
        <v>851</v>
      </c>
      <c r="R56" s="1" t="s">
        <v>14</v>
      </c>
      <c r="S56" s="26">
        <v>500</v>
      </c>
      <c r="T56" s="26">
        <v>29500000</v>
      </c>
      <c r="U56" s="26">
        <v>4919660</v>
      </c>
      <c r="V56" s="26">
        <v>5.4512266738314876</v>
      </c>
      <c r="W56" s="26">
        <v>0</v>
      </c>
      <c r="X56" s="26">
        <v>500</v>
      </c>
    </row>
    <row r="57" spans="1:24">
      <c r="A57" s="24" t="str">
        <f t="shared" si="4"/>
        <v>러닝</v>
      </c>
      <c r="B57" s="24" t="str">
        <f>IF(COUNTIF(Q$1:Q56,Q57)=0,"최초","리오더")</f>
        <v>최초</v>
      </c>
      <c r="C57" s="24" t="str">
        <f t="shared" si="5"/>
        <v>BROMIE5111</v>
      </c>
      <c r="D57" s="24">
        <f t="shared" si="0"/>
        <v>1</v>
      </c>
      <c r="E57" s="24" t="str">
        <f t="shared" si="6"/>
        <v/>
      </c>
      <c r="F57" s="24">
        <f t="shared" si="1"/>
        <v>0</v>
      </c>
      <c r="G57" s="24" t="str">
        <f t="shared" si="7"/>
        <v>BROMIE5111KH</v>
      </c>
      <c r="H57" s="24">
        <f t="shared" si="2"/>
        <v>1</v>
      </c>
      <c r="I57" s="24" t="str">
        <f t="shared" si="8"/>
        <v/>
      </c>
      <c r="J57" s="24">
        <f t="shared" si="3"/>
        <v>0</v>
      </c>
      <c r="K57" s="24" t="str">
        <f t="shared" si="9"/>
        <v>E5</v>
      </c>
      <c r="L57" s="24" t="str">
        <f>VLOOKUP(N57,CODE!K:P,CODE!$P$1,FALSE)</f>
        <v>모자</v>
      </c>
      <c r="M57" s="24" t="str">
        <f>VLOOKUP(MID(Q57,1,3),CODE!$B:$G,CODE!D$1,FALSE)</f>
        <v>BRO</v>
      </c>
      <c r="N57" s="24" t="str">
        <f t="shared" si="10"/>
        <v>MI</v>
      </c>
      <c r="O57" s="29" t="str">
        <f>IF(ISERROR(IF(VLOOKUP($N57,CODE!$K:$P,CODE!$O$1,FALSE)="",$M57,$M57&amp;"-"&amp;VLOOKUP($N57,CODE!$K:$P,CODE!$O$1,FALSE)))=TRUE,"",IF(VLOOKUP($N57,CODE!$K:$P,CODE!$O$1,FALSE)="",$M57,$M57&amp;"-"&amp;VLOOKUP($N57,CODE!$K:$P,CODE!$O$1,FALSE)))</f>
        <v>BRO</v>
      </c>
      <c r="P57" s="29" t="str">
        <f t="shared" si="11"/>
        <v>BROMIE5111</v>
      </c>
      <c r="Q57" s="1" t="s">
        <v>852</v>
      </c>
      <c r="R57" s="1" t="s">
        <v>14</v>
      </c>
      <c r="S57" s="26">
        <v>800</v>
      </c>
      <c r="T57" s="26">
        <v>47200000</v>
      </c>
      <c r="U57" s="26">
        <v>6529064.0000000009</v>
      </c>
      <c r="V57" s="26">
        <v>6.5720126053429562</v>
      </c>
      <c r="W57" s="26">
        <v>0</v>
      </c>
      <c r="X57" s="26">
        <v>800</v>
      </c>
    </row>
    <row r="58" spans="1:24">
      <c r="A58" s="24" t="str">
        <f t="shared" si="4"/>
        <v>러닝</v>
      </c>
      <c r="B58" s="24" t="str">
        <f>IF(COUNTIF(Q$1:Q57,Q58)=0,"최초","리오더")</f>
        <v>최초</v>
      </c>
      <c r="C58" s="24" t="str">
        <f t="shared" si="5"/>
        <v>BROERE5117</v>
      </c>
      <c r="D58" s="24">
        <f t="shared" si="0"/>
        <v>1</v>
      </c>
      <c r="E58" s="24" t="str">
        <f t="shared" si="6"/>
        <v/>
      </c>
      <c r="F58" s="24">
        <f t="shared" si="1"/>
        <v>0</v>
      </c>
      <c r="G58" s="24" t="str">
        <f t="shared" si="7"/>
        <v>BROERE5117KH</v>
      </c>
      <c r="H58" s="24">
        <f t="shared" si="2"/>
        <v>1</v>
      </c>
      <c r="I58" s="24" t="str">
        <f t="shared" si="8"/>
        <v/>
      </c>
      <c r="J58" s="24">
        <f t="shared" si="3"/>
        <v>0</v>
      </c>
      <c r="K58" s="24" t="str">
        <f t="shared" si="9"/>
        <v>E5</v>
      </c>
      <c r="L58" s="24" t="str">
        <f>VLOOKUP(N58,CODE!K:P,CODE!$P$1,FALSE)</f>
        <v>모자</v>
      </c>
      <c r="M58" s="24" t="str">
        <f>VLOOKUP(MID(Q58,1,3),CODE!$B:$G,CODE!D$1,FALSE)</f>
        <v>BRO</v>
      </c>
      <c r="N58" s="24" t="str">
        <f t="shared" si="10"/>
        <v>ER</v>
      </c>
      <c r="O58" s="29" t="str">
        <f>IF(ISERROR(IF(VLOOKUP($N58,CODE!$K:$P,CODE!$O$1,FALSE)="",$M58,$M58&amp;"-"&amp;VLOOKUP($N58,CODE!$K:$P,CODE!$O$1,FALSE)))=TRUE,"",IF(VLOOKUP($N58,CODE!$K:$P,CODE!$O$1,FALSE)="",$M58,$M58&amp;"-"&amp;VLOOKUP($N58,CODE!$K:$P,CODE!$O$1,FALSE)))</f>
        <v>BRO</v>
      </c>
      <c r="P58" s="29" t="str">
        <f t="shared" si="11"/>
        <v>BROERE5117</v>
      </c>
      <c r="Q58" s="1" t="s">
        <v>853</v>
      </c>
      <c r="R58" s="1" t="s">
        <v>14</v>
      </c>
      <c r="S58" s="26">
        <v>500</v>
      </c>
      <c r="T58" s="26">
        <v>27500000</v>
      </c>
      <c r="U58" s="26">
        <v>5555330</v>
      </c>
      <c r="V58" s="26">
        <v>4.5001827074179204</v>
      </c>
      <c r="W58" s="26">
        <v>0</v>
      </c>
      <c r="X58" s="26">
        <v>500</v>
      </c>
    </row>
    <row r="59" spans="1:24">
      <c r="A59" s="24" t="str">
        <f t="shared" si="4"/>
        <v>러닝</v>
      </c>
      <c r="B59" s="24" t="str">
        <f>IF(COUNTIF(Q$1:Q58,Q59)=0,"최초","리오더")</f>
        <v>최초</v>
      </c>
      <c r="C59" s="24" t="str">
        <f t="shared" si="5"/>
        <v>WTRTPE5109</v>
      </c>
      <c r="D59" s="24">
        <f t="shared" si="0"/>
        <v>1</v>
      </c>
      <c r="E59" s="24" t="str">
        <f t="shared" si="6"/>
        <v/>
      </c>
      <c r="F59" s="24">
        <f t="shared" si="1"/>
        <v>0</v>
      </c>
      <c r="G59" s="24" t="str">
        <f t="shared" si="7"/>
        <v>WTRTPE5109BL</v>
      </c>
      <c r="H59" s="24">
        <f t="shared" si="2"/>
        <v>1</v>
      </c>
      <c r="I59" s="24" t="str">
        <f t="shared" si="8"/>
        <v/>
      </c>
      <c r="J59" s="24">
        <f t="shared" si="3"/>
        <v>0</v>
      </c>
      <c r="K59" s="24" t="str">
        <f t="shared" si="9"/>
        <v>E5</v>
      </c>
      <c r="L59" s="24" t="str">
        <f>VLOOKUP(N59,CODE!K:P,CODE!$P$1,FALSE)</f>
        <v>모자</v>
      </c>
      <c r="M59" s="24" t="str">
        <f>VLOOKUP(MID(Q59,1,3),CODE!$B:$G,CODE!D$1,FALSE)</f>
        <v>WTR</v>
      </c>
      <c r="N59" s="24" t="str">
        <f t="shared" si="10"/>
        <v>TP</v>
      </c>
      <c r="O59" s="29" t="str">
        <f>IF(ISERROR(IF(VLOOKUP($N59,CODE!$K:$P,CODE!$O$1,FALSE)="",$M59,$M59&amp;"-"&amp;VLOOKUP($N59,CODE!$K:$P,CODE!$O$1,FALSE)))=TRUE,"",IF(VLOOKUP($N59,CODE!$K:$P,CODE!$O$1,FALSE)="",$M59,$M59&amp;"-"&amp;VLOOKUP($N59,CODE!$K:$P,CODE!$O$1,FALSE)))</f>
        <v>WTR</v>
      </c>
      <c r="P59" s="29" t="str">
        <f t="shared" si="11"/>
        <v>WTRTPE5109</v>
      </c>
      <c r="Q59" s="1" t="s">
        <v>854</v>
      </c>
      <c r="R59" s="1" t="s">
        <v>14</v>
      </c>
      <c r="S59" s="26">
        <v>800</v>
      </c>
      <c r="T59" s="26">
        <v>63200000</v>
      </c>
      <c r="U59" s="26">
        <v>12774622.4</v>
      </c>
      <c r="V59" s="26">
        <v>4.4975533252979316</v>
      </c>
      <c r="W59" s="26">
        <v>0</v>
      </c>
      <c r="X59" s="26">
        <v>800</v>
      </c>
    </row>
    <row r="60" spans="1:24">
      <c r="A60" s="24" t="str">
        <f t="shared" si="4"/>
        <v>신규</v>
      </c>
      <c r="B60" s="24" t="str">
        <f>IF(COUNTIF(Q$1:Q59,Q60)=0,"최초","리오더")</f>
        <v>최초</v>
      </c>
      <c r="C60" s="24" t="str">
        <f t="shared" si="5"/>
        <v>TRUBAE3301</v>
      </c>
      <c r="D60" s="24">
        <f t="shared" si="0"/>
        <v>1</v>
      </c>
      <c r="E60" s="24" t="str">
        <f t="shared" si="6"/>
        <v/>
      </c>
      <c r="F60" s="24">
        <f t="shared" si="1"/>
        <v>0</v>
      </c>
      <c r="G60" s="24" t="str">
        <f t="shared" si="7"/>
        <v>TRUBAE3301RE</v>
      </c>
      <c r="H60" s="24">
        <f t="shared" si="2"/>
        <v>1</v>
      </c>
      <c r="I60" s="24" t="str">
        <f t="shared" si="8"/>
        <v/>
      </c>
      <c r="J60" s="24">
        <f t="shared" si="3"/>
        <v>0</v>
      </c>
      <c r="K60" s="24" t="str">
        <f t="shared" si="9"/>
        <v>E3</v>
      </c>
      <c r="L60" s="24" t="str">
        <f>VLOOKUP(N60,CODE!K:P,CODE!$P$1,FALSE)</f>
        <v>모자</v>
      </c>
      <c r="M60" s="24" t="str">
        <f>VLOOKUP(MID(Q60,1,3),CODE!$B:$G,CODE!D$1,FALSE)</f>
        <v>TRU</v>
      </c>
      <c r="N60" s="24" t="str">
        <f t="shared" si="10"/>
        <v>BA</v>
      </c>
      <c r="O60" s="29" t="str">
        <f>IF(ISERROR(IF(VLOOKUP($N60,CODE!$K:$P,CODE!$O$1,FALSE)="",$M60,$M60&amp;"-"&amp;VLOOKUP($N60,CODE!$K:$P,CODE!$O$1,FALSE)))=TRUE,"",IF(VLOOKUP($N60,CODE!$K:$P,CODE!$O$1,FALSE)="",$M60,$M60&amp;"-"&amp;VLOOKUP($N60,CODE!$K:$P,CODE!$O$1,FALSE)))</f>
        <v>TRU</v>
      </c>
      <c r="P60" s="29" t="str">
        <f t="shared" si="11"/>
        <v>TRUBAE3301</v>
      </c>
      <c r="Q60" s="1" t="s">
        <v>855</v>
      </c>
      <c r="R60" s="1" t="s">
        <v>15</v>
      </c>
      <c r="S60" s="26">
        <v>168</v>
      </c>
      <c r="T60" s="26">
        <v>28392000</v>
      </c>
      <c r="U60" s="26">
        <v>7470096.8160000015</v>
      </c>
      <c r="V60" s="26">
        <v>3.455230866034479</v>
      </c>
      <c r="W60" s="26">
        <v>0</v>
      </c>
      <c r="X60" s="26">
        <v>168</v>
      </c>
    </row>
    <row r="61" spans="1:24">
      <c r="A61" s="24" t="str">
        <f t="shared" si="4"/>
        <v>신규</v>
      </c>
      <c r="B61" s="24" t="str">
        <f>IF(COUNTIF(Q$1:Q60,Q61)=0,"최초","리오더")</f>
        <v>최초</v>
      </c>
      <c r="C61" s="24" t="str">
        <f t="shared" si="5"/>
        <v>TRUBAE3302</v>
      </c>
      <c r="D61" s="24">
        <f t="shared" si="0"/>
        <v>0.5</v>
      </c>
      <c r="E61" s="24" t="str">
        <f t="shared" si="6"/>
        <v/>
      </c>
      <c r="F61" s="24">
        <f t="shared" si="1"/>
        <v>0</v>
      </c>
      <c r="G61" s="24" t="str">
        <f t="shared" si="7"/>
        <v>TRUBAE3302RE</v>
      </c>
      <c r="H61" s="24">
        <f t="shared" si="2"/>
        <v>1</v>
      </c>
      <c r="I61" s="24" t="str">
        <f t="shared" si="8"/>
        <v/>
      </c>
      <c r="J61" s="24">
        <f t="shared" si="3"/>
        <v>0</v>
      </c>
      <c r="K61" s="24" t="str">
        <f t="shared" si="9"/>
        <v>E3</v>
      </c>
      <c r="L61" s="24" t="str">
        <f>VLOOKUP(N61,CODE!K:P,CODE!$P$1,FALSE)</f>
        <v>모자</v>
      </c>
      <c r="M61" s="24" t="str">
        <f>VLOOKUP(MID(Q61,1,3),CODE!$B:$G,CODE!D$1,FALSE)</f>
        <v>TRU</v>
      </c>
      <c r="N61" s="24" t="str">
        <f t="shared" si="10"/>
        <v>BA</v>
      </c>
      <c r="O61" s="29" t="str">
        <f>IF(ISERROR(IF(VLOOKUP($N61,CODE!$K:$P,CODE!$O$1,FALSE)="",$M61,$M61&amp;"-"&amp;VLOOKUP($N61,CODE!$K:$P,CODE!$O$1,FALSE)))=TRUE,"",IF(VLOOKUP($N61,CODE!$K:$P,CODE!$O$1,FALSE)="",$M61,$M61&amp;"-"&amp;VLOOKUP($N61,CODE!$K:$P,CODE!$O$1,FALSE)))</f>
        <v>TRU</v>
      </c>
      <c r="P61" s="29" t="str">
        <f t="shared" si="11"/>
        <v>TRUBAE3302</v>
      </c>
      <c r="Q61" s="1" t="s">
        <v>856</v>
      </c>
      <c r="R61" s="1" t="s">
        <v>15</v>
      </c>
      <c r="S61" s="26">
        <v>168</v>
      </c>
      <c r="T61" s="26">
        <v>23352000</v>
      </c>
      <c r="U61" s="26">
        <v>5898372.8160000006</v>
      </c>
      <c r="V61" s="26">
        <v>3.5991436233912864</v>
      </c>
      <c r="W61" s="26">
        <v>0</v>
      </c>
      <c r="X61" s="26">
        <v>168</v>
      </c>
    </row>
    <row r="62" spans="1:24">
      <c r="A62" s="24" t="str">
        <f t="shared" si="4"/>
        <v>신규</v>
      </c>
      <c r="B62" s="24" t="str">
        <f>IF(COUNTIF(Q$1:Q61,Q62)=0,"최초","리오더")</f>
        <v>최초</v>
      </c>
      <c r="C62" s="24" t="str">
        <f t="shared" si="5"/>
        <v>TRUBAE3302</v>
      </c>
      <c r="D62" s="24">
        <f t="shared" si="0"/>
        <v>0.5</v>
      </c>
      <c r="E62" s="24" t="str">
        <f t="shared" si="6"/>
        <v/>
      </c>
      <c r="F62" s="24">
        <f t="shared" si="1"/>
        <v>0</v>
      </c>
      <c r="G62" s="24" t="str">
        <f t="shared" si="7"/>
        <v>TRUBAE3302BK</v>
      </c>
      <c r="H62" s="24">
        <f t="shared" si="2"/>
        <v>1</v>
      </c>
      <c r="I62" s="24" t="str">
        <f t="shared" si="8"/>
        <v/>
      </c>
      <c r="J62" s="24">
        <f t="shared" si="3"/>
        <v>0</v>
      </c>
      <c r="K62" s="24" t="str">
        <f t="shared" si="9"/>
        <v>E3</v>
      </c>
      <c r="L62" s="24" t="str">
        <f>VLOOKUP(N62,CODE!K:P,CODE!$P$1,FALSE)</f>
        <v>모자</v>
      </c>
      <c r="M62" s="24" t="str">
        <f>VLOOKUP(MID(Q62,1,3),CODE!$B:$G,CODE!D$1,FALSE)</f>
        <v>TRU</v>
      </c>
      <c r="N62" s="24" t="str">
        <f t="shared" si="10"/>
        <v>BA</v>
      </c>
      <c r="O62" s="29" t="str">
        <f>IF(ISERROR(IF(VLOOKUP($N62,CODE!$K:$P,CODE!$O$1,FALSE)="",$M62,$M62&amp;"-"&amp;VLOOKUP($N62,CODE!$K:$P,CODE!$O$1,FALSE)))=TRUE,"",IF(VLOOKUP($N62,CODE!$K:$P,CODE!$O$1,FALSE)="",$M62,$M62&amp;"-"&amp;VLOOKUP($N62,CODE!$K:$P,CODE!$O$1,FALSE)))</f>
        <v>TRU</v>
      </c>
      <c r="P62" s="29" t="str">
        <f t="shared" si="11"/>
        <v>TRUBAE3302</v>
      </c>
      <c r="Q62" s="1" t="s">
        <v>857</v>
      </c>
      <c r="R62" s="1" t="s">
        <v>15</v>
      </c>
      <c r="S62" s="26">
        <v>144</v>
      </c>
      <c r="T62" s="26">
        <v>20016000</v>
      </c>
      <c r="U62" s="26">
        <v>5055748.1280000005</v>
      </c>
      <c r="V62" s="26">
        <v>3.5991436233912864</v>
      </c>
      <c r="W62" s="26">
        <v>0</v>
      </c>
      <c r="X62" s="26">
        <v>144</v>
      </c>
    </row>
    <row r="63" spans="1:24">
      <c r="A63" s="24" t="str">
        <f t="shared" si="4"/>
        <v>신규</v>
      </c>
      <c r="B63" s="24" t="str">
        <f>IF(COUNTIF(Q$1:Q62,Q63)=0,"최초","리오더")</f>
        <v>최초</v>
      </c>
      <c r="C63" s="24" t="str">
        <f t="shared" si="5"/>
        <v>TRUBAE3303</v>
      </c>
      <c r="D63" s="24">
        <f t="shared" si="0"/>
        <v>0.25</v>
      </c>
      <c r="E63" s="24" t="str">
        <f t="shared" si="6"/>
        <v/>
      </c>
      <c r="F63" s="24">
        <f t="shared" si="1"/>
        <v>0</v>
      </c>
      <c r="G63" s="24" t="str">
        <f t="shared" si="7"/>
        <v>TRUBAE3303BL</v>
      </c>
      <c r="H63" s="24">
        <f t="shared" si="2"/>
        <v>0.5</v>
      </c>
      <c r="I63" s="24" t="str">
        <f t="shared" si="8"/>
        <v/>
      </c>
      <c r="J63" s="24">
        <f t="shared" si="3"/>
        <v>0</v>
      </c>
      <c r="K63" s="24" t="str">
        <f t="shared" si="9"/>
        <v>E3</v>
      </c>
      <c r="L63" s="24" t="str">
        <f>VLOOKUP(N63,CODE!K:P,CODE!$P$1,FALSE)</f>
        <v>모자</v>
      </c>
      <c r="M63" s="24" t="str">
        <f>VLOOKUP(MID(Q63,1,3),CODE!$B:$G,CODE!D$1,FALSE)</f>
        <v>TRU</v>
      </c>
      <c r="N63" s="24" t="str">
        <f t="shared" si="10"/>
        <v>BA</v>
      </c>
      <c r="O63" s="29" t="str">
        <f>IF(ISERROR(IF(VLOOKUP($N63,CODE!$K:$P,CODE!$O$1,FALSE)="",$M63,$M63&amp;"-"&amp;VLOOKUP($N63,CODE!$K:$P,CODE!$O$1,FALSE)))=TRUE,"",IF(VLOOKUP($N63,CODE!$K:$P,CODE!$O$1,FALSE)="",$M63,$M63&amp;"-"&amp;VLOOKUP($N63,CODE!$K:$P,CODE!$O$1,FALSE)))</f>
        <v>TRU</v>
      </c>
      <c r="P63" s="29" t="str">
        <f t="shared" si="11"/>
        <v>TRUBAE3303</v>
      </c>
      <c r="Q63" s="1" t="s">
        <v>858</v>
      </c>
      <c r="R63" s="1" t="s">
        <v>15</v>
      </c>
      <c r="S63" s="26">
        <v>108</v>
      </c>
      <c r="T63" s="26">
        <v>18252000</v>
      </c>
      <c r="U63" s="26">
        <v>4802205.0960000008</v>
      </c>
      <c r="V63" s="26">
        <v>3.455230866034479</v>
      </c>
      <c r="W63" s="26">
        <v>0</v>
      </c>
      <c r="X63" s="26">
        <v>108</v>
      </c>
    </row>
    <row r="64" spans="1:24">
      <c r="A64" s="24" t="str">
        <f t="shared" si="4"/>
        <v>신규</v>
      </c>
      <c r="B64" s="24" t="str">
        <f>IF(COUNTIF(Q$1:Q63,Q64)=0,"최초","리오더")</f>
        <v>최초</v>
      </c>
      <c r="C64" s="24" t="str">
        <f t="shared" si="5"/>
        <v>TRUBAE3303</v>
      </c>
      <c r="D64" s="24">
        <f t="shared" si="0"/>
        <v>0.25</v>
      </c>
      <c r="E64" s="24" t="str">
        <f t="shared" si="6"/>
        <v/>
      </c>
      <c r="F64" s="24">
        <f t="shared" si="1"/>
        <v>0</v>
      </c>
      <c r="G64" s="24" t="str">
        <f t="shared" si="7"/>
        <v>TRUBAE3303RE</v>
      </c>
      <c r="H64" s="24">
        <f t="shared" si="2"/>
        <v>1</v>
      </c>
      <c r="I64" s="24" t="str">
        <f t="shared" si="8"/>
        <v/>
      </c>
      <c r="J64" s="24">
        <f t="shared" si="3"/>
        <v>0</v>
      </c>
      <c r="K64" s="24" t="str">
        <f t="shared" si="9"/>
        <v>E3</v>
      </c>
      <c r="L64" s="24" t="str">
        <f>VLOOKUP(N64,CODE!K:P,CODE!$P$1,FALSE)</f>
        <v>모자</v>
      </c>
      <c r="M64" s="24" t="str">
        <f>VLOOKUP(MID(Q64,1,3),CODE!$B:$G,CODE!D$1,FALSE)</f>
        <v>TRU</v>
      </c>
      <c r="N64" s="24" t="str">
        <f t="shared" si="10"/>
        <v>BA</v>
      </c>
      <c r="O64" s="29" t="str">
        <f>IF(ISERROR(IF(VLOOKUP($N64,CODE!$K:$P,CODE!$O$1,FALSE)="",$M64,$M64&amp;"-"&amp;VLOOKUP($N64,CODE!$K:$P,CODE!$O$1,FALSE)))=TRUE,"",IF(VLOOKUP($N64,CODE!$K:$P,CODE!$O$1,FALSE)="",$M64,$M64&amp;"-"&amp;VLOOKUP($N64,CODE!$K:$P,CODE!$O$1,FALSE)))</f>
        <v>TRU</v>
      </c>
      <c r="P64" s="29" t="str">
        <f t="shared" si="11"/>
        <v>TRUBAE3303</v>
      </c>
      <c r="Q64" s="1" t="s">
        <v>859</v>
      </c>
      <c r="R64" s="1" t="s">
        <v>15</v>
      </c>
      <c r="S64" s="26">
        <v>168</v>
      </c>
      <c r="T64" s="26">
        <v>28392000</v>
      </c>
      <c r="U64" s="26">
        <v>7470096.8160000015</v>
      </c>
      <c r="V64" s="26">
        <v>3.455230866034479</v>
      </c>
      <c r="W64" s="26">
        <v>0</v>
      </c>
      <c r="X64" s="26">
        <v>168</v>
      </c>
    </row>
    <row r="65" spans="1:24">
      <c r="A65" s="24" t="str">
        <f t="shared" si="4"/>
        <v>신규</v>
      </c>
      <c r="B65" s="24" t="str">
        <f>IF(COUNTIF(Q$1:Q64,Q65)=0,"최초","리오더")</f>
        <v>최초</v>
      </c>
      <c r="C65" s="24" t="str">
        <f t="shared" si="5"/>
        <v>TRUBAE3303</v>
      </c>
      <c r="D65" s="24">
        <f t="shared" si="0"/>
        <v>0.25</v>
      </c>
      <c r="E65" s="24" t="str">
        <f t="shared" si="6"/>
        <v/>
      </c>
      <c r="F65" s="24">
        <f t="shared" si="1"/>
        <v>0</v>
      </c>
      <c r="G65" s="24" t="str">
        <f t="shared" si="7"/>
        <v>TRUBAE3303PK</v>
      </c>
      <c r="H65" s="24">
        <f t="shared" si="2"/>
        <v>1</v>
      </c>
      <c r="I65" s="24" t="str">
        <f t="shared" si="8"/>
        <v/>
      </c>
      <c r="J65" s="24">
        <f t="shared" si="3"/>
        <v>0</v>
      </c>
      <c r="K65" s="24" t="str">
        <f t="shared" si="9"/>
        <v>E3</v>
      </c>
      <c r="L65" s="24" t="str">
        <f>VLOOKUP(N65,CODE!K:P,CODE!$P$1,FALSE)</f>
        <v>모자</v>
      </c>
      <c r="M65" s="24" t="str">
        <f>VLOOKUP(MID(Q65,1,3),CODE!$B:$G,CODE!D$1,FALSE)</f>
        <v>TRU</v>
      </c>
      <c r="N65" s="24" t="str">
        <f t="shared" si="10"/>
        <v>BA</v>
      </c>
      <c r="O65" s="29" t="str">
        <f>IF(ISERROR(IF(VLOOKUP($N65,CODE!$K:$P,CODE!$O$1,FALSE)="",$M65,$M65&amp;"-"&amp;VLOOKUP($N65,CODE!$K:$P,CODE!$O$1,FALSE)))=TRUE,"",IF(VLOOKUP($N65,CODE!$K:$P,CODE!$O$1,FALSE)="",$M65,$M65&amp;"-"&amp;VLOOKUP($N65,CODE!$K:$P,CODE!$O$1,FALSE)))</f>
        <v>TRU</v>
      </c>
      <c r="P65" s="29" t="str">
        <f t="shared" si="11"/>
        <v>TRUBAE3303</v>
      </c>
      <c r="Q65" s="1" t="s">
        <v>860</v>
      </c>
      <c r="R65" s="1" t="s">
        <v>15</v>
      </c>
      <c r="S65" s="26">
        <v>108</v>
      </c>
      <c r="T65" s="26">
        <v>18252000</v>
      </c>
      <c r="U65" s="26">
        <v>4802205.0960000008</v>
      </c>
      <c r="V65" s="26">
        <v>3.455230866034479</v>
      </c>
      <c r="W65" s="26">
        <v>0</v>
      </c>
      <c r="X65" s="26">
        <v>108</v>
      </c>
    </row>
    <row r="66" spans="1:24">
      <c r="A66" s="24" t="str">
        <f t="shared" si="4"/>
        <v>신규</v>
      </c>
      <c r="B66" s="85" t="s">
        <v>1596</v>
      </c>
      <c r="C66" s="24" t="str">
        <f t="shared" si="5"/>
        <v>TRUBAE3303</v>
      </c>
      <c r="D66" s="24">
        <f t="shared" ref="D66:D129" si="12">IF(C66="",0,1/COUNTIF(C:C,C66))</f>
        <v>0.25</v>
      </c>
      <c r="E66" s="24" t="str">
        <f t="shared" si="6"/>
        <v/>
      </c>
      <c r="F66" s="24">
        <f t="shared" ref="F66:F129" si="13">IF(E66="",0,1/COUNTIF(E:E,E66))</f>
        <v>0</v>
      </c>
      <c r="G66" s="24" t="str">
        <f t="shared" si="7"/>
        <v>TRUBAE3303BL</v>
      </c>
      <c r="H66" s="24">
        <f t="shared" ref="H66:H129" si="14">IF(G66="",0,1/COUNTIF(G:G,G66))</f>
        <v>0.5</v>
      </c>
      <c r="I66" s="24" t="str">
        <f t="shared" si="8"/>
        <v/>
      </c>
      <c r="J66" s="24">
        <f t="shared" ref="J66:J129" si="15">IF(I66="",0,1/COUNTIF(I:I,I66))</f>
        <v>0</v>
      </c>
      <c r="K66" s="24" t="str">
        <f t="shared" si="9"/>
        <v>E3</v>
      </c>
      <c r="L66" s="24" t="str">
        <f>VLOOKUP(N66,CODE!K:P,CODE!$P$1,FALSE)</f>
        <v>모자</v>
      </c>
      <c r="M66" s="24" t="str">
        <f>VLOOKUP(MID(Q66,1,3),CODE!$B:$G,CODE!D$1,FALSE)</f>
        <v>TRU</v>
      </c>
      <c r="N66" s="24" t="str">
        <f t="shared" si="10"/>
        <v>BA</v>
      </c>
      <c r="O66" s="29" t="str">
        <f>IF(ISERROR(IF(VLOOKUP($N66,CODE!$K:$P,CODE!$O$1,FALSE)="",$M66,$M66&amp;"-"&amp;VLOOKUP($N66,CODE!$K:$P,CODE!$O$1,FALSE)))=TRUE,"",IF(VLOOKUP($N66,CODE!$K:$P,CODE!$O$1,FALSE)="",$M66,$M66&amp;"-"&amp;VLOOKUP($N66,CODE!$K:$P,CODE!$O$1,FALSE)))</f>
        <v>TRU</v>
      </c>
      <c r="P66" s="29" t="str">
        <f t="shared" si="11"/>
        <v>TRUBAE3303</v>
      </c>
      <c r="Q66" s="1" t="s">
        <v>858</v>
      </c>
      <c r="R66" s="1" t="s">
        <v>15</v>
      </c>
      <c r="S66" s="26">
        <v>108</v>
      </c>
      <c r="T66" s="26">
        <v>18252000</v>
      </c>
      <c r="U66" s="26">
        <v>4802205.0960000008</v>
      </c>
      <c r="V66" s="26">
        <v>3.455230866034479</v>
      </c>
      <c r="W66" s="26">
        <v>0</v>
      </c>
      <c r="X66" s="26">
        <v>108</v>
      </c>
    </row>
    <row r="67" spans="1:24">
      <c r="A67" s="24" t="str">
        <f t="shared" ref="A67:A130" si="16">IF(OR(MID(Q67,8,1)="3",MID(Q67,8,1)="8"),"신규","러닝")</f>
        <v>신규</v>
      </c>
      <c r="B67" s="24" t="str">
        <f>IF(COUNTIF(Q$1:Q66,Q67)=0,"최초","리오더")</f>
        <v>최초</v>
      </c>
      <c r="C67" s="24" t="str">
        <f t="shared" ref="C67:C130" si="17">IF($B67="리오더","",P67)</f>
        <v>TRUBAE3304</v>
      </c>
      <c r="D67" s="24">
        <f t="shared" si="12"/>
        <v>0.33333333333333331</v>
      </c>
      <c r="E67" s="24" t="str">
        <f t="shared" ref="E67:E130" si="18">IF($B67="리오더",P67,"")</f>
        <v/>
      </c>
      <c r="F67" s="24">
        <f t="shared" si="13"/>
        <v>0</v>
      </c>
      <c r="G67" s="24" t="str">
        <f t="shared" ref="G67:G130" si="19">IF($B67="리오더","",Q67)</f>
        <v>TRUBAE3304CL</v>
      </c>
      <c r="H67" s="24">
        <f t="shared" si="14"/>
        <v>1</v>
      </c>
      <c r="I67" s="24" t="str">
        <f t="shared" ref="I67:I130" si="20">IF($B67="리오더",Q67,"")</f>
        <v/>
      </c>
      <c r="J67" s="24">
        <f t="shared" si="15"/>
        <v>0</v>
      </c>
      <c r="K67" s="24" t="str">
        <f t="shared" ref="K67:K130" si="21">MID(Q67,6,2)</f>
        <v>E3</v>
      </c>
      <c r="L67" s="24" t="str">
        <f>VLOOKUP(N67,CODE!K:P,CODE!$P$1,FALSE)</f>
        <v>모자</v>
      </c>
      <c r="M67" s="24" t="str">
        <f>VLOOKUP(MID(Q67,1,3),CODE!$B:$G,CODE!D$1,FALSE)</f>
        <v>TRU</v>
      </c>
      <c r="N67" s="24" t="str">
        <f t="shared" ref="N67:N130" si="22">MID(Q67,4,2)</f>
        <v>BA</v>
      </c>
      <c r="O67" s="29" t="str">
        <f>IF(ISERROR(IF(VLOOKUP($N67,CODE!$K:$P,CODE!$O$1,FALSE)="",$M67,$M67&amp;"-"&amp;VLOOKUP($N67,CODE!$K:$P,CODE!$O$1,FALSE)))=TRUE,"",IF(VLOOKUP($N67,CODE!$K:$P,CODE!$O$1,FALSE)="",$M67,$M67&amp;"-"&amp;VLOOKUP($N67,CODE!$K:$P,CODE!$O$1,FALSE)))</f>
        <v>TRU</v>
      </c>
      <c r="P67" s="29" t="str">
        <f t="shared" ref="P67:P130" si="23">MID(Q67,1,10)</f>
        <v>TRUBAE3304</v>
      </c>
      <c r="Q67" s="1" t="s">
        <v>861</v>
      </c>
      <c r="R67" s="1" t="s">
        <v>15</v>
      </c>
      <c r="S67" s="26">
        <v>108</v>
      </c>
      <c r="T67" s="26">
        <v>12420000</v>
      </c>
      <c r="U67" s="26">
        <v>3286614.0959999999</v>
      </c>
      <c r="V67" s="26">
        <v>3.4354228275996204</v>
      </c>
      <c r="W67" s="26">
        <v>0</v>
      </c>
      <c r="X67" s="26">
        <v>108</v>
      </c>
    </row>
    <row r="68" spans="1:24">
      <c r="A68" s="24" t="str">
        <f t="shared" si="16"/>
        <v>신규</v>
      </c>
      <c r="B68" s="24" t="str">
        <f>IF(COUNTIF(Q$1:Q67,Q68)=0,"최초","리오더")</f>
        <v>최초</v>
      </c>
      <c r="C68" s="24" t="str">
        <f t="shared" si="17"/>
        <v>TRUBAE3304</v>
      </c>
      <c r="D68" s="24">
        <f t="shared" si="12"/>
        <v>0.33333333333333331</v>
      </c>
      <c r="E68" s="24" t="str">
        <f t="shared" si="18"/>
        <v/>
      </c>
      <c r="F68" s="24">
        <f t="shared" si="13"/>
        <v>0</v>
      </c>
      <c r="G68" s="24" t="str">
        <f t="shared" si="19"/>
        <v>TRUBAE3304NY</v>
      </c>
      <c r="H68" s="24">
        <f t="shared" si="14"/>
        <v>1</v>
      </c>
      <c r="I68" s="24" t="str">
        <f t="shared" si="20"/>
        <v/>
      </c>
      <c r="J68" s="24">
        <f t="shared" si="15"/>
        <v>0</v>
      </c>
      <c r="K68" s="24" t="str">
        <f t="shared" si="21"/>
        <v>E3</v>
      </c>
      <c r="L68" s="24" t="str">
        <f>VLOOKUP(N68,CODE!K:P,CODE!$P$1,FALSE)</f>
        <v>모자</v>
      </c>
      <c r="M68" s="24" t="str">
        <f>VLOOKUP(MID(Q68,1,3),CODE!$B:$G,CODE!D$1,FALSE)</f>
        <v>TRU</v>
      </c>
      <c r="N68" s="24" t="str">
        <f t="shared" si="22"/>
        <v>BA</v>
      </c>
      <c r="O68" s="29" t="str">
        <f>IF(ISERROR(IF(VLOOKUP($N68,CODE!$K:$P,CODE!$O$1,FALSE)="",$M68,$M68&amp;"-"&amp;VLOOKUP($N68,CODE!$K:$P,CODE!$O$1,FALSE)))=TRUE,"",IF(VLOOKUP($N68,CODE!$K:$P,CODE!$O$1,FALSE)="",$M68,$M68&amp;"-"&amp;VLOOKUP($N68,CODE!$K:$P,CODE!$O$1,FALSE)))</f>
        <v>TRU</v>
      </c>
      <c r="P68" s="29" t="str">
        <f t="shared" si="23"/>
        <v>TRUBAE3304</v>
      </c>
      <c r="Q68" s="1" t="s">
        <v>862</v>
      </c>
      <c r="R68" s="1" t="s">
        <v>15</v>
      </c>
      <c r="S68" s="26">
        <v>144</v>
      </c>
      <c r="T68" s="26">
        <v>16560000</v>
      </c>
      <c r="U68" s="26">
        <v>4382152.1280000005</v>
      </c>
      <c r="V68" s="26">
        <v>3.4354228275996195</v>
      </c>
      <c r="W68" s="26">
        <v>0</v>
      </c>
      <c r="X68" s="26">
        <v>144</v>
      </c>
    </row>
    <row r="69" spans="1:24">
      <c r="A69" s="24" t="str">
        <f t="shared" si="16"/>
        <v>신규</v>
      </c>
      <c r="B69" s="24" t="str">
        <f>IF(COUNTIF(Q$1:Q68,Q69)=0,"최초","리오더")</f>
        <v>최초</v>
      </c>
      <c r="C69" s="24" t="str">
        <f t="shared" si="17"/>
        <v>TRUBAE3304</v>
      </c>
      <c r="D69" s="24">
        <f t="shared" si="12"/>
        <v>0.33333333333333331</v>
      </c>
      <c r="E69" s="24" t="str">
        <f t="shared" si="18"/>
        <v/>
      </c>
      <c r="F69" s="24">
        <f t="shared" si="13"/>
        <v>0</v>
      </c>
      <c r="G69" s="24" t="str">
        <f t="shared" si="19"/>
        <v>TRUBAE3304RE</v>
      </c>
      <c r="H69" s="24">
        <f t="shared" si="14"/>
        <v>1</v>
      </c>
      <c r="I69" s="24" t="str">
        <f t="shared" si="20"/>
        <v/>
      </c>
      <c r="J69" s="24">
        <f t="shared" si="15"/>
        <v>0</v>
      </c>
      <c r="K69" s="24" t="str">
        <f t="shared" si="21"/>
        <v>E3</v>
      </c>
      <c r="L69" s="24" t="str">
        <f>VLOOKUP(N69,CODE!K:P,CODE!$P$1,FALSE)</f>
        <v>모자</v>
      </c>
      <c r="M69" s="24" t="str">
        <f>VLOOKUP(MID(Q69,1,3),CODE!$B:$G,CODE!D$1,FALSE)</f>
        <v>TRU</v>
      </c>
      <c r="N69" s="24" t="str">
        <f t="shared" si="22"/>
        <v>BA</v>
      </c>
      <c r="O69" s="29" t="str">
        <f>IF(ISERROR(IF(VLOOKUP($N69,CODE!$K:$P,CODE!$O$1,FALSE)="",$M69,$M69&amp;"-"&amp;VLOOKUP($N69,CODE!$K:$P,CODE!$O$1,FALSE)))=TRUE,"",IF(VLOOKUP($N69,CODE!$K:$P,CODE!$O$1,FALSE)="",$M69,$M69&amp;"-"&amp;VLOOKUP($N69,CODE!$K:$P,CODE!$O$1,FALSE)))</f>
        <v>TRU</v>
      </c>
      <c r="P69" s="29" t="str">
        <f t="shared" si="23"/>
        <v>TRUBAE3304</v>
      </c>
      <c r="Q69" s="1" t="s">
        <v>863</v>
      </c>
      <c r="R69" s="1" t="s">
        <v>15</v>
      </c>
      <c r="S69" s="26">
        <v>168</v>
      </c>
      <c r="T69" s="26">
        <v>19320000</v>
      </c>
      <c r="U69" s="26">
        <v>5112510.8160000006</v>
      </c>
      <c r="V69" s="26">
        <v>3.4354228275996204</v>
      </c>
      <c r="W69" s="26">
        <v>0</v>
      </c>
      <c r="X69" s="26">
        <v>168</v>
      </c>
    </row>
    <row r="70" spans="1:24">
      <c r="A70" s="24" t="str">
        <f t="shared" si="16"/>
        <v>신규</v>
      </c>
      <c r="B70" s="24" t="str">
        <f>IF(COUNTIF(Q$1:Q69,Q70)=0,"최초","리오더")</f>
        <v>최초</v>
      </c>
      <c r="C70" s="24" t="str">
        <f t="shared" si="17"/>
        <v>TRUFIE3305</v>
      </c>
      <c r="D70" s="24">
        <f t="shared" si="12"/>
        <v>0.25</v>
      </c>
      <c r="E70" s="24" t="str">
        <f t="shared" si="18"/>
        <v/>
      </c>
      <c r="F70" s="24">
        <f t="shared" si="13"/>
        <v>0</v>
      </c>
      <c r="G70" s="24" t="str">
        <f t="shared" si="19"/>
        <v>TRUFIE3305NY</v>
      </c>
      <c r="H70" s="24">
        <f t="shared" si="14"/>
        <v>1</v>
      </c>
      <c r="I70" s="24" t="str">
        <f t="shared" si="20"/>
        <v/>
      </c>
      <c r="J70" s="24">
        <f t="shared" si="15"/>
        <v>0</v>
      </c>
      <c r="K70" s="24" t="str">
        <f t="shared" si="21"/>
        <v>E3</v>
      </c>
      <c r="L70" s="24" t="str">
        <f>VLOOKUP(N70,CODE!K:P,CODE!$P$1,FALSE)</f>
        <v>모자</v>
      </c>
      <c r="M70" s="24" t="str">
        <f>VLOOKUP(MID(Q70,1,3),CODE!$B:$G,CODE!D$1,FALSE)</f>
        <v>TRU</v>
      </c>
      <c r="N70" s="24" t="str">
        <f t="shared" si="22"/>
        <v>FI</v>
      </c>
      <c r="O70" s="29" t="str">
        <f>IF(ISERROR(IF(VLOOKUP($N70,CODE!$K:$P,CODE!$O$1,FALSE)="",$M70,$M70&amp;"-"&amp;VLOOKUP($N70,CODE!$K:$P,CODE!$O$1,FALSE)))=TRUE,"",IF(VLOOKUP($N70,CODE!$K:$P,CODE!$O$1,FALSE)="",$M70,$M70&amp;"-"&amp;VLOOKUP($N70,CODE!$K:$P,CODE!$O$1,FALSE)))</f>
        <v>TRU</v>
      </c>
      <c r="P70" s="29" t="str">
        <f t="shared" si="23"/>
        <v>TRUFIE3305</v>
      </c>
      <c r="Q70" s="1" t="s">
        <v>864</v>
      </c>
      <c r="R70" s="1" t="s">
        <v>15</v>
      </c>
      <c r="S70" s="26">
        <v>96</v>
      </c>
      <c r="T70" s="26">
        <v>9504000</v>
      </c>
      <c r="U70" s="26">
        <v>2472370.7520000003</v>
      </c>
      <c r="V70" s="26">
        <v>3.4946215056988339</v>
      </c>
      <c r="W70" s="26">
        <v>0</v>
      </c>
      <c r="X70" s="26">
        <v>96</v>
      </c>
    </row>
    <row r="71" spans="1:24">
      <c r="A71" s="24" t="str">
        <f t="shared" si="16"/>
        <v>신규</v>
      </c>
      <c r="B71" s="24" t="str">
        <f>IF(COUNTIF(Q$1:Q70,Q71)=0,"최초","리오더")</f>
        <v>최초</v>
      </c>
      <c r="C71" s="24" t="str">
        <f t="shared" si="17"/>
        <v>TRUFIE3305</v>
      </c>
      <c r="D71" s="24">
        <f t="shared" si="12"/>
        <v>0.25</v>
      </c>
      <c r="E71" s="24" t="str">
        <f t="shared" si="18"/>
        <v/>
      </c>
      <c r="F71" s="24">
        <f t="shared" si="13"/>
        <v>0</v>
      </c>
      <c r="G71" s="24" t="str">
        <f t="shared" si="19"/>
        <v>TRUFIE3305RE</v>
      </c>
      <c r="H71" s="24">
        <f t="shared" si="14"/>
        <v>1</v>
      </c>
      <c r="I71" s="24" t="str">
        <f t="shared" si="20"/>
        <v/>
      </c>
      <c r="J71" s="24">
        <f t="shared" si="15"/>
        <v>0</v>
      </c>
      <c r="K71" s="24" t="str">
        <f t="shared" si="21"/>
        <v>E3</v>
      </c>
      <c r="L71" s="24" t="str">
        <f>VLOOKUP(N71,CODE!K:P,CODE!$P$1,FALSE)</f>
        <v>모자</v>
      </c>
      <c r="M71" s="24" t="str">
        <f>VLOOKUP(MID(Q71,1,3),CODE!$B:$G,CODE!D$1,FALSE)</f>
        <v>TRU</v>
      </c>
      <c r="N71" s="24" t="str">
        <f t="shared" si="22"/>
        <v>FI</v>
      </c>
      <c r="O71" s="29" t="str">
        <f>IF(ISERROR(IF(VLOOKUP($N71,CODE!$K:$P,CODE!$O$1,FALSE)="",$M71,$M71&amp;"-"&amp;VLOOKUP($N71,CODE!$K:$P,CODE!$O$1,FALSE)))=TRUE,"",IF(VLOOKUP($N71,CODE!$K:$P,CODE!$O$1,FALSE)="",$M71,$M71&amp;"-"&amp;VLOOKUP($N71,CODE!$K:$P,CODE!$O$1,FALSE)))</f>
        <v>TRU</v>
      </c>
      <c r="P71" s="29" t="str">
        <f t="shared" si="23"/>
        <v>TRUFIE3305</v>
      </c>
      <c r="Q71" s="1" t="s">
        <v>865</v>
      </c>
      <c r="R71" s="1" t="s">
        <v>15</v>
      </c>
      <c r="S71" s="26">
        <v>96</v>
      </c>
      <c r="T71" s="26">
        <v>9504000</v>
      </c>
      <c r="U71" s="26">
        <v>2472370.7520000003</v>
      </c>
      <c r="V71" s="26">
        <v>3.4946215056988339</v>
      </c>
      <c r="W71" s="26">
        <v>0</v>
      </c>
      <c r="X71" s="26">
        <v>96</v>
      </c>
    </row>
    <row r="72" spans="1:24">
      <c r="A72" s="24" t="str">
        <f t="shared" si="16"/>
        <v>신규</v>
      </c>
      <c r="B72" s="24" t="str">
        <f>IF(COUNTIF(Q$1:Q71,Q72)=0,"최초","리오더")</f>
        <v>최초</v>
      </c>
      <c r="C72" s="24" t="str">
        <f t="shared" si="17"/>
        <v>TRUFIE3305</v>
      </c>
      <c r="D72" s="24">
        <f t="shared" si="12"/>
        <v>0.25</v>
      </c>
      <c r="E72" s="24" t="str">
        <f t="shared" si="18"/>
        <v/>
      </c>
      <c r="F72" s="24">
        <f t="shared" si="13"/>
        <v>0</v>
      </c>
      <c r="G72" s="24" t="str">
        <f t="shared" si="19"/>
        <v>TRUFIE3305YE</v>
      </c>
      <c r="H72" s="24">
        <f t="shared" si="14"/>
        <v>1</v>
      </c>
      <c r="I72" s="24" t="str">
        <f t="shared" si="20"/>
        <v/>
      </c>
      <c r="J72" s="24">
        <f t="shared" si="15"/>
        <v>0</v>
      </c>
      <c r="K72" s="24" t="str">
        <f t="shared" si="21"/>
        <v>E3</v>
      </c>
      <c r="L72" s="24" t="str">
        <f>VLOOKUP(N72,CODE!K:P,CODE!$P$1,FALSE)</f>
        <v>모자</v>
      </c>
      <c r="M72" s="24" t="str">
        <f>VLOOKUP(MID(Q72,1,3),CODE!$B:$G,CODE!D$1,FALSE)</f>
        <v>TRU</v>
      </c>
      <c r="N72" s="24" t="str">
        <f t="shared" si="22"/>
        <v>FI</v>
      </c>
      <c r="O72" s="29" t="str">
        <f>IF(ISERROR(IF(VLOOKUP($N72,CODE!$K:$P,CODE!$O$1,FALSE)="",$M72,$M72&amp;"-"&amp;VLOOKUP($N72,CODE!$K:$P,CODE!$O$1,FALSE)))=TRUE,"",IF(VLOOKUP($N72,CODE!$K:$P,CODE!$O$1,FALSE)="",$M72,$M72&amp;"-"&amp;VLOOKUP($N72,CODE!$K:$P,CODE!$O$1,FALSE)))</f>
        <v>TRU</v>
      </c>
      <c r="P72" s="29" t="str">
        <f t="shared" si="23"/>
        <v>TRUFIE3305</v>
      </c>
      <c r="Q72" s="1" t="s">
        <v>866</v>
      </c>
      <c r="R72" s="1" t="s">
        <v>15</v>
      </c>
      <c r="S72" s="26">
        <v>72</v>
      </c>
      <c r="T72" s="26">
        <v>7128000</v>
      </c>
      <c r="U72" s="26">
        <v>1854278.064</v>
      </c>
      <c r="V72" s="26">
        <v>3.4946215056988343</v>
      </c>
      <c r="W72" s="26">
        <v>0</v>
      </c>
      <c r="X72" s="26">
        <v>72</v>
      </c>
    </row>
    <row r="73" spans="1:24">
      <c r="A73" s="24" t="str">
        <f t="shared" si="16"/>
        <v>신규</v>
      </c>
      <c r="B73" s="24" t="str">
        <f>IF(COUNTIF(Q$1:Q72,Q73)=0,"최초","리오더")</f>
        <v>최초</v>
      </c>
      <c r="C73" s="24" t="str">
        <f t="shared" si="17"/>
        <v>TRUFIE3305</v>
      </c>
      <c r="D73" s="24">
        <f t="shared" si="12"/>
        <v>0.25</v>
      </c>
      <c r="E73" s="24" t="str">
        <f t="shared" si="18"/>
        <v/>
      </c>
      <c r="F73" s="24">
        <f t="shared" si="13"/>
        <v>0</v>
      </c>
      <c r="G73" s="24" t="str">
        <f t="shared" si="19"/>
        <v>TRUFIE3305BK</v>
      </c>
      <c r="H73" s="24">
        <f t="shared" si="14"/>
        <v>1</v>
      </c>
      <c r="I73" s="24" t="str">
        <f t="shared" si="20"/>
        <v/>
      </c>
      <c r="J73" s="24">
        <f t="shared" si="15"/>
        <v>0</v>
      </c>
      <c r="K73" s="24" t="str">
        <f t="shared" si="21"/>
        <v>E3</v>
      </c>
      <c r="L73" s="24" t="str">
        <f>VLOOKUP(N73,CODE!K:P,CODE!$P$1,FALSE)</f>
        <v>모자</v>
      </c>
      <c r="M73" s="24" t="str">
        <f>VLOOKUP(MID(Q73,1,3),CODE!$B:$G,CODE!D$1,FALSE)</f>
        <v>TRU</v>
      </c>
      <c r="N73" s="24" t="str">
        <f t="shared" si="22"/>
        <v>FI</v>
      </c>
      <c r="O73" s="29" t="str">
        <f>IF(ISERROR(IF(VLOOKUP($N73,CODE!$K:$P,CODE!$O$1,FALSE)="",$M73,$M73&amp;"-"&amp;VLOOKUP($N73,CODE!$K:$P,CODE!$O$1,FALSE)))=TRUE,"",IF(VLOOKUP($N73,CODE!$K:$P,CODE!$O$1,FALSE)="",$M73,$M73&amp;"-"&amp;VLOOKUP($N73,CODE!$K:$P,CODE!$O$1,FALSE)))</f>
        <v>TRU</v>
      </c>
      <c r="P73" s="29" t="str">
        <f t="shared" si="23"/>
        <v>TRUFIE3305</v>
      </c>
      <c r="Q73" s="1" t="s">
        <v>867</v>
      </c>
      <c r="R73" s="1" t="s">
        <v>15</v>
      </c>
      <c r="S73" s="26">
        <v>96</v>
      </c>
      <c r="T73" s="26">
        <v>9504000</v>
      </c>
      <c r="U73" s="26">
        <v>2472370.7520000003</v>
      </c>
      <c r="V73" s="26">
        <v>3.4946215056988339</v>
      </c>
      <c r="W73" s="26">
        <v>0</v>
      </c>
      <c r="X73" s="26">
        <v>96</v>
      </c>
    </row>
    <row r="74" spans="1:24">
      <c r="A74" s="24" t="str">
        <f t="shared" si="16"/>
        <v>신규</v>
      </c>
      <c r="B74" s="24" t="str">
        <f>IF(COUNTIF(Q$1:Q73,Q74)=0,"최초","리오더")</f>
        <v>최초</v>
      </c>
      <c r="C74" s="24" t="str">
        <f t="shared" si="17"/>
        <v>TRUFIE3306</v>
      </c>
      <c r="D74" s="24">
        <f t="shared" si="12"/>
        <v>0.33333333333333331</v>
      </c>
      <c r="E74" s="24" t="str">
        <f t="shared" si="18"/>
        <v/>
      </c>
      <c r="F74" s="24">
        <f t="shared" si="13"/>
        <v>0</v>
      </c>
      <c r="G74" s="24" t="str">
        <f t="shared" si="19"/>
        <v>TRUFIE3306NY</v>
      </c>
      <c r="H74" s="24">
        <f t="shared" si="14"/>
        <v>1</v>
      </c>
      <c r="I74" s="24" t="str">
        <f t="shared" si="20"/>
        <v/>
      </c>
      <c r="J74" s="24">
        <f t="shared" si="15"/>
        <v>0</v>
      </c>
      <c r="K74" s="24" t="str">
        <f t="shared" si="21"/>
        <v>E3</v>
      </c>
      <c r="L74" s="24" t="str">
        <f>VLOOKUP(N74,CODE!K:P,CODE!$P$1,FALSE)</f>
        <v>모자</v>
      </c>
      <c r="M74" s="24" t="str">
        <f>VLOOKUP(MID(Q74,1,3),CODE!$B:$G,CODE!D$1,FALSE)</f>
        <v>TRU</v>
      </c>
      <c r="N74" s="24" t="str">
        <f t="shared" si="22"/>
        <v>FI</v>
      </c>
      <c r="O74" s="29" t="str">
        <f>IF(ISERROR(IF(VLOOKUP($N74,CODE!$K:$P,CODE!$O$1,FALSE)="",$M74,$M74&amp;"-"&amp;VLOOKUP($N74,CODE!$K:$P,CODE!$O$1,FALSE)))=TRUE,"",IF(VLOOKUP($N74,CODE!$K:$P,CODE!$O$1,FALSE)="",$M74,$M74&amp;"-"&amp;VLOOKUP($N74,CODE!$K:$P,CODE!$O$1,FALSE)))</f>
        <v>TRU</v>
      </c>
      <c r="P74" s="29" t="str">
        <f t="shared" si="23"/>
        <v>TRUFIE3306</v>
      </c>
      <c r="Q74" s="1" t="s">
        <v>868</v>
      </c>
      <c r="R74" s="1" t="s">
        <v>15</v>
      </c>
      <c r="S74" s="26">
        <v>96</v>
      </c>
      <c r="T74" s="26">
        <v>11040000</v>
      </c>
      <c r="U74" s="26">
        <v>2921434.7520000003</v>
      </c>
      <c r="V74" s="26">
        <v>3.4354228275996199</v>
      </c>
      <c r="W74" s="26">
        <v>0</v>
      </c>
      <c r="X74" s="26">
        <v>96</v>
      </c>
    </row>
    <row r="75" spans="1:24">
      <c r="A75" s="24" t="str">
        <f t="shared" si="16"/>
        <v>신규</v>
      </c>
      <c r="B75" s="24" t="str">
        <f>IF(COUNTIF(Q$1:Q74,Q75)=0,"최초","리오더")</f>
        <v>최초</v>
      </c>
      <c r="C75" s="24" t="str">
        <f t="shared" si="17"/>
        <v>TRUFIE3306</v>
      </c>
      <c r="D75" s="24">
        <f t="shared" si="12"/>
        <v>0.33333333333333331</v>
      </c>
      <c r="E75" s="24" t="str">
        <f t="shared" si="18"/>
        <v/>
      </c>
      <c r="F75" s="24">
        <f t="shared" si="13"/>
        <v>0</v>
      </c>
      <c r="G75" s="24" t="str">
        <f t="shared" si="19"/>
        <v>TRUFIE3306RE</v>
      </c>
      <c r="H75" s="24">
        <f t="shared" si="14"/>
        <v>1</v>
      </c>
      <c r="I75" s="24" t="str">
        <f t="shared" si="20"/>
        <v/>
      </c>
      <c r="J75" s="24">
        <f t="shared" si="15"/>
        <v>0</v>
      </c>
      <c r="K75" s="24" t="str">
        <f t="shared" si="21"/>
        <v>E3</v>
      </c>
      <c r="L75" s="24" t="str">
        <f>VLOOKUP(N75,CODE!K:P,CODE!$P$1,FALSE)</f>
        <v>모자</v>
      </c>
      <c r="M75" s="24" t="str">
        <f>VLOOKUP(MID(Q75,1,3),CODE!$B:$G,CODE!D$1,FALSE)</f>
        <v>TRU</v>
      </c>
      <c r="N75" s="24" t="str">
        <f t="shared" si="22"/>
        <v>FI</v>
      </c>
      <c r="O75" s="29" t="str">
        <f>IF(ISERROR(IF(VLOOKUP($N75,CODE!$K:$P,CODE!$O$1,FALSE)="",$M75,$M75&amp;"-"&amp;VLOOKUP($N75,CODE!$K:$P,CODE!$O$1,FALSE)))=TRUE,"",IF(VLOOKUP($N75,CODE!$K:$P,CODE!$O$1,FALSE)="",$M75,$M75&amp;"-"&amp;VLOOKUP($N75,CODE!$K:$P,CODE!$O$1,FALSE)))</f>
        <v>TRU</v>
      </c>
      <c r="P75" s="29" t="str">
        <f t="shared" si="23"/>
        <v>TRUFIE3306</v>
      </c>
      <c r="Q75" s="1" t="s">
        <v>869</v>
      </c>
      <c r="R75" s="1" t="s">
        <v>15</v>
      </c>
      <c r="S75" s="26">
        <v>96</v>
      </c>
      <c r="T75" s="26">
        <v>11040000</v>
      </c>
      <c r="U75" s="26">
        <v>2921434.7520000003</v>
      </c>
      <c r="V75" s="26">
        <v>3.4354228275996199</v>
      </c>
      <c r="W75" s="26">
        <v>0</v>
      </c>
      <c r="X75" s="26">
        <v>96</v>
      </c>
    </row>
    <row r="76" spans="1:24">
      <c r="A76" s="24" t="str">
        <f t="shared" si="16"/>
        <v>신규</v>
      </c>
      <c r="B76" s="24" t="str">
        <f>IF(COUNTIF(Q$1:Q75,Q76)=0,"최초","리오더")</f>
        <v>최초</v>
      </c>
      <c r="C76" s="24" t="str">
        <f t="shared" si="17"/>
        <v>TRUFIE3306</v>
      </c>
      <c r="D76" s="24">
        <f t="shared" si="12"/>
        <v>0.33333333333333331</v>
      </c>
      <c r="E76" s="24" t="str">
        <f t="shared" si="18"/>
        <v/>
      </c>
      <c r="F76" s="24">
        <f t="shared" si="13"/>
        <v>0</v>
      </c>
      <c r="G76" s="24" t="str">
        <f t="shared" si="19"/>
        <v>TRUFIE3306OR</v>
      </c>
      <c r="H76" s="24">
        <f t="shared" si="14"/>
        <v>1</v>
      </c>
      <c r="I76" s="24" t="str">
        <f t="shared" si="20"/>
        <v/>
      </c>
      <c r="J76" s="24">
        <f t="shared" si="15"/>
        <v>0</v>
      </c>
      <c r="K76" s="24" t="str">
        <f t="shared" si="21"/>
        <v>E3</v>
      </c>
      <c r="L76" s="24" t="str">
        <f>VLOOKUP(N76,CODE!K:P,CODE!$P$1,FALSE)</f>
        <v>모자</v>
      </c>
      <c r="M76" s="24" t="str">
        <f>VLOOKUP(MID(Q76,1,3),CODE!$B:$G,CODE!D$1,FALSE)</f>
        <v>TRU</v>
      </c>
      <c r="N76" s="24" t="str">
        <f t="shared" si="22"/>
        <v>FI</v>
      </c>
      <c r="O76" s="29" t="str">
        <f>IF(ISERROR(IF(VLOOKUP($N76,CODE!$K:$P,CODE!$O$1,FALSE)="",$M76,$M76&amp;"-"&amp;VLOOKUP($N76,CODE!$K:$P,CODE!$O$1,FALSE)))=TRUE,"",IF(VLOOKUP($N76,CODE!$K:$P,CODE!$O$1,FALSE)="",$M76,$M76&amp;"-"&amp;VLOOKUP($N76,CODE!$K:$P,CODE!$O$1,FALSE)))</f>
        <v>TRU</v>
      </c>
      <c r="P76" s="29" t="str">
        <f t="shared" si="23"/>
        <v>TRUFIE3306</v>
      </c>
      <c r="Q76" s="1" t="s">
        <v>870</v>
      </c>
      <c r="R76" s="1" t="s">
        <v>15</v>
      </c>
      <c r="S76" s="26">
        <v>72</v>
      </c>
      <c r="T76" s="26">
        <v>8280000</v>
      </c>
      <c r="U76" s="26">
        <v>2191076.0640000002</v>
      </c>
      <c r="V76" s="26">
        <v>3.4354228275996195</v>
      </c>
      <c r="W76" s="26">
        <v>0</v>
      </c>
      <c r="X76" s="26">
        <v>72</v>
      </c>
    </row>
    <row r="77" spans="1:24">
      <c r="A77" s="24" t="str">
        <f t="shared" si="16"/>
        <v>신규</v>
      </c>
      <c r="B77" s="24" t="str">
        <f>IF(COUNTIF(Q$1:Q76,Q77)=0,"최초","리오더")</f>
        <v>최초</v>
      </c>
      <c r="C77" s="24" t="str">
        <f t="shared" si="17"/>
        <v>JILMIE3301</v>
      </c>
      <c r="D77" s="24">
        <f t="shared" si="12"/>
        <v>1</v>
      </c>
      <c r="E77" s="24" t="str">
        <f t="shared" si="18"/>
        <v/>
      </c>
      <c r="F77" s="24">
        <f t="shared" si="13"/>
        <v>0</v>
      </c>
      <c r="G77" s="24" t="str">
        <f t="shared" si="19"/>
        <v>JILMIE3301BK</v>
      </c>
      <c r="H77" s="24">
        <f t="shared" si="14"/>
        <v>1</v>
      </c>
      <c r="I77" s="24" t="str">
        <f t="shared" si="20"/>
        <v/>
      </c>
      <c r="J77" s="24">
        <f t="shared" si="15"/>
        <v>0</v>
      </c>
      <c r="K77" s="24" t="str">
        <f t="shared" si="21"/>
        <v>E3</v>
      </c>
      <c r="L77" s="24" t="str">
        <f>VLOOKUP(N77,CODE!K:P,CODE!$P$1,FALSE)</f>
        <v>모자</v>
      </c>
      <c r="M77" s="24" t="str">
        <f>VLOOKUP(MID(Q77,1,3),CODE!$B:$G,CODE!D$1,FALSE)</f>
        <v>JIL</v>
      </c>
      <c r="N77" s="24" t="str">
        <f t="shared" si="22"/>
        <v>MI</v>
      </c>
      <c r="O77" s="29" t="str">
        <f>IF(ISERROR(IF(VLOOKUP($N77,CODE!$K:$P,CODE!$O$1,FALSE)="",$M77,$M77&amp;"-"&amp;VLOOKUP($N77,CODE!$K:$P,CODE!$O$1,FALSE)))=TRUE,"",IF(VLOOKUP($N77,CODE!$K:$P,CODE!$O$1,FALSE)="",$M77,$M77&amp;"-"&amp;VLOOKUP($N77,CODE!$K:$P,CODE!$O$1,FALSE)))</f>
        <v>JIL</v>
      </c>
      <c r="P77" s="29" t="str">
        <f t="shared" si="23"/>
        <v>JILMIE3301</v>
      </c>
      <c r="Q77" s="1" t="s">
        <v>871</v>
      </c>
      <c r="R77" s="1" t="s">
        <v>14</v>
      </c>
      <c r="S77" s="26">
        <v>500</v>
      </c>
      <c r="T77" s="26">
        <v>24500000</v>
      </c>
      <c r="U77" s="26">
        <v>3580970.0000000005</v>
      </c>
      <c r="V77" s="26">
        <v>6.2197469603842723</v>
      </c>
      <c r="W77" s="26">
        <v>0</v>
      </c>
      <c r="X77" s="26">
        <v>500</v>
      </c>
    </row>
    <row r="78" spans="1:24">
      <c r="A78" s="24" t="str">
        <f t="shared" si="16"/>
        <v>신규</v>
      </c>
      <c r="B78" s="24" t="str">
        <f>IF(COUNTIF(Q$1:Q77,Q78)=0,"최초","리오더")</f>
        <v>최초</v>
      </c>
      <c r="C78" s="24" t="str">
        <f t="shared" si="17"/>
        <v>JILMIE5303</v>
      </c>
      <c r="D78" s="24">
        <f t="shared" si="12"/>
        <v>0.5</v>
      </c>
      <c r="E78" s="24" t="str">
        <f t="shared" si="18"/>
        <v/>
      </c>
      <c r="F78" s="24">
        <f t="shared" si="13"/>
        <v>0</v>
      </c>
      <c r="G78" s="24" t="str">
        <f t="shared" si="19"/>
        <v>JILMIE5303GY</v>
      </c>
      <c r="H78" s="24">
        <f t="shared" si="14"/>
        <v>1</v>
      </c>
      <c r="I78" s="24" t="str">
        <f t="shared" si="20"/>
        <v/>
      </c>
      <c r="J78" s="24">
        <f t="shared" si="15"/>
        <v>0</v>
      </c>
      <c r="K78" s="24" t="str">
        <f t="shared" si="21"/>
        <v>E5</v>
      </c>
      <c r="L78" s="24" t="str">
        <f>VLOOKUP(N78,CODE!K:P,CODE!$P$1,FALSE)</f>
        <v>모자</v>
      </c>
      <c r="M78" s="24" t="str">
        <f>VLOOKUP(MID(Q78,1,3),CODE!$B:$G,CODE!D$1,FALSE)</f>
        <v>JIL</v>
      </c>
      <c r="N78" s="24" t="str">
        <f t="shared" si="22"/>
        <v>MI</v>
      </c>
      <c r="O78" s="29" t="str">
        <f>IF(ISERROR(IF(VLOOKUP($N78,CODE!$K:$P,CODE!$O$1,FALSE)="",$M78,$M78&amp;"-"&amp;VLOOKUP($N78,CODE!$K:$P,CODE!$O$1,FALSE)))=TRUE,"",IF(VLOOKUP($N78,CODE!$K:$P,CODE!$O$1,FALSE)="",$M78,$M78&amp;"-"&amp;VLOOKUP($N78,CODE!$K:$P,CODE!$O$1,FALSE)))</f>
        <v>JIL</v>
      </c>
      <c r="P78" s="29" t="str">
        <f t="shared" si="23"/>
        <v>JILMIE5303</v>
      </c>
      <c r="Q78" s="1" t="s">
        <v>872</v>
      </c>
      <c r="R78" s="1" t="s">
        <v>14</v>
      </c>
      <c r="S78" s="26">
        <v>500</v>
      </c>
      <c r="T78" s="26">
        <v>24500000</v>
      </c>
      <c r="U78" s="26">
        <v>3205070</v>
      </c>
      <c r="V78" s="26">
        <v>6.9492171068735686</v>
      </c>
      <c r="W78" s="26">
        <v>0</v>
      </c>
      <c r="X78" s="26">
        <v>500</v>
      </c>
    </row>
    <row r="79" spans="1:24">
      <c r="A79" s="24" t="str">
        <f t="shared" si="16"/>
        <v>신규</v>
      </c>
      <c r="B79" s="24" t="str">
        <f>IF(COUNTIF(Q$1:Q78,Q79)=0,"최초","리오더")</f>
        <v>최초</v>
      </c>
      <c r="C79" s="24" t="str">
        <f t="shared" si="17"/>
        <v>JILMIE5303</v>
      </c>
      <c r="D79" s="24">
        <f t="shared" si="12"/>
        <v>0.5</v>
      </c>
      <c r="E79" s="24" t="str">
        <f t="shared" si="18"/>
        <v/>
      </c>
      <c r="F79" s="24">
        <f t="shared" si="13"/>
        <v>0</v>
      </c>
      <c r="G79" s="24" t="str">
        <f t="shared" si="19"/>
        <v>JILMIE5303GR</v>
      </c>
      <c r="H79" s="24">
        <f t="shared" si="14"/>
        <v>1</v>
      </c>
      <c r="I79" s="24" t="str">
        <f t="shared" si="20"/>
        <v/>
      </c>
      <c r="J79" s="24">
        <f t="shared" si="15"/>
        <v>0</v>
      </c>
      <c r="K79" s="24" t="str">
        <f t="shared" si="21"/>
        <v>E5</v>
      </c>
      <c r="L79" s="24" t="str">
        <f>VLOOKUP(N79,CODE!K:P,CODE!$P$1,FALSE)</f>
        <v>모자</v>
      </c>
      <c r="M79" s="24" t="str">
        <f>VLOOKUP(MID(Q79,1,3),CODE!$B:$G,CODE!D$1,FALSE)</f>
        <v>JIL</v>
      </c>
      <c r="N79" s="24" t="str">
        <f t="shared" si="22"/>
        <v>MI</v>
      </c>
      <c r="O79" s="29" t="str">
        <f>IF(ISERROR(IF(VLOOKUP($N79,CODE!$K:$P,CODE!$O$1,FALSE)="",$M79,$M79&amp;"-"&amp;VLOOKUP($N79,CODE!$K:$P,CODE!$O$1,FALSE)))=TRUE,"",IF(VLOOKUP($N79,CODE!$K:$P,CODE!$O$1,FALSE)="",$M79,$M79&amp;"-"&amp;VLOOKUP($N79,CODE!$K:$P,CODE!$O$1,FALSE)))</f>
        <v>JIL</v>
      </c>
      <c r="P79" s="29" t="str">
        <f t="shared" si="23"/>
        <v>JILMIE5303</v>
      </c>
      <c r="Q79" s="1" t="s">
        <v>873</v>
      </c>
      <c r="R79" s="1" t="s">
        <v>14</v>
      </c>
      <c r="S79" s="26">
        <v>500</v>
      </c>
      <c r="T79" s="26">
        <v>24500000</v>
      </c>
      <c r="U79" s="26">
        <v>3347245.0000000009</v>
      </c>
      <c r="V79" s="26">
        <v>6.6540475145163454</v>
      </c>
      <c r="W79" s="26">
        <v>0</v>
      </c>
      <c r="X79" s="26">
        <v>500</v>
      </c>
    </row>
    <row r="80" spans="1:24">
      <c r="A80" s="24" t="str">
        <f t="shared" si="16"/>
        <v>신규</v>
      </c>
      <c r="B80" s="24" t="str">
        <f>IF(COUNTIF(Q$1:Q79,Q80)=0,"최초","리오더")</f>
        <v>최초</v>
      </c>
      <c r="C80" s="24" t="str">
        <f t="shared" si="17"/>
        <v>JILERE5304</v>
      </c>
      <c r="D80" s="24">
        <f t="shared" si="12"/>
        <v>1</v>
      </c>
      <c r="E80" s="24" t="str">
        <f t="shared" si="18"/>
        <v/>
      </c>
      <c r="F80" s="24">
        <f t="shared" si="13"/>
        <v>0</v>
      </c>
      <c r="G80" s="24" t="str">
        <f t="shared" si="19"/>
        <v>JILERE5304NY</v>
      </c>
      <c r="H80" s="24">
        <f t="shared" si="14"/>
        <v>1</v>
      </c>
      <c r="I80" s="24" t="str">
        <f t="shared" si="20"/>
        <v/>
      </c>
      <c r="J80" s="24">
        <f t="shared" si="15"/>
        <v>0</v>
      </c>
      <c r="K80" s="24" t="str">
        <f t="shared" si="21"/>
        <v>E5</v>
      </c>
      <c r="L80" s="24" t="str">
        <f>VLOOKUP(N80,CODE!K:P,CODE!$P$1,FALSE)</f>
        <v>모자</v>
      </c>
      <c r="M80" s="24" t="str">
        <f>VLOOKUP(MID(Q80,1,3),CODE!$B:$G,CODE!D$1,FALSE)</f>
        <v>JIL</v>
      </c>
      <c r="N80" s="24" t="str">
        <f t="shared" si="22"/>
        <v>ER</v>
      </c>
      <c r="O80" s="29" t="str">
        <f>IF(ISERROR(IF(VLOOKUP($N80,CODE!$K:$P,CODE!$O$1,FALSE)="",$M80,$M80&amp;"-"&amp;VLOOKUP($N80,CODE!$K:$P,CODE!$O$1,FALSE)))=TRUE,"",IF(VLOOKUP($N80,CODE!$K:$P,CODE!$O$1,FALSE)="",$M80,$M80&amp;"-"&amp;VLOOKUP($N80,CODE!$K:$P,CODE!$O$1,FALSE)))</f>
        <v>JIL</v>
      </c>
      <c r="P80" s="29" t="str">
        <f t="shared" si="23"/>
        <v>JILERE5304</v>
      </c>
      <c r="Q80" s="1" t="s">
        <v>874</v>
      </c>
      <c r="R80" s="1" t="s">
        <v>14</v>
      </c>
      <c r="S80" s="26">
        <v>500</v>
      </c>
      <c r="T80" s="26">
        <v>29500000</v>
      </c>
      <c r="U80" s="26">
        <v>4475250</v>
      </c>
      <c r="V80" s="26">
        <v>5.992555012162855</v>
      </c>
      <c r="W80" s="26">
        <v>0</v>
      </c>
      <c r="X80" s="26">
        <v>500</v>
      </c>
    </row>
    <row r="81" spans="1:24">
      <c r="A81" s="24" t="str">
        <f t="shared" si="16"/>
        <v>신규</v>
      </c>
      <c r="B81" s="24" t="str">
        <f>IF(COUNTIF(Q$1:Q80,Q81)=0,"최초","리오더")</f>
        <v>최초</v>
      </c>
      <c r="C81" s="24" t="str">
        <f t="shared" si="17"/>
        <v>JILERE5305</v>
      </c>
      <c r="D81" s="24">
        <f t="shared" si="12"/>
        <v>1</v>
      </c>
      <c r="E81" s="24" t="str">
        <f t="shared" si="18"/>
        <v/>
      </c>
      <c r="F81" s="24">
        <f t="shared" si="13"/>
        <v>0</v>
      </c>
      <c r="G81" s="24" t="str">
        <f t="shared" si="19"/>
        <v>JILERE5305BK</v>
      </c>
      <c r="H81" s="24">
        <f t="shared" si="14"/>
        <v>1</v>
      </c>
      <c r="I81" s="24" t="str">
        <f t="shared" si="20"/>
        <v/>
      </c>
      <c r="J81" s="24">
        <f t="shared" si="15"/>
        <v>0</v>
      </c>
      <c r="K81" s="24" t="str">
        <f t="shared" si="21"/>
        <v>E5</v>
      </c>
      <c r="L81" s="24" t="str">
        <f>VLOOKUP(N81,CODE!K:P,CODE!$P$1,FALSE)</f>
        <v>모자</v>
      </c>
      <c r="M81" s="24" t="str">
        <f>VLOOKUP(MID(Q81,1,3),CODE!$B:$G,CODE!D$1,FALSE)</f>
        <v>JIL</v>
      </c>
      <c r="N81" s="24" t="str">
        <f t="shared" si="22"/>
        <v>ER</v>
      </c>
      <c r="O81" s="29" t="str">
        <f>IF(ISERROR(IF(VLOOKUP($N81,CODE!$K:$P,CODE!$O$1,FALSE)="",$M81,$M81&amp;"-"&amp;VLOOKUP($N81,CODE!$K:$P,CODE!$O$1,FALSE)))=TRUE,"",IF(VLOOKUP($N81,CODE!$K:$P,CODE!$O$1,FALSE)="",$M81,$M81&amp;"-"&amp;VLOOKUP($N81,CODE!$K:$P,CODE!$O$1,FALSE)))</f>
        <v>JIL</v>
      </c>
      <c r="P81" s="29" t="str">
        <f t="shared" si="23"/>
        <v>JILERE5305</v>
      </c>
      <c r="Q81" s="1" t="s">
        <v>875</v>
      </c>
      <c r="R81" s="1" t="s">
        <v>14</v>
      </c>
      <c r="S81" s="26">
        <v>500</v>
      </c>
      <c r="T81" s="26">
        <v>27500000</v>
      </c>
      <c r="U81" s="26">
        <v>3348510</v>
      </c>
      <c r="V81" s="26">
        <v>7.4660072689046757</v>
      </c>
      <c r="W81" s="26">
        <v>0</v>
      </c>
      <c r="X81" s="26">
        <v>500</v>
      </c>
    </row>
    <row r="82" spans="1:24">
      <c r="A82" s="24" t="str">
        <f t="shared" si="16"/>
        <v>신규</v>
      </c>
      <c r="B82" s="24" t="str">
        <f>IF(COUNTIF(Q$1:Q81,Q82)=0,"최초","리오더")</f>
        <v>최초</v>
      </c>
      <c r="C82" s="24" t="str">
        <f t="shared" si="17"/>
        <v>JILERE5306</v>
      </c>
      <c r="D82" s="24">
        <f t="shared" si="12"/>
        <v>0.5</v>
      </c>
      <c r="E82" s="24" t="str">
        <f t="shared" si="18"/>
        <v/>
      </c>
      <c r="F82" s="24">
        <f t="shared" si="13"/>
        <v>0</v>
      </c>
      <c r="G82" s="24" t="str">
        <f t="shared" si="19"/>
        <v>JILERE5306MT</v>
      </c>
      <c r="H82" s="24">
        <f t="shared" si="14"/>
        <v>1</v>
      </c>
      <c r="I82" s="24" t="str">
        <f t="shared" si="20"/>
        <v/>
      </c>
      <c r="J82" s="24">
        <f t="shared" si="15"/>
        <v>0</v>
      </c>
      <c r="K82" s="24" t="str">
        <f t="shared" si="21"/>
        <v>E5</v>
      </c>
      <c r="L82" s="24" t="str">
        <f>VLOOKUP(N82,CODE!K:P,CODE!$P$1,FALSE)</f>
        <v>모자</v>
      </c>
      <c r="M82" s="24" t="str">
        <f>VLOOKUP(MID(Q82,1,3),CODE!$B:$G,CODE!D$1,FALSE)</f>
        <v>JIL</v>
      </c>
      <c r="N82" s="24" t="str">
        <f t="shared" si="22"/>
        <v>ER</v>
      </c>
      <c r="O82" s="29" t="str">
        <f>IF(ISERROR(IF(VLOOKUP($N82,CODE!$K:$P,CODE!$O$1,FALSE)="",$M82,$M82&amp;"-"&amp;VLOOKUP($N82,CODE!$K:$P,CODE!$O$1,FALSE)))=TRUE,"",IF(VLOOKUP($N82,CODE!$K:$P,CODE!$O$1,FALSE)="",$M82,$M82&amp;"-"&amp;VLOOKUP($N82,CODE!$K:$P,CODE!$O$1,FALSE)))</f>
        <v>JIL</v>
      </c>
      <c r="P82" s="29" t="str">
        <f t="shared" si="23"/>
        <v>JILERE5306</v>
      </c>
      <c r="Q82" s="1" t="s">
        <v>876</v>
      </c>
      <c r="R82" s="1" t="s">
        <v>14</v>
      </c>
      <c r="S82" s="26">
        <v>700</v>
      </c>
      <c r="T82" s="26">
        <v>41300000</v>
      </c>
      <c r="U82" s="26">
        <v>5856582.4000000004</v>
      </c>
      <c r="V82" s="26">
        <v>6.4108129931638187</v>
      </c>
      <c r="W82" s="26">
        <v>0</v>
      </c>
      <c r="X82" s="26">
        <v>700</v>
      </c>
    </row>
    <row r="83" spans="1:24">
      <c r="A83" s="24" t="str">
        <f t="shared" si="16"/>
        <v>신규</v>
      </c>
      <c r="B83" s="24" t="str">
        <f>IF(COUNTIF(Q$1:Q82,Q83)=0,"최초","리오더")</f>
        <v>최초</v>
      </c>
      <c r="C83" s="24" t="str">
        <f t="shared" si="17"/>
        <v>JILERE5806</v>
      </c>
      <c r="D83" s="24">
        <f t="shared" si="12"/>
        <v>0.5</v>
      </c>
      <c r="E83" s="24" t="str">
        <f t="shared" si="18"/>
        <v/>
      </c>
      <c r="F83" s="24">
        <f t="shared" si="13"/>
        <v>0</v>
      </c>
      <c r="G83" s="24" t="str">
        <f t="shared" si="19"/>
        <v>JILERE5806MT</v>
      </c>
      <c r="H83" s="24">
        <f t="shared" si="14"/>
        <v>1</v>
      </c>
      <c r="I83" s="24" t="str">
        <f t="shared" si="20"/>
        <v/>
      </c>
      <c r="J83" s="24">
        <f t="shared" si="15"/>
        <v>0</v>
      </c>
      <c r="K83" s="24" t="str">
        <f t="shared" si="21"/>
        <v>E5</v>
      </c>
      <c r="L83" s="24" t="str">
        <f>VLOOKUP(N83,CODE!K:P,CODE!$P$1,FALSE)</f>
        <v>모자</v>
      </c>
      <c r="M83" s="24" t="str">
        <f>VLOOKUP(MID(Q83,1,3),CODE!$B:$G,CODE!D$1,FALSE)</f>
        <v>JIL</v>
      </c>
      <c r="N83" s="24" t="str">
        <f t="shared" si="22"/>
        <v>ER</v>
      </c>
      <c r="O83" s="29" t="str">
        <f>IF(ISERROR(IF(VLOOKUP($N83,CODE!$K:$P,CODE!$O$1,FALSE)="",$M83,$M83&amp;"-"&amp;VLOOKUP($N83,CODE!$K:$P,CODE!$O$1,FALSE)))=TRUE,"",IF(VLOOKUP($N83,CODE!$K:$P,CODE!$O$1,FALSE)="",$M83,$M83&amp;"-"&amp;VLOOKUP($N83,CODE!$K:$P,CODE!$O$1,FALSE)))</f>
        <v>JIL</v>
      </c>
      <c r="P83" s="29" t="str">
        <f t="shared" si="23"/>
        <v>JILERE5806</v>
      </c>
      <c r="Q83" s="1" t="s">
        <v>877</v>
      </c>
      <c r="R83" s="1" t="s">
        <v>14</v>
      </c>
      <c r="S83" s="26">
        <v>500</v>
      </c>
      <c r="T83" s="26">
        <v>27500000</v>
      </c>
      <c r="U83" s="26">
        <v>4172226.0000000005</v>
      </c>
      <c r="V83" s="26">
        <v>5.9920052269459987</v>
      </c>
      <c r="W83" s="26">
        <v>0</v>
      </c>
      <c r="X83" s="26">
        <v>500</v>
      </c>
    </row>
    <row r="84" spans="1:24">
      <c r="A84" s="24" t="str">
        <f t="shared" si="16"/>
        <v>신규</v>
      </c>
      <c r="B84" s="24" t="str">
        <f>IF(COUNTIF(Q$1:Q83,Q84)=0,"최초","리오더")</f>
        <v>최초</v>
      </c>
      <c r="C84" s="24" t="str">
        <f t="shared" si="17"/>
        <v>JILERE5306</v>
      </c>
      <c r="D84" s="24">
        <f t="shared" si="12"/>
        <v>0.5</v>
      </c>
      <c r="E84" s="24" t="str">
        <f t="shared" si="18"/>
        <v/>
      </c>
      <c r="F84" s="24">
        <f t="shared" si="13"/>
        <v>0</v>
      </c>
      <c r="G84" s="24" t="str">
        <f t="shared" si="19"/>
        <v>JILERE5306YE</v>
      </c>
      <c r="H84" s="24">
        <f t="shared" si="14"/>
        <v>1</v>
      </c>
      <c r="I84" s="24" t="str">
        <f t="shared" si="20"/>
        <v/>
      </c>
      <c r="J84" s="24">
        <f t="shared" si="15"/>
        <v>0</v>
      </c>
      <c r="K84" s="24" t="str">
        <f t="shared" si="21"/>
        <v>E5</v>
      </c>
      <c r="L84" s="24" t="str">
        <f>VLOOKUP(N84,CODE!K:P,CODE!$P$1,FALSE)</f>
        <v>모자</v>
      </c>
      <c r="M84" s="24" t="str">
        <f>VLOOKUP(MID(Q84,1,3),CODE!$B:$G,CODE!D$1,FALSE)</f>
        <v>JIL</v>
      </c>
      <c r="N84" s="24" t="str">
        <f t="shared" si="22"/>
        <v>ER</v>
      </c>
      <c r="O84" s="29" t="str">
        <f>IF(ISERROR(IF(VLOOKUP($N84,CODE!$K:$P,CODE!$O$1,FALSE)="",$M84,$M84&amp;"-"&amp;VLOOKUP($N84,CODE!$K:$P,CODE!$O$1,FALSE)))=TRUE,"",IF(VLOOKUP($N84,CODE!$K:$P,CODE!$O$1,FALSE)="",$M84,$M84&amp;"-"&amp;VLOOKUP($N84,CODE!$K:$P,CODE!$O$1,FALSE)))</f>
        <v>JIL</v>
      </c>
      <c r="P84" s="29" t="str">
        <f t="shared" si="23"/>
        <v>JILERE5306</v>
      </c>
      <c r="Q84" s="1" t="s">
        <v>878</v>
      </c>
      <c r="R84" s="1" t="s">
        <v>14</v>
      </c>
      <c r="S84" s="26">
        <v>700</v>
      </c>
      <c r="T84" s="26">
        <v>41300000</v>
      </c>
      <c r="U84" s="26">
        <v>5524974</v>
      </c>
      <c r="V84" s="26">
        <v>6.795589363036739</v>
      </c>
      <c r="W84" s="26">
        <v>0</v>
      </c>
      <c r="X84" s="26">
        <v>700</v>
      </c>
    </row>
    <row r="85" spans="1:24">
      <c r="A85" s="24" t="str">
        <f t="shared" si="16"/>
        <v>신규</v>
      </c>
      <c r="B85" s="24" t="str">
        <f>IF(COUNTIF(Q$1:Q84,Q85)=0,"최초","리오더")</f>
        <v>최초</v>
      </c>
      <c r="C85" s="24" t="str">
        <f t="shared" si="17"/>
        <v>JILERE5806</v>
      </c>
      <c r="D85" s="24">
        <f t="shared" si="12"/>
        <v>0.5</v>
      </c>
      <c r="E85" s="24" t="str">
        <f t="shared" si="18"/>
        <v/>
      </c>
      <c r="F85" s="24">
        <f t="shared" si="13"/>
        <v>0</v>
      </c>
      <c r="G85" s="24" t="str">
        <f t="shared" si="19"/>
        <v>JILERE5806YE</v>
      </c>
      <c r="H85" s="24">
        <f t="shared" si="14"/>
        <v>1</v>
      </c>
      <c r="I85" s="24" t="str">
        <f t="shared" si="20"/>
        <v/>
      </c>
      <c r="J85" s="24">
        <f t="shared" si="15"/>
        <v>0</v>
      </c>
      <c r="K85" s="24" t="str">
        <f t="shared" si="21"/>
        <v>E5</v>
      </c>
      <c r="L85" s="24" t="str">
        <f>VLOOKUP(N85,CODE!K:P,CODE!$P$1,FALSE)</f>
        <v>모자</v>
      </c>
      <c r="M85" s="24" t="str">
        <f>VLOOKUP(MID(Q85,1,3),CODE!$B:$G,CODE!D$1,FALSE)</f>
        <v>JIL</v>
      </c>
      <c r="N85" s="24" t="str">
        <f t="shared" si="22"/>
        <v>ER</v>
      </c>
      <c r="O85" s="29" t="str">
        <f>IF(ISERROR(IF(VLOOKUP($N85,CODE!$K:$P,CODE!$O$1,FALSE)="",$M85,$M85&amp;"-"&amp;VLOOKUP($N85,CODE!$K:$P,CODE!$O$1,FALSE)))=TRUE,"",IF(VLOOKUP($N85,CODE!$K:$P,CODE!$O$1,FALSE)="",$M85,$M85&amp;"-"&amp;VLOOKUP($N85,CODE!$K:$P,CODE!$O$1,FALSE)))</f>
        <v>JIL</v>
      </c>
      <c r="P85" s="29" t="str">
        <f t="shared" si="23"/>
        <v>JILERE5806</v>
      </c>
      <c r="Q85" s="1" t="s">
        <v>879</v>
      </c>
      <c r="R85" s="1" t="s">
        <v>14</v>
      </c>
      <c r="S85" s="26">
        <v>500</v>
      </c>
      <c r="T85" s="26">
        <v>27500000</v>
      </c>
      <c r="U85" s="26">
        <v>4067540.0000000005</v>
      </c>
      <c r="V85" s="26">
        <v>6.1462210574450395</v>
      </c>
      <c r="W85" s="26">
        <v>0</v>
      </c>
      <c r="X85" s="26">
        <v>500</v>
      </c>
    </row>
    <row r="86" spans="1:24">
      <c r="A86" s="24" t="str">
        <f t="shared" si="16"/>
        <v>신규</v>
      </c>
      <c r="B86" s="24" t="str">
        <f>IF(COUNTIF(Q$1:Q85,Q86)=0,"최초","리오더")</f>
        <v>최초</v>
      </c>
      <c r="C86" s="24" t="str">
        <f t="shared" si="17"/>
        <v>JILHUE5307</v>
      </c>
      <c r="D86" s="24">
        <f t="shared" si="12"/>
        <v>1</v>
      </c>
      <c r="E86" s="24" t="str">
        <f t="shared" si="18"/>
        <v/>
      </c>
      <c r="F86" s="24">
        <f t="shared" si="13"/>
        <v>0</v>
      </c>
      <c r="G86" s="24" t="str">
        <f t="shared" si="19"/>
        <v>JILHUE5307KH</v>
      </c>
      <c r="H86" s="24">
        <f t="shared" si="14"/>
        <v>1</v>
      </c>
      <c r="I86" s="24" t="str">
        <f t="shared" si="20"/>
        <v/>
      </c>
      <c r="J86" s="24">
        <f t="shared" si="15"/>
        <v>0</v>
      </c>
      <c r="K86" s="24" t="str">
        <f t="shared" si="21"/>
        <v>E5</v>
      </c>
      <c r="L86" s="24" t="str">
        <f>VLOOKUP(N86,CODE!K:P,CODE!$P$1,FALSE)</f>
        <v>모자</v>
      </c>
      <c r="M86" s="24" t="str">
        <f>VLOOKUP(MID(Q86,1,3),CODE!$B:$G,CODE!D$1,FALSE)</f>
        <v>JIL</v>
      </c>
      <c r="N86" s="24" t="str">
        <f t="shared" si="22"/>
        <v>HU</v>
      </c>
      <c r="O86" s="29" t="str">
        <f>IF(ISERROR(IF(VLOOKUP($N86,CODE!$K:$P,CODE!$O$1,FALSE)="",$M86,$M86&amp;"-"&amp;VLOOKUP($N86,CODE!$K:$P,CODE!$O$1,FALSE)))=TRUE,"",IF(VLOOKUP($N86,CODE!$K:$P,CODE!$O$1,FALSE)="",$M86,$M86&amp;"-"&amp;VLOOKUP($N86,CODE!$K:$P,CODE!$O$1,FALSE)))</f>
        <v>JIL</v>
      </c>
      <c r="P86" s="29" t="str">
        <f t="shared" si="23"/>
        <v>JILHUE5307</v>
      </c>
      <c r="Q86" s="1" t="s">
        <v>880</v>
      </c>
      <c r="R86" s="1" t="s">
        <v>14</v>
      </c>
      <c r="S86" s="26">
        <v>400</v>
      </c>
      <c r="T86" s="26">
        <v>19600000</v>
      </c>
      <c r="U86" s="26">
        <v>2762672</v>
      </c>
      <c r="V86" s="26">
        <v>6.4496189986295214</v>
      </c>
      <c r="W86" s="26">
        <v>0</v>
      </c>
      <c r="X86" s="26">
        <v>400</v>
      </c>
    </row>
    <row r="87" spans="1:24">
      <c r="A87" s="24" t="str">
        <f t="shared" si="16"/>
        <v>신규</v>
      </c>
      <c r="B87" s="24" t="str">
        <f>IF(COUNTIF(Q$1:Q86,Q87)=0,"최초","리오더")</f>
        <v>최초</v>
      </c>
      <c r="C87" s="24" t="str">
        <f t="shared" si="17"/>
        <v>JILBAE5308</v>
      </c>
      <c r="D87" s="24">
        <f t="shared" si="12"/>
        <v>1</v>
      </c>
      <c r="E87" s="24" t="str">
        <f t="shared" si="18"/>
        <v/>
      </c>
      <c r="F87" s="24">
        <f t="shared" si="13"/>
        <v>0</v>
      </c>
      <c r="G87" s="24" t="str">
        <f t="shared" si="19"/>
        <v>JILBAE5308KH</v>
      </c>
      <c r="H87" s="24">
        <f t="shared" si="14"/>
        <v>1</v>
      </c>
      <c r="I87" s="24" t="str">
        <f t="shared" si="20"/>
        <v/>
      </c>
      <c r="J87" s="24">
        <f t="shared" si="15"/>
        <v>0</v>
      </c>
      <c r="K87" s="24" t="str">
        <f t="shared" si="21"/>
        <v>E5</v>
      </c>
      <c r="L87" s="24" t="str">
        <f>VLOOKUP(N87,CODE!K:P,CODE!$P$1,FALSE)</f>
        <v>모자</v>
      </c>
      <c r="M87" s="24" t="str">
        <f>VLOOKUP(MID(Q87,1,3),CODE!$B:$G,CODE!D$1,FALSE)</f>
        <v>JIL</v>
      </c>
      <c r="N87" s="24" t="str">
        <f t="shared" si="22"/>
        <v>BA</v>
      </c>
      <c r="O87" s="29" t="str">
        <f>IF(ISERROR(IF(VLOOKUP($N87,CODE!$K:$P,CODE!$O$1,FALSE)="",$M87,$M87&amp;"-"&amp;VLOOKUP($N87,CODE!$K:$P,CODE!$O$1,FALSE)))=TRUE,"",IF(VLOOKUP($N87,CODE!$K:$P,CODE!$O$1,FALSE)="",$M87,$M87&amp;"-"&amp;VLOOKUP($N87,CODE!$K:$P,CODE!$O$1,FALSE)))</f>
        <v>JIL</v>
      </c>
      <c r="P87" s="29" t="str">
        <f t="shared" si="23"/>
        <v>JILBAE5308</v>
      </c>
      <c r="Q87" s="1" t="s">
        <v>881</v>
      </c>
      <c r="R87" s="1" t="s">
        <v>14</v>
      </c>
      <c r="S87" s="26">
        <v>700</v>
      </c>
      <c r="T87" s="26">
        <v>34300000</v>
      </c>
      <c r="U87" s="26">
        <v>5555862</v>
      </c>
      <c r="V87" s="26">
        <v>5.6124176917673942</v>
      </c>
      <c r="W87" s="26">
        <v>0</v>
      </c>
      <c r="X87" s="26">
        <v>700</v>
      </c>
    </row>
    <row r="88" spans="1:24">
      <c r="A88" s="24" t="str">
        <f t="shared" si="16"/>
        <v>신규</v>
      </c>
      <c r="B88" s="24" t="str">
        <f>IF(COUNTIF(Q$1:Q87,Q88)=0,"최초","리오더")</f>
        <v>최초</v>
      </c>
      <c r="C88" s="24" t="str">
        <f t="shared" si="17"/>
        <v>JILBAE5808</v>
      </c>
      <c r="D88" s="24">
        <f t="shared" si="12"/>
        <v>1</v>
      </c>
      <c r="E88" s="24" t="str">
        <f t="shared" si="18"/>
        <v/>
      </c>
      <c r="F88" s="24">
        <f t="shared" si="13"/>
        <v>0</v>
      </c>
      <c r="G88" s="24" t="str">
        <f t="shared" si="19"/>
        <v>JILBAE5808KH</v>
      </c>
      <c r="H88" s="24">
        <f t="shared" si="14"/>
        <v>1</v>
      </c>
      <c r="I88" s="24" t="str">
        <f t="shared" si="20"/>
        <v/>
      </c>
      <c r="J88" s="24">
        <f t="shared" si="15"/>
        <v>0</v>
      </c>
      <c r="K88" s="24" t="str">
        <f t="shared" si="21"/>
        <v>E5</v>
      </c>
      <c r="L88" s="24" t="str">
        <f>VLOOKUP(N88,CODE!K:P,CODE!$P$1,FALSE)</f>
        <v>모자</v>
      </c>
      <c r="M88" s="24" t="str">
        <f>VLOOKUP(MID(Q88,1,3),CODE!$B:$G,CODE!D$1,FALSE)</f>
        <v>JIL</v>
      </c>
      <c r="N88" s="24" t="str">
        <f t="shared" si="22"/>
        <v>BA</v>
      </c>
      <c r="O88" s="29" t="str">
        <f>IF(ISERROR(IF(VLOOKUP($N88,CODE!$K:$P,CODE!$O$1,FALSE)="",$M88,$M88&amp;"-"&amp;VLOOKUP($N88,CODE!$K:$P,CODE!$O$1,FALSE)))=TRUE,"",IF(VLOOKUP($N88,CODE!$K:$P,CODE!$O$1,FALSE)="",$M88,$M88&amp;"-"&amp;VLOOKUP($N88,CODE!$K:$P,CODE!$O$1,FALSE)))</f>
        <v>JIL</v>
      </c>
      <c r="P88" s="29" t="str">
        <f t="shared" si="23"/>
        <v>JILBAE5808</v>
      </c>
      <c r="Q88" s="1" t="s">
        <v>882</v>
      </c>
      <c r="R88" s="1" t="s">
        <v>14</v>
      </c>
      <c r="S88" s="26">
        <v>500</v>
      </c>
      <c r="T88" s="26">
        <v>22500000</v>
      </c>
      <c r="U88" s="26">
        <v>4106899.9999999995</v>
      </c>
      <c r="V88" s="26">
        <v>4.980531655152415</v>
      </c>
      <c r="W88" s="26">
        <v>0</v>
      </c>
      <c r="X88" s="26">
        <v>500</v>
      </c>
    </row>
    <row r="89" spans="1:24">
      <c r="A89" s="24" t="str">
        <f t="shared" si="16"/>
        <v>신규</v>
      </c>
      <c r="B89" s="24" t="str">
        <f>IF(COUNTIF(Q$1:Q88,Q89)=0,"최초","리오더")</f>
        <v>최초</v>
      </c>
      <c r="C89" s="24" t="str">
        <f t="shared" si="17"/>
        <v>JILBAE5309</v>
      </c>
      <c r="D89" s="24">
        <f t="shared" si="12"/>
        <v>1</v>
      </c>
      <c r="E89" s="24" t="str">
        <f t="shared" si="18"/>
        <v/>
      </c>
      <c r="F89" s="24">
        <f t="shared" si="13"/>
        <v>0</v>
      </c>
      <c r="G89" s="24" t="str">
        <f t="shared" si="19"/>
        <v>JILBAE5309BW</v>
      </c>
      <c r="H89" s="24">
        <f t="shared" si="14"/>
        <v>1</v>
      </c>
      <c r="I89" s="24" t="str">
        <f t="shared" si="20"/>
        <v/>
      </c>
      <c r="J89" s="24">
        <f t="shared" si="15"/>
        <v>0</v>
      </c>
      <c r="K89" s="24" t="str">
        <f t="shared" si="21"/>
        <v>E5</v>
      </c>
      <c r="L89" s="24" t="str">
        <f>VLOOKUP(N89,CODE!K:P,CODE!$P$1,FALSE)</f>
        <v>모자</v>
      </c>
      <c r="M89" s="24" t="str">
        <f>VLOOKUP(MID(Q89,1,3),CODE!$B:$G,CODE!D$1,FALSE)</f>
        <v>JIL</v>
      </c>
      <c r="N89" s="24" t="str">
        <f t="shared" si="22"/>
        <v>BA</v>
      </c>
      <c r="O89" s="29" t="str">
        <f>IF(ISERROR(IF(VLOOKUP($N89,CODE!$K:$P,CODE!$O$1,FALSE)="",$M89,$M89&amp;"-"&amp;VLOOKUP($N89,CODE!$K:$P,CODE!$O$1,FALSE)))=TRUE,"",IF(VLOOKUP($N89,CODE!$K:$P,CODE!$O$1,FALSE)="",$M89,$M89&amp;"-"&amp;VLOOKUP($N89,CODE!$K:$P,CODE!$O$1,FALSE)))</f>
        <v>JIL</v>
      </c>
      <c r="P89" s="29" t="str">
        <f t="shared" si="23"/>
        <v>JILBAE5309</v>
      </c>
      <c r="Q89" s="1" t="s">
        <v>883</v>
      </c>
      <c r="R89" s="1" t="s">
        <v>14</v>
      </c>
      <c r="S89" s="26">
        <v>500</v>
      </c>
      <c r="T89" s="26">
        <v>24500000</v>
      </c>
      <c r="U89" s="26">
        <v>3755110.0000000005</v>
      </c>
      <c r="V89" s="26">
        <v>5.9313115388703039</v>
      </c>
      <c r="W89" s="26">
        <v>0</v>
      </c>
      <c r="X89" s="26">
        <v>500</v>
      </c>
    </row>
    <row r="90" spans="1:24">
      <c r="A90" s="24" t="str">
        <f t="shared" si="16"/>
        <v>신규</v>
      </c>
      <c r="B90" s="24" t="str">
        <f>IF(COUNTIF(Q$1:Q89,Q90)=0,"최초","리오더")</f>
        <v>최초</v>
      </c>
      <c r="C90" s="24" t="str">
        <f t="shared" si="17"/>
        <v>JILFAE5310</v>
      </c>
      <c r="D90" s="24">
        <f t="shared" si="12"/>
        <v>1</v>
      </c>
      <c r="E90" s="24" t="str">
        <f t="shared" si="18"/>
        <v/>
      </c>
      <c r="F90" s="24">
        <f t="shared" si="13"/>
        <v>0</v>
      </c>
      <c r="G90" s="24" t="str">
        <f t="shared" si="19"/>
        <v>JILFAE5310BU</v>
      </c>
      <c r="H90" s="24">
        <f t="shared" si="14"/>
        <v>1</v>
      </c>
      <c r="I90" s="24" t="str">
        <f t="shared" si="20"/>
        <v/>
      </c>
      <c r="J90" s="24">
        <f t="shared" si="15"/>
        <v>0</v>
      </c>
      <c r="K90" s="24" t="str">
        <f t="shared" si="21"/>
        <v>E5</v>
      </c>
      <c r="L90" s="24" t="str">
        <f>VLOOKUP(N90,CODE!K:P,CODE!$P$1,FALSE)</f>
        <v>모자</v>
      </c>
      <c r="M90" s="24" t="str">
        <f>VLOOKUP(MID(Q90,1,3),CODE!$B:$G,CODE!D$1,FALSE)</f>
        <v>JIL</v>
      </c>
      <c r="N90" s="24" t="str">
        <f t="shared" si="22"/>
        <v>FA</v>
      </c>
      <c r="O90" s="29" t="str">
        <f>IF(ISERROR(IF(VLOOKUP($N90,CODE!$K:$P,CODE!$O$1,FALSE)="",$M90,$M90&amp;"-"&amp;VLOOKUP($N90,CODE!$K:$P,CODE!$O$1,FALSE)))=TRUE,"",IF(VLOOKUP($N90,CODE!$K:$P,CODE!$O$1,FALSE)="",$M90,$M90&amp;"-"&amp;VLOOKUP($N90,CODE!$K:$P,CODE!$O$1,FALSE)))</f>
        <v>JIL</v>
      </c>
      <c r="P90" s="29" t="str">
        <f t="shared" si="23"/>
        <v>JILFAE5310</v>
      </c>
      <c r="Q90" s="1" t="s">
        <v>884</v>
      </c>
      <c r="R90" s="1" t="s">
        <v>14</v>
      </c>
      <c r="S90" s="26">
        <v>400</v>
      </c>
      <c r="T90" s="26">
        <v>23600000</v>
      </c>
      <c r="U90" s="26">
        <v>3135896.0000000005</v>
      </c>
      <c r="V90" s="26">
        <v>6.8415998025908547</v>
      </c>
      <c r="W90" s="26">
        <v>0</v>
      </c>
      <c r="X90" s="26">
        <v>400</v>
      </c>
    </row>
    <row r="91" spans="1:24">
      <c r="A91" s="24" t="str">
        <f t="shared" si="16"/>
        <v>신규</v>
      </c>
      <c r="B91" s="24" t="str">
        <f>IF(COUNTIF(Q$1:Q90,Q91)=0,"최초","리오더")</f>
        <v>최초</v>
      </c>
      <c r="C91" s="24" t="str">
        <f t="shared" si="17"/>
        <v>VBLERE5301</v>
      </c>
      <c r="D91" s="24">
        <f t="shared" si="12"/>
        <v>0.5</v>
      </c>
      <c r="E91" s="24" t="str">
        <f t="shared" si="18"/>
        <v/>
      </c>
      <c r="F91" s="24">
        <f t="shared" si="13"/>
        <v>0</v>
      </c>
      <c r="G91" s="24" t="str">
        <f t="shared" si="19"/>
        <v>VBLERE5301OR</v>
      </c>
      <c r="H91" s="24">
        <f t="shared" si="14"/>
        <v>0.5</v>
      </c>
      <c r="I91" s="24" t="str">
        <f t="shared" si="20"/>
        <v/>
      </c>
      <c r="J91" s="24">
        <f t="shared" si="15"/>
        <v>0</v>
      </c>
      <c r="K91" s="24" t="str">
        <f t="shared" si="21"/>
        <v>E5</v>
      </c>
      <c r="L91" s="24" t="str">
        <f>VLOOKUP(N91,CODE!K:P,CODE!$P$1,FALSE)</f>
        <v>모자</v>
      </c>
      <c r="M91" s="24" t="str">
        <f>VLOOKUP(MID(Q91,1,3),CODE!$B:$G,CODE!D$1,FALSE)</f>
        <v>VBL</v>
      </c>
      <c r="N91" s="24" t="str">
        <f t="shared" si="22"/>
        <v>ER</v>
      </c>
      <c r="O91" s="29" t="str">
        <f>IF(ISERROR(IF(VLOOKUP($N91,CODE!$K:$P,CODE!$O$1,FALSE)="",$M91,$M91&amp;"-"&amp;VLOOKUP($N91,CODE!$K:$P,CODE!$O$1,FALSE)))=TRUE,"",IF(VLOOKUP($N91,CODE!$K:$P,CODE!$O$1,FALSE)="",$M91,$M91&amp;"-"&amp;VLOOKUP($N91,CODE!$K:$P,CODE!$O$1,FALSE)))</f>
        <v>VBL</v>
      </c>
      <c r="P91" s="29" t="str">
        <f t="shared" si="23"/>
        <v>VBLERE5301</v>
      </c>
      <c r="Q91" s="1" t="s">
        <v>1381</v>
      </c>
      <c r="R91" s="1" t="s">
        <v>14</v>
      </c>
      <c r="S91" s="26">
        <v>700</v>
      </c>
      <c r="T91" s="26">
        <v>41300000</v>
      </c>
      <c r="U91" s="26">
        <v>11214000</v>
      </c>
      <c r="V91" s="26">
        <v>3.3480876177505388</v>
      </c>
      <c r="W91" s="26">
        <v>0</v>
      </c>
      <c r="X91" s="26">
        <v>700</v>
      </c>
    </row>
    <row r="92" spans="1:24">
      <c r="A92" s="24" t="str">
        <f t="shared" si="16"/>
        <v>신규</v>
      </c>
      <c r="B92" s="24" t="str">
        <f>IF(COUNTIF(Q$1:Q91,Q92)=0,"최초","리오더")</f>
        <v>최초</v>
      </c>
      <c r="C92" s="24" t="str">
        <f t="shared" si="17"/>
        <v>VBLERE5801</v>
      </c>
      <c r="D92" s="24">
        <f t="shared" si="12"/>
        <v>0.5</v>
      </c>
      <c r="E92" s="24" t="str">
        <f t="shared" si="18"/>
        <v/>
      </c>
      <c r="F92" s="24">
        <f t="shared" si="13"/>
        <v>0</v>
      </c>
      <c r="G92" s="24" t="str">
        <f t="shared" si="19"/>
        <v>VBLERE5801OR</v>
      </c>
      <c r="H92" s="24">
        <f t="shared" si="14"/>
        <v>0.5</v>
      </c>
      <c r="I92" s="24" t="str">
        <f t="shared" si="20"/>
        <v/>
      </c>
      <c r="J92" s="24">
        <f t="shared" si="15"/>
        <v>0</v>
      </c>
      <c r="K92" s="24" t="str">
        <f t="shared" si="21"/>
        <v>E5</v>
      </c>
      <c r="L92" s="24" t="str">
        <f>VLOOKUP(N92,CODE!K:P,CODE!$P$1,FALSE)</f>
        <v>모자</v>
      </c>
      <c r="M92" s="24" t="str">
        <f>VLOOKUP(MID(Q92,1,3),CODE!$B:$G,CODE!D$1,FALSE)</f>
        <v>VBL</v>
      </c>
      <c r="N92" s="24" t="str">
        <f t="shared" si="22"/>
        <v>ER</v>
      </c>
      <c r="O92" s="29" t="str">
        <f>IF(ISERROR(IF(VLOOKUP($N92,CODE!$K:$P,CODE!$O$1,FALSE)="",$M92,$M92&amp;"-"&amp;VLOOKUP($N92,CODE!$K:$P,CODE!$O$1,FALSE)))=TRUE,"",IF(VLOOKUP($N92,CODE!$K:$P,CODE!$O$1,FALSE)="",$M92,$M92&amp;"-"&amp;VLOOKUP($N92,CODE!$K:$P,CODE!$O$1,FALSE)))</f>
        <v>VBL</v>
      </c>
      <c r="P92" s="29" t="str">
        <f t="shared" si="23"/>
        <v>VBLERE5801</v>
      </c>
      <c r="Q92" s="1" t="s">
        <v>1382</v>
      </c>
      <c r="R92" s="1" t="s">
        <v>14</v>
      </c>
      <c r="S92" s="26">
        <v>500</v>
      </c>
      <c r="T92" s="26">
        <v>27500000</v>
      </c>
      <c r="U92" s="26">
        <v>7760000</v>
      </c>
      <c r="V92" s="26">
        <v>3.2216494845360826</v>
      </c>
      <c r="W92" s="26">
        <v>0</v>
      </c>
      <c r="X92" s="26">
        <v>500</v>
      </c>
    </row>
    <row r="93" spans="1:24">
      <c r="A93" s="24" t="str">
        <f t="shared" si="16"/>
        <v>신규</v>
      </c>
      <c r="B93" s="24" t="str">
        <f>IF(COUNTIF(Q$1:Q92,Q93)=0,"최초","리오더")</f>
        <v>최초</v>
      </c>
      <c r="C93" s="24" t="str">
        <f t="shared" si="17"/>
        <v>VBLBAE5302</v>
      </c>
      <c r="D93" s="24">
        <f t="shared" si="12"/>
        <v>1</v>
      </c>
      <c r="E93" s="24" t="str">
        <f t="shared" si="18"/>
        <v/>
      </c>
      <c r="F93" s="24">
        <f t="shared" si="13"/>
        <v>0</v>
      </c>
      <c r="G93" s="24" t="str">
        <f t="shared" si="19"/>
        <v>VBLBAE5302BK</v>
      </c>
      <c r="H93" s="24">
        <f t="shared" si="14"/>
        <v>1</v>
      </c>
      <c r="I93" s="24" t="str">
        <f t="shared" si="20"/>
        <v/>
      </c>
      <c r="J93" s="24">
        <f t="shared" si="15"/>
        <v>0</v>
      </c>
      <c r="K93" s="24" t="str">
        <f t="shared" si="21"/>
        <v>E5</v>
      </c>
      <c r="L93" s="24" t="str">
        <f>VLOOKUP(N93,CODE!K:P,CODE!$P$1,FALSE)</f>
        <v>모자</v>
      </c>
      <c r="M93" s="24" t="str">
        <f>VLOOKUP(MID(Q93,1,3),CODE!$B:$G,CODE!D$1,FALSE)</f>
        <v>VBL</v>
      </c>
      <c r="N93" s="24" t="str">
        <f t="shared" si="22"/>
        <v>BA</v>
      </c>
      <c r="O93" s="29" t="str">
        <f>IF(ISERROR(IF(VLOOKUP($N93,CODE!$K:$P,CODE!$O$1,FALSE)="",$M93,$M93&amp;"-"&amp;VLOOKUP($N93,CODE!$K:$P,CODE!$O$1,FALSE)))=TRUE,"",IF(VLOOKUP($N93,CODE!$K:$P,CODE!$O$1,FALSE)="",$M93,$M93&amp;"-"&amp;VLOOKUP($N93,CODE!$K:$P,CODE!$O$1,FALSE)))</f>
        <v>VBL</v>
      </c>
      <c r="P93" s="29" t="str">
        <f t="shared" si="23"/>
        <v>VBLBAE5302</v>
      </c>
      <c r="Q93" s="1" t="s">
        <v>885</v>
      </c>
      <c r="R93" s="1" t="s">
        <v>14</v>
      </c>
      <c r="S93" s="26">
        <v>700</v>
      </c>
      <c r="T93" s="26">
        <v>38500000</v>
      </c>
      <c r="U93" s="26">
        <v>3191622</v>
      </c>
      <c r="V93" s="26">
        <v>10.966210910941207</v>
      </c>
      <c r="W93" s="26">
        <v>0</v>
      </c>
      <c r="X93" s="26">
        <v>700</v>
      </c>
    </row>
    <row r="94" spans="1:24">
      <c r="A94" s="24" t="str">
        <f t="shared" si="16"/>
        <v>신규</v>
      </c>
      <c r="B94" s="24" t="str">
        <f>IF(COUNTIF(Q$1:Q93,Q94)=0,"최초","리오더")</f>
        <v>최초</v>
      </c>
      <c r="C94" s="24" t="str">
        <f t="shared" si="17"/>
        <v>VBLBAE5802</v>
      </c>
      <c r="D94" s="24">
        <f t="shared" si="12"/>
        <v>1</v>
      </c>
      <c r="E94" s="24" t="str">
        <f t="shared" si="18"/>
        <v/>
      </c>
      <c r="F94" s="24">
        <f t="shared" si="13"/>
        <v>0</v>
      </c>
      <c r="G94" s="24" t="str">
        <f t="shared" si="19"/>
        <v>VBLBAE5802BK</v>
      </c>
      <c r="H94" s="24">
        <f t="shared" si="14"/>
        <v>1</v>
      </c>
      <c r="I94" s="24" t="str">
        <f t="shared" si="20"/>
        <v/>
      </c>
      <c r="J94" s="24">
        <f t="shared" si="15"/>
        <v>0</v>
      </c>
      <c r="K94" s="24" t="str">
        <f t="shared" si="21"/>
        <v>E5</v>
      </c>
      <c r="L94" s="24" t="str">
        <f>VLOOKUP(N94,CODE!K:P,CODE!$P$1,FALSE)</f>
        <v>모자</v>
      </c>
      <c r="M94" s="24" t="str">
        <f>VLOOKUP(MID(Q94,1,3),CODE!$B:$G,CODE!D$1,FALSE)</f>
        <v>VBL</v>
      </c>
      <c r="N94" s="24" t="str">
        <f t="shared" si="22"/>
        <v>BA</v>
      </c>
      <c r="O94" s="29" t="str">
        <f>IF(ISERROR(IF(VLOOKUP($N94,CODE!$K:$P,CODE!$O$1,FALSE)="",$M94,$M94&amp;"-"&amp;VLOOKUP($N94,CODE!$K:$P,CODE!$O$1,FALSE)))=TRUE,"",IF(VLOOKUP($N94,CODE!$K:$P,CODE!$O$1,FALSE)="",$M94,$M94&amp;"-"&amp;VLOOKUP($N94,CODE!$K:$P,CODE!$O$1,FALSE)))</f>
        <v>VBL</v>
      </c>
      <c r="P94" s="29" t="str">
        <f t="shared" si="23"/>
        <v>VBLBAE5802</v>
      </c>
      <c r="Q94" s="1" t="s">
        <v>886</v>
      </c>
      <c r="R94" s="1" t="s">
        <v>14</v>
      </c>
      <c r="S94" s="26">
        <v>500</v>
      </c>
      <c r="T94" s="26">
        <v>24500000</v>
      </c>
      <c r="U94" s="26">
        <v>2312230</v>
      </c>
      <c r="V94" s="26">
        <v>9.6325742995840695</v>
      </c>
      <c r="W94" s="26">
        <v>0</v>
      </c>
      <c r="X94" s="26">
        <v>500</v>
      </c>
    </row>
    <row r="95" spans="1:24">
      <c r="A95" s="24" t="str">
        <f t="shared" si="16"/>
        <v>신규</v>
      </c>
      <c r="B95" s="24" t="str">
        <f>IF(COUNTIF(Q$1:Q94,Q95)=0,"최초","리오더")</f>
        <v>최초</v>
      </c>
      <c r="C95" s="24" t="str">
        <f t="shared" si="17"/>
        <v>VBLBAE5303</v>
      </c>
      <c r="D95" s="24">
        <f t="shared" si="12"/>
        <v>1</v>
      </c>
      <c r="E95" s="24" t="str">
        <f t="shared" si="18"/>
        <v/>
      </c>
      <c r="F95" s="24">
        <f t="shared" si="13"/>
        <v>0</v>
      </c>
      <c r="G95" s="24" t="str">
        <f t="shared" si="19"/>
        <v>VBLBAE5303RE</v>
      </c>
      <c r="H95" s="24">
        <f t="shared" si="14"/>
        <v>1</v>
      </c>
      <c r="I95" s="24" t="str">
        <f t="shared" si="20"/>
        <v/>
      </c>
      <c r="J95" s="24">
        <f t="shared" si="15"/>
        <v>0</v>
      </c>
      <c r="K95" s="24" t="str">
        <f t="shared" si="21"/>
        <v>E5</v>
      </c>
      <c r="L95" s="24" t="str">
        <f>VLOOKUP(N95,CODE!K:P,CODE!$P$1,FALSE)</f>
        <v>모자</v>
      </c>
      <c r="M95" s="24" t="str">
        <f>VLOOKUP(MID(Q95,1,3),CODE!$B:$G,CODE!D$1,FALSE)</f>
        <v>VBL</v>
      </c>
      <c r="N95" s="24" t="str">
        <f t="shared" si="22"/>
        <v>BA</v>
      </c>
      <c r="O95" s="29" t="str">
        <f>IF(ISERROR(IF(VLOOKUP($N95,CODE!$K:$P,CODE!$O$1,FALSE)="",$M95,$M95&amp;"-"&amp;VLOOKUP($N95,CODE!$K:$P,CODE!$O$1,FALSE)))=TRUE,"",IF(VLOOKUP($N95,CODE!$K:$P,CODE!$O$1,FALSE)="",$M95,$M95&amp;"-"&amp;VLOOKUP($N95,CODE!$K:$P,CODE!$O$1,FALSE)))</f>
        <v>VBL</v>
      </c>
      <c r="P95" s="29" t="str">
        <f t="shared" si="23"/>
        <v>VBLBAE5303</v>
      </c>
      <c r="Q95" s="1" t="s">
        <v>887</v>
      </c>
      <c r="R95" s="1" t="s">
        <v>14</v>
      </c>
      <c r="S95" s="26">
        <v>700</v>
      </c>
      <c r="T95" s="26">
        <v>38500000</v>
      </c>
      <c r="U95" s="26">
        <v>3277022</v>
      </c>
      <c r="V95" s="26">
        <v>10.680428755131945</v>
      </c>
      <c r="W95" s="26">
        <v>0</v>
      </c>
      <c r="X95" s="26">
        <v>700</v>
      </c>
    </row>
    <row r="96" spans="1:24">
      <c r="A96" s="24" t="str">
        <f t="shared" si="16"/>
        <v>신규</v>
      </c>
      <c r="B96" s="24" t="str">
        <f>IF(COUNTIF(Q$1:Q95,Q96)=0,"최초","리오더")</f>
        <v>최초</v>
      </c>
      <c r="C96" s="24" t="str">
        <f t="shared" si="17"/>
        <v>VBLBAE5304</v>
      </c>
      <c r="D96" s="24">
        <f t="shared" si="12"/>
        <v>1</v>
      </c>
      <c r="E96" s="24" t="str">
        <f t="shared" si="18"/>
        <v/>
      </c>
      <c r="F96" s="24">
        <f t="shared" si="13"/>
        <v>0</v>
      </c>
      <c r="G96" s="24" t="str">
        <f t="shared" si="19"/>
        <v>VBLBAE5304BL</v>
      </c>
      <c r="H96" s="24">
        <f t="shared" si="14"/>
        <v>1</v>
      </c>
      <c r="I96" s="24" t="str">
        <f t="shared" si="20"/>
        <v/>
      </c>
      <c r="J96" s="24">
        <f t="shared" si="15"/>
        <v>0</v>
      </c>
      <c r="K96" s="24" t="str">
        <f t="shared" si="21"/>
        <v>E5</v>
      </c>
      <c r="L96" s="24" t="str">
        <f>VLOOKUP(N96,CODE!K:P,CODE!$P$1,FALSE)</f>
        <v>모자</v>
      </c>
      <c r="M96" s="24" t="str">
        <f>VLOOKUP(MID(Q96,1,3),CODE!$B:$G,CODE!D$1,FALSE)</f>
        <v>VBL</v>
      </c>
      <c r="N96" s="24" t="str">
        <f t="shared" si="22"/>
        <v>BA</v>
      </c>
      <c r="O96" s="29" t="str">
        <f>IF(ISERROR(IF(VLOOKUP($N96,CODE!$K:$P,CODE!$O$1,FALSE)="",$M96,$M96&amp;"-"&amp;VLOOKUP($N96,CODE!$K:$P,CODE!$O$1,FALSE)))=TRUE,"",IF(VLOOKUP($N96,CODE!$K:$P,CODE!$O$1,FALSE)="",$M96,$M96&amp;"-"&amp;VLOOKUP($N96,CODE!$K:$P,CODE!$O$1,FALSE)))</f>
        <v>VBL</v>
      </c>
      <c r="P96" s="29" t="str">
        <f t="shared" si="23"/>
        <v>VBLBAE5304</v>
      </c>
      <c r="Q96" s="1" t="s">
        <v>888</v>
      </c>
      <c r="R96" s="1" t="s">
        <v>14</v>
      </c>
      <c r="S96" s="26">
        <v>400</v>
      </c>
      <c r="T96" s="26">
        <v>22000000</v>
      </c>
      <c r="U96" s="26">
        <v>1988984</v>
      </c>
      <c r="V96" s="26">
        <v>10.055385060915521</v>
      </c>
      <c r="W96" s="26">
        <v>0</v>
      </c>
      <c r="X96" s="26">
        <v>400</v>
      </c>
    </row>
    <row r="97" spans="1:24">
      <c r="A97" s="24" t="str">
        <f t="shared" si="16"/>
        <v>신규</v>
      </c>
      <c r="B97" s="24" t="str">
        <f>IF(COUNTIF(Q$1:Q96,Q97)=0,"최초","리오더")</f>
        <v>최초</v>
      </c>
      <c r="C97" s="24" t="str">
        <f t="shared" si="17"/>
        <v>NOVMIE5301</v>
      </c>
      <c r="D97" s="24">
        <f t="shared" si="12"/>
        <v>1</v>
      </c>
      <c r="E97" s="24" t="str">
        <f t="shared" si="18"/>
        <v/>
      </c>
      <c r="F97" s="24">
        <f t="shared" si="13"/>
        <v>0</v>
      </c>
      <c r="G97" s="24" t="str">
        <f t="shared" si="19"/>
        <v>NOVMIE5301BK</v>
      </c>
      <c r="H97" s="24">
        <f t="shared" si="14"/>
        <v>1</v>
      </c>
      <c r="I97" s="24" t="str">
        <f t="shared" si="20"/>
        <v/>
      </c>
      <c r="J97" s="24">
        <f t="shared" si="15"/>
        <v>0</v>
      </c>
      <c r="K97" s="24" t="str">
        <f t="shared" si="21"/>
        <v>E5</v>
      </c>
      <c r="L97" s="24" t="str">
        <f>VLOOKUP(N97,CODE!K:P,CODE!$P$1,FALSE)</f>
        <v>모자</v>
      </c>
      <c r="M97" s="24" t="str">
        <f>VLOOKUP(MID(Q97,1,3),CODE!$B:$G,CODE!D$1,FALSE)</f>
        <v>NOV</v>
      </c>
      <c r="N97" s="24" t="str">
        <f t="shared" si="22"/>
        <v>MI</v>
      </c>
      <c r="O97" s="29" t="str">
        <f>IF(ISERROR(IF(VLOOKUP($N97,CODE!$K:$P,CODE!$O$1,FALSE)="",$M97,$M97&amp;"-"&amp;VLOOKUP($N97,CODE!$K:$P,CODE!$O$1,FALSE)))=TRUE,"",IF(VLOOKUP($N97,CODE!$K:$P,CODE!$O$1,FALSE)="",$M97,$M97&amp;"-"&amp;VLOOKUP($N97,CODE!$K:$P,CODE!$O$1,FALSE)))</f>
        <v>NOV</v>
      </c>
      <c r="P97" s="29" t="str">
        <f t="shared" si="23"/>
        <v>NOVMIE5301</v>
      </c>
      <c r="Q97" s="1" t="s">
        <v>889</v>
      </c>
      <c r="R97" s="1" t="s">
        <v>14</v>
      </c>
      <c r="S97" s="26">
        <v>500</v>
      </c>
      <c r="T97" s="26">
        <v>24500000</v>
      </c>
      <c r="U97" s="26">
        <v>2351045</v>
      </c>
      <c r="V97" s="26">
        <v>9.4735435828439147</v>
      </c>
      <c r="W97" s="26">
        <v>0</v>
      </c>
      <c r="X97" s="26">
        <v>500</v>
      </c>
    </row>
    <row r="98" spans="1:24">
      <c r="A98" s="24" t="str">
        <f t="shared" si="16"/>
        <v>신규</v>
      </c>
      <c r="B98" s="24" t="str">
        <f>IF(COUNTIF(Q$1:Q97,Q98)=0,"최초","리오더")</f>
        <v>최초</v>
      </c>
      <c r="C98" s="24" t="str">
        <f t="shared" si="17"/>
        <v>NOVMIE3302</v>
      </c>
      <c r="D98" s="24">
        <f t="shared" si="12"/>
        <v>1</v>
      </c>
      <c r="E98" s="24" t="str">
        <f t="shared" si="18"/>
        <v/>
      </c>
      <c r="F98" s="24">
        <f t="shared" si="13"/>
        <v>0</v>
      </c>
      <c r="G98" s="24" t="str">
        <f t="shared" si="19"/>
        <v>NOVMIE3302GY</v>
      </c>
      <c r="H98" s="24">
        <f t="shared" si="14"/>
        <v>1</v>
      </c>
      <c r="I98" s="24" t="str">
        <f t="shared" si="20"/>
        <v/>
      </c>
      <c r="J98" s="24">
        <f t="shared" si="15"/>
        <v>0</v>
      </c>
      <c r="K98" s="24" t="str">
        <f t="shared" si="21"/>
        <v>E3</v>
      </c>
      <c r="L98" s="24" t="str">
        <f>VLOOKUP(N98,CODE!K:P,CODE!$P$1,FALSE)</f>
        <v>모자</v>
      </c>
      <c r="M98" s="24" t="str">
        <f>VLOOKUP(MID(Q98,1,3),CODE!$B:$G,CODE!D$1,FALSE)</f>
        <v>NOV</v>
      </c>
      <c r="N98" s="24" t="str">
        <f t="shared" si="22"/>
        <v>MI</v>
      </c>
      <c r="O98" s="29" t="str">
        <f>IF(ISERROR(IF(VLOOKUP($N98,CODE!$K:$P,CODE!$O$1,FALSE)="",$M98,$M98&amp;"-"&amp;VLOOKUP($N98,CODE!$K:$P,CODE!$O$1,FALSE)))=TRUE,"",IF(VLOOKUP($N98,CODE!$K:$P,CODE!$O$1,FALSE)="",$M98,$M98&amp;"-"&amp;VLOOKUP($N98,CODE!$K:$P,CODE!$O$1,FALSE)))</f>
        <v>NOV</v>
      </c>
      <c r="P98" s="29" t="str">
        <f t="shared" si="23"/>
        <v>NOVMIE3302</v>
      </c>
      <c r="Q98" s="1" t="s">
        <v>890</v>
      </c>
      <c r="R98" s="1" t="s">
        <v>14</v>
      </c>
      <c r="S98" s="26">
        <v>500</v>
      </c>
      <c r="T98" s="26">
        <v>24500000</v>
      </c>
      <c r="U98" s="26">
        <v>2295545</v>
      </c>
      <c r="V98" s="26">
        <v>9.7025879574250435</v>
      </c>
      <c r="W98" s="26">
        <v>0</v>
      </c>
      <c r="X98" s="26">
        <v>500</v>
      </c>
    </row>
    <row r="99" spans="1:24">
      <c r="A99" s="24" t="str">
        <f t="shared" si="16"/>
        <v>신규</v>
      </c>
      <c r="B99" s="24" t="str">
        <f>IF(COUNTIF(Q$1:Q98,Q99)=0,"최초","리오더")</f>
        <v>최초</v>
      </c>
      <c r="C99" s="24" t="str">
        <f t="shared" si="17"/>
        <v>NOVBAE5303</v>
      </c>
      <c r="D99" s="24">
        <f t="shared" si="12"/>
        <v>1</v>
      </c>
      <c r="E99" s="24" t="str">
        <f t="shared" si="18"/>
        <v/>
      </c>
      <c r="F99" s="24">
        <f t="shared" si="13"/>
        <v>0</v>
      </c>
      <c r="G99" s="24" t="str">
        <f t="shared" si="19"/>
        <v>NOVBAE5303OR</v>
      </c>
      <c r="H99" s="24">
        <f t="shared" si="14"/>
        <v>1</v>
      </c>
      <c r="I99" s="24" t="str">
        <f t="shared" si="20"/>
        <v/>
      </c>
      <c r="J99" s="24">
        <f t="shared" si="15"/>
        <v>0</v>
      </c>
      <c r="K99" s="24" t="str">
        <f t="shared" si="21"/>
        <v>E5</v>
      </c>
      <c r="L99" s="24" t="str">
        <f>VLOOKUP(N99,CODE!K:P,CODE!$P$1,FALSE)</f>
        <v>모자</v>
      </c>
      <c r="M99" s="24" t="str">
        <f>VLOOKUP(MID(Q99,1,3),CODE!$B:$G,CODE!D$1,FALSE)</f>
        <v>NOV</v>
      </c>
      <c r="N99" s="24" t="str">
        <f t="shared" si="22"/>
        <v>BA</v>
      </c>
      <c r="O99" s="29" t="str">
        <f>IF(ISERROR(IF(VLOOKUP($N99,CODE!$K:$P,CODE!$O$1,FALSE)="",$M99,$M99&amp;"-"&amp;VLOOKUP($N99,CODE!$K:$P,CODE!$O$1,FALSE)))=TRUE,"",IF(VLOOKUP($N99,CODE!$K:$P,CODE!$O$1,FALSE)="",$M99,$M99&amp;"-"&amp;VLOOKUP($N99,CODE!$K:$P,CODE!$O$1,FALSE)))</f>
        <v>NOV</v>
      </c>
      <c r="P99" s="29" t="str">
        <f t="shared" si="23"/>
        <v>NOVBAE5303</v>
      </c>
      <c r="Q99" s="1" t="s">
        <v>891</v>
      </c>
      <c r="R99" s="1" t="s">
        <v>14</v>
      </c>
      <c r="S99" s="26">
        <v>700</v>
      </c>
      <c r="T99" s="26">
        <v>34300000</v>
      </c>
      <c r="U99" s="26">
        <v>3292604</v>
      </c>
      <c r="V99" s="26">
        <v>9.4702606756895698</v>
      </c>
      <c r="W99" s="26">
        <v>0</v>
      </c>
      <c r="X99" s="26">
        <v>700</v>
      </c>
    </row>
    <row r="100" spans="1:24">
      <c r="A100" s="24" t="str">
        <f t="shared" si="16"/>
        <v>신규</v>
      </c>
      <c r="B100" s="24" t="str">
        <f>IF(COUNTIF(Q$1:Q99,Q100)=0,"최초","리오더")</f>
        <v>최초</v>
      </c>
      <c r="C100" s="24" t="str">
        <f t="shared" si="17"/>
        <v>NOVBAE5304</v>
      </c>
      <c r="D100" s="24">
        <f t="shared" si="12"/>
        <v>1</v>
      </c>
      <c r="E100" s="24" t="str">
        <f t="shared" si="18"/>
        <v/>
      </c>
      <c r="F100" s="24">
        <f t="shared" si="13"/>
        <v>0</v>
      </c>
      <c r="G100" s="24" t="str">
        <f t="shared" si="19"/>
        <v>NOVBAE5304BL</v>
      </c>
      <c r="H100" s="24">
        <f t="shared" si="14"/>
        <v>1</v>
      </c>
      <c r="I100" s="24" t="str">
        <f t="shared" si="20"/>
        <v/>
      </c>
      <c r="J100" s="24">
        <f t="shared" si="15"/>
        <v>0</v>
      </c>
      <c r="K100" s="24" t="str">
        <f t="shared" si="21"/>
        <v>E5</v>
      </c>
      <c r="L100" s="24" t="str">
        <f>VLOOKUP(N100,CODE!K:P,CODE!$P$1,FALSE)</f>
        <v>모자</v>
      </c>
      <c r="M100" s="24" t="str">
        <f>VLOOKUP(MID(Q100,1,3),CODE!$B:$G,CODE!D$1,FALSE)</f>
        <v>NOV</v>
      </c>
      <c r="N100" s="24" t="str">
        <f t="shared" si="22"/>
        <v>BA</v>
      </c>
      <c r="O100" s="29" t="str">
        <f>IF(ISERROR(IF(VLOOKUP($N100,CODE!$K:$P,CODE!$O$1,FALSE)="",$M100,$M100&amp;"-"&amp;VLOOKUP($N100,CODE!$K:$P,CODE!$O$1,FALSE)))=TRUE,"",IF(VLOOKUP($N100,CODE!$K:$P,CODE!$O$1,FALSE)="",$M100,$M100&amp;"-"&amp;VLOOKUP($N100,CODE!$K:$P,CODE!$O$1,FALSE)))</f>
        <v>NOV</v>
      </c>
      <c r="P100" s="29" t="str">
        <f t="shared" si="23"/>
        <v>NOVBAE5304</v>
      </c>
      <c r="Q100" s="1" t="s">
        <v>892</v>
      </c>
      <c r="R100" s="1" t="s">
        <v>14</v>
      </c>
      <c r="S100" s="26">
        <v>700</v>
      </c>
      <c r="T100" s="26">
        <v>34300000</v>
      </c>
      <c r="U100" s="26">
        <v>3239404</v>
      </c>
      <c r="V100" s="26">
        <v>9.625788627111092</v>
      </c>
      <c r="W100" s="26">
        <v>0</v>
      </c>
      <c r="X100" s="26">
        <v>700</v>
      </c>
    </row>
    <row r="101" spans="1:24">
      <c r="A101" s="24" t="str">
        <f t="shared" si="16"/>
        <v>신규</v>
      </c>
      <c r="B101" s="24" t="str">
        <f>IF(COUNTIF(Q$1:Q100,Q101)=0,"최초","리오더")</f>
        <v>최초</v>
      </c>
      <c r="C101" s="24" t="str">
        <f t="shared" si="17"/>
        <v>NOVBAE3305</v>
      </c>
      <c r="D101" s="24">
        <f t="shared" si="12"/>
        <v>1</v>
      </c>
      <c r="E101" s="24" t="str">
        <f t="shared" si="18"/>
        <v/>
      </c>
      <c r="F101" s="24">
        <f t="shared" si="13"/>
        <v>0</v>
      </c>
      <c r="G101" s="24" t="str">
        <f t="shared" si="19"/>
        <v>NOVBAE3305KH</v>
      </c>
      <c r="H101" s="24">
        <f t="shared" si="14"/>
        <v>1</v>
      </c>
      <c r="I101" s="24" t="str">
        <f t="shared" si="20"/>
        <v/>
      </c>
      <c r="J101" s="24">
        <f t="shared" si="15"/>
        <v>0</v>
      </c>
      <c r="K101" s="24" t="str">
        <f t="shared" si="21"/>
        <v>E3</v>
      </c>
      <c r="L101" s="24" t="str">
        <f>VLOOKUP(N101,CODE!K:P,CODE!$P$1,FALSE)</f>
        <v>모자</v>
      </c>
      <c r="M101" s="24" t="str">
        <f>VLOOKUP(MID(Q101,1,3),CODE!$B:$G,CODE!D$1,FALSE)</f>
        <v>NOV</v>
      </c>
      <c r="N101" s="24" t="str">
        <f t="shared" si="22"/>
        <v>BA</v>
      </c>
      <c r="O101" s="29" t="str">
        <f>IF(ISERROR(IF(VLOOKUP($N101,CODE!$K:$P,CODE!$O$1,FALSE)="",$M101,$M101&amp;"-"&amp;VLOOKUP($N101,CODE!$K:$P,CODE!$O$1,FALSE)))=TRUE,"",IF(VLOOKUP($N101,CODE!$K:$P,CODE!$O$1,FALSE)="",$M101,$M101&amp;"-"&amp;VLOOKUP($N101,CODE!$K:$P,CODE!$O$1,FALSE)))</f>
        <v>NOV</v>
      </c>
      <c r="P101" s="29" t="str">
        <f t="shared" si="23"/>
        <v>NOVBAE3305</v>
      </c>
      <c r="Q101" s="1" t="s">
        <v>893</v>
      </c>
      <c r="R101" s="1" t="s">
        <v>14</v>
      </c>
      <c r="S101" s="26">
        <v>500</v>
      </c>
      <c r="T101" s="26">
        <v>22500000</v>
      </c>
      <c r="U101" s="26">
        <v>2339360</v>
      </c>
      <c r="V101" s="26">
        <v>8.743650166945427</v>
      </c>
      <c r="W101" s="26">
        <v>0</v>
      </c>
      <c r="X101" s="26">
        <v>500</v>
      </c>
    </row>
    <row r="102" spans="1:24">
      <c r="A102" s="24" t="str">
        <f t="shared" si="16"/>
        <v>신규</v>
      </c>
      <c r="B102" s="24" t="str">
        <f>IF(COUNTIF(Q$1:Q101,Q102)=0,"최초","리오더")</f>
        <v>최초</v>
      </c>
      <c r="C102" s="24" t="str">
        <f t="shared" si="17"/>
        <v>NOVTPE5306</v>
      </c>
      <c r="D102" s="24">
        <f t="shared" si="12"/>
        <v>0.5</v>
      </c>
      <c r="E102" s="24" t="str">
        <f t="shared" si="18"/>
        <v/>
      </c>
      <c r="F102" s="24">
        <f t="shared" si="13"/>
        <v>0</v>
      </c>
      <c r="G102" s="24" t="str">
        <f t="shared" si="19"/>
        <v>NOVTPE5306NY</v>
      </c>
      <c r="H102" s="24">
        <f t="shared" si="14"/>
        <v>1</v>
      </c>
      <c r="I102" s="24" t="str">
        <f t="shared" si="20"/>
        <v/>
      </c>
      <c r="J102" s="24">
        <f t="shared" si="15"/>
        <v>0</v>
      </c>
      <c r="K102" s="24" t="str">
        <f t="shared" si="21"/>
        <v>E5</v>
      </c>
      <c r="L102" s="24" t="str">
        <f>VLOOKUP(N102,CODE!K:P,CODE!$P$1,FALSE)</f>
        <v>모자</v>
      </c>
      <c r="M102" s="24" t="str">
        <f>VLOOKUP(MID(Q102,1,3),CODE!$B:$G,CODE!D$1,FALSE)</f>
        <v>NOV</v>
      </c>
      <c r="N102" s="24" t="str">
        <f t="shared" si="22"/>
        <v>TP</v>
      </c>
      <c r="O102" s="29" t="str">
        <f>IF(ISERROR(IF(VLOOKUP($N102,CODE!$K:$P,CODE!$O$1,FALSE)="",$M102,$M102&amp;"-"&amp;VLOOKUP($N102,CODE!$K:$P,CODE!$O$1,FALSE)))=TRUE,"",IF(VLOOKUP($N102,CODE!$K:$P,CODE!$O$1,FALSE)="",$M102,$M102&amp;"-"&amp;VLOOKUP($N102,CODE!$K:$P,CODE!$O$1,FALSE)))</f>
        <v>NOV</v>
      </c>
      <c r="P102" s="29" t="str">
        <f t="shared" si="23"/>
        <v>NOVTPE5306</v>
      </c>
      <c r="Q102" s="1" t="s">
        <v>894</v>
      </c>
      <c r="R102" s="1" t="s">
        <v>14</v>
      </c>
      <c r="S102" s="26">
        <v>400</v>
      </c>
      <c r="T102" s="26">
        <v>27600000</v>
      </c>
      <c r="U102" s="26">
        <v>4073320.0000000005</v>
      </c>
      <c r="V102" s="26">
        <v>6.1598178122291118</v>
      </c>
      <c r="W102" s="26">
        <v>0</v>
      </c>
      <c r="X102" s="26">
        <v>400</v>
      </c>
    </row>
    <row r="103" spans="1:24">
      <c r="A103" s="24" t="str">
        <f t="shared" si="16"/>
        <v>신규</v>
      </c>
      <c r="B103" s="24" t="str">
        <f>IF(COUNTIF(Q$1:Q102,Q103)=0,"최초","리오더")</f>
        <v>최초</v>
      </c>
      <c r="C103" s="24" t="str">
        <f t="shared" si="17"/>
        <v>NOVTPE5306</v>
      </c>
      <c r="D103" s="24">
        <f t="shared" si="12"/>
        <v>0.5</v>
      </c>
      <c r="E103" s="24" t="str">
        <f t="shared" si="18"/>
        <v/>
      </c>
      <c r="F103" s="24">
        <f t="shared" si="13"/>
        <v>0</v>
      </c>
      <c r="G103" s="24" t="str">
        <f t="shared" si="19"/>
        <v>NOVTPE5306GY</v>
      </c>
      <c r="H103" s="24">
        <f t="shared" si="14"/>
        <v>1</v>
      </c>
      <c r="I103" s="24" t="str">
        <f t="shared" si="20"/>
        <v/>
      </c>
      <c r="J103" s="24">
        <f t="shared" si="15"/>
        <v>0</v>
      </c>
      <c r="K103" s="24" t="str">
        <f t="shared" si="21"/>
        <v>E5</v>
      </c>
      <c r="L103" s="24" t="str">
        <f>VLOOKUP(N103,CODE!K:P,CODE!$P$1,FALSE)</f>
        <v>모자</v>
      </c>
      <c r="M103" s="24" t="str">
        <f>VLOOKUP(MID(Q103,1,3),CODE!$B:$G,CODE!D$1,FALSE)</f>
        <v>NOV</v>
      </c>
      <c r="N103" s="24" t="str">
        <f t="shared" si="22"/>
        <v>TP</v>
      </c>
      <c r="O103" s="29" t="str">
        <f>IF(ISERROR(IF(VLOOKUP($N103,CODE!$K:$P,CODE!$O$1,FALSE)="",$M103,$M103&amp;"-"&amp;VLOOKUP($N103,CODE!$K:$P,CODE!$O$1,FALSE)))=TRUE,"",IF(VLOOKUP($N103,CODE!$K:$P,CODE!$O$1,FALSE)="",$M103,$M103&amp;"-"&amp;VLOOKUP($N103,CODE!$K:$P,CODE!$O$1,FALSE)))</f>
        <v>NOV</v>
      </c>
      <c r="P103" s="29" t="str">
        <f t="shared" si="23"/>
        <v>NOVTPE5306</v>
      </c>
      <c r="Q103" s="1" t="s">
        <v>895</v>
      </c>
      <c r="R103" s="1" t="s">
        <v>14</v>
      </c>
      <c r="S103" s="26">
        <v>400</v>
      </c>
      <c r="T103" s="26">
        <v>27600000</v>
      </c>
      <c r="U103" s="26">
        <v>3822520.0000000005</v>
      </c>
      <c r="V103" s="26">
        <v>6.5639706504894901</v>
      </c>
      <c r="W103" s="26">
        <v>0</v>
      </c>
      <c r="X103" s="26">
        <v>400</v>
      </c>
    </row>
    <row r="104" spans="1:24">
      <c r="A104" s="24" t="str">
        <f t="shared" si="16"/>
        <v>신규</v>
      </c>
      <c r="B104" s="24" t="str">
        <f>IF(COUNTIF(Q$1:Q103,Q104)=0,"최초","리오더")</f>
        <v>최초</v>
      </c>
      <c r="C104" s="24" t="str">
        <f t="shared" si="17"/>
        <v>NOVTPE5307</v>
      </c>
      <c r="D104" s="24">
        <f t="shared" si="12"/>
        <v>1</v>
      </c>
      <c r="E104" s="24" t="str">
        <f t="shared" si="18"/>
        <v/>
      </c>
      <c r="F104" s="24">
        <f t="shared" si="13"/>
        <v>0</v>
      </c>
      <c r="G104" s="24" t="str">
        <f t="shared" si="19"/>
        <v>NOVTPE5307PP</v>
      </c>
      <c r="H104" s="24">
        <f t="shared" si="14"/>
        <v>1</v>
      </c>
      <c r="I104" s="24" t="str">
        <f t="shared" si="20"/>
        <v/>
      </c>
      <c r="J104" s="24">
        <f t="shared" si="15"/>
        <v>0</v>
      </c>
      <c r="K104" s="24" t="str">
        <f t="shared" si="21"/>
        <v>E5</v>
      </c>
      <c r="L104" s="24" t="str">
        <f>VLOOKUP(N104,CODE!K:P,CODE!$P$1,FALSE)</f>
        <v>모자</v>
      </c>
      <c r="M104" s="24" t="str">
        <f>VLOOKUP(MID(Q104,1,3),CODE!$B:$G,CODE!D$1,FALSE)</f>
        <v>NOV</v>
      </c>
      <c r="N104" s="24" t="str">
        <f t="shared" si="22"/>
        <v>TP</v>
      </c>
      <c r="O104" s="29" t="str">
        <f>IF(ISERROR(IF(VLOOKUP($N104,CODE!$K:$P,CODE!$O$1,FALSE)="",$M104,$M104&amp;"-"&amp;VLOOKUP($N104,CODE!$K:$P,CODE!$O$1,FALSE)))=TRUE,"",IF(VLOOKUP($N104,CODE!$K:$P,CODE!$O$1,FALSE)="",$M104,$M104&amp;"-"&amp;VLOOKUP($N104,CODE!$K:$P,CODE!$O$1,FALSE)))</f>
        <v>NOV</v>
      </c>
      <c r="P104" s="29" t="str">
        <f t="shared" si="23"/>
        <v>NOVTPE5307</v>
      </c>
      <c r="Q104" s="1" t="s">
        <v>896</v>
      </c>
      <c r="R104" s="1" t="s">
        <v>14</v>
      </c>
      <c r="S104" s="26">
        <v>400</v>
      </c>
      <c r="T104" s="26">
        <v>27600000</v>
      </c>
      <c r="U104" s="26">
        <v>3542520.0000000005</v>
      </c>
      <c r="V104" s="26">
        <v>7.0827854439520692</v>
      </c>
      <c r="W104" s="26">
        <v>0</v>
      </c>
      <c r="X104" s="26">
        <v>400</v>
      </c>
    </row>
    <row r="105" spans="1:24">
      <c r="A105" s="24" t="str">
        <f t="shared" si="16"/>
        <v>신규</v>
      </c>
      <c r="B105" s="24" t="str">
        <f>IF(COUNTIF(Q$1:Q104,Q105)=0,"최초","리오더")</f>
        <v>최초</v>
      </c>
      <c r="C105" s="24" t="str">
        <f t="shared" si="17"/>
        <v>NOVTPE5807</v>
      </c>
      <c r="D105" s="24">
        <f t="shared" si="12"/>
        <v>1</v>
      </c>
      <c r="E105" s="24" t="str">
        <f t="shared" si="18"/>
        <v/>
      </c>
      <c r="F105" s="24">
        <f t="shared" si="13"/>
        <v>0</v>
      </c>
      <c r="G105" s="24" t="str">
        <f t="shared" si="19"/>
        <v>NOVTPE5807PP</v>
      </c>
      <c r="H105" s="24">
        <f t="shared" si="14"/>
        <v>1</v>
      </c>
      <c r="I105" s="24" t="str">
        <f t="shared" si="20"/>
        <v/>
      </c>
      <c r="J105" s="24">
        <f t="shared" si="15"/>
        <v>0</v>
      </c>
      <c r="K105" s="24" t="str">
        <f t="shared" si="21"/>
        <v>E5</v>
      </c>
      <c r="L105" s="24" t="str">
        <f>VLOOKUP(N105,CODE!K:P,CODE!$P$1,FALSE)</f>
        <v>모자</v>
      </c>
      <c r="M105" s="24" t="str">
        <f>VLOOKUP(MID(Q105,1,3),CODE!$B:$G,CODE!D$1,FALSE)</f>
        <v>NOV</v>
      </c>
      <c r="N105" s="24" t="str">
        <f t="shared" si="22"/>
        <v>TP</v>
      </c>
      <c r="O105" s="29" t="str">
        <f>IF(ISERROR(IF(VLOOKUP($N105,CODE!$K:$P,CODE!$O$1,FALSE)="",$M105,$M105&amp;"-"&amp;VLOOKUP($N105,CODE!$K:$P,CODE!$O$1,FALSE)))=TRUE,"",IF(VLOOKUP($N105,CODE!$K:$P,CODE!$O$1,FALSE)="",$M105,$M105&amp;"-"&amp;VLOOKUP($N105,CODE!$K:$P,CODE!$O$1,FALSE)))</f>
        <v>NOV</v>
      </c>
      <c r="P105" s="29" t="str">
        <f t="shared" si="23"/>
        <v>NOVTPE5807</v>
      </c>
      <c r="Q105" s="1" t="s">
        <v>897</v>
      </c>
      <c r="R105" s="1" t="s">
        <v>14</v>
      </c>
      <c r="S105" s="26">
        <v>300</v>
      </c>
      <c r="T105" s="26">
        <v>19500000</v>
      </c>
      <c r="U105" s="26">
        <v>2658279</v>
      </c>
      <c r="V105" s="26">
        <v>6.668702843935014</v>
      </c>
      <c r="W105" s="26">
        <v>0</v>
      </c>
      <c r="X105" s="26">
        <v>300</v>
      </c>
    </row>
    <row r="106" spans="1:24">
      <c r="A106" s="24" t="str">
        <f t="shared" si="16"/>
        <v>신규</v>
      </c>
      <c r="B106" s="24" t="str">
        <f>IF(COUNTIF(Q$1:Q105,Q106)=0,"최초","리오더")</f>
        <v>최초</v>
      </c>
      <c r="C106" s="24" t="str">
        <f t="shared" si="17"/>
        <v>NOVTPE5308</v>
      </c>
      <c r="D106" s="24">
        <f t="shared" si="12"/>
        <v>0.5</v>
      </c>
      <c r="E106" s="24" t="str">
        <f t="shared" si="18"/>
        <v/>
      </c>
      <c r="F106" s="24">
        <f t="shared" si="13"/>
        <v>0</v>
      </c>
      <c r="G106" s="24" t="str">
        <f t="shared" si="19"/>
        <v>NOVTPE5308NY</v>
      </c>
      <c r="H106" s="24">
        <f t="shared" si="14"/>
        <v>1</v>
      </c>
      <c r="I106" s="24" t="str">
        <f t="shared" si="20"/>
        <v/>
      </c>
      <c r="J106" s="24">
        <f t="shared" si="15"/>
        <v>0</v>
      </c>
      <c r="K106" s="24" t="str">
        <f t="shared" si="21"/>
        <v>E5</v>
      </c>
      <c r="L106" s="24" t="str">
        <f>VLOOKUP(N106,CODE!K:P,CODE!$P$1,FALSE)</f>
        <v>모자</v>
      </c>
      <c r="M106" s="24" t="str">
        <f>VLOOKUP(MID(Q106,1,3),CODE!$B:$G,CODE!D$1,FALSE)</f>
        <v>NOV</v>
      </c>
      <c r="N106" s="24" t="str">
        <f t="shared" si="22"/>
        <v>TP</v>
      </c>
      <c r="O106" s="29" t="str">
        <f>IF(ISERROR(IF(VLOOKUP($N106,CODE!$K:$P,CODE!$O$1,FALSE)="",$M106,$M106&amp;"-"&amp;VLOOKUP($N106,CODE!$K:$P,CODE!$O$1,FALSE)))=TRUE,"",IF(VLOOKUP($N106,CODE!$K:$P,CODE!$O$1,FALSE)="",$M106,$M106&amp;"-"&amp;VLOOKUP($N106,CODE!$K:$P,CODE!$O$1,FALSE)))</f>
        <v>NOV</v>
      </c>
      <c r="P106" s="29" t="str">
        <f t="shared" si="23"/>
        <v>NOVTPE5308</v>
      </c>
      <c r="Q106" s="1" t="s">
        <v>898</v>
      </c>
      <c r="R106" s="1" t="s">
        <v>14</v>
      </c>
      <c r="S106" s="26">
        <v>600</v>
      </c>
      <c r="T106" s="26">
        <v>41400000</v>
      </c>
      <c r="U106" s="26">
        <v>5415780.0000000009</v>
      </c>
      <c r="V106" s="26">
        <v>6.949389309824924</v>
      </c>
      <c r="W106" s="26">
        <v>0</v>
      </c>
      <c r="X106" s="26">
        <v>600</v>
      </c>
    </row>
    <row r="107" spans="1:24">
      <c r="A107" s="24" t="str">
        <f t="shared" si="16"/>
        <v>신규</v>
      </c>
      <c r="B107" s="24" t="str">
        <f>IF(COUNTIF(Q$1:Q106,Q107)=0,"최초","리오더")</f>
        <v>최초</v>
      </c>
      <c r="C107" s="24" t="str">
        <f t="shared" si="17"/>
        <v>NOVTPE5308</v>
      </c>
      <c r="D107" s="24">
        <f t="shared" si="12"/>
        <v>0.5</v>
      </c>
      <c r="E107" s="24" t="str">
        <f t="shared" si="18"/>
        <v/>
      </c>
      <c r="F107" s="24">
        <f t="shared" si="13"/>
        <v>0</v>
      </c>
      <c r="G107" s="24" t="str">
        <f t="shared" si="19"/>
        <v>NOVTPE5308BK</v>
      </c>
      <c r="H107" s="24">
        <f t="shared" si="14"/>
        <v>1</v>
      </c>
      <c r="I107" s="24" t="str">
        <f t="shared" si="20"/>
        <v/>
      </c>
      <c r="J107" s="24">
        <f t="shared" si="15"/>
        <v>0</v>
      </c>
      <c r="K107" s="24" t="str">
        <f t="shared" si="21"/>
        <v>E5</v>
      </c>
      <c r="L107" s="24" t="str">
        <f>VLOOKUP(N107,CODE!K:P,CODE!$P$1,FALSE)</f>
        <v>모자</v>
      </c>
      <c r="M107" s="24" t="str">
        <f>VLOOKUP(MID(Q107,1,3),CODE!$B:$G,CODE!D$1,FALSE)</f>
        <v>NOV</v>
      </c>
      <c r="N107" s="24" t="str">
        <f t="shared" si="22"/>
        <v>TP</v>
      </c>
      <c r="O107" s="29" t="str">
        <f>IF(ISERROR(IF(VLOOKUP($N107,CODE!$K:$P,CODE!$O$1,FALSE)="",$M107,$M107&amp;"-"&amp;VLOOKUP($N107,CODE!$K:$P,CODE!$O$1,FALSE)))=TRUE,"",IF(VLOOKUP($N107,CODE!$K:$P,CODE!$O$1,FALSE)="",$M107,$M107&amp;"-"&amp;VLOOKUP($N107,CODE!$K:$P,CODE!$O$1,FALSE)))</f>
        <v>NOV</v>
      </c>
      <c r="P107" s="29" t="str">
        <f t="shared" si="23"/>
        <v>NOVTPE5308</v>
      </c>
      <c r="Q107" s="1" t="s">
        <v>899</v>
      </c>
      <c r="R107" s="1" t="s">
        <v>14</v>
      </c>
      <c r="S107" s="26">
        <v>600</v>
      </c>
      <c r="T107" s="26">
        <v>41400000</v>
      </c>
      <c r="U107" s="26">
        <v>5415780.0000000009</v>
      </c>
      <c r="V107" s="26">
        <v>6.949389309824924</v>
      </c>
      <c r="W107" s="26">
        <v>0</v>
      </c>
      <c r="X107" s="26">
        <v>600</v>
      </c>
    </row>
    <row r="108" spans="1:24">
      <c r="A108" s="24" t="str">
        <f t="shared" si="16"/>
        <v>신규</v>
      </c>
      <c r="B108" s="24" t="str">
        <f>IF(COUNTIF(Q$1:Q107,Q108)=0,"최초","리오더")</f>
        <v>최초</v>
      </c>
      <c r="C108" s="24" t="str">
        <f t="shared" si="17"/>
        <v>NOVTPE5309</v>
      </c>
      <c r="D108" s="24">
        <f t="shared" si="12"/>
        <v>0.25</v>
      </c>
      <c r="E108" s="24" t="str">
        <f t="shared" si="18"/>
        <v/>
      </c>
      <c r="F108" s="24">
        <f t="shared" si="13"/>
        <v>0</v>
      </c>
      <c r="G108" s="24" t="str">
        <f t="shared" si="19"/>
        <v>NOVTPE5309OR</v>
      </c>
      <c r="H108" s="24">
        <f t="shared" si="14"/>
        <v>1</v>
      </c>
      <c r="I108" s="24" t="str">
        <f t="shared" si="20"/>
        <v/>
      </c>
      <c r="J108" s="24">
        <f t="shared" si="15"/>
        <v>0</v>
      </c>
      <c r="K108" s="24" t="str">
        <f t="shared" si="21"/>
        <v>E5</v>
      </c>
      <c r="L108" s="24" t="str">
        <f>VLOOKUP(N108,CODE!K:P,CODE!$P$1,FALSE)</f>
        <v>모자</v>
      </c>
      <c r="M108" s="24" t="str">
        <f>VLOOKUP(MID(Q108,1,3),CODE!$B:$G,CODE!D$1,FALSE)</f>
        <v>NOV</v>
      </c>
      <c r="N108" s="24" t="str">
        <f t="shared" si="22"/>
        <v>TP</v>
      </c>
      <c r="O108" s="29" t="str">
        <f>IF(ISERROR(IF(VLOOKUP($N108,CODE!$K:$P,CODE!$O$1,FALSE)="",$M108,$M108&amp;"-"&amp;VLOOKUP($N108,CODE!$K:$P,CODE!$O$1,FALSE)))=TRUE,"",IF(VLOOKUP($N108,CODE!$K:$P,CODE!$O$1,FALSE)="",$M108,$M108&amp;"-"&amp;VLOOKUP($N108,CODE!$K:$P,CODE!$O$1,FALSE)))</f>
        <v>NOV</v>
      </c>
      <c r="P108" s="29" t="str">
        <f t="shared" si="23"/>
        <v>NOVTPE5309</v>
      </c>
      <c r="Q108" s="1" t="s">
        <v>900</v>
      </c>
      <c r="R108" s="1" t="s">
        <v>14</v>
      </c>
      <c r="S108" s="26">
        <v>600</v>
      </c>
      <c r="T108" s="26">
        <v>41400000</v>
      </c>
      <c r="U108" s="26">
        <v>5350380.0000000009</v>
      </c>
      <c r="V108" s="26">
        <v>7.0343346895666521</v>
      </c>
      <c r="W108" s="26">
        <v>0</v>
      </c>
      <c r="X108" s="26">
        <v>600</v>
      </c>
    </row>
    <row r="109" spans="1:24">
      <c r="A109" s="24" t="str">
        <f t="shared" si="16"/>
        <v>신규</v>
      </c>
      <c r="B109" s="24" t="str">
        <f>IF(COUNTIF(Q$1:Q108,Q109)=0,"최초","리오더")</f>
        <v>최초</v>
      </c>
      <c r="C109" s="24" t="str">
        <f t="shared" si="17"/>
        <v>NOVTPE5809</v>
      </c>
      <c r="D109" s="24">
        <f t="shared" si="12"/>
        <v>0.5</v>
      </c>
      <c r="E109" s="24" t="str">
        <f t="shared" si="18"/>
        <v/>
      </c>
      <c r="F109" s="24">
        <f t="shared" si="13"/>
        <v>0</v>
      </c>
      <c r="G109" s="24" t="str">
        <f t="shared" si="19"/>
        <v>NOVTPE5809OR</v>
      </c>
      <c r="H109" s="24">
        <f t="shared" si="14"/>
        <v>1</v>
      </c>
      <c r="I109" s="24" t="str">
        <f t="shared" si="20"/>
        <v/>
      </c>
      <c r="J109" s="24">
        <f t="shared" si="15"/>
        <v>0</v>
      </c>
      <c r="K109" s="24" t="str">
        <f t="shared" si="21"/>
        <v>E5</v>
      </c>
      <c r="L109" s="24" t="str">
        <f>VLOOKUP(N109,CODE!K:P,CODE!$P$1,FALSE)</f>
        <v>모자</v>
      </c>
      <c r="M109" s="24" t="str">
        <f>VLOOKUP(MID(Q109,1,3),CODE!$B:$G,CODE!D$1,FALSE)</f>
        <v>NOV</v>
      </c>
      <c r="N109" s="24" t="str">
        <f t="shared" si="22"/>
        <v>TP</v>
      </c>
      <c r="O109" s="29" t="str">
        <f>IF(ISERROR(IF(VLOOKUP($N109,CODE!$K:$P,CODE!$O$1,FALSE)="",$M109,$M109&amp;"-"&amp;VLOOKUP($N109,CODE!$K:$P,CODE!$O$1,FALSE)))=TRUE,"",IF(VLOOKUP($N109,CODE!$K:$P,CODE!$O$1,FALSE)="",$M109,$M109&amp;"-"&amp;VLOOKUP($N109,CODE!$K:$P,CODE!$O$1,FALSE)))</f>
        <v>NOV</v>
      </c>
      <c r="P109" s="29" t="str">
        <f t="shared" si="23"/>
        <v>NOVTPE5809</v>
      </c>
      <c r="Q109" s="1" t="s">
        <v>901</v>
      </c>
      <c r="R109" s="1" t="s">
        <v>14</v>
      </c>
      <c r="S109" s="26">
        <v>400</v>
      </c>
      <c r="T109" s="26">
        <v>26000000</v>
      </c>
      <c r="U109" s="26">
        <v>3229172</v>
      </c>
      <c r="V109" s="26">
        <v>7.3196360046363695</v>
      </c>
      <c r="W109" s="26">
        <v>0</v>
      </c>
      <c r="X109" s="26">
        <v>400</v>
      </c>
    </row>
    <row r="110" spans="1:24">
      <c r="A110" s="24" t="str">
        <f t="shared" si="16"/>
        <v>신규</v>
      </c>
      <c r="B110" s="24" t="str">
        <f>IF(COUNTIF(Q$1:Q109,Q110)=0,"최초","리오더")</f>
        <v>최초</v>
      </c>
      <c r="C110" s="24" t="str">
        <f t="shared" si="17"/>
        <v>NOVTPE5309</v>
      </c>
      <c r="D110" s="24">
        <f t="shared" si="12"/>
        <v>0.25</v>
      </c>
      <c r="E110" s="24" t="str">
        <f t="shared" si="18"/>
        <v/>
      </c>
      <c r="F110" s="24">
        <f t="shared" si="13"/>
        <v>0</v>
      </c>
      <c r="G110" s="24" t="str">
        <f t="shared" si="19"/>
        <v>NOVTPE5309RE</v>
      </c>
      <c r="H110" s="24">
        <f t="shared" si="14"/>
        <v>1</v>
      </c>
      <c r="I110" s="24" t="str">
        <f t="shared" si="20"/>
        <v/>
      </c>
      <c r="J110" s="24">
        <f t="shared" si="15"/>
        <v>0</v>
      </c>
      <c r="K110" s="24" t="str">
        <f t="shared" si="21"/>
        <v>E5</v>
      </c>
      <c r="L110" s="24" t="str">
        <f>VLOOKUP(N110,CODE!K:P,CODE!$P$1,FALSE)</f>
        <v>모자</v>
      </c>
      <c r="M110" s="24" t="str">
        <f>VLOOKUP(MID(Q110,1,3),CODE!$B:$G,CODE!D$1,FALSE)</f>
        <v>NOV</v>
      </c>
      <c r="N110" s="24" t="str">
        <f t="shared" si="22"/>
        <v>TP</v>
      </c>
      <c r="O110" s="29" t="str">
        <f>IF(ISERROR(IF(VLOOKUP($N110,CODE!$K:$P,CODE!$O$1,FALSE)="",$M110,$M110&amp;"-"&amp;VLOOKUP($N110,CODE!$K:$P,CODE!$O$1,FALSE)))=TRUE,"",IF(VLOOKUP($N110,CODE!$K:$P,CODE!$O$1,FALSE)="",$M110,$M110&amp;"-"&amp;VLOOKUP($N110,CODE!$K:$P,CODE!$O$1,FALSE)))</f>
        <v>NOV</v>
      </c>
      <c r="P110" s="29" t="str">
        <f t="shared" si="23"/>
        <v>NOVTPE5309</v>
      </c>
      <c r="Q110" s="1" t="s">
        <v>902</v>
      </c>
      <c r="R110" s="1" t="s">
        <v>14</v>
      </c>
      <c r="S110" s="26">
        <v>600</v>
      </c>
      <c r="T110" s="26">
        <v>41400000</v>
      </c>
      <c r="U110" s="26">
        <v>5462580.0000000009</v>
      </c>
      <c r="V110" s="26">
        <v>6.889851249110059</v>
      </c>
      <c r="W110" s="26">
        <v>0</v>
      </c>
      <c r="X110" s="26">
        <v>600</v>
      </c>
    </row>
    <row r="111" spans="1:24">
      <c r="A111" s="24" t="str">
        <f t="shared" si="16"/>
        <v>신규</v>
      </c>
      <c r="B111" s="24" t="str">
        <f>IF(COUNTIF(Q$1:Q110,Q111)=0,"최초","리오더")</f>
        <v>최초</v>
      </c>
      <c r="C111" s="24" t="str">
        <f t="shared" si="17"/>
        <v>NOVTPE5309</v>
      </c>
      <c r="D111" s="24">
        <f t="shared" si="12"/>
        <v>0.25</v>
      </c>
      <c r="E111" s="24" t="str">
        <f t="shared" si="18"/>
        <v/>
      </c>
      <c r="F111" s="24">
        <f t="shared" si="13"/>
        <v>0</v>
      </c>
      <c r="G111" s="24" t="str">
        <f t="shared" si="19"/>
        <v>NOVTPE5309PK</v>
      </c>
      <c r="H111" s="24">
        <f t="shared" si="14"/>
        <v>1</v>
      </c>
      <c r="I111" s="24" t="str">
        <f t="shared" si="20"/>
        <v/>
      </c>
      <c r="J111" s="24">
        <f t="shared" si="15"/>
        <v>0</v>
      </c>
      <c r="K111" s="24" t="str">
        <f t="shared" si="21"/>
        <v>E5</v>
      </c>
      <c r="L111" s="24" t="str">
        <f>VLOOKUP(N111,CODE!K:P,CODE!$P$1,FALSE)</f>
        <v>모자</v>
      </c>
      <c r="M111" s="24" t="str">
        <f>VLOOKUP(MID(Q111,1,3),CODE!$B:$G,CODE!D$1,FALSE)</f>
        <v>NOV</v>
      </c>
      <c r="N111" s="24" t="str">
        <f t="shared" si="22"/>
        <v>TP</v>
      </c>
      <c r="O111" s="29" t="str">
        <f>IF(ISERROR(IF(VLOOKUP($N111,CODE!$K:$P,CODE!$O$1,FALSE)="",$M111,$M111&amp;"-"&amp;VLOOKUP($N111,CODE!$K:$P,CODE!$O$1,FALSE)))=TRUE,"",IF(VLOOKUP($N111,CODE!$K:$P,CODE!$O$1,FALSE)="",$M111,$M111&amp;"-"&amp;VLOOKUP($N111,CODE!$K:$P,CODE!$O$1,FALSE)))</f>
        <v>NOV</v>
      </c>
      <c r="P111" s="29" t="str">
        <f t="shared" si="23"/>
        <v>NOVTPE5309</v>
      </c>
      <c r="Q111" s="1" t="s">
        <v>903</v>
      </c>
      <c r="R111" s="1" t="s">
        <v>14</v>
      </c>
      <c r="S111" s="26">
        <v>400</v>
      </c>
      <c r="T111" s="26">
        <v>27600000</v>
      </c>
      <c r="U111" s="26">
        <v>4189320.0000000005</v>
      </c>
      <c r="V111" s="26">
        <v>5.9892557959069936</v>
      </c>
      <c r="W111" s="26">
        <v>0</v>
      </c>
      <c r="X111" s="26">
        <v>400</v>
      </c>
    </row>
    <row r="112" spans="1:24">
      <c r="A112" s="24" t="str">
        <f t="shared" si="16"/>
        <v>신규</v>
      </c>
      <c r="B112" s="24" t="str">
        <f>IF(COUNTIF(Q$1:Q111,Q112)=0,"최초","리오더")</f>
        <v>최초</v>
      </c>
      <c r="C112" s="24" t="str">
        <f t="shared" si="17"/>
        <v>NOVTPE5809</v>
      </c>
      <c r="D112" s="24">
        <f t="shared" si="12"/>
        <v>0.5</v>
      </c>
      <c r="E112" s="24" t="str">
        <f t="shared" si="18"/>
        <v/>
      </c>
      <c r="F112" s="24">
        <f t="shared" si="13"/>
        <v>0</v>
      </c>
      <c r="G112" s="24" t="str">
        <f t="shared" si="19"/>
        <v>NOVTPE5809PK</v>
      </c>
      <c r="H112" s="24">
        <f t="shared" si="14"/>
        <v>1</v>
      </c>
      <c r="I112" s="24" t="str">
        <f t="shared" si="20"/>
        <v/>
      </c>
      <c r="J112" s="24">
        <f t="shared" si="15"/>
        <v>0</v>
      </c>
      <c r="K112" s="24" t="str">
        <f t="shared" si="21"/>
        <v>E5</v>
      </c>
      <c r="L112" s="24" t="str">
        <f>VLOOKUP(N112,CODE!K:P,CODE!$P$1,FALSE)</f>
        <v>모자</v>
      </c>
      <c r="M112" s="24" t="str">
        <f>VLOOKUP(MID(Q112,1,3),CODE!$B:$G,CODE!D$1,FALSE)</f>
        <v>NOV</v>
      </c>
      <c r="N112" s="24" t="str">
        <f t="shared" si="22"/>
        <v>TP</v>
      </c>
      <c r="O112" s="29" t="str">
        <f>IF(ISERROR(IF(VLOOKUP($N112,CODE!$K:$P,CODE!$O$1,FALSE)="",$M112,$M112&amp;"-"&amp;VLOOKUP($N112,CODE!$K:$P,CODE!$O$1,FALSE)))=TRUE,"",IF(VLOOKUP($N112,CODE!$K:$P,CODE!$O$1,FALSE)="",$M112,$M112&amp;"-"&amp;VLOOKUP($N112,CODE!$K:$P,CODE!$O$1,FALSE)))</f>
        <v>NOV</v>
      </c>
      <c r="P112" s="29" t="str">
        <f t="shared" si="23"/>
        <v>NOVTPE5809</v>
      </c>
      <c r="Q112" s="1" t="s">
        <v>904</v>
      </c>
      <c r="R112" s="1" t="s">
        <v>14</v>
      </c>
      <c r="S112" s="26">
        <v>300</v>
      </c>
      <c r="T112" s="26">
        <v>19500000</v>
      </c>
      <c r="U112" s="26">
        <v>2655279</v>
      </c>
      <c r="V112" s="26">
        <v>6.6762373096283758</v>
      </c>
      <c r="W112" s="26">
        <v>0</v>
      </c>
      <c r="X112" s="26">
        <v>300</v>
      </c>
    </row>
    <row r="113" spans="1:24">
      <c r="A113" s="24" t="str">
        <f t="shared" si="16"/>
        <v>신규</v>
      </c>
      <c r="B113" s="24" t="str">
        <f>IF(COUNTIF(Q$1:Q112,Q113)=0,"최초","리오더")</f>
        <v>최초</v>
      </c>
      <c r="C113" s="24" t="str">
        <f t="shared" si="17"/>
        <v>NOVTPE5309</v>
      </c>
      <c r="D113" s="24">
        <f t="shared" si="12"/>
        <v>0.25</v>
      </c>
      <c r="E113" s="24" t="str">
        <f t="shared" si="18"/>
        <v/>
      </c>
      <c r="F113" s="24">
        <f t="shared" si="13"/>
        <v>0</v>
      </c>
      <c r="G113" s="24" t="str">
        <f t="shared" si="19"/>
        <v>NOVTPE5309GR</v>
      </c>
      <c r="H113" s="24">
        <f t="shared" si="14"/>
        <v>1</v>
      </c>
      <c r="I113" s="24" t="str">
        <f t="shared" si="20"/>
        <v/>
      </c>
      <c r="J113" s="24">
        <f t="shared" si="15"/>
        <v>0</v>
      </c>
      <c r="K113" s="24" t="str">
        <f t="shared" si="21"/>
        <v>E5</v>
      </c>
      <c r="L113" s="24" t="str">
        <f>VLOOKUP(N113,CODE!K:P,CODE!$P$1,FALSE)</f>
        <v>모자</v>
      </c>
      <c r="M113" s="24" t="str">
        <f>VLOOKUP(MID(Q113,1,3),CODE!$B:$G,CODE!D$1,FALSE)</f>
        <v>NOV</v>
      </c>
      <c r="N113" s="24" t="str">
        <f t="shared" si="22"/>
        <v>TP</v>
      </c>
      <c r="O113" s="29" t="str">
        <f>IF(ISERROR(IF(VLOOKUP($N113,CODE!$K:$P,CODE!$O$1,FALSE)="",$M113,$M113&amp;"-"&amp;VLOOKUP($N113,CODE!$K:$P,CODE!$O$1,FALSE)))=TRUE,"",IF(VLOOKUP($N113,CODE!$K:$P,CODE!$O$1,FALSE)="",$M113,$M113&amp;"-"&amp;VLOOKUP($N113,CODE!$K:$P,CODE!$O$1,FALSE)))</f>
        <v>NOV</v>
      </c>
      <c r="P113" s="29" t="str">
        <f t="shared" si="23"/>
        <v>NOVTPE5309</v>
      </c>
      <c r="Q113" s="1" t="s">
        <v>905</v>
      </c>
      <c r="R113" s="1" t="s">
        <v>14</v>
      </c>
      <c r="S113" s="26">
        <v>600</v>
      </c>
      <c r="T113" s="26">
        <v>41400000</v>
      </c>
      <c r="U113" s="26">
        <v>5350380.0000000009</v>
      </c>
      <c r="V113" s="26">
        <v>7.0343346895666521</v>
      </c>
      <c r="W113" s="26">
        <v>0</v>
      </c>
      <c r="X113" s="26">
        <v>600</v>
      </c>
    </row>
    <row r="114" spans="1:24">
      <c r="A114" s="24" t="str">
        <f t="shared" si="16"/>
        <v>신규</v>
      </c>
      <c r="B114" s="24" t="str">
        <f>IF(COUNTIF(Q$1:Q113,Q114)=0,"최초","리오더")</f>
        <v>최초</v>
      </c>
      <c r="C114" s="24" t="str">
        <f t="shared" si="17"/>
        <v>HCUMIE3301</v>
      </c>
      <c r="D114" s="24">
        <f t="shared" si="12"/>
        <v>0.5</v>
      </c>
      <c r="E114" s="24" t="str">
        <f t="shared" si="18"/>
        <v/>
      </c>
      <c r="F114" s="24">
        <f t="shared" si="13"/>
        <v>0</v>
      </c>
      <c r="G114" s="24" t="str">
        <f t="shared" si="19"/>
        <v>HCUMIE3301BK</v>
      </c>
      <c r="H114" s="24">
        <f t="shared" si="14"/>
        <v>1</v>
      </c>
      <c r="I114" s="24" t="str">
        <f t="shared" si="20"/>
        <v/>
      </c>
      <c r="J114" s="24">
        <f t="shared" si="15"/>
        <v>0</v>
      </c>
      <c r="K114" s="24" t="str">
        <f t="shared" si="21"/>
        <v>E3</v>
      </c>
      <c r="L114" s="24" t="str">
        <f>VLOOKUP(N114,CODE!K:P,CODE!$P$1,FALSE)</f>
        <v>모자</v>
      </c>
      <c r="M114" s="24" t="str">
        <f>VLOOKUP(MID(Q114,1,3),CODE!$B:$G,CODE!D$1,FALSE)</f>
        <v>HCU</v>
      </c>
      <c r="N114" s="24" t="str">
        <f t="shared" si="22"/>
        <v>MI</v>
      </c>
      <c r="O114" s="29" t="str">
        <f>IF(ISERROR(IF(VLOOKUP($N114,CODE!$K:$P,CODE!$O$1,FALSE)="",$M114,$M114&amp;"-"&amp;VLOOKUP($N114,CODE!$K:$P,CODE!$O$1,FALSE)))=TRUE,"",IF(VLOOKUP($N114,CODE!$K:$P,CODE!$O$1,FALSE)="",$M114,$M114&amp;"-"&amp;VLOOKUP($N114,CODE!$K:$P,CODE!$O$1,FALSE)))</f>
        <v>HCU</v>
      </c>
      <c r="P114" s="29" t="str">
        <f t="shared" si="23"/>
        <v>HCUMIE3301</v>
      </c>
      <c r="Q114" s="1" t="s">
        <v>906</v>
      </c>
      <c r="R114" s="1" t="s">
        <v>14</v>
      </c>
      <c r="S114" s="26">
        <v>3000</v>
      </c>
      <c r="T114" s="26">
        <v>105000000</v>
      </c>
      <c r="U114" s="26">
        <v>17000700</v>
      </c>
      <c r="V114" s="26">
        <v>5.6147420667705124</v>
      </c>
      <c r="W114" s="26">
        <v>2999</v>
      </c>
      <c r="X114" s="26">
        <v>0</v>
      </c>
    </row>
    <row r="115" spans="1:24">
      <c r="A115" s="24" t="str">
        <f t="shared" si="16"/>
        <v>신규</v>
      </c>
      <c r="B115" s="24" t="str">
        <f>IF(COUNTIF(Q$1:Q114,Q115)=0,"최초","리오더")</f>
        <v>최초</v>
      </c>
      <c r="C115" s="24" t="str">
        <f t="shared" si="17"/>
        <v>HCUMIE3301</v>
      </c>
      <c r="D115" s="24">
        <f t="shared" si="12"/>
        <v>0.5</v>
      </c>
      <c r="E115" s="24" t="str">
        <f t="shared" si="18"/>
        <v/>
      </c>
      <c r="F115" s="24">
        <f t="shared" si="13"/>
        <v>0</v>
      </c>
      <c r="G115" s="24" t="str">
        <f t="shared" si="19"/>
        <v>HCUMIE3301KH</v>
      </c>
      <c r="H115" s="24">
        <f t="shared" si="14"/>
        <v>1</v>
      </c>
      <c r="I115" s="24" t="str">
        <f t="shared" si="20"/>
        <v/>
      </c>
      <c r="J115" s="24">
        <f t="shared" si="15"/>
        <v>0</v>
      </c>
      <c r="K115" s="24" t="str">
        <f t="shared" si="21"/>
        <v>E3</v>
      </c>
      <c r="L115" s="24" t="str">
        <f>VLOOKUP(N115,CODE!K:P,CODE!$P$1,FALSE)</f>
        <v>모자</v>
      </c>
      <c r="M115" s="24" t="str">
        <f>VLOOKUP(MID(Q115,1,3),CODE!$B:$G,CODE!D$1,FALSE)</f>
        <v>HCU</v>
      </c>
      <c r="N115" s="24" t="str">
        <f t="shared" si="22"/>
        <v>MI</v>
      </c>
      <c r="O115" s="29" t="str">
        <f>IF(ISERROR(IF(VLOOKUP($N115,CODE!$K:$P,CODE!$O$1,FALSE)="",$M115,$M115&amp;"-"&amp;VLOOKUP($N115,CODE!$K:$P,CODE!$O$1,FALSE)))=TRUE,"",IF(VLOOKUP($N115,CODE!$K:$P,CODE!$O$1,FALSE)="",$M115,$M115&amp;"-"&amp;VLOOKUP($N115,CODE!$K:$P,CODE!$O$1,FALSE)))</f>
        <v>HCU</v>
      </c>
      <c r="P115" s="29" t="str">
        <f t="shared" si="23"/>
        <v>HCUMIE3301</v>
      </c>
      <c r="Q115" s="1" t="s">
        <v>907</v>
      </c>
      <c r="R115" s="1" t="s">
        <v>14</v>
      </c>
      <c r="S115" s="26">
        <v>2000</v>
      </c>
      <c r="T115" s="26">
        <v>70000000</v>
      </c>
      <c r="U115" s="26">
        <v>11345360</v>
      </c>
      <c r="V115" s="26">
        <v>5.6090211008168653</v>
      </c>
      <c r="W115" s="26">
        <v>2000</v>
      </c>
      <c r="X115" s="26">
        <v>0</v>
      </c>
    </row>
    <row r="116" spans="1:24">
      <c r="A116" s="24" t="str">
        <f t="shared" si="16"/>
        <v>신규</v>
      </c>
      <c r="B116" s="24" t="str">
        <f>IF(COUNTIF(Q$1:Q115,Q116)=0,"최초","리오더")</f>
        <v>최초</v>
      </c>
      <c r="C116" s="24" t="str">
        <f t="shared" si="17"/>
        <v>HCUMIE3302</v>
      </c>
      <c r="D116" s="24">
        <f t="shared" si="12"/>
        <v>0.5</v>
      </c>
      <c r="E116" s="24" t="str">
        <f t="shared" si="18"/>
        <v/>
      </c>
      <c r="F116" s="24">
        <f t="shared" si="13"/>
        <v>0</v>
      </c>
      <c r="G116" s="24" t="str">
        <f t="shared" si="19"/>
        <v>HCUMIE3302BK</v>
      </c>
      <c r="H116" s="24">
        <f t="shared" si="14"/>
        <v>1</v>
      </c>
      <c r="I116" s="24" t="str">
        <f t="shared" si="20"/>
        <v/>
      </c>
      <c r="J116" s="24">
        <f t="shared" si="15"/>
        <v>0</v>
      </c>
      <c r="K116" s="24" t="str">
        <f t="shared" si="21"/>
        <v>E3</v>
      </c>
      <c r="L116" s="24" t="str">
        <f>VLOOKUP(N116,CODE!K:P,CODE!$P$1,FALSE)</f>
        <v>모자</v>
      </c>
      <c r="M116" s="24" t="str">
        <f>VLOOKUP(MID(Q116,1,3),CODE!$B:$G,CODE!D$1,FALSE)</f>
        <v>HCU</v>
      </c>
      <c r="N116" s="24" t="str">
        <f t="shared" si="22"/>
        <v>MI</v>
      </c>
      <c r="O116" s="29" t="str">
        <f>IF(ISERROR(IF(VLOOKUP($N116,CODE!$K:$P,CODE!$O$1,FALSE)="",$M116,$M116&amp;"-"&amp;VLOOKUP($N116,CODE!$K:$P,CODE!$O$1,FALSE)))=TRUE,"",IF(VLOOKUP($N116,CODE!$K:$P,CODE!$O$1,FALSE)="",$M116,$M116&amp;"-"&amp;VLOOKUP($N116,CODE!$K:$P,CODE!$O$1,FALSE)))</f>
        <v>HCU</v>
      </c>
      <c r="P116" s="29" t="str">
        <f t="shared" si="23"/>
        <v>HCUMIE3302</v>
      </c>
      <c r="Q116" s="1" t="s">
        <v>908</v>
      </c>
      <c r="R116" s="1" t="s">
        <v>14</v>
      </c>
      <c r="S116" s="26">
        <v>3000</v>
      </c>
      <c r="T116" s="26">
        <v>105000000</v>
      </c>
      <c r="U116" s="26">
        <v>22047360</v>
      </c>
      <c r="V116" s="26">
        <v>4.3295226936261502</v>
      </c>
      <c r="W116" s="26">
        <v>1200</v>
      </c>
      <c r="X116" s="26">
        <v>0</v>
      </c>
    </row>
    <row r="117" spans="1:24">
      <c r="A117" s="24" t="str">
        <f t="shared" si="16"/>
        <v>신규</v>
      </c>
      <c r="B117" s="24" t="str">
        <f>IF(COUNTIF(Q$1:Q116,Q117)=0,"최초","리오더")</f>
        <v>최초</v>
      </c>
      <c r="C117" s="24" t="str">
        <f t="shared" si="17"/>
        <v>HCUMIE3302</v>
      </c>
      <c r="D117" s="24">
        <f t="shared" si="12"/>
        <v>0.5</v>
      </c>
      <c r="E117" s="24" t="str">
        <f t="shared" si="18"/>
        <v/>
      </c>
      <c r="F117" s="24">
        <f t="shared" si="13"/>
        <v>0</v>
      </c>
      <c r="G117" s="24" t="str">
        <f t="shared" si="19"/>
        <v>HCUMIE3302GY</v>
      </c>
      <c r="H117" s="24">
        <f t="shared" si="14"/>
        <v>1</v>
      </c>
      <c r="I117" s="24" t="str">
        <f t="shared" si="20"/>
        <v/>
      </c>
      <c r="J117" s="24">
        <f t="shared" si="15"/>
        <v>0</v>
      </c>
      <c r="K117" s="24" t="str">
        <f t="shared" si="21"/>
        <v>E3</v>
      </c>
      <c r="L117" s="24" t="str">
        <f>VLOOKUP(N117,CODE!K:P,CODE!$P$1,FALSE)</f>
        <v>모자</v>
      </c>
      <c r="M117" s="24" t="str">
        <f>VLOOKUP(MID(Q117,1,3),CODE!$B:$G,CODE!D$1,FALSE)</f>
        <v>HCU</v>
      </c>
      <c r="N117" s="24" t="str">
        <f t="shared" si="22"/>
        <v>MI</v>
      </c>
      <c r="O117" s="29" t="str">
        <f>IF(ISERROR(IF(VLOOKUP($N117,CODE!$K:$P,CODE!$O$1,FALSE)="",$M117,$M117&amp;"-"&amp;VLOOKUP($N117,CODE!$K:$P,CODE!$O$1,FALSE)))=TRUE,"",IF(VLOOKUP($N117,CODE!$K:$P,CODE!$O$1,FALSE)="",$M117,$M117&amp;"-"&amp;VLOOKUP($N117,CODE!$K:$P,CODE!$O$1,FALSE)))</f>
        <v>HCU</v>
      </c>
      <c r="P117" s="29" t="str">
        <f t="shared" si="23"/>
        <v>HCUMIE3302</v>
      </c>
      <c r="Q117" s="1" t="s">
        <v>909</v>
      </c>
      <c r="R117" s="1" t="s">
        <v>14</v>
      </c>
      <c r="S117" s="26">
        <v>1000</v>
      </c>
      <c r="T117" s="26">
        <v>35000000</v>
      </c>
      <c r="U117" s="26">
        <v>7358210.0000000009</v>
      </c>
      <c r="V117" s="26">
        <v>4.3241741970101168</v>
      </c>
      <c r="W117" s="26">
        <v>500</v>
      </c>
      <c r="X117" s="26">
        <v>0</v>
      </c>
    </row>
    <row r="118" spans="1:24">
      <c r="A118" s="24" t="str">
        <f t="shared" si="16"/>
        <v>신규</v>
      </c>
      <c r="B118" s="24" t="str">
        <f>IF(COUNTIF(Q$1:Q117,Q118)=0,"최초","리오더")</f>
        <v>최초</v>
      </c>
      <c r="C118" s="24" t="str">
        <f t="shared" si="17"/>
        <v>HCUMIE3303</v>
      </c>
      <c r="D118" s="24">
        <f t="shared" si="12"/>
        <v>0.5</v>
      </c>
      <c r="E118" s="24" t="str">
        <f t="shared" si="18"/>
        <v/>
      </c>
      <c r="F118" s="24">
        <f t="shared" si="13"/>
        <v>0</v>
      </c>
      <c r="G118" s="24" t="str">
        <f t="shared" si="19"/>
        <v>HCUMIE3303BK</v>
      </c>
      <c r="H118" s="24">
        <f t="shared" si="14"/>
        <v>1</v>
      </c>
      <c r="I118" s="24" t="str">
        <f t="shared" si="20"/>
        <v/>
      </c>
      <c r="J118" s="24">
        <f t="shared" si="15"/>
        <v>0</v>
      </c>
      <c r="K118" s="24" t="str">
        <f t="shared" si="21"/>
        <v>E3</v>
      </c>
      <c r="L118" s="24" t="str">
        <f>VLOOKUP(N118,CODE!K:P,CODE!$P$1,FALSE)</f>
        <v>모자</v>
      </c>
      <c r="M118" s="24" t="str">
        <f>VLOOKUP(MID(Q118,1,3),CODE!$B:$G,CODE!D$1,FALSE)</f>
        <v>HCU</v>
      </c>
      <c r="N118" s="24" t="str">
        <f t="shared" si="22"/>
        <v>MI</v>
      </c>
      <c r="O118" s="29" t="str">
        <f>IF(ISERROR(IF(VLOOKUP($N118,CODE!$K:$P,CODE!$O$1,FALSE)="",$M118,$M118&amp;"-"&amp;VLOOKUP($N118,CODE!$K:$P,CODE!$O$1,FALSE)))=TRUE,"",IF(VLOOKUP($N118,CODE!$K:$P,CODE!$O$1,FALSE)="",$M118,$M118&amp;"-"&amp;VLOOKUP($N118,CODE!$K:$P,CODE!$O$1,FALSE)))</f>
        <v>HCU</v>
      </c>
      <c r="P118" s="29" t="str">
        <f t="shared" si="23"/>
        <v>HCUMIE3303</v>
      </c>
      <c r="Q118" s="1" t="s">
        <v>910</v>
      </c>
      <c r="R118" s="1" t="s">
        <v>14</v>
      </c>
      <c r="S118" s="26">
        <v>3000</v>
      </c>
      <c r="T118" s="26">
        <v>135000000</v>
      </c>
      <c r="U118" s="26">
        <v>22513200.000000007</v>
      </c>
      <c r="V118" s="26">
        <v>5.451347330778062</v>
      </c>
      <c r="W118" s="26">
        <v>3000</v>
      </c>
      <c r="X118" s="26">
        <v>0</v>
      </c>
    </row>
    <row r="119" spans="1:24">
      <c r="A119" s="24" t="str">
        <f t="shared" si="16"/>
        <v>신규</v>
      </c>
      <c r="B119" s="24" t="str">
        <f>IF(COUNTIF(Q$1:Q118,Q119)=0,"최초","리오더")</f>
        <v>최초</v>
      </c>
      <c r="C119" s="24" t="str">
        <f t="shared" si="17"/>
        <v>HCUMIE3303</v>
      </c>
      <c r="D119" s="24">
        <f t="shared" si="12"/>
        <v>0.5</v>
      </c>
      <c r="E119" s="24" t="str">
        <f t="shared" si="18"/>
        <v/>
      </c>
      <c r="F119" s="24">
        <f t="shared" si="13"/>
        <v>0</v>
      </c>
      <c r="G119" s="24" t="str">
        <f t="shared" si="19"/>
        <v>HCUMIE3303KH</v>
      </c>
      <c r="H119" s="24">
        <f t="shared" si="14"/>
        <v>1</v>
      </c>
      <c r="I119" s="24" t="str">
        <f t="shared" si="20"/>
        <v/>
      </c>
      <c r="J119" s="24">
        <f t="shared" si="15"/>
        <v>0</v>
      </c>
      <c r="K119" s="24" t="str">
        <f t="shared" si="21"/>
        <v>E3</v>
      </c>
      <c r="L119" s="24" t="str">
        <f>VLOOKUP(N119,CODE!K:P,CODE!$P$1,FALSE)</f>
        <v>모자</v>
      </c>
      <c r="M119" s="24" t="str">
        <f>VLOOKUP(MID(Q119,1,3),CODE!$B:$G,CODE!D$1,FALSE)</f>
        <v>HCU</v>
      </c>
      <c r="N119" s="24" t="str">
        <f t="shared" si="22"/>
        <v>MI</v>
      </c>
      <c r="O119" s="29" t="str">
        <f>IF(ISERROR(IF(VLOOKUP($N119,CODE!$K:$P,CODE!$O$1,FALSE)="",$M119,$M119&amp;"-"&amp;VLOOKUP($N119,CODE!$K:$P,CODE!$O$1,FALSE)))=TRUE,"",IF(VLOOKUP($N119,CODE!$K:$P,CODE!$O$1,FALSE)="",$M119,$M119&amp;"-"&amp;VLOOKUP($N119,CODE!$K:$P,CODE!$O$1,FALSE)))</f>
        <v>HCU</v>
      </c>
      <c r="P119" s="29" t="str">
        <f t="shared" si="23"/>
        <v>HCUMIE3303</v>
      </c>
      <c r="Q119" s="1" t="s">
        <v>911</v>
      </c>
      <c r="R119" s="1" t="s">
        <v>14</v>
      </c>
      <c r="S119" s="26">
        <v>2000</v>
      </c>
      <c r="T119" s="26">
        <v>90000000</v>
      </c>
      <c r="U119" s="26">
        <v>15008800.000000004</v>
      </c>
      <c r="V119" s="26">
        <v>5.4513473307780629</v>
      </c>
      <c r="W119" s="26">
        <v>1998</v>
      </c>
      <c r="X119" s="26">
        <v>0</v>
      </c>
    </row>
    <row r="120" spans="1:24">
      <c r="A120" s="24" t="str">
        <f t="shared" si="16"/>
        <v>신규</v>
      </c>
      <c r="B120" s="24" t="str">
        <f>IF(COUNTIF(Q$1:Q119,Q120)=0,"최초","리오더")</f>
        <v>최초</v>
      </c>
      <c r="C120" s="24" t="str">
        <f t="shared" si="17"/>
        <v>JILMIE3311</v>
      </c>
      <c r="D120" s="24">
        <f t="shared" si="12"/>
        <v>0.5</v>
      </c>
      <c r="E120" s="24" t="str">
        <f t="shared" si="18"/>
        <v/>
      </c>
      <c r="F120" s="24">
        <f t="shared" si="13"/>
        <v>0</v>
      </c>
      <c r="G120" s="24" t="str">
        <f t="shared" si="19"/>
        <v>JILMIE3311BK</v>
      </c>
      <c r="H120" s="24">
        <f t="shared" si="14"/>
        <v>1</v>
      </c>
      <c r="I120" s="24" t="str">
        <f t="shared" si="20"/>
        <v/>
      </c>
      <c r="J120" s="24">
        <f t="shared" si="15"/>
        <v>0</v>
      </c>
      <c r="K120" s="24" t="str">
        <f t="shared" si="21"/>
        <v>E3</v>
      </c>
      <c r="L120" s="24" t="str">
        <f>VLOOKUP(N120,CODE!K:P,CODE!$P$1,FALSE)</f>
        <v>모자</v>
      </c>
      <c r="M120" s="24" t="str">
        <f>VLOOKUP(MID(Q120,1,3),CODE!$B:$G,CODE!D$1,FALSE)</f>
        <v>JIL</v>
      </c>
      <c r="N120" s="24" t="str">
        <f t="shared" si="22"/>
        <v>MI</v>
      </c>
      <c r="O120" s="29" t="str">
        <f>IF(ISERROR(IF(VLOOKUP($N120,CODE!$K:$P,CODE!$O$1,FALSE)="",$M120,$M120&amp;"-"&amp;VLOOKUP($N120,CODE!$K:$P,CODE!$O$1,FALSE)))=TRUE,"",IF(VLOOKUP($N120,CODE!$K:$P,CODE!$O$1,FALSE)="",$M120,$M120&amp;"-"&amp;VLOOKUP($N120,CODE!$K:$P,CODE!$O$1,FALSE)))</f>
        <v>JIL</v>
      </c>
      <c r="P120" s="29" t="str">
        <f t="shared" si="23"/>
        <v>JILMIE3311</v>
      </c>
      <c r="Q120" s="1" t="s">
        <v>912</v>
      </c>
      <c r="R120" s="1" t="s">
        <v>14</v>
      </c>
      <c r="S120" s="26">
        <v>3000</v>
      </c>
      <c r="T120" s="26">
        <v>87000000</v>
      </c>
      <c r="U120" s="26">
        <v>16363550.332458442</v>
      </c>
      <c r="V120" s="26">
        <v>4.8333587445278177</v>
      </c>
      <c r="W120" s="26">
        <v>3059</v>
      </c>
      <c r="X120" s="26">
        <v>0</v>
      </c>
    </row>
    <row r="121" spans="1:24">
      <c r="A121" s="24" t="str">
        <f t="shared" si="16"/>
        <v>신규</v>
      </c>
      <c r="B121" s="24" t="str">
        <f>IF(COUNTIF(Q$1:Q120,Q121)=0,"최초","리오더")</f>
        <v>최초</v>
      </c>
      <c r="C121" s="24" t="str">
        <f t="shared" si="17"/>
        <v>JILMIE3311</v>
      </c>
      <c r="D121" s="24">
        <f t="shared" si="12"/>
        <v>0.5</v>
      </c>
      <c r="E121" s="24" t="str">
        <f t="shared" si="18"/>
        <v/>
      </c>
      <c r="F121" s="24">
        <f t="shared" si="13"/>
        <v>0</v>
      </c>
      <c r="G121" s="24" t="str">
        <f t="shared" si="19"/>
        <v>JILMIE3311NY</v>
      </c>
      <c r="H121" s="24">
        <f t="shared" si="14"/>
        <v>1</v>
      </c>
      <c r="I121" s="24" t="str">
        <f t="shared" si="20"/>
        <v/>
      </c>
      <c r="J121" s="24">
        <f t="shared" si="15"/>
        <v>0</v>
      </c>
      <c r="K121" s="24" t="str">
        <f t="shared" si="21"/>
        <v>E3</v>
      </c>
      <c r="L121" s="24" t="str">
        <f>VLOOKUP(N121,CODE!K:P,CODE!$P$1,FALSE)</f>
        <v>모자</v>
      </c>
      <c r="M121" s="24" t="str">
        <f>VLOOKUP(MID(Q121,1,3),CODE!$B:$G,CODE!D$1,FALSE)</f>
        <v>JIL</v>
      </c>
      <c r="N121" s="24" t="str">
        <f t="shared" si="22"/>
        <v>MI</v>
      </c>
      <c r="O121" s="29" t="str">
        <f>IF(ISERROR(IF(VLOOKUP($N121,CODE!$K:$P,CODE!$O$1,FALSE)="",$M121,$M121&amp;"-"&amp;VLOOKUP($N121,CODE!$K:$P,CODE!$O$1,FALSE)))=TRUE,"",IF(VLOOKUP($N121,CODE!$K:$P,CODE!$O$1,FALSE)="",$M121,$M121&amp;"-"&amp;VLOOKUP($N121,CODE!$K:$P,CODE!$O$1,FALSE)))</f>
        <v>JIL</v>
      </c>
      <c r="P121" s="29" t="str">
        <f t="shared" si="23"/>
        <v>JILMIE3311</v>
      </c>
      <c r="Q121" s="1" t="s">
        <v>913</v>
      </c>
      <c r="R121" s="1" t="s">
        <v>14</v>
      </c>
      <c r="S121" s="26">
        <v>1000</v>
      </c>
      <c r="T121" s="26">
        <v>29000000</v>
      </c>
      <c r="U121" s="26">
        <v>5337578.748906387</v>
      </c>
      <c r="V121" s="26">
        <v>4.939250098940084</v>
      </c>
      <c r="W121" s="26">
        <v>999</v>
      </c>
      <c r="X121" s="26">
        <v>0</v>
      </c>
    </row>
    <row r="122" spans="1:24">
      <c r="A122" s="24" t="str">
        <f t="shared" si="16"/>
        <v>신규</v>
      </c>
      <c r="B122" s="24" t="str">
        <f>IF(COUNTIF(Q$1:Q121,Q122)=0,"최초","리오더")</f>
        <v>최초</v>
      </c>
      <c r="C122" s="24" t="str">
        <f t="shared" si="17"/>
        <v>JILMIE3312</v>
      </c>
      <c r="D122" s="24">
        <f t="shared" si="12"/>
        <v>0.5</v>
      </c>
      <c r="E122" s="24" t="str">
        <f t="shared" si="18"/>
        <v/>
      </c>
      <c r="F122" s="24">
        <f t="shared" si="13"/>
        <v>0</v>
      </c>
      <c r="G122" s="24" t="str">
        <f t="shared" si="19"/>
        <v>JILMIE3312BK</v>
      </c>
      <c r="H122" s="24">
        <f t="shared" si="14"/>
        <v>1</v>
      </c>
      <c r="I122" s="24" t="str">
        <f t="shared" si="20"/>
        <v/>
      </c>
      <c r="J122" s="24">
        <f t="shared" si="15"/>
        <v>0</v>
      </c>
      <c r="K122" s="24" t="str">
        <f t="shared" si="21"/>
        <v>E3</v>
      </c>
      <c r="L122" s="24" t="str">
        <f>VLOOKUP(N122,CODE!K:P,CODE!$P$1,FALSE)</f>
        <v>모자</v>
      </c>
      <c r="M122" s="24" t="str">
        <f>VLOOKUP(MID(Q122,1,3),CODE!$B:$G,CODE!D$1,FALSE)</f>
        <v>JIL</v>
      </c>
      <c r="N122" s="24" t="str">
        <f t="shared" si="22"/>
        <v>MI</v>
      </c>
      <c r="O122" s="29" t="str">
        <f>IF(ISERROR(IF(VLOOKUP($N122,CODE!$K:$P,CODE!$O$1,FALSE)="",$M122,$M122&amp;"-"&amp;VLOOKUP($N122,CODE!$K:$P,CODE!$O$1,FALSE)))=TRUE,"",IF(VLOOKUP($N122,CODE!$K:$P,CODE!$O$1,FALSE)="",$M122,$M122&amp;"-"&amp;VLOOKUP($N122,CODE!$K:$P,CODE!$O$1,FALSE)))</f>
        <v>JIL</v>
      </c>
      <c r="P122" s="29" t="str">
        <f t="shared" si="23"/>
        <v>JILMIE3312</v>
      </c>
      <c r="Q122" s="1" t="s">
        <v>914</v>
      </c>
      <c r="R122" s="1" t="s">
        <v>14</v>
      </c>
      <c r="S122" s="26">
        <v>3000</v>
      </c>
      <c r="T122" s="26">
        <v>87000000</v>
      </c>
      <c r="U122" s="26">
        <v>16035089.798775153</v>
      </c>
      <c r="V122" s="26">
        <v>4.9323645881266263</v>
      </c>
      <c r="W122" s="26">
        <v>2998</v>
      </c>
      <c r="X122" s="26">
        <v>0</v>
      </c>
    </row>
    <row r="123" spans="1:24">
      <c r="A123" s="24" t="str">
        <f t="shared" si="16"/>
        <v>신규</v>
      </c>
      <c r="B123" s="24" t="str">
        <f>IF(COUNTIF(Q$1:Q122,Q123)=0,"최초","리오더")</f>
        <v>최초</v>
      </c>
      <c r="C123" s="24" t="str">
        <f t="shared" si="17"/>
        <v>JILMIE3312</v>
      </c>
      <c r="D123" s="24">
        <f t="shared" si="12"/>
        <v>0.5</v>
      </c>
      <c r="E123" s="24" t="str">
        <f t="shared" si="18"/>
        <v/>
      </c>
      <c r="F123" s="24">
        <f t="shared" si="13"/>
        <v>0</v>
      </c>
      <c r="G123" s="24" t="str">
        <f t="shared" si="19"/>
        <v>JILMIE3312KH</v>
      </c>
      <c r="H123" s="24">
        <f t="shared" si="14"/>
        <v>1</v>
      </c>
      <c r="I123" s="24" t="str">
        <f t="shared" si="20"/>
        <v/>
      </c>
      <c r="J123" s="24">
        <f t="shared" si="15"/>
        <v>0</v>
      </c>
      <c r="K123" s="24" t="str">
        <f t="shared" si="21"/>
        <v>E3</v>
      </c>
      <c r="L123" s="24" t="str">
        <f>VLOOKUP(N123,CODE!K:P,CODE!$P$1,FALSE)</f>
        <v>모자</v>
      </c>
      <c r="M123" s="24" t="str">
        <f>VLOOKUP(MID(Q123,1,3),CODE!$B:$G,CODE!D$1,FALSE)</f>
        <v>JIL</v>
      </c>
      <c r="N123" s="24" t="str">
        <f t="shared" si="22"/>
        <v>MI</v>
      </c>
      <c r="O123" s="29" t="str">
        <f>IF(ISERROR(IF(VLOOKUP($N123,CODE!$K:$P,CODE!$O$1,FALSE)="",$M123,$M123&amp;"-"&amp;VLOOKUP($N123,CODE!$K:$P,CODE!$O$1,FALSE)))=TRUE,"",IF(VLOOKUP($N123,CODE!$K:$P,CODE!$O$1,FALSE)="",$M123,$M123&amp;"-"&amp;VLOOKUP($N123,CODE!$K:$P,CODE!$O$1,FALSE)))</f>
        <v>JIL</v>
      </c>
      <c r="P123" s="29" t="str">
        <f t="shared" si="23"/>
        <v>JILMIE3312</v>
      </c>
      <c r="Q123" s="1" t="s">
        <v>915</v>
      </c>
      <c r="R123" s="1" t="s">
        <v>14</v>
      </c>
      <c r="S123" s="26">
        <v>2000</v>
      </c>
      <c r="T123" s="26">
        <v>58000000</v>
      </c>
      <c r="U123" s="26">
        <v>10697678.705161856</v>
      </c>
      <c r="V123" s="26">
        <v>4.9288517799502332</v>
      </c>
      <c r="W123" s="26">
        <v>1999</v>
      </c>
      <c r="X123" s="26">
        <v>0</v>
      </c>
    </row>
    <row r="124" spans="1:24">
      <c r="A124" s="24" t="str">
        <f t="shared" si="16"/>
        <v>신규</v>
      </c>
      <c r="B124" s="24" t="str">
        <f>IF(COUNTIF(Q$1:Q123,Q124)=0,"최초","리오더")</f>
        <v>최초</v>
      </c>
      <c r="C124" s="24" t="str">
        <f t="shared" si="17"/>
        <v>JILMIE3314</v>
      </c>
      <c r="D124" s="24">
        <f t="shared" si="12"/>
        <v>0.5</v>
      </c>
      <c r="E124" s="24" t="str">
        <f t="shared" si="18"/>
        <v/>
      </c>
      <c r="F124" s="24">
        <f t="shared" si="13"/>
        <v>0</v>
      </c>
      <c r="G124" s="24" t="str">
        <f t="shared" si="19"/>
        <v>JILMIE3314BK</v>
      </c>
      <c r="H124" s="24">
        <f t="shared" si="14"/>
        <v>1</v>
      </c>
      <c r="I124" s="24" t="str">
        <f t="shared" si="20"/>
        <v/>
      </c>
      <c r="J124" s="24">
        <f t="shared" si="15"/>
        <v>0</v>
      </c>
      <c r="K124" s="24" t="str">
        <f t="shared" si="21"/>
        <v>E3</v>
      </c>
      <c r="L124" s="24" t="str">
        <f>VLOOKUP(N124,CODE!K:P,CODE!$P$1,FALSE)</f>
        <v>모자</v>
      </c>
      <c r="M124" s="24" t="str">
        <f>VLOOKUP(MID(Q124,1,3),CODE!$B:$G,CODE!D$1,FALSE)</f>
        <v>JIL</v>
      </c>
      <c r="N124" s="24" t="str">
        <f t="shared" si="22"/>
        <v>MI</v>
      </c>
      <c r="O124" s="29" t="str">
        <f>IF(ISERROR(IF(VLOOKUP($N124,CODE!$K:$P,CODE!$O$1,FALSE)="",$M124,$M124&amp;"-"&amp;VLOOKUP($N124,CODE!$K:$P,CODE!$O$1,FALSE)))=TRUE,"",IF(VLOOKUP($N124,CODE!$K:$P,CODE!$O$1,FALSE)="",$M124,$M124&amp;"-"&amp;VLOOKUP($N124,CODE!$K:$P,CODE!$O$1,FALSE)))</f>
        <v>JIL</v>
      </c>
      <c r="P124" s="29" t="str">
        <f t="shared" si="23"/>
        <v>JILMIE3314</v>
      </c>
      <c r="Q124" s="1" t="s">
        <v>916</v>
      </c>
      <c r="R124" s="1" t="s">
        <v>14</v>
      </c>
      <c r="S124" s="26">
        <v>3000</v>
      </c>
      <c r="T124" s="26">
        <v>87000000</v>
      </c>
      <c r="U124" s="26">
        <v>17600982.528433945</v>
      </c>
      <c r="V124" s="26">
        <v>4.4935507982659324</v>
      </c>
      <c r="W124" s="26">
        <v>2999</v>
      </c>
      <c r="X124" s="26">
        <v>0</v>
      </c>
    </row>
    <row r="125" spans="1:24">
      <c r="A125" s="24" t="str">
        <f t="shared" si="16"/>
        <v>신규</v>
      </c>
      <c r="B125" s="24" t="str">
        <f>IF(COUNTIF(Q$1:Q124,Q125)=0,"최초","리오더")</f>
        <v>최초</v>
      </c>
      <c r="C125" s="24" t="str">
        <f t="shared" si="17"/>
        <v>JILMIE3314</v>
      </c>
      <c r="D125" s="24">
        <f t="shared" si="12"/>
        <v>0.5</v>
      </c>
      <c r="E125" s="24" t="str">
        <f t="shared" si="18"/>
        <v/>
      </c>
      <c r="F125" s="24">
        <f t="shared" si="13"/>
        <v>0</v>
      </c>
      <c r="G125" s="24" t="str">
        <f t="shared" si="19"/>
        <v>JILMIE3314KH</v>
      </c>
      <c r="H125" s="24">
        <f t="shared" si="14"/>
        <v>1</v>
      </c>
      <c r="I125" s="24" t="str">
        <f t="shared" si="20"/>
        <v/>
      </c>
      <c r="J125" s="24">
        <f t="shared" si="15"/>
        <v>0</v>
      </c>
      <c r="K125" s="24" t="str">
        <f t="shared" si="21"/>
        <v>E3</v>
      </c>
      <c r="L125" s="24" t="str">
        <f>VLOOKUP(N125,CODE!K:P,CODE!$P$1,FALSE)</f>
        <v>모자</v>
      </c>
      <c r="M125" s="24" t="str">
        <f>VLOOKUP(MID(Q125,1,3),CODE!$B:$G,CODE!D$1,FALSE)</f>
        <v>JIL</v>
      </c>
      <c r="N125" s="24" t="str">
        <f t="shared" si="22"/>
        <v>MI</v>
      </c>
      <c r="O125" s="29" t="str">
        <f>IF(ISERROR(IF(VLOOKUP($N125,CODE!$K:$P,CODE!$O$1,FALSE)="",$M125,$M125&amp;"-"&amp;VLOOKUP($N125,CODE!$K:$P,CODE!$O$1,FALSE)))=TRUE,"",IF(VLOOKUP($N125,CODE!$K:$P,CODE!$O$1,FALSE)="",$M125,$M125&amp;"-"&amp;VLOOKUP($N125,CODE!$K:$P,CODE!$O$1,FALSE)))</f>
        <v>JIL</v>
      </c>
      <c r="P125" s="29" t="str">
        <f t="shared" si="23"/>
        <v>JILMIE3314</v>
      </c>
      <c r="Q125" s="1" t="s">
        <v>917</v>
      </c>
      <c r="R125" s="1" t="s">
        <v>14</v>
      </c>
      <c r="S125" s="26">
        <v>2000</v>
      </c>
      <c r="T125" s="26">
        <v>58000000</v>
      </c>
      <c r="U125" s="26">
        <v>10986644.374453193</v>
      </c>
      <c r="V125" s="26">
        <v>4.7992153864447777</v>
      </c>
      <c r="W125" s="26">
        <v>2000</v>
      </c>
      <c r="X125" s="26">
        <v>0</v>
      </c>
    </row>
    <row r="126" spans="1:24">
      <c r="A126" s="24" t="str">
        <f t="shared" si="16"/>
        <v>신규</v>
      </c>
      <c r="B126" s="24" t="str">
        <f>IF(COUNTIF(Q$1:Q125,Q126)=0,"최초","리오더")</f>
        <v>최초</v>
      </c>
      <c r="C126" s="24" t="str">
        <f t="shared" si="17"/>
        <v>JILMIE3313</v>
      </c>
      <c r="D126" s="24">
        <f t="shared" si="12"/>
        <v>0.5</v>
      </c>
      <c r="E126" s="24" t="str">
        <f t="shared" si="18"/>
        <v/>
      </c>
      <c r="F126" s="24">
        <f t="shared" si="13"/>
        <v>0</v>
      </c>
      <c r="G126" s="24" t="str">
        <f t="shared" si="19"/>
        <v>JILMIE3313BK</v>
      </c>
      <c r="H126" s="24">
        <f t="shared" si="14"/>
        <v>1</v>
      </c>
      <c r="I126" s="24" t="str">
        <f t="shared" si="20"/>
        <v/>
      </c>
      <c r="J126" s="24">
        <f t="shared" si="15"/>
        <v>0</v>
      </c>
      <c r="K126" s="24" t="str">
        <f t="shared" si="21"/>
        <v>E3</v>
      </c>
      <c r="L126" s="24" t="str">
        <f>VLOOKUP(N126,CODE!K:P,CODE!$P$1,FALSE)</f>
        <v>모자</v>
      </c>
      <c r="M126" s="24" t="str">
        <f>VLOOKUP(MID(Q126,1,3),CODE!$B:$G,CODE!D$1,FALSE)</f>
        <v>JIL</v>
      </c>
      <c r="N126" s="24" t="str">
        <f t="shared" si="22"/>
        <v>MI</v>
      </c>
      <c r="O126" s="29" t="str">
        <f>IF(ISERROR(IF(VLOOKUP($N126,CODE!$K:$P,CODE!$O$1,FALSE)="",$M126,$M126&amp;"-"&amp;VLOOKUP($N126,CODE!$K:$P,CODE!$O$1,FALSE)))=TRUE,"",IF(VLOOKUP($N126,CODE!$K:$P,CODE!$O$1,FALSE)="",$M126,$M126&amp;"-"&amp;VLOOKUP($N126,CODE!$K:$P,CODE!$O$1,FALSE)))</f>
        <v>JIL</v>
      </c>
      <c r="P126" s="29" t="str">
        <f t="shared" si="23"/>
        <v>JILMIE3313</v>
      </c>
      <c r="Q126" s="1" t="s">
        <v>918</v>
      </c>
      <c r="R126" s="1" t="s">
        <v>14</v>
      </c>
      <c r="S126" s="26">
        <v>3000</v>
      </c>
      <c r="T126" s="26">
        <v>87000000</v>
      </c>
      <c r="U126" s="26">
        <v>19573470.000000004</v>
      </c>
      <c r="V126" s="26">
        <v>4.0407198667844311</v>
      </c>
      <c r="W126" s="26">
        <v>3015</v>
      </c>
      <c r="X126" s="26">
        <v>0</v>
      </c>
    </row>
    <row r="127" spans="1:24">
      <c r="A127" s="24" t="str">
        <f t="shared" si="16"/>
        <v>신규</v>
      </c>
      <c r="B127" s="24" t="str">
        <f>IF(COUNTIF(Q$1:Q126,Q127)=0,"최초","리오더")</f>
        <v>최초</v>
      </c>
      <c r="C127" s="24" t="str">
        <f t="shared" si="17"/>
        <v>JILMIE3313</v>
      </c>
      <c r="D127" s="24">
        <f t="shared" si="12"/>
        <v>0.5</v>
      </c>
      <c r="E127" s="24" t="str">
        <f t="shared" si="18"/>
        <v/>
      </c>
      <c r="F127" s="24">
        <f t="shared" si="13"/>
        <v>0</v>
      </c>
      <c r="G127" s="24" t="str">
        <f t="shared" si="19"/>
        <v>JILMIE3313KH</v>
      </c>
      <c r="H127" s="24">
        <f t="shared" si="14"/>
        <v>1</v>
      </c>
      <c r="I127" s="24" t="str">
        <f t="shared" si="20"/>
        <v/>
      </c>
      <c r="J127" s="24">
        <f t="shared" si="15"/>
        <v>0</v>
      </c>
      <c r="K127" s="24" t="str">
        <f t="shared" si="21"/>
        <v>E3</v>
      </c>
      <c r="L127" s="24" t="str">
        <f>VLOOKUP(N127,CODE!K:P,CODE!$P$1,FALSE)</f>
        <v>모자</v>
      </c>
      <c r="M127" s="24" t="str">
        <f>VLOOKUP(MID(Q127,1,3),CODE!$B:$G,CODE!D$1,FALSE)</f>
        <v>JIL</v>
      </c>
      <c r="N127" s="24" t="str">
        <f t="shared" si="22"/>
        <v>MI</v>
      </c>
      <c r="O127" s="29" t="str">
        <f>IF(ISERROR(IF(VLOOKUP($N127,CODE!$K:$P,CODE!$O$1,FALSE)="",$M127,$M127&amp;"-"&amp;VLOOKUP($N127,CODE!$K:$P,CODE!$O$1,FALSE)))=TRUE,"",IF(VLOOKUP($N127,CODE!$K:$P,CODE!$O$1,FALSE)="",$M127,$M127&amp;"-"&amp;VLOOKUP($N127,CODE!$K:$P,CODE!$O$1,FALSE)))</f>
        <v>JIL</v>
      </c>
      <c r="P127" s="29" t="str">
        <f t="shared" si="23"/>
        <v>JILMIE3313</v>
      </c>
      <c r="Q127" s="1" t="s">
        <v>919</v>
      </c>
      <c r="R127" s="1" t="s">
        <v>14</v>
      </c>
      <c r="S127" s="26">
        <v>2000</v>
      </c>
      <c r="T127" s="26">
        <v>58000000</v>
      </c>
      <c r="U127" s="26">
        <v>13040980</v>
      </c>
      <c r="V127" s="26">
        <v>4.0431986497389554</v>
      </c>
      <c r="W127" s="26">
        <v>2009</v>
      </c>
      <c r="X127" s="26">
        <v>0</v>
      </c>
    </row>
    <row r="128" spans="1:24">
      <c r="A128" s="24" t="str">
        <f t="shared" si="16"/>
        <v>러닝</v>
      </c>
      <c r="B128" s="24" t="str">
        <f>IF(COUNTIF(Q$1:Q127,Q128)=0,"최초","리오더")</f>
        <v>최초</v>
      </c>
      <c r="C128" s="24" t="str">
        <f t="shared" si="17"/>
        <v>VBLBAE3216</v>
      </c>
      <c r="D128" s="24">
        <f t="shared" si="12"/>
        <v>0.2</v>
      </c>
      <c r="E128" s="24" t="str">
        <f t="shared" si="18"/>
        <v/>
      </c>
      <c r="F128" s="24">
        <f t="shared" si="13"/>
        <v>0</v>
      </c>
      <c r="G128" s="24" t="str">
        <f t="shared" si="19"/>
        <v>VBLBAE3216BK</v>
      </c>
      <c r="H128" s="24">
        <f t="shared" si="14"/>
        <v>1</v>
      </c>
      <c r="I128" s="24" t="str">
        <f t="shared" si="20"/>
        <v/>
      </c>
      <c r="J128" s="24">
        <f t="shared" si="15"/>
        <v>0</v>
      </c>
      <c r="K128" s="24" t="str">
        <f t="shared" si="21"/>
        <v>E3</v>
      </c>
      <c r="L128" s="24" t="str">
        <f>VLOOKUP(N128,CODE!K:P,CODE!$P$1,FALSE)</f>
        <v>모자</v>
      </c>
      <c r="M128" s="24" t="str">
        <f>VLOOKUP(MID(Q128,1,3),CODE!$B:$G,CODE!D$1,FALSE)</f>
        <v>VBL</v>
      </c>
      <c r="N128" s="24" t="str">
        <f t="shared" si="22"/>
        <v>BA</v>
      </c>
      <c r="O128" s="29" t="str">
        <f>IF(ISERROR(IF(VLOOKUP($N128,CODE!$K:$P,CODE!$O$1,FALSE)="",$M128,$M128&amp;"-"&amp;VLOOKUP($N128,CODE!$K:$P,CODE!$O$1,FALSE)))=TRUE,"",IF(VLOOKUP($N128,CODE!$K:$P,CODE!$O$1,FALSE)="",$M128,$M128&amp;"-"&amp;VLOOKUP($N128,CODE!$K:$P,CODE!$O$1,FALSE)))</f>
        <v>VBL</v>
      </c>
      <c r="P128" s="29" t="str">
        <f t="shared" si="23"/>
        <v>VBLBAE3216</v>
      </c>
      <c r="Q128" s="1" t="s">
        <v>920</v>
      </c>
      <c r="R128" s="1" t="s">
        <v>14</v>
      </c>
      <c r="S128" s="26">
        <v>3000</v>
      </c>
      <c r="T128" s="26">
        <v>147000000</v>
      </c>
      <c r="U128" s="26">
        <v>30060000</v>
      </c>
      <c r="V128" s="26">
        <v>4.4456541462529477</v>
      </c>
      <c r="W128" s="26">
        <v>2967</v>
      </c>
      <c r="X128" s="26">
        <v>0</v>
      </c>
    </row>
    <row r="129" spans="1:24">
      <c r="A129" s="24" t="str">
        <f t="shared" si="16"/>
        <v>러닝</v>
      </c>
      <c r="B129" s="24" t="str">
        <f>IF(COUNTIF(Q$1:Q128,Q129)=0,"최초","리오더")</f>
        <v>최초</v>
      </c>
      <c r="C129" s="24" t="str">
        <f t="shared" si="17"/>
        <v>VBLBAE3003</v>
      </c>
      <c r="D129" s="24">
        <f t="shared" si="12"/>
        <v>1</v>
      </c>
      <c r="E129" s="24" t="str">
        <f t="shared" si="18"/>
        <v/>
      </c>
      <c r="F129" s="24">
        <f t="shared" si="13"/>
        <v>0</v>
      </c>
      <c r="G129" s="24" t="str">
        <f t="shared" si="19"/>
        <v>VBLBAE3003BK</v>
      </c>
      <c r="H129" s="24">
        <f t="shared" si="14"/>
        <v>1</v>
      </c>
      <c r="I129" s="24" t="str">
        <f t="shared" si="20"/>
        <v/>
      </c>
      <c r="J129" s="24">
        <f t="shared" si="15"/>
        <v>0</v>
      </c>
      <c r="K129" s="24" t="str">
        <f t="shared" si="21"/>
        <v>E3</v>
      </c>
      <c r="L129" s="24" t="str">
        <f>VLOOKUP(N129,CODE!K:P,CODE!$P$1,FALSE)</f>
        <v>모자</v>
      </c>
      <c r="M129" s="24" t="str">
        <f>VLOOKUP(MID(Q129,1,3),CODE!$B:$G,CODE!D$1,FALSE)</f>
        <v>VBL</v>
      </c>
      <c r="N129" s="24" t="str">
        <f t="shared" si="22"/>
        <v>BA</v>
      </c>
      <c r="O129" s="29" t="str">
        <f>IF(ISERROR(IF(VLOOKUP($N129,CODE!$K:$P,CODE!$O$1,FALSE)="",$M129,$M129&amp;"-"&amp;VLOOKUP($N129,CODE!$K:$P,CODE!$O$1,FALSE)))=TRUE,"",IF(VLOOKUP($N129,CODE!$K:$P,CODE!$O$1,FALSE)="",$M129,$M129&amp;"-"&amp;VLOOKUP($N129,CODE!$K:$P,CODE!$O$1,FALSE)))</f>
        <v>VBL</v>
      </c>
      <c r="P129" s="29" t="str">
        <f t="shared" si="23"/>
        <v>VBLBAE3003</v>
      </c>
      <c r="Q129" s="1" t="s">
        <v>921</v>
      </c>
      <c r="R129" s="1" t="s">
        <v>14</v>
      </c>
      <c r="S129" s="26">
        <v>700</v>
      </c>
      <c r="T129" s="26">
        <v>30100000</v>
      </c>
      <c r="U129" s="26">
        <v>6664000</v>
      </c>
      <c r="V129" s="26">
        <v>4.1061879297173407</v>
      </c>
      <c r="W129" s="26">
        <v>700</v>
      </c>
      <c r="X129" s="26">
        <v>0</v>
      </c>
    </row>
    <row r="130" spans="1:24">
      <c r="A130" s="24" t="str">
        <f t="shared" si="16"/>
        <v>러닝</v>
      </c>
      <c r="B130" s="24" t="str">
        <f>IF(COUNTIF(Q$1:Q129,Q130)=0,"최초","리오더")</f>
        <v>최초</v>
      </c>
      <c r="C130" s="24" t="str">
        <f t="shared" si="17"/>
        <v>WTRBAE3003</v>
      </c>
      <c r="D130" s="24">
        <f t="shared" ref="D130:D193" si="24">IF(C130="",0,1/COUNTIF(C:C,C130))</f>
        <v>1</v>
      </c>
      <c r="E130" s="24" t="str">
        <f t="shared" si="18"/>
        <v/>
      </c>
      <c r="F130" s="24">
        <f t="shared" ref="F130:F193" si="25">IF(E130="",0,1/COUNTIF(E:E,E130))</f>
        <v>0</v>
      </c>
      <c r="G130" s="24" t="str">
        <f t="shared" si="19"/>
        <v>WTRBAE3003RE</v>
      </c>
      <c r="H130" s="24">
        <f t="shared" ref="H130:H193" si="26">IF(G130="",0,1/COUNTIF(G:G,G130))</f>
        <v>1</v>
      </c>
      <c r="I130" s="24" t="str">
        <f t="shared" si="20"/>
        <v/>
      </c>
      <c r="J130" s="24">
        <f t="shared" ref="J130:J193" si="27">IF(I130="",0,1/COUNTIF(I:I,I130))</f>
        <v>0</v>
      </c>
      <c r="K130" s="24" t="str">
        <f t="shared" si="21"/>
        <v>E3</v>
      </c>
      <c r="L130" s="24" t="str">
        <f>VLOOKUP(N130,CODE!K:P,CODE!$P$1,FALSE)</f>
        <v>모자</v>
      </c>
      <c r="M130" s="24" t="str">
        <f>VLOOKUP(MID(Q130,1,3),CODE!$B:$G,CODE!D$1,FALSE)</f>
        <v>WTR</v>
      </c>
      <c r="N130" s="24" t="str">
        <f t="shared" si="22"/>
        <v>BA</v>
      </c>
      <c r="O130" s="29" t="str">
        <f>IF(ISERROR(IF(VLOOKUP($N130,CODE!$K:$P,CODE!$O$1,FALSE)="",$M130,$M130&amp;"-"&amp;VLOOKUP($N130,CODE!$K:$P,CODE!$O$1,FALSE)))=TRUE,"",IF(VLOOKUP($N130,CODE!$K:$P,CODE!$O$1,FALSE)="",$M130,$M130&amp;"-"&amp;VLOOKUP($N130,CODE!$K:$P,CODE!$O$1,FALSE)))</f>
        <v>WTR</v>
      </c>
      <c r="P130" s="29" t="str">
        <f t="shared" si="23"/>
        <v>WTRBAE3003</v>
      </c>
      <c r="Q130" s="1" t="s">
        <v>922</v>
      </c>
      <c r="R130" s="1" t="s">
        <v>14</v>
      </c>
      <c r="S130" s="26">
        <v>500</v>
      </c>
      <c r="T130" s="26">
        <v>27500000</v>
      </c>
      <c r="U130" s="26">
        <v>5510000</v>
      </c>
      <c r="V130" s="26">
        <v>4.5372050816696907</v>
      </c>
      <c r="W130" s="26">
        <v>0</v>
      </c>
      <c r="X130" s="26">
        <v>500</v>
      </c>
    </row>
    <row r="131" spans="1:24">
      <c r="A131" s="24" t="str">
        <f t="shared" ref="A131:A194" si="28">IF(OR(MID(Q131,8,1)="3",MID(Q131,8,1)="8"),"신규","러닝")</f>
        <v>러닝</v>
      </c>
      <c r="B131" s="24" t="str">
        <f>IF(COUNTIF(Q$1:Q130,Q131)=0,"최초","리오더")</f>
        <v>최초</v>
      </c>
      <c r="C131" s="24" t="str">
        <f t="shared" ref="C131:C194" si="29">IF($B131="리오더","",P131)</f>
        <v>WTRBAE3201</v>
      </c>
      <c r="D131" s="24">
        <f t="shared" si="24"/>
        <v>1</v>
      </c>
      <c r="E131" s="24" t="str">
        <f t="shared" ref="E131:E194" si="30">IF($B131="리오더",P131,"")</f>
        <v/>
      </c>
      <c r="F131" s="24">
        <f t="shared" si="25"/>
        <v>0</v>
      </c>
      <c r="G131" s="24" t="str">
        <f t="shared" ref="G131:G194" si="31">IF($B131="리오더","",Q131)</f>
        <v>WTRBAE3201GR</v>
      </c>
      <c r="H131" s="24">
        <f t="shared" si="26"/>
        <v>1</v>
      </c>
      <c r="I131" s="24" t="str">
        <f t="shared" ref="I131:I194" si="32">IF($B131="리오더",Q131,"")</f>
        <v/>
      </c>
      <c r="J131" s="24">
        <f t="shared" si="27"/>
        <v>0</v>
      </c>
      <c r="K131" s="24" t="str">
        <f t="shared" ref="K131:K194" si="33">MID(Q131,6,2)</f>
        <v>E3</v>
      </c>
      <c r="L131" s="24" t="str">
        <f>VLOOKUP(N131,CODE!K:P,CODE!$P$1,FALSE)</f>
        <v>모자</v>
      </c>
      <c r="M131" s="24" t="str">
        <f>VLOOKUP(MID(Q131,1,3),CODE!$B:$G,CODE!D$1,FALSE)</f>
        <v>WTR</v>
      </c>
      <c r="N131" s="24" t="str">
        <f t="shared" ref="N131:N194" si="34">MID(Q131,4,2)</f>
        <v>BA</v>
      </c>
      <c r="O131" s="29" t="str">
        <f>IF(ISERROR(IF(VLOOKUP($N131,CODE!$K:$P,CODE!$O$1,FALSE)="",$M131,$M131&amp;"-"&amp;VLOOKUP($N131,CODE!$K:$P,CODE!$O$1,FALSE)))=TRUE,"",IF(VLOOKUP($N131,CODE!$K:$P,CODE!$O$1,FALSE)="",$M131,$M131&amp;"-"&amp;VLOOKUP($N131,CODE!$K:$P,CODE!$O$1,FALSE)))</f>
        <v>WTR</v>
      </c>
      <c r="P131" s="29" t="str">
        <f t="shared" ref="P131:P194" si="35">MID(Q131,1,10)</f>
        <v>WTRBAE3201</v>
      </c>
      <c r="Q131" s="1" t="s">
        <v>923</v>
      </c>
      <c r="R131" s="1" t="s">
        <v>14</v>
      </c>
      <c r="S131" s="26">
        <v>400</v>
      </c>
      <c r="T131" s="26">
        <v>22000000</v>
      </c>
      <c r="U131" s="26">
        <v>5008000</v>
      </c>
      <c r="V131" s="26">
        <v>3.9936102236421727</v>
      </c>
      <c r="W131" s="26">
        <v>0</v>
      </c>
      <c r="X131" s="26">
        <v>400</v>
      </c>
    </row>
    <row r="132" spans="1:24">
      <c r="A132" s="24" t="str">
        <f t="shared" si="28"/>
        <v>러닝</v>
      </c>
      <c r="B132" s="24" t="str">
        <f>IF(COUNTIF(Q$1:Q131,Q132)=0,"최초","리오더")</f>
        <v>최초</v>
      </c>
      <c r="C132" s="24" t="str">
        <f t="shared" si="29"/>
        <v>WTRBAE3701</v>
      </c>
      <c r="D132" s="24">
        <f t="shared" si="24"/>
        <v>1</v>
      </c>
      <c r="E132" s="24" t="str">
        <f t="shared" si="30"/>
        <v/>
      </c>
      <c r="F132" s="24">
        <f t="shared" si="25"/>
        <v>0</v>
      </c>
      <c r="G132" s="24" t="str">
        <f t="shared" si="31"/>
        <v>WTRBAE3701GR</v>
      </c>
      <c r="H132" s="24">
        <f t="shared" si="26"/>
        <v>1</v>
      </c>
      <c r="I132" s="24" t="str">
        <f t="shared" si="32"/>
        <v/>
      </c>
      <c r="J132" s="24">
        <f t="shared" si="27"/>
        <v>0</v>
      </c>
      <c r="K132" s="24" t="str">
        <f t="shared" si="33"/>
        <v>E3</v>
      </c>
      <c r="L132" s="24" t="str">
        <f>VLOOKUP(N132,CODE!K:P,CODE!$P$1,FALSE)</f>
        <v>모자</v>
      </c>
      <c r="M132" s="24" t="str">
        <f>VLOOKUP(MID(Q132,1,3),CODE!$B:$G,CODE!D$1,FALSE)</f>
        <v>WTR</v>
      </c>
      <c r="N132" s="24" t="str">
        <f t="shared" si="34"/>
        <v>BA</v>
      </c>
      <c r="O132" s="29" t="str">
        <f>IF(ISERROR(IF(VLOOKUP($N132,CODE!$K:$P,CODE!$O$1,FALSE)="",$M132,$M132&amp;"-"&amp;VLOOKUP($N132,CODE!$K:$P,CODE!$O$1,FALSE)))=TRUE,"",IF(VLOOKUP($N132,CODE!$K:$P,CODE!$O$1,FALSE)="",$M132,$M132&amp;"-"&amp;VLOOKUP($N132,CODE!$K:$P,CODE!$O$1,FALSE)))</f>
        <v>WTR</v>
      </c>
      <c r="P132" s="29" t="str">
        <f t="shared" si="35"/>
        <v>WTRBAE3701</v>
      </c>
      <c r="Q132" s="1" t="s">
        <v>924</v>
      </c>
      <c r="R132" s="1" t="s">
        <v>14</v>
      </c>
      <c r="S132" s="26">
        <v>400</v>
      </c>
      <c r="T132" s="26">
        <v>19600000</v>
      </c>
      <c r="U132" s="26">
        <v>4808000</v>
      </c>
      <c r="V132" s="26">
        <v>3.7059446377250036</v>
      </c>
      <c r="W132" s="26">
        <v>0</v>
      </c>
      <c r="X132" s="26">
        <v>400</v>
      </c>
    </row>
    <row r="133" spans="1:24">
      <c r="A133" s="24" t="str">
        <f t="shared" si="28"/>
        <v>러닝</v>
      </c>
      <c r="B133" s="24" t="str">
        <f>IF(COUNTIF(Q$1:Q132,Q133)=0,"최초","리오더")</f>
        <v>최초</v>
      </c>
      <c r="C133" s="24" t="str">
        <f t="shared" si="29"/>
        <v>SMBFIE3202</v>
      </c>
      <c r="D133" s="24">
        <f t="shared" si="24"/>
        <v>1</v>
      </c>
      <c r="E133" s="24" t="str">
        <f t="shared" si="30"/>
        <v/>
      </c>
      <c r="F133" s="24">
        <f t="shared" si="25"/>
        <v>0</v>
      </c>
      <c r="G133" s="24" t="str">
        <f t="shared" si="31"/>
        <v>SMBFIE3202RE</v>
      </c>
      <c r="H133" s="24">
        <f t="shared" si="26"/>
        <v>1</v>
      </c>
      <c r="I133" s="24" t="str">
        <f t="shared" si="32"/>
        <v/>
      </c>
      <c r="J133" s="24">
        <f t="shared" si="27"/>
        <v>0</v>
      </c>
      <c r="K133" s="24" t="str">
        <f t="shared" si="33"/>
        <v>E3</v>
      </c>
      <c r="L133" s="24" t="str">
        <f>VLOOKUP(N133,CODE!K:P,CODE!$P$1,FALSE)</f>
        <v>모자</v>
      </c>
      <c r="M133" s="24" t="str">
        <f>VLOOKUP(MID(Q133,1,3),CODE!$B:$G,CODE!D$1,FALSE)</f>
        <v>SMB</v>
      </c>
      <c r="N133" s="24" t="str">
        <f t="shared" si="34"/>
        <v>FI</v>
      </c>
      <c r="O133" s="29" t="str">
        <f>IF(ISERROR(IF(VLOOKUP($N133,CODE!$K:$P,CODE!$O$1,FALSE)="",$M133,$M133&amp;"-"&amp;VLOOKUP($N133,CODE!$K:$P,CODE!$O$1,FALSE)))=TRUE,"",IF(VLOOKUP($N133,CODE!$K:$P,CODE!$O$1,FALSE)="",$M133,$M133&amp;"-"&amp;VLOOKUP($N133,CODE!$K:$P,CODE!$O$1,FALSE)))</f>
        <v>SMB</v>
      </c>
      <c r="P133" s="29" t="str">
        <f t="shared" si="35"/>
        <v>SMBFIE3202</v>
      </c>
      <c r="Q133" s="1" t="s">
        <v>925</v>
      </c>
      <c r="R133" s="1" t="s">
        <v>14</v>
      </c>
      <c r="S133" s="26">
        <v>500</v>
      </c>
      <c r="T133" s="26">
        <v>24500000</v>
      </c>
      <c r="U133" s="26">
        <v>3513000.0000000005</v>
      </c>
      <c r="V133" s="26">
        <v>6.3400874673291394</v>
      </c>
      <c r="W133" s="26">
        <v>500</v>
      </c>
      <c r="X133" s="26">
        <v>0</v>
      </c>
    </row>
    <row r="134" spans="1:24">
      <c r="A134" s="24" t="str">
        <f t="shared" si="28"/>
        <v>러닝</v>
      </c>
      <c r="B134" s="24" t="str">
        <f>IF(COUNTIF(Q$1:Q133,Q134)=0,"최초","리오더")</f>
        <v>최초</v>
      </c>
      <c r="C134" s="24" t="str">
        <f t="shared" si="29"/>
        <v>SMBFLE3201</v>
      </c>
      <c r="D134" s="24">
        <f t="shared" si="24"/>
        <v>1</v>
      </c>
      <c r="E134" s="24" t="str">
        <f t="shared" si="30"/>
        <v/>
      </c>
      <c r="F134" s="24">
        <f t="shared" si="25"/>
        <v>0</v>
      </c>
      <c r="G134" s="24" t="str">
        <f t="shared" si="31"/>
        <v>SMBFLE3201BL</v>
      </c>
      <c r="H134" s="24">
        <f t="shared" si="26"/>
        <v>1</v>
      </c>
      <c r="I134" s="24" t="str">
        <f t="shared" si="32"/>
        <v/>
      </c>
      <c r="J134" s="24">
        <f t="shared" si="27"/>
        <v>0</v>
      </c>
      <c r="K134" s="24" t="str">
        <f t="shared" si="33"/>
        <v>E3</v>
      </c>
      <c r="L134" s="24" t="str">
        <f>VLOOKUP(N134,CODE!K:P,CODE!$P$1,FALSE)</f>
        <v>모자</v>
      </c>
      <c r="M134" s="24" t="str">
        <f>VLOOKUP(MID(Q134,1,3),CODE!$B:$G,CODE!D$1,FALSE)</f>
        <v>SMB</v>
      </c>
      <c r="N134" s="24" t="str">
        <f t="shared" si="34"/>
        <v>FL</v>
      </c>
      <c r="O134" s="29" t="str">
        <f>IF(ISERROR(IF(VLOOKUP($N134,CODE!$K:$P,CODE!$O$1,FALSE)="",$M134,$M134&amp;"-"&amp;VLOOKUP($N134,CODE!$K:$P,CODE!$O$1,FALSE)))=TRUE,"",IF(VLOOKUP($N134,CODE!$K:$P,CODE!$O$1,FALSE)="",$M134,$M134&amp;"-"&amp;VLOOKUP($N134,CODE!$K:$P,CODE!$O$1,FALSE)))</f>
        <v>SMB</v>
      </c>
      <c r="P134" s="29" t="str">
        <f t="shared" si="35"/>
        <v>SMBFLE3201</v>
      </c>
      <c r="Q134" s="1" t="s">
        <v>926</v>
      </c>
      <c r="R134" s="1" t="s">
        <v>14</v>
      </c>
      <c r="S134" s="26">
        <v>500</v>
      </c>
      <c r="T134" s="26">
        <v>24500000</v>
      </c>
      <c r="U134" s="26">
        <v>3484125.0000000005</v>
      </c>
      <c r="V134" s="26">
        <v>6.3926315137164327</v>
      </c>
      <c r="W134" s="26">
        <v>500</v>
      </c>
      <c r="X134" s="26">
        <v>0</v>
      </c>
    </row>
    <row r="135" spans="1:24">
      <c r="A135" s="24" t="str">
        <f t="shared" si="28"/>
        <v>러닝</v>
      </c>
      <c r="B135" s="24" t="str">
        <f>IF(COUNTIF(Q$1:Q134,Q135)=0,"최초","리오더")</f>
        <v>최초</v>
      </c>
      <c r="C135" s="24" t="str">
        <f t="shared" si="29"/>
        <v>SMBFLE3701</v>
      </c>
      <c r="D135" s="24">
        <f t="shared" si="24"/>
        <v>1</v>
      </c>
      <c r="E135" s="24" t="str">
        <f t="shared" si="30"/>
        <v/>
      </c>
      <c r="F135" s="24">
        <f t="shared" si="25"/>
        <v>0</v>
      </c>
      <c r="G135" s="24" t="str">
        <f t="shared" si="31"/>
        <v>SMBFLE3701BL</v>
      </c>
      <c r="H135" s="24">
        <f t="shared" si="26"/>
        <v>1</v>
      </c>
      <c r="I135" s="24" t="str">
        <f t="shared" si="32"/>
        <v/>
      </c>
      <c r="J135" s="24">
        <f t="shared" si="27"/>
        <v>0</v>
      </c>
      <c r="K135" s="24" t="str">
        <f t="shared" si="33"/>
        <v>E3</v>
      </c>
      <c r="L135" s="24" t="str">
        <f>VLOOKUP(N135,CODE!K:P,CODE!$P$1,FALSE)</f>
        <v>모자</v>
      </c>
      <c r="M135" s="24" t="str">
        <f>VLOOKUP(MID(Q135,1,3),CODE!$B:$G,CODE!D$1,FALSE)</f>
        <v>SMB</v>
      </c>
      <c r="N135" s="24" t="str">
        <f t="shared" si="34"/>
        <v>FL</v>
      </c>
      <c r="O135" s="29" t="str">
        <f>IF(ISERROR(IF(VLOOKUP($N135,CODE!$K:$P,CODE!$O$1,FALSE)="",$M135,$M135&amp;"-"&amp;VLOOKUP($N135,CODE!$K:$P,CODE!$O$1,FALSE)))=TRUE,"",IF(VLOOKUP($N135,CODE!$K:$P,CODE!$O$1,FALSE)="",$M135,$M135&amp;"-"&amp;VLOOKUP($N135,CODE!$K:$P,CODE!$O$1,FALSE)))</f>
        <v>SMB</v>
      </c>
      <c r="P135" s="29" t="str">
        <f t="shared" si="35"/>
        <v>SMBFLE3701</v>
      </c>
      <c r="Q135" s="1" t="s">
        <v>927</v>
      </c>
      <c r="R135" s="1" t="s">
        <v>14</v>
      </c>
      <c r="S135" s="26">
        <v>1000</v>
      </c>
      <c r="T135" s="26">
        <v>43000000</v>
      </c>
      <c r="U135" s="26">
        <v>6852750</v>
      </c>
      <c r="V135" s="26">
        <v>5.7044119646724436</v>
      </c>
      <c r="W135" s="26">
        <v>999</v>
      </c>
      <c r="X135" s="26">
        <v>0</v>
      </c>
    </row>
    <row r="136" spans="1:24">
      <c r="A136" s="24" t="str">
        <f t="shared" si="28"/>
        <v>러닝</v>
      </c>
      <c r="B136" s="24" t="str">
        <f>IF(COUNTIF(Q$1:Q135,Q136)=0,"최초","리오더")</f>
        <v>최초</v>
      </c>
      <c r="C136" s="24" t="str">
        <f t="shared" si="29"/>
        <v>SMBFLE3206</v>
      </c>
      <c r="D136" s="24">
        <f t="shared" si="24"/>
        <v>1</v>
      </c>
      <c r="E136" s="24" t="str">
        <f t="shared" si="30"/>
        <v/>
      </c>
      <c r="F136" s="24">
        <f t="shared" si="25"/>
        <v>0</v>
      </c>
      <c r="G136" s="24" t="str">
        <f t="shared" si="31"/>
        <v>SMBFLE3206GY</v>
      </c>
      <c r="H136" s="24">
        <f t="shared" si="26"/>
        <v>1</v>
      </c>
      <c r="I136" s="24" t="str">
        <f t="shared" si="32"/>
        <v/>
      </c>
      <c r="J136" s="24">
        <f t="shared" si="27"/>
        <v>0</v>
      </c>
      <c r="K136" s="24" t="str">
        <f t="shared" si="33"/>
        <v>E3</v>
      </c>
      <c r="L136" s="24" t="str">
        <f>VLOOKUP(N136,CODE!K:P,CODE!$P$1,FALSE)</f>
        <v>모자</v>
      </c>
      <c r="M136" s="24" t="str">
        <f>VLOOKUP(MID(Q136,1,3),CODE!$B:$G,CODE!D$1,FALSE)</f>
        <v>SMB</v>
      </c>
      <c r="N136" s="24" t="str">
        <f t="shared" si="34"/>
        <v>FL</v>
      </c>
      <c r="O136" s="29" t="str">
        <f>IF(ISERROR(IF(VLOOKUP($N136,CODE!$K:$P,CODE!$O$1,FALSE)="",$M136,$M136&amp;"-"&amp;VLOOKUP($N136,CODE!$K:$P,CODE!$O$1,FALSE)))=TRUE,"",IF(VLOOKUP($N136,CODE!$K:$P,CODE!$O$1,FALSE)="",$M136,$M136&amp;"-"&amp;VLOOKUP($N136,CODE!$K:$P,CODE!$O$1,FALSE)))</f>
        <v>SMB</v>
      </c>
      <c r="P136" s="29" t="str">
        <f t="shared" si="35"/>
        <v>SMBFLE3206</v>
      </c>
      <c r="Q136" s="1" t="s">
        <v>928</v>
      </c>
      <c r="R136" s="1" t="s">
        <v>14</v>
      </c>
      <c r="S136" s="26">
        <v>500</v>
      </c>
      <c r="T136" s="26">
        <v>24500000</v>
      </c>
      <c r="U136" s="26">
        <v>3426375</v>
      </c>
      <c r="V136" s="26">
        <v>6.5003764248592955</v>
      </c>
      <c r="W136" s="26">
        <v>500</v>
      </c>
      <c r="X136" s="26">
        <v>0</v>
      </c>
    </row>
    <row r="137" spans="1:24">
      <c r="A137" s="24" t="str">
        <f t="shared" si="28"/>
        <v>러닝</v>
      </c>
      <c r="B137" s="24" t="str">
        <f>IF(COUNTIF(Q$1:Q136,Q137)=0,"최초","리오더")</f>
        <v>최초</v>
      </c>
      <c r="C137" s="24" t="str">
        <f t="shared" si="29"/>
        <v>SMBFLE3740</v>
      </c>
      <c r="D137" s="24">
        <f t="shared" si="24"/>
        <v>1</v>
      </c>
      <c r="E137" s="24" t="str">
        <f t="shared" si="30"/>
        <v/>
      </c>
      <c r="F137" s="24">
        <f t="shared" si="25"/>
        <v>0</v>
      </c>
      <c r="G137" s="24" t="str">
        <f t="shared" si="31"/>
        <v>SMBFLE3740KH</v>
      </c>
      <c r="H137" s="24">
        <f t="shared" si="26"/>
        <v>1</v>
      </c>
      <c r="I137" s="24" t="str">
        <f t="shared" si="32"/>
        <v/>
      </c>
      <c r="J137" s="24">
        <f t="shared" si="27"/>
        <v>0</v>
      </c>
      <c r="K137" s="24" t="str">
        <f t="shared" si="33"/>
        <v>E3</v>
      </c>
      <c r="L137" s="24" t="str">
        <f>VLOOKUP(N137,CODE!K:P,CODE!$P$1,FALSE)</f>
        <v>모자</v>
      </c>
      <c r="M137" s="24" t="str">
        <f>VLOOKUP(MID(Q137,1,3),CODE!$B:$G,CODE!D$1,FALSE)</f>
        <v>SMB</v>
      </c>
      <c r="N137" s="24" t="str">
        <f t="shared" si="34"/>
        <v>FL</v>
      </c>
      <c r="O137" s="29" t="str">
        <f>IF(ISERROR(IF(VLOOKUP($N137,CODE!$K:$P,CODE!$O$1,FALSE)="",$M137,$M137&amp;"-"&amp;VLOOKUP($N137,CODE!$K:$P,CODE!$O$1,FALSE)))=TRUE,"",IF(VLOOKUP($N137,CODE!$K:$P,CODE!$O$1,FALSE)="",$M137,$M137&amp;"-"&amp;VLOOKUP($N137,CODE!$K:$P,CODE!$O$1,FALSE)))</f>
        <v>SMB</v>
      </c>
      <c r="P137" s="29" t="str">
        <f t="shared" si="35"/>
        <v>SMBFLE3740</v>
      </c>
      <c r="Q137" s="1" t="s">
        <v>929</v>
      </c>
      <c r="R137" s="1" t="s">
        <v>14</v>
      </c>
      <c r="S137" s="26">
        <v>300</v>
      </c>
      <c r="T137" s="26">
        <v>12900000</v>
      </c>
      <c r="U137" s="26">
        <v>1934550.0000000002</v>
      </c>
      <c r="V137" s="26">
        <v>6.0620158317297177</v>
      </c>
      <c r="W137" s="26">
        <v>300</v>
      </c>
      <c r="X137" s="26">
        <v>0</v>
      </c>
    </row>
    <row r="138" spans="1:24">
      <c r="A138" s="24" t="str">
        <f t="shared" si="28"/>
        <v>러닝</v>
      </c>
      <c r="B138" s="24" t="str">
        <f>IF(COUNTIF(Q$1:Q137,Q138)=0,"최초","리오더")</f>
        <v>최초</v>
      </c>
      <c r="C138" s="24" t="str">
        <f t="shared" si="29"/>
        <v>SMBFLE3744</v>
      </c>
      <c r="D138" s="24">
        <f t="shared" si="24"/>
        <v>0.5</v>
      </c>
      <c r="E138" s="24" t="str">
        <f t="shared" si="30"/>
        <v/>
      </c>
      <c r="F138" s="24">
        <f t="shared" si="25"/>
        <v>0</v>
      </c>
      <c r="G138" s="24" t="str">
        <f t="shared" si="31"/>
        <v>SMBFLE3744GR</v>
      </c>
      <c r="H138" s="24">
        <f t="shared" si="26"/>
        <v>1</v>
      </c>
      <c r="I138" s="24" t="str">
        <f t="shared" si="32"/>
        <v/>
      </c>
      <c r="J138" s="24">
        <f t="shared" si="27"/>
        <v>0</v>
      </c>
      <c r="K138" s="24" t="str">
        <f t="shared" si="33"/>
        <v>E3</v>
      </c>
      <c r="L138" s="24" t="str">
        <f>VLOOKUP(N138,CODE!K:P,CODE!$P$1,FALSE)</f>
        <v>모자</v>
      </c>
      <c r="M138" s="24" t="str">
        <f>VLOOKUP(MID(Q138,1,3),CODE!$B:$G,CODE!D$1,FALSE)</f>
        <v>SMB</v>
      </c>
      <c r="N138" s="24" t="str">
        <f t="shared" si="34"/>
        <v>FL</v>
      </c>
      <c r="O138" s="29" t="str">
        <f>IF(ISERROR(IF(VLOOKUP($N138,CODE!$K:$P,CODE!$O$1,FALSE)="",$M138,$M138&amp;"-"&amp;VLOOKUP($N138,CODE!$K:$P,CODE!$O$1,FALSE)))=TRUE,"",IF(VLOOKUP($N138,CODE!$K:$P,CODE!$O$1,FALSE)="",$M138,$M138&amp;"-"&amp;VLOOKUP($N138,CODE!$K:$P,CODE!$O$1,FALSE)))</f>
        <v>SMB</v>
      </c>
      <c r="P138" s="29" t="str">
        <f t="shared" si="35"/>
        <v>SMBFLE3744</v>
      </c>
      <c r="Q138" s="1" t="s">
        <v>930</v>
      </c>
      <c r="R138" s="1" t="s">
        <v>14</v>
      </c>
      <c r="S138" s="26">
        <v>300</v>
      </c>
      <c r="T138" s="26">
        <v>12900000</v>
      </c>
      <c r="U138" s="26">
        <v>1969200</v>
      </c>
      <c r="V138" s="26">
        <v>5.9553487341421532</v>
      </c>
      <c r="W138" s="26">
        <v>300</v>
      </c>
      <c r="X138" s="26">
        <v>0</v>
      </c>
    </row>
    <row r="139" spans="1:24">
      <c r="A139" s="24" t="str">
        <f t="shared" si="28"/>
        <v>신규</v>
      </c>
      <c r="B139" s="24" t="str">
        <f>IF(COUNTIF(Q$1:Q138,Q139)=0,"최초","리오더")</f>
        <v>최초</v>
      </c>
      <c r="C139" s="24" t="str">
        <f t="shared" si="29"/>
        <v>JILFEE3815</v>
      </c>
      <c r="D139" s="24">
        <f t="shared" si="24"/>
        <v>1</v>
      </c>
      <c r="E139" s="24" t="str">
        <f t="shared" si="30"/>
        <v/>
      </c>
      <c r="F139" s="24">
        <f t="shared" si="25"/>
        <v>0</v>
      </c>
      <c r="G139" s="24" t="str">
        <f t="shared" si="31"/>
        <v>JILFEE3815OR</v>
      </c>
      <c r="H139" s="24">
        <f t="shared" si="26"/>
        <v>1</v>
      </c>
      <c r="I139" s="24" t="str">
        <f t="shared" si="32"/>
        <v/>
      </c>
      <c r="J139" s="24">
        <f t="shared" si="27"/>
        <v>0</v>
      </c>
      <c r="K139" s="24" t="str">
        <f t="shared" si="33"/>
        <v>E3</v>
      </c>
      <c r="L139" s="24" t="str">
        <f>VLOOKUP(N139,CODE!K:P,CODE!$P$1,FALSE)</f>
        <v>모자</v>
      </c>
      <c r="M139" s="24" t="str">
        <f>VLOOKUP(MID(Q139,1,3),CODE!$B:$G,CODE!D$1,FALSE)</f>
        <v>JIL</v>
      </c>
      <c r="N139" s="24" t="str">
        <f t="shared" si="34"/>
        <v>FE</v>
      </c>
      <c r="O139" s="29" t="str">
        <f>IF(ISERROR(IF(VLOOKUP($N139,CODE!$K:$P,CODE!$O$1,FALSE)="",$M139,$M139&amp;"-"&amp;VLOOKUP($N139,CODE!$K:$P,CODE!$O$1,FALSE)))=TRUE,"",IF(VLOOKUP($N139,CODE!$K:$P,CODE!$O$1,FALSE)="",$M139,$M139&amp;"-"&amp;VLOOKUP($N139,CODE!$K:$P,CODE!$O$1,FALSE)))</f>
        <v>JIL</v>
      </c>
      <c r="P139" s="29" t="str">
        <f t="shared" si="35"/>
        <v>JILFEE3815</v>
      </c>
      <c r="Q139" s="1" t="s">
        <v>931</v>
      </c>
      <c r="R139" s="1" t="s">
        <v>14</v>
      </c>
      <c r="S139" s="26">
        <v>200</v>
      </c>
      <c r="T139" s="26">
        <v>9000000</v>
      </c>
      <c r="U139" s="26">
        <v>1330640.0000000002</v>
      </c>
      <c r="V139" s="26">
        <v>6.1487841804080583</v>
      </c>
      <c r="W139" s="26">
        <v>0</v>
      </c>
      <c r="X139" s="26">
        <v>200</v>
      </c>
    </row>
    <row r="140" spans="1:24">
      <c r="A140" s="24" t="str">
        <f t="shared" si="28"/>
        <v>신규</v>
      </c>
      <c r="B140" s="24" t="str">
        <f>IF(COUNTIF(Q$1:Q139,Q140)=0,"최초","리오더")</f>
        <v>최초</v>
      </c>
      <c r="C140" s="24" t="str">
        <f t="shared" si="29"/>
        <v>JILFEE3816</v>
      </c>
      <c r="D140" s="24">
        <f t="shared" si="24"/>
        <v>1</v>
      </c>
      <c r="E140" s="24" t="str">
        <f t="shared" si="30"/>
        <v/>
      </c>
      <c r="F140" s="24">
        <f t="shared" si="25"/>
        <v>0</v>
      </c>
      <c r="G140" s="24" t="str">
        <f t="shared" si="31"/>
        <v>JILFEE3816RE</v>
      </c>
      <c r="H140" s="24">
        <f t="shared" si="26"/>
        <v>1</v>
      </c>
      <c r="I140" s="24" t="str">
        <f t="shared" si="32"/>
        <v/>
      </c>
      <c r="J140" s="24">
        <f t="shared" si="27"/>
        <v>0</v>
      </c>
      <c r="K140" s="24" t="str">
        <f t="shared" si="33"/>
        <v>E3</v>
      </c>
      <c r="L140" s="24" t="str">
        <f>VLOOKUP(N140,CODE!K:P,CODE!$P$1,FALSE)</f>
        <v>모자</v>
      </c>
      <c r="M140" s="24" t="str">
        <f>VLOOKUP(MID(Q140,1,3),CODE!$B:$G,CODE!D$1,FALSE)</f>
        <v>JIL</v>
      </c>
      <c r="N140" s="24" t="str">
        <f t="shared" si="34"/>
        <v>FE</v>
      </c>
      <c r="O140" s="29" t="str">
        <f>IF(ISERROR(IF(VLOOKUP($N140,CODE!$K:$P,CODE!$O$1,FALSE)="",$M140,$M140&amp;"-"&amp;VLOOKUP($N140,CODE!$K:$P,CODE!$O$1,FALSE)))=TRUE,"",IF(VLOOKUP($N140,CODE!$K:$P,CODE!$O$1,FALSE)="",$M140,$M140&amp;"-"&amp;VLOOKUP($N140,CODE!$K:$P,CODE!$O$1,FALSE)))</f>
        <v>JIL</v>
      </c>
      <c r="P140" s="29" t="str">
        <f t="shared" si="35"/>
        <v>JILFEE3816</v>
      </c>
      <c r="Q140" s="1" t="s">
        <v>932</v>
      </c>
      <c r="R140" s="1" t="s">
        <v>14</v>
      </c>
      <c r="S140" s="26">
        <v>200</v>
      </c>
      <c r="T140" s="26">
        <v>9000000</v>
      </c>
      <c r="U140" s="26">
        <v>1335040.0000000002</v>
      </c>
      <c r="V140" s="26">
        <v>6.1285191318748344</v>
      </c>
      <c r="W140" s="26">
        <v>0</v>
      </c>
      <c r="X140" s="26">
        <v>200</v>
      </c>
    </row>
    <row r="141" spans="1:24">
      <c r="A141" s="24" t="str">
        <f t="shared" si="28"/>
        <v>신규</v>
      </c>
      <c r="B141" s="24" t="str">
        <f>IF(COUNTIF(Q$1:Q140,Q141)=0,"최초","리오더")</f>
        <v>최초</v>
      </c>
      <c r="C141" s="24" t="str">
        <f t="shared" si="29"/>
        <v>ELSJPE5301</v>
      </c>
      <c r="D141" s="24">
        <f t="shared" si="24"/>
        <v>1</v>
      </c>
      <c r="E141" s="24" t="str">
        <f t="shared" si="30"/>
        <v/>
      </c>
      <c r="F141" s="24">
        <f t="shared" si="25"/>
        <v>0</v>
      </c>
      <c r="G141" s="24" t="str">
        <f t="shared" si="31"/>
        <v>ELSJPE5301BU</v>
      </c>
      <c r="H141" s="24">
        <f t="shared" si="26"/>
        <v>1</v>
      </c>
      <c r="I141" s="24" t="str">
        <f t="shared" si="32"/>
        <v/>
      </c>
      <c r="J141" s="24">
        <f t="shared" si="27"/>
        <v>0</v>
      </c>
      <c r="K141" s="24" t="str">
        <f t="shared" si="33"/>
        <v>E5</v>
      </c>
      <c r="L141" s="24" t="str">
        <f>VLOOKUP(N141,CODE!K:P,CODE!$P$1,FALSE)</f>
        <v>의류</v>
      </c>
      <c r="M141" s="24" t="str">
        <f>VLOOKUP(MID(Q141,1,3),CODE!$B:$G,CODE!D$1,FALSE)</f>
        <v>ELS</v>
      </c>
      <c r="N141" s="24" t="str">
        <f t="shared" si="34"/>
        <v>JP</v>
      </c>
      <c r="O141" s="29" t="str">
        <f>IF(ISERROR(IF(VLOOKUP($N141,CODE!$K:$P,CODE!$O$1,FALSE)="",$M141,$M141&amp;"-"&amp;VLOOKUP($N141,CODE!$K:$P,CODE!$O$1,FALSE)))=TRUE,"",IF(VLOOKUP($N141,CODE!$K:$P,CODE!$O$1,FALSE)="",$M141,$M141&amp;"-"&amp;VLOOKUP($N141,CODE!$K:$P,CODE!$O$1,FALSE)))</f>
        <v>ELS-의류</v>
      </c>
      <c r="P141" s="29" t="str">
        <f t="shared" si="35"/>
        <v>ELSJPE5301</v>
      </c>
      <c r="Q141" s="1" t="s">
        <v>933</v>
      </c>
      <c r="R141" s="1" t="s">
        <v>14</v>
      </c>
      <c r="S141" s="26">
        <v>1000</v>
      </c>
      <c r="T141" s="26">
        <v>179000000</v>
      </c>
      <c r="U141" s="26">
        <v>39079000</v>
      </c>
      <c r="V141" s="26">
        <v>4.1640592831769681</v>
      </c>
      <c r="W141" s="26">
        <v>0</v>
      </c>
      <c r="X141" s="26">
        <v>1000</v>
      </c>
    </row>
    <row r="142" spans="1:24">
      <c r="A142" s="24" t="str">
        <f t="shared" si="28"/>
        <v>신규</v>
      </c>
      <c r="B142" s="24" t="str">
        <f>IF(COUNTIF(Q$1:Q141,Q142)=0,"최초","리오더")</f>
        <v>최초</v>
      </c>
      <c r="C142" s="24" t="str">
        <f t="shared" si="29"/>
        <v>ELSJPE5801</v>
      </c>
      <c r="D142" s="24">
        <f t="shared" si="24"/>
        <v>1</v>
      </c>
      <c r="E142" s="24" t="str">
        <f t="shared" si="30"/>
        <v/>
      </c>
      <c r="F142" s="24">
        <f t="shared" si="25"/>
        <v>0</v>
      </c>
      <c r="G142" s="24" t="str">
        <f t="shared" si="31"/>
        <v>ELSJPE5801BU</v>
      </c>
      <c r="H142" s="24">
        <f t="shared" si="26"/>
        <v>1</v>
      </c>
      <c r="I142" s="24" t="str">
        <f t="shared" si="32"/>
        <v/>
      </c>
      <c r="J142" s="24">
        <f t="shared" si="27"/>
        <v>0</v>
      </c>
      <c r="K142" s="24" t="str">
        <f t="shared" si="33"/>
        <v>E5</v>
      </c>
      <c r="L142" s="24" t="str">
        <f>VLOOKUP(N142,CODE!K:P,CODE!$P$1,FALSE)</f>
        <v>의류</v>
      </c>
      <c r="M142" s="24" t="str">
        <f>VLOOKUP(MID(Q142,1,3),CODE!$B:$G,CODE!D$1,FALSE)</f>
        <v>ELS</v>
      </c>
      <c r="N142" s="24" t="str">
        <f t="shared" si="34"/>
        <v>JP</v>
      </c>
      <c r="O142" s="29" t="str">
        <f>IF(ISERROR(IF(VLOOKUP($N142,CODE!$K:$P,CODE!$O$1,FALSE)="",$M142,$M142&amp;"-"&amp;VLOOKUP($N142,CODE!$K:$P,CODE!$O$1,FALSE)))=TRUE,"",IF(VLOOKUP($N142,CODE!$K:$P,CODE!$O$1,FALSE)="",$M142,$M142&amp;"-"&amp;VLOOKUP($N142,CODE!$K:$P,CODE!$O$1,FALSE)))</f>
        <v>ELS-의류</v>
      </c>
      <c r="P142" s="29" t="str">
        <f t="shared" si="35"/>
        <v>ELSJPE5801</v>
      </c>
      <c r="Q142" s="1" t="s">
        <v>934</v>
      </c>
      <c r="R142" s="1" t="s">
        <v>14</v>
      </c>
      <c r="S142" s="26">
        <v>800</v>
      </c>
      <c r="T142" s="26">
        <v>135200000</v>
      </c>
      <c r="U142" s="26">
        <v>27752000</v>
      </c>
      <c r="V142" s="26">
        <v>4.4288372336801274</v>
      </c>
      <c r="W142" s="26">
        <v>0</v>
      </c>
      <c r="X142" s="26">
        <v>800</v>
      </c>
    </row>
    <row r="143" spans="1:24">
      <c r="A143" s="24" t="str">
        <f t="shared" si="28"/>
        <v>신규</v>
      </c>
      <c r="B143" s="24" t="str">
        <f>IF(COUNTIF(Q$1:Q142,Q143)=0,"최초","리오더")</f>
        <v>최초</v>
      </c>
      <c r="C143" s="24" t="str">
        <f t="shared" si="29"/>
        <v>ELSJPE5302</v>
      </c>
      <c r="D143" s="24">
        <f t="shared" si="24"/>
        <v>1</v>
      </c>
      <c r="E143" s="24" t="str">
        <f t="shared" si="30"/>
        <v/>
      </c>
      <c r="F143" s="24">
        <f t="shared" si="25"/>
        <v>0</v>
      </c>
      <c r="G143" s="24" t="str">
        <f t="shared" si="31"/>
        <v>ELSJPE5302BK</v>
      </c>
      <c r="H143" s="24">
        <f t="shared" si="26"/>
        <v>1</v>
      </c>
      <c r="I143" s="24" t="str">
        <f t="shared" si="32"/>
        <v/>
      </c>
      <c r="J143" s="24">
        <f t="shared" si="27"/>
        <v>0</v>
      </c>
      <c r="K143" s="24" t="str">
        <f t="shared" si="33"/>
        <v>E5</v>
      </c>
      <c r="L143" s="24" t="str">
        <f>VLOOKUP(N143,CODE!K:P,CODE!$P$1,FALSE)</f>
        <v>의류</v>
      </c>
      <c r="M143" s="24" t="str">
        <f>VLOOKUP(MID(Q143,1,3),CODE!$B:$G,CODE!D$1,FALSE)</f>
        <v>ELS</v>
      </c>
      <c r="N143" s="24" t="str">
        <f t="shared" si="34"/>
        <v>JP</v>
      </c>
      <c r="O143" s="29" t="str">
        <f>IF(ISERROR(IF(VLOOKUP($N143,CODE!$K:$P,CODE!$O$1,FALSE)="",$M143,$M143&amp;"-"&amp;VLOOKUP($N143,CODE!$K:$P,CODE!$O$1,FALSE)))=TRUE,"",IF(VLOOKUP($N143,CODE!$K:$P,CODE!$O$1,FALSE)="",$M143,$M143&amp;"-"&amp;VLOOKUP($N143,CODE!$K:$P,CODE!$O$1,FALSE)))</f>
        <v>ELS-의류</v>
      </c>
      <c r="P143" s="29" t="str">
        <f t="shared" si="35"/>
        <v>ELSJPE5302</v>
      </c>
      <c r="Q143" s="1" t="s">
        <v>935</v>
      </c>
      <c r="R143" s="1" t="s">
        <v>14</v>
      </c>
      <c r="S143" s="26">
        <v>1200</v>
      </c>
      <c r="T143" s="26">
        <v>190800000</v>
      </c>
      <c r="U143" s="26">
        <v>40519200</v>
      </c>
      <c r="V143" s="26">
        <v>4.2807988670690795</v>
      </c>
      <c r="W143" s="26">
        <v>0</v>
      </c>
      <c r="X143" s="26">
        <v>1200</v>
      </c>
    </row>
    <row r="144" spans="1:24">
      <c r="A144" s="24" t="str">
        <f t="shared" si="28"/>
        <v>신규</v>
      </c>
      <c r="B144" s="24" t="str">
        <f>IF(COUNTIF(Q$1:Q143,Q144)=0,"최초","리오더")</f>
        <v>최초</v>
      </c>
      <c r="C144" s="24" t="str">
        <f t="shared" si="29"/>
        <v>ELSHPE5303</v>
      </c>
      <c r="D144" s="24">
        <f t="shared" si="24"/>
        <v>1</v>
      </c>
      <c r="E144" s="24" t="str">
        <f t="shared" si="30"/>
        <v/>
      </c>
      <c r="F144" s="24">
        <f t="shared" si="25"/>
        <v>0</v>
      </c>
      <c r="G144" s="24" t="str">
        <f t="shared" si="31"/>
        <v>ELSHPE5303OR</v>
      </c>
      <c r="H144" s="24">
        <f t="shared" si="26"/>
        <v>1</v>
      </c>
      <c r="I144" s="24" t="str">
        <f t="shared" si="32"/>
        <v/>
      </c>
      <c r="J144" s="24">
        <f t="shared" si="27"/>
        <v>0</v>
      </c>
      <c r="K144" s="24" t="str">
        <f t="shared" si="33"/>
        <v>E5</v>
      </c>
      <c r="L144" s="24" t="str">
        <f>VLOOKUP(N144,CODE!K:P,CODE!$P$1,FALSE)</f>
        <v>의류</v>
      </c>
      <c r="M144" s="24" t="str">
        <f>VLOOKUP(MID(Q144,1,3),CODE!$B:$G,CODE!D$1,FALSE)</f>
        <v>ELS</v>
      </c>
      <c r="N144" s="24" t="str">
        <f t="shared" si="34"/>
        <v>HP</v>
      </c>
      <c r="O144" s="29" t="str">
        <f>IF(ISERROR(IF(VLOOKUP($N144,CODE!$K:$P,CODE!$O$1,FALSE)="",$M144,$M144&amp;"-"&amp;VLOOKUP($N144,CODE!$K:$P,CODE!$O$1,FALSE)))=TRUE,"",IF(VLOOKUP($N144,CODE!$K:$P,CODE!$O$1,FALSE)="",$M144,$M144&amp;"-"&amp;VLOOKUP($N144,CODE!$K:$P,CODE!$O$1,FALSE)))</f>
        <v>ELS-의류</v>
      </c>
      <c r="P144" s="29" t="str">
        <f t="shared" si="35"/>
        <v>ELSHPE5303</v>
      </c>
      <c r="Q144" s="1" t="s">
        <v>936</v>
      </c>
      <c r="R144" s="1" t="s">
        <v>14</v>
      </c>
      <c r="S144" s="26">
        <v>1000</v>
      </c>
      <c r="T144" s="26">
        <v>139000000</v>
      </c>
      <c r="U144" s="26">
        <v>27760000.000000004</v>
      </c>
      <c r="V144" s="26">
        <v>4.5520041917736433</v>
      </c>
      <c r="W144" s="26">
        <v>0</v>
      </c>
      <c r="X144" s="26">
        <v>1000</v>
      </c>
    </row>
    <row r="145" spans="1:24">
      <c r="A145" s="24" t="str">
        <f t="shared" si="28"/>
        <v>신규</v>
      </c>
      <c r="B145" s="24" t="str">
        <f>IF(COUNTIF(Q$1:Q144,Q145)=0,"최초","리오더")</f>
        <v>최초</v>
      </c>
      <c r="C145" s="24" t="str">
        <f t="shared" si="29"/>
        <v>ELSHPE5304</v>
      </c>
      <c r="D145" s="24">
        <f t="shared" si="24"/>
        <v>1</v>
      </c>
      <c r="E145" s="24" t="str">
        <f t="shared" si="30"/>
        <v/>
      </c>
      <c r="F145" s="24">
        <f t="shared" si="25"/>
        <v>0</v>
      </c>
      <c r="G145" s="24" t="str">
        <f t="shared" si="31"/>
        <v>ELSHPE5304BK</v>
      </c>
      <c r="H145" s="24">
        <f t="shared" si="26"/>
        <v>1</v>
      </c>
      <c r="I145" s="24" t="str">
        <f t="shared" si="32"/>
        <v/>
      </c>
      <c r="J145" s="24">
        <f t="shared" si="27"/>
        <v>0</v>
      </c>
      <c r="K145" s="24" t="str">
        <f t="shared" si="33"/>
        <v>E5</v>
      </c>
      <c r="L145" s="24" t="str">
        <f>VLOOKUP(N145,CODE!K:P,CODE!$P$1,FALSE)</f>
        <v>의류</v>
      </c>
      <c r="M145" s="24" t="str">
        <f>VLOOKUP(MID(Q145,1,3),CODE!$B:$G,CODE!D$1,FALSE)</f>
        <v>ELS</v>
      </c>
      <c r="N145" s="24" t="str">
        <f t="shared" si="34"/>
        <v>HP</v>
      </c>
      <c r="O145" s="29" t="str">
        <f>IF(ISERROR(IF(VLOOKUP($N145,CODE!$K:$P,CODE!$O$1,FALSE)="",$M145,$M145&amp;"-"&amp;VLOOKUP($N145,CODE!$K:$P,CODE!$O$1,FALSE)))=TRUE,"",IF(VLOOKUP($N145,CODE!$K:$P,CODE!$O$1,FALSE)="",$M145,$M145&amp;"-"&amp;VLOOKUP($N145,CODE!$K:$P,CODE!$O$1,FALSE)))</f>
        <v>ELS-의류</v>
      </c>
      <c r="P145" s="29" t="str">
        <f t="shared" si="35"/>
        <v>ELSHPE5304</v>
      </c>
      <c r="Q145" s="1" t="s">
        <v>937</v>
      </c>
      <c r="R145" s="1" t="s">
        <v>14</v>
      </c>
      <c r="S145" s="26">
        <v>1500</v>
      </c>
      <c r="T145" s="26">
        <v>208500000</v>
      </c>
      <c r="U145" s="26">
        <v>41640000.000000007</v>
      </c>
      <c r="V145" s="26">
        <v>4.5520041917736425</v>
      </c>
      <c r="W145" s="26">
        <v>0</v>
      </c>
      <c r="X145" s="26">
        <v>1500</v>
      </c>
    </row>
    <row r="146" spans="1:24">
      <c r="A146" s="24" t="str">
        <f t="shared" si="28"/>
        <v>신규</v>
      </c>
      <c r="B146" s="24" t="str">
        <f>IF(COUNTIF(Q$1:Q145,Q146)=0,"최초","리오더")</f>
        <v>최초</v>
      </c>
      <c r="C146" s="24" t="str">
        <f t="shared" si="29"/>
        <v>ELSHPE5804</v>
      </c>
      <c r="D146" s="24">
        <f t="shared" si="24"/>
        <v>1</v>
      </c>
      <c r="E146" s="24" t="str">
        <f t="shared" si="30"/>
        <v/>
      </c>
      <c r="F146" s="24">
        <f t="shared" si="25"/>
        <v>0</v>
      </c>
      <c r="G146" s="24" t="str">
        <f t="shared" si="31"/>
        <v>ELSHPE5804BK</v>
      </c>
      <c r="H146" s="24">
        <f t="shared" si="26"/>
        <v>1</v>
      </c>
      <c r="I146" s="24" t="str">
        <f t="shared" si="32"/>
        <v/>
      </c>
      <c r="J146" s="24">
        <f t="shared" si="27"/>
        <v>0</v>
      </c>
      <c r="K146" s="24" t="str">
        <f t="shared" si="33"/>
        <v>E5</v>
      </c>
      <c r="L146" s="24" t="str">
        <f>VLOOKUP(N146,CODE!K:P,CODE!$P$1,FALSE)</f>
        <v>의류</v>
      </c>
      <c r="M146" s="24" t="str">
        <f>VLOOKUP(MID(Q146,1,3),CODE!$B:$G,CODE!D$1,FALSE)</f>
        <v>ELS</v>
      </c>
      <c r="N146" s="24" t="str">
        <f t="shared" si="34"/>
        <v>HP</v>
      </c>
      <c r="O146" s="29" t="str">
        <f>IF(ISERROR(IF(VLOOKUP($N146,CODE!$K:$P,CODE!$O$1,FALSE)="",$M146,$M146&amp;"-"&amp;VLOOKUP($N146,CODE!$K:$P,CODE!$O$1,FALSE)))=TRUE,"",IF(VLOOKUP($N146,CODE!$K:$P,CODE!$O$1,FALSE)="",$M146,$M146&amp;"-"&amp;VLOOKUP($N146,CODE!$K:$P,CODE!$O$1,FALSE)))</f>
        <v>ELS-의류</v>
      </c>
      <c r="P146" s="29" t="str">
        <f t="shared" si="35"/>
        <v>ELSHPE5804</v>
      </c>
      <c r="Q146" s="1" t="s">
        <v>938</v>
      </c>
      <c r="R146" s="1" t="s">
        <v>14</v>
      </c>
      <c r="S146" s="26">
        <v>1200</v>
      </c>
      <c r="T146" s="26">
        <v>154800000</v>
      </c>
      <c r="U146" s="26">
        <v>30540000</v>
      </c>
      <c r="V146" s="26">
        <v>4.6079657081621717</v>
      </c>
      <c r="W146" s="26">
        <v>0</v>
      </c>
      <c r="X146" s="26">
        <v>1200</v>
      </c>
    </row>
    <row r="147" spans="1:24">
      <c r="A147" s="24" t="str">
        <f t="shared" si="28"/>
        <v>신규</v>
      </c>
      <c r="B147" s="24" t="str">
        <f>IF(COUNTIF(Q$1:Q146,Q147)=0,"최초","리오더")</f>
        <v>최초</v>
      </c>
      <c r="C147" s="24" t="str">
        <f t="shared" si="29"/>
        <v>ELSTLE5305</v>
      </c>
      <c r="D147" s="24">
        <f t="shared" si="24"/>
        <v>1</v>
      </c>
      <c r="E147" s="24" t="str">
        <f t="shared" si="30"/>
        <v/>
      </c>
      <c r="F147" s="24">
        <f t="shared" si="25"/>
        <v>0</v>
      </c>
      <c r="G147" s="24" t="str">
        <f t="shared" si="31"/>
        <v>ELSTLE5305KH</v>
      </c>
      <c r="H147" s="24">
        <f t="shared" si="26"/>
        <v>1</v>
      </c>
      <c r="I147" s="24" t="str">
        <f t="shared" si="32"/>
        <v/>
      </c>
      <c r="J147" s="24">
        <f t="shared" si="27"/>
        <v>0</v>
      </c>
      <c r="K147" s="24" t="str">
        <f t="shared" si="33"/>
        <v>E5</v>
      </c>
      <c r="L147" s="24" t="str">
        <f>VLOOKUP(N147,CODE!K:P,CODE!$P$1,FALSE)</f>
        <v>의류</v>
      </c>
      <c r="M147" s="24" t="str">
        <f>VLOOKUP(MID(Q147,1,3),CODE!$B:$G,CODE!D$1,FALSE)</f>
        <v>ELS</v>
      </c>
      <c r="N147" s="24" t="str">
        <f t="shared" si="34"/>
        <v>TL</v>
      </c>
      <c r="O147" s="29" t="str">
        <f>IF(ISERROR(IF(VLOOKUP($N147,CODE!$K:$P,CODE!$O$1,FALSE)="",$M147,$M147&amp;"-"&amp;VLOOKUP($N147,CODE!$K:$P,CODE!$O$1,FALSE)))=TRUE,"",IF(VLOOKUP($N147,CODE!$K:$P,CODE!$O$1,FALSE)="",$M147,$M147&amp;"-"&amp;VLOOKUP($N147,CODE!$K:$P,CODE!$O$1,FALSE)))</f>
        <v>ELS-의류</v>
      </c>
      <c r="P147" s="29" t="str">
        <f t="shared" si="35"/>
        <v>ELSTLE5305</v>
      </c>
      <c r="Q147" s="1" t="s">
        <v>939</v>
      </c>
      <c r="R147" s="1" t="s">
        <v>14</v>
      </c>
      <c r="S147" s="26">
        <v>1200</v>
      </c>
      <c r="T147" s="26">
        <v>94800000</v>
      </c>
      <c r="U147" s="26">
        <v>20838000</v>
      </c>
      <c r="V147" s="26">
        <v>4.135800853336125</v>
      </c>
      <c r="W147" s="26">
        <v>0</v>
      </c>
      <c r="X147" s="26">
        <v>1200</v>
      </c>
    </row>
    <row r="148" spans="1:24">
      <c r="A148" s="24" t="str">
        <f t="shared" si="28"/>
        <v>신규</v>
      </c>
      <c r="B148" s="24" t="str">
        <f>IF(COUNTIF(Q$1:Q147,Q148)=0,"최초","리오더")</f>
        <v>최초</v>
      </c>
      <c r="C148" s="24" t="str">
        <f t="shared" si="29"/>
        <v>ELSTHE5306</v>
      </c>
      <c r="D148" s="24">
        <f t="shared" si="24"/>
        <v>0.5</v>
      </c>
      <c r="E148" s="24" t="str">
        <f t="shared" si="30"/>
        <v/>
      </c>
      <c r="F148" s="24">
        <f t="shared" si="25"/>
        <v>0</v>
      </c>
      <c r="G148" s="24" t="str">
        <f t="shared" si="31"/>
        <v>ELSTHE5306LI</v>
      </c>
      <c r="H148" s="24">
        <f t="shared" si="26"/>
        <v>1</v>
      </c>
      <c r="I148" s="24" t="str">
        <f t="shared" si="32"/>
        <v/>
      </c>
      <c r="J148" s="24">
        <f t="shared" si="27"/>
        <v>0</v>
      </c>
      <c r="K148" s="24" t="str">
        <f t="shared" si="33"/>
        <v>E5</v>
      </c>
      <c r="L148" s="24" t="str">
        <f>VLOOKUP(N148,CODE!K:P,CODE!$P$1,FALSE)</f>
        <v>의류</v>
      </c>
      <c r="M148" s="24" t="str">
        <f>VLOOKUP(MID(Q148,1,3),CODE!$B:$G,CODE!D$1,FALSE)</f>
        <v>ELS</v>
      </c>
      <c r="N148" s="24" t="str">
        <f t="shared" si="34"/>
        <v>TH</v>
      </c>
      <c r="O148" s="29" t="str">
        <f>IF(ISERROR(IF(VLOOKUP($N148,CODE!$K:$P,CODE!$O$1,FALSE)="",$M148,$M148&amp;"-"&amp;VLOOKUP($N148,CODE!$K:$P,CODE!$O$1,FALSE)))=TRUE,"",IF(VLOOKUP($N148,CODE!$K:$P,CODE!$O$1,FALSE)="",$M148,$M148&amp;"-"&amp;VLOOKUP($N148,CODE!$K:$P,CODE!$O$1,FALSE)))</f>
        <v>ELS-의류</v>
      </c>
      <c r="P148" s="29" t="str">
        <f t="shared" si="35"/>
        <v>ELSTHE5306</v>
      </c>
      <c r="Q148" s="1" t="s">
        <v>940</v>
      </c>
      <c r="R148" s="1" t="s">
        <v>14</v>
      </c>
      <c r="S148" s="26">
        <v>1000</v>
      </c>
      <c r="T148" s="26">
        <v>99000000</v>
      </c>
      <c r="U148" s="26">
        <v>20830000.000000004</v>
      </c>
      <c r="V148" s="26">
        <v>4.3206913106096962</v>
      </c>
      <c r="W148" s="26">
        <v>0</v>
      </c>
      <c r="X148" s="26">
        <v>1000</v>
      </c>
    </row>
    <row r="149" spans="1:24">
      <c r="A149" s="24" t="str">
        <f t="shared" si="28"/>
        <v>신규</v>
      </c>
      <c r="B149" s="24" t="str">
        <f>IF(COUNTIF(Q$1:Q148,Q149)=0,"최초","리오더")</f>
        <v>최초</v>
      </c>
      <c r="C149" s="24" t="str">
        <f t="shared" si="29"/>
        <v>ELSTHE5806</v>
      </c>
      <c r="D149" s="24">
        <f t="shared" si="24"/>
        <v>0.5</v>
      </c>
      <c r="E149" s="24" t="str">
        <f t="shared" si="30"/>
        <v/>
      </c>
      <c r="F149" s="24">
        <f t="shared" si="25"/>
        <v>0</v>
      </c>
      <c r="G149" s="24" t="str">
        <f t="shared" si="31"/>
        <v>ELSTHE5806LI</v>
      </c>
      <c r="H149" s="24">
        <f t="shared" si="26"/>
        <v>1</v>
      </c>
      <c r="I149" s="24" t="str">
        <f t="shared" si="32"/>
        <v/>
      </c>
      <c r="J149" s="24">
        <f t="shared" si="27"/>
        <v>0</v>
      </c>
      <c r="K149" s="24" t="str">
        <f t="shared" si="33"/>
        <v>E5</v>
      </c>
      <c r="L149" s="24" t="str">
        <f>VLOOKUP(N149,CODE!K:P,CODE!$P$1,FALSE)</f>
        <v>의류</v>
      </c>
      <c r="M149" s="24" t="str">
        <f>VLOOKUP(MID(Q149,1,3),CODE!$B:$G,CODE!D$1,FALSE)</f>
        <v>ELS</v>
      </c>
      <c r="N149" s="24" t="str">
        <f t="shared" si="34"/>
        <v>TH</v>
      </c>
      <c r="O149" s="29" t="str">
        <f>IF(ISERROR(IF(VLOOKUP($N149,CODE!$K:$P,CODE!$O$1,FALSE)="",$M149,$M149&amp;"-"&amp;VLOOKUP($N149,CODE!$K:$P,CODE!$O$1,FALSE)))=TRUE,"",IF(VLOOKUP($N149,CODE!$K:$P,CODE!$O$1,FALSE)="",$M149,$M149&amp;"-"&amp;VLOOKUP($N149,CODE!$K:$P,CODE!$O$1,FALSE)))</f>
        <v>ELS-의류</v>
      </c>
      <c r="P149" s="29" t="str">
        <f t="shared" si="35"/>
        <v>ELSTHE5806</v>
      </c>
      <c r="Q149" s="1" t="s">
        <v>941</v>
      </c>
      <c r="R149" s="1" t="s">
        <v>14</v>
      </c>
      <c r="S149" s="26">
        <v>800</v>
      </c>
      <c r="T149" s="26">
        <v>71200000</v>
      </c>
      <c r="U149" s="26">
        <v>14354000.000000004</v>
      </c>
      <c r="V149" s="26">
        <v>4.5093543769870914</v>
      </c>
      <c r="W149" s="26">
        <v>0</v>
      </c>
      <c r="X149" s="26">
        <v>800</v>
      </c>
    </row>
    <row r="150" spans="1:24">
      <c r="A150" s="24" t="str">
        <f t="shared" si="28"/>
        <v>신규</v>
      </c>
      <c r="B150" s="24" t="str">
        <f>IF(COUNTIF(Q$1:Q149,Q150)=0,"최초","리오더")</f>
        <v>최초</v>
      </c>
      <c r="C150" s="24" t="str">
        <f t="shared" si="29"/>
        <v>ELSTHE5306</v>
      </c>
      <c r="D150" s="24">
        <f t="shared" si="24"/>
        <v>0.5</v>
      </c>
      <c r="E150" s="24" t="str">
        <f t="shared" si="30"/>
        <v/>
      </c>
      <c r="F150" s="24">
        <f t="shared" si="25"/>
        <v>0</v>
      </c>
      <c r="G150" s="24" t="str">
        <f t="shared" si="31"/>
        <v>ELSTHE5306MT</v>
      </c>
      <c r="H150" s="24">
        <f t="shared" si="26"/>
        <v>1</v>
      </c>
      <c r="I150" s="24" t="str">
        <f t="shared" si="32"/>
        <v/>
      </c>
      <c r="J150" s="24">
        <f t="shared" si="27"/>
        <v>0</v>
      </c>
      <c r="K150" s="24" t="str">
        <f t="shared" si="33"/>
        <v>E5</v>
      </c>
      <c r="L150" s="24" t="str">
        <f>VLOOKUP(N150,CODE!K:P,CODE!$P$1,FALSE)</f>
        <v>의류</v>
      </c>
      <c r="M150" s="24" t="str">
        <f>VLOOKUP(MID(Q150,1,3),CODE!$B:$G,CODE!D$1,FALSE)</f>
        <v>ELS</v>
      </c>
      <c r="N150" s="24" t="str">
        <f t="shared" si="34"/>
        <v>TH</v>
      </c>
      <c r="O150" s="29" t="str">
        <f>IF(ISERROR(IF(VLOOKUP($N150,CODE!$K:$P,CODE!$O$1,FALSE)="",$M150,$M150&amp;"-"&amp;VLOOKUP($N150,CODE!$K:$P,CODE!$O$1,FALSE)))=TRUE,"",IF(VLOOKUP($N150,CODE!$K:$P,CODE!$O$1,FALSE)="",$M150,$M150&amp;"-"&amp;VLOOKUP($N150,CODE!$K:$P,CODE!$O$1,FALSE)))</f>
        <v>ELS-의류</v>
      </c>
      <c r="P150" s="29" t="str">
        <f t="shared" si="35"/>
        <v>ELSTHE5306</v>
      </c>
      <c r="Q150" s="1" t="s">
        <v>942</v>
      </c>
      <c r="R150" s="1" t="s">
        <v>14</v>
      </c>
      <c r="S150" s="26">
        <v>1000</v>
      </c>
      <c r="T150" s="26">
        <v>99000000</v>
      </c>
      <c r="U150" s="26">
        <v>20830000.000000004</v>
      </c>
      <c r="V150" s="26">
        <v>4.3206913106096962</v>
      </c>
      <c r="W150" s="26">
        <v>0</v>
      </c>
      <c r="X150" s="26">
        <v>1000</v>
      </c>
    </row>
    <row r="151" spans="1:24">
      <c r="A151" s="24" t="str">
        <f t="shared" si="28"/>
        <v>신규</v>
      </c>
      <c r="B151" s="24" t="str">
        <f>IF(COUNTIF(Q$1:Q150,Q151)=0,"최초","리오더")</f>
        <v>최초</v>
      </c>
      <c r="C151" s="24" t="str">
        <f t="shared" si="29"/>
        <v>ELSTHE5806</v>
      </c>
      <c r="D151" s="24">
        <f t="shared" si="24"/>
        <v>0.5</v>
      </c>
      <c r="E151" s="24" t="str">
        <f t="shared" si="30"/>
        <v/>
      </c>
      <c r="F151" s="24">
        <f t="shared" si="25"/>
        <v>0</v>
      </c>
      <c r="G151" s="24" t="str">
        <f t="shared" si="31"/>
        <v>ELSTHE5806MT</v>
      </c>
      <c r="H151" s="24">
        <f t="shared" si="26"/>
        <v>1</v>
      </c>
      <c r="I151" s="24" t="str">
        <f t="shared" si="32"/>
        <v/>
      </c>
      <c r="J151" s="24">
        <f t="shared" si="27"/>
        <v>0</v>
      </c>
      <c r="K151" s="24" t="str">
        <f t="shared" si="33"/>
        <v>E5</v>
      </c>
      <c r="L151" s="24" t="str">
        <f>VLOOKUP(N151,CODE!K:P,CODE!$P$1,FALSE)</f>
        <v>의류</v>
      </c>
      <c r="M151" s="24" t="str">
        <f>VLOOKUP(MID(Q151,1,3),CODE!$B:$G,CODE!D$1,FALSE)</f>
        <v>ELS</v>
      </c>
      <c r="N151" s="24" t="str">
        <f t="shared" si="34"/>
        <v>TH</v>
      </c>
      <c r="O151" s="29" t="str">
        <f>IF(ISERROR(IF(VLOOKUP($N151,CODE!$K:$P,CODE!$O$1,FALSE)="",$M151,$M151&amp;"-"&amp;VLOOKUP($N151,CODE!$K:$P,CODE!$O$1,FALSE)))=TRUE,"",IF(VLOOKUP($N151,CODE!$K:$P,CODE!$O$1,FALSE)="",$M151,$M151&amp;"-"&amp;VLOOKUP($N151,CODE!$K:$P,CODE!$O$1,FALSE)))</f>
        <v>ELS-의류</v>
      </c>
      <c r="P151" s="29" t="str">
        <f t="shared" si="35"/>
        <v>ELSTHE5806</v>
      </c>
      <c r="Q151" s="1" t="s">
        <v>943</v>
      </c>
      <c r="R151" s="1" t="s">
        <v>14</v>
      </c>
      <c r="S151" s="26">
        <v>800</v>
      </c>
      <c r="T151" s="26">
        <v>71200000</v>
      </c>
      <c r="U151" s="26">
        <v>14354000.000000002</v>
      </c>
      <c r="V151" s="26">
        <v>4.5093543769870914</v>
      </c>
      <c r="W151" s="26">
        <v>0</v>
      </c>
      <c r="X151" s="26">
        <v>800</v>
      </c>
    </row>
    <row r="152" spans="1:24">
      <c r="A152" s="24" t="str">
        <f t="shared" si="28"/>
        <v>신규</v>
      </c>
      <c r="B152" s="24" t="str">
        <f>IF(COUNTIF(Q$1:Q151,Q152)=0,"최초","리오더")</f>
        <v>최초</v>
      </c>
      <c r="C152" s="24" t="str">
        <f t="shared" si="29"/>
        <v>GRAMIE5301</v>
      </c>
      <c r="D152" s="24">
        <f t="shared" si="24"/>
        <v>0.5</v>
      </c>
      <c r="E152" s="24" t="str">
        <f t="shared" si="30"/>
        <v/>
      </c>
      <c r="F152" s="24">
        <f t="shared" si="25"/>
        <v>0</v>
      </c>
      <c r="G152" s="24" t="str">
        <f t="shared" si="31"/>
        <v>GRAMIE5301NY</v>
      </c>
      <c r="H152" s="24">
        <f t="shared" si="26"/>
        <v>1</v>
      </c>
      <c r="I152" s="24" t="str">
        <f t="shared" si="32"/>
        <v/>
      </c>
      <c r="J152" s="24">
        <f t="shared" si="27"/>
        <v>0</v>
      </c>
      <c r="K152" s="24" t="str">
        <f t="shared" si="33"/>
        <v>E5</v>
      </c>
      <c r="L152" s="24" t="str">
        <f>VLOOKUP(N152,CODE!K:P,CODE!$P$1,FALSE)</f>
        <v>모자</v>
      </c>
      <c r="M152" s="24" t="str">
        <f>VLOOKUP(MID(Q152,1,3),CODE!$B:$G,CODE!D$1,FALSE)</f>
        <v>GRA</v>
      </c>
      <c r="N152" s="24" t="str">
        <f t="shared" si="34"/>
        <v>MI</v>
      </c>
      <c r="O152" s="29" t="str">
        <f>IF(ISERROR(IF(VLOOKUP($N152,CODE!$K:$P,CODE!$O$1,FALSE)="",$M152,$M152&amp;"-"&amp;VLOOKUP($N152,CODE!$K:$P,CODE!$O$1,FALSE)))=TRUE,"",IF(VLOOKUP($N152,CODE!$K:$P,CODE!$O$1,FALSE)="",$M152,$M152&amp;"-"&amp;VLOOKUP($N152,CODE!$K:$P,CODE!$O$1,FALSE)))</f>
        <v>GRA</v>
      </c>
      <c r="P152" s="29" t="str">
        <f t="shared" si="35"/>
        <v>GRAMIE5301</v>
      </c>
      <c r="Q152" s="1" t="s">
        <v>944</v>
      </c>
      <c r="R152" s="1" t="s">
        <v>15</v>
      </c>
      <c r="S152" s="26">
        <v>200</v>
      </c>
      <c r="T152" s="26">
        <v>13000000</v>
      </c>
      <c r="U152" s="26">
        <v>3184272</v>
      </c>
      <c r="V152" s="26">
        <v>3.7114234645098843</v>
      </c>
      <c r="W152" s="26">
        <v>0</v>
      </c>
      <c r="X152" s="26">
        <v>200</v>
      </c>
    </row>
    <row r="153" spans="1:24">
      <c r="A153" s="24" t="str">
        <f t="shared" si="28"/>
        <v>신규</v>
      </c>
      <c r="B153" s="24" t="str">
        <f>IF(COUNTIF(Q$1:Q152,Q153)=0,"최초","리오더")</f>
        <v>최초</v>
      </c>
      <c r="C153" s="24" t="str">
        <f t="shared" si="29"/>
        <v>GRAMIE5301</v>
      </c>
      <c r="D153" s="24">
        <f t="shared" si="24"/>
        <v>0.5</v>
      </c>
      <c r="E153" s="24" t="str">
        <f t="shared" si="30"/>
        <v/>
      </c>
      <c r="F153" s="24">
        <f t="shared" si="25"/>
        <v>0</v>
      </c>
      <c r="G153" s="24" t="str">
        <f t="shared" si="31"/>
        <v>GRAMIE5301RE</v>
      </c>
      <c r="H153" s="24">
        <f t="shared" si="26"/>
        <v>1</v>
      </c>
      <c r="I153" s="24" t="str">
        <f t="shared" si="32"/>
        <v/>
      </c>
      <c r="J153" s="24">
        <f t="shared" si="27"/>
        <v>0</v>
      </c>
      <c r="K153" s="24" t="str">
        <f t="shared" si="33"/>
        <v>E5</v>
      </c>
      <c r="L153" s="24" t="str">
        <f>VLOOKUP(N153,CODE!K:P,CODE!$P$1,FALSE)</f>
        <v>모자</v>
      </c>
      <c r="M153" s="24" t="str">
        <f>VLOOKUP(MID(Q153,1,3),CODE!$B:$G,CODE!D$1,FALSE)</f>
        <v>GRA</v>
      </c>
      <c r="N153" s="24" t="str">
        <f t="shared" si="34"/>
        <v>MI</v>
      </c>
      <c r="O153" s="29" t="str">
        <f>IF(ISERROR(IF(VLOOKUP($N153,CODE!$K:$P,CODE!$O$1,FALSE)="",$M153,$M153&amp;"-"&amp;VLOOKUP($N153,CODE!$K:$P,CODE!$O$1,FALSE)))=TRUE,"",IF(VLOOKUP($N153,CODE!$K:$P,CODE!$O$1,FALSE)="",$M153,$M153&amp;"-"&amp;VLOOKUP($N153,CODE!$K:$P,CODE!$O$1,FALSE)))</f>
        <v>GRA</v>
      </c>
      <c r="P153" s="29" t="str">
        <f t="shared" si="35"/>
        <v>GRAMIE5301</v>
      </c>
      <c r="Q153" s="1" t="s">
        <v>945</v>
      </c>
      <c r="R153" s="1" t="s">
        <v>15</v>
      </c>
      <c r="S153" s="26">
        <v>200</v>
      </c>
      <c r="T153" s="26">
        <v>13000000</v>
      </c>
      <c r="U153" s="26">
        <v>3184272</v>
      </c>
      <c r="V153" s="26">
        <v>3.7114234645098843</v>
      </c>
      <c r="W153" s="26">
        <v>0</v>
      </c>
      <c r="X153" s="26">
        <v>200</v>
      </c>
    </row>
    <row r="154" spans="1:24">
      <c r="A154" s="24" t="str">
        <f t="shared" si="28"/>
        <v>신규</v>
      </c>
      <c r="B154" s="24" t="str">
        <f>IF(COUNTIF(Q$1:Q153,Q154)=0,"최초","리오더")</f>
        <v>최초</v>
      </c>
      <c r="C154" s="24" t="str">
        <f t="shared" si="29"/>
        <v>GRATPE5302</v>
      </c>
      <c r="D154" s="24">
        <f t="shared" si="24"/>
        <v>0.5</v>
      </c>
      <c r="E154" s="24" t="str">
        <f t="shared" si="30"/>
        <v/>
      </c>
      <c r="F154" s="24">
        <f t="shared" si="25"/>
        <v>0</v>
      </c>
      <c r="G154" s="24" t="str">
        <f t="shared" si="31"/>
        <v>GRATPE5302RE</v>
      </c>
      <c r="H154" s="24">
        <f t="shared" si="26"/>
        <v>1</v>
      </c>
      <c r="I154" s="24" t="str">
        <f t="shared" si="32"/>
        <v/>
      </c>
      <c r="J154" s="24">
        <f t="shared" si="27"/>
        <v>0</v>
      </c>
      <c r="K154" s="24" t="str">
        <f t="shared" si="33"/>
        <v>E5</v>
      </c>
      <c r="L154" s="24" t="str">
        <f>VLOOKUP(N154,CODE!K:P,CODE!$P$1,FALSE)</f>
        <v>모자</v>
      </c>
      <c r="M154" s="24" t="str">
        <f>VLOOKUP(MID(Q154,1,3),CODE!$B:$G,CODE!D$1,FALSE)</f>
        <v>GRA</v>
      </c>
      <c r="N154" s="24" t="str">
        <f t="shared" si="34"/>
        <v>TP</v>
      </c>
      <c r="O154" s="29" t="str">
        <f>IF(ISERROR(IF(VLOOKUP($N154,CODE!$K:$P,CODE!$O$1,FALSE)="",$M154,$M154&amp;"-"&amp;VLOOKUP($N154,CODE!$K:$P,CODE!$O$1,FALSE)))=TRUE,"",IF(VLOOKUP($N154,CODE!$K:$P,CODE!$O$1,FALSE)="",$M154,$M154&amp;"-"&amp;VLOOKUP($N154,CODE!$K:$P,CODE!$O$1,FALSE)))</f>
        <v>GRA</v>
      </c>
      <c r="P154" s="29" t="str">
        <f t="shared" si="35"/>
        <v>GRATPE5302</v>
      </c>
      <c r="Q154" s="1" t="s">
        <v>946</v>
      </c>
      <c r="R154" s="1" t="s">
        <v>15</v>
      </c>
      <c r="S154" s="26">
        <v>200</v>
      </c>
      <c r="T154" s="26">
        <v>14600000</v>
      </c>
      <c r="U154" s="26">
        <v>3449628.0000000005</v>
      </c>
      <c r="V154" s="26">
        <v>3.847582195160542</v>
      </c>
      <c r="W154" s="26">
        <v>0</v>
      </c>
      <c r="X154" s="26">
        <v>200</v>
      </c>
    </row>
    <row r="155" spans="1:24">
      <c r="A155" s="24" t="str">
        <f t="shared" si="28"/>
        <v>신규</v>
      </c>
      <c r="B155" s="24" t="str">
        <f>IF(COUNTIF(Q$1:Q154,Q155)=0,"최초","리오더")</f>
        <v>최초</v>
      </c>
      <c r="C155" s="24" t="str">
        <f t="shared" si="29"/>
        <v>GRATPE5302</v>
      </c>
      <c r="D155" s="24">
        <f t="shared" si="24"/>
        <v>0.5</v>
      </c>
      <c r="E155" s="24" t="str">
        <f t="shared" si="30"/>
        <v/>
      </c>
      <c r="F155" s="24">
        <f t="shared" si="25"/>
        <v>0</v>
      </c>
      <c r="G155" s="24" t="str">
        <f t="shared" si="31"/>
        <v>GRATPE5302GY</v>
      </c>
      <c r="H155" s="24">
        <f t="shared" si="26"/>
        <v>1</v>
      </c>
      <c r="I155" s="24" t="str">
        <f t="shared" si="32"/>
        <v/>
      </c>
      <c r="J155" s="24">
        <f t="shared" si="27"/>
        <v>0</v>
      </c>
      <c r="K155" s="24" t="str">
        <f t="shared" si="33"/>
        <v>E5</v>
      </c>
      <c r="L155" s="24" t="str">
        <f>VLOOKUP(N155,CODE!K:P,CODE!$P$1,FALSE)</f>
        <v>모자</v>
      </c>
      <c r="M155" s="24" t="str">
        <f>VLOOKUP(MID(Q155,1,3),CODE!$B:$G,CODE!D$1,FALSE)</f>
        <v>GRA</v>
      </c>
      <c r="N155" s="24" t="str">
        <f t="shared" si="34"/>
        <v>TP</v>
      </c>
      <c r="O155" s="29" t="str">
        <f>IF(ISERROR(IF(VLOOKUP($N155,CODE!$K:$P,CODE!$O$1,FALSE)="",$M155,$M155&amp;"-"&amp;VLOOKUP($N155,CODE!$K:$P,CODE!$O$1,FALSE)))=TRUE,"",IF(VLOOKUP($N155,CODE!$K:$P,CODE!$O$1,FALSE)="",$M155,$M155&amp;"-"&amp;VLOOKUP($N155,CODE!$K:$P,CODE!$O$1,FALSE)))</f>
        <v>GRA</v>
      </c>
      <c r="P155" s="29" t="str">
        <f t="shared" si="35"/>
        <v>GRATPE5302</v>
      </c>
      <c r="Q155" s="1" t="s">
        <v>947</v>
      </c>
      <c r="R155" s="1" t="s">
        <v>15</v>
      </c>
      <c r="S155" s="26">
        <v>200</v>
      </c>
      <c r="T155" s="26">
        <v>14600000</v>
      </c>
      <c r="U155" s="26">
        <v>3449628.0000000005</v>
      </c>
      <c r="V155" s="26">
        <v>3.847582195160542</v>
      </c>
      <c r="W155" s="26">
        <v>0</v>
      </c>
      <c r="X155" s="26">
        <v>200</v>
      </c>
    </row>
    <row r="156" spans="1:24">
      <c r="A156" s="24" t="str">
        <f t="shared" si="28"/>
        <v>신규</v>
      </c>
      <c r="B156" s="24" t="str">
        <f>IF(COUNTIF(Q$1:Q155,Q156)=0,"최초","리오더")</f>
        <v>최초</v>
      </c>
      <c r="C156" s="24" t="str">
        <f t="shared" si="29"/>
        <v>GRAERE5303</v>
      </c>
      <c r="D156" s="24">
        <f t="shared" si="24"/>
        <v>0.5</v>
      </c>
      <c r="E156" s="24" t="str">
        <f t="shared" si="30"/>
        <v/>
      </c>
      <c r="F156" s="24">
        <f t="shared" si="25"/>
        <v>0</v>
      </c>
      <c r="G156" s="24" t="str">
        <f t="shared" si="31"/>
        <v>GRAERE5303KH</v>
      </c>
      <c r="H156" s="24">
        <f t="shared" si="26"/>
        <v>1</v>
      </c>
      <c r="I156" s="24" t="str">
        <f t="shared" si="32"/>
        <v/>
      </c>
      <c r="J156" s="24">
        <f t="shared" si="27"/>
        <v>0</v>
      </c>
      <c r="K156" s="24" t="str">
        <f t="shared" si="33"/>
        <v>E5</v>
      </c>
      <c r="L156" s="24" t="str">
        <f>VLOOKUP(N156,CODE!K:P,CODE!$P$1,FALSE)</f>
        <v>모자</v>
      </c>
      <c r="M156" s="24" t="str">
        <f>VLOOKUP(MID(Q156,1,3),CODE!$B:$G,CODE!D$1,FALSE)</f>
        <v>GRA</v>
      </c>
      <c r="N156" s="24" t="str">
        <f t="shared" si="34"/>
        <v>ER</v>
      </c>
      <c r="O156" s="29" t="str">
        <f>IF(ISERROR(IF(VLOOKUP($N156,CODE!$K:$P,CODE!$O$1,FALSE)="",$M156,$M156&amp;"-"&amp;VLOOKUP($N156,CODE!$K:$P,CODE!$O$1,FALSE)))=TRUE,"",IF(VLOOKUP($N156,CODE!$K:$P,CODE!$O$1,FALSE)="",$M156,$M156&amp;"-"&amp;VLOOKUP($N156,CODE!$K:$P,CODE!$O$1,FALSE)))</f>
        <v>GRA</v>
      </c>
      <c r="P156" s="29" t="str">
        <f t="shared" si="35"/>
        <v>GRAERE5303</v>
      </c>
      <c r="Q156" s="1" t="s">
        <v>948</v>
      </c>
      <c r="R156" s="1" t="s">
        <v>15</v>
      </c>
      <c r="S156" s="26">
        <v>200</v>
      </c>
      <c r="T156" s="26">
        <v>14600000</v>
      </c>
      <c r="U156" s="26">
        <v>3449628.0000000005</v>
      </c>
      <c r="V156" s="26">
        <v>3.847582195160542</v>
      </c>
      <c r="W156" s="26">
        <v>0</v>
      </c>
      <c r="X156" s="26">
        <v>200</v>
      </c>
    </row>
    <row r="157" spans="1:24">
      <c r="A157" s="24" t="str">
        <f t="shared" si="28"/>
        <v>신규</v>
      </c>
      <c r="B157" s="24" t="str">
        <f>IF(COUNTIF(Q$1:Q156,Q157)=0,"최초","리오더")</f>
        <v>최초</v>
      </c>
      <c r="C157" s="24" t="str">
        <f t="shared" si="29"/>
        <v>GRAERE5303</v>
      </c>
      <c r="D157" s="24">
        <f t="shared" si="24"/>
        <v>0.5</v>
      </c>
      <c r="E157" s="24" t="str">
        <f t="shared" si="30"/>
        <v/>
      </c>
      <c r="F157" s="24">
        <f t="shared" si="25"/>
        <v>0</v>
      </c>
      <c r="G157" s="24" t="str">
        <f t="shared" si="31"/>
        <v>GRAERE5303BG</v>
      </c>
      <c r="H157" s="24">
        <f t="shared" si="26"/>
        <v>1</v>
      </c>
      <c r="I157" s="24" t="str">
        <f t="shared" si="32"/>
        <v/>
      </c>
      <c r="J157" s="24">
        <f t="shared" si="27"/>
        <v>0</v>
      </c>
      <c r="K157" s="24" t="str">
        <f t="shared" si="33"/>
        <v>E5</v>
      </c>
      <c r="L157" s="24" t="str">
        <f>VLOOKUP(N157,CODE!K:P,CODE!$P$1,FALSE)</f>
        <v>모자</v>
      </c>
      <c r="M157" s="24" t="str">
        <f>VLOOKUP(MID(Q157,1,3),CODE!$B:$G,CODE!D$1,FALSE)</f>
        <v>GRA</v>
      </c>
      <c r="N157" s="24" t="str">
        <f t="shared" si="34"/>
        <v>ER</v>
      </c>
      <c r="O157" s="29" t="str">
        <f>IF(ISERROR(IF(VLOOKUP($N157,CODE!$K:$P,CODE!$O$1,FALSE)="",$M157,$M157&amp;"-"&amp;VLOOKUP($N157,CODE!$K:$P,CODE!$O$1,FALSE)))=TRUE,"",IF(VLOOKUP($N157,CODE!$K:$P,CODE!$O$1,FALSE)="",$M157,$M157&amp;"-"&amp;VLOOKUP($N157,CODE!$K:$P,CODE!$O$1,FALSE)))</f>
        <v>GRA</v>
      </c>
      <c r="P157" s="29" t="str">
        <f t="shared" si="35"/>
        <v>GRAERE5303</v>
      </c>
      <c r="Q157" s="1" t="s">
        <v>949</v>
      </c>
      <c r="R157" s="1" t="s">
        <v>15</v>
      </c>
      <c r="S157" s="26">
        <v>200</v>
      </c>
      <c r="T157" s="26">
        <v>14600000</v>
      </c>
      <c r="U157" s="26">
        <v>3449628.0000000005</v>
      </c>
      <c r="V157" s="26">
        <v>3.847582195160542</v>
      </c>
      <c r="W157" s="26">
        <v>0</v>
      </c>
      <c r="X157" s="26">
        <v>200</v>
      </c>
    </row>
    <row r="158" spans="1:24">
      <c r="A158" s="24" t="str">
        <f t="shared" si="28"/>
        <v>신규</v>
      </c>
      <c r="B158" s="24" t="str">
        <f>IF(COUNTIF(Q$1:Q157,Q158)=0,"최초","리오더")</f>
        <v>최초</v>
      </c>
      <c r="C158" s="24" t="str">
        <f t="shared" si="29"/>
        <v>GRABAE3304</v>
      </c>
      <c r="D158" s="24">
        <f t="shared" si="24"/>
        <v>0.33333333333333331</v>
      </c>
      <c r="E158" s="24" t="str">
        <f t="shared" si="30"/>
        <v/>
      </c>
      <c r="F158" s="24">
        <f t="shared" si="25"/>
        <v>0</v>
      </c>
      <c r="G158" s="24" t="str">
        <f t="shared" si="31"/>
        <v>GRABAE3304NY</v>
      </c>
      <c r="H158" s="24">
        <f t="shared" si="26"/>
        <v>1</v>
      </c>
      <c r="I158" s="24" t="str">
        <f t="shared" si="32"/>
        <v/>
      </c>
      <c r="J158" s="24">
        <f t="shared" si="27"/>
        <v>0</v>
      </c>
      <c r="K158" s="24" t="str">
        <f t="shared" si="33"/>
        <v>E3</v>
      </c>
      <c r="L158" s="24" t="str">
        <f>VLOOKUP(N158,CODE!K:P,CODE!$P$1,FALSE)</f>
        <v>모자</v>
      </c>
      <c r="M158" s="24" t="str">
        <f>VLOOKUP(MID(Q158,1,3),CODE!$B:$G,CODE!D$1,FALSE)</f>
        <v>GRA</v>
      </c>
      <c r="N158" s="24" t="str">
        <f t="shared" si="34"/>
        <v>BA</v>
      </c>
      <c r="O158" s="29" t="str">
        <f>IF(ISERROR(IF(VLOOKUP($N158,CODE!$K:$P,CODE!$O$1,FALSE)="",$M158,$M158&amp;"-"&amp;VLOOKUP($N158,CODE!$K:$P,CODE!$O$1,FALSE)))=TRUE,"",IF(VLOOKUP($N158,CODE!$K:$P,CODE!$O$1,FALSE)="",$M158,$M158&amp;"-"&amp;VLOOKUP($N158,CODE!$K:$P,CODE!$O$1,FALSE)))</f>
        <v>GRA</v>
      </c>
      <c r="P158" s="29" t="str">
        <f t="shared" si="35"/>
        <v>GRABAE3304</v>
      </c>
      <c r="Q158" s="1" t="s">
        <v>950</v>
      </c>
      <c r="R158" s="1" t="s">
        <v>15</v>
      </c>
      <c r="S158" s="26">
        <v>200</v>
      </c>
      <c r="T158" s="26">
        <v>14600000</v>
      </c>
      <c r="U158" s="26">
        <v>3449628.0000000005</v>
      </c>
      <c r="V158" s="26">
        <v>3.847582195160542</v>
      </c>
      <c r="W158" s="26">
        <v>0</v>
      </c>
      <c r="X158" s="26">
        <v>200</v>
      </c>
    </row>
    <row r="159" spans="1:24">
      <c r="A159" s="24" t="str">
        <f t="shared" si="28"/>
        <v>신규</v>
      </c>
      <c r="B159" s="24" t="str">
        <f>IF(COUNTIF(Q$1:Q158,Q159)=0,"최초","리오더")</f>
        <v>최초</v>
      </c>
      <c r="C159" s="24" t="str">
        <f t="shared" si="29"/>
        <v>GRABAE3304</v>
      </c>
      <c r="D159" s="24">
        <f t="shared" si="24"/>
        <v>0.33333333333333331</v>
      </c>
      <c r="E159" s="24" t="str">
        <f t="shared" si="30"/>
        <v/>
      </c>
      <c r="F159" s="24">
        <f t="shared" si="25"/>
        <v>0</v>
      </c>
      <c r="G159" s="24" t="str">
        <f t="shared" si="31"/>
        <v>GRABAE3304NA</v>
      </c>
      <c r="H159" s="24">
        <f t="shared" si="26"/>
        <v>1</v>
      </c>
      <c r="I159" s="24" t="str">
        <f t="shared" si="32"/>
        <v/>
      </c>
      <c r="J159" s="24">
        <f t="shared" si="27"/>
        <v>0</v>
      </c>
      <c r="K159" s="24" t="str">
        <f t="shared" si="33"/>
        <v>E3</v>
      </c>
      <c r="L159" s="24" t="str">
        <f>VLOOKUP(N159,CODE!K:P,CODE!$P$1,FALSE)</f>
        <v>모자</v>
      </c>
      <c r="M159" s="24" t="str">
        <f>VLOOKUP(MID(Q159,1,3),CODE!$B:$G,CODE!D$1,FALSE)</f>
        <v>GRA</v>
      </c>
      <c r="N159" s="24" t="str">
        <f t="shared" si="34"/>
        <v>BA</v>
      </c>
      <c r="O159" s="29" t="str">
        <f>IF(ISERROR(IF(VLOOKUP($N159,CODE!$K:$P,CODE!$O$1,FALSE)="",$M159,$M159&amp;"-"&amp;VLOOKUP($N159,CODE!$K:$P,CODE!$O$1,FALSE)))=TRUE,"",IF(VLOOKUP($N159,CODE!$K:$P,CODE!$O$1,FALSE)="",$M159,$M159&amp;"-"&amp;VLOOKUP($N159,CODE!$K:$P,CODE!$O$1,FALSE)))</f>
        <v>GRA</v>
      </c>
      <c r="P159" s="29" t="str">
        <f t="shared" si="35"/>
        <v>GRABAE3304</v>
      </c>
      <c r="Q159" s="1" t="s">
        <v>951</v>
      </c>
      <c r="R159" s="1" t="s">
        <v>15</v>
      </c>
      <c r="S159" s="26">
        <v>300</v>
      </c>
      <c r="T159" s="26">
        <v>21900000</v>
      </c>
      <c r="U159" s="26">
        <v>5174442.0000000009</v>
      </c>
      <c r="V159" s="26">
        <v>3.847582195160542</v>
      </c>
      <c r="W159" s="26">
        <v>0</v>
      </c>
      <c r="X159" s="26">
        <v>300</v>
      </c>
    </row>
    <row r="160" spans="1:24">
      <c r="A160" s="24" t="str">
        <f t="shared" si="28"/>
        <v>신규</v>
      </c>
      <c r="B160" s="24" t="str">
        <f>IF(COUNTIF(Q$1:Q159,Q160)=0,"최초","리오더")</f>
        <v>최초</v>
      </c>
      <c r="C160" s="24" t="str">
        <f t="shared" si="29"/>
        <v>GRABAE3304</v>
      </c>
      <c r="D160" s="24">
        <f t="shared" si="24"/>
        <v>0.33333333333333331</v>
      </c>
      <c r="E160" s="24" t="str">
        <f t="shared" si="30"/>
        <v/>
      </c>
      <c r="F160" s="24">
        <f t="shared" si="25"/>
        <v>0</v>
      </c>
      <c r="G160" s="24" t="str">
        <f t="shared" si="31"/>
        <v>GRABAE3304BW</v>
      </c>
      <c r="H160" s="24">
        <f t="shared" si="26"/>
        <v>1</v>
      </c>
      <c r="I160" s="24" t="str">
        <f t="shared" si="32"/>
        <v/>
      </c>
      <c r="J160" s="24">
        <f t="shared" si="27"/>
        <v>0</v>
      </c>
      <c r="K160" s="24" t="str">
        <f t="shared" si="33"/>
        <v>E3</v>
      </c>
      <c r="L160" s="24" t="str">
        <f>VLOOKUP(N160,CODE!K:P,CODE!$P$1,FALSE)</f>
        <v>모자</v>
      </c>
      <c r="M160" s="24" t="str">
        <f>VLOOKUP(MID(Q160,1,3),CODE!$B:$G,CODE!D$1,FALSE)</f>
        <v>GRA</v>
      </c>
      <c r="N160" s="24" t="str">
        <f t="shared" si="34"/>
        <v>BA</v>
      </c>
      <c r="O160" s="29" t="str">
        <f>IF(ISERROR(IF(VLOOKUP($N160,CODE!$K:$P,CODE!$O$1,FALSE)="",$M160,$M160&amp;"-"&amp;VLOOKUP($N160,CODE!$K:$P,CODE!$O$1,FALSE)))=TRUE,"",IF(VLOOKUP($N160,CODE!$K:$P,CODE!$O$1,FALSE)="",$M160,$M160&amp;"-"&amp;VLOOKUP($N160,CODE!$K:$P,CODE!$O$1,FALSE)))</f>
        <v>GRA</v>
      </c>
      <c r="P160" s="29" t="str">
        <f t="shared" si="35"/>
        <v>GRABAE3304</v>
      </c>
      <c r="Q160" s="1" t="s">
        <v>952</v>
      </c>
      <c r="R160" s="1" t="s">
        <v>15</v>
      </c>
      <c r="S160" s="26">
        <v>300</v>
      </c>
      <c r="T160" s="26">
        <v>21900000</v>
      </c>
      <c r="U160" s="26">
        <v>5174442.0000000009</v>
      </c>
      <c r="V160" s="26">
        <v>3.847582195160542</v>
      </c>
      <c r="W160" s="26">
        <v>0</v>
      </c>
      <c r="X160" s="26">
        <v>300</v>
      </c>
    </row>
    <row r="161" spans="1:24">
      <c r="A161" s="24" t="str">
        <f t="shared" si="28"/>
        <v>신규</v>
      </c>
      <c r="B161" s="24" t="str">
        <f>IF(COUNTIF(Q$1:Q160,Q161)=0,"최초","리오더")</f>
        <v>최초</v>
      </c>
      <c r="C161" s="24" t="str">
        <f t="shared" si="29"/>
        <v>GRAFAE5305</v>
      </c>
      <c r="D161" s="24">
        <f t="shared" si="24"/>
        <v>0.5</v>
      </c>
      <c r="E161" s="24" t="str">
        <f t="shared" si="30"/>
        <v/>
      </c>
      <c r="F161" s="24">
        <f t="shared" si="25"/>
        <v>0</v>
      </c>
      <c r="G161" s="24" t="str">
        <f t="shared" si="31"/>
        <v>GRAFAE5305BG</v>
      </c>
      <c r="H161" s="24">
        <f t="shared" si="26"/>
        <v>1</v>
      </c>
      <c r="I161" s="24" t="str">
        <f t="shared" si="32"/>
        <v/>
      </c>
      <c r="J161" s="24">
        <f t="shared" si="27"/>
        <v>0</v>
      </c>
      <c r="K161" s="24" t="str">
        <f t="shared" si="33"/>
        <v>E5</v>
      </c>
      <c r="L161" s="24" t="str">
        <f>VLOOKUP(N161,CODE!K:P,CODE!$P$1,FALSE)</f>
        <v>모자</v>
      </c>
      <c r="M161" s="24" t="str">
        <f>VLOOKUP(MID(Q161,1,3),CODE!$B:$G,CODE!D$1,FALSE)</f>
        <v>GRA</v>
      </c>
      <c r="N161" s="24" t="str">
        <f t="shared" si="34"/>
        <v>FA</v>
      </c>
      <c r="O161" s="29" t="str">
        <f>IF(ISERROR(IF(VLOOKUP($N161,CODE!$K:$P,CODE!$O$1,FALSE)="",$M161,$M161&amp;"-"&amp;VLOOKUP($N161,CODE!$K:$P,CODE!$O$1,FALSE)))=TRUE,"",IF(VLOOKUP($N161,CODE!$K:$P,CODE!$O$1,FALSE)="",$M161,$M161&amp;"-"&amp;VLOOKUP($N161,CODE!$K:$P,CODE!$O$1,FALSE)))</f>
        <v>GRA</v>
      </c>
      <c r="P161" s="29" t="str">
        <f t="shared" si="35"/>
        <v>GRAFAE5305</v>
      </c>
      <c r="Q161" s="1" t="s">
        <v>953</v>
      </c>
      <c r="R161" s="1" t="s">
        <v>15</v>
      </c>
      <c r="S161" s="26">
        <v>150</v>
      </c>
      <c r="T161" s="26">
        <v>9750000</v>
      </c>
      <c r="U161" s="26">
        <v>2388204</v>
      </c>
      <c r="V161" s="26">
        <v>3.7114234645098838</v>
      </c>
      <c r="W161" s="26">
        <v>0</v>
      </c>
      <c r="X161" s="26">
        <v>150</v>
      </c>
    </row>
    <row r="162" spans="1:24">
      <c r="A162" s="24" t="str">
        <f t="shared" si="28"/>
        <v>신규</v>
      </c>
      <c r="B162" s="24" t="str">
        <f>IF(COUNTIF(Q$1:Q161,Q162)=0,"최초","리오더")</f>
        <v>최초</v>
      </c>
      <c r="C162" s="24" t="str">
        <f t="shared" si="29"/>
        <v>GRAFAE5305</v>
      </c>
      <c r="D162" s="24">
        <f t="shared" si="24"/>
        <v>0.5</v>
      </c>
      <c r="E162" s="24" t="str">
        <f t="shared" si="30"/>
        <v/>
      </c>
      <c r="F162" s="24">
        <f t="shared" si="25"/>
        <v>0</v>
      </c>
      <c r="G162" s="24" t="str">
        <f t="shared" si="31"/>
        <v>GRAFAE5305BK</v>
      </c>
      <c r="H162" s="24">
        <f t="shared" si="26"/>
        <v>1</v>
      </c>
      <c r="I162" s="24" t="str">
        <f t="shared" si="32"/>
        <v/>
      </c>
      <c r="J162" s="24">
        <f t="shared" si="27"/>
        <v>0</v>
      </c>
      <c r="K162" s="24" t="str">
        <f t="shared" si="33"/>
        <v>E5</v>
      </c>
      <c r="L162" s="24" t="str">
        <f>VLOOKUP(N162,CODE!K:P,CODE!$P$1,FALSE)</f>
        <v>모자</v>
      </c>
      <c r="M162" s="24" t="str">
        <f>VLOOKUP(MID(Q162,1,3),CODE!$B:$G,CODE!D$1,FALSE)</f>
        <v>GRA</v>
      </c>
      <c r="N162" s="24" t="str">
        <f t="shared" si="34"/>
        <v>FA</v>
      </c>
      <c r="O162" s="29" t="str">
        <f>IF(ISERROR(IF(VLOOKUP($N162,CODE!$K:$P,CODE!$O$1,FALSE)="",$M162,$M162&amp;"-"&amp;VLOOKUP($N162,CODE!$K:$P,CODE!$O$1,FALSE)))=TRUE,"",IF(VLOOKUP($N162,CODE!$K:$P,CODE!$O$1,FALSE)="",$M162,$M162&amp;"-"&amp;VLOOKUP($N162,CODE!$K:$P,CODE!$O$1,FALSE)))</f>
        <v>GRA</v>
      </c>
      <c r="P162" s="29" t="str">
        <f t="shared" si="35"/>
        <v>GRAFAE5305</v>
      </c>
      <c r="Q162" s="1" t="s">
        <v>954</v>
      </c>
      <c r="R162" s="1" t="s">
        <v>15</v>
      </c>
      <c r="S162" s="26">
        <v>150</v>
      </c>
      <c r="T162" s="26">
        <v>9750000</v>
      </c>
      <c r="U162" s="26">
        <v>2388204</v>
      </c>
      <c r="V162" s="26">
        <v>3.7114234645098838</v>
      </c>
      <c r="W162" s="26">
        <v>0</v>
      </c>
      <c r="X162" s="26">
        <v>150</v>
      </c>
    </row>
    <row r="163" spans="1:24">
      <c r="A163" s="24" t="str">
        <f t="shared" si="28"/>
        <v>신규</v>
      </c>
      <c r="B163" s="24" t="str">
        <f>IF(COUNTIF(Q$1:Q162,Q163)=0,"최초","리오더")</f>
        <v>최초</v>
      </c>
      <c r="C163" s="24" t="str">
        <f t="shared" si="29"/>
        <v>GRAMIE3306</v>
      </c>
      <c r="D163" s="24">
        <f t="shared" si="24"/>
        <v>0.33333333333333331</v>
      </c>
      <c r="E163" s="24" t="str">
        <f t="shared" si="30"/>
        <v/>
      </c>
      <c r="F163" s="24">
        <f t="shared" si="25"/>
        <v>0</v>
      </c>
      <c r="G163" s="24" t="str">
        <f t="shared" si="31"/>
        <v>GRAMIE3306NY</v>
      </c>
      <c r="H163" s="24">
        <f t="shared" si="26"/>
        <v>1</v>
      </c>
      <c r="I163" s="24" t="str">
        <f t="shared" si="32"/>
        <v/>
      </c>
      <c r="J163" s="24">
        <f t="shared" si="27"/>
        <v>0</v>
      </c>
      <c r="K163" s="24" t="str">
        <f t="shared" si="33"/>
        <v>E3</v>
      </c>
      <c r="L163" s="24" t="str">
        <f>VLOOKUP(N163,CODE!K:P,CODE!$P$1,FALSE)</f>
        <v>모자</v>
      </c>
      <c r="M163" s="24" t="str">
        <f>VLOOKUP(MID(Q163,1,3),CODE!$B:$G,CODE!D$1,FALSE)</f>
        <v>GRA</v>
      </c>
      <c r="N163" s="24" t="str">
        <f t="shared" si="34"/>
        <v>MI</v>
      </c>
      <c r="O163" s="29" t="str">
        <f>IF(ISERROR(IF(VLOOKUP($N163,CODE!$K:$P,CODE!$O$1,FALSE)="",$M163,$M163&amp;"-"&amp;VLOOKUP($N163,CODE!$K:$P,CODE!$O$1,FALSE)))=TRUE,"",IF(VLOOKUP($N163,CODE!$K:$P,CODE!$O$1,FALSE)="",$M163,$M163&amp;"-"&amp;VLOOKUP($N163,CODE!$K:$P,CODE!$O$1,FALSE)))</f>
        <v>GRA</v>
      </c>
      <c r="P163" s="29" t="str">
        <f t="shared" si="35"/>
        <v>GRAMIE3306</v>
      </c>
      <c r="Q163" s="1" t="s">
        <v>955</v>
      </c>
      <c r="R163" s="1" t="s">
        <v>15</v>
      </c>
      <c r="S163" s="26">
        <v>300</v>
      </c>
      <c r="T163" s="26">
        <v>21900000</v>
      </c>
      <c r="U163" s="26">
        <v>5174442.0000000009</v>
      </c>
      <c r="V163" s="26">
        <v>3.847582195160542</v>
      </c>
      <c r="W163" s="26">
        <v>0</v>
      </c>
      <c r="X163" s="26">
        <v>300</v>
      </c>
    </row>
    <row r="164" spans="1:24">
      <c r="A164" s="24" t="str">
        <f t="shared" si="28"/>
        <v>신규</v>
      </c>
      <c r="B164" s="24" t="str">
        <f>IF(COUNTIF(Q$1:Q163,Q164)=0,"최초","리오더")</f>
        <v>최초</v>
      </c>
      <c r="C164" s="24" t="str">
        <f t="shared" si="29"/>
        <v>GRAMIE3306</v>
      </c>
      <c r="D164" s="24">
        <f t="shared" si="24"/>
        <v>0.33333333333333331</v>
      </c>
      <c r="E164" s="24" t="str">
        <f t="shared" si="30"/>
        <v/>
      </c>
      <c r="F164" s="24">
        <f t="shared" si="25"/>
        <v>0</v>
      </c>
      <c r="G164" s="24" t="str">
        <f t="shared" si="31"/>
        <v>GRAMIE3306GY</v>
      </c>
      <c r="H164" s="24">
        <f t="shared" si="26"/>
        <v>1</v>
      </c>
      <c r="I164" s="24" t="str">
        <f t="shared" si="32"/>
        <v/>
      </c>
      <c r="J164" s="24">
        <f t="shared" si="27"/>
        <v>0</v>
      </c>
      <c r="K164" s="24" t="str">
        <f t="shared" si="33"/>
        <v>E3</v>
      </c>
      <c r="L164" s="24" t="str">
        <f>VLOOKUP(N164,CODE!K:P,CODE!$P$1,FALSE)</f>
        <v>모자</v>
      </c>
      <c r="M164" s="24" t="str">
        <f>VLOOKUP(MID(Q164,1,3),CODE!$B:$G,CODE!D$1,FALSE)</f>
        <v>GRA</v>
      </c>
      <c r="N164" s="24" t="str">
        <f t="shared" si="34"/>
        <v>MI</v>
      </c>
      <c r="O164" s="29" t="str">
        <f>IF(ISERROR(IF(VLOOKUP($N164,CODE!$K:$P,CODE!$O$1,FALSE)="",$M164,$M164&amp;"-"&amp;VLOOKUP($N164,CODE!$K:$P,CODE!$O$1,FALSE)))=TRUE,"",IF(VLOOKUP($N164,CODE!$K:$P,CODE!$O$1,FALSE)="",$M164,$M164&amp;"-"&amp;VLOOKUP($N164,CODE!$K:$P,CODE!$O$1,FALSE)))</f>
        <v>GRA</v>
      </c>
      <c r="P164" s="29" t="str">
        <f t="shared" si="35"/>
        <v>GRAMIE3306</v>
      </c>
      <c r="Q164" s="1" t="s">
        <v>956</v>
      </c>
      <c r="R164" s="1" t="s">
        <v>15</v>
      </c>
      <c r="S164" s="26">
        <v>300</v>
      </c>
      <c r="T164" s="26">
        <v>21900000</v>
      </c>
      <c r="U164" s="26">
        <v>5174442.0000000009</v>
      </c>
      <c r="V164" s="26">
        <v>3.847582195160542</v>
      </c>
      <c r="W164" s="26">
        <v>0</v>
      </c>
      <c r="X164" s="26">
        <v>300</v>
      </c>
    </row>
    <row r="165" spans="1:24">
      <c r="A165" s="24" t="str">
        <f t="shared" si="28"/>
        <v>신규</v>
      </c>
      <c r="B165" s="24" t="str">
        <f>IF(COUNTIF(Q$1:Q164,Q165)=0,"최초","리오더")</f>
        <v>최초</v>
      </c>
      <c r="C165" s="24" t="str">
        <f t="shared" si="29"/>
        <v>GRAMIE3306</v>
      </c>
      <c r="D165" s="24">
        <f t="shared" si="24"/>
        <v>0.33333333333333331</v>
      </c>
      <c r="E165" s="24" t="str">
        <f t="shared" si="30"/>
        <v/>
      </c>
      <c r="F165" s="24">
        <f t="shared" si="25"/>
        <v>0</v>
      </c>
      <c r="G165" s="24" t="str">
        <f t="shared" si="31"/>
        <v>GRAMIE3306BK</v>
      </c>
      <c r="H165" s="24">
        <f t="shared" si="26"/>
        <v>1</v>
      </c>
      <c r="I165" s="24" t="str">
        <f t="shared" si="32"/>
        <v/>
      </c>
      <c r="J165" s="24">
        <f t="shared" si="27"/>
        <v>0</v>
      </c>
      <c r="K165" s="24" t="str">
        <f t="shared" si="33"/>
        <v>E3</v>
      </c>
      <c r="L165" s="24" t="str">
        <f>VLOOKUP(N165,CODE!K:P,CODE!$P$1,FALSE)</f>
        <v>모자</v>
      </c>
      <c r="M165" s="24" t="str">
        <f>VLOOKUP(MID(Q165,1,3),CODE!$B:$G,CODE!D$1,FALSE)</f>
        <v>GRA</v>
      </c>
      <c r="N165" s="24" t="str">
        <f t="shared" si="34"/>
        <v>MI</v>
      </c>
      <c r="O165" s="29" t="str">
        <f>IF(ISERROR(IF(VLOOKUP($N165,CODE!$K:$P,CODE!$O$1,FALSE)="",$M165,$M165&amp;"-"&amp;VLOOKUP($N165,CODE!$K:$P,CODE!$O$1,FALSE)))=TRUE,"",IF(VLOOKUP($N165,CODE!$K:$P,CODE!$O$1,FALSE)="",$M165,$M165&amp;"-"&amp;VLOOKUP($N165,CODE!$K:$P,CODE!$O$1,FALSE)))</f>
        <v>GRA</v>
      </c>
      <c r="P165" s="29" t="str">
        <f t="shared" si="35"/>
        <v>GRAMIE3306</v>
      </c>
      <c r="Q165" s="1" t="s">
        <v>957</v>
      </c>
      <c r="R165" s="1" t="s">
        <v>15</v>
      </c>
      <c r="S165" s="26">
        <v>300</v>
      </c>
      <c r="T165" s="26">
        <v>21900000</v>
      </c>
      <c r="U165" s="26">
        <v>5174442.0000000009</v>
      </c>
      <c r="V165" s="26">
        <v>3.847582195160542</v>
      </c>
      <c r="W165" s="26">
        <v>0</v>
      </c>
      <c r="X165" s="26">
        <v>300</v>
      </c>
    </row>
    <row r="166" spans="1:24">
      <c r="A166" s="24" t="str">
        <f t="shared" si="28"/>
        <v>신규</v>
      </c>
      <c r="B166" s="24" t="str">
        <f>IF(COUNTIF(Q$1:Q165,Q166)=0,"최초","리오더")</f>
        <v>최초</v>
      </c>
      <c r="C166" s="24" t="str">
        <f t="shared" si="29"/>
        <v>GRAFAE5307</v>
      </c>
      <c r="D166" s="24">
        <f t="shared" si="24"/>
        <v>0.5</v>
      </c>
      <c r="E166" s="24" t="str">
        <f t="shared" si="30"/>
        <v/>
      </c>
      <c r="F166" s="24">
        <f t="shared" si="25"/>
        <v>0</v>
      </c>
      <c r="G166" s="24" t="str">
        <f t="shared" si="31"/>
        <v>GRAFAE5307BK</v>
      </c>
      <c r="H166" s="24">
        <f t="shared" si="26"/>
        <v>1</v>
      </c>
      <c r="I166" s="24" t="str">
        <f t="shared" si="32"/>
        <v/>
      </c>
      <c r="J166" s="24">
        <f t="shared" si="27"/>
        <v>0</v>
      </c>
      <c r="K166" s="24" t="str">
        <f t="shared" si="33"/>
        <v>E5</v>
      </c>
      <c r="L166" s="24" t="str">
        <f>VLOOKUP(N166,CODE!K:P,CODE!$P$1,FALSE)</f>
        <v>모자</v>
      </c>
      <c r="M166" s="24" t="str">
        <f>VLOOKUP(MID(Q166,1,3),CODE!$B:$G,CODE!D$1,FALSE)</f>
        <v>GRA</v>
      </c>
      <c r="N166" s="24" t="str">
        <f t="shared" si="34"/>
        <v>FA</v>
      </c>
      <c r="O166" s="29" t="str">
        <f>IF(ISERROR(IF(VLOOKUP($N166,CODE!$K:$P,CODE!$O$1,FALSE)="",$M166,$M166&amp;"-"&amp;VLOOKUP($N166,CODE!$K:$P,CODE!$O$1,FALSE)))=TRUE,"",IF(VLOOKUP($N166,CODE!$K:$P,CODE!$O$1,FALSE)="",$M166,$M166&amp;"-"&amp;VLOOKUP($N166,CODE!$K:$P,CODE!$O$1,FALSE)))</f>
        <v>GRA</v>
      </c>
      <c r="P166" s="29" t="str">
        <f t="shared" si="35"/>
        <v>GRAFAE5307</v>
      </c>
      <c r="Q166" s="1" t="s">
        <v>958</v>
      </c>
      <c r="R166" s="1" t="s">
        <v>15</v>
      </c>
      <c r="S166" s="26">
        <v>50</v>
      </c>
      <c r="T166" s="26">
        <v>4950000</v>
      </c>
      <c r="U166" s="26">
        <v>1171989.0000000002</v>
      </c>
      <c r="V166" s="26">
        <v>3.8396264811359142</v>
      </c>
      <c r="W166" s="26">
        <v>0</v>
      </c>
      <c r="X166" s="26">
        <v>50</v>
      </c>
    </row>
    <row r="167" spans="1:24">
      <c r="A167" s="24" t="str">
        <f t="shared" si="28"/>
        <v>신규</v>
      </c>
      <c r="B167" s="24" t="str">
        <f>IF(COUNTIF(Q$1:Q166,Q167)=0,"최초","리오더")</f>
        <v>최초</v>
      </c>
      <c r="C167" s="24" t="str">
        <f t="shared" si="29"/>
        <v>GRAFAE5307</v>
      </c>
      <c r="D167" s="24">
        <f t="shared" si="24"/>
        <v>0.5</v>
      </c>
      <c r="E167" s="24" t="str">
        <f t="shared" si="30"/>
        <v/>
      </c>
      <c r="F167" s="24">
        <f t="shared" si="25"/>
        <v>0</v>
      </c>
      <c r="G167" s="24" t="str">
        <f t="shared" si="31"/>
        <v>GRAFAE5307RE</v>
      </c>
      <c r="H167" s="24">
        <f t="shared" si="26"/>
        <v>1</v>
      </c>
      <c r="I167" s="24" t="str">
        <f t="shared" si="32"/>
        <v/>
      </c>
      <c r="J167" s="24">
        <f t="shared" si="27"/>
        <v>0</v>
      </c>
      <c r="K167" s="24" t="str">
        <f t="shared" si="33"/>
        <v>E5</v>
      </c>
      <c r="L167" s="24" t="str">
        <f>VLOOKUP(N167,CODE!K:P,CODE!$P$1,FALSE)</f>
        <v>모자</v>
      </c>
      <c r="M167" s="24" t="str">
        <f>VLOOKUP(MID(Q167,1,3),CODE!$B:$G,CODE!D$1,FALSE)</f>
        <v>GRA</v>
      </c>
      <c r="N167" s="24" t="str">
        <f t="shared" si="34"/>
        <v>FA</v>
      </c>
      <c r="O167" s="29" t="str">
        <f>IF(ISERROR(IF(VLOOKUP($N167,CODE!$K:$P,CODE!$O$1,FALSE)="",$M167,$M167&amp;"-"&amp;VLOOKUP($N167,CODE!$K:$P,CODE!$O$1,FALSE)))=TRUE,"",IF(VLOOKUP($N167,CODE!$K:$P,CODE!$O$1,FALSE)="",$M167,$M167&amp;"-"&amp;VLOOKUP($N167,CODE!$K:$P,CODE!$O$1,FALSE)))</f>
        <v>GRA</v>
      </c>
      <c r="P167" s="29" t="str">
        <f t="shared" si="35"/>
        <v>GRAFAE5307</v>
      </c>
      <c r="Q167" s="1" t="s">
        <v>959</v>
      </c>
      <c r="R167" s="1" t="s">
        <v>15</v>
      </c>
      <c r="S167" s="26">
        <v>50</v>
      </c>
      <c r="T167" s="26">
        <v>4950000</v>
      </c>
      <c r="U167" s="26">
        <v>1171989.0000000002</v>
      </c>
      <c r="V167" s="26">
        <v>3.8396264811359142</v>
      </c>
      <c r="W167" s="26">
        <v>0</v>
      </c>
      <c r="X167" s="26">
        <v>50</v>
      </c>
    </row>
    <row r="168" spans="1:24">
      <c r="A168" s="24" t="str">
        <f t="shared" si="28"/>
        <v>신규</v>
      </c>
      <c r="B168" s="24" t="str">
        <f>IF(COUNTIF(Q$1:Q167,Q168)=0,"최초","리오더")</f>
        <v>최초</v>
      </c>
      <c r="C168" s="24" t="str">
        <f t="shared" si="29"/>
        <v>GRAFAE3308</v>
      </c>
      <c r="D168" s="24">
        <f t="shared" si="24"/>
        <v>0.5</v>
      </c>
      <c r="E168" s="24" t="str">
        <f t="shared" si="30"/>
        <v/>
      </c>
      <c r="F168" s="24">
        <f t="shared" si="25"/>
        <v>0</v>
      </c>
      <c r="G168" s="24" t="str">
        <f t="shared" si="31"/>
        <v>GRAFAE3308BG</v>
      </c>
      <c r="H168" s="24">
        <f t="shared" si="26"/>
        <v>1</v>
      </c>
      <c r="I168" s="24" t="str">
        <f t="shared" si="32"/>
        <v/>
      </c>
      <c r="J168" s="24">
        <f t="shared" si="27"/>
        <v>0</v>
      </c>
      <c r="K168" s="24" t="str">
        <f t="shared" si="33"/>
        <v>E3</v>
      </c>
      <c r="L168" s="24" t="str">
        <f>VLOOKUP(N168,CODE!K:P,CODE!$P$1,FALSE)</f>
        <v>모자</v>
      </c>
      <c r="M168" s="24" t="str">
        <f>VLOOKUP(MID(Q168,1,3),CODE!$B:$G,CODE!D$1,FALSE)</f>
        <v>GRA</v>
      </c>
      <c r="N168" s="24" t="str">
        <f t="shared" si="34"/>
        <v>FA</v>
      </c>
      <c r="O168" s="29" t="str">
        <f>IF(ISERROR(IF(VLOOKUP($N168,CODE!$K:$P,CODE!$O$1,FALSE)="",$M168,$M168&amp;"-"&amp;VLOOKUP($N168,CODE!$K:$P,CODE!$O$1,FALSE)))=TRUE,"",IF(VLOOKUP($N168,CODE!$K:$P,CODE!$O$1,FALSE)="",$M168,$M168&amp;"-"&amp;VLOOKUP($N168,CODE!$K:$P,CODE!$O$1,FALSE)))</f>
        <v>GRA</v>
      </c>
      <c r="P168" s="29" t="str">
        <f t="shared" si="35"/>
        <v>GRAFAE3308</v>
      </c>
      <c r="Q168" s="1" t="s">
        <v>960</v>
      </c>
      <c r="R168" s="1" t="s">
        <v>15</v>
      </c>
      <c r="S168" s="26">
        <v>100</v>
      </c>
      <c r="T168" s="26">
        <v>8500000</v>
      </c>
      <c r="U168" s="26">
        <v>2034396</v>
      </c>
      <c r="V168" s="26">
        <v>3.7983129770569382</v>
      </c>
      <c r="W168" s="26">
        <v>0</v>
      </c>
      <c r="X168" s="26">
        <v>100</v>
      </c>
    </row>
    <row r="169" spans="1:24">
      <c r="A169" s="24" t="str">
        <f t="shared" si="28"/>
        <v>신규</v>
      </c>
      <c r="B169" s="24" t="str">
        <f>IF(COUNTIF(Q$1:Q168,Q169)=0,"최초","리오더")</f>
        <v>최초</v>
      </c>
      <c r="C169" s="24" t="str">
        <f t="shared" si="29"/>
        <v>GRAFAE3308</v>
      </c>
      <c r="D169" s="24">
        <f t="shared" si="24"/>
        <v>0.5</v>
      </c>
      <c r="E169" s="24" t="str">
        <f t="shared" si="30"/>
        <v/>
      </c>
      <c r="F169" s="24">
        <f t="shared" si="25"/>
        <v>0</v>
      </c>
      <c r="G169" s="24" t="str">
        <f t="shared" si="31"/>
        <v>GRAFAE3308KH</v>
      </c>
      <c r="H169" s="24">
        <f t="shared" si="26"/>
        <v>1</v>
      </c>
      <c r="I169" s="24" t="str">
        <f t="shared" si="32"/>
        <v/>
      </c>
      <c r="J169" s="24">
        <f t="shared" si="27"/>
        <v>0</v>
      </c>
      <c r="K169" s="24" t="str">
        <f t="shared" si="33"/>
        <v>E3</v>
      </c>
      <c r="L169" s="24" t="str">
        <f>VLOOKUP(N169,CODE!K:P,CODE!$P$1,FALSE)</f>
        <v>모자</v>
      </c>
      <c r="M169" s="24" t="str">
        <f>VLOOKUP(MID(Q169,1,3),CODE!$B:$G,CODE!D$1,FALSE)</f>
        <v>GRA</v>
      </c>
      <c r="N169" s="24" t="str">
        <f t="shared" si="34"/>
        <v>FA</v>
      </c>
      <c r="O169" s="29" t="str">
        <f>IF(ISERROR(IF(VLOOKUP($N169,CODE!$K:$P,CODE!$O$1,FALSE)="",$M169,$M169&amp;"-"&amp;VLOOKUP($N169,CODE!$K:$P,CODE!$O$1,FALSE)))=TRUE,"",IF(VLOOKUP($N169,CODE!$K:$P,CODE!$O$1,FALSE)="",$M169,$M169&amp;"-"&amp;VLOOKUP($N169,CODE!$K:$P,CODE!$O$1,FALSE)))</f>
        <v>GRA</v>
      </c>
      <c r="P169" s="29" t="str">
        <f t="shared" si="35"/>
        <v>GRAFAE3308</v>
      </c>
      <c r="Q169" s="1" t="s">
        <v>961</v>
      </c>
      <c r="R169" s="1" t="s">
        <v>15</v>
      </c>
      <c r="S169" s="26">
        <v>100</v>
      </c>
      <c r="T169" s="26">
        <v>8500000</v>
      </c>
      <c r="U169" s="26">
        <v>2034396</v>
      </c>
      <c r="V169" s="26">
        <v>3.7983129770569382</v>
      </c>
      <c r="W169" s="26">
        <v>0</v>
      </c>
      <c r="X169" s="26">
        <v>100</v>
      </c>
    </row>
    <row r="170" spans="1:24">
      <c r="A170" s="24" t="str">
        <f t="shared" si="28"/>
        <v>신규</v>
      </c>
      <c r="B170" s="24" t="str">
        <f>IF(COUNTIF(Q$1:Q169,Q170)=0,"최초","리오더")</f>
        <v>최초</v>
      </c>
      <c r="C170" s="24" t="str">
        <f t="shared" si="29"/>
        <v>GRAFEE3309</v>
      </c>
      <c r="D170" s="24">
        <f t="shared" si="24"/>
        <v>0.5</v>
      </c>
      <c r="E170" s="24" t="str">
        <f t="shared" si="30"/>
        <v/>
      </c>
      <c r="F170" s="24">
        <f t="shared" si="25"/>
        <v>0</v>
      </c>
      <c r="G170" s="24" t="str">
        <f t="shared" si="31"/>
        <v>GRAFEE3309BK</v>
      </c>
      <c r="H170" s="24">
        <f t="shared" si="26"/>
        <v>1</v>
      </c>
      <c r="I170" s="24" t="str">
        <f t="shared" si="32"/>
        <v/>
      </c>
      <c r="J170" s="24">
        <f t="shared" si="27"/>
        <v>0</v>
      </c>
      <c r="K170" s="24" t="str">
        <f t="shared" si="33"/>
        <v>E3</v>
      </c>
      <c r="L170" s="24" t="str">
        <f>VLOOKUP(N170,CODE!K:P,CODE!$P$1,FALSE)</f>
        <v>모자</v>
      </c>
      <c r="M170" s="24" t="str">
        <f>VLOOKUP(MID(Q170,1,3),CODE!$B:$G,CODE!D$1,FALSE)</f>
        <v>GRA</v>
      </c>
      <c r="N170" s="24" t="str">
        <f t="shared" si="34"/>
        <v>FE</v>
      </c>
      <c r="O170" s="29" t="str">
        <f>IF(ISERROR(IF(VLOOKUP($N170,CODE!$K:$P,CODE!$O$1,FALSE)="",$M170,$M170&amp;"-"&amp;VLOOKUP($N170,CODE!$K:$P,CODE!$O$1,FALSE)))=TRUE,"",IF(VLOOKUP($N170,CODE!$K:$P,CODE!$O$1,FALSE)="",$M170,$M170&amp;"-"&amp;VLOOKUP($N170,CODE!$K:$P,CODE!$O$1,FALSE)))</f>
        <v>GRA</v>
      </c>
      <c r="P170" s="29" t="str">
        <f t="shared" si="35"/>
        <v>GRAFEE3309</v>
      </c>
      <c r="Q170" s="1" t="s">
        <v>962</v>
      </c>
      <c r="R170" s="1" t="s">
        <v>15</v>
      </c>
      <c r="S170" s="26">
        <v>200</v>
      </c>
      <c r="T170" s="26">
        <v>17000000</v>
      </c>
      <c r="U170" s="26">
        <v>4068792</v>
      </c>
      <c r="V170" s="26">
        <v>3.7983129770569382</v>
      </c>
      <c r="W170" s="26">
        <v>0</v>
      </c>
      <c r="X170" s="26">
        <v>200</v>
      </c>
    </row>
    <row r="171" spans="1:24">
      <c r="A171" s="24" t="str">
        <f t="shared" si="28"/>
        <v>신규</v>
      </c>
      <c r="B171" s="24" t="str">
        <f>IF(COUNTIF(Q$1:Q170,Q171)=0,"최초","리오더")</f>
        <v>최초</v>
      </c>
      <c r="C171" s="24" t="str">
        <f t="shared" si="29"/>
        <v>GRAFEE3309</v>
      </c>
      <c r="D171" s="24">
        <f t="shared" si="24"/>
        <v>0.5</v>
      </c>
      <c r="E171" s="24" t="str">
        <f t="shared" si="30"/>
        <v/>
      </c>
      <c r="F171" s="24">
        <f t="shared" si="25"/>
        <v>0</v>
      </c>
      <c r="G171" s="24" t="str">
        <f t="shared" si="31"/>
        <v>GRAFEE3309BU</v>
      </c>
      <c r="H171" s="24">
        <f t="shared" si="26"/>
        <v>1</v>
      </c>
      <c r="I171" s="24" t="str">
        <f t="shared" si="32"/>
        <v/>
      </c>
      <c r="J171" s="24">
        <f t="shared" si="27"/>
        <v>0</v>
      </c>
      <c r="K171" s="24" t="str">
        <f t="shared" si="33"/>
        <v>E3</v>
      </c>
      <c r="L171" s="24" t="str">
        <f>VLOOKUP(N171,CODE!K:P,CODE!$P$1,FALSE)</f>
        <v>모자</v>
      </c>
      <c r="M171" s="24" t="str">
        <f>VLOOKUP(MID(Q171,1,3),CODE!$B:$G,CODE!D$1,FALSE)</f>
        <v>GRA</v>
      </c>
      <c r="N171" s="24" t="str">
        <f t="shared" si="34"/>
        <v>FE</v>
      </c>
      <c r="O171" s="29" t="str">
        <f>IF(ISERROR(IF(VLOOKUP($N171,CODE!$K:$P,CODE!$O$1,FALSE)="",$M171,$M171&amp;"-"&amp;VLOOKUP($N171,CODE!$K:$P,CODE!$O$1,FALSE)))=TRUE,"",IF(VLOOKUP($N171,CODE!$K:$P,CODE!$O$1,FALSE)="",$M171,$M171&amp;"-"&amp;VLOOKUP($N171,CODE!$K:$P,CODE!$O$1,FALSE)))</f>
        <v>GRA</v>
      </c>
      <c r="P171" s="29" t="str">
        <f t="shared" si="35"/>
        <v>GRAFEE3309</v>
      </c>
      <c r="Q171" s="1" t="s">
        <v>963</v>
      </c>
      <c r="R171" s="1" t="s">
        <v>15</v>
      </c>
      <c r="S171" s="26">
        <v>150</v>
      </c>
      <c r="T171" s="26">
        <v>12750000</v>
      </c>
      <c r="U171" s="26">
        <v>3051594</v>
      </c>
      <c r="V171" s="26">
        <v>3.7983129770569382</v>
      </c>
      <c r="W171" s="26">
        <v>0</v>
      </c>
      <c r="X171" s="26">
        <v>150</v>
      </c>
    </row>
    <row r="172" spans="1:24">
      <c r="A172" s="24" t="str">
        <f t="shared" si="28"/>
        <v>신규</v>
      </c>
      <c r="B172" s="24" t="str">
        <f>IF(COUNTIF(Q$1:Q171,Q172)=0,"최초","리오더")</f>
        <v>최초</v>
      </c>
      <c r="C172" s="24" t="str">
        <f t="shared" si="29"/>
        <v>GRAFEE3310</v>
      </c>
      <c r="D172" s="24">
        <f t="shared" si="24"/>
        <v>1</v>
      </c>
      <c r="E172" s="24" t="str">
        <f t="shared" si="30"/>
        <v/>
      </c>
      <c r="F172" s="24">
        <f t="shared" si="25"/>
        <v>0</v>
      </c>
      <c r="G172" s="24" t="str">
        <f t="shared" si="31"/>
        <v>GRAFEE3310GY</v>
      </c>
      <c r="H172" s="24">
        <f t="shared" si="26"/>
        <v>1</v>
      </c>
      <c r="I172" s="24" t="str">
        <f t="shared" si="32"/>
        <v/>
      </c>
      <c r="J172" s="24">
        <f t="shared" si="27"/>
        <v>0</v>
      </c>
      <c r="K172" s="24" t="str">
        <f t="shared" si="33"/>
        <v>E3</v>
      </c>
      <c r="L172" s="24" t="str">
        <f>VLOOKUP(N172,CODE!K:P,CODE!$P$1,FALSE)</f>
        <v>모자</v>
      </c>
      <c r="M172" s="24" t="str">
        <f>VLOOKUP(MID(Q172,1,3),CODE!$B:$G,CODE!D$1,FALSE)</f>
        <v>GRA</v>
      </c>
      <c r="N172" s="24" t="str">
        <f t="shared" si="34"/>
        <v>FE</v>
      </c>
      <c r="O172" s="29" t="str">
        <f>IF(ISERROR(IF(VLOOKUP($N172,CODE!$K:$P,CODE!$O$1,FALSE)="",$M172,$M172&amp;"-"&amp;VLOOKUP($N172,CODE!$K:$P,CODE!$O$1,FALSE)))=TRUE,"",IF(VLOOKUP($N172,CODE!$K:$P,CODE!$O$1,FALSE)="",$M172,$M172&amp;"-"&amp;VLOOKUP($N172,CODE!$K:$P,CODE!$O$1,FALSE)))</f>
        <v>GRA</v>
      </c>
      <c r="P172" s="29" t="str">
        <f t="shared" si="35"/>
        <v>GRAFEE3310</v>
      </c>
      <c r="Q172" s="1" t="s">
        <v>964</v>
      </c>
      <c r="R172" s="1" t="s">
        <v>15</v>
      </c>
      <c r="S172" s="26">
        <v>200</v>
      </c>
      <c r="T172" s="26">
        <v>17000000</v>
      </c>
      <c r="U172" s="26">
        <v>4068792</v>
      </c>
      <c r="V172" s="26">
        <v>3.7983129770569382</v>
      </c>
      <c r="W172" s="26">
        <v>0</v>
      </c>
      <c r="X172" s="26">
        <v>200</v>
      </c>
    </row>
    <row r="173" spans="1:24">
      <c r="A173" s="24" t="str">
        <f t="shared" si="28"/>
        <v>신규</v>
      </c>
      <c r="B173" s="24" t="str">
        <f>IF(COUNTIF(Q$1:Q172,Q173)=0,"최초","리오더")</f>
        <v>최초</v>
      </c>
      <c r="C173" s="24" t="str">
        <f t="shared" si="29"/>
        <v>GRAEBE5311</v>
      </c>
      <c r="D173" s="24">
        <f t="shared" si="24"/>
        <v>0.5</v>
      </c>
      <c r="E173" s="24" t="str">
        <f t="shared" si="30"/>
        <v/>
      </c>
      <c r="F173" s="24">
        <f t="shared" si="25"/>
        <v>0</v>
      </c>
      <c r="G173" s="24" t="str">
        <f t="shared" si="31"/>
        <v>GRAEBE5311GR</v>
      </c>
      <c r="H173" s="24">
        <f t="shared" si="26"/>
        <v>1</v>
      </c>
      <c r="I173" s="24" t="str">
        <f t="shared" si="32"/>
        <v/>
      </c>
      <c r="J173" s="24">
        <f t="shared" si="27"/>
        <v>0</v>
      </c>
      <c r="K173" s="24" t="str">
        <f t="shared" si="33"/>
        <v>E5</v>
      </c>
      <c r="L173" s="24" t="str">
        <f>VLOOKUP(N173,CODE!K:P,CODE!$P$1,FALSE)</f>
        <v>모자</v>
      </c>
      <c r="M173" s="24" t="str">
        <f>VLOOKUP(MID(Q173,1,3),CODE!$B:$G,CODE!D$1,FALSE)</f>
        <v>GRA</v>
      </c>
      <c r="N173" s="24" t="str">
        <f t="shared" si="34"/>
        <v>EB</v>
      </c>
      <c r="O173" s="29" t="str">
        <f>IF(ISERROR(IF(VLOOKUP($N173,CODE!$K:$P,CODE!$O$1,FALSE)="",$M173,$M173&amp;"-"&amp;VLOOKUP($N173,CODE!$K:$P,CODE!$O$1,FALSE)))=TRUE,"",IF(VLOOKUP($N173,CODE!$K:$P,CODE!$O$1,FALSE)="",$M173,$M173&amp;"-"&amp;VLOOKUP($N173,CODE!$K:$P,CODE!$O$1,FALSE)))</f>
        <v>GRA</v>
      </c>
      <c r="P173" s="29" t="str">
        <f t="shared" si="35"/>
        <v>GRAEBE5311</v>
      </c>
      <c r="Q173" s="1" t="s">
        <v>965</v>
      </c>
      <c r="R173" s="1" t="s">
        <v>15</v>
      </c>
      <c r="S173" s="26">
        <v>300</v>
      </c>
      <c r="T173" s="26">
        <v>21900000</v>
      </c>
      <c r="U173" s="26">
        <v>5174442.0000000009</v>
      </c>
      <c r="V173" s="26">
        <v>3.847582195160542</v>
      </c>
      <c r="W173" s="26">
        <v>0</v>
      </c>
      <c r="X173" s="26">
        <v>300</v>
      </c>
    </row>
    <row r="174" spans="1:24">
      <c r="A174" s="24" t="str">
        <f t="shared" si="28"/>
        <v>신규</v>
      </c>
      <c r="B174" s="24" t="str">
        <f>IF(COUNTIF(Q$1:Q173,Q174)=0,"최초","리오더")</f>
        <v>최초</v>
      </c>
      <c r="C174" s="24" t="str">
        <f t="shared" si="29"/>
        <v>GRAEBE5311</v>
      </c>
      <c r="D174" s="24">
        <f t="shared" si="24"/>
        <v>0.5</v>
      </c>
      <c r="E174" s="24" t="str">
        <f t="shared" si="30"/>
        <v/>
      </c>
      <c r="F174" s="24">
        <f t="shared" si="25"/>
        <v>0</v>
      </c>
      <c r="G174" s="24" t="str">
        <f t="shared" si="31"/>
        <v>GRAEBE5311NY</v>
      </c>
      <c r="H174" s="24">
        <f t="shared" si="26"/>
        <v>1</v>
      </c>
      <c r="I174" s="24" t="str">
        <f t="shared" si="32"/>
        <v/>
      </c>
      <c r="J174" s="24">
        <f t="shared" si="27"/>
        <v>0</v>
      </c>
      <c r="K174" s="24" t="str">
        <f t="shared" si="33"/>
        <v>E5</v>
      </c>
      <c r="L174" s="24" t="str">
        <f>VLOOKUP(N174,CODE!K:P,CODE!$P$1,FALSE)</f>
        <v>모자</v>
      </c>
      <c r="M174" s="24" t="str">
        <f>VLOOKUP(MID(Q174,1,3),CODE!$B:$G,CODE!D$1,FALSE)</f>
        <v>GRA</v>
      </c>
      <c r="N174" s="24" t="str">
        <f t="shared" si="34"/>
        <v>EB</v>
      </c>
      <c r="O174" s="29" t="str">
        <f>IF(ISERROR(IF(VLOOKUP($N174,CODE!$K:$P,CODE!$O$1,FALSE)="",$M174,$M174&amp;"-"&amp;VLOOKUP($N174,CODE!$K:$P,CODE!$O$1,FALSE)))=TRUE,"",IF(VLOOKUP($N174,CODE!$K:$P,CODE!$O$1,FALSE)="",$M174,$M174&amp;"-"&amp;VLOOKUP($N174,CODE!$K:$P,CODE!$O$1,FALSE)))</f>
        <v>GRA</v>
      </c>
      <c r="P174" s="29" t="str">
        <f t="shared" si="35"/>
        <v>GRAEBE5311</v>
      </c>
      <c r="Q174" s="1" t="s">
        <v>966</v>
      </c>
      <c r="R174" s="1" t="s">
        <v>15</v>
      </c>
      <c r="S174" s="26">
        <v>300</v>
      </c>
      <c r="T174" s="26">
        <v>21900000</v>
      </c>
      <c r="U174" s="26">
        <v>5174442.0000000009</v>
      </c>
      <c r="V174" s="26">
        <v>3.847582195160542</v>
      </c>
      <c r="W174" s="26">
        <v>0</v>
      </c>
      <c r="X174" s="26">
        <v>300</v>
      </c>
    </row>
    <row r="175" spans="1:24">
      <c r="A175" s="24" t="str">
        <f t="shared" si="28"/>
        <v>신규</v>
      </c>
      <c r="B175" s="24" t="str">
        <f>IF(COUNTIF(Q$1:Q174,Q175)=0,"최초","리오더")</f>
        <v>최초</v>
      </c>
      <c r="C175" s="24" t="str">
        <f t="shared" si="29"/>
        <v>GRABEE3312</v>
      </c>
      <c r="D175" s="24">
        <f t="shared" si="24"/>
        <v>0.5</v>
      </c>
      <c r="E175" s="24" t="str">
        <f t="shared" si="30"/>
        <v/>
      </c>
      <c r="F175" s="24">
        <f t="shared" si="25"/>
        <v>0</v>
      </c>
      <c r="G175" s="24" t="str">
        <f t="shared" si="31"/>
        <v>GRABEE3312BG</v>
      </c>
      <c r="H175" s="24">
        <f t="shared" si="26"/>
        <v>1</v>
      </c>
      <c r="I175" s="24" t="str">
        <f t="shared" si="32"/>
        <v/>
      </c>
      <c r="J175" s="24">
        <f t="shared" si="27"/>
        <v>0</v>
      </c>
      <c r="K175" s="24" t="str">
        <f t="shared" si="33"/>
        <v>E3</v>
      </c>
      <c r="L175" s="24" t="str">
        <f>VLOOKUP(N175,CODE!K:P,CODE!$P$1,FALSE)</f>
        <v>모자</v>
      </c>
      <c r="M175" s="24" t="str">
        <f>VLOOKUP(MID(Q175,1,3),CODE!$B:$G,CODE!D$1,FALSE)</f>
        <v>GRA</v>
      </c>
      <c r="N175" s="24" t="str">
        <f t="shared" si="34"/>
        <v>BE</v>
      </c>
      <c r="O175" s="29" t="str">
        <f>IF(ISERROR(IF(VLOOKUP($N175,CODE!$K:$P,CODE!$O$1,FALSE)="",$M175,$M175&amp;"-"&amp;VLOOKUP($N175,CODE!$K:$P,CODE!$O$1,FALSE)))=TRUE,"",IF(VLOOKUP($N175,CODE!$K:$P,CODE!$O$1,FALSE)="",$M175,$M175&amp;"-"&amp;VLOOKUP($N175,CODE!$K:$P,CODE!$O$1,FALSE)))</f>
        <v>GRA</v>
      </c>
      <c r="P175" s="29" t="str">
        <f t="shared" si="35"/>
        <v>GRABEE3312</v>
      </c>
      <c r="Q175" s="1" t="s">
        <v>967</v>
      </c>
      <c r="R175" s="1" t="s">
        <v>15</v>
      </c>
      <c r="S175" s="26">
        <v>20</v>
      </c>
      <c r="T175" s="26">
        <v>2980000</v>
      </c>
      <c r="U175" s="26">
        <v>689925.60000000009</v>
      </c>
      <c r="V175" s="26">
        <v>3.9266421032802792</v>
      </c>
      <c r="W175" s="26">
        <v>0</v>
      </c>
      <c r="X175" s="26">
        <v>20</v>
      </c>
    </row>
    <row r="176" spans="1:24">
      <c r="A176" s="24" t="str">
        <f t="shared" si="28"/>
        <v>신규</v>
      </c>
      <c r="B176" s="24" t="str">
        <f>IF(COUNTIF(Q$1:Q175,Q176)=0,"최초","리오더")</f>
        <v>최초</v>
      </c>
      <c r="C176" s="24" t="str">
        <f t="shared" si="29"/>
        <v>GRABEE3312</v>
      </c>
      <c r="D176" s="24">
        <f t="shared" si="24"/>
        <v>0.5</v>
      </c>
      <c r="E176" s="24" t="str">
        <f t="shared" si="30"/>
        <v/>
      </c>
      <c r="F176" s="24">
        <f t="shared" si="25"/>
        <v>0</v>
      </c>
      <c r="G176" s="24" t="str">
        <f t="shared" si="31"/>
        <v>GRABEE3312ZZ</v>
      </c>
      <c r="H176" s="24">
        <f t="shared" si="26"/>
        <v>1</v>
      </c>
      <c r="I176" s="24" t="str">
        <f t="shared" si="32"/>
        <v/>
      </c>
      <c r="J176" s="24">
        <f t="shared" si="27"/>
        <v>0</v>
      </c>
      <c r="K176" s="24" t="str">
        <f t="shared" si="33"/>
        <v>E3</v>
      </c>
      <c r="L176" s="24" t="str">
        <f>VLOOKUP(N176,CODE!K:P,CODE!$P$1,FALSE)</f>
        <v>모자</v>
      </c>
      <c r="M176" s="24" t="str">
        <f>VLOOKUP(MID(Q176,1,3),CODE!$B:$G,CODE!D$1,FALSE)</f>
        <v>GRA</v>
      </c>
      <c r="N176" s="24" t="str">
        <f t="shared" si="34"/>
        <v>BE</v>
      </c>
      <c r="O176" s="29" t="str">
        <f>IF(ISERROR(IF(VLOOKUP($N176,CODE!$K:$P,CODE!$O$1,FALSE)="",$M176,$M176&amp;"-"&amp;VLOOKUP($N176,CODE!$K:$P,CODE!$O$1,FALSE)))=TRUE,"",IF(VLOOKUP($N176,CODE!$K:$P,CODE!$O$1,FALSE)="",$M176,$M176&amp;"-"&amp;VLOOKUP($N176,CODE!$K:$P,CODE!$O$1,FALSE)))</f>
        <v>GRA</v>
      </c>
      <c r="P176" s="29" t="str">
        <f t="shared" si="35"/>
        <v>GRABEE3312</v>
      </c>
      <c r="Q176" s="1" t="s">
        <v>968</v>
      </c>
      <c r="R176" s="1" t="s">
        <v>15</v>
      </c>
      <c r="S176" s="26">
        <v>20</v>
      </c>
      <c r="T176" s="26">
        <v>2980000</v>
      </c>
      <c r="U176" s="26">
        <v>689925.60000000009</v>
      </c>
      <c r="V176" s="26">
        <v>3.9266421032802792</v>
      </c>
      <c r="W176" s="26">
        <v>0</v>
      </c>
      <c r="X176" s="26">
        <v>20</v>
      </c>
    </row>
    <row r="177" spans="1:24">
      <c r="A177" s="24" t="str">
        <f t="shared" si="28"/>
        <v>신규</v>
      </c>
      <c r="B177" s="24" t="str">
        <f>IF(COUNTIF(Q$1:Q176,Q177)=0,"최초","리오더")</f>
        <v>최초</v>
      </c>
      <c r="C177" s="24" t="str">
        <f t="shared" si="29"/>
        <v>GRABEE3313</v>
      </c>
      <c r="D177" s="24">
        <f t="shared" si="24"/>
        <v>0.33333333333333331</v>
      </c>
      <c r="E177" s="24" t="str">
        <f t="shared" si="30"/>
        <v/>
      </c>
      <c r="F177" s="24">
        <f t="shared" si="25"/>
        <v>0</v>
      </c>
      <c r="G177" s="24" t="str">
        <f t="shared" si="31"/>
        <v>GRABEE3313PK</v>
      </c>
      <c r="H177" s="24">
        <f t="shared" si="26"/>
        <v>1</v>
      </c>
      <c r="I177" s="24" t="str">
        <f t="shared" si="32"/>
        <v/>
      </c>
      <c r="J177" s="24">
        <f t="shared" si="27"/>
        <v>0</v>
      </c>
      <c r="K177" s="24" t="str">
        <f t="shared" si="33"/>
        <v>E3</v>
      </c>
      <c r="L177" s="24" t="str">
        <f>VLOOKUP(N177,CODE!K:P,CODE!$P$1,FALSE)</f>
        <v>모자</v>
      </c>
      <c r="M177" s="24" t="str">
        <f>VLOOKUP(MID(Q177,1,3),CODE!$B:$G,CODE!D$1,FALSE)</f>
        <v>GRA</v>
      </c>
      <c r="N177" s="24" t="str">
        <f t="shared" si="34"/>
        <v>BE</v>
      </c>
      <c r="O177" s="29" t="str">
        <f>IF(ISERROR(IF(VLOOKUP($N177,CODE!$K:$P,CODE!$O$1,FALSE)="",$M177,$M177&amp;"-"&amp;VLOOKUP($N177,CODE!$K:$P,CODE!$O$1,FALSE)))=TRUE,"",IF(VLOOKUP($N177,CODE!$K:$P,CODE!$O$1,FALSE)="",$M177,$M177&amp;"-"&amp;VLOOKUP($N177,CODE!$K:$P,CODE!$O$1,FALSE)))</f>
        <v>GRA</v>
      </c>
      <c r="P177" s="29" t="str">
        <f t="shared" si="35"/>
        <v>GRABEE3313</v>
      </c>
      <c r="Q177" s="1" t="s">
        <v>969</v>
      </c>
      <c r="R177" s="1" t="s">
        <v>15</v>
      </c>
      <c r="S177" s="26">
        <v>20</v>
      </c>
      <c r="T177" s="26">
        <v>1460000</v>
      </c>
      <c r="U177" s="26">
        <v>344962.80000000005</v>
      </c>
      <c r="V177" s="26">
        <v>3.847582195160542</v>
      </c>
      <c r="W177" s="26">
        <v>0</v>
      </c>
      <c r="X177" s="26">
        <v>20</v>
      </c>
    </row>
    <row r="178" spans="1:24">
      <c r="A178" s="24" t="str">
        <f t="shared" si="28"/>
        <v>신규</v>
      </c>
      <c r="B178" s="24" t="str">
        <f>IF(COUNTIF(Q$1:Q177,Q178)=0,"최초","리오더")</f>
        <v>최초</v>
      </c>
      <c r="C178" s="24" t="str">
        <f t="shared" si="29"/>
        <v>GRABEE3313</v>
      </c>
      <c r="D178" s="24">
        <f t="shared" si="24"/>
        <v>0.33333333333333331</v>
      </c>
      <c r="E178" s="24" t="str">
        <f t="shared" si="30"/>
        <v/>
      </c>
      <c r="F178" s="24">
        <f t="shared" si="25"/>
        <v>0</v>
      </c>
      <c r="G178" s="24" t="str">
        <f t="shared" si="31"/>
        <v>GRABEE3313GY</v>
      </c>
      <c r="H178" s="24">
        <f t="shared" si="26"/>
        <v>1</v>
      </c>
      <c r="I178" s="24" t="str">
        <f t="shared" si="32"/>
        <v/>
      </c>
      <c r="J178" s="24">
        <f t="shared" si="27"/>
        <v>0</v>
      </c>
      <c r="K178" s="24" t="str">
        <f t="shared" si="33"/>
        <v>E3</v>
      </c>
      <c r="L178" s="24" t="str">
        <f>VLOOKUP(N178,CODE!K:P,CODE!$P$1,FALSE)</f>
        <v>모자</v>
      </c>
      <c r="M178" s="24" t="str">
        <f>VLOOKUP(MID(Q178,1,3),CODE!$B:$G,CODE!D$1,FALSE)</f>
        <v>GRA</v>
      </c>
      <c r="N178" s="24" t="str">
        <f t="shared" si="34"/>
        <v>BE</v>
      </c>
      <c r="O178" s="29" t="str">
        <f>IF(ISERROR(IF(VLOOKUP($N178,CODE!$K:$P,CODE!$O$1,FALSE)="",$M178,$M178&amp;"-"&amp;VLOOKUP($N178,CODE!$K:$P,CODE!$O$1,FALSE)))=TRUE,"",IF(VLOOKUP($N178,CODE!$K:$P,CODE!$O$1,FALSE)="",$M178,$M178&amp;"-"&amp;VLOOKUP($N178,CODE!$K:$P,CODE!$O$1,FALSE)))</f>
        <v>GRA</v>
      </c>
      <c r="P178" s="29" t="str">
        <f t="shared" si="35"/>
        <v>GRABEE3313</v>
      </c>
      <c r="Q178" s="1" t="s">
        <v>970</v>
      </c>
      <c r="R178" s="1" t="s">
        <v>15</v>
      </c>
      <c r="S178" s="26">
        <v>20</v>
      </c>
      <c r="T178" s="26">
        <v>1460000</v>
      </c>
      <c r="U178" s="26">
        <v>344962.80000000005</v>
      </c>
      <c r="V178" s="26">
        <v>3.847582195160542</v>
      </c>
      <c r="W178" s="26">
        <v>0</v>
      </c>
      <c r="X178" s="26">
        <v>20</v>
      </c>
    </row>
    <row r="179" spans="1:24">
      <c r="A179" s="24" t="str">
        <f t="shared" si="28"/>
        <v>신규</v>
      </c>
      <c r="B179" s="24" t="str">
        <f>IF(COUNTIF(Q$1:Q178,Q179)=0,"최초","리오더")</f>
        <v>최초</v>
      </c>
      <c r="C179" s="24" t="str">
        <f t="shared" si="29"/>
        <v>GRABEE3313</v>
      </c>
      <c r="D179" s="24">
        <f t="shared" si="24"/>
        <v>0.33333333333333331</v>
      </c>
      <c r="E179" s="24" t="str">
        <f t="shared" si="30"/>
        <v/>
      </c>
      <c r="F179" s="24">
        <f t="shared" si="25"/>
        <v>0</v>
      </c>
      <c r="G179" s="24" t="str">
        <f t="shared" si="31"/>
        <v>GRABEE3313BW</v>
      </c>
      <c r="H179" s="24">
        <f t="shared" si="26"/>
        <v>1</v>
      </c>
      <c r="I179" s="24" t="str">
        <f t="shared" si="32"/>
        <v/>
      </c>
      <c r="J179" s="24">
        <f t="shared" si="27"/>
        <v>0</v>
      </c>
      <c r="K179" s="24" t="str">
        <f t="shared" si="33"/>
        <v>E3</v>
      </c>
      <c r="L179" s="24" t="str">
        <f>VLOOKUP(N179,CODE!K:P,CODE!$P$1,FALSE)</f>
        <v>모자</v>
      </c>
      <c r="M179" s="24" t="str">
        <f>VLOOKUP(MID(Q179,1,3),CODE!$B:$G,CODE!D$1,FALSE)</f>
        <v>GRA</v>
      </c>
      <c r="N179" s="24" t="str">
        <f t="shared" si="34"/>
        <v>BE</v>
      </c>
      <c r="O179" s="29" t="str">
        <f>IF(ISERROR(IF(VLOOKUP($N179,CODE!$K:$P,CODE!$O$1,FALSE)="",$M179,$M179&amp;"-"&amp;VLOOKUP($N179,CODE!$K:$P,CODE!$O$1,FALSE)))=TRUE,"",IF(VLOOKUP($N179,CODE!$K:$P,CODE!$O$1,FALSE)="",$M179,$M179&amp;"-"&amp;VLOOKUP($N179,CODE!$K:$P,CODE!$O$1,FALSE)))</f>
        <v>GRA</v>
      </c>
      <c r="P179" s="29" t="str">
        <f t="shared" si="35"/>
        <v>GRABEE3313</v>
      </c>
      <c r="Q179" s="1" t="s">
        <v>971</v>
      </c>
      <c r="R179" s="1" t="s">
        <v>15</v>
      </c>
      <c r="S179" s="26">
        <v>20</v>
      </c>
      <c r="T179" s="26">
        <v>1460000</v>
      </c>
      <c r="U179" s="26">
        <v>344962.80000000005</v>
      </c>
      <c r="V179" s="26">
        <v>3.847582195160542</v>
      </c>
      <c r="W179" s="26">
        <v>0</v>
      </c>
      <c r="X179" s="26">
        <v>20</v>
      </c>
    </row>
    <row r="180" spans="1:24">
      <c r="A180" s="24" t="str">
        <f t="shared" si="28"/>
        <v>러닝</v>
      </c>
      <c r="B180" s="24" t="str">
        <f>IF(COUNTIF(Q$1:Q179,Q180)=0,"최초","리오더")</f>
        <v>최초</v>
      </c>
      <c r="C180" s="24" t="str">
        <f t="shared" si="29"/>
        <v>ELSFIE3620</v>
      </c>
      <c r="D180" s="24">
        <f t="shared" si="24"/>
        <v>0.33333333333333331</v>
      </c>
      <c r="E180" s="24" t="str">
        <f t="shared" si="30"/>
        <v/>
      </c>
      <c r="F180" s="24">
        <f t="shared" si="25"/>
        <v>0</v>
      </c>
      <c r="G180" s="24" t="str">
        <f t="shared" si="31"/>
        <v>ELSFIE3620BK</v>
      </c>
      <c r="H180" s="24">
        <f t="shared" si="26"/>
        <v>1</v>
      </c>
      <c r="I180" s="24" t="str">
        <f t="shared" si="32"/>
        <v/>
      </c>
      <c r="J180" s="24">
        <f t="shared" si="27"/>
        <v>0</v>
      </c>
      <c r="K180" s="24" t="str">
        <f t="shared" si="33"/>
        <v>E3</v>
      </c>
      <c r="L180" s="24" t="str">
        <f>VLOOKUP(N180,CODE!K:P,CODE!$P$1,FALSE)</f>
        <v>모자</v>
      </c>
      <c r="M180" s="24" t="str">
        <f>VLOOKUP(MID(Q180,1,3),CODE!$B:$G,CODE!D$1,FALSE)</f>
        <v>ELS</v>
      </c>
      <c r="N180" s="24" t="str">
        <f t="shared" si="34"/>
        <v>FI</v>
      </c>
      <c r="O180" s="29" t="str">
        <f>IF(ISERROR(IF(VLOOKUP($N180,CODE!$K:$P,CODE!$O$1,FALSE)="",$M180,$M180&amp;"-"&amp;VLOOKUP($N180,CODE!$K:$P,CODE!$O$1,FALSE)))=TRUE,"",IF(VLOOKUP($N180,CODE!$K:$P,CODE!$O$1,FALSE)="",$M180,$M180&amp;"-"&amp;VLOOKUP($N180,CODE!$K:$P,CODE!$O$1,FALSE)))</f>
        <v>ELS</v>
      </c>
      <c r="P180" s="29" t="str">
        <f t="shared" si="35"/>
        <v>ELSFIE3620</v>
      </c>
      <c r="Q180" s="1" t="s">
        <v>972</v>
      </c>
      <c r="R180" s="1" t="s">
        <v>14</v>
      </c>
      <c r="S180" s="26">
        <v>1000</v>
      </c>
      <c r="T180" s="26">
        <v>43000000</v>
      </c>
      <c r="U180" s="26">
        <v>4524500</v>
      </c>
      <c r="V180" s="26">
        <v>8.6398296145229505</v>
      </c>
      <c r="W180" s="26">
        <v>1000</v>
      </c>
      <c r="X180" s="26">
        <v>0</v>
      </c>
    </row>
    <row r="181" spans="1:24">
      <c r="A181" s="24" t="str">
        <f t="shared" si="28"/>
        <v>러닝</v>
      </c>
      <c r="B181" s="24" t="str">
        <f>IF(COUNTIF(Q$1:Q180,Q181)=0,"최초","리오더")</f>
        <v>최초</v>
      </c>
      <c r="C181" s="24" t="str">
        <f t="shared" si="29"/>
        <v>ELSFIE3642</v>
      </c>
      <c r="D181" s="24">
        <f t="shared" si="24"/>
        <v>1</v>
      </c>
      <c r="E181" s="24" t="str">
        <f t="shared" si="30"/>
        <v/>
      </c>
      <c r="F181" s="24">
        <f t="shared" si="25"/>
        <v>0</v>
      </c>
      <c r="G181" s="24" t="str">
        <f t="shared" si="31"/>
        <v>ELSFIE3642BL</v>
      </c>
      <c r="H181" s="24">
        <f t="shared" si="26"/>
        <v>1</v>
      </c>
      <c r="I181" s="24" t="str">
        <f t="shared" si="32"/>
        <v/>
      </c>
      <c r="J181" s="24">
        <f t="shared" si="27"/>
        <v>0</v>
      </c>
      <c r="K181" s="24" t="str">
        <f t="shared" si="33"/>
        <v>E3</v>
      </c>
      <c r="L181" s="24" t="str">
        <f>VLOOKUP(N181,CODE!K:P,CODE!$P$1,FALSE)</f>
        <v>모자</v>
      </c>
      <c r="M181" s="24" t="str">
        <f>VLOOKUP(MID(Q181,1,3),CODE!$B:$G,CODE!D$1,FALSE)</f>
        <v>ELS</v>
      </c>
      <c r="N181" s="24" t="str">
        <f t="shared" si="34"/>
        <v>FI</v>
      </c>
      <c r="O181" s="29" t="str">
        <f>IF(ISERROR(IF(VLOOKUP($N181,CODE!$K:$P,CODE!$O$1,FALSE)="",$M181,$M181&amp;"-"&amp;VLOOKUP($N181,CODE!$K:$P,CODE!$O$1,FALSE)))=TRUE,"",IF(VLOOKUP($N181,CODE!$K:$P,CODE!$O$1,FALSE)="",$M181,$M181&amp;"-"&amp;VLOOKUP($N181,CODE!$K:$P,CODE!$O$1,FALSE)))</f>
        <v>ELS</v>
      </c>
      <c r="P181" s="29" t="str">
        <f t="shared" si="35"/>
        <v>ELSFIE3642</v>
      </c>
      <c r="Q181" s="1" t="s">
        <v>973</v>
      </c>
      <c r="R181" s="1" t="s">
        <v>14</v>
      </c>
      <c r="S181" s="26">
        <v>800</v>
      </c>
      <c r="T181" s="26">
        <v>34400000</v>
      </c>
      <c r="U181" s="26">
        <v>5554456.0000000009</v>
      </c>
      <c r="V181" s="26">
        <v>5.6302052393118727</v>
      </c>
      <c r="W181" s="26">
        <v>700</v>
      </c>
      <c r="X181" s="26">
        <v>0</v>
      </c>
    </row>
    <row r="182" spans="1:24">
      <c r="A182" s="24" t="str">
        <f t="shared" si="28"/>
        <v>러닝</v>
      </c>
      <c r="B182" s="24" t="str">
        <f>IF(COUNTIF(Q$1:Q181,Q182)=0,"최초","리오더")</f>
        <v>최초</v>
      </c>
      <c r="C182" s="24" t="str">
        <f t="shared" si="29"/>
        <v>ELSBAE3007</v>
      </c>
      <c r="D182" s="24">
        <f t="shared" si="24"/>
        <v>1</v>
      </c>
      <c r="E182" s="24" t="str">
        <f t="shared" si="30"/>
        <v/>
      </c>
      <c r="F182" s="24">
        <f t="shared" si="25"/>
        <v>0</v>
      </c>
      <c r="G182" s="24" t="str">
        <f t="shared" si="31"/>
        <v>ELSBAE3007PK</v>
      </c>
      <c r="H182" s="24">
        <f t="shared" si="26"/>
        <v>1</v>
      </c>
      <c r="I182" s="24" t="str">
        <f t="shared" si="32"/>
        <v/>
      </c>
      <c r="J182" s="24">
        <f t="shared" si="27"/>
        <v>0</v>
      </c>
      <c r="K182" s="24" t="str">
        <f t="shared" si="33"/>
        <v>E3</v>
      </c>
      <c r="L182" s="24" t="str">
        <f>VLOOKUP(N182,CODE!K:P,CODE!$P$1,FALSE)</f>
        <v>모자</v>
      </c>
      <c r="M182" s="24" t="str">
        <f>VLOOKUP(MID(Q182,1,3),CODE!$B:$G,CODE!D$1,FALSE)</f>
        <v>ELS</v>
      </c>
      <c r="N182" s="24" t="str">
        <f t="shared" si="34"/>
        <v>BA</v>
      </c>
      <c r="O182" s="29" t="str">
        <f>IF(ISERROR(IF(VLOOKUP($N182,CODE!$K:$P,CODE!$O$1,FALSE)="",$M182,$M182&amp;"-"&amp;VLOOKUP($N182,CODE!$K:$P,CODE!$O$1,FALSE)))=TRUE,"",IF(VLOOKUP($N182,CODE!$K:$P,CODE!$O$1,FALSE)="",$M182,$M182&amp;"-"&amp;VLOOKUP($N182,CODE!$K:$P,CODE!$O$1,FALSE)))</f>
        <v>ELS</v>
      </c>
      <c r="P182" s="29" t="str">
        <f t="shared" si="35"/>
        <v>ELSBAE3007</v>
      </c>
      <c r="Q182" s="1" t="s">
        <v>974</v>
      </c>
      <c r="R182" s="1" t="s">
        <v>14</v>
      </c>
      <c r="S182" s="26">
        <v>700</v>
      </c>
      <c r="T182" s="26">
        <v>34300000</v>
      </c>
      <c r="U182" s="26">
        <v>5460000</v>
      </c>
      <c r="V182" s="26">
        <v>5.7109557109557096</v>
      </c>
      <c r="W182" s="26">
        <v>700</v>
      </c>
      <c r="X182" s="26">
        <v>0</v>
      </c>
    </row>
    <row r="183" spans="1:24">
      <c r="A183" s="24" t="str">
        <f t="shared" si="28"/>
        <v>신규</v>
      </c>
      <c r="B183" s="24" t="str">
        <f>IF(COUNTIF(Q$1:Q182,Q183)=0,"최초","리오더")</f>
        <v>최초</v>
      </c>
      <c r="C183" s="24" t="str">
        <f t="shared" si="29"/>
        <v>WTRMIE5301</v>
      </c>
      <c r="D183" s="24">
        <f t="shared" si="24"/>
        <v>1</v>
      </c>
      <c r="E183" s="24" t="str">
        <f t="shared" si="30"/>
        <v/>
      </c>
      <c r="F183" s="24">
        <f t="shared" si="25"/>
        <v>0</v>
      </c>
      <c r="G183" s="24" t="str">
        <f t="shared" si="31"/>
        <v>WTRMIE5301GY</v>
      </c>
      <c r="H183" s="24">
        <f t="shared" si="26"/>
        <v>1</v>
      </c>
      <c r="I183" s="24" t="str">
        <f t="shared" si="32"/>
        <v/>
      </c>
      <c r="J183" s="24">
        <f t="shared" si="27"/>
        <v>0</v>
      </c>
      <c r="K183" s="24" t="str">
        <f t="shared" si="33"/>
        <v>E5</v>
      </c>
      <c r="L183" s="24" t="str">
        <f>VLOOKUP(N183,CODE!K:P,CODE!$P$1,FALSE)</f>
        <v>모자</v>
      </c>
      <c r="M183" s="24" t="str">
        <f>VLOOKUP(MID(Q183,1,3),CODE!$B:$G,CODE!D$1,FALSE)</f>
        <v>WTR</v>
      </c>
      <c r="N183" s="24" t="str">
        <f t="shared" si="34"/>
        <v>MI</v>
      </c>
      <c r="O183" s="29" t="str">
        <f>IF(ISERROR(IF(VLOOKUP($N183,CODE!$K:$P,CODE!$O$1,FALSE)="",$M183,$M183&amp;"-"&amp;VLOOKUP($N183,CODE!$K:$P,CODE!$O$1,FALSE)))=TRUE,"",IF(VLOOKUP($N183,CODE!$K:$P,CODE!$O$1,FALSE)="",$M183,$M183&amp;"-"&amp;VLOOKUP($N183,CODE!$K:$P,CODE!$O$1,FALSE)))</f>
        <v>WTR</v>
      </c>
      <c r="P183" s="29" t="str">
        <f t="shared" si="35"/>
        <v>WTRMIE5301</v>
      </c>
      <c r="Q183" s="1" t="s">
        <v>975</v>
      </c>
      <c r="R183" s="1" t="s">
        <v>14</v>
      </c>
      <c r="S183" s="26">
        <v>800</v>
      </c>
      <c r="T183" s="26">
        <v>44000000</v>
      </c>
      <c r="U183" s="26">
        <v>5638792.0000000009</v>
      </c>
      <c r="V183" s="26">
        <v>7.0937179452620338</v>
      </c>
      <c r="W183" s="26">
        <v>0</v>
      </c>
      <c r="X183" s="26">
        <v>800</v>
      </c>
    </row>
    <row r="184" spans="1:24">
      <c r="A184" s="24" t="str">
        <f t="shared" si="28"/>
        <v>신규</v>
      </c>
      <c r="B184" s="24" t="str">
        <f>IF(COUNTIF(Q$1:Q183,Q184)=0,"최초","리오더")</f>
        <v>최초</v>
      </c>
      <c r="C184" s="24" t="str">
        <f t="shared" si="29"/>
        <v>WTRMIE5302</v>
      </c>
      <c r="D184" s="24">
        <f t="shared" si="24"/>
        <v>1</v>
      </c>
      <c r="E184" s="24" t="str">
        <f t="shared" si="30"/>
        <v/>
      </c>
      <c r="F184" s="24">
        <f t="shared" si="25"/>
        <v>0</v>
      </c>
      <c r="G184" s="24" t="str">
        <f t="shared" si="31"/>
        <v>WTRMIE5302GY</v>
      </c>
      <c r="H184" s="24">
        <f t="shared" si="26"/>
        <v>1</v>
      </c>
      <c r="I184" s="24" t="str">
        <f t="shared" si="32"/>
        <v/>
      </c>
      <c r="J184" s="24">
        <f t="shared" si="27"/>
        <v>0</v>
      </c>
      <c r="K184" s="24" t="str">
        <f t="shared" si="33"/>
        <v>E5</v>
      </c>
      <c r="L184" s="24" t="str">
        <f>VLOOKUP(N184,CODE!K:P,CODE!$P$1,FALSE)</f>
        <v>모자</v>
      </c>
      <c r="M184" s="24" t="str">
        <f>VLOOKUP(MID(Q184,1,3),CODE!$B:$G,CODE!D$1,FALSE)</f>
        <v>WTR</v>
      </c>
      <c r="N184" s="24" t="str">
        <f t="shared" si="34"/>
        <v>MI</v>
      </c>
      <c r="O184" s="29" t="str">
        <f>IF(ISERROR(IF(VLOOKUP($N184,CODE!$K:$P,CODE!$O$1,FALSE)="",$M184,$M184&amp;"-"&amp;VLOOKUP($N184,CODE!$K:$P,CODE!$O$1,FALSE)))=TRUE,"",IF(VLOOKUP($N184,CODE!$K:$P,CODE!$O$1,FALSE)="",$M184,$M184&amp;"-"&amp;VLOOKUP($N184,CODE!$K:$P,CODE!$O$1,FALSE)))</f>
        <v>WTR</v>
      </c>
      <c r="P184" s="29" t="str">
        <f t="shared" si="35"/>
        <v>WTRMIE5302</v>
      </c>
      <c r="Q184" s="1" t="s">
        <v>976</v>
      </c>
      <c r="R184" s="1" t="s">
        <v>14</v>
      </c>
      <c r="S184" s="26">
        <v>800</v>
      </c>
      <c r="T184" s="26">
        <v>44000000</v>
      </c>
      <c r="U184" s="26">
        <v>6349160.0000000009</v>
      </c>
      <c r="V184" s="26">
        <v>6.300045990335728</v>
      </c>
      <c r="W184" s="26">
        <v>0</v>
      </c>
      <c r="X184" s="26">
        <v>800</v>
      </c>
    </row>
    <row r="185" spans="1:24">
      <c r="A185" s="24" t="str">
        <f t="shared" si="28"/>
        <v>신규</v>
      </c>
      <c r="B185" s="24" t="str">
        <f>IF(COUNTIF(Q$1:Q184,Q185)=0,"최초","리오더")</f>
        <v>최초</v>
      </c>
      <c r="C185" s="24" t="str">
        <f t="shared" si="29"/>
        <v>WTRMIE3303</v>
      </c>
      <c r="D185" s="24">
        <f t="shared" si="24"/>
        <v>1</v>
      </c>
      <c r="E185" s="24" t="str">
        <f t="shared" si="30"/>
        <v/>
      </c>
      <c r="F185" s="24">
        <f t="shared" si="25"/>
        <v>0</v>
      </c>
      <c r="G185" s="24" t="str">
        <f t="shared" si="31"/>
        <v>WTRMIE3303GY</v>
      </c>
      <c r="H185" s="24">
        <f t="shared" si="26"/>
        <v>1</v>
      </c>
      <c r="I185" s="24" t="str">
        <f t="shared" si="32"/>
        <v/>
      </c>
      <c r="J185" s="24">
        <f t="shared" si="27"/>
        <v>0</v>
      </c>
      <c r="K185" s="24" t="str">
        <f t="shared" si="33"/>
        <v>E3</v>
      </c>
      <c r="L185" s="24" t="str">
        <f>VLOOKUP(N185,CODE!K:P,CODE!$P$1,FALSE)</f>
        <v>모자</v>
      </c>
      <c r="M185" s="24" t="str">
        <f>VLOOKUP(MID(Q185,1,3),CODE!$B:$G,CODE!D$1,FALSE)</f>
        <v>WTR</v>
      </c>
      <c r="N185" s="24" t="str">
        <f t="shared" si="34"/>
        <v>MI</v>
      </c>
      <c r="O185" s="29" t="str">
        <f>IF(ISERROR(IF(VLOOKUP($N185,CODE!$K:$P,CODE!$O$1,FALSE)="",$M185,$M185&amp;"-"&amp;VLOOKUP($N185,CODE!$K:$P,CODE!$O$1,FALSE)))=TRUE,"",IF(VLOOKUP($N185,CODE!$K:$P,CODE!$O$1,FALSE)="",$M185,$M185&amp;"-"&amp;VLOOKUP($N185,CODE!$K:$P,CODE!$O$1,FALSE)))</f>
        <v>WTR</v>
      </c>
      <c r="P185" s="29" t="str">
        <f t="shared" si="35"/>
        <v>WTRMIE3303</v>
      </c>
      <c r="Q185" s="1" t="s">
        <v>977</v>
      </c>
      <c r="R185" s="1" t="s">
        <v>14</v>
      </c>
      <c r="S185" s="26">
        <v>800</v>
      </c>
      <c r="T185" s="26">
        <v>44000000</v>
      </c>
      <c r="U185" s="26">
        <v>5921292.0000000009</v>
      </c>
      <c r="V185" s="26">
        <v>6.7552824620032235</v>
      </c>
      <c r="W185" s="26">
        <v>0</v>
      </c>
      <c r="X185" s="26">
        <v>800</v>
      </c>
    </row>
    <row r="186" spans="1:24">
      <c r="A186" s="24" t="str">
        <f t="shared" si="28"/>
        <v>신규</v>
      </c>
      <c r="B186" s="24" t="str">
        <f>IF(COUNTIF(Q$1:Q185,Q186)=0,"최초","리오더")</f>
        <v>최초</v>
      </c>
      <c r="C186" s="24" t="str">
        <f t="shared" si="29"/>
        <v>WTRMIE3304</v>
      </c>
      <c r="D186" s="24">
        <f t="shared" si="24"/>
        <v>1</v>
      </c>
      <c r="E186" s="24" t="str">
        <f t="shared" si="30"/>
        <v/>
      </c>
      <c r="F186" s="24">
        <f t="shared" si="25"/>
        <v>0</v>
      </c>
      <c r="G186" s="24" t="str">
        <f t="shared" si="31"/>
        <v>WTRMIE3304RE</v>
      </c>
      <c r="H186" s="24">
        <f t="shared" si="26"/>
        <v>1</v>
      </c>
      <c r="I186" s="24" t="str">
        <f t="shared" si="32"/>
        <v/>
      </c>
      <c r="J186" s="24">
        <f t="shared" si="27"/>
        <v>0</v>
      </c>
      <c r="K186" s="24" t="str">
        <f t="shared" si="33"/>
        <v>E3</v>
      </c>
      <c r="L186" s="24" t="str">
        <f>VLOOKUP(N186,CODE!K:P,CODE!$P$1,FALSE)</f>
        <v>모자</v>
      </c>
      <c r="M186" s="24" t="str">
        <f>VLOOKUP(MID(Q186,1,3),CODE!$B:$G,CODE!D$1,FALSE)</f>
        <v>WTR</v>
      </c>
      <c r="N186" s="24" t="str">
        <f t="shared" si="34"/>
        <v>MI</v>
      </c>
      <c r="O186" s="29" t="str">
        <f>IF(ISERROR(IF(VLOOKUP($N186,CODE!$K:$P,CODE!$O$1,FALSE)="",$M186,$M186&amp;"-"&amp;VLOOKUP($N186,CODE!$K:$P,CODE!$O$1,FALSE)))=TRUE,"",IF(VLOOKUP($N186,CODE!$K:$P,CODE!$O$1,FALSE)="",$M186,$M186&amp;"-"&amp;VLOOKUP($N186,CODE!$K:$P,CODE!$O$1,FALSE)))</f>
        <v>WTR</v>
      </c>
      <c r="P186" s="29" t="str">
        <f t="shared" si="35"/>
        <v>WTRMIE3304</v>
      </c>
      <c r="Q186" s="1" t="s">
        <v>978</v>
      </c>
      <c r="R186" s="1" t="s">
        <v>14</v>
      </c>
      <c r="S186" s="26">
        <v>600</v>
      </c>
      <c r="T186" s="26">
        <v>33000000</v>
      </c>
      <c r="U186" s="26">
        <v>3117540.0000000005</v>
      </c>
      <c r="V186" s="26">
        <v>9.6229719586597096</v>
      </c>
      <c r="W186" s="26">
        <v>0</v>
      </c>
      <c r="X186" s="26">
        <v>600</v>
      </c>
    </row>
    <row r="187" spans="1:24">
      <c r="A187" s="24" t="str">
        <f t="shared" si="28"/>
        <v>신규</v>
      </c>
      <c r="B187" s="24" t="str">
        <f>IF(COUNTIF(Q$1:Q186,Q187)=0,"최초","리오더")</f>
        <v>최초</v>
      </c>
      <c r="C187" s="24" t="str">
        <f t="shared" si="29"/>
        <v>WTRTPE5305</v>
      </c>
      <c r="D187" s="24">
        <f t="shared" si="24"/>
        <v>1</v>
      </c>
      <c r="E187" s="24" t="str">
        <f t="shared" si="30"/>
        <v/>
      </c>
      <c r="F187" s="24">
        <f t="shared" si="25"/>
        <v>0</v>
      </c>
      <c r="G187" s="24" t="str">
        <f t="shared" si="31"/>
        <v>WTRTPE5305GY</v>
      </c>
      <c r="H187" s="24">
        <f t="shared" si="26"/>
        <v>1</v>
      </c>
      <c r="I187" s="24" t="str">
        <f t="shared" si="32"/>
        <v/>
      </c>
      <c r="J187" s="24">
        <f t="shared" si="27"/>
        <v>0</v>
      </c>
      <c r="K187" s="24" t="str">
        <f t="shared" si="33"/>
        <v>E5</v>
      </c>
      <c r="L187" s="24" t="str">
        <f>VLOOKUP(N187,CODE!K:P,CODE!$P$1,FALSE)</f>
        <v>모자</v>
      </c>
      <c r="M187" s="24" t="str">
        <f>VLOOKUP(MID(Q187,1,3),CODE!$B:$G,CODE!D$1,FALSE)</f>
        <v>WTR</v>
      </c>
      <c r="N187" s="24" t="str">
        <f t="shared" si="34"/>
        <v>TP</v>
      </c>
      <c r="O187" s="29" t="str">
        <f>IF(ISERROR(IF(VLOOKUP($N187,CODE!$K:$P,CODE!$O$1,FALSE)="",$M187,$M187&amp;"-"&amp;VLOOKUP($N187,CODE!$K:$P,CODE!$O$1,FALSE)))=TRUE,"",IF(VLOOKUP($N187,CODE!$K:$P,CODE!$O$1,FALSE)="",$M187,$M187&amp;"-"&amp;VLOOKUP($N187,CODE!$K:$P,CODE!$O$1,FALSE)))</f>
        <v>WTR</v>
      </c>
      <c r="P187" s="29" t="str">
        <f t="shared" si="35"/>
        <v>WTRTPE5305</v>
      </c>
      <c r="Q187" s="1" t="s">
        <v>979</v>
      </c>
      <c r="R187" s="1" t="s">
        <v>14</v>
      </c>
      <c r="S187" s="26">
        <v>400</v>
      </c>
      <c r="T187" s="26">
        <v>31600000</v>
      </c>
      <c r="U187" s="26">
        <v>5948280</v>
      </c>
      <c r="V187" s="26">
        <v>4.8295091568104933</v>
      </c>
      <c r="W187" s="26">
        <v>0</v>
      </c>
      <c r="X187" s="26">
        <v>400</v>
      </c>
    </row>
    <row r="188" spans="1:24">
      <c r="A188" s="24" t="str">
        <f t="shared" si="28"/>
        <v>신규</v>
      </c>
      <c r="B188" s="24" t="str">
        <f>IF(COUNTIF(Q$1:Q187,Q188)=0,"최초","리오더")</f>
        <v>최초</v>
      </c>
      <c r="C188" s="24" t="str">
        <f t="shared" si="29"/>
        <v>WTRERE5306</v>
      </c>
      <c r="D188" s="24">
        <f t="shared" si="24"/>
        <v>1</v>
      </c>
      <c r="E188" s="24" t="str">
        <f t="shared" si="30"/>
        <v/>
      </c>
      <c r="F188" s="24">
        <f t="shared" si="25"/>
        <v>0</v>
      </c>
      <c r="G188" s="24" t="str">
        <f t="shared" si="31"/>
        <v>WTRERE5306OR</v>
      </c>
      <c r="H188" s="24">
        <f t="shared" si="26"/>
        <v>1</v>
      </c>
      <c r="I188" s="24" t="str">
        <f t="shared" si="32"/>
        <v/>
      </c>
      <c r="J188" s="24">
        <f t="shared" si="27"/>
        <v>0</v>
      </c>
      <c r="K188" s="24" t="str">
        <f t="shared" si="33"/>
        <v>E5</v>
      </c>
      <c r="L188" s="24" t="str">
        <f>VLOOKUP(N188,CODE!K:P,CODE!$P$1,FALSE)</f>
        <v>모자</v>
      </c>
      <c r="M188" s="24" t="str">
        <f>VLOOKUP(MID(Q188,1,3),CODE!$B:$G,CODE!D$1,FALSE)</f>
        <v>WTR</v>
      </c>
      <c r="N188" s="24" t="str">
        <f t="shared" si="34"/>
        <v>ER</v>
      </c>
      <c r="O188" s="29" t="str">
        <f>IF(ISERROR(IF(VLOOKUP($N188,CODE!$K:$P,CODE!$O$1,FALSE)="",$M188,$M188&amp;"-"&amp;VLOOKUP($N188,CODE!$K:$P,CODE!$O$1,FALSE)))=TRUE,"",IF(VLOOKUP($N188,CODE!$K:$P,CODE!$O$1,FALSE)="",$M188,$M188&amp;"-"&amp;VLOOKUP($N188,CODE!$K:$P,CODE!$O$1,FALSE)))</f>
        <v>WTR</v>
      </c>
      <c r="P188" s="29" t="str">
        <f t="shared" si="35"/>
        <v>WTRERE5306</v>
      </c>
      <c r="Q188" s="1" t="s">
        <v>980</v>
      </c>
      <c r="R188" s="1" t="s">
        <v>14</v>
      </c>
      <c r="S188" s="26">
        <v>500</v>
      </c>
      <c r="T188" s="26">
        <v>32500000</v>
      </c>
      <c r="U188" s="26">
        <v>7950000</v>
      </c>
      <c r="V188" s="26">
        <v>3.7164093767867352</v>
      </c>
      <c r="W188" s="26">
        <v>0</v>
      </c>
      <c r="X188" s="26">
        <v>500</v>
      </c>
    </row>
    <row r="189" spans="1:24">
      <c r="A189" s="24" t="str">
        <f t="shared" si="28"/>
        <v>신규</v>
      </c>
      <c r="B189" s="24" t="str">
        <f>IF(COUNTIF(Q$1:Q188,Q189)=0,"최초","리오더")</f>
        <v>최초</v>
      </c>
      <c r="C189" s="24" t="str">
        <f t="shared" si="29"/>
        <v>WTRERE5806</v>
      </c>
      <c r="D189" s="24">
        <f t="shared" si="24"/>
        <v>1</v>
      </c>
      <c r="E189" s="24" t="str">
        <f t="shared" si="30"/>
        <v/>
      </c>
      <c r="F189" s="24">
        <f t="shared" si="25"/>
        <v>0</v>
      </c>
      <c r="G189" s="24" t="str">
        <f t="shared" si="31"/>
        <v>WTRERE5806OR</v>
      </c>
      <c r="H189" s="24">
        <f t="shared" si="26"/>
        <v>1</v>
      </c>
      <c r="I189" s="24" t="str">
        <f t="shared" si="32"/>
        <v/>
      </c>
      <c r="J189" s="24">
        <f t="shared" si="27"/>
        <v>0</v>
      </c>
      <c r="K189" s="24" t="str">
        <f t="shared" si="33"/>
        <v>E5</v>
      </c>
      <c r="L189" s="24" t="str">
        <f>VLOOKUP(N189,CODE!K:P,CODE!$P$1,FALSE)</f>
        <v>모자</v>
      </c>
      <c r="M189" s="24" t="str">
        <f>VLOOKUP(MID(Q189,1,3),CODE!$B:$G,CODE!D$1,FALSE)</f>
        <v>WTR</v>
      </c>
      <c r="N189" s="24" t="str">
        <f t="shared" si="34"/>
        <v>ER</v>
      </c>
      <c r="O189" s="29" t="str">
        <f>IF(ISERROR(IF(VLOOKUP($N189,CODE!$K:$P,CODE!$O$1,FALSE)="",$M189,$M189&amp;"-"&amp;VLOOKUP($N189,CODE!$K:$P,CODE!$O$1,FALSE)))=TRUE,"",IF(VLOOKUP($N189,CODE!$K:$P,CODE!$O$1,FALSE)="",$M189,$M189&amp;"-"&amp;VLOOKUP($N189,CODE!$K:$P,CODE!$O$1,FALSE)))</f>
        <v>WTR</v>
      </c>
      <c r="P189" s="29" t="str">
        <f t="shared" si="35"/>
        <v>WTRERE5806</v>
      </c>
      <c r="Q189" s="1" t="s">
        <v>981</v>
      </c>
      <c r="R189" s="1" t="s">
        <v>14</v>
      </c>
      <c r="S189" s="26">
        <v>300</v>
      </c>
      <c r="T189" s="26">
        <v>17700000</v>
      </c>
      <c r="U189" s="26">
        <v>4620000</v>
      </c>
      <c r="V189" s="26">
        <v>3.4828807556080283</v>
      </c>
      <c r="W189" s="26">
        <v>0</v>
      </c>
      <c r="X189" s="26">
        <v>300</v>
      </c>
    </row>
    <row r="190" spans="1:24">
      <c r="A190" s="24" t="str">
        <f t="shared" si="28"/>
        <v>신규</v>
      </c>
      <c r="B190" s="24" t="str">
        <f>IF(COUNTIF(Q$1:Q189,Q190)=0,"최초","리오더")</f>
        <v>최초</v>
      </c>
      <c r="C190" s="24" t="str">
        <f t="shared" si="29"/>
        <v>WTRBAE3307</v>
      </c>
      <c r="D190" s="24">
        <f t="shared" si="24"/>
        <v>1</v>
      </c>
      <c r="E190" s="24" t="str">
        <f t="shared" si="30"/>
        <v/>
      </c>
      <c r="F190" s="24">
        <f t="shared" si="25"/>
        <v>0</v>
      </c>
      <c r="G190" s="24" t="str">
        <f t="shared" si="31"/>
        <v>WTRBAE3307BL</v>
      </c>
      <c r="H190" s="24">
        <f t="shared" si="26"/>
        <v>1</v>
      </c>
      <c r="I190" s="24" t="str">
        <f t="shared" si="32"/>
        <v/>
      </c>
      <c r="J190" s="24">
        <f t="shared" si="27"/>
        <v>0</v>
      </c>
      <c r="K190" s="24" t="str">
        <f t="shared" si="33"/>
        <v>E3</v>
      </c>
      <c r="L190" s="24" t="str">
        <f>VLOOKUP(N190,CODE!K:P,CODE!$P$1,FALSE)</f>
        <v>모자</v>
      </c>
      <c r="M190" s="24" t="str">
        <f>VLOOKUP(MID(Q190,1,3),CODE!$B:$G,CODE!D$1,FALSE)</f>
        <v>WTR</v>
      </c>
      <c r="N190" s="24" t="str">
        <f t="shared" si="34"/>
        <v>BA</v>
      </c>
      <c r="O190" s="29" t="str">
        <f>IF(ISERROR(IF(VLOOKUP($N190,CODE!$K:$P,CODE!$O$1,FALSE)="",$M190,$M190&amp;"-"&amp;VLOOKUP($N190,CODE!$K:$P,CODE!$O$1,FALSE)))=TRUE,"",IF(VLOOKUP($N190,CODE!$K:$P,CODE!$O$1,FALSE)="",$M190,$M190&amp;"-"&amp;VLOOKUP($N190,CODE!$K:$P,CODE!$O$1,FALSE)))</f>
        <v>WTR</v>
      </c>
      <c r="P190" s="29" t="str">
        <f t="shared" si="35"/>
        <v>WTRBAE3307</v>
      </c>
      <c r="Q190" s="1" t="s">
        <v>982</v>
      </c>
      <c r="R190" s="1" t="s">
        <v>14</v>
      </c>
      <c r="S190" s="26">
        <v>600</v>
      </c>
      <c r="T190" s="26">
        <v>39000000</v>
      </c>
      <c r="U190" s="26">
        <v>9420000</v>
      </c>
      <c r="V190" s="26">
        <v>3.7637521713954833</v>
      </c>
      <c r="W190" s="26">
        <v>0</v>
      </c>
      <c r="X190" s="26">
        <v>600</v>
      </c>
    </row>
    <row r="191" spans="1:24">
      <c r="A191" s="24" t="str">
        <f t="shared" si="28"/>
        <v>신규</v>
      </c>
      <c r="B191" s="24" t="str">
        <f>IF(COUNTIF(Q$1:Q190,Q191)=0,"최초","리오더")</f>
        <v>최초</v>
      </c>
      <c r="C191" s="24" t="str">
        <f t="shared" si="29"/>
        <v>WTRERE5308</v>
      </c>
      <c r="D191" s="24">
        <f t="shared" si="24"/>
        <v>1</v>
      </c>
      <c r="E191" s="24" t="str">
        <f t="shared" si="30"/>
        <v/>
      </c>
      <c r="F191" s="24">
        <f t="shared" si="25"/>
        <v>0</v>
      </c>
      <c r="G191" s="24" t="str">
        <f t="shared" si="31"/>
        <v>WTRERE5308GR</v>
      </c>
      <c r="H191" s="24">
        <f t="shared" si="26"/>
        <v>1</v>
      </c>
      <c r="I191" s="24" t="str">
        <f t="shared" si="32"/>
        <v/>
      </c>
      <c r="J191" s="24">
        <f t="shared" si="27"/>
        <v>0</v>
      </c>
      <c r="K191" s="24" t="str">
        <f t="shared" si="33"/>
        <v>E5</v>
      </c>
      <c r="L191" s="24" t="str">
        <f>VLOOKUP(N191,CODE!K:P,CODE!$P$1,FALSE)</f>
        <v>모자</v>
      </c>
      <c r="M191" s="24" t="str">
        <f>VLOOKUP(MID(Q191,1,3),CODE!$B:$G,CODE!D$1,FALSE)</f>
        <v>WTR</v>
      </c>
      <c r="N191" s="24" t="str">
        <f t="shared" si="34"/>
        <v>ER</v>
      </c>
      <c r="O191" s="29" t="str">
        <f>IF(ISERROR(IF(VLOOKUP($N191,CODE!$K:$P,CODE!$O$1,FALSE)="",$M191,$M191&amp;"-"&amp;VLOOKUP($N191,CODE!$K:$P,CODE!$O$1,FALSE)))=TRUE,"",IF(VLOOKUP($N191,CODE!$K:$P,CODE!$O$1,FALSE)="",$M191,$M191&amp;"-"&amp;VLOOKUP($N191,CODE!$K:$P,CODE!$O$1,FALSE)))</f>
        <v>WTR</v>
      </c>
      <c r="P191" s="29" t="str">
        <f t="shared" si="35"/>
        <v>WTRERE5308</v>
      </c>
      <c r="Q191" s="1" t="s">
        <v>983</v>
      </c>
      <c r="R191" s="1" t="s">
        <v>14</v>
      </c>
      <c r="S191" s="26">
        <v>500</v>
      </c>
      <c r="T191" s="26">
        <v>34500000</v>
      </c>
      <c r="U191" s="26">
        <v>8350000</v>
      </c>
      <c r="V191" s="26">
        <v>3.7561241154055525</v>
      </c>
      <c r="W191" s="26">
        <v>0</v>
      </c>
      <c r="X191" s="26">
        <v>500</v>
      </c>
    </row>
    <row r="192" spans="1:24">
      <c r="A192" s="24" t="str">
        <f t="shared" si="28"/>
        <v>신규</v>
      </c>
      <c r="B192" s="24" t="str">
        <f>IF(COUNTIF(Q$1:Q191,Q192)=0,"최초","리오더")</f>
        <v>최초</v>
      </c>
      <c r="C192" s="24" t="str">
        <f t="shared" si="29"/>
        <v>WTRERE5309</v>
      </c>
      <c r="D192" s="24">
        <f t="shared" si="24"/>
        <v>1</v>
      </c>
      <c r="E192" s="24" t="str">
        <f t="shared" si="30"/>
        <v/>
      </c>
      <c r="F192" s="24">
        <f t="shared" si="25"/>
        <v>0</v>
      </c>
      <c r="G192" s="24" t="str">
        <f t="shared" si="31"/>
        <v>WTRERE5309BL</v>
      </c>
      <c r="H192" s="24">
        <f t="shared" si="26"/>
        <v>1</v>
      </c>
      <c r="I192" s="24" t="str">
        <f t="shared" si="32"/>
        <v/>
      </c>
      <c r="J192" s="24">
        <f t="shared" si="27"/>
        <v>0</v>
      </c>
      <c r="K192" s="24" t="str">
        <f t="shared" si="33"/>
        <v>E5</v>
      </c>
      <c r="L192" s="24" t="str">
        <f>VLOOKUP(N192,CODE!K:P,CODE!$P$1,FALSE)</f>
        <v>모자</v>
      </c>
      <c r="M192" s="24" t="str">
        <f>VLOOKUP(MID(Q192,1,3),CODE!$B:$G,CODE!D$1,FALSE)</f>
        <v>WTR</v>
      </c>
      <c r="N192" s="24" t="str">
        <f t="shared" si="34"/>
        <v>ER</v>
      </c>
      <c r="O192" s="29" t="str">
        <f>IF(ISERROR(IF(VLOOKUP($N192,CODE!$K:$P,CODE!$O$1,FALSE)="",$M192,$M192&amp;"-"&amp;VLOOKUP($N192,CODE!$K:$P,CODE!$O$1,FALSE)))=TRUE,"",IF(VLOOKUP($N192,CODE!$K:$P,CODE!$O$1,FALSE)="",$M192,$M192&amp;"-"&amp;VLOOKUP($N192,CODE!$K:$P,CODE!$O$1,FALSE)))</f>
        <v>WTR</v>
      </c>
      <c r="P192" s="29" t="str">
        <f t="shared" si="35"/>
        <v>WTRERE5309</v>
      </c>
      <c r="Q192" s="1" t="s">
        <v>984</v>
      </c>
      <c r="R192" s="1" t="s">
        <v>14</v>
      </c>
      <c r="S192" s="26">
        <v>600</v>
      </c>
      <c r="T192" s="26">
        <v>41400000</v>
      </c>
      <c r="U192" s="26">
        <v>10020000</v>
      </c>
      <c r="V192" s="26">
        <v>3.7561241154055525</v>
      </c>
      <c r="W192" s="26">
        <v>0</v>
      </c>
      <c r="X192" s="26">
        <v>600</v>
      </c>
    </row>
    <row r="193" spans="1:24">
      <c r="A193" s="24" t="str">
        <f t="shared" si="28"/>
        <v>신규</v>
      </c>
      <c r="B193" s="24" t="str">
        <f>IF(COUNTIF(Q$1:Q192,Q193)=0,"최초","리오더")</f>
        <v>최초</v>
      </c>
      <c r="C193" s="24" t="str">
        <f t="shared" si="29"/>
        <v>WTRMIE3310</v>
      </c>
      <c r="D193" s="24">
        <f t="shared" si="24"/>
        <v>1</v>
      </c>
      <c r="E193" s="24" t="str">
        <f t="shared" si="30"/>
        <v/>
      </c>
      <c r="F193" s="24">
        <f t="shared" si="25"/>
        <v>0</v>
      </c>
      <c r="G193" s="24" t="str">
        <f t="shared" si="31"/>
        <v>WTRMIE3310NY</v>
      </c>
      <c r="H193" s="24">
        <f t="shared" si="26"/>
        <v>1</v>
      </c>
      <c r="I193" s="24" t="str">
        <f t="shared" si="32"/>
        <v/>
      </c>
      <c r="J193" s="24">
        <f t="shared" si="27"/>
        <v>0</v>
      </c>
      <c r="K193" s="24" t="str">
        <f t="shared" si="33"/>
        <v>E3</v>
      </c>
      <c r="L193" s="24" t="str">
        <f>VLOOKUP(N193,CODE!K:P,CODE!$P$1,FALSE)</f>
        <v>모자</v>
      </c>
      <c r="M193" s="24" t="str">
        <f>VLOOKUP(MID(Q193,1,3),CODE!$B:$G,CODE!D$1,FALSE)</f>
        <v>WTR</v>
      </c>
      <c r="N193" s="24" t="str">
        <f t="shared" si="34"/>
        <v>MI</v>
      </c>
      <c r="O193" s="29" t="str">
        <f>IF(ISERROR(IF(VLOOKUP($N193,CODE!$K:$P,CODE!$O$1,FALSE)="",$M193,$M193&amp;"-"&amp;VLOOKUP($N193,CODE!$K:$P,CODE!$O$1,FALSE)))=TRUE,"",IF(VLOOKUP($N193,CODE!$K:$P,CODE!$O$1,FALSE)="",$M193,$M193&amp;"-"&amp;VLOOKUP($N193,CODE!$K:$P,CODE!$O$1,FALSE)))</f>
        <v>WTR</v>
      </c>
      <c r="P193" s="29" t="str">
        <f t="shared" si="35"/>
        <v>WTRMIE3310</v>
      </c>
      <c r="Q193" s="1" t="s">
        <v>985</v>
      </c>
      <c r="R193" s="1" t="s">
        <v>14</v>
      </c>
      <c r="S193" s="26">
        <v>600</v>
      </c>
      <c r="T193" s="26">
        <v>35400000</v>
      </c>
      <c r="U193" s="26">
        <v>7680000</v>
      </c>
      <c r="V193" s="26">
        <v>4.1903409090909092</v>
      </c>
      <c r="W193" s="26">
        <v>0</v>
      </c>
      <c r="X193" s="26">
        <v>600</v>
      </c>
    </row>
    <row r="194" spans="1:24">
      <c r="A194" s="24" t="str">
        <f t="shared" si="28"/>
        <v>신규</v>
      </c>
      <c r="B194" s="24" t="str">
        <f>IF(COUNTIF(Q$1:Q193,Q194)=0,"최초","리오더")</f>
        <v>최초</v>
      </c>
      <c r="C194" s="24" t="str">
        <f t="shared" si="29"/>
        <v>WTRERE5311</v>
      </c>
      <c r="D194" s="24">
        <f t="shared" ref="D194:D257" si="36">IF(C194="",0,1/COUNTIF(C:C,C194))</f>
        <v>1</v>
      </c>
      <c r="E194" s="24" t="str">
        <f t="shared" si="30"/>
        <v/>
      </c>
      <c r="F194" s="24">
        <f t="shared" ref="F194:F257" si="37">IF(E194="",0,1/COUNTIF(E:E,E194))</f>
        <v>0</v>
      </c>
      <c r="G194" s="24" t="str">
        <f t="shared" si="31"/>
        <v>WTRERE5311KH</v>
      </c>
      <c r="H194" s="24">
        <f t="shared" ref="H194:H257" si="38">IF(G194="",0,1/COUNTIF(G:G,G194))</f>
        <v>1</v>
      </c>
      <c r="I194" s="24" t="str">
        <f t="shared" si="32"/>
        <v/>
      </c>
      <c r="J194" s="24">
        <f t="shared" ref="J194:J257" si="39">IF(I194="",0,1/COUNTIF(I:I,I194))</f>
        <v>0</v>
      </c>
      <c r="K194" s="24" t="str">
        <f t="shared" si="33"/>
        <v>E5</v>
      </c>
      <c r="L194" s="24" t="str">
        <f>VLOOKUP(N194,CODE!K:P,CODE!$P$1,FALSE)</f>
        <v>모자</v>
      </c>
      <c r="M194" s="24" t="str">
        <f>VLOOKUP(MID(Q194,1,3),CODE!$B:$G,CODE!D$1,FALSE)</f>
        <v>WTR</v>
      </c>
      <c r="N194" s="24" t="str">
        <f t="shared" si="34"/>
        <v>ER</v>
      </c>
      <c r="O194" s="29" t="str">
        <f>IF(ISERROR(IF(VLOOKUP($N194,CODE!$K:$P,CODE!$O$1,FALSE)="",$M194,$M194&amp;"-"&amp;VLOOKUP($N194,CODE!$K:$P,CODE!$O$1,FALSE)))=TRUE,"",IF(VLOOKUP($N194,CODE!$K:$P,CODE!$O$1,FALSE)="",$M194,$M194&amp;"-"&amp;VLOOKUP($N194,CODE!$K:$P,CODE!$O$1,FALSE)))</f>
        <v>WTR</v>
      </c>
      <c r="P194" s="29" t="str">
        <f t="shared" si="35"/>
        <v>WTRERE5311</v>
      </c>
      <c r="Q194" s="1" t="s">
        <v>986</v>
      </c>
      <c r="R194" s="1" t="s">
        <v>14</v>
      </c>
      <c r="S194" s="26">
        <v>400</v>
      </c>
      <c r="T194" s="26">
        <v>27600000</v>
      </c>
      <c r="U194" s="26">
        <v>6880000</v>
      </c>
      <c r="V194" s="26">
        <v>3.6469344608879486</v>
      </c>
      <c r="W194" s="26">
        <v>0</v>
      </c>
      <c r="X194" s="26">
        <v>400</v>
      </c>
    </row>
    <row r="195" spans="1:24">
      <c r="A195" s="24" t="str">
        <f t="shared" ref="A195:A258" si="40">IF(OR(MID(Q195,8,1)="3",MID(Q195,8,1)="8"),"신규","러닝")</f>
        <v>신규</v>
      </c>
      <c r="B195" s="24" t="str">
        <f>IF(COUNTIF(Q$1:Q194,Q195)=0,"최초","리오더")</f>
        <v>최초</v>
      </c>
      <c r="C195" s="24" t="str">
        <f t="shared" ref="C195:C258" si="41">IF($B195="리오더","",P195)</f>
        <v>NOVBAE3310</v>
      </c>
      <c r="D195" s="24">
        <f t="shared" si="36"/>
        <v>1</v>
      </c>
      <c r="E195" s="24" t="str">
        <f t="shared" ref="E195:E258" si="42">IF($B195="리오더",P195,"")</f>
        <v/>
      </c>
      <c r="F195" s="24">
        <f t="shared" si="37"/>
        <v>0</v>
      </c>
      <c r="G195" s="24" t="str">
        <f t="shared" ref="G195:G258" si="43">IF($B195="리오더","",Q195)</f>
        <v>NOVBAE3310MT</v>
      </c>
      <c r="H195" s="24">
        <f t="shared" si="38"/>
        <v>1</v>
      </c>
      <c r="I195" s="24" t="str">
        <f t="shared" ref="I195:I258" si="44">IF($B195="리오더",Q195,"")</f>
        <v/>
      </c>
      <c r="J195" s="24">
        <f t="shared" si="39"/>
        <v>0</v>
      </c>
      <c r="K195" s="24" t="str">
        <f t="shared" ref="K195:K258" si="45">MID(Q195,6,2)</f>
        <v>E3</v>
      </c>
      <c r="L195" s="24" t="str">
        <f>VLOOKUP(N195,CODE!K:P,CODE!$P$1,FALSE)</f>
        <v>모자</v>
      </c>
      <c r="M195" s="24" t="str">
        <f>VLOOKUP(MID(Q195,1,3),CODE!$B:$G,CODE!D$1,FALSE)</f>
        <v>NOV</v>
      </c>
      <c r="N195" s="24" t="str">
        <f t="shared" ref="N195:N258" si="46">MID(Q195,4,2)</f>
        <v>BA</v>
      </c>
      <c r="O195" s="29" t="str">
        <f>IF(ISERROR(IF(VLOOKUP($N195,CODE!$K:$P,CODE!$O$1,FALSE)="",$M195,$M195&amp;"-"&amp;VLOOKUP($N195,CODE!$K:$P,CODE!$O$1,FALSE)))=TRUE,"",IF(VLOOKUP($N195,CODE!$K:$P,CODE!$O$1,FALSE)="",$M195,$M195&amp;"-"&amp;VLOOKUP($N195,CODE!$K:$P,CODE!$O$1,FALSE)))</f>
        <v>NOV</v>
      </c>
      <c r="P195" s="29" t="str">
        <f t="shared" ref="P195:P258" si="47">MID(Q195,1,10)</f>
        <v>NOVBAE3310</v>
      </c>
      <c r="Q195" s="1" t="s">
        <v>987</v>
      </c>
      <c r="R195" s="1" t="s">
        <v>14</v>
      </c>
      <c r="S195" s="26">
        <v>500</v>
      </c>
      <c r="T195" s="26">
        <v>24500000</v>
      </c>
      <c r="U195" s="26">
        <v>3471535.0000000005</v>
      </c>
      <c r="V195" s="26">
        <v>6.4158152727042266</v>
      </c>
      <c r="W195" s="26">
        <v>500</v>
      </c>
      <c r="X195" s="26">
        <v>0</v>
      </c>
    </row>
    <row r="196" spans="1:24">
      <c r="A196" s="24" t="str">
        <f t="shared" si="40"/>
        <v>신규</v>
      </c>
      <c r="B196" s="24" t="str">
        <f>IF(COUNTIF(Q$1:Q195,Q196)=0,"최초","리오더")</f>
        <v>최초</v>
      </c>
      <c r="C196" s="24" t="str">
        <f t="shared" si="41"/>
        <v>NOVBAE3311</v>
      </c>
      <c r="D196" s="24">
        <f t="shared" si="36"/>
        <v>1</v>
      </c>
      <c r="E196" s="24" t="str">
        <f t="shared" si="42"/>
        <v/>
      </c>
      <c r="F196" s="24">
        <f t="shared" si="37"/>
        <v>0</v>
      </c>
      <c r="G196" s="24" t="str">
        <f t="shared" si="43"/>
        <v>NOVBAE3311BL</v>
      </c>
      <c r="H196" s="24">
        <f t="shared" si="38"/>
        <v>1</v>
      </c>
      <c r="I196" s="24" t="str">
        <f t="shared" si="44"/>
        <v/>
      </c>
      <c r="J196" s="24">
        <f t="shared" si="39"/>
        <v>0</v>
      </c>
      <c r="K196" s="24" t="str">
        <f t="shared" si="45"/>
        <v>E3</v>
      </c>
      <c r="L196" s="24" t="str">
        <f>VLOOKUP(N196,CODE!K:P,CODE!$P$1,FALSE)</f>
        <v>모자</v>
      </c>
      <c r="M196" s="24" t="str">
        <f>VLOOKUP(MID(Q196,1,3),CODE!$B:$G,CODE!D$1,FALSE)</f>
        <v>NOV</v>
      </c>
      <c r="N196" s="24" t="str">
        <f t="shared" si="46"/>
        <v>BA</v>
      </c>
      <c r="O196" s="29" t="str">
        <f>IF(ISERROR(IF(VLOOKUP($N196,CODE!$K:$P,CODE!$O$1,FALSE)="",$M196,$M196&amp;"-"&amp;VLOOKUP($N196,CODE!$K:$P,CODE!$O$1,FALSE)))=TRUE,"",IF(VLOOKUP($N196,CODE!$K:$P,CODE!$O$1,FALSE)="",$M196,$M196&amp;"-"&amp;VLOOKUP($N196,CODE!$K:$P,CODE!$O$1,FALSE)))</f>
        <v>NOV</v>
      </c>
      <c r="P196" s="29" t="str">
        <f t="shared" si="47"/>
        <v>NOVBAE3311</v>
      </c>
      <c r="Q196" s="1" t="s">
        <v>988</v>
      </c>
      <c r="R196" s="1" t="s">
        <v>14</v>
      </c>
      <c r="S196" s="26">
        <v>500</v>
      </c>
      <c r="T196" s="26">
        <v>24500000</v>
      </c>
      <c r="U196" s="26">
        <v>3471535.0000000005</v>
      </c>
      <c r="V196" s="26">
        <v>6.4158152727042266</v>
      </c>
      <c r="W196" s="26">
        <v>500</v>
      </c>
      <c r="X196" s="26">
        <v>0</v>
      </c>
    </row>
    <row r="197" spans="1:24">
      <c r="A197" s="24" t="str">
        <f t="shared" si="40"/>
        <v>신규</v>
      </c>
      <c r="B197" s="24" t="str">
        <f>IF(COUNTIF(Q$1:Q196,Q197)=0,"최초","리오더")</f>
        <v>최초</v>
      </c>
      <c r="C197" s="24" t="str">
        <f t="shared" si="41"/>
        <v>NOVBAE3312</v>
      </c>
      <c r="D197" s="24">
        <f t="shared" si="36"/>
        <v>1</v>
      </c>
      <c r="E197" s="24" t="str">
        <f t="shared" si="42"/>
        <v/>
      </c>
      <c r="F197" s="24">
        <f t="shared" si="37"/>
        <v>0</v>
      </c>
      <c r="G197" s="24" t="str">
        <f t="shared" si="43"/>
        <v>NOVBAE3312NY</v>
      </c>
      <c r="H197" s="24">
        <f t="shared" si="38"/>
        <v>1</v>
      </c>
      <c r="I197" s="24" t="str">
        <f t="shared" si="44"/>
        <v/>
      </c>
      <c r="J197" s="24">
        <f t="shared" si="39"/>
        <v>0</v>
      </c>
      <c r="K197" s="24" t="str">
        <f t="shared" si="45"/>
        <v>E3</v>
      </c>
      <c r="L197" s="24" t="str">
        <f>VLOOKUP(N197,CODE!K:P,CODE!$P$1,FALSE)</f>
        <v>모자</v>
      </c>
      <c r="M197" s="24" t="str">
        <f>VLOOKUP(MID(Q197,1,3),CODE!$B:$G,CODE!D$1,FALSE)</f>
        <v>NOV</v>
      </c>
      <c r="N197" s="24" t="str">
        <f t="shared" si="46"/>
        <v>BA</v>
      </c>
      <c r="O197" s="29" t="str">
        <f>IF(ISERROR(IF(VLOOKUP($N197,CODE!$K:$P,CODE!$O$1,FALSE)="",$M197,$M197&amp;"-"&amp;VLOOKUP($N197,CODE!$K:$P,CODE!$O$1,FALSE)))=TRUE,"",IF(VLOOKUP($N197,CODE!$K:$P,CODE!$O$1,FALSE)="",$M197,$M197&amp;"-"&amp;VLOOKUP($N197,CODE!$K:$P,CODE!$O$1,FALSE)))</f>
        <v>NOV</v>
      </c>
      <c r="P197" s="29" t="str">
        <f t="shared" si="47"/>
        <v>NOVBAE3312</v>
      </c>
      <c r="Q197" s="1" t="s">
        <v>989</v>
      </c>
      <c r="R197" s="1" t="s">
        <v>14</v>
      </c>
      <c r="S197" s="26">
        <v>500</v>
      </c>
      <c r="T197" s="26">
        <v>24500000</v>
      </c>
      <c r="U197" s="26">
        <v>3502720.0000000005</v>
      </c>
      <c r="V197" s="26">
        <v>6.3586947494310904</v>
      </c>
      <c r="W197" s="26">
        <v>460</v>
      </c>
      <c r="X197" s="26">
        <v>0</v>
      </c>
    </row>
    <row r="198" spans="1:24">
      <c r="A198" s="24" t="str">
        <f t="shared" si="40"/>
        <v>신규</v>
      </c>
      <c r="B198" s="24" t="str">
        <f>IF(COUNTIF(Q$1:Q197,Q198)=0,"최초","리오더")</f>
        <v>최초</v>
      </c>
      <c r="C198" s="24" t="str">
        <f t="shared" si="41"/>
        <v>NOVBAE3313</v>
      </c>
      <c r="D198" s="24">
        <f t="shared" si="36"/>
        <v>1</v>
      </c>
      <c r="E198" s="24" t="str">
        <f t="shared" si="42"/>
        <v/>
      </c>
      <c r="F198" s="24">
        <f t="shared" si="37"/>
        <v>0</v>
      </c>
      <c r="G198" s="24" t="str">
        <f t="shared" si="43"/>
        <v>NOVBAE3313GY</v>
      </c>
      <c r="H198" s="24">
        <f t="shared" si="38"/>
        <v>1</v>
      </c>
      <c r="I198" s="24" t="str">
        <f t="shared" si="44"/>
        <v/>
      </c>
      <c r="J198" s="24">
        <f t="shared" si="39"/>
        <v>0</v>
      </c>
      <c r="K198" s="24" t="str">
        <f t="shared" si="45"/>
        <v>E3</v>
      </c>
      <c r="L198" s="24" t="str">
        <f>VLOOKUP(N198,CODE!K:P,CODE!$P$1,FALSE)</f>
        <v>모자</v>
      </c>
      <c r="M198" s="24" t="str">
        <f>VLOOKUP(MID(Q198,1,3),CODE!$B:$G,CODE!D$1,FALSE)</f>
        <v>NOV</v>
      </c>
      <c r="N198" s="24" t="str">
        <f t="shared" si="46"/>
        <v>BA</v>
      </c>
      <c r="O198" s="29" t="str">
        <f>IF(ISERROR(IF(VLOOKUP($N198,CODE!$K:$P,CODE!$O$1,FALSE)="",$M198,$M198&amp;"-"&amp;VLOOKUP($N198,CODE!$K:$P,CODE!$O$1,FALSE)))=TRUE,"",IF(VLOOKUP($N198,CODE!$K:$P,CODE!$O$1,FALSE)="",$M198,$M198&amp;"-"&amp;VLOOKUP($N198,CODE!$K:$P,CODE!$O$1,FALSE)))</f>
        <v>NOV</v>
      </c>
      <c r="P198" s="29" t="str">
        <f t="shared" si="47"/>
        <v>NOVBAE3313</v>
      </c>
      <c r="Q198" s="1" t="s">
        <v>990</v>
      </c>
      <c r="R198" s="1" t="s">
        <v>14</v>
      </c>
      <c r="S198" s="26">
        <v>500</v>
      </c>
      <c r="T198" s="26">
        <v>24500000</v>
      </c>
      <c r="U198" s="26">
        <v>3596275.0000000005</v>
      </c>
      <c r="V198" s="26">
        <v>6.193277008217466</v>
      </c>
      <c r="W198" s="26">
        <v>500</v>
      </c>
      <c r="X198" s="26">
        <v>0</v>
      </c>
    </row>
    <row r="199" spans="1:24">
      <c r="A199" s="24" t="str">
        <f t="shared" si="40"/>
        <v>신규</v>
      </c>
      <c r="B199" s="24" t="str">
        <f>IF(COUNTIF(Q$1:Q198,Q199)=0,"최초","리오더")</f>
        <v>최초</v>
      </c>
      <c r="C199" s="24" t="str">
        <f t="shared" si="41"/>
        <v>NOVBAE3314</v>
      </c>
      <c r="D199" s="24">
        <f t="shared" si="36"/>
        <v>0.5</v>
      </c>
      <c r="E199" s="24" t="str">
        <f t="shared" si="42"/>
        <v/>
      </c>
      <c r="F199" s="24">
        <f t="shared" si="37"/>
        <v>0</v>
      </c>
      <c r="G199" s="24" t="str">
        <f t="shared" si="43"/>
        <v>NOVBAE3314GY</v>
      </c>
      <c r="H199" s="24">
        <f t="shared" si="38"/>
        <v>1</v>
      </c>
      <c r="I199" s="24" t="str">
        <f t="shared" si="44"/>
        <v/>
      </c>
      <c r="J199" s="24">
        <f t="shared" si="39"/>
        <v>0</v>
      </c>
      <c r="K199" s="24" t="str">
        <f t="shared" si="45"/>
        <v>E3</v>
      </c>
      <c r="L199" s="24" t="str">
        <f>VLOOKUP(N199,CODE!K:P,CODE!$P$1,FALSE)</f>
        <v>모자</v>
      </c>
      <c r="M199" s="24" t="str">
        <f>VLOOKUP(MID(Q199,1,3),CODE!$B:$G,CODE!D$1,FALSE)</f>
        <v>NOV</v>
      </c>
      <c r="N199" s="24" t="str">
        <f t="shared" si="46"/>
        <v>BA</v>
      </c>
      <c r="O199" s="29" t="str">
        <f>IF(ISERROR(IF(VLOOKUP($N199,CODE!$K:$P,CODE!$O$1,FALSE)="",$M199,$M199&amp;"-"&amp;VLOOKUP($N199,CODE!$K:$P,CODE!$O$1,FALSE)))=TRUE,"",IF(VLOOKUP($N199,CODE!$K:$P,CODE!$O$1,FALSE)="",$M199,$M199&amp;"-"&amp;VLOOKUP($N199,CODE!$K:$P,CODE!$O$1,FALSE)))</f>
        <v>NOV</v>
      </c>
      <c r="P199" s="29" t="str">
        <f t="shared" si="47"/>
        <v>NOVBAE3314</v>
      </c>
      <c r="Q199" s="1" t="s">
        <v>991</v>
      </c>
      <c r="R199" s="1" t="s">
        <v>14</v>
      </c>
      <c r="S199" s="26">
        <v>500</v>
      </c>
      <c r="T199" s="26">
        <v>24500000</v>
      </c>
      <c r="U199" s="26">
        <v>3471535.0000000005</v>
      </c>
      <c r="V199" s="26">
        <v>6.4158152727042266</v>
      </c>
      <c r="W199" s="26">
        <v>500</v>
      </c>
      <c r="X199" s="26">
        <v>0</v>
      </c>
    </row>
    <row r="200" spans="1:24">
      <c r="A200" s="24" t="str">
        <f t="shared" si="40"/>
        <v>신규</v>
      </c>
      <c r="B200" s="24" t="str">
        <f>IF(COUNTIF(Q$1:Q199,Q200)=0,"최초","리오더")</f>
        <v>최초</v>
      </c>
      <c r="C200" s="24" t="str">
        <f t="shared" si="41"/>
        <v>NOVBAE3314</v>
      </c>
      <c r="D200" s="24">
        <f t="shared" si="36"/>
        <v>0.5</v>
      </c>
      <c r="E200" s="24" t="str">
        <f t="shared" si="42"/>
        <v/>
      </c>
      <c r="F200" s="24">
        <f t="shared" si="37"/>
        <v>0</v>
      </c>
      <c r="G200" s="24" t="str">
        <f t="shared" si="43"/>
        <v>NOVBAE3314NY</v>
      </c>
      <c r="H200" s="24">
        <f t="shared" si="38"/>
        <v>1</v>
      </c>
      <c r="I200" s="24" t="str">
        <f t="shared" si="44"/>
        <v/>
      </c>
      <c r="J200" s="24">
        <f t="shared" si="39"/>
        <v>0</v>
      </c>
      <c r="K200" s="24" t="str">
        <f t="shared" si="45"/>
        <v>E3</v>
      </c>
      <c r="L200" s="24" t="str">
        <f>VLOOKUP(N200,CODE!K:P,CODE!$P$1,FALSE)</f>
        <v>모자</v>
      </c>
      <c r="M200" s="24" t="str">
        <f>VLOOKUP(MID(Q200,1,3),CODE!$B:$G,CODE!D$1,FALSE)</f>
        <v>NOV</v>
      </c>
      <c r="N200" s="24" t="str">
        <f t="shared" si="46"/>
        <v>BA</v>
      </c>
      <c r="O200" s="29" t="str">
        <f>IF(ISERROR(IF(VLOOKUP($N200,CODE!$K:$P,CODE!$O$1,FALSE)="",$M200,$M200&amp;"-"&amp;VLOOKUP($N200,CODE!$K:$P,CODE!$O$1,FALSE)))=TRUE,"",IF(VLOOKUP($N200,CODE!$K:$P,CODE!$O$1,FALSE)="",$M200,$M200&amp;"-"&amp;VLOOKUP($N200,CODE!$K:$P,CODE!$O$1,FALSE)))</f>
        <v>NOV</v>
      </c>
      <c r="P200" s="29" t="str">
        <f t="shared" si="47"/>
        <v>NOVBAE3314</v>
      </c>
      <c r="Q200" s="1" t="s">
        <v>992</v>
      </c>
      <c r="R200" s="1" t="s">
        <v>14</v>
      </c>
      <c r="S200" s="26">
        <v>500</v>
      </c>
      <c r="T200" s="26">
        <v>24500000</v>
      </c>
      <c r="U200" s="26">
        <v>3377980.0000000009</v>
      </c>
      <c r="V200" s="26">
        <v>6.5935047788107877</v>
      </c>
      <c r="W200" s="26">
        <v>500</v>
      </c>
      <c r="X200" s="26">
        <v>0</v>
      </c>
    </row>
    <row r="201" spans="1:24">
      <c r="A201" s="24" t="str">
        <f t="shared" si="40"/>
        <v>신규</v>
      </c>
      <c r="B201" s="24" t="str">
        <f>IF(COUNTIF(Q$1:Q200,Q201)=0,"최초","리오더")</f>
        <v>최초</v>
      </c>
      <c r="C201" s="24" t="str">
        <f t="shared" si="41"/>
        <v>NOVBAE3315</v>
      </c>
      <c r="D201" s="24">
        <f t="shared" si="36"/>
        <v>1</v>
      </c>
      <c r="E201" s="24" t="str">
        <f t="shared" si="42"/>
        <v/>
      </c>
      <c r="F201" s="24">
        <f t="shared" si="37"/>
        <v>0</v>
      </c>
      <c r="G201" s="24" t="str">
        <f t="shared" si="43"/>
        <v>NOVBAE3315NY</v>
      </c>
      <c r="H201" s="24">
        <f t="shared" si="38"/>
        <v>1</v>
      </c>
      <c r="I201" s="24" t="str">
        <f t="shared" si="44"/>
        <v/>
      </c>
      <c r="J201" s="24">
        <f t="shared" si="39"/>
        <v>0</v>
      </c>
      <c r="K201" s="24" t="str">
        <f t="shared" si="45"/>
        <v>E3</v>
      </c>
      <c r="L201" s="24" t="str">
        <f>VLOOKUP(N201,CODE!K:P,CODE!$P$1,FALSE)</f>
        <v>모자</v>
      </c>
      <c r="M201" s="24" t="str">
        <f>VLOOKUP(MID(Q201,1,3),CODE!$B:$G,CODE!D$1,FALSE)</f>
        <v>NOV</v>
      </c>
      <c r="N201" s="24" t="str">
        <f t="shared" si="46"/>
        <v>BA</v>
      </c>
      <c r="O201" s="29" t="str">
        <f>IF(ISERROR(IF(VLOOKUP($N201,CODE!$K:$P,CODE!$O$1,FALSE)="",$M201,$M201&amp;"-"&amp;VLOOKUP($N201,CODE!$K:$P,CODE!$O$1,FALSE)))=TRUE,"",IF(VLOOKUP($N201,CODE!$K:$P,CODE!$O$1,FALSE)="",$M201,$M201&amp;"-"&amp;VLOOKUP($N201,CODE!$K:$P,CODE!$O$1,FALSE)))</f>
        <v>NOV</v>
      </c>
      <c r="P201" s="29" t="str">
        <f t="shared" si="47"/>
        <v>NOVBAE3315</v>
      </c>
      <c r="Q201" s="1" t="s">
        <v>993</v>
      </c>
      <c r="R201" s="1" t="s">
        <v>14</v>
      </c>
      <c r="S201" s="26">
        <v>500</v>
      </c>
      <c r="T201" s="26">
        <v>24500000</v>
      </c>
      <c r="U201" s="26">
        <v>3533905.0000000005</v>
      </c>
      <c r="V201" s="26">
        <v>6.3025823480617804</v>
      </c>
      <c r="W201" s="26">
        <v>500</v>
      </c>
      <c r="X201" s="26">
        <v>0</v>
      </c>
    </row>
    <row r="202" spans="1:24">
      <c r="A202" s="24" t="str">
        <f t="shared" si="40"/>
        <v>신규</v>
      </c>
      <c r="B202" s="24" t="str">
        <f>IF(COUNTIF(Q$1:Q201,Q202)=0,"최초","리오더")</f>
        <v>최초</v>
      </c>
      <c r="C202" s="24" t="str">
        <f t="shared" si="41"/>
        <v>NOVBAE3316</v>
      </c>
      <c r="D202" s="24">
        <f t="shared" si="36"/>
        <v>1</v>
      </c>
      <c r="E202" s="24" t="str">
        <f t="shared" si="42"/>
        <v/>
      </c>
      <c r="F202" s="24">
        <f t="shared" si="37"/>
        <v>0</v>
      </c>
      <c r="G202" s="24" t="str">
        <f t="shared" si="43"/>
        <v>NOVBAE3316OR</v>
      </c>
      <c r="H202" s="24">
        <f t="shared" si="38"/>
        <v>1</v>
      </c>
      <c r="I202" s="24" t="str">
        <f t="shared" si="44"/>
        <v/>
      </c>
      <c r="J202" s="24">
        <f t="shared" si="39"/>
        <v>0</v>
      </c>
      <c r="K202" s="24" t="str">
        <f t="shared" si="45"/>
        <v>E3</v>
      </c>
      <c r="L202" s="24" t="str">
        <f>VLOOKUP(N202,CODE!K:P,CODE!$P$1,FALSE)</f>
        <v>모자</v>
      </c>
      <c r="M202" s="24" t="str">
        <f>VLOOKUP(MID(Q202,1,3),CODE!$B:$G,CODE!D$1,FALSE)</f>
        <v>NOV</v>
      </c>
      <c r="N202" s="24" t="str">
        <f t="shared" si="46"/>
        <v>BA</v>
      </c>
      <c r="O202" s="29" t="str">
        <f>IF(ISERROR(IF(VLOOKUP($N202,CODE!$K:$P,CODE!$O$1,FALSE)="",$M202,$M202&amp;"-"&amp;VLOOKUP($N202,CODE!$K:$P,CODE!$O$1,FALSE)))=TRUE,"",IF(VLOOKUP($N202,CODE!$K:$P,CODE!$O$1,FALSE)="",$M202,$M202&amp;"-"&amp;VLOOKUP($N202,CODE!$K:$P,CODE!$O$1,FALSE)))</f>
        <v>NOV</v>
      </c>
      <c r="P202" s="29" t="str">
        <f t="shared" si="47"/>
        <v>NOVBAE3316</v>
      </c>
      <c r="Q202" s="1" t="s">
        <v>994</v>
      </c>
      <c r="R202" s="1" t="s">
        <v>14</v>
      </c>
      <c r="S202" s="26">
        <v>500</v>
      </c>
      <c r="T202" s="26">
        <v>24500000</v>
      </c>
      <c r="U202" s="26">
        <v>3565090.0000000005</v>
      </c>
      <c r="V202" s="26">
        <v>6.247451613487252</v>
      </c>
      <c r="W202" s="26">
        <v>500</v>
      </c>
      <c r="X202" s="26">
        <v>0</v>
      </c>
    </row>
    <row r="203" spans="1:24">
      <c r="A203" s="24" t="str">
        <f t="shared" si="40"/>
        <v>신규</v>
      </c>
      <c r="B203" s="24" t="str">
        <f>IF(COUNTIF(Q$1:Q202,Q203)=0,"최초","리오더")</f>
        <v>최초</v>
      </c>
      <c r="C203" s="24" t="str">
        <f t="shared" si="41"/>
        <v>NOVBAE3317</v>
      </c>
      <c r="D203" s="24">
        <f t="shared" si="36"/>
        <v>1</v>
      </c>
      <c r="E203" s="24" t="str">
        <f t="shared" si="42"/>
        <v/>
      </c>
      <c r="F203" s="24">
        <f t="shared" si="37"/>
        <v>0</v>
      </c>
      <c r="G203" s="24" t="str">
        <f t="shared" si="43"/>
        <v>NOVBAE3317RE</v>
      </c>
      <c r="H203" s="24">
        <f t="shared" si="38"/>
        <v>1</v>
      </c>
      <c r="I203" s="24" t="str">
        <f t="shared" si="44"/>
        <v/>
      </c>
      <c r="J203" s="24">
        <f t="shared" si="39"/>
        <v>0</v>
      </c>
      <c r="K203" s="24" t="str">
        <f t="shared" si="45"/>
        <v>E3</v>
      </c>
      <c r="L203" s="24" t="str">
        <f>VLOOKUP(N203,CODE!K:P,CODE!$P$1,FALSE)</f>
        <v>모자</v>
      </c>
      <c r="M203" s="24" t="str">
        <f>VLOOKUP(MID(Q203,1,3),CODE!$B:$G,CODE!D$1,FALSE)</f>
        <v>NOV</v>
      </c>
      <c r="N203" s="24" t="str">
        <f t="shared" si="46"/>
        <v>BA</v>
      </c>
      <c r="O203" s="29" t="str">
        <f>IF(ISERROR(IF(VLOOKUP($N203,CODE!$K:$P,CODE!$O$1,FALSE)="",$M203,$M203&amp;"-"&amp;VLOOKUP($N203,CODE!$K:$P,CODE!$O$1,FALSE)))=TRUE,"",IF(VLOOKUP($N203,CODE!$K:$P,CODE!$O$1,FALSE)="",$M203,$M203&amp;"-"&amp;VLOOKUP($N203,CODE!$K:$P,CODE!$O$1,FALSE)))</f>
        <v>NOV</v>
      </c>
      <c r="P203" s="29" t="str">
        <f t="shared" si="47"/>
        <v>NOVBAE3317</v>
      </c>
      <c r="Q203" s="1" t="s">
        <v>995</v>
      </c>
      <c r="R203" s="1" t="s">
        <v>14</v>
      </c>
      <c r="S203" s="26">
        <v>500</v>
      </c>
      <c r="T203" s="26">
        <v>24500000</v>
      </c>
      <c r="U203" s="26">
        <v>3471535.0000000005</v>
      </c>
      <c r="V203" s="26">
        <v>6.4158152727042266</v>
      </c>
      <c r="W203" s="26">
        <v>485</v>
      </c>
      <c r="X203" s="26">
        <v>0</v>
      </c>
    </row>
    <row r="204" spans="1:24">
      <c r="A204" s="24" t="str">
        <f t="shared" si="40"/>
        <v>러닝</v>
      </c>
      <c r="B204" s="24" t="str">
        <f>IF(COUNTIF(Q$1:Q203,Q204)=0,"최초","리오더")</f>
        <v>최초</v>
      </c>
      <c r="C204" s="24" t="str">
        <f t="shared" si="41"/>
        <v>VBLBAE3103</v>
      </c>
      <c r="D204" s="24">
        <f t="shared" si="36"/>
        <v>0.5</v>
      </c>
      <c r="E204" s="24" t="str">
        <f t="shared" si="42"/>
        <v/>
      </c>
      <c r="F204" s="24">
        <f t="shared" si="37"/>
        <v>0</v>
      </c>
      <c r="G204" s="24" t="str">
        <f t="shared" si="43"/>
        <v>VBLBAE3103RE</v>
      </c>
      <c r="H204" s="24">
        <f t="shared" si="38"/>
        <v>1</v>
      </c>
      <c r="I204" s="24" t="str">
        <f t="shared" si="44"/>
        <v/>
      </c>
      <c r="J204" s="24">
        <f t="shared" si="39"/>
        <v>0</v>
      </c>
      <c r="K204" s="24" t="str">
        <f t="shared" si="45"/>
        <v>E3</v>
      </c>
      <c r="L204" s="24" t="str">
        <f>VLOOKUP(N204,CODE!K:P,CODE!$P$1,FALSE)</f>
        <v>모자</v>
      </c>
      <c r="M204" s="24" t="str">
        <f>VLOOKUP(MID(Q204,1,3),CODE!$B:$G,CODE!D$1,FALSE)</f>
        <v>VBL</v>
      </c>
      <c r="N204" s="24" t="str">
        <f t="shared" si="46"/>
        <v>BA</v>
      </c>
      <c r="O204" s="29" t="str">
        <f>IF(ISERROR(IF(VLOOKUP($N204,CODE!$K:$P,CODE!$O$1,FALSE)="",$M204,$M204&amp;"-"&amp;VLOOKUP($N204,CODE!$K:$P,CODE!$O$1,FALSE)))=TRUE,"",IF(VLOOKUP($N204,CODE!$K:$P,CODE!$O$1,FALSE)="",$M204,$M204&amp;"-"&amp;VLOOKUP($N204,CODE!$K:$P,CODE!$O$1,FALSE)))</f>
        <v>VBL</v>
      </c>
      <c r="P204" s="29" t="str">
        <f t="shared" si="47"/>
        <v>VBLBAE3103</v>
      </c>
      <c r="Q204" s="1" t="s">
        <v>996</v>
      </c>
      <c r="R204" s="1" t="s">
        <v>14</v>
      </c>
      <c r="S204" s="26">
        <v>4000</v>
      </c>
      <c r="T204" s="26">
        <v>220000000</v>
      </c>
      <c r="U204" s="26">
        <v>17347320</v>
      </c>
      <c r="V204" s="26">
        <v>11.529158394495518</v>
      </c>
      <c r="W204" s="26">
        <v>4000</v>
      </c>
      <c r="X204" s="26">
        <v>0</v>
      </c>
    </row>
    <row r="205" spans="1:24">
      <c r="A205" s="24" t="str">
        <f t="shared" si="40"/>
        <v>러닝</v>
      </c>
      <c r="B205" s="24" t="str">
        <f>IF(COUNTIF(Q$1:Q204,Q205)=0,"최초","리오더")</f>
        <v>최초</v>
      </c>
      <c r="C205" s="24" t="str">
        <f t="shared" si="41"/>
        <v>VBLBAE3103</v>
      </c>
      <c r="D205" s="24">
        <f t="shared" si="36"/>
        <v>0.5</v>
      </c>
      <c r="E205" s="24" t="str">
        <f t="shared" si="42"/>
        <v/>
      </c>
      <c r="F205" s="24">
        <f t="shared" si="37"/>
        <v>0</v>
      </c>
      <c r="G205" s="24" t="str">
        <f t="shared" si="43"/>
        <v>VBLBAE3103GR</v>
      </c>
      <c r="H205" s="24">
        <f t="shared" si="38"/>
        <v>1</v>
      </c>
      <c r="I205" s="24" t="str">
        <f t="shared" si="44"/>
        <v/>
      </c>
      <c r="J205" s="24">
        <f t="shared" si="39"/>
        <v>0</v>
      </c>
      <c r="K205" s="24" t="str">
        <f t="shared" si="45"/>
        <v>E3</v>
      </c>
      <c r="L205" s="24" t="str">
        <f>VLOOKUP(N205,CODE!K:P,CODE!$P$1,FALSE)</f>
        <v>모자</v>
      </c>
      <c r="M205" s="24" t="str">
        <f>VLOOKUP(MID(Q205,1,3),CODE!$B:$G,CODE!D$1,FALSE)</f>
        <v>VBL</v>
      </c>
      <c r="N205" s="24" t="str">
        <f t="shared" si="46"/>
        <v>BA</v>
      </c>
      <c r="O205" s="29" t="str">
        <f>IF(ISERROR(IF(VLOOKUP($N205,CODE!$K:$P,CODE!$O$1,FALSE)="",$M205,$M205&amp;"-"&amp;VLOOKUP($N205,CODE!$K:$P,CODE!$O$1,FALSE)))=TRUE,"",IF(VLOOKUP($N205,CODE!$K:$P,CODE!$O$1,FALSE)="",$M205,$M205&amp;"-"&amp;VLOOKUP($N205,CODE!$K:$P,CODE!$O$1,FALSE)))</f>
        <v>VBL</v>
      </c>
      <c r="P205" s="29" t="str">
        <f t="shared" si="47"/>
        <v>VBLBAE3103</v>
      </c>
      <c r="Q205" s="1" t="s">
        <v>997</v>
      </c>
      <c r="R205" s="1" t="s">
        <v>14</v>
      </c>
      <c r="S205" s="26">
        <v>2000</v>
      </c>
      <c r="T205" s="26">
        <v>110000000</v>
      </c>
      <c r="U205" s="26">
        <v>9187660</v>
      </c>
      <c r="V205" s="26">
        <v>10.884164194147367</v>
      </c>
      <c r="W205" s="26">
        <v>1975</v>
      </c>
      <c r="X205" s="26">
        <v>0</v>
      </c>
    </row>
    <row r="206" spans="1:24">
      <c r="A206" s="24" t="str">
        <f t="shared" si="40"/>
        <v>러닝</v>
      </c>
      <c r="B206" s="24" t="str">
        <f>IF(COUNTIF(Q$1:Q205,Q206)=0,"최초","리오더")</f>
        <v>최초</v>
      </c>
      <c r="C206" s="24" t="str">
        <f t="shared" si="41"/>
        <v>VBLBAE3201</v>
      </c>
      <c r="D206" s="24">
        <f t="shared" si="36"/>
        <v>1</v>
      </c>
      <c r="E206" s="24" t="str">
        <f t="shared" si="42"/>
        <v/>
      </c>
      <c r="F206" s="24">
        <f t="shared" si="37"/>
        <v>0</v>
      </c>
      <c r="G206" s="24" t="str">
        <f t="shared" si="43"/>
        <v>VBLBAE3201GY</v>
      </c>
      <c r="H206" s="24">
        <f t="shared" si="38"/>
        <v>1</v>
      </c>
      <c r="I206" s="24" t="str">
        <f t="shared" si="44"/>
        <v/>
      </c>
      <c r="J206" s="24">
        <f t="shared" si="39"/>
        <v>0</v>
      </c>
      <c r="K206" s="24" t="str">
        <f t="shared" si="45"/>
        <v>E3</v>
      </c>
      <c r="L206" s="24" t="str">
        <f>VLOOKUP(N206,CODE!K:P,CODE!$P$1,FALSE)</f>
        <v>모자</v>
      </c>
      <c r="M206" s="24" t="str">
        <f>VLOOKUP(MID(Q206,1,3),CODE!$B:$G,CODE!D$1,FALSE)</f>
        <v>VBL</v>
      </c>
      <c r="N206" s="24" t="str">
        <f t="shared" si="46"/>
        <v>BA</v>
      </c>
      <c r="O206" s="29" t="str">
        <f>IF(ISERROR(IF(VLOOKUP($N206,CODE!$K:$P,CODE!$O$1,FALSE)="",$M206,$M206&amp;"-"&amp;VLOOKUP($N206,CODE!$K:$P,CODE!$O$1,FALSE)))=TRUE,"",IF(VLOOKUP($N206,CODE!$K:$P,CODE!$O$1,FALSE)="",$M206,$M206&amp;"-"&amp;VLOOKUP($N206,CODE!$K:$P,CODE!$O$1,FALSE)))</f>
        <v>VBL</v>
      </c>
      <c r="P206" s="29" t="str">
        <f t="shared" si="47"/>
        <v>VBLBAE3201</v>
      </c>
      <c r="Q206" s="1" t="s">
        <v>998</v>
      </c>
      <c r="R206" s="1" t="s">
        <v>14</v>
      </c>
      <c r="S206" s="26">
        <v>2000</v>
      </c>
      <c r="T206" s="26">
        <v>90000000</v>
      </c>
      <c r="U206" s="26">
        <v>20440000</v>
      </c>
      <c r="V206" s="26">
        <v>4.002846468599893</v>
      </c>
      <c r="W206" s="26">
        <v>1983</v>
      </c>
      <c r="X206" s="26">
        <v>0</v>
      </c>
    </row>
    <row r="207" spans="1:24">
      <c r="A207" s="24" t="str">
        <f t="shared" si="40"/>
        <v>러닝</v>
      </c>
      <c r="B207" s="24" t="str">
        <f>IF(COUNTIF(Q$1:Q206,Q207)=0,"최초","리오더")</f>
        <v>최초</v>
      </c>
      <c r="C207" s="24" t="str">
        <f t="shared" si="41"/>
        <v>PLAUME3204</v>
      </c>
      <c r="D207" s="24">
        <f t="shared" si="36"/>
        <v>1</v>
      </c>
      <c r="E207" s="24" t="str">
        <f t="shared" si="42"/>
        <v/>
      </c>
      <c r="F207" s="24">
        <f t="shared" si="37"/>
        <v>0</v>
      </c>
      <c r="G207" s="24" t="str">
        <f t="shared" si="43"/>
        <v>PLAUME3204YE</v>
      </c>
      <c r="H207" s="24">
        <f t="shared" si="38"/>
        <v>1</v>
      </c>
      <c r="I207" s="24" t="str">
        <f t="shared" si="44"/>
        <v/>
      </c>
      <c r="J207" s="24">
        <f t="shared" si="39"/>
        <v>0</v>
      </c>
      <c r="K207" s="24" t="str">
        <f t="shared" si="45"/>
        <v>E3</v>
      </c>
      <c r="L207" s="24" t="str">
        <f>VLOOKUP(N207,CODE!K:P,CODE!$P$1,FALSE)</f>
        <v>모자</v>
      </c>
      <c r="M207" s="24" t="str">
        <f>VLOOKUP(MID(Q207,1,3),CODE!$B:$G,CODE!D$1,FALSE)</f>
        <v>PLA</v>
      </c>
      <c r="N207" s="24" t="str">
        <f t="shared" si="46"/>
        <v>UM</v>
      </c>
      <c r="O207" s="29" t="str">
        <f>IF(ISERROR(IF(VLOOKUP($N207,CODE!$K:$P,CODE!$O$1,FALSE)="",$M207,$M207&amp;"-"&amp;VLOOKUP($N207,CODE!$K:$P,CODE!$O$1,FALSE)))=TRUE,"",IF(VLOOKUP($N207,CODE!$K:$P,CODE!$O$1,FALSE)="",$M207,$M207&amp;"-"&amp;VLOOKUP($N207,CODE!$K:$P,CODE!$O$1,FALSE)))</f>
        <v>PLA</v>
      </c>
      <c r="P207" s="29" t="str">
        <f t="shared" si="47"/>
        <v>PLAUME3204</v>
      </c>
      <c r="Q207" s="1" t="s">
        <v>999</v>
      </c>
      <c r="R207" s="1" t="s">
        <v>14</v>
      </c>
      <c r="S207" s="26">
        <v>1500</v>
      </c>
      <c r="T207" s="26">
        <v>88500000</v>
      </c>
      <c r="U207" s="26">
        <v>12162150</v>
      </c>
      <c r="V207" s="26">
        <v>6.6151581303096449</v>
      </c>
      <c r="W207" s="26">
        <v>1500</v>
      </c>
      <c r="X207" s="26">
        <v>0</v>
      </c>
    </row>
    <row r="208" spans="1:24">
      <c r="A208" s="24" t="str">
        <f t="shared" si="40"/>
        <v>신규</v>
      </c>
      <c r="B208" s="24" t="str">
        <f>IF(COUNTIF(Q$1:Q207,Q208)=0,"최초","리오더")</f>
        <v>최초</v>
      </c>
      <c r="C208" s="24" t="str">
        <f t="shared" si="41"/>
        <v>ELSACE3301</v>
      </c>
      <c r="D208" s="24">
        <f t="shared" si="36"/>
        <v>1</v>
      </c>
      <c r="E208" s="24" t="str">
        <f t="shared" si="42"/>
        <v/>
      </c>
      <c r="F208" s="24">
        <f t="shared" si="37"/>
        <v>0</v>
      </c>
      <c r="G208" s="24" t="str">
        <f t="shared" si="43"/>
        <v>ELSACE3301NY</v>
      </c>
      <c r="H208" s="24">
        <f t="shared" si="38"/>
        <v>1</v>
      </c>
      <c r="I208" s="24" t="str">
        <f t="shared" si="44"/>
        <v/>
      </c>
      <c r="J208" s="24">
        <f t="shared" si="39"/>
        <v>0</v>
      </c>
      <c r="K208" s="24" t="str">
        <f t="shared" si="45"/>
        <v>E3</v>
      </c>
      <c r="L208" s="24" t="str">
        <f>VLOOKUP(N208,CODE!K:P,CODE!$P$1,FALSE)</f>
        <v>ACC</v>
      </c>
      <c r="M208" s="24" t="str">
        <f>VLOOKUP(MID(Q208,1,3),CODE!$B:$G,CODE!D$1,FALSE)</f>
        <v>ELS</v>
      </c>
      <c r="N208" s="24" t="str">
        <f t="shared" si="46"/>
        <v>AC</v>
      </c>
      <c r="O208" s="29" t="str">
        <f>IF(ISERROR(IF(VLOOKUP($N208,CODE!$K:$P,CODE!$O$1,FALSE)="",$M208,$M208&amp;"-"&amp;VLOOKUP($N208,CODE!$K:$P,CODE!$O$1,FALSE)))=TRUE,"",IF(VLOOKUP($N208,CODE!$K:$P,CODE!$O$1,FALSE)="",$M208,$M208&amp;"-"&amp;VLOOKUP($N208,CODE!$K:$P,CODE!$O$1,FALSE)))</f>
        <v>ELS</v>
      </c>
      <c r="P208" s="29" t="str">
        <f t="shared" si="47"/>
        <v>ELSACE3301</v>
      </c>
      <c r="Q208" s="1" t="s">
        <v>1000</v>
      </c>
      <c r="R208" s="1" t="s">
        <v>14</v>
      </c>
      <c r="S208" s="26">
        <v>1200</v>
      </c>
      <c r="T208" s="26">
        <v>5880000</v>
      </c>
      <c r="U208" s="26">
        <v>811346.40000000014</v>
      </c>
      <c r="V208" s="26">
        <v>6.5883752555684527</v>
      </c>
      <c r="W208" s="26">
        <v>0</v>
      </c>
      <c r="X208" s="26">
        <v>1200</v>
      </c>
    </row>
    <row r="209" spans="1:24">
      <c r="A209" s="24" t="str">
        <f t="shared" si="40"/>
        <v>신규</v>
      </c>
      <c r="B209" s="24" t="str">
        <f>IF(COUNTIF(Q$1:Q208,Q209)=0,"최초","리오더")</f>
        <v>최초</v>
      </c>
      <c r="C209" s="24" t="str">
        <f t="shared" si="41"/>
        <v>ELSACE3302</v>
      </c>
      <c r="D209" s="24">
        <f t="shared" si="36"/>
        <v>1</v>
      </c>
      <c r="E209" s="24" t="str">
        <f t="shared" si="42"/>
        <v/>
      </c>
      <c r="F209" s="24">
        <f t="shared" si="37"/>
        <v>0</v>
      </c>
      <c r="G209" s="24" t="str">
        <f t="shared" si="43"/>
        <v>ELSACE3302BL</v>
      </c>
      <c r="H209" s="24">
        <f t="shared" si="38"/>
        <v>1</v>
      </c>
      <c r="I209" s="24" t="str">
        <f t="shared" si="44"/>
        <v/>
      </c>
      <c r="J209" s="24">
        <f t="shared" si="39"/>
        <v>0</v>
      </c>
      <c r="K209" s="24" t="str">
        <f t="shared" si="45"/>
        <v>E3</v>
      </c>
      <c r="L209" s="24" t="str">
        <f>VLOOKUP(N209,CODE!K:P,CODE!$P$1,FALSE)</f>
        <v>ACC</v>
      </c>
      <c r="M209" s="24" t="str">
        <f>VLOOKUP(MID(Q209,1,3),CODE!$B:$G,CODE!D$1,FALSE)</f>
        <v>ELS</v>
      </c>
      <c r="N209" s="24" t="str">
        <f t="shared" si="46"/>
        <v>AC</v>
      </c>
      <c r="O209" s="29" t="str">
        <f>IF(ISERROR(IF(VLOOKUP($N209,CODE!$K:$P,CODE!$O$1,FALSE)="",$M209,$M209&amp;"-"&amp;VLOOKUP($N209,CODE!$K:$P,CODE!$O$1,FALSE)))=TRUE,"",IF(VLOOKUP($N209,CODE!$K:$P,CODE!$O$1,FALSE)="",$M209,$M209&amp;"-"&amp;VLOOKUP($N209,CODE!$K:$P,CODE!$O$1,FALSE)))</f>
        <v>ELS</v>
      </c>
      <c r="P209" s="29" t="str">
        <f t="shared" si="47"/>
        <v>ELSACE3302</v>
      </c>
      <c r="Q209" s="1" t="s">
        <v>1001</v>
      </c>
      <c r="R209" s="1" t="s">
        <v>14</v>
      </c>
      <c r="S209" s="26">
        <v>1200</v>
      </c>
      <c r="T209" s="26">
        <v>5880000</v>
      </c>
      <c r="U209" s="26">
        <v>811346.40000000014</v>
      </c>
      <c r="V209" s="26">
        <v>6.5883752555684527</v>
      </c>
      <c r="W209" s="26">
        <v>0</v>
      </c>
      <c r="X209" s="26">
        <v>1200</v>
      </c>
    </row>
    <row r="210" spans="1:24">
      <c r="A210" s="24" t="str">
        <f t="shared" si="40"/>
        <v>신규</v>
      </c>
      <c r="B210" s="24" t="str">
        <f>IF(COUNTIF(Q$1:Q209,Q210)=0,"최초","리오더")</f>
        <v>최초</v>
      </c>
      <c r="C210" s="24" t="str">
        <f t="shared" si="41"/>
        <v>ELSACE3303</v>
      </c>
      <c r="D210" s="24">
        <f t="shared" si="36"/>
        <v>1</v>
      </c>
      <c r="E210" s="24" t="str">
        <f t="shared" si="42"/>
        <v/>
      </c>
      <c r="F210" s="24">
        <f t="shared" si="37"/>
        <v>0</v>
      </c>
      <c r="G210" s="24" t="str">
        <f t="shared" si="43"/>
        <v>ELSACE3303OR</v>
      </c>
      <c r="H210" s="24">
        <f t="shared" si="38"/>
        <v>1</v>
      </c>
      <c r="I210" s="24" t="str">
        <f t="shared" si="44"/>
        <v/>
      </c>
      <c r="J210" s="24">
        <f t="shared" si="39"/>
        <v>0</v>
      </c>
      <c r="K210" s="24" t="str">
        <f t="shared" si="45"/>
        <v>E3</v>
      </c>
      <c r="L210" s="24" t="str">
        <f>VLOOKUP(N210,CODE!K:P,CODE!$P$1,FALSE)</f>
        <v>ACC</v>
      </c>
      <c r="M210" s="24" t="str">
        <f>VLOOKUP(MID(Q210,1,3),CODE!$B:$G,CODE!D$1,FALSE)</f>
        <v>ELS</v>
      </c>
      <c r="N210" s="24" t="str">
        <f t="shared" si="46"/>
        <v>AC</v>
      </c>
      <c r="O210" s="29" t="str">
        <f>IF(ISERROR(IF(VLOOKUP($N210,CODE!$K:$P,CODE!$O$1,FALSE)="",$M210,$M210&amp;"-"&amp;VLOOKUP($N210,CODE!$K:$P,CODE!$O$1,FALSE)))=TRUE,"",IF(VLOOKUP($N210,CODE!$K:$P,CODE!$O$1,FALSE)="",$M210,$M210&amp;"-"&amp;VLOOKUP($N210,CODE!$K:$P,CODE!$O$1,FALSE)))</f>
        <v>ELS</v>
      </c>
      <c r="P210" s="29" t="str">
        <f t="shared" si="47"/>
        <v>ELSACE3303</v>
      </c>
      <c r="Q210" s="1" t="s">
        <v>1002</v>
      </c>
      <c r="R210" s="1" t="s">
        <v>14</v>
      </c>
      <c r="S210" s="26">
        <v>1200</v>
      </c>
      <c r="T210" s="26">
        <v>5880000</v>
      </c>
      <c r="U210" s="26">
        <v>811346.40000000014</v>
      </c>
      <c r="V210" s="26">
        <v>6.5883752555684527</v>
      </c>
      <c r="W210" s="26">
        <v>0</v>
      </c>
      <c r="X210" s="26">
        <v>1200</v>
      </c>
    </row>
    <row r="211" spans="1:24">
      <c r="A211" s="24" t="str">
        <f t="shared" si="40"/>
        <v>신규</v>
      </c>
      <c r="B211" s="24" t="str">
        <f>IF(COUNTIF(Q$1:Q210,Q211)=0,"최초","리오더")</f>
        <v>최초</v>
      </c>
      <c r="C211" s="24" t="str">
        <f t="shared" si="41"/>
        <v>ELSACE3304</v>
      </c>
      <c r="D211" s="24">
        <f t="shared" si="36"/>
        <v>1</v>
      </c>
      <c r="E211" s="24" t="str">
        <f t="shared" si="42"/>
        <v/>
      </c>
      <c r="F211" s="24">
        <f t="shared" si="37"/>
        <v>0</v>
      </c>
      <c r="G211" s="24" t="str">
        <f t="shared" si="43"/>
        <v>ELSACE3304BL</v>
      </c>
      <c r="H211" s="24">
        <f t="shared" si="38"/>
        <v>1</v>
      </c>
      <c r="I211" s="24" t="str">
        <f t="shared" si="44"/>
        <v/>
      </c>
      <c r="J211" s="24">
        <f t="shared" si="39"/>
        <v>0</v>
      </c>
      <c r="K211" s="24" t="str">
        <f t="shared" si="45"/>
        <v>E3</v>
      </c>
      <c r="L211" s="24" t="str">
        <f>VLOOKUP(N211,CODE!K:P,CODE!$P$1,FALSE)</f>
        <v>ACC</v>
      </c>
      <c r="M211" s="24" t="str">
        <f>VLOOKUP(MID(Q211,1,3),CODE!$B:$G,CODE!D$1,FALSE)</f>
        <v>ELS</v>
      </c>
      <c r="N211" s="24" t="str">
        <f t="shared" si="46"/>
        <v>AC</v>
      </c>
      <c r="O211" s="29" t="str">
        <f>IF(ISERROR(IF(VLOOKUP($N211,CODE!$K:$P,CODE!$O$1,FALSE)="",$M211,$M211&amp;"-"&amp;VLOOKUP($N211,CODE!$K:$P,CODE!$O$1,FALSE)))=TRUE,"",IF(VLOOKUP($N211,CODE!$K:$P,CODE!$O$1,FALSE)="",$M211,$M211&amp;"-"&amp;VLOOKUP($N211,CODE!$K:$P,CODE!$O$1,FALSE)))</f>
        <v>ELS</v>
      </c>
      <c r="P211" s="29" t="str">
        <f t="shared" si="47"/>
        <v>ELSACE3304</v>
      </c>
      <c r="Q211" s="1" t="s">
        <v>1003</v>
      </c>
      <c r="R211" s="1" t="s">
        <v>14</v>
      </c>
      <c r="S211" s="26">
        <v>1200</v>
      </c>
      <c r="T211" s="26">
        <v>5880000</v>
      </c>
      <c r="U211" s="26">
        <v>811346.40000000014</v>
      </c>
      <c r="V211" s="26">
        <v>6.5883752555684527</v>
      </c>
      <c r="W211" s="26">
        <v>0</v>
      </c>
      <c r="X211" s="26">
        <v>1200</v>
      </c>
    </row>
    <row r="212" spans="1:24">
      <c r="A212" s="24" t="str">
        <f t="shared" si="40"/>
        <v>신규</v>
      </c>
      <c r="B212" s="24" t="str">
        <f>IF(COUNTIF(Q$1:Q211,Q212)=0,"최초","리오더")</f>
        <v>최초</v>
      </c>
      <c r="C212" s="24" t="str">
        <f t="shared" si="41"/>
        <v>NIXBEE5301</v>
      </c>
      <c r="D212" s="24">
        <f t="shared" si="36"/>
        <v>0.5</v>
      </c>
      <c r="E212" s="24" t="str">
        <f t="shared" si="42"/>
        <v/>
      </c>
      <c r="F212" s="24">
        <f t="shared" si="37"/>
        <v>0</v>
      </c>
      <c r="G212" s="24" t="str">
        <f t="shared" si="43"/>
        <v>NIXBEE5301GY</v>
      </c>
      <c r="H212" s="24">
        <f t="shared" si="38"/>
        <v>1</v>
      </c>
      <c r="I212" s="24" t="str">
        <f t="shared" si="44"/>
        <v/>
      </c>
      <c r="J212" s="24">
        <f t="shared" si="39"/>
        <v>0</v>
      </c>
      <c r="K212" s="24" t="str">
        <f t="shared" si="45"/>
        <v>E5</v>
      </c>
      <c r="L212" s="24" t="str">
        <f>VLOOKUP(N212,CODE!K:P,CODE!$P$1,FALSE)</f>
        <v>모자</v>
      </c>
      <c r="M212" s="24" t="str">
        <f>VLOOKUP(MID(Q212,1,3),CODE!$B:$G,CODE!D$1,FALSE)</f>
        <v>NIX</v>
      </c>
      <c r="N212" s="24" t="str">
        <f t="shared" si="46"/>
        <v>BE</v>
      </c>
      <c r="O212" s="29" t="str">
        <f>IF(ISERROR(IF(VLOOKUP($N212,CODE!$K:$P,CODE!$O$1,FALSE)="",$M212,$M212&amp;"-"&amp;VLOOKUP($N212,CODE!$K:$P,CODE!$O$1,FALSE)))=TRUE,"",IF(VLOOKUP($N212,CODE!$K:$P,CODE!$O$1,FALSE)="",$M212,$M212&amp;"-"&amp;VLOOKUP($N212,CODE!$K:$P,CODE!$O$1,FALSE)))</f>
        <v>NIX</v>
      </c>
      <c r="P212" s="29" t="str">
        <f t="shared" si="47"/>
        <v>NIXBEE5301</v>
      </c>
      <c r="Q212" s="1" t="s">
        <v>1004</v>
      </c>
      <c r="R212" s="1" t="s">
        <v>15</v>
      </c>
      <c r="S212" s="26">
        <v>300</v>
      </c>
      <c r="T212" s="26">
        <v>9900000</v>
      </c>
      <c r="U212" s="26">
        <v>3599999.9999999995</v>
      </c>
      <c r="V212" s="26">
        <v>2.5</v>
      </c>
      <c r="W212" s="26">
        <v>0</v>
      </c>
      <c r="X212" s="26">
        <v>300</v>
      </c>
    </row>
    <row r="213" spans="1:24">
      <c r="A213" s="24" t="str">
        <f t="shared" si="40"/>
        <v>신규</v>
      </c>
      <c r="B213" s="24" t="str">
        <f>IF(COUNTIF(Q$1:Q212,Q213)=0,"최초","리오더")</f>
        <v>최초</v>
      </c>
      <c r="C213" s="24" t="str">
        <f t="shared" si="41"/>
        <v>NIXBEE5301</v>
      </c>
      <c r="D213" s="24">
        <f t="shared" si="36"/>
        <v>0.5</v>
      </c>
      <c r="E213" s="24" t="str">
        <f t="shared" si="42"/>
        <v/>
      </c>
      <c r="F213" s="24">
        <f t="shared" si="37"/>
        <v>0</v>
      </c>
      <c r="G213" s="24" t="str">
        <f t="shared" si="43"/>
        <v>NIXBEE5301NY</v>
      </c>
      <c r="H213" s="24">
        <f t="shared" si="38"/>
        <v>1</v>
      </c>
      <c r="I213" s="24" t="str">
        <f t="shared" si="44"/>
        <v/>
      </c>
      <c r="J213" s="24">
        <f t="shared" si="39"/>
        <v>0</v>
      </c>
      <c r="K213" s="24" t="str">
        <f t="shared" si="45"/>
        <v>E5</v>
      </c>
      <c r="L213" s="24" t="str">
        <f>VLOOKUP(N213,CODE!K:P,CODE!$P$1,FALSE)</f>
        <v>모자</v>
      </c>
      <c r="M213" s="24" t="str">
        <f>VLOOKUP(MID(Q213,1,3),CODE!$B:$G,CODE!D$1,FALSE)</f>
        <v>NIX</v>
      </c>
      <c r="N213" s="24" t="str">
        <f t="shared" si="46"/>
        <v>BE</v>
      </c>
      <c r="O213" s="29" t="str">
        <f>IF(ISERROR(IF(VLOOKUP($N213,CODE!$K:$P,CODE!$O$1,FALSE)="",$M213,$M213&amp;"-"&amp;VLOOKUP($N213,CODE!$K:$P,CODE!$O$1,FALSE)))=TRUE,"",IF(VLOOKUP($N213,CODE!$K:$P,CODE!$O$1,FALSE)="",$M213,$M213&amp;"-"&amp;VLOOKUP($N213,CODE!$K:$P,CODE!$O$1,FALSE)))</f>
        <v>NIX</v>
      </c>
      <c r="P213" s="29" t="str">
        <f t="shared" si="47"/>
        <v>NIXBEE5301</v>
      </c>
      <c r="Q213" s="1" t="s">
        <v>1005</v>
      </c>
      <c r="R213" s="1" t="s">
        <v>15</v>
      </c>
      <c r="S213" s="26">
        <v>400</v>
      </c>
      <c r="T213" s="26">
        <v>13200000</v>
      </c>
      <c r="U213" s="26">
        <v>4799999.9999999991</v>
      </c>
      <c r="V213" s="26">
        <v>2.5000000000000004</v>
      </c>
      <c r="W213" s="26">
        <v>0</v>
      </c>
      <c r="X213" s="26">
        <v>400</v>
      </c>
    </row>
    <row r="214" spans="1:24">
      <c r="A214" s="24" t="str">
        <f t="shared" si="40"/>
        <v>신규</v>
      </c>
      <c r="B214" s="24" t="str">
        <f>IF(COUNTIF(Q$1:Q213,Q214)=0,"최초","리오더")</f>
        <v>최초</v>
      </c>
      <c r="C214" s="24" t="str">
        <f t="shared" si="41"/>
        <v>NIXFIE3302</v>
      </c>
      <c r="D214" s="24">
        <f t="shared" si="36"/>
        <v>1</v>
      </c>
      <c r="E214" s="24" t="str">
        <f t="shared" si="42"/>
        <v/>
      </c>
      <c r="F214" s="24">
        <f t="shared" si="37"/>
        <v>0</v>
      </c>
      <c r="G214" s="24" t="str">
        <f t="shared" si="43"/>
        <v>NIXFIE3302BK</v>
      </c>
      <c r="H214" s="24">
        <f t="shared" si="38"/>
        <v>1</v>
      </c>
      <c r="I214" s="24" t="str">
        <f t="shared" si="44"/>
        <v/>
      </c>
      <c r="J214" s="24">
        <f t="shared" si="39"/>
        <v>0</v>
      </c>
      <c r="K214" s="24" t="str">
        <f t="shared" si="45"/>
        <v>E3</v>
      </c>
      <c r="L214" s="24" t="str">
        <f>VLOOKUP(N214,CODE!K:P,CODE!$P$1,FALSE)</f>
        <v>모자</v>
      </c>
      <c r="M214" s="24" t="str">
        <f>VLOOKUP(MID(Q214,1,3),CODE!$B:$G,CODE!D$1,FALSE)</f>
        <v>NIX</v>
      </c>
      <c r="N214" s="24" t="str">
        <f t="shared" si="46"/>
        <v>FI</v>
      </c>
      <c r="O214" s="29" t="str">
        <f>IF(ISERROR(IF(VLOOKUP($N214,CODE!$K:$P,CODE!$O$1,FALSE)="",$M214,$M214&amp;"-"&amp;VLOOKUP($N214,CODE!$K:$P,CODE!$O$1,FALSE)))=TRUE,"",IF(VLOOKUP($N214,CODE!$K:$P,CODE!$O$1,FALSE)="",$M214,$M214&amp;"-"&amp;VLOOKUP($N214,CODE!$K:$P,CODE!$O$1,FALSE)))</f>
        <v>NIX</v>
      </c>
      <c r="P214" s="29" t="str">
        <f t="shared" si="47"/>
        <v>NIXFIE3302</v>
      </c>
      <c r="Q214" s="1" t="s">
        <v>1006</v>
      </c>
      <c r="R214" s="1" t="s">
        <v>15</v>
      </c>
      <c r="S214" s="26">
        <v>300</v>
      </c>
      <c r="T214" s="26">
        <v>11700000</v>
      </c>
      <c r="U214" s="26">
        <v>4254545.4545454541</v>
      </c>
      <c r="V214" s="26">
        <v>2.5</v>
      </c>
      <c r="W214" s="26">
        <v>0</v>
      </c>
      <c r="X214" s="26">
        <v>300</v>
      </c>
    </row>
    <row r="215" spans="1:24">
      <c r="A215" s="24" t="str">
        <f t="shared" si="40"/>
        <v>신규</v>
      </c>
      <c r="B215" s="24" t="str">
        <f>IF(COUNTIF(Q$1:Q214,Q215)=0,"최초","리오더")</f>
        <v>최초</v>
      </c>
      <c r="C215" s="24" t="str">
        <f t="shared" si="41"/>
        <v>NIXFIE3303</v>
      </c>
      <c r="D215" s="24">
        <f t="shared" si="36"/>
        <v>0.5</v>
      </c>
      <c r="E215" s="24" t="str">
        <f t="shared" si="42"/>
        <v/>
      </c>
      <c r="F215" s="24">
        <f t="shared" si="37"/>
        <v>0</v>
      </c>
      <c r="G215" s="24" t="str">
        <f t="shared" si="43"/>
        <v>NIXFIE3303BW</v>
      </c>
      <c r="H215" s="24">
        <f t="shared" si="38"/>
        <v>1</v>
      </c>
      <c r="I215" s="24" t="str">
        <f t="shared" si="44"/>
        <v/>
      </c>
      <c r="J215" s="24">
        <f t="shared" si="39"/>
        <v>0</v>
      </c>
      <c r="K215" s="24" t="str">
        <f t="shared" si="45"/>
        <v>E3</v>
      </c>
      <c r="L215" s="24" t="str">
        <f>VLOOKUP(N215,CODE!K:P,CODE!$P$1,FALSE)</f>
        <v>모자</v>
      </c>
      <c r="M215" s="24" t="str">
        <f>VLOOKUP(MID(Q215,1,3),CODE!$B:$G,CODE!D$1,FALSE)</f>
        <v>NIX</v>
      </c>
      <c r="N215" s="24" t="str">
        <f t="shared" si="46"/>
        <v>FI</v>
      </c>
      <c r="O215" s="29" t="str">
        <f>IF(ISERROR(IF(VLOOKUP($N215,CODE!$K:$P,CODE!$O$1,FALSE)="",$M215,$M215&amp;"-"&amp;VLOOKUP($N215,CODE!$K:$P,CODE!$O$1,FALSE)))=TRUE,"",IF(VLOOKUP($N215,CODE!$K:$P,CODE!$O$1,FALSE)="",$M215,$M215&amp;"-"&amp;VLOOKUP($N215,CODE!$K:$P,CODE!$O$1,FALSE)))</f>
        <v>NIX</v>
      </c>
      <c r="P215" s="29" t="str">
        <f t="shared" si="47"/>
        <v>NIXFIE3303</v>
      </c>
      <c r="Q215" s="1" t="s">
        <v>1007</v>
      </c>
      <c r="R215" s="1" t="s">
        <v>15</v>
      </c>
      <c r="S215" s="26">
        <v>400</v>
      </c>
      <c r="T215" s="26">
        <v>15600000</v>
      </c>
      <c r="U215" s="26">
        <v>5672727.2727272725</v>
      </c>
      <c r="V215" s="26">
        <v>2.5</v>
      </c>
      <c r="W215" s="26">
        <v>0</v>
      </c>
      <c r="X215" s="26">
        <v>400</v>
      </c>
    </row>
    <row r="216" spans="1:24">
      <c r="A216" s="24" t="str">
        <f t="shared" si="40"/>
        <v>신규</v>
      </c>
      <c r="B216" s="24" t="str">
        <f>IF(COUNTIF(Q$1:Q215,Q216)=0,"최초","리오더")</f>
        <v>최초</v>
      </c>
      <c r="C216" s="24" t="str">
        <f t="shared" si="41"/>
        <v>NIXFIE3303</v>
      </c>
      <c r="D216" s="24">
        <f t="shared" si="36"/>
        <v>0.5</v>
      </c>
      <c r="E216" s="24" t="str">
        <f t="shared" si="42"/>
        <v/>
      </c>
      <c r="F216" s="24">
        <f t="shared" si="37"/>
        <v>0</v>
      </c>
      <c r="G216" s="24" t="str">
        <f t="shared" si="43"/>
        <v>NIXFIE3303RE</v>
      </c>
      <c r="H216" s="24">
        <f t="shared" si="38"/>
        <v>1</v>
      </c>
      <c r="I216" s="24" t="str">
        <f t="shared" si="44"/>
        <v/>
      </c>
      <c r="J216" s="24">
        <f t="shared" si="39"/>
        <v>0</v>
      </c>
      <c r="K216" s="24" t="str">
        <f t="shared" si="45"/>
        <v>E3</v>
      </c>
      <c r="L216" s="24" t="str">
        <f>VLOOKUP(N216,CODE!K:P,CODE!$P$1,FALSE)</f>
        <v>모자</v>
      </c>
      <c r="M216" s="24" t="str">
        <f>VLOOKUP(MID(Q216,1,3),CODE!$B:$G,CODE!D$1,FALSE)</f>
        <v>NIX</v>
      </c>
      <c r="N216" s="24" t="str">
        <f t="shared" si="46"/>
        <v>FI</v>
      </c>
      <c r="O216" s="29" t="str">
        <f>IF(ISERROR(IF(VLOOKUP($N216,CODE!$K:$P,CODE!$O$1,FALSE)="",$M216,$M216&amp;"-"&amp;VLOOKUP($N216,CODE!$K:$P,CODE!$O$1,FALSE)))=TRUE,"",IF(VLOOKUP($N216,CODE!$K:$P,CODE!$O$1,FALSE)="",$M216,$M216&amp;"-"&amp;VLOOKUP($N216,CODE!$K:$P,CODE!$O$1,FALSE)))</f>
        <v>NIX</v>
      </c>
      <c r="P216" s="29" t="str">
        <f t="shared" si="47"/>
        <v>NIXFIE3303</v>
      </c>
      <c r="Q216" s="1" t="s">
        <v>1008</v>
      </c>
      <c r="R216" s="1" t="s">
        <v>15</v>
      </c>
      <c r="S216" s="26">
        <v>400</v>
      </c>
      <c r="T216" s="26">
        <v>15600000</v>
      </c>
      <c r="U216" s="26">
        <v>5672727.2727272725</v>
      </c>
      <c r="V216" s="26">
        <v>2.5</v>
      </c>
      <c r="W216" s="26">
        <v>0</v>
      </c>
      <c r="X216" s="26">
        <v>400</v>
      </c>
    </row>
    <row r="217" spans="1:24">
      <c r="A217" s="24" t="str">
        <f t="shared" si="40"/>
        <v>신규</v>
      </c>
      <c r="B217" s="24" t="str">
        <f>IF(COUNTIF(Q$1:Q216,Q217)=0,"최초","리오더")</f>
        <v>최초</v>
      </c>
      <c r="C217" s="24" t="str">
        <f t="shared" si="41"/>
        <v>NIXFIE3304</v>
      </c>
      <c r="D217" s="24">
        <f t="shared" si="36"/>
        <v>1</v>
      </c>
      <c r="E217" s="24" t="str">
        <f t="shared" si="42"/>
        <v/>
      </c>
      <c r="F217" s="24">
        <f t="shared" si="37"/>
        <v>0</v>
      </c>
      <c r="G217" s="24" t="str">
        <f t="shared" si="43"/>
        <v>NIXFIE3304GY</v>
      </c>
      <c r="H217" s="24">
        <f t="shared" si="38"/>
        <v>1</v>
      </c>
      <c r="I217" s="24" t="str">
        <f t="shared" si="44"/>
        <v/>
      </c>
      <c r="J217" s="24">
        <f t="shared" si="39"/>
        <v>0</v>
      </c>
      <c r="K217" s="24" t="str">
        <f t="shared" si="45"/>
        <v>E3</v>
      </c>
      <c r="L217" s="24" t="str">
        <f>VLOOKUP(N217,CODE!K:P,CODE!$P$1,FALSE)</f>
        <v>모자</v>
      </c>
      <c r="M217" s="24" t="str">
        <f>VLOOKUP(MID(Q217,1,3),CODE!$B:$G,CODE!D$1,FALSE)</f>
        <v>NIX</v>
      </c>
      <c r="N217" s="24" t="str">
        <f t="shared" si="46"/>
        <v>FI</v>
      </c>
      <c r="O217" s="29" t="str">
        <f>IF(ISERROR(IF(VLOOKUP($N217,CODE!$K:$P,CODE!$O$1,FALSE)="",$M217,$M217&amp;"-"&amp;VLOOKUP($N217,CODE!$K:$P,CODE!$O$1,FALSE)))=TRUE,"",IF(VLOOKUP($N217,CODE!$K:$P,CODE!$O$1,FALSE)="",$M217,$M217&amp;"-"&amp;VLOOKUP($N217,CODE!$K:$P,CODE!$O$1,FALSE)))</f>
        <v>NIX</v>
      </c>
      <c r="P217" s="29" t="str">
        <f t="shared" si="47"/>
        <v>NIXFIE3304</v>
      </c>
      <c r="Q217" s="1" t="s">
        <v>1009</v>
      </c>
      <c r="R217" s="1" t="s">
        <v>15</v>
      </c>
      <c r="S217" s="26">
        <v>400</v>
      </c>
      <c r="T217" s="26">
        <v>13200000</v>
      </c>
      <c r="U217" s="26">
        <v>4799999.9999999991</v>
      </c>
      <c r="V217" s="26">
        <v>2.5000000000000004</v>
      </c>
      <c r="W217" s="26">
        <v>0</v>
      </c>
      <c r="X217" s="26">
        <v>400</v>
      </c>
    </row>
    <row r="218" spans="1:24">
      <c r="A218" s="24" t="str">
        <f t="shared" si="40"/>
        <v>신규</v>
      </c>
      <c r="B218" s="24" t="str">
        <f>IF(COUNTIF(Q$1:Q217,Q218)=0,"최초","리오더")</f>
        <v>최초</v>
      </c>
      <c r="C218" s="24" t="str">
        <f t="shared" si="41"/>
        <v>NIXFIE3305</v>
      </c>
      <c r="D218" s="24">
        <f t="shared" si="36"/>
        <v>0.5</v>
      </c>
      <c r="E218" s="24" t="str">
        <f t="shared" si="42"/>
        <v/>
      </c>
      <c r="F218" s="24">
        <f t="shared" si="37"/>
        <v>0</v>
      </c>
      <c r="G218" s="24" t="str">
        <f t="shared" si="43"/>
        <v>NIXFIE3305NY</v>
      </c>
      <c r="H218" s="24">
        <f t="shared" si="38"/>
        <v>1</v>
      </c>
      <c r="I218" s="24" t="str">
        <f t="shared" si="44"/>
        <v/>
      </c>
      <c r="J218" s="24">
        <f t="shared" si="39"/>
        <v>0</v>
      </c>
      <c r="K218" s="24" t="str">
        <f t="shared" si="45"/>
        <v>E3</v>
      </c>
      <c r="L218" s="24" t="str">
        <f>VLOOKUP(N218,CODE!K:P,CODE!$P$1,FALSE)</f>
        <v>모자</v>
      </c>
      <c r="M218" s="24" t="str">
        <f>VLOOKUP(MID(Q218,1,3),CODE!$B:$G,CODE!D$1,FALSE)</f>
        <v>NIX</v>
      </c>
      <c r="N218" s="24" t="str">
        <f t="shared" si="46"/>
        <v>FI</v>
      </c>
      <c r="O218" s="29" t="str">
        <f>IF(ISERROR(IF(VLOOKUP($N218,CODE!$K:$P,CODE!$O$1,FALSE)="",$M218,$M218&amp;"-"&amp;VLOOKUP($N218,CODE!$K:$P,CODE!$O$1,FALSE)))=TRUE,"",IF(VLOOKUP($N218,CODE!$K:$P,CODE!$O$1,FALSE)="",$M218,$M218&amp;"-"&amp;VLOOKUP($N218,CODE!$K:$P,CODE!$O$1,FALSE)))</f>
        <v>NIX</v>
      </c>
      <c r="P218" s="29" t="str">
        <f t="shared" si="47"/>
        <v>NIXFIE3305</v>
      </c>
      <c r="Q218" s="1" t="s">
        <v>1010</v>
      </c>
      <c r="R218" s="1" t="s">
        <v>15</v>
      </c>
      <c r="S218" s="26">
        <v>400</v>
      </c>
      <c r="T218" s="26">
        <v>15600000</v>
      </c>
      <c r="U218" s="26">
        <v>5672727.2727272725</v>
      </c>
      <c r="V218" s="26">
        <v>2.5</v>
      </c>
      <c r="W218" s="26">
        <v>0</v>
      </c>
      <c r="X218" s="26">
        <v>400</v>
      </c>
    </row>
    <row r="219" spans="1:24">
      <c r="A219" s="24" t="str">
        <f t="shared" si="40"/>
        <v>신규</v>
      </c>
      <c r="B219" s="24" t="str">
        <f>IF(COUNTIF(Q$1:Q218,Q219)=0,"최초","리오더")</f>
        <v>최초</v>
      </c>
      <c r="C219" s="24" t="str">
        <f t="shared" si="41"/>
        <v>NIXFIE3305</v>
      </c>
      <c r="D219" s="24">
        <f t="shared" si="36"/>
        <v>0.5</v>
      </c>
      <c r="E219" s="24" t="str">
        <f t="shared" si="42"/>
        <v/>
      </c>
      <c r="F219" s="24">
        <f t="shared" si="37"/>
        <v>0</v>
      </c>
      <c r="G219" s="24" t="str">
        <f t="shared" si="43"/>
        <v>NIXFIE3305IV</v>
      </c>
      <c r="H219" s="24">
        <f t="shared" si="38"/>
        <v>1</v>
      </c>
      <c r="I219" s="24" t="str">
        <f t="shared" si="44"/>
        <v/>
      </c>
      <c r="J219" s="24">
        <f t="shared" si="39"/>
        <v>0</v>
      </c>
      <c r="K219" s="24" t="str">
        <f t="shared" si="45"/>
        <v>E3</v>
      </c>
      <c r="L219" s="24" t="str">
        <f>VLOOKUP(N219,CODE!K:P,CODE!$P$1,FALSE)</f>
        <v>모자</v>
      </c>
      <c r="M219" s="24" t="str">
        <f>VLOOKUP(MID(Q219,1,3),CODE!$B:$G,CODE!D$1,FALSE)</f>
        <v>NIX</v>
      </c>
      <c r="N219" s="24" t="str">
        <f t="shared" si="46"/>
        <v>FI</v>
      </c>
      <c r="O219" s="29" t="str">
        <f>IF(ISERROR(IF(VLOOKUP($N219,CODE!$K:$P,CODE!$O$1,FALSE)="",$M219,$M219&amp;"-"&amp;VLOOKUP($N219,CODE!$K:$P,CODE!$O$1,FALSE)))=TRUE,"",IF(VLOOKUP($N219,CODE!$K:$P,CODE!$O$1,FALSE)="",$M219,$M219&amp;"-"&amp;VLOOKUP($N219,CODE!$K:$P,CODE!$O$1,FALSE)))</f>
        <v>NIX</v>
      </c>
      <c r="P219" s="29" t="str">
        <f t="shared" si="47"/>
        <v>NIXFIE3305</v>
      </c>
      <c r="Q219" s="1" t="s">
        <v>1011</v>
      </c>
      <c r="R219" s="1" t="s">
        <v>15</v>
      </c>
      <c r="S219" s="26">
        <v>300</v>
      </c>
      <c r="T219" s="26">
        <v>11700000</v>
      </c>
      <c r="U219" s="26">
        <v>4254545.4545454541</v>
      </c>
      <c r="V219" s="26">
        <v>2.5</v>
      </c>
      <c r="W219" s="26">
        <v>0</v>
      </c>
      <c r="X219" s="26">
        <v>300</v>
      </c>
    </row>
    <row r="220" spans="1:24">
      <c r="A220" s="24" t="str">
        <f t="shared" si="40"/>
        <v>신규</v>
      </c>
      <c r="B220" s="24" t="str">
        <f>IF(COUNTIF(Q$1:Q219,Q220)=0,"최초","리오더")</f>
        <v>최초</v>
      </c>
      <c r="C220" s="24" t="str">
        <f t="shared" si="41"/>
        <v>ELSTPE5301</v>
      </c>
      <c r="D220" s="24">
        <f t="shared" si="36"/>
        <v>0.5</v>
      </c>
      <c r="E220" s="24" t="str">
        <f t="shared" si="42"/>
        <v/>
      </c>
      <c r="F220" s="24">
        <f t="shared" si="37"/>
        <v>0</v>
      </c>
      <c r="G220" s="24" t="str">
        <f t="shared" si="43"/>
        <v>ELSTPE5301NY</v>
      </c>
      <c r="H220" s="24">
        <f t="shared" si="38"/>
        <v>0.5</v>
      </c>
      <c r="I220" s="24" t="str">
        <f t="shared" si="44"/>
        <v/>
      </c>
      <c r="J220" s="24">
        <f t="shared" si="39"/>
        <v>0</v>
      </c>
      <c r="K220" s="24" t="str">
        <f t="shared" si="45"/>
        <v>E5</v>
      </c>
      <c r="L220" s="24" t="str">
        <f>VLOOKUP(N220,CODE!K:P,CODE!$P$1,FALSE)</f>
        <v>모자</v>
      </c>
      <c r="M220" s="24" t="str">
        <f>VLOOKUP(MID(Q220,1,3),CODE!$B:$G,CODE!D$1,FALSE)</f>
        <v>ELS</v>
      </c>
      <c r="N220" s="24" t="str">
        <f t="shared" si="46"/>
        <v>TP</v>
      </c>
      <c r="O220" s="29" t="str">
        <f>IF(ISERROR(IF(VLOOKUP($N220,CODE!$K:$P,CODE!$O$1,FALSE)="",$M220,$M220&amp;"-"&amp;VLOOKUP($N220,CODE!$K:$P,CODE!$O$1,FALSE)))=TRUE,"",IF(VLOOKUP($N220,CODE!$K:$P,CODE!$O$1,FALSE)="",$M220,$M220&amp;"-"&amp;VLOOKUP($N220,CODE!$K:$P,CODE!$O$1,FALSE)))</f>
        <v>ELS</v>
      </c>
      <c r="P220" s="29" t="str">
        <f t="shared" si="47"/>
        <v>ELSTPE5301</v>
      </c>
      <c r="Q220" s="1" t="s">
        <v>1012</v>
      </c>
      <c r="R220" s="1" t="s">
        <v>14</v>
      </c>
      <c r="S220" s="26">
        <v>800</v>
      </c>
      <c r="T220" s="26">
        <v>47200000</v>
      </c>
      <c r="U220" s="26">
        <v>7812384.0000000009</v>
      </c>
      <c r="V220" s="26">
        <v>5.4924451881897891</v>
      </c>
      <c r="W220" s="26">
        <v>0</v>
      </c>
      <c r="X220" s="26">
        <v>800</v>
      </c>
    </row>
    <row r="221" spans="1:24">
      <c r="A221" s="24" t="str">
        <f t="shared" si="40"/>
        <v>신규</v>
      </c>
      <c r="B221" s="24" t="str">
        <f>IF(COUNTIF(Q$1:Q220,Q221)=0,"최초","리오더")</f>
        <v>최초</v>
      </c>
      <c r="C221" s="24" t="str">
        <f t="shared" si="41"/>
        <v>ELSTPE5801</v>
      </c>
      <c r="D221" s="24">
        <f t="shared" si="36"/>
        <v>0.5</v>
      </c>
      <c r="E221" s="24" t="str">
        <f t="shared" si="42"/>
        <v/>
      </c>
      <c r="F221" s="24">
        <f t="shared" si="37"/>
        <v>0</v>
      </c>
      <c r="G221" s="24" t="str">
        <f t="shared" si="43"/>
        <v>ELSTPE5801NY</v>
      </c>
      <c r="H221" s="24">
        <f t="shared" si="38"/>
        <v>0.5</v>
      </c>
      <c r="I221" s="24" t="str">
        <f t="shared" si="44"/>
        <v/>
      </c>
      <c r="J221" s="24">
        <f t="shared" si="39"/>
        <v>0</v>
      </c>
      <c r="K221" s="24" t="str">
        <f t="shared" si="45"/>
        <v>E5</v>
      </c>
      <c r="L221" s="24" t="str">
        <f>VLOOKUP(N221,CODE!K:P,CODE!$P$1,FALSE)</f>
        <v>모자</v>
      </c>
      <c r="M221" s="24" t="str">
        <f>VLOOKUP(MID(Q221,1,3),CODE!$B:$G,CODE!D$1,FALSE)</f>
        <v>ELS</v>
      </c>
      <c r="N221" s="24" t="str">
        <f t="shared" si="46"/>
        <v>TP</v>
      </c>
      <c r="O221" s="29" t="str">
        <f>IF(ISERROR(IF(VLOOKUP($N221,CODE!$K:$P,CODE!$O$1,FALSE)="",$M221,$M221&amp;"-"&amp;VLOOKUP($N221,CODE!$K:$P,CODE!$O$1,FALSE)))=TRUE,"",IF(VLOOKUP($N221,CODE!$K:$P,CODE!$O$1,FALSE)="",$M221,$M221&amp;"-"&amp;VLOOKUP($N221,CODE!$K:$P,CODE!$O$1,FALSE)))</f>
        <v>ELS</v>
      </c>
      <c r="P221" s="29" t="str">
        <f t="shared" si="47"/>
        <v>ELSTPE5801</v>
      </c>
      <c r="Q221" s="1" t="s">
        <v>1013</v>
      </c>
      <c r="R221" s="1" t="s">
        <v>14</v>
      </c>
      <c r="S221" s="26">
        <v>600</v>
      </c>
      <c r="T221" s="26">
        <v>33000000</v>
      </c>
      <c r="U221" s="26">
        <v>5858688.0000000009</v>
      </c>
      <c r="V221" s="26">
        <v>5.1206003801533706</v>
      </c>
      <c r="W221" s="26">
        <v>0</v>
      </c>
      <c r="X221" s="26">
        <v>600</v>
      </c>
    </row>
    <row r="222" spans="1:24">
      <c r="A222" s="24" t="str">
        <f t="shared" si="40"/>
        <v>신규</v>
      </c>
      <c r="B222" s="24" t="str">
        <f>IF(COUNTIF(Q$1:Q221,Q222)=0,"최초","리오더")</f>
        <v>최초</v>
      </c>
      <c r="C222" s="24" t="str">
        <f t="shared" si="41"/>
        <v>ELSBEE5302</v>
      </c>
      <c r="D222" s="24">
        <f t="shared" si="36"/>
        <v>1</v>
      </c>
      <c r="E222" s="24" t="str">
        <f t="shared" si="42"/>
        <v/>
      </c>
      <c r="F222" s="24">
        <f t="shared" si="37"/>
        <v>0</v>
      </c>
      <c r="G222" s="24" t="str">
        <f t="shared" si="43"/>
        <v>ELSBEE5302GR</v>
      </c>
      <c r="H222" s="24">
        <f t="shared" si="38"/>
        <v>1</v>
      </c>
      <c r="I222" s="24" t="str">
        <f t="shared" si="44"/>
        <v/>
      </c>
      <c r="J222" s="24">
        <f t="shared" si="39"/>
        <v>0</v>
      </c>
      <c r="K222" s="24" t="str">
        <f t="shared" si="45"/>
        <v>E5</v>
      </c>
      <c r="L222" s="24" t="str">
        <f>VLOOKUP(N222,CODE!K:P,CODE!$P$1,FALSE)</f>
        <v>모자</v>
      </c>
      <c r="M222" s="24" t="str">
        <f>VLOOKUP(MID(Q222,1,3),CODE!$B:$G,CODE!D$1,FALSE)</f>
        <v>ELS</v>
      </c>
      <c r="N222" s="24" t="str">
        <f t="shared" si="46"/>
        <v>BE</v>
      </c>
      <c r="O222" s="29" t="str">
        <f>IF(ISERROR(IF(VLOOKUP($N222,CODE!$K:$P,CODE!$O$1,FALSE)="",$M222,$M222&amp;"-"&amp;VLOOKUP($N222,CODE!$K:$P,CODE!$O$1,FALSE)))=TRUE,"",IF(VLOOKUP($N222,CODE!$K:$P,CODE!$O$1,FALSE)="",$M222,$M222&amp;"-"&amp;VLOOKUP($N222,CODE!$K:$P,CODE!$O$1,FALSE)))</f>
        <v>ELS</v>
      </c>
      <c r="P222" s="29" t="str">
        <f t="shared" si="47"/>
        <v>ELSBEE5302</v>
      </c>
      <c r="Q222" s="1" t="s">
        <v>1014</v>
      </c>
      <c r="R222" s="1" t="s">
        <v>14</v>
      </c>
      <c r="S222" s="26">
        <v>500</v>
      </c>
      <c r="T222" s="26">
        <v>24500000</v>
      </c>
      <c r="U222" s="26">
        <v>3120260</v>
      </c>
      <c r="V222" s="26">
        <v>7.1380997970448838</v>
      </c>
      <c r="W222" s="26">
        <v>0</v>
      </c>
      <c r="X222" s="26">
        <v>500</v>
      </c>
    </row>
    <row r="223" spans="1:24">
      <c r="A223" s="24" t="str">
        <f t="shared" si="40"/>
        <v>신규</v>
      </c>
      <c r="B223" s="24" t="str">
        <f>IF(COUNTIF(Q$1:Q222,Q223)=0,"최초","리오더")</f>
        <v>최초</v>
      </c>
      <c r="C223" s="24" t="str">
        <f t="shared" si="41"/>
        <v>ELSBEE5802</v>
      </c>
      <c r="D223" s="24">
        <f t="shared" si="36"/>
        <v>1</v>
      </c>
      <c r="E223" s="24" t="str">
        <f t="shared" si="42"/>
        <v/>
      </c>
      <c r="F223" s="24">
        <f t="shared" si="37"/>
        <v>0</v>
      </c>
      <c r="G223" s="24" t="str">
        <f t="shared" si="43"/>
        <v>ELSBEE5802GR</v>
      </c>
      <c r="H223" s="24">
        <f t="shared" si="38"/>
        <v>1</v>
      </c>
      <c r="I223" s="24" t="str">
        <f t="shared" si="44"/>
        <v/>
      </c>
      <c r="J223" s="24">
        <f t="shared" si="39"/>
        <v>0</v>
      </c>
      <c r="K223" s="24" t="str">
        <f t="shared" si="45"/>
        <v>E5</v>
      </c>
      <c r="L223" s="24" t="str">
        <f>VLOOKUP(N223,CODE!K:P,CODE!$P$1,FALSE)</f>
        <v>모자</v>
      </c>
      <c r="M223" s="24" t="str">
        <f>VLOOKUP(MID(Q223,1,3),CODE!$B:$G,CODE!D$1,FALSE)</f>
        <v>ELS</v>
      </c>
      <c r="N223" s="24" t="str">
        <f t="shared" si="46"/>
        <v>BE</v>
      </c>
      <c r="O223" s="29" t="str">
        <f>IF(ISERROR(IF(VLOOKUP($N223,CODE!$K:$P,CODE!$O$1,FALSE)="",$M223,$M223&amp;"-"&amp;VLOOKUP($N223,CODE!$K:$P,CODE!$O$1,FALSE)))=TRUE,"",IF(VLOOKUP($N223,CODE!$K:$P,CODE!$O$1,FALSE)="",$M223,$M223&amp;"-"&amp;VLOOKUP($N223,CODE!$K:$P,CODE!$O$1,FALSE)))</f>
        <v>ELS</v>
      </c>
      <c r="P223" s="29" t="str">
        <f t="shared" si="47"/>
        <v>ELSBEE5802</v>
      </c>
      <c r="Q223" s="1" t="s">
        <v>1015</v>
      </c>
      <c r="R223" s="1" t="s">
        <v>14</v>
      </c>
      <c r="S223" s="26">
        <v>500</v>
      </c>
      <c r="T223" s="26">
        <v>22500000</v>
      </c>
      <c r="U223" s="26">
        <v>3057890.0000000005</v>
      </c>
      <c r="V223" s="26">
        <v>6.6891044002712485</v>
      </c>
      <c r="W223" s="26">
        <v>0</v>
      </c>
      <c r="X223" s="26">
        <v>500</v>
      </c>
    </row>
    <row r="224" spans="1:24">
      <c r="A224" s="24" t="str">
        <f t="shared" si="40"/>
        <v>신규</v>
      </c>
      <c r="B224" s="24" t="str">
        <f>IF(COUNTIF(Q$1:Q223,Q224)=0,"최초","리오더")</f>
        <v>최초</v>
      </c>
      <c r="C224" s="24" t="str">
        <f t="shared" si="41"/>
        <v>ELSBEE5303</v>
      </c>
      <c r="D224" s="24">
        <f t="shared" si="36"/>
        <v>1</v>
      </c>
      <c r="E224" s="24" t="str">
        <f t="shared" si="42"/>
        <v/>
      </c>
      <c r="F224" s="24">
        <f t="shared" si="37"/>
        <v>0</v>
      </c>
      <c r="G224" s="24" t="str">
        <f t="shared" si="43"/>
        <v>ELSBEE5303BL</v>
      </c>
      <c r="H224" s="24">
        <f t="shared" si="38"/>
        <v>1</v>
      </c>
      <c r="I224" s="24" t="str">
        <f t="shared" si="44"/>
        <v/>
      </c>
      <c r="J224" s="24">
        <f t="shared" si="39"/>
        <v>0</v>
      </c>
      <c r="K224" s="24" t="str">
        <f t="shared" si="45"/>
        <v>E5</v>
      </c>
      <c r="L224" s="24" t="str">
        <f>VLOOKUP(N224,CODE!K:P,CODE!$P$1,FALSE)</f>
        <v>모자</v>
      </c>
      <c r="M224" s="24" t="str">
        <f>VLOOKUP(MID(Q224,1,3),CODE!$B:$G,CODE!D$1,FALSE)</f>
        <v>ELS</v>
      </c>
      <c r="N224" s="24" t="str">
        <f t="shared" si="46"/>
        <v>BE</v>
      </c>
      <c r="O224" s="29" t="str">
        <f>IF(ISERROR(IF(VLOOKUP($N224,CODE!$K:$P,CODE!$O$1,FALSE)="",$M224,$M224&amp;"-"&amp;VLOOKUP($N224,CODE!$K:$P,CODE!$O$1,FALSE)))=TRUE,"",IF(VLOOKUP($N224,CODE!$K:$P,CODE!$O$1,FALSE)="",$M224,$M224&amp;"-"&amp;VLOOKUP($N224,CODE!$K:$P,CODE!$O$1,FALSE)))</f>
        <v>ELS</v>
      </c>
      <c r="P224" s="29" t="str">
        <f t="shared" si="47"/>
        <v>ELSBEE5303</v>
      </c>
      <c r="Q224" s="1" t="s">
        <v>1016</v>
      </c>
      <c r="R224" s="1" t="s">
        <v>14</v>
      </c>
      <c r="S224" s="26">
        <v>500</v>
      </c>
      <c r="T224" s="26">
        <v>24500000</v>
      </c>
      <c r="U224" s="26">
        <v>3120260</v>
      </c>
      <c r="V224" s="26">
        <v>7.1380997970448838</v>
      </c>
      <c r="W224" s="26">
        <v>0</v>
      </c>
      <c r="X224" s="26">
        <v>500</v>
      </c>
    </row>
    <row r="225" spans="1:24">
      <c r="A225" s="24" t="str">
        <f t="shared" si="40"/>
        <v>신규</v>
      </c>
      <c r="B225" s="24" t="str">
        <f>IF(COUNTIF(Q$1:Q224,Q225)=0,"최초","리오더")</f>
        <v>최초</v>
      </c>
      <c r="C225" s="24" t="str">
        <f t="shared" si="41"/>
        <v>ELSBEE5803</v>
      </c>
      <c r="D225" s="24">
        <f t="shared" si="36"/>
        <v>1</v>
      </c>
      <c r="E225" s="24" t="str">
        <f t="shared" si="42"/>
        <v/>
      </c>
      <c r="F225" s="24">
        <f t="shared" si="37"/>
        <v>0</v>
      </c>
      <c r="G225" s="24" t="str">
        <f t="shared" si="43"/>
        <v>ELSBEE5803BL</v>
      </c>
      <c r="H225" s="24">
        <f t="shared" si="38"/>
        <v>1</v>
      </c>
      <c r="I225" s="24" t="str">
        <f t="shared" si="44"/>
        <v/>
      </c>
      <c r="J225" s="24">
        <f t="shared" si="39"/>
        <v>0</v>
      </c>
      <c r="K225" s="24" t="str">
        <f t="shared" si="45"/>
        <v>E5</v>
      </c>
      <c r="L225" s="24" t="str">
        <f>VLOOKUP(N225,CODE!K:P,CODE!$P$1,FALSE)</f>
        <v>모자</v>
      </c>
      <c r="M225" s="24" t="str">
        <f>VLOOKUP(MID(Q225,1,3),CODE!$B:$G,CODE!D$1,FALSE)</f>
        <v>ELS</v>
      </c>
      <c r="N225" s="24" t="str">
        <f t="shared" si="46"/>
        <v>BE</v>
      </c>
      <c r="O225" s="29" t="str">
        <f>IF(ISERROR(IF(VLOOKUP($N225,CODE!$K:$P,CODE!$O$1,FALSE)="",$M225,$M225&amp;"-"&amp;VLOOKUP($N225,CODE!$K:$P,CODE!$O$1,FALSE)))=TRUE,"",IF(VLOOKUP($N225,CODE!$K:$P,CODE!$O$1,FALSE)="",$M225,$M225&amp;"-"&amp;VLOOKUP($N225,CODE!$K:$P,CODE!$O$1,FALSE)))</f>
        <v>ELS</v>
      </c>
      <c r="P225" s="29" t="str">
        <f t="shared" si="47"/>
        <v>ELSBEE5803</v>
      </c>
      <c r="Q225" s="1" t="s">
        <v>1017</v>
      </c>
      <c r="R225" s="1" t="s">
        <v>14</v>
      </c>
      <c r="S225" s="26">
        <v>500</v>
      </c>
      <c r="T225" s="26">
        <v>22500000</v>
      </c>
      <c r="U225" s="26">
        <v>3057890.0000000005</v>
      </c>
      <c r="V225" s="26">
        <v>6.6891044002712485</v>
      </c>
      <c r="W225" s="26">
        <v>0</v>
      </c>
      <c r="X225" s="26">
        <v>500</v>
      </c>
    </row>
    <row r="226" spans="1:24">
      <c r="A226" s="24" t="str">
        <f t="shared" si="40"/>
        <v>신규</v>
      </c>
      <c r="B226" s="24" t="str">
        <f>IF(COUNTIF(Q$1:Q225,Q226)=0,"최초","리오더")</f>
        <v>최초</v>
      </c>
      <c r="C226" s="24" t="str">
        <f t="shared" si="41"/>
        <v>ELSBEE5304</v>
      </c>
      <c r="D226" s="24">
        <f t="shared" si="36"/>
        <v>0.33333333333333331</v>
      </c>
      <c r="E226" s="24" t="str">
        <f t="shared" si="42"/>
        <v/>
      </c>
      <c r="F226" s="24">
        <f t="shared" si="37"/>
        <v>0</v>
      </c>
      <c r="G226" s="24" t="str">
        <f t="shared" si="43"/>
        <v>ELSBEE5304BK</v>
      </c>
      <c r="H226" s="24">
        <f t="shared" si="38"/>
        <v>1</v>
      </c>
      <c r="I226" s="24" t="str">
        <f t="shared" si="44"/>
        <v/>
      </c>
      <c r="J226" s="24">
        <f t="shared" si="39"/>
        <v>0</v>
      </c>
      <c r="K226" s="24" t="str">
        <f t="shared" si="45"/>
        <v>E5</v>
      </c>
      <c r="L226" s="24" t="str">
        <f>VLOOKUP(N226,CODE!K:P,CODE!$P$1,FALSE)</f>
        <v>모자</v>
      </c>
      <c r="M226" s="24" t="str">
        <f>VLOOKUP(MID(Q226,1,3),CODE!$B:$G,CODE!D$1,FALSE)</f>
        <v>ELS</v>
      </c>
      <c r="N226" s="24" t="str">
        <f t="shared" si="46"/>
        <v>BE</v>
      </c>
      <c r="O226" s="29" t="str">
        <f>IF(ISERROR(IF(VLOOKUP($N226,CODE!$K:$P,CODE!$O$1,FALSE)="",$M226,$M226&amp;"-"&amp;VLOOKUP($N226,CODE!$K:$P,CODE!$O$1,FALSE)))=TRUE,"",IF(VLOOKUP($N226,CODE!$K:$P,CODE!$O$1,FALSE)="",$M226,$M226&amp;"-"&amp;VLOOKUP($N226,CODE!$K:$P,CODE!$O$1,FALSE)))</f>
        <v>ELS</v>
      </c>
      <c r="P226" s="29" t="str">
        <f t="shared" si="47"/>
        <v>ELSBEE5304</v>
      </c>
      <c r="Q226" s="1" t="s">
        <v>1018</v>
      </c>
      <c r="R226" s="1" t="s">
        <v>14</v>
      </c>
      <c r="S226" s="26">
        <v>500</v>
      </c>
      <c r="T226" s="26">
        <v>19500000</v>
      </c>
      <c r="U226" s="26">
        <v>3222055.0000000009</v>
      </c>
      <c r="V226" s="26">
        <v>5.5018529253140374</v>
      </c>
      <c r="W226" s="26">
        <v>0</v>
      </c>
      <c r="X226" s="26">
        <v>500</v>
      </c>
    </row>
    <row r="227" spans="1:24">
      <c r="A227" s="24" t="str">
        <f t="shared" si="40"/>
        <v>신규</v>
      </c>
      <c r="B227" s="24" t="str">
        <f>IF(COUNTIF(Q$1:Q226,Q227)=0,"최초","리오더")</f>
        <v>최초</v>
      </c>
      <c r="C227" s="24" t="str">
        <f t="shared" si="41"/>
        <v>ELSBEE5304</v>
      </c>
      <c r="D227" s="24">
        <f t="shared" si="36"/>
        <v>0.33333333333333331</v>
      </c>
      <c r="E227" s="24" t="str">
        <f t="shared" si="42"/>
        <v/>
      </c>
      <c r="F227" s="24">
        <f t="shared" si="37"/>
        <v>0</v>
      </c>
      <c r="G227" s="24" t="str">
        <f t="shared" si="43"/>
        <v>ELSBEE5304GR</v>
      </c>
      <c r="H227" s="24">
        <f t="shared" si="38"/>
        <v>1</v>
      </c>
      <c r="I227" s="24" t="str">
        <f t="shared" si="44"/>
        <v/>
      </c>
      <c r="J227" s="24">
        <f t="shared" si="39"/>
        <v>0</v>
      </c>
      <c r="K227" s="24" t="str">
        <f t="shared" si="45"/>
        <v>E5</v>
      </c>
      <c r="L227" s="24" t="str">
        <f>VLOOKUP(N227,CODE!K:P,CODE!$P$1,FALSE)</f>
        <v>모자</v>
      </c>
      <c r="M227" s="24" t="str">
        <f>VLOOKUP(MID(Q227,1,3),CODE!$B:$G,CODE!D$1,FALSE)</f>
        <v>ELS</v>
      </c>
      <c r="N227" s="24" t="str">
        <f t="shared" si="46"/>
        <v>BE</v>
      </c>
      <c r="O227" s="29" t="str">
        <f>IF(ISERROR(IF(VLOOKUP($N227,CODE!$K:$P,CODE!$O$1,FALSE)="",$M227,$M227&amp;"-"&amp;VLOOKUP($N227,CODE!$K:$P,CODE!$O$1,FALSE)))=TRUE,"",IF(VLOOKUP($N227,CODE!$K:$P,CODE!$O$1,FALSE)="",$M227,$M227&amp;"-"&amp;VLOOKUP($N227,CODE!$K:$P,CODE!$O$1,FALSE)))</f>
        <v>ELS</v>
      </c>
      <c r="P227" s="29" t="str">
        <f t="shared" si="47"/>
        <v>ELSBEE5304</v>
      </c>
      <c r="Q227" s="1" t="s">
        <v>1019</v>
      </c>
      <c r="R227" s="1" t="s">
        <v>14</v>
      </c>
      <c r="S227" s="26">
        <v>500</v>
      </c>
      <c r="T227" s="26">
        <v>19500000</v>
      </c>
      <c r="U227" s="26">
        <v>3222055.0000000009</v>
      </c>
      <c r="V227" s="26">
        <v>5.5018529253140374</v>
      </c>
      <c r="W227" s="26">
        <v>0</v>
      </c>
      <c r="X227" s="26">
        <v>500</v>
      </c>
    </row>
    <row r="228" spans="1:24">
      <c r="A228" s="24" t="str">
        <f t="shared" si="40"/>
        <v>신규</v>
      </c>
      <c r="B228" s="24" t="str">
        <f>IF(COUNTIF(Q$1:Q227,Q228)=0,"최초","리오더")</f>
        <v>최초</v>
      </c>
      <c r="C228" s="24" t="str">
        <f t="shared" si="41"/>
        <v>ELSBEE5304</v>
      </c>
      <c r="D228" s="24">
        <f t="shared" si="36"/>
        <v>0.33333333333333331</v>
      </c>
      <c r="E228" s="24" t="str">
        <f t="shared" si="42"/>
        <v/>
      </c>
      <c r="F228" s="24">
        <f t="shared" si="37"/>
        <v>0</v>
      </c>
      <c r="G228" s="24" t="str">
        <f t="shared" si="43"/>
        <v>ELSBEE5304PK</v>
      </c>
      <c r="H228" s="24">
        <f t="shared" si="38"/>
        <v>1</v>
      </c>
      <c r="I228" s="24" t="str">
        <f t="shared" si="44"/>
        <v/>
      </c>
      <c r="J228" s="24">
        <f t="shared" si="39"/>
        <v>0</v>
      </c>
      <c r="K228" s="24" t="str">
        <f t="shared" si="45"/>
        <v>E5</v>
      </c>
      <c r="L228" s="24" t="str">
        <f>VLOOKUP(N228,CODE!K:P,CODE!$P$1,FALSE)</f>
        <v>모자</v>
      </c>
      <c r="M228" s="24" t="str">
        <f>VLOOKUP(MID(Q228,1,3),CODE!$B:$G,CODE!D$1,FALSE)</f>
        <v>ELS</v>
      </c>
      <c r="N228" s="24" t="str">
        <f t="shared" si="46"/>
        <v>BE</v>
      </c>
      <c r="O228" s="29" t="str">
        <f>IF(ISERROR(IF(VLOOKUP($N228,CODE!$K:$P,CODE!$O$1,FALSE)="",$M228,$M228&amp;"-"&amp;VLOOKUP($N228,CODE!$K:$P,CODE!$O$1,FALSE)))=TRUE,"",IF(VLOOKUP($N228,CODE!$K:$P,CODE!$O$1,FALSE)="",$M228,$M228&amp;"-"&amp;VLOOKUP($N228,CODE!$K:$P,CODE!$O$1,FALSE)))</f>
        <v>ELS</v>
      </c>
      <c r="P228" s="29" t="str">
        <f t="shared" si="47"/>
        <v>ELSBEE5304</v>
      </c>
      <c r="Q228" s="1" t="s">
        <v>1020</v>
      </c>
      <c r="R228" s="1" t="s">
        <v>14</v>
      </c>
      <c r="S228" s="26">
        <v>500</v>
      </c>
      <c r="T228" s="26">
        <v>19500000</v>
      </c>
      <c r="U228" s="26">
        <v>3222055.0000000009</v>
      </c>
      <c r="V228" s="26">
        <v>5.5018529253140374</v>
      </c>
      <c r="W228" s="26">
        <v>0</v>
      </c>
      <c r="X228" s="26">
        <v>500</v>
      </c>
    </row>
    <row r="229" spans="1:24">
      <c r="A229" s="24" t="str">
        <f t="shared" si="40"/>
        <v>신규</v>
      </c>
      <c r="B229" s="24" t="str">
        <f>IF(COUNTIF(Q$1:Q228,Q229)=0,"최초","리오더")</f>
        <v>최초</v>
      </c>
      <c r="C229" s="24" t="str">
        <f t="shared" si="41"/>
        <v>JOIERE5801</v>
      </c>
      <c r="D229" s="24">
        <f t="shared" si="36"/>
        <v>1</v>
      </c>
      <c r="E229" s="24" t="str">
        <f t="shared" si="42"/>
        <v/>
      </c>
      <c r="F229" s="24">
        <f t="shared" si="37"/>
        <v>0</v>
      </c>
      <c r="G229" s="24" t="str">
        <f t="shared" si="43"/>
        <v>JOIERE5801PK</v>
      </c>
      <c r="H229" s="24">
        <f t="shared" si="38"/>
        <v>1</v>
      </c>
      <c r="I229" s="24" t="str">
        <f t="shared" si="44"/>
        <v/>
      </c>
      <c r="J229" s="24">
        <f t="shared" si="39"/>
        <v>0</v>
      </c>
      <c r="K229" s="24" t="str">
        <f t="shared" si="45"/>
        <v>E5</v>
      </c>
      <c r="L229" s="24" t="str">
        <f>VLOOKUP(N229,CODE!K:P,CODE!$P$1,FALSE)</f>
        <v>모자</v>
      </c>
      <c r="M229" s="24" t="str">
        <f>VLOOKUP(MID(Q229,1,3),CODE!$B:$G,CODE!D$1,FALSE)</f>
        <v>JOI</v>
      </c>
      <c r="N229" s="24" t="str">
        <f t="shared" si="46"/>
        <v>ER</v>
      </c>
      <c r="O229" s="29" t="str">
        <f>IF(ISERROR(IF(VLOOKUP($N229,CODE!$K:$P,CODE!$O$1,FALSE)="",$M229,$M229&amp;"-"&amp;VLOOKUP($N229,CODE!$K:$P,CODE!$O$1,FALSE)))=TRUE,"",IF(VLOOKUP($N229,CODE!$K:$P,CODE!$O$1,FALSE)="",$M229,$M229&amp;"-"&amp;VLOOKUP($N229,CODE!$K:$P,CODE!$O$1,FALSE)))</f>
        <v>JOI</v>
      </c>
      <c r="P229" s="29" t="str">
        <f t="shared" si="47"/>
        <v>JOIERE5801</v>
      </c>
      <c r="Q229" s="1" t="s">
        <v>1021</v>
      </c>
      <c r="R229" s="1" t="s">
        <v>14</v>
      </c>
      <c r="S229" s="26">
        <v>500</v>
      </c>
      <c r="T229" s="26">
        <v>29500000</v>
      </c>
      <c r="U229" s="26">
        <v>5541790</v>
      </c>
      <c r="V229" s="26">
        <v>4.8392634542596911</v>
      </c>
      <c r="W229" s="26">
        <v>0</v>
      </c>
      <c r="X229" s="26">
        <v>500</v>
      </c>
    </row>
    <row r="230" spans="1:24">
      <c r="A230" s="24" t="str">
        <f t="shared" si="40"/>
        <v>신규</v>
      </c>
      <c r="B230" s="24" t="str">
        <f>IF(COUNTIF(Q$1:Q229,Q230)=0,"최초","리오더")</f>
        <v>최초</v>
      </c>
      <c r="C230" s="24" t="str">
        <f t="shared" si="41"/>
        <v>JOIERE5802</v>
      </c>
      <c r="D230" s="24">
        <f t="shared" si="36"/>
        <v>1</v>
      </c>
      <c r="E230" s="24" t="str">
        <f t="shared" si="42"/>
        <v/>
      </c>
      <c r="F230" s="24">
        <f t="shared" si="37"/>
        <v>0</v>
      </c>
      <c r="G230" s="24" t="str">
        <f t="shared" si="43"/>
        <v>JOIERE5802OR</v>
      </c>
      <c r="H230" s="24">
        <f t="shared" si="38"/>
        <v>1</v>
      </c>
      <c r="I230" s="24" t="str">
        <f t="shared" si="44"/>
        <v/>
      </c>
      <c r="J230" s="24">
        <f t="shared" si="39"/>
        <v>0</v>
      </c>
      <c r="K230" s="24" t="str">
        <f t="shared" si="45"/>
        <v>E5</v>
      </c>
      <c r="L230" s="24" t="str">
        <f>VLOOKUP(N230,CODE!K:P,CODE!$P$1,FALSE)</f>
        <v>모자</v>
      </c>
      <c r="M230" s="24" t="str">
        <f>VLOOKUP(MID(Q230,1,3),CODE!$B:$G,CODE!D$1,FALSE)</f>
        <v>JOI</v>
      </c>
      <c r="N230" s="24" t="str">
        <f t="shared" si="46"/>
        <v>ER</v>
      </c>
      <c r="O230" s="29" t="str">
        <f>IF(ISERROR(IF(VLOOKUP($N230,CODE!$K:$P,CODE!$O$1,FALSE)="",$M230,$M230&amp;"-"&amp;VLOOKUP($N230,CODE!$K:$P,CODE!$O$1,FALSE)))=TRUE,"",IF(VLOOKUP($N230,CODE!$K:$P,CODE!$O$1,FALSE)="",$M230,$M230&amp;"-"&amp;VLOOKUP($N230,CODE!$K:$P,CODE!$O$1,FALSE)))</f>
        <v>JOI</v>
      </c>
      <c r="P230" s="29" t="str">
        <f t="shared" si="47"/>
        <v>JOIERE5802</v>
      </c>
      <c r="Q230" s="1" t="s">
        <v>1022</v>
      </c>
      <c r="R230" s="1" t="s">
        <v>14</v>
      </c>
      <c r="S230" s="26">
        <v>500</v>
      </c>
      <c r="T230" s="26">
        <v>29500000</v>
      </c>
      <c r="U230" s="26">
        <v>5036790</v>
      </c>
      <c r="V230" s="26">
        <v>5.3244589943558926</v>
      </c>
      <c r="W230" s="26">
        <v>0</v>
      </c>
      <c r="X230" s="26">
        <v>500</v>
      </c>
    </row>
    <row r="231" spans="1:24">
      <c r="A231" s="24" t="str">
        <f t="shared" si="40"/>
        <v>러닝</v>
      </c>
      <c r="B231" s="24" t="str">
        <f>IF(COUNTIF(Q$1:Q230,Q231)=0,"최초","리오더")</f>
        <v>최초</v>
      </c>
      <c r="C231" s="24" t="str">
        <f t="shared" si="41"/>
        <v>VBLBAE3216</v>
      </c>
      <c r="D231" s="24">
        <f t="shared" si="36"/>
        <v>0.2</v>
      </c>
      <c r="E231" s="24" t="str">
        <f t="shared" si="42"/>
        <v/>
      </c>
      <c r="F231" s="24">
        <f t="shared" si="37"/>
        <v>0</v>
      </c>
      <c r="G231" s="24" t="str">
        <f t="shared" si="43"/>
        <v>VBLBAE3216GR</v>
      </c>
      <c r="H231" s="24">
        <f t="shared" si="38"/>
        <v>1</v>
      </c>
      <c r="I231" s="24" t="str">
        <f t="shared" si="44"/>
        <v/>
      </c>
      <c r="J231" s="24">
        <f t="shared" si="39"/>
        <v>0</v>
      </c>
      <c r="K231" s="24" t="str">
        <f t="shared" si="45"/>
        <v>E3</v>
      </c>
      <c r="L231" s="24" t="str">
        <f>VLOOKUP(N231,CODE!K:P,CODE!$P$1,FALSE)</f>
        <v>모자</v>
      </c>
      <c r="M231" s="24" t="str">
        <f>VLOOKUP(MID(Q231,1,3),CODE!$B:$G,CODE!D$1,FALSE)</f>
        <v>VBL</v>
      </c>
      <c r="N231" s="24" t="str">
        <f t="shared" si="46"/>
        <v>BA</v>
      </c>
      <c r="O231" s="29" t="str">
        <f>IF(ISERROR(IF(VLOOKUP($N231,CODE!$K:$P,CODE!$O$1,FALSE)="",$M231,$M231&amp;"-"&amp;VLOOKUP($N231,CODE!$K:$P,CODE!$O$1,FALSE)))=TRUE,"",IF(VLOOKUP($N231,CODE!$K:$P,CODE!$O$1,FALSE)="",$M231,$M231&amp;"-"&amp;VLOOKUP($N231,CODE!$K:$P,CODE!$O$1,FALSE)))</f>
        <v>VBL</v>
      </c>
      <c r="P231" s="29" t="str">
        <f t="shared" si="47"/>
        <v>VBLBAE3216</v>
      </c>
      <c r="Q231" s="1" t="s">
        <v>1023</v>
      </c>
      <c r="R231" s="1" t="s">
        <v>14</v>
      </c>
      <c r="S231" s="26">
        <v>1000</v>
      </c>
      <c r="T231" s="26">
        <v>49000000</v>
      </c>
      <c r="U231" s="26">
        <v>10020000</v>
      </c>
      <c r="V231" s="26">
        <v>4.4456541462529486</v>
      </c>
      <c r="W231" s="26">
        <v>1014</v>
      </c>
      <c r="X231" s="26">
        <v>0</v>
      </c>
    </row>
    <row r="232" spans="1:24">
      <c r="A232" s="24" t="str">
        <f t="shared" si="40"/>
        <v>러닝</v>
      </c>
      <c r="B232" s="24" t="str">
        <f>IF(COUNTIF(Q$1:Q231,Q232)=0,"최초","리오더")</f>
        <v>최초</v>
      </c>
      <c r="C232" s="24" t="str">
        <f t="shared" si="41"/>
        <v>VBLBAE3216</v>
      </c>
      <c r="D232" s="24">
        <f t="shared" si="36"/>
        <v>0.2</v>
      </c>
      <c r="E232" s="24" t="str">
        <f t="shared" si="42"/>
        <v/>
      </c>
      <c r="F232" s="24">
        <f t="shared" si="37"/>
        <v>0</v>
      </c>
      <c r="G232" s="24" t="str">
        <f t="shared" si="43"/>
        <v>VBLBAE3216LI</v>
      </c>
      <c r="H232" s="24">
        <f t="shared" si="38"/>
        <v>1</v>
      </c>
      <c r="I232" s="24" t="str">
        <f t="shared" si="44"/>
        <v/>
      </c>
      <c r="J232" s="24">
        <f t="shared" si="39"/>
        <v>0</v>
      </c>
      <c r="K232" s="24" t="str">
        <f t="shared" si="45"/>
        <v>E3</v>
      </c>
      <c r="L232" s="24" t="str">
        <f>VLOOKUP(N232,CODE!K:P,CODE!$P$1,FALSE)</f>
        <v>모자</v>
      </c>
      <c r="M232" s="24" t="str">
        <f>VLOOKUP(MID(Q232,1,3),CODE!$B:$G,CODE!D$1,FALSE)</f>
        <v>VBL</v>
      </c>
      <c r="N232" s="24" t="str">
        <f t="shared" si="46"/>
        <v>BA</v>
      </c>
      <c r="O232" s="29" t="str">
        <f>IF(ISERROR(IF(VLOOKUP($N232,CODE!$K:$P,CODE!$O$1,FALSE)="",$M232,$M232&amp;"-"&amp;VLOOKUP($N232,CODE!$K:$P,CODE!$O$1,FALSE)))=TRUE,"",IF(VLOOKUP($N232,CODE!$K:$P,CODE!$O$1,FALSE)="",$M232,$M232&amp;"-"&amp;VLOOKUP($N232,CODE!$K:$P,CODE!$O$1,FALSE)))</f>
        <v>VBL</v>
      </c>
      <c r="P232" s="29" t="str">
        <f t="shared" si="47"/>
        <v>VBLBAE3216</v>
      </c>
      <c r="Q232" s="1" t="s">
        <v>1024</v>
      </c>
      <c r="R232" s="1" t="s">
        <v>14</v>
      </c>
      <c r="S232" s="26">
        <v>1000</v>
      </c>
      <c r="T232" s="26">
        <v>49000000</v>
      </c>
      <c r="U232" s="26">
        <v>10020000</v>
      </c>
      <c r="V232" s="26">
        <v>4.4456541462529486</v>
      </c>
      <c r="W232" s="26">
        <v>704</v>
      </c>
      <c r="X232" s="26">
        <v>0</v>
      </c>
    </row>
    <row r="233" spans="1:24">
      <c r="A233" s="24" t="str">
        <f t="shared" si="40"/>
        <v>러닝</v>
      </c>
      <c r="B233" s="24" t="str">
        <f>IF(COUNTIF(Q$1:Q232,Q233)=0,"최초","리오더")</f>
        <v>최초</v>
      </c>
      <c r="C233" s="24" t="str">
        <f t="shared" si="41"/>
        <v>VBLBAE3216</v>
      </c>
      <c r="D233" s="24">
        <f t="shared" si="36"/>
        <v>0.2</v>
      </c>
      <c r="E233" s="24" t="str">
        <f t="shared" si="42"/>
        <v/>
      </c>
      <c r="F233" s="24">
        <f t="shared" si="37"/>
        <v>0</v>
      </c>
      <c r="G233" s="24" t="str">
        <f t="shared" si="43"/>
        <v>VBLBAE3216BL</v>
      </c>
      <c r="H233" s="24">
        <f t="shared" si="38"/>
        <v>1</v>
      </c>
      <c r="I233" s="24" t="str">
        <f t="shared" si="44"/>
        <v/>
      </c>
      <c r="J233" s="24">
        <f t="shared" si="39"/>
        <v>0</v>
      </c>
      <c r="K233" s="24" t="str">
        <f t="shared" si="45"/>
        <v>E3</v>
      </c>
      <c r="L233" s="24" t="str">
        <f>VLOOKUP(N233,CODE!K:P,CODE!$P$1,FALSE)</f>
        <v>모자</v>
      </c>
      <c r="M233" s="24" t="str">
        <f>VLOOKUP(MID(Q233,1,3),CODE!$B:$G,CODE!D$1,FALSE)</f>
        <v>VBL</v>
      </c>
      <c r="N233" s="24" t="str">
        <f t="shared" si="46"/>
        <v>BA</v>
      </c>
      <c r="O233" s="29" t="str">
        <f>IF(ISERROR(IF(VLOOKUP($N233,CODE!$K:$P,CODE!$O$1,FALSE)="",$M233,$M233&amp;"-"&amp;VLOOKUP($N233,CODE!$K:$P,CODE!$O$1,FALSE)))=TRUE,"",IF(VLOOKUP($N233,CODE!$K:$P,CODE!$O$1,FALSE)="",$M233,$M233&amp;"-"&amp;VLOOKUP($N233,CODE!$K:$P,CODE!$O$1,FALSE)))</f>
        <v>VBL</v>
      </c>
      <c r="P233" s="29" t="str">
        <f t="shared" si="47"/>
        <v>VBLBAE3216</v>
      </c>
      <c r="Q233" s="1" t="s">
        <v>1025</v>
      </c>
      <c r="R233" s="1" t="s">
        <v>14</v>
      </c>
      <c r="S233" s="26">
        <v>1000</v>
      </c>
      <c r="T233" s="26">
        <v>49000000</v>
      </c>
      <c r="U233" s="26">
        <v>10020000</v>
      </c>
      <c r="V233" s="26">
        <v>4.4456541462529486</v>
      </c>
      <c r="W233" s="26">
        <v>1000</v>
      </c>
      <c r="X233" s="26">
        <v>0</v>
      </c>
    </row>
    <row r="234" spans="1:24">
      <c r="A234" s="24" t="str">
        <f t="shared" si="40"/>
        <v>러닝</v>
      </c>
      <c r="B234" s="24" t="str">
        <f>IF(COUNTIF(Q$1:Q233,Q234)=0,"최초","리오더")</f>
        <v>최초</v>
      </c>
      <c r="C234" s="24" t="str">
        <f t="shared" si="41"/>
        <v>VBLBAE3216</v>
      </c>
      <c r="D234" s="24">
        <f t="shared" si="36"/>
        <v>0.2</v>
      </c>
      <c r="E234" s="24" t="str">
        <f t="shared" si="42"/>
        <v/>
      </c>
      <c r="F234" s="24">
        <f t="shared" si="37"/>
        <v>0</v>
      </c>
      <c r="G234" s="24" t="str">
        <f t="shared" si="43"/>
        <v>VBLBAE3216RE</v>
      </c>
      <c r="H234" s="24">
        <f t="shared" si="38"/>
        <v>1</v>
      </c>
      <c r="I234" s="24" t="str">
        <f t="shared" si="44"/>
        <v/>
      </c>
      <c r="J234" s="24">
        <f t="shared" si="39"/>
        <v>0</v>
      </c>
      <c r="K234" s="24" t="str">
        <f t="shared" si="45"/>
        <v>E3</v>
      </c>
      <c r="L234" s="24" t="str">
        <f>VLOOKUP(N234,CODE!K:P,CODE!$P$1,FALSE)</f>
        <v>모자</v>
      </c>
      <c r="M234" s="24" t="str">
        <f>VLOOKUP(MID(Q234,1,3),CODE!$B:$G,CODE!D$1,FALSE)</f>
        <v>VBL</v>
      </c>
      <c r="N234" s="24" t="str">
        <f t="shared" si="46"/>
        <v>BA</v>
      </c>
      <c r="O234" s="29" t="str">
        <f>IF(ISERROR(IF(VLOOKUP($N234,CODE!$K:$P,CODE!$O$1,FALSE)="",$M234,$M234&amp;"-"&amp;VLOOKUP($N234,CODE!$K:$P,CODE!$O$1,FALSE)))=TRUE,"",IF(VLOOKUP($N234,CODE!$K:$P,CODE!$O$1,FALSE)="",$M234,$M234&amp;"-"&amp;VLOOKUP($N234,CODE!$K:$P,CODE!$O$1,FALSE)))</f>
        <v>VBL</v>
      </c>
      <c r="P234" s="29" t="str">
        <f t="shared" si="47"/>
        <v>VBLBAE3216</v>
      </c>
      <c r="Q234" s="1" t="s">
        <v>1026</v>
      </c>
      <c r="R234" s="1" t="s">
        <v>14</v>
      </c>
      <c r="S234" s="26">
        <v>1000</v>
      </c>
      <c r="T234" s="26">
        <v>49000000</v>
      </c>
      <c r="U234" s="26">
        <v>10020000</v>
      </c>
      <c r="V234" s="26">
        <v>4.4456541462529486</v>
      </c>
      <c r="W234" s="26">
        <v>1000</v>
      </c>
      <c r="X234" s="26">
        <v>0</v>
      </c>
    </row>
    <row r="235" spans="1:24">
      <c r="A235" s="24" t="str">
        <f t="shared" si="40"/>
        <v>신규</v>
      </c>
      <c r="B235" s="24" t="str">
        <f>IF(COUNTIF(Q$1:Q234,Q235)=0,"최초","리오더")</f>
        <v>최초</v>
      </c>
      <c r="C235" s="24" t="str">
        <f t="shared" si="41"/>
        <v>BMDMIE3301</v>
      </c>
      <c r="D235" s="24">
        <f t="shared" si="36"/>
        <v>0.25</v>
      </c>
      <c r="E235" s="24" t="str">
        <f t="shared" si="42"/>
        <v/>
      </c>
      <c r="F235" s="24">
        <f t="shared" si="37"/>
        <v>0</v>
      </c>
      <c r="G235" s="24" t="str">
        <f t="shared" si="43"/>
        <v>BMDMIE3301BK</v>
      </c>
      <c r="H235" s="24">
        <f t="shared" si="38"/>
        <v>1</v>
      </c>
      <c r="I235" s="24" t="str">
        <f t="shared" si="44"/>
        <v/>
      </c>
      <c r="J235" s="24">
        <f t="shared" si="39"/>
        <v>0</v>
      </c>
      <c r="K235" s="24" t="str">
        <f t="shared" si="45"/>
        <v>E3</v>
      </c>
      <c r="L235" s="24" t="str">
        <f>VLOOKUP(N235,CODE!K:P,CODE!$P$1,FALSE)</f>
        <v>모자</v>
      </c>
      <c r="M235" s="24" t="str">
        <f>VLOOKUP(MID(Q235,1,3),CODE!$B:$G,CODE!D$1,FALSE)</f>
        <v>BMD</v>
      </c>
      <c r="N235" s="24" t="str">
        <f t="shared" si="46"/>
        <v>MI</v>
      </c>
      <c r="O235" s="29" t="str">
        <f>IF(ISERROR(IF(VLOOKUP($N235,CODE!$K:$P,CODE!$O$1,FALSE)="",$M235,$M235&amp;"-"&amp;VLOOKUP($N235,CODE!$K:$P,CODE!$O$1,FALSE)))=TRUE,"",IF(VLOOKUP($N235,CODE!$K:$P,CODE!$O$1,FALSE)="",$M235,$M235&amp;"-"&amp;VLOOKUP($N235,CODE!$K:$P,CODE!$O$1,FALSE)))</f>
        <v>BMD</v>
      </c>
      <c r="P235" s="29" t="str">
        <f t="shared" si="47"/>
        <v>BMDMIE3301</v>
      </c>
      <c r="Q235" s="1" t="s">
        <v>1027</v>
      </c>
      <c r="R235" s="1" t="s">
        <v>14</v>
      </c>
      <c r="S235" s="26">
        <v>700</v>
      </c>
      <c r="T235" s="26">
        <v>34300000</v>
      </c>
      <c r="U235" s="26">
        <v>4562040.0000000009</v>
      </c>
      <c r="V235" s="26">
        <v>6.8350602322246559</v>
      </c>
      <c r="W235" s="26">
        <v>0</v>
      </c>
      <c r="X235" s="26">
        <v>700</v>
      </c>
    </row>
    <row r="236" spans="1:24">
      <c r="A236" s="24" t="str">
        <f t="shared" si="40"/>
        <v>신규</v>
      </c>
      <c r="B236" s="24" t="str">
        <f>IF(COUNTIF(Q$1:Q235,Q236)=0,"최초","리오더")</f>
        <v>최초</v>
      </c>
      <c r="C236" s="24" t="str">
        <f t="shared" si="41"/>
        <v>BMDMIE3301</v>
      </c>
      <c r="D236" s="24">
        <f t="shared" si="36"/>
        <v>0.25</v>
      </c>
      <c r="E236" s="24" t="str">
        <f t="shared" si="42"/>
        <v/>
      </c>
      <c r="F236" s="24">
        <f t="shared" si="37"/>
        <v>0</v>
      </c>
      <c r="G236" s="24" t="str">
        <f t="shared" si="43"/>
        <v>BMDMIE3301KH</v>
      </c>
      <c r="H236" s="24">
        <f t="shared" si="38"/>
        <v>1</v>
      </c>
      <c r="I236" s="24" t="str">
        <f t="shared" si="44"/>
        <v/>
      </c>
      <c r="J236" s="24">
        <f t="shared" si="39"/>
        <v>0</v>
      </c>
      <c r="K236" s="24" t="str">
        <f t="shared" si="45"/>
        <v>E3</v>
      </c>
      <c r="L236" s="24" t="str">
        <f>VLOOKUP(N236,CODE!K:P,CODE!$P$1,FALSE)</f>
        <v>모자</v>
      </c>
      <c r="M236" s="24" t="str">
        <f>VLOOKUP(MID(Q236,1,3),CODE!$B:$G,CODE!D$1,FALSE)</f>
        <v>BMD</v>
      </c>
      <c r="N236" s="24" t="str">
        <f t="shared" si="46"/>
        <v>MI</v>
      </c>
      <c r="O236" s="29" t="str">
        <f>IF(ISERROR(IF(VLOOKUP($N236,CODE!$K:$P,CODE!$O$1,FALSE)="",$M236,$M236&amp;"-"&amp;VLOOKUP($N236,CODE!$K:$P,CODE!$O$1,FALSE)))=TRUE,"",IF(VLOOKUP($N236,CODE!$K:$P,CODE!$O$1,FALSE)="",$M236,$M236&amp;"-"&amp;VLOOKUP($N236,CODE!$K:$P,CODE!$O$1,FALSE)))</f>
        <v>BMD</v>
      </c>
      <c r="P236" s="29" t="str">
        <f t="shared" si="47"/>
        <v>BMDMIE3301</v>
      </c>
      <c r="Q236" s="1" t="s">
        <v>1028</v>
      </c>
      <c r="R236" s="1" t="s">
        <v>14</v>
      </c>
      <c r="S236" s="26">
        <v>700</v>
      </c>
      <c r="T236" s="26">
        <v>34300000</v>
      </c>
      <c r="U236" s="26">
        <v>4389140.0000000009</v>
      </c>
      <c r="V236" s="26">
        <v>7.1043115922067122</v>
      </c>
      <c r="W236" s="26">
        <v>0</v>
      </c>
      <c r="X236" s="26">
        <v>700</v>
      </c>
    </row>
    <row r="237" spans="1:24">
      <c r="A237" s="24" t="str">
        <f t="shared" si="40"/>
        <v>신규</v>
      </c>
      <c r="B237" s="24" t="str">
        <f>IF(COUNTIF(Q$1:Q236,Q237)=0,"최초","리오더")</f>
        <v>최초</v>
      </c>
      <c r="C237" s="24" t="str">
        <f t="shared" si="41"/>
        <v>BMDMIE3301</v>
      </c>
      <c r="D237" s="24">
        <f t="shared" si="36"/>
        <v>0.25</v>
      </c>
      <c r="E237" s="24" t="str">
        <f t="shared" si="42"/>
        <v/>
      </c>
      <c r="F237" s="24">
        <f t="shared" si="37"/>
        <v>0</v>
      </c>
      <c r="G237" s="24" t="str">
        <f t="shared" si="43"/>
        <v>BMDMIE3301GY</v>
      </c>
      <c r="H237" s="24">
        <f t="shared" si="38"/>
        <v>1</v>
      </c>
      <c r="I237" s="24" t="str">
        <f t="shared" si="44"/>
        <v/>
      </c>
      <c r="J237" s="24">
        <f t="shared" si="39"/>
        <v>0</v>
      </c>
      <c r="K237" s="24" t="str">
        <f t="shared" si="45"/>
        <v>E3</v>
      </c>
      <c r="L237" s="24" t="str">
        <f>VLOOKUP(N237,CODE!K:P,CODE!$P$1,FALSE)</f>
        <v>모자</v>
      </c>
      <c r="M237" s="24" t="str">
        <f>VLOOKUP(MID(Q237,1,3),CODE!$B:$G,CODE!D$1,FALSE)</f>
        <v>BMD</v>
      </c>
      <c r="N237" s="24" t="str">
        <f t="shared" si="46"/>
        <v>MI</v>
      </c>
      <c r="O237" s="29" t="str">
        <f>IF(ISERROR(IF(VLOOKUP($N237,CODE!$K:$P,CODE!$O$1,FALSE)="",$M237,$M237&amp;"-"&amp;VLOOKUP($N237,CODE!$K:$P,CODE!$O$1,FALSE)))=TRUE,"",IF(VLOOKUP($N237,CODE!$K:$P,CODE!$O$1,FALSE)="",$M237,$M237&amp;"-"&amp;VLOOKUP($N237,CODE!$K:$P,CODE!$O$1,FALSE)))</f>
        <v>BMD</v>
      </c>
      <c r="P237" s="29" t="str">
        <f t="shared" si="47"/>
        <v>BMDMIE3301</v>
      </c>
      <c r="Q237" s="1" t="s">
        <v>1029</v>
      </c>
      <c r="R237" s="1" t="s">
        <v>14</v>
      </c>
      <c r="S237" s="26">
        <v>700</v>
      </c>
      <c r="T237" s="26">
        <v>34300000</v>
      </c>
      <c r="U237" s="26">
        <v>4774840.0000000009</v>
      </c>
      <c r="V237" s="26">
        <v>6.5304425241093256</v>
      </c>
      <c r="W237" s="26">
        <v>0</v>
      </c>
      <c r="X237" s="26">
        <v>700</v>
      </c>
    </row>
    <row r="238" spans="1:24">
      <c r="A238" s="24" t="str">
        <f t="shared" si="40"/>
        <v>신규</v>
      </c>
      <c r="B238" s="24" t="str">
        <f>IF(COUNTIF(Q$1:Q237,Q238)=0,"최초","리오더")</f>
        <v>최초</v>
      </c>
      <c r="C238" s="24" t="str">
        <f t="shared" si="41"/>
        <v>BMDERE5302</v>
      </c>
      <c r="D238" s="24">
        <f t="shared" si="36"/>
        <v>0.33333333333333331</v>
      </c>
      <c r="E238" s="24" t="str">
        <f t="shared" si="42"/>
        <v/>
      </c>
      <c r="F238" s="24">
        <f t="shared" si="37"/>
        <v>0</v>
      </c>
      <c r="G238" s="24" t="str">
        <f t="shared" si="43"/>
        <v>BMDERE5302BK</v>
      </c>
      <c r="H238" s="24">
        <f t="shared" si="38"/>
        <v>1</v>
      </c>
      <c r="I238" s="24" t="str">
        <f t="shared" si="44"/>
        <v/>
      </c>
      <c r="J238" s="24">
        <f t="shared" si="39"/>
        <v>0</v>
      </c>
      <c r="K238" s="24" t="str">
        <f t="shared" si="45"/>
        <v>E5</v>
      </c>
      <c r="L238" s="24" t="str">
        <f>VLOOKUP(N238,CODE!K:P,CODE!$P$1,FALSE)</f>
        <v>모자</v>
      </c>
      <c r="M238" s="24" t="str">
        <f>VLOOKUP(MID(Q238,1,3),CODE!$B:$G,CODE!D$1,FALSE)</f>
        <v>BMD</v>
      </c>
      <c r="N238" s="24" t="str">
        <f t="shared" si="46"/>
        <v>ER</v>
      </c>
      <c r="O238" s="29" t="str">
        <f>IF(ISERROR(IF(VLOOKUP($N238,CODE!$K:$P,CODE!$O$1,FALSE)="",$M238,$M238&amp;"-"&amp;VLOOKUP($N238,CODE!$K:$P,CODE!$O$1,FALSE)))=TRUE,"",IF(VLOOKUP($N238,CODE!$K:$P,CODE!$O$1,FALSE)="",$M238,$M238&amp;"-"&amp;VLOOKUP($N238,CODE!$K:$P,CODE!$O$1,FALSE)))</f>
        <v>BMD</v>
      </c>
      <c r="P238" s="29" t="str">
        <f t="shared" si="47"/>
        <v>BMDERE5302</v>
      </c>
      <c r="Q238" s="1" t="s">
        <v>1030</v>
      </c>
      <c r="R238" s="1" t="s">
        <v>14</v>
      </c>
      <c r="S238" s="26">
        <v>700</v>
      </c>
      <c r="T238" s="26">
        <v>45500000</v>
      </c>
      <c r="U238" s="26">
        <v>9114000</v>
      </c>
      <c r="V238" s="26">
        <v>4.5384722804077642</v>
      </c>
      <c r="W238" s="26">
        <v>0</v>
      </c>
      <c r="X238" s="26">
        <v>700</v>
      </c>
    </row>
    <row r="239" spans="1:24">
      <c r="A239" s="24" t="str">
        <f t="shared" si="40"/>
        <v>신규</v>
      </c>
      <c r="B239" s="24" t="str">
        <f>IF(COUNTIF(Q$1:Q238,Q239)=0,"최초","리오더")</f>
        <v>최초</v>
      </c>
      <c r="C239" s="24" t="str">
        <f t="shared" si="41"/>
        <v>BMDERE5302</v>
      </c>
      <c r="D239" s="24">
        <f t="shared" si="36"/>
        <v>0.33333333333333331</v>
      </c>
      <c r="E239" s="24" t="str">
        <f t="shared" si="42"/>
        <v/>
      </c>
      <c r="F239" s="24">
        <f t="shared" si="37"/>
        <v>0</v>
      </c>
      <c r="G239" s="24" t="str">
        <f t="shared" si="43"/>
        <v>BMDERE5302GY</v>
      </c>
      <c r="H239" s="24">
        <f t="shared" si="38"/>
        <v>1</v>
      </c>
      <c r="I239" s="24" t="str">
        <f t="shared" si="44"/>
        <v/>
      </c>
      <c r="J239" s="24">
        <f t="shared" si="39"/>
        <v>0</v>
      </c>
      <c r="K239" s="24" t="str">
        <f t="shared" si="45"/>
        <v>E5</v>
      </c>
      <c r="L239" s="24" t="str">
        <f>VLOOKUP(N239,CODE!K:P,CODE!$P$1,FALSE)</f>
        <v>모자</v>
      </c>
      <c r="M239" s="24" t="str">
        <f>VLOOKUP(MID(Q239,1,3),CODE!$B:$G,CODE!D$1,FALSE)</f>
        <v>BMD</v>
      </c>
      <c r="N239" s="24" t="str">
        <f t="shared" si="46"/>
        <v>ER</v>
      </c>
      <c r="O239" s="29" t="str">
        <f>IF(ISERROR(IF(VLOOKUP($N239,CODE!$K:$P,CODE!$O$1,FALSE)="",$M239,$M239&amp;"-"&amp;VLOOKUP($N239,CODE!$K:$P,CODE!$O$1,FALSE)))=TRUE,"",IF(VLOOKUP($N239,CODE!$K:$P,CODE!$O$1,FALSE)="",$M239,$M239&amp;"-"&amp;VLOOKUP($N239,CODE!$K:$P,CODE!$O$1,FALSE)))</f>
        <v>BMD</v>
      </c>
      <c r="P239" s="29" t="str">
        <f t="shared" si="47"/>
        <v>BMDERE5302</v>
      </c>
      <c r="Q239" s="1" t="s">
        <v>1031</v>
      </c>
      <c r="R239" s="1" t="s">
        <v>14</v>
      </c>
      <c r="S239" s="26">
        <v>700</v>
      </c>
      <c r="T239" s="26">
        <v>45500000</v>
      </c>
      <c r="U239" s="26">
        <v>9114000</v>
      </c>
      <c r="V239" s="26">
        <v>4.5384722804077642</v>
      </c>
      <c r="W239" s="26">
        <v>0</v>
      </c>
      <c r="X239" s="26">
        <v>700</v>
      </c>
    </row>
    <row r="240" spans="1:24">
      <c r="A240" s="24" t="str">
        <f t="shared" si="40"/>
        <v>신규</v>
      </c>
      <c r="B240" s="24" t="str">
        <f>IF(COUNTIF(Q$1:Q239,Q240)=0,"최초","리오더")</f>
        <v>최초</v>
      </c>
      <c r="C240" s="24" t="str">
        <f t="shared" si="41"/>
        <v>BMDERE5302</v>
      </c>
      <c r="D240" s="24">
        <f t="shared" si="36"/>
        <v>0.33333333333333331</v>
      </c>
      <c r="E240" s="24" t="str">
        <f t="shared" si="42"/>
        <v/>
      </c>
      <c r="F240" s="24">
        <f t="shared" si="37"/>
        <v>0</v>
      </c>
      <c r="G240" s="24" t="str">
        <f t="shared" si="43"/>
        <v>BMDERE5302RE</v>
      </c>
      <c r="H240" s="24">
        <f t="shared" si="38"/>
        <v>1</v>
      </c>
      <c r="I240" s="24" t="str">
        <f t="shared" si="44"/>
        <v/>
      </c>
      <c r="J240" s="24">
        <f t="shared" si="39"/>
        <v>0</v>
      </c>
      <c r="K240" s="24" t="str">
        <f t="shared" si="45"/>
        <v>E5</v>
      </c>
      <c r="L240" s="24" t="str">
        <f>VLOOKUP(N240,CODE!K:P,CODE!$P$1,FALSE)</f>
        <v>모자</v>
      </c>
      <c r="M240" s="24" t="str">
        <f>VLOOKUP(MID(Q240,1,3),CODE!$B:$G,CODE!D$1,FALSE)</f>
        <v>BMD</v>
      </c>
      <c r="N240" s="24" t="str">
        <f t="shared" si="46"/>
        <v>ER</v>
      </c>
      <c r="O240" s="29" t="str">
        <f>IF(ISERROR(IF(VLOOKUP($N240,CODE!$K:$P,CODE!$O$1,FALSE)="",$M240,$M240&amp;"-"&amp;VLOOKUP($N240,CODE!$K:$P,CODE!$O$1,FALSE)))=TRUE,"",IF(VLOOKUP($N240,CODE!$K:$P,CODE!$O$1,FALSE)="",$M240,$M240&amp;"-"&amp;VLOOKUP($N240,CODE!$K:$P,CODE!$O$1,FALSE)))</f>
        <v>BMD</v>
      </c>
      <c r="P240" s="29" t="str">
        <f t="shared" si="47"/>
        <v>BMDERE5302</v>
      </c>
      <c r="Q240" s="1" t="s">
        <v>1032</v>
      </c>
      <c r="R240" s="1" t="s">
        <v>14</v>
      </c>
      <c r="S240" s="26">
        <v>700</v>
      </c>
      <c r="T240" s="26">
        <v>45500000</v>
      </c>
      <c r="U240" s="26">
        <v>9114000</v>
      </c>
      <c r="V240" s="26">
        <v>4.5384722804077642</v>
      </c>
      <c r="W240" s="26">
        <v>0</v>
      </c>
      <c r="X240" s="26">
        <v>700</v>
      </c>
    </row>
    <row r="241" spans="1:24">
      <c r="A241" s="24" t="str">
        <f t="shared" si="40"/>
        <v>신규</v>
      </c>
      <c r="B241" s="24" t="str">
        <f>IF(COUNTIF(Q$1:Q240,Q241)=0,"최초","리오더")</f>
        <v>최초</v>
      </c>
      <c r="C241" s="24" t="str">
        <f t="shared" si="41"/>
        <v>BMDERE5303</v>
      </c>
      <c r="D241" s="24">
        <f t="shared" si="36"/>
        <v>0.5</v>
      </c>
      <c r="E241" s="24" t="str">
        <f t="shared" si="42"/>
        <v/>
      </c>
      <c r="F241" s="24">
        <f t="shared" si="37"/>
        <v>0</v>
      </c>
      <c r="G241" s="24" t="str">
        <f t="shared" si="43"/>
        <v>BMDERE5303BU</v>
      </c>
      <c r="H241" s="24">
        <f t="shared" si="38"/>
        <v>1</v>
      </c>
      <c r="I241" s="24" t="str">
        <f t="shared" si="44"/>
        <v/>
      </c>
      <c r="J241" s="24">
        <f t="shared" si="39"/>
        <v>0</v>
      </c>
      <c r="K241" s="24" t="str">
        <f t="shared" si="45"/>
        <v>E5</v>
      </c>
      <c r="L241" s="24" t="str">
        <f>VLOOKUP(N241,CODE!K:P,CODE!$P$1,FALSE)</f>
        <v>모자</v>
      </c>
      <c r="M241" s="24" t="str">
        <f>VLOOKUP(MID(Q241,1,3),CODE!$B:$G,CODE!D$1,FALSE)</f>
        <v>BMD</v>
      </c>
      <c r="N241" s="24" t="str">
        <f t="shared" si="46"/>
        <v>ER</v>
      </c>
      <c r="O241" s="29" t="str">
        <f>IF(ISERROR(IF(VLOOKUP($N241,CODE!$K:$P,CODE!$O$1,FALSE)="",$M241,$M241&amp;"-"&amp;VLOOKUP($N241,CODE!$K:$P,CODE!$O$1,FALSE)))=TRUE,"",IF(VLOOKUP($N241,CODE!$K:$P,CODE!$O$1,FALSE)="",$M241,$M241&amp;"-"&amp;VLOOKUP($N241,CODE!$K:$P,CODE!$O$1,FALSE)))</f>
        <v>BMD</v>
      </c>
      <c r="P241" s="29" t="str">
        <f t="shared" si="47"/>
        <v>BMDERE5303</v>
      </c>
      <c r="Q241" s="1" t="s">
        <v>1033</v>
      </c>
      <c r="R241" s="1" t="s">
        <v>14</v>
      </c>
      <c r="S241" s="26">
        <v>400</v>
      </c>
      <c r="T241" s="26">
        <v>23600000</v>
      </c>
      <c r="U241" s="26">
        <v>4605196</v>
      </c>
      <c r="V241" s="26">
        <v>4.6587692368675411</v>
      </c>
      <c r="W241" s="26">
        <v>0</v>
      </c>
      <c r="X241" s="26">
        <v>400</v>
      </c>
    </row>
    <row r="242" spans="1:24">
      <c r="A242" s="24" t="str">
        <f t="shared" si="40"/>
        <v>신규</v>
      </c>
      <c r="B242" s="24" t="str">
        <f>IF(COUNTIF(Q$1:Q241,Q242)=0,"최초","리오더")</f>
        <v>최초</v>
      </c>
      <c r="C242" s="24" t="str">
        <f t="shared" si="41"/>
        <v>BMDERE5303</v>
      </c>
      <c r="D242" s="24">
        <f t="shared" si="36"/>
        <v>0.5</v>
      </c>
      <c r="E242" s="24" t="str">
        <f t="shared" si="42"/>
        <v/>
      </c>
      <c r="F242" s="24">
        <f t="shared" si="37"/>
        <v>0</v>
      </c>
      <c r="G242" s="24" t="str">
        <f t="shared" si="43"/>
        <v>BMDERE5303GY</v>
      </c>
      <c r="H242" s="24">
        <f t="shared" si="38"/>
        <v>1</v>
      </c>
      <c r="I242" s="24" t="str">
        <f t="shared" si="44"/>
        <v/>
      </c>
      <c r="J242" s="24">
        <f t="shared" si="39"/>
        <v>0</v>
      </c>
      <c r="K242" s="24" t="str">
        <f t="shared" si="45"/>
        <v>E5</v>
      </c>
      <c r="L242" s="24" t="str">
        <f>VLOOKUP(N242,CODE!K:P,CODE!$P$1,FALSE)</f>
        <v>모자</v>
      </c>
      <c r="M242" s="24" t="str">
        <f>VLOOKUP(MID(Q242,1,3),CODE!$B:$G,CODE!D$1,FALSE)</f>
        <v>BMD</v>
      </c>
      <c r="N242" s="24" t="str">
        <f t="shared" si="46"/>
        <v>ER</v>
      </c>
      <c r="O242" s="29" t="str">
        <f>IF(ISERROR(IF(VLOOKUP($N242,CODE!$K:$P,CODE!$O$1,FALSE)="",$M242,$M242&amp;"-"&amp;VLOOKUP($N242,CODE!$K:$P,CODE!$O$1,FALSE)))=TRUE,"",IF(VLOOKUP($N242,CODE!$K:$P,CODE!$O$1,FALSE)="",$M242,$M242&amp;"-"&amp;VLOOKUP($N242,CODE!$K:$P,CODE!$O$1,FALSE)))</f>
        <v>BMD</v>
      </c>
      <c r="P242" s="29" t="str">
        <f t="shared" si="47"/>
        <v>BMDERE5303</v>
      </c>
      <c r="Q242" s="1" t="s">
        <v>1034</v>
      </c>
      <c r="R242" s="1" t="s">
        <v>14</v>
      </c>
      <c r="S242" s="26">
        <v>400</v>
      </c>
      <c r="T242" s="26">
        <v>23600000</v>
      </c>
      <c r="U242" s="26">
        <v>4584796</v>
      </c>
      <c r="V242" s="26">
        <v>4.679498379981454</v>
      </c>
      <c r="W242" s="26">
        <v>0</v>
      </c>
      <c r="X242" s="26">
        <v>400</v>
      </c>
    </row>
    <row r="243" spans="1:24">
      <c r="A243" s="24" t="str">
        <f t="shared" si="40"/>
        <v>러닝</v>
      </c>
      <c r="B243" s="24" t="str">
        <f>IF(COUNTIF(Q$1:Q242,Q243)=0,"최초","리오더")</f>
        <v>최초</v>
      </c>
      <c r="C243" s="24" t="str">
        <f t="shared" si="41"/>
        <v>ELSFIE3211</v>
      </c>
      <c r="D243" s="24">
        <f t="shared" si="36"/>
        <v>1</v>
      </c>
      <c r="E243" s="24" t="str">
        <f t="shared" si="42"/>
        <v/>
      </c>
      <c r="F243" s="24">
        <f t="shared" si="37"/>
        <v>0</v>
      </c>
      <c r="G243" s="24" t="str">
        <f t="shared" si="43"/>
        <v>ELSFIE3211PK</v>
      </c>
      <c r="H243" s="24">
        <f t="shared" si="38"/>
        <v>1</v>
      </c>
      <c r="I243" s="24" t="str">
        <f t="shared" si="44"/>
        <v/>
      </c>
      <c r="J243" s="24">
        <f t="shared" si="39"/>
        <v>0</v>
      </c>
      <c r="K243" s="24" t="str">
        <f t="shared" si="45"/>
        <v>E3</v>
      </c>
      <c r="L243" s="24" t="str">
        <f>VLOOKUP(N243,CODE!K:P,CODE!$P$1,FALSE)</f>
        <v>모자</v>
      </c>
      <c r="M243" s="24" t="str">
        <f>VLOOKUP(MID(Q243,1,3),CODE!$B:$G,CODE!D$1,FALSE)</f>
        <v>ELS</v>
      </c>
      <c r="N243" s="24" t="str">
        <f t="shared" si="46"/>
        <v>FI</v>
      </c>
      <c r="O243" s="29" t="str">
        <f>IF(ISERROR(IF(VLOOKUP($N243,CODE!$K:$P,CODE!$O$1,FALSE)="",$M243,$M243&amp;"-"&amp;VLOOKUP($N243,CODE!$K:$P,CODE!$O$1,FALSE)))=TRUE,"",IF(VLOOKUP($N243,CODE!$K:$P,CODE!$O$1,FALSE)="",$M243,$M243&amp;"-"&amp;VLOOKUP($N243,CODE!$K:$P,CODE!$O$1,FALSE)))</f>
        <v>ELS</v>
      </c>
      <c r="P243" s="29" t="str">
        <f t="shared" si="47"/>
        <v>ELSFIE3211</v>
      </c>
      <c r="Q243" s="1" t="s">
        <v>1035</v>
      </c>
      <c r="R243" s="1" t="s">
        <v>14</v>
      </c>
      <c r="S243" s="26">
        <v>800</v>
      </c>
      <c r="T243" s="26">
        <v>44000000</v>
      </c>
      <c r="U243" s="26">
        <v>5654248.0000000009</v>
      </c>
      <c r="V243" s="26">
        <v>7.0743271253754676</v>
      </c>
      <c r="W243" s="26">
        <v>700</v>
      </c>
      <c r="X243" s="26">
        <v>0</v>
      </c>
    </row>
    <row r="244" spans="1:24">
      <c r="A244" s="24" t="str">
        <f t="shared" si="40"/>
        <v>러닝</v>
      </c>
      <c r="B244" s="24" t="str">
        <f>IF(COUNTIF(Q$1:Q243,Q244)=0,"최초","리오더")</f>
        <v>최초</v>
      </c>
      <c r="C244" s="24" t="str">
        <f t="shared" si="41"/>
        <v>ELSFIE3711</v>
      </c>
      <c r="D244" s="24">
        <f t="shared" si="36"/>
        <v>1</v>
      </c>
      <c r="E244" s="24" t="str">
        <f t="shared" si="42"/>
        <v/>
      </c>
      <c r="F244" s="24">
        <f t="shared" si="37"/>
        <v>0</v>
      </c>
      <c r="G244" s="24" t="str">
        <f t="shared" si="43"/>
        <v>ELSFIE3711PK</v>
      </c>
      <c r="H244" s="24">
        <f t="shared" si="38"/>
        <v>1</v>
      </c>
      <c r="I244" s="24" t="str">
        <f t="shared" si="44"/>
        <v/>
      </c>
      <c r="J244" s="24">
        <f t="shared" si="39"/>
        <v>0</v>
      </c>
      <c r="K244" s="24" t="str">
        <f t="shared" si="45"/>
        <v>E3</v>
      </c>
      <c r="L244" s="24" t="str">
        <f>VLOOKUP(N244,CODE!K:P,CODE!$P$1,FALSE)</f>
        <v>모자</v>
      </c>
      <c r="M244" s="24" t="str">
        <f>VLOOKUP(MID(Q244,1,3),CODE!$B:$G,CODE!D$1,FALSE)</f>
        <v>ELS</v>
      </c>
      <c r="N244" s="24" t="str">
        <f t="shared" si="46"/>
        <v>FI</v>
      </c>
      <c r="O244" s="29" t="str">
        <f>IF(ISERROR(IF(VLOOKUP($N244,CODE!$K:$P,CODE!$O$1,FALSE)="",$M244,$M244&amp;"-"&amp;VLOOKUP($N244,CODE!$K:$P,CODE!$O$1,FALSE)))=TRUE,"",IF(VLOOKUP($N244,CODE!$K:$P,CODE!$O$1,FALSE)="",$M244,$M244&amp;"-"&amp;VLOOKUP($N244,CODE!$K:$P,CODE!$O$1,FALSE)))</f>
        <v>ELS</v>
      </c>
      <c r="P244" s="29" t="str">
        <f t="shared" si="47"/>
        <v>ELSFIE3711</v>
      </c>
      <c r="Q244" s="1" t="s">
        <v>1036</v>
      </c>
      <c r="R244" s="1" t="s">
        <v>14</v>
      </c>
      <c r="S244" s="26">
        <v>2000</v>
      </c>
      <c r="T244" s="26">
        <v>98000000</v>
      </c>
      <c r="U244" s="26">
        <v>13886140.000000002</v>
      </c>
      <c r="V244" s="26">
        <v>6.4158152727042266</v>
      </c>
      <c r="W244" s="26">
        <v>0</v>
      </c>
      <c r="X244" s="26">
        <v>2000</v>
      </c>
    </row>
    <row r="245" spans="1:24">
      <c r="A245" s="24" t="str">
        <f t="shared" si="40"/>
        <v>러닝</v>
      </c>
      <c r="B245" s="24" t="str">
        <f>IF(COUNTIF(Q$1:Q244,Q245)=0,"최초","리오더")</f>
        <v>최초</v>
      </c>
      <c r="C245" s="24" t="str">
        <f t="shared" si="41"/>
        <v>ELSFIE3712</v>
      </c>
      <c r="D245" s="24">
        <f t="shared" si="36"/>
        <v>1</v>
      </c>
      <c r="E245" s="24" t="str">
        <f t="shared" si="42"/>
        <v/>
      </c>
      <c r="F245" s="24">
        <f t="shared" si="37"/>
        <v>0</v>
      </c>
      <c r="G245" s="24" t="str">
        <f t="shared" si="43"/>
        <v>ELSFIE3712BL</v>
      </c>
      <c r="H245" s="24">
        <f t="shared" si="38"/>
        <v>1</v>
      </c>
      <c r="I245" s="24" t="str">
        <f t="shared" si="44"/>
        <v/>
      </c>
      <c r="J245" s="24">
        <f t="shared" si="39"/>
        <v>0</v>
      </c>
      <c r="K245" s="24" t="str">
        <f t="shared" si="45"/>
        <v>E3</v>
      </c>
      <c r="L245" s="24" t="str">
        <f>VLOOKUP(N245,CODE!K:P,CODE!$P$1,FALSE)</f>
        <v>모자</v>
      </c>
      <c r="M245" s="24" t="str">
        <f>VLOOKUP(MID(Q245,1,3),CODE!$B:$G,CODE!D$1,FALSE)</f>
        <v>ELS</v>
      </c>
      <c r="N245" s="24" t="str">
        <f t="shared" si="46"/>
        <v>FI</v>
      </c>
      <c r="O245" s="29" t="str">
        <f>IF(ISERROR(IF(VLOOKUP($N245,CODE!$K:$P,CODE!$O$1,FALSE)="",$M245,$M245&amp;"-"&amp;VLOOKUP($N245,CODE!$K:$P,CODE!$O$1,FALSE)))=TRUE,"",IF(VLOOKUP($N245,CODE!$K:$P,CODE!$O$1,FALSE)="",$M245,$M245&amp;"-"&amp;VLOOKUP($N245,CODE!$K:$P,CODE!$O$1,FALSE)))</f>
        <v>ELS</v>
      </c>
      <c r="P245" s="29" t="str">
        <f t="shared" si="47"/>
        <v>ELSFIE3712</v>
      </c>
      <c r="Q245" s="1" t="s">
        <v>1037</v>
      </c>
      <c r="R245" s="1" t="s">
        <v>14</v>
      </c>
      <c r="S245" s="26">
        <v>1000</v>
      </c>
      <c r="T245" s="26">
        <v>49000000</v>
      </c>
      <c r="U245" s="26">
        <v>6693590</v>
      </c>
      <c r="V245" s="26">
        <v>6.6549421977525576</v>
      </c>
      <c r="W245" s="26">
        <v>900</v>
      </c>
      <c r="X245" s="26">
        <v>0</v>
      </c>
    </row>
    <row r="246" spans="1:24">
      <c r="A246" s="24" t="str">
        <f t="shared" si="40"/>
        <v>러닝</v>
      </c>
      <c r="B246" s="24" t="str">
        <f>IF(COUNTIF(Q$1:Q245,Q246)=0,"최초","리오더")</f>
        <v>최초</v>
      </c>
      <c r="C246" s="24" t="str">
        <f t="shared" si="41"/>
        <v>ELSFIE3713</v>
      </c>
      <c r="D246" s="24">
        <f t="shared" si="36"/>
        <v>1</v>
      </c>
      <c r="E246" s="24" t="str">
        <f t="shared" si="42"/>
        <v/>
      </c>
      <c r="F246" s="24">
        <f t="shared" si="37"/>
        <v>0</v>
      </c>
      <c r="G246" s="24" t="str">
        <f t="shared" si="43"/>
        <v>ELSFIE3713PK</v>
      </c>
      <c r="H246" s="24">
        <f t="shared" si="38"/>
        <v>1</v>
      </c>
      <c r="I246" s="24" t="str">
        <f t="shared" si="44"/>
        <v/>
      </c>
      <c r="J246" s="24">
        <f t="shared" si="39"/>
        <v>0</v>
      </c>
      <c r="K246" s="24" t="str">
        <f t="shared" si="45"/>
        <v>E3</v>
      </c>
      <c r="L246" s="24" t="str">
        <f>VLOOKUP(N246,CODE!K:P,CODE!$P$1,FALSE)</f>
        <v>모자</v>
      </c>
      <c r="M246" s="24" t="str">
        <f>VLOOKUP(MID(Q246,1,3),CODE!$B:$G,CODE!D$1,FALSE)</f>
        <v>ELS</v>
      </c>
      <c r="N246" s="24" t="str">
        <f t="shared" si="46"/>
        <v>FI</v>
      </c>
      <c r="O246" s="29" t="str">
        <f>IF(ISERROR(IF(VLOOKUP($N246,CODE!$K:$P,CODE!$O$1,FALSE)="",$M246,$M246&amp;"-"&amp;VLOOKUP($N246,CODE!$K:$P,CODE!$O$1,FALSE)))=TRUE,"",IF(VLOOKUP($N246,CODE!$K:$P,CODE!$O$1,FALSE)="",$M246,$M246&amp;"-"&amp;VLOOKUP($N246,CODE!$K:$P,CODE!$O$1,FALSE)))</f>
        <v>ELS</v>
      </c>
      <c r="P246" s="29" t="str">
        <f t="shared" si="47"/>
        <v>ELSFIE3713</v>
      </c>
      <c r="Q246" s="1" t="s">
        <v>1038</v>
      </c>
      <c r="R246" s="1" t="s">
        <v>14</v>
      </c>
      <c r="S246" s="26">
        <v>2500</v>
      </c>
      <c r="T246" s="26">
        <v>122500000</v>
      </c>
      <c r="U246" s="26">
        <v>17045825.000000004</v>
      </c>
      <c r="V246" s="26">
        <v>6.5331913453080928</v>
      </c>
      <c r="W246" s="26">
        <v>0</v>
      </c>
      <c r="X246" s="26">
        <v>2500</v>
      </c>
    </row>
    <row r="247" spans="1:24">
      <c r="A247" s="24" t="str">
        <f t="shared" si="40"/>
        <v>러닝</v>
      </c>
      <c r="B247" s="24" t="str">
        <f>IF(COUNTIF(Q$1:Q246,Q247)=0,"최초","리오더")</f>
        <v>최초</v>
      </c>
      <c r="C247" s="24" t="str">
        <f t="shared" si="41"/>
        <v>ELSBAE3008</v>
      </c>
      <c r="D247" s="24">
        <f t="shared" si="36"/>
        <v>0.33333333333333331</v>
      </c>
      <c r="E247" s="24" t="str">
        <f t="shared" si="42"/>
        <v/>
      </c>
      <c r="F247" s="24">
        <f t="shared" si="37"/>
        <v>0</v>
      </c>
      <c r="G247" s="24" t="str">
        <f t="shared" si="43"/>
        <v>ELSBAE3008BK</v>
      </c>
      <c r="H247" s="24">
        <f t="shared" si="38"/>
        <v>1</v>
      </c>
      <c r="I247" s="24" t="str">
        <f t="shared" si="44"/>
        <v/>
      </c>
      <c r="J247" s="24">
        <f t="shared" si="39"/>
        <v>0</v>
      </c>
      <c r="K247" s="24" t="str">
        <f t="shared" si="45"/>
        <v>E3</v>
      </c>
      <c r="L247" s="24" t="str">
        <f>VLOOKUP(N247,CODE!K:P,CODE!$P$1,FALSE)</f>
        <v>모자</v>
      </c>
      <c r="M247" s="24" t="str">
        <f>VLOOKUP(MID(Q247,1,3),CODE!$B:$G,CODE!D$1,FALSE)</f>
        <v>ELS</v>
      </c>
      <c r="N247" s="24" t="str">
        <f t="shared" si="46"/>
        <v>BA</v>
      </c>
      <c r="O247" s="29" t="str">
        <f>IF(ISERROR(IF(VLOOKUP($N247,CODE!$K:$P,CODE!$O$1,FALSE)="",$M247,$M247&amp;"-"&amp;VLOOKUP($N247,CODE!$K:$P,CODE!$O$1,FALSE)))=TRUE,"",IF(VLOOKUP($N247,CODE!$K:$P,CODE!$O$1,FALSE)="",$M247,$M247&amp;"-"&amp;VLOOKUP($N247,CODE!$K:$P,CODE!$O$1,FALSE)))</f>
        <v>ELS</v>
      </c>
      <c r="P247" s="29" t="str">
        <f t="shared" si="47"/>
        <v>ELSBAE3008</v>
      </c>
      <c r="Q247" s="1" t="s">
        <v>1039</v>
      </c>
      <c r="R247" s="1" t="s">
        <v>14</v>
      </c>
      <c r="S247" s="26">
        <v>5000</v>
      </c>
      <c r="T247" s="26">
        <v>245000000</v>
      </c>
      <c r="U247" s="26">
        <v>29552499.999999996</v>
      </c>
      <c r="V247" s="26">
        <v>7.5366643338896111</v>
      </c>
      <c r="W247" s="26">
        <v>0</v>
      </c>
      <c r="X247" s="26">
        <v>5000</v>
      </c>
    </row>
    <row r="248" spans="1:24">
      <c r="A248" s="24" t="str">
        <f t="shared" si="40"/>
        <v>러닝</v>
      </c>
      <c r="B248" s="24" t="str">
        <f>IF(COUNTIF(Q$1:Q247,Q248)=0,"최초","리오더")</f>
        <v>최초</v>
      </c>
      <c r="C248" s="24" t="str">
        <f t="shared" si="41"/>
        <v>JILMIE3152</v>
      </c>
      <c r="D248" s="24">
        <f t="shared" si="36"/>
        <v>0.2</v>
      </c>
      <c r="E248" s="24" t="str">
        <f t="shared" si="42"/>
        <v/>
      </c>
      <c r="F248" s="24">
        <f t="shared" si="37"/>
        <v>0</v>
      </c>
      <c r="G248" s="24" t="str">
        <f t="shared" si="43"/>
        <v>JILMIE3152BK</v>
      </c>
      <c r="H248" s="24">
        <f t="shared" si="38"/>
        <v>0.5</v>
      </c>
      <c r="I248" s="24" t="str">
        <f t="shared" si="44"/>
        <v/>
      </c>
      <c r="J248" s="24">
        <f t="shared" si="39"/>
        <v>0</v>
      </c>
      <c r="K248" s="24" t="str">
        <f t="shared" si="45"/>
        <v>E3</v>
      </c>
      <c r="L248" s="24" t="str">
        <f>VLOOKUP(N248,CODE!K:P,CODE!$P$1,FALSE)</f>
        <v>모자</v>
      </c>
      <c r="M248" s="24" t="str">
        <f>VLOOKUP(MID(Q248,1,3),CODE!$B:$G,CODE!D$1,FALSE)</f>
        <v>JIL</v>
      </c>
      <c r="N248" s="24" t="str">
        <f t="shared" si="46"/>
        <v>MI</v>
      </c>
      <c r="O248" s="29" t="str">
        <f>IF(ISERROR(IF(VLOOKUP($N248,CODE!$K:$P,CODE!$O$1,FALSE)="",$M248,$M248&amp;"-"&amp;VLOOKUP($N248,CODE!$K:$P,CODE!$O$1,FALSE)))=TRUE,"",IF(VLOOKUP($N248,CODE!$K:$P,CODE!$O$1,FALSE)="",$M248,$M248&amp;"-"&amp;VLOOKUP($N248,CODE!$K:$P,CODE!$O$1,FALSE)))</f>
        <v>JIL</v>
      </c>
      <c r="P248" s="29" t="str">
        <f t="shared" si="47"/>
        <v>JILMIE3152</v>
      </c>
      <c r="Q248" s="1" t="s">
        <v>1040</v>
      </c>
      <c r="R248" s="1" t="s">
        <v>14</v>
      </c>
      <c r="S248" s="26">
        <v>2000</v>
      </c>
      <c r="T248" s="26">
        <v>90000000</v>
      </c>
      <c r="U248" s="26">
        <v>12474000</v>
      </c>
      <c r="V248" s="26">
        <v>6.5590974681883765</v>
      </c>
      <c r="W248" s="26">
        <v>2000</v>
      </c>
      <c r="X248" s="26">
        <v>0</v>
      </c>
    </row>
    <row r="249" spans="1:24">
      <c r="A249" s="24" t="str">
        <f t="shared" si="40"/>
        <v>신규</v>
      </c>
      <c r="B249" s="24" t="str">
        <f>IF(COUNTIF(Q$1:Q248,Q249)=0,"최초","리오더")</f>
        <v>최초</v>
      </c>
      <c r="C249" s="24" t="str">
        <f t="shared" si="41"/>
        <v>ELSFIE5305</v>
      </c>
      <c r="D249" s="24">
        <f t="shared" si="36"/>
        <v>0.5</v>
      </c>
      <c r="E249" s="24" t="str">
        <f t="shared" si="42"/>
        <v/>
      </c>
      <c r="F249" s="24">
        <f t="shared" si="37"/>
        <v>0</v>
      </c>
      <c r="G249" s="24" t="str">
        <f t="shared" si="43"/>
        <v>ELSFIE5305OR</v>
      </c>
      <c r="H249" s="24">
        <f t="shared" si="38"/>
        <v>1</v>
      </c>
      <c r="I249" s="24" t="str">
        <f t="shared" si="44"/>
        <v/>
      </c>
      <c r="J249" s="24">
        <f t="shared" si="39"/>
        <v>0</v>
      </c>
      <c r="K249" s="24" t="str">
        <f t="shared" si="45"/>
        <v>E5</v>
      </c>
      <c r="L249" s="24" t="str">
        <f>VLOOKUP(N249,CODE!K:P,CODE!$P$1,FALSE)</f>
        <v>모자</v>
      </c>
      <c r="M249" s="24" t="str">
        <f>VLOOKUP(MID(Q249,1,3),CODE!$B:$G,CODE!D$1,FALSE)</f>
        <v>ELS</v>
      </c>
      <c r="N249" s="24" t="str">
        <f t="shared" si="46"/>
        <v>FI</v>
      </c>
      <c r="O249" s="29" t="str">
        <f>IF(ISERROR(IF(VLOOKUP($N249,CODE!$K:$P,CODE!$O$1,FALSE)="",$M249,$M249&amp;"-"&amp;VLOOKUP($N249,CODE!$K:$P,CODE!$O$1,FALSE)))=TRUE,"",IF(VLOOKUP($N249,CODE!$K:$P,CODE!$O$1,FALSE)="",$M249,$M249&amp;"-"&amp;VLOOKUP($N249,CODE!$K:$P,CODE!$O$1,FALSE)))</f>
        <v>ELS</v>
      </c>
      <c r="P249" s="29" t="str">
        <f t="shared" si="47"/>
        <v>ELSFIE5305</v>
      </c>
      <c r="Q249" s="1" t="s">
        <v>1041</v>
      </c>
      <c r="R249" s="1" t="s">
        <v>14</v>
      </c>
      <c r="S249" s="26">
        <v>800</v>
      </c>
      <c r="T249" s="26">
        <v>44000000</v>
      </c>
      <c r="U249" s="26">
        <v>6302896.0000000009</v>
      </c>
      <c r="V249" s="26">
        <v>6.3462890709286635</v>
      </c>
      <c r="W249" s="26">
        <v>0</v>
      </c>
      <c r="X249" s="26">
        <v>800</v>
      </c>
    </row>
    <row r="250" spans="1:24">
      <c r="A250" s="24" t="str">
        <f t="shared" si="40"/>
        <v>신규</v>
      </c>
      <c r="B250" s="24" t="str">
        <f>IF(COUNTIF(Q$1:Q249,Q250)=0,"최초","리오더")</f>
        <v>최초</v>
      </c>
      <c r="C250" s="24" t="str">
        <f t="shared" si="41"/>
        <v>ELSFIE5305</v>
      </c>
      <c r="D250" s="24">
        <f t="shared" si="36"/>
        <v>0.5</v>
      </c>
      <c r="E250" s="24" t="str">
        <f t="shared" si="42"/>
        <v/>
      </c>
      <c r="F250" s="24">
        <f t="shared" si="37"/>
        <v>0</v>
      </c>
      <c r="G250" s="24" t="str">
        <f t="shared" si="43"/>
        <v>ELSFIE5305GR</v>
      </c>
      <c r="H250" s="24">
        <f t="shared" si="38"/>
        <v>1</v>
      </c>
      <c r="I250" s="24" t="str">
        <f t="shared" si="44"/>
        <v/>
      </c>
      <c r="J250" s="24">
        <f t="shared" si="39"/>
        <v>0</v>
      </c>
      <c r="K250" s="24" t="str">
        <f t="shared" si="45"/>
        <v>E5</v>
      </c>
      <c r="L250" s="24" t="str">
        <f>VLOOKUP(N250,CODE!K:P,CODE!$P$1,FALSE)</f>
        <v>모자</v>
      </c>
      <c r="M250" s="24" t="str">
        <f>VLOOKUP(MID(Q250,1,3),CODE!$B:$G,CODE!D$1,FALSE)</f>
        <v>ELS</v>
      </c>
      <c r="N250" s="24" t="str">
        <f t="shared" si="46"/>
        <v>FI</v>
      </c>
      <c r="O250" s="29" t="str">
        <f>IF(ISERROR(IF(VLOOKUP($N250,CODE!$K:$P,CODE!$O$1,FALSE)="",$M250,$M250&amp;"-"&amp;VLOOKUP($N250,CODE!$K:$P,CODE!$O$1,FALSE)))=TRUE,"",IF(VLOOKUP($N250,CODE!$K:$P,CODE!$O$1,FALSE)="",$M250,$M250&amp;"-"&amp;VLOOKUP($N250,CODE!$K:$P,CODE!$O$1,FALSE)))</f>
        <v>ELS</v>
      </c>
      <c r="P250" s="29" t="str">
        <f t="shared" si="47"/>
        <v>ELSFIE5305</v>
      </c>
      <c r="Q250" s="1" t="s">
        <v>1042</v>
      </c>
      <c r="R250" s="1" t="s">
        <v>14</v>
      </c>
      <c r="S250" s="26">
        <v>800</v>
      </c>
      <c r="T250" s="26">
        <v>44000000</v>
      </c>
      <c r="U250" s="26">
        <v>6302896.0000000009</v>
      </c>
      <c r="V250" s="26">
        <v>6.3462890709286635</v>
      </c>
      <c r="W250" s="26">
        <v>0</v>
      </c>
      <c r="X250" s="26">
        <v>800</v>
      </c>
    </row>
    <row r="251" spans="1:24">
      <c r="A251" s="24" t="str">
        <f t="shared" si="40"/>
        <v>신규</v>
      </c>
      <c r="B251" s="24" t="str">
        <f>IF(COUNTIF(Q$1:Q250,Q251)=0,"최초","리오더")</f>
        <v>최초</v>
      </c>
      <c r="C251" s="24" t="str">
        <f t="shared" si="41"/>
        <v>ELSBAE5306</v>
      </c>
      <c r="D251" s="24">
        <f t="shared" si="36"/>
        <v>0.5</v>
      </c>
      <c r="E251" s="24" t="str">
        <f t="shared" si="42"/>
        <v/>
      </c>
      <c r="F251" s="24">
        <f t="shared" si="37"/>
        <v>0</v>
      </c>
      <c r="G251" s="24" t="str">
        <f t="shared" si="43"/>
        <v>ELSBAE5306GR</v>
      </c>
      <c r="H251" s="24">
        <f t="shared" si="38"/>
        <v>1</v>
      </c>
      <c r="I251" s="24" t="str">
        <f t="shared" si="44"/>
        <v/>
      </c>
      <c r="J251" s="24">
        <f t="shared" si="39"/>
        <v>0</v>
      </c>
      <c r="K251" s="24" t="str">
        <f t="shared" si="45"/>
        <v>E5</v>
      </c>
      <c r="L251" s="24" t="str">
        <f>VLOOKUP(N251,CODE!K:P,CODE!$P$1,FALSE)</f>
        <v>모자</v>
      </c>
      <c r="M251" s="24" t="str">
        <f>VLOOKUP(MID(Q251,1,3),CODE!$B:$G,CODE!D$1,FALSE)</f>
        <v>ELS</v>
      </c>
      <c r="N251" s="24" t="str">
        <f t="shared" si="46"/>
        <v>BA</v>
      </c>
      <c r="O251" s="29" t="str">
        <f>IF(ISERROR(IF(VLOOKUP($N251,CODE!$K:$P,CODE!$O$1,FALSE)="",$M251,$M251&amp;"-"&amp;VLOOKUP($N251,CODE!$K:$P,CODE!$O$1,FALSE)))=TRUE,"",IF(VLOOKUP($N251,CODE!$K:$P,CODE!$O$1,FALSE)="",$M251,$M251&amp;"-"&amp;VLOOKUP($N251,CODE!$K:$P,CODE!$O$1,FALSE)))</f>
        <v>ELS</v>
      </c>
      <c r="P251" s="29" t="str">
        <f t="shared" si="47"/>
        <v>ELSBAE5306</v>
      </c>
      <c r="Q251" s="1" t="s">
        <v>1043</v>
      </c>
      <c r="R251" s="1" t="s">
        <v>14</v>
      </c>
      <c r="S251" s="26">
        <v>600</v>
      </c>
      <c r="T251" s="26">
        <v>33000000</v>
      </c>
      <c r="U251" s="26">
        <v>4652328.0000000009</v>
      </c>
      <c r="V251" s="26">
        <v>6.4483845507023556</v>
      </c>
      <c r="W251" s="26">
        <v>0</v>
      </c>
      <c r="X251" s="26">
        <v>600</v>
      </c>
    </row>
    <row r="252" spans="1:24">
      <c r="A252" s="24" t="str">
        <f t="shared" si="40"/>
        <v>신규</v>
      </c>
      <c r="B252" s="24" t="str">
        <f>IF(COUNTIF(Q$1:Q251,Q252)=0,"최초","리오더")</f>
        <v>최초</v>
      </c>
      <c r="C252" s="24" t="str">
        <f t="shared" si="41"/>
        <v>ELSBAE5306</v>
      </c>
      <c r="D252" s="24">
        <f t="shared" si="36"/>
        <v>0.5</v>
      </c>
      <c r="E252" s="24" t="str">
        <f t="shared" si="42"/>
        <v/>
      </c>
      <c r="F252" s="24">
        <f t="shared" si="37"/>
        <v>0</v>
      </c>
      <c r="G252" s="24" t="str">
        <f t="shared" si="43"/>
        <v>ELSBAE5306PK</v>
      </c>
      <c r="H252" s="24">
        <f t="shared" si="38"/>
        <v>1</v>
      </c>
      <c r="I252" s="24" t="str">
        <f t="shared" si="44"/>
        <v/>
      </c>
      <c r="J252" s="24">
        <f t="shared" si="39"/>
        <v>0</v>
      </c>
      <c r="K252" s="24" t="str">
        <f t="shared" si="45"/>
        <v>E5</v>
      </c>
      <c r="L252" s="24" t="str">
        <f>VLOOKUP(N252,CODE!K:P,CODE!$P$1,FALSE)</f>
        <v>모자</v>
      </c>
      <c r="M252" s="24" t="str">
        <f>VLOOKUP(MID(Q252,1,3),CODE!$B:$G,CODE!D$1,FALSE)</f>
        <v>ELS</v>
      </c>
      <c r="N252" s="24" t="str">
        <f t="shared" si="46"/>
        <v>BA</v>
      </c>
      <c r="O252" s="29" t="str">
        <f>IF(ISERROR(IF(VLOOKUP($N252,CODE!$K:$P,CODE!$O$1,FALSE)="",$M252,$M252&amp;"-"&amp;VLOOKUP($N252,CODE!$K:$P,CODE!$O$1,FALSE)))=TRUE,"",IF(VLOOKUP($N252,CODE!$K:$P,CODE!$O$1,FALSE)="",$M252,$M252&amp;"-"&amp;VLOOKUP($N252,CODE!$K:$P,CODE!$O$1,FALSE)))</f>
        <v>ELS</v>
      </c>
      <c r="P252" s="29" t="str">
        <f t="shared" si="47"/>
        <v>ELSBAE5306</v>
      </c>
      <c r="Q252" s="1" t="s">
        <v>1044</v>
      </c>
      <c r="R252" s="1" t="s">
        <v>14</v>
      </c>
      <c r="S252" s="26">
        <v>600</v>
      </c>
      <c r="T252" s="26">
        <v>33000000</v>
      </c>
      <c r="U252" s="26">
        <v>4652328.0000000009</v>
      </c>
      <c r="V252" s="26">
        <v>6.4483845507023556</v>
      </c>
      <c r="W252" s="26">
        <v>0</v>
      </c>
      <c r="X252" s="26">
        <v>600</v>
      </c>
    </row>
    <row r="253" spans="1:24">
      <c r="A253" s="24" t="str">
        <f t="shared" si="40"/>
        <v>신규</v>
      </c>
      <c r="B253" s="24" t="str">
        <f>IF(COUNTIF(Q$1:Q252,Q253)=0,"최초","리오더")</f>
        <v>최초</v>
      </c>
      <c r="C253" s="24" t="str">
        <f t="shared" si="41"/>
        <v>ELSERE5309</v>
      </c>
      <c r="D253" s="24">
        <f t="shared" si="36"/>
        <v>1</v>
      </c>
      <c r="E253" s="24" t="str">
        <f t="shared" si="42"/>
        <v/>
      </c>
      <c r="F253" s="24">
        <f t="shared" si="37"/>
        <v>0</v>
      </c>
      <c r="G253" s="24" t="str">
        <f t="shared" si="43"/>
        <v>ELSERE5309PK</v>
      </c>
      <c r="H253" s="24">
        <f t="shared" si="38"/>
        <v>1</v>
      </c>
      <c r="I253" s="24" t="str">
        <f t="shared" si="44"/>
        <v/>
      </c>
      <c r="J253" s="24">
        <f t="shared" si="39"/>
        <v>0</v>
      </c>
      <c r="K253" s="24" t="str">
        <f t="shared" si="45"/>
        <v>E5</v>
      </c>
      <c r="L253" s="24" t="str">
        <f>VLOOKUP(N253,CODE!K:P,CODE!$P$1,FALSE)</f>
        <v>모자</v>
      </c>
      <c r="M253" s="24" t="str">
        <f>VLOOKUP(MID(Q253,1,3),CODE!$B:$G,CODE!D$1,FALSE)</f>
        <v>ELS</v>
      </c>
      <c r="N253" s="24" t="str">
        <f t="shared" si="46"/>
        <v>ER</v>
      </c>
      <c r="O253" s="29" t="str">
        <f>IF(ISERROR(IF(VLOOKUP($N253,CODE!$K:$P,CODE!$O$1,FALSE)="",$M253,$M253&amp;"-"&amp;VLOOKUP($N253,CODE!$K:$P,CODE!$O$1,FALSE)))=TRUE,"",IF(VLOOKUP($N253,CODE!$K:$P,CODE!$O$1,FALSE)="",$M253,$M253&amp;"-"&amp;VLOOKUP($N253,CODE!$K:$P,CODE!$O$1,FALSE)))</f>
        <v>ELS</v>
      </c>
      <c r="P253" s="29" t="str">
        <f t="shared" si="47"/>
        <v>ELSERE5309</v>
      </c>
      <c r="Q253" s="1" t="s">
        <v>1045</v>
      </c>
      <c r="R253" s="1" t="s">
        <v>14</v>
      </c>
      <c r="S253" s="26">
        <v>1000</v>
      </c>
      <c r="T253" s="26">
        <v>59000000</v>
      </c>
      <c r="U253" s="26">
        <v>8751800.0000000019</v>
      </c>
      <c r="V253" s="26">
        <v>6.1286093873675833</v>
      </c>
      <c r="W253" s="26">
        <v>0</v>
      </c>
      <c r="X253" s="26">
        <v>1000</v>
      </c>
    </row>
    <row r="254" spans="1:24">
      <c r="A254" s="24" t="str">
        <f t="shared" si="40"/>
        <v>신규</v>
      </c>
      <c r="B254" s="24" t="str">
        <f>IF(COUNTIF(Q$1:Q253,Q254)=0,"최초","리오더")</f>
        <v>최초</v>
      </c>
      <c r="C254" s="24" t="str">
        <f t="shared" si="41"/>
        <v>ELSBAE3311</v>
      </c>
      <c r="D254" s="24">
        <f t="shared" si="36"/>
        <v>0.25</v>
      </c>
      <c r="E254" s="24" t="str">
        <f t="shared" si="42"/>
        <v/>
      </c>
      <c r="F254" s="24">
        <f t="shared" si="37"/>
        <v>0</v>
      </c>
      <c r="G254" s="24" t="str">
        <f t="shared" si="43"/>
        <v>ELSBAE3311LI</v>
      </c>
      <c r="H254" s="24">
        <f t="shared" si="38"/>
        <v>0.5</v>
      </c>
      <c r="I254" s="24" t="str">
        <f t="shared" si="44"/>
        <v/>
      </c>
      <c r="J254" s="24">
        <f t="shared" si="39"/>
        <v>0</v>
      </c>
      <c r="K254" s="24" t="str">
        <f t="shared" si="45"/>
        <v>E3</v>
      </c>
      <c r="L254" s="24" t="str">
        <f>VLOOKUP(N254,CODE!K:P,CODE!$P$1,FALSE)</f>
        <v>모자</v>
      </c>
      <c r="M254" s="24" t="str">
        <f>VLOOKUP(MID(Q254,1,3),CODE!$B:$G,CODE!D$1,FALSE)</f>
        <v>ELS</v>
      </c>
      <c r="N254" s="24" t="str">
        <f t="shared" si="46"/>
        <v>BA</v>
      </c>
      <c r="O254" s="29" t="str">
        <f>IF(ISERROR(IF(VLOOKUP($N254,CODE!$K:$P,CODE!$O$1,FALSE)="",$M254,$M254&amp;"-"&amp;VLOOKUP($N254,CODE!$K:$P,CODE!$O$1,FALSE)))=TRUE,"",IF(VLOOKUP($N254,CODE!$K:$P,CODE!$O$1,FALSE)="",$M254,$M254&amp;"-"&amp;VLOOKUP($N254,CODE!$K:$P,CODE!$O$1,FALSE)))</f>
        <v>ELS</v>
      </c>
      <c r="P254" s="29" t="str">
        <f t="shared" si="47"/>
        <v>ELSBAE3311</v>
      </c>
      <c r="Q254" s="1" t="s">
        <v>1046</v>
      </c>
      <c r="R254" s="1" t="s">
        <v>14</v>
      </c>
      <c r="S254" s="26">
        <v>600</v>
      </c>
      <c r="T254" s="26">
        <v>29400000</v>
      </c>
      <c r="U254" s="26">
        <v>4577484</v>
      </c>
      <c r="V254" s="26">
        <v>5.8388566136490541</v>
      </c>
      <c r="W254" s="26">
        <v>0</v>
      </c>
      <c r="X254" s="26">
        <v>600</v>
      </c>
    </row>
    <row r="255" spans="1:24">
      <c r="A255" s="24" t="str">
        <f t="shared" si="40"/>
        <v>신규</v>
      </c>
      <c r="B255" s="24" t="str">
        <f>IF(COUNTIF(Q$1:Q254,Q255)=0,"최초","리오더")</f>
        <v>최초</v>
      </c>
      <c r="C255" s="24" t="str">
        <f t="shared" si="41"/>
        <v>ELSBAE3811</v>
      </c>
      <c r="D255" s="24">
        <f t="shared" si="36"/>
        <v>0.25</v>
      </c>
      <c r="E255" s="24" t="str">
        <f t="shared" si="42"/>
        <v/>
      </c>
      <c r="F255" s="24">
        <f t="shared" si="37"/>
        <v>0</v>
      </c>
      <c r="G255" s="24" t="str">
        <f t="shared" si="43"/>
        <v>ELSBAE3811LI</v>
      </c>
      <c r="H255" s="24">
        <f t="shared" si="38"/>
        <v>0.5</v>
      </c>
      <c r="I255" s="24" t="str">
        <f t="shared" si="44"/>
        <v/>
      </c>
      <c r="J255" s="24">
        <f t="shared" si="39"/>
        <v>0</v>
      </c>
      <c r="K255" s="24" t="str">
        <f t="shared" si="45"/>
        <v>E3</v>
      </c>
      <c r="L255" s="24" t="str">
        <f>VLOOKUP(N255,CODE!K:P,CODE!$P$1,FALSE)</f>
        <v>모자</v>
      </c>
      <c r="M255" s="24" t="str">
        <f>VLOOKUP(MID(Q255,1,3),CODE!$B:$G,CODE!D$1,FALSE)</f>
        <v>ELS</v>
      </c>
      <c r="N255" s="24" t="str">
        <f t="shared" si="46"/>
        <v>BA</v>
      </c>
      <c r="O255" s="29" t="str">
        <f>IF(ISERROR(IF(VLOOKUP($N255,CODE!$K:$P,CODE!$O$1,FALSE)="",$M255,$M255&amp;"-"&amp;VLOOKUP($N255,CODE!$K:$P,CODE!$O$1,FALSE)))=TRUE,"",IF(VLOOKUP($N255,CODE!$K:$P,CODE!$O$1,FALSE)="",$M255,$M255&amp;"-"&amp;VLOOKUP($N255,CODE!$K:$P,CODE!$O$1,FALSE)))</f>
        <v>ELS</v>
      </c>
      <c r="P255" s="29" t="str">
        <f t="shared" si="47"/>
        <v>ELSBAE3811</v>
      </c>
      <c r="Q255" s="1" t="s">
        <v>1047</v>
      </c>
      <c r="R255" s="1" t="s">
        <v>14</v>
      </c>
      <c r="S255" s="26">
        <v>600</v>
      </c>
      <c r="T255" s="26">
        <v>25800000</v>
      </c>
      <c r="U255" s="26">
        <v>4502640.0000000009</v>
      </c>
      <c r="V255" s="26">
        <v>5.209065227187927</v>
      </c>
      <c r="W255" s="26">
        <v>0</v>
      </c>
      <c r="X255" s="26">
        <v>600</v>
      </c>
    </row>
    <row r="256" spans="1:24">
      <c r="A256" s="24" t="str">
        <f t="shared" si="40"/>
        <v>신규</v>
      </c>
      <c r="B256" s="24" t="str">
        <f>IF(COUNTIF(Q$1:Q255,Q256)=0,"최초","리오더")</f>
        <v>최초</v>
      </c>
      <c r="C256" s="24" t="str">
        <f t="shared" si="41"/>
        <v>ELSBAE3311</v>
      </c>
      <c r="D256" s="24">
        <f t="shared" si="36"/>
        <v>0.25</v>
      </c>
      <c r="E256" s="24" t="str">
        <f t="shared" si="42"/>
        <v/>
      </c>
      <c r="F256" s="24">
        <f t="shared" si="37"/>
        <v>0</v>
      </c>
      <c r="G256" s="24" t="str">
        <f t="shared" si="43"/>
        <v>ELSBAE3311PK</v>
      </c>
      <c r="H256" s="24">
        <f t="shared" si="38"/>
        <v>0.5</v>
      </c>
      <c r="I256" s="24" t="str">
        <f t="shared" si="44"/>
        <v/>
      </c>
      <c r="J256" s="24">
        <f t="shared" si="39"/>
        <v>0</v>
      </c>
      <c r="K256" s="24" t="str">
        <f t="shared" si="45"/>
        <v>E3</v>
      </c>
      <c r="L256" s="24" t="str">
        <f>VLOOKUP(N256,CODE!K:P,CODE!$P$1,FALSE)</f>
        <v>모자</v>
      </c>
      <c r="M256" s="24" t="str">
        <f>VLOOKUP(MID(Q256,1,3),CODE!$B:$G,CODE!D$1,FALSE)</f>
        <v>ELS</v>
      </c>
      <c r="N256" s="24" t="str">
        <f t="shared" si="46"/>
        <v>BA</v>
      </c>
      <c r="O256" s="29" t="str">
        <f>IF(ISERROR(IF(VLOOKUP($N256,CODE!$K:$P,CODE!$O$1,FALSE)="",$M256,$M256&amp;"-"&amp;VLOOKUP($N256,CODE!$K:$P,CODE!$O$1,FALSE)))=TRUE,"",IF(VLOOKUP($N256,CODE!$K:$P,CODE!$O$1,FALSE)="",$M256,$M256&amp;"-"&amp;VLOOKUP($N256,CODE!$K:$P,CODE!$O$1,FALSE)))</f>
        <v>ELS</v>
      </c>
      <c r="P256" s="29" t="str">
        <f t="shared" si="47"/>
        <v>ELSBAE3311</v>
      </c>
      <c r="Q256" s="1" t="s">
        <v>1048</v>
      </c>
      <c r="R256" s="1" t="s">
        <v>14</v>
      </c>
      <c r="S256" s="26">
        <v>600</v>
      </c>
      <c r="T256" s="26">
        <v>29400000</v>
      </c>
      <c r="U256" s="26">
        <v>4577484</v>
      </c>
      <c r="V256" s="26">
        <v>5.8388566136490541</v>
      </c>
      <c r="W256" s="26">
        <v>0</v>
      </c>
      <c r="X256" s="26">
        <v>600</v>
      </c>
    </row>
    <row r="257" spans="1:24">
      <c r="A257" s="24" t="str">
        <f t="shared" si="40"/>
        <v>신규</v>
      </c>
      <c r="B257" s="24" t="str">
        <f>IF(COUNTIF(Q$1:Q256,Q257)=0,"최초","리오더")</f>
        <v>최초</v>
      </c>
      <c r="C257" s="24" t="str">
        <f t="shared" si="41"/>
        <v>ELSBAE3811</v>
      </c>
      <c r="D257" s="24">
        <f t="shared" si="36"/>
        <v>0.25</v>
      </c>
      <c r="E257" s="24" t="str">
        <f t="shared" si="42"/>
        <v/>
      </c>
      <c r="F257" s="24">
        <f t="shared" si="37"/>
        <v>0</v>
      </c>
      <c r="G257" s="24" t="str">
        <f t="shared" si="43"/>
        <v>ELSBAE3811PK</v>
      </c>
      <c r="H257" s="24">
        <f t="shared" si="38"/>
        <v>0.5</v>
      </c>
      <c r="I257" s="24" t="str">
        <f t="shared" si="44"/>
        <v/>
      </c>
      <c r="J257" s="24">
        <f t="shared" si="39"/>
        <v>0</v>
      </c>
      <c r="K257" s="24" t="str">
        <f t="shared" si="45"/>
        <v>E3</v>
      </c>
      <c r="L257" s="24" t="str">
        <f>VLOOKUP(N257,CODE!K:P,CODE!$P$1,FALSE)</f>
        <v>모자</v>
      </c>
      <c r="M257" s="24" t="str">
        <f>VLOOKUP(MID(Q257,1,3),CODE!$B:$G,CODE!D$1,FALSE)</f>
        <v>ELS</v>
      </c>
      <c r="N257" s="24" t="str">
        <f t="shared" si="46"/>
        <v>BA</v>
      </c>
      <c r="O257" s="29" t="str">
        <f>IF(ISERROR(IF(VLOOKUP($N257,CODE!$K:$P,CODE!$O$1,FALSE)="",$M257,$M257&amp;"-"&amp;VLOOKUP($N257,CODE!$K:$P,CODE!$O$1,FALSE)))=TRUE,"",IF(VLOOKUP($N257,CODE!$K:$P,CODE!$O$1,FALSE)="",$M257,$M257&amp;"-"&amp;VLOOKUP($N257,CODE!$K:$P,CODE!$O$1,FALSE)))</f>
        <v>ELS</v>
      </c>
      <c r="P257" s="29" t="str">
        <f t="shared" si="47"/>
        <v>ELSBAE3811</v>
      </c>
      <c r="Q257" s="1" t="s">
        <v>1049</v>
      </c>
      <c r="R257" s="1" t="s">
        <v>14</v>
      </c>
      <c r="S257" s="26">
        <v>600</v>
      </c>
      <c r="T257" s="26">
        <v>25800000</v>
      </c>
      <c r="U257" s="26">
        <v>4502640.0000000009</v>
      </c>
      <c r="V257" s="26">
        <v>5.209065227187927</v>
      </c>
      <c r="W257" s="26">
        <v>0</v>
      </c>
      <c r="X257" s="26">
        <v>600</v>
      </c>
    </row>
    <row r="258" spans="1:24">
      <c r="A258" s="24" t="str">
        <f t="shared" si="40"/>
        <v>신규</v>
      </c>
      <c r="B258" s="24" t="str">
        <f>IF(COUNTIF(Q$1:Q257,Q258)=0,"최초","리오더")</f>
        <v>최초</v>
      </c>
      <c r="C258" s="24" t="str">
        <f t="shared" si="41"/>
        <v>ELSBAE3312</v>
      </c>
      <c r="D258" s="24">
        <f t="shared" ref="D258:D321" si="48">IF(C258="",0,1/COUNTIF(C:C,C258))</f>
        <v>0.5</v>
      </c>
      <c r="E258" s="24" t="str">
        <f t="shared" si="42"/>
        <v/>
      </c>
      <c r="F258" s="24">
        <f t="shared" ref="F258:F321" si="49">IF(E258="",0,1/COUNTIF(E:E,E258))</f>
        <v>0</v>
      </c>
      <c r="G258" s="24" t="str">
        <f t="shared" si="43"/>
        <v>ELSBAE3312NY</v>
      </c>
      <c r="H258" s="24">
        <f t="shared" ref="H258:H321" si="50">IF(G258="",0,1/COUNTIF(G:G,G258))</f>
        <v>0.5</v>
      </c>
      <c r="I258" s="24" t="str">
        <f t="shared" si="44"/>
        <v/>
      </c>
      <c r="J258" s="24">
        <f t="shared" ref="J258:J321" si="51">IF(I258="",0,1/COUNTIF(I:I,I258))</f>
        <v>0</v>
      </c>
      <c r="K258" s="24" t="str">
        <f t="shared" si="45"/>
        <v>E3</v>
      </c>
      <c r="L258" s="24" t="str">
        <f>VLOOKUP(N258,CODE!K:P,CODE!$P$1,FALSE)</f>
        <v>모자</v>
      </c>
      <c r="M258" s="24" t="str">
        <f>VLOOKUP(MID(Q258,1,3),CODE!$B:$G,CODE!D$1,FALSE)</f>
        <v>ELS</v>
      </c>
      <c r="N258" s="24" t="str">
        <f t="shared" si="46"/>
        <v>BA</v>
      </c>
      <c r="O258" s="29" t="str">
        <f>IF(ISERROR(IF(VLOOKUP($N258,CODE!$K:$P,CODE!$O$1,FALSE)="",$M258,$M258&amp;"-"&amp;VLOOKUP($N258,CODE!$K:$P,CODE!$O$1,FALSE)))=TRUE,"",IF(VLOOKUP($N258,CODE!$K:$P,CODE!$O$1,FALSE)="",$M258,$M258&amp;"-"&amp;VLOOKUP($N258,CODE!$K:$P,CODE!$O$1,FALSE)))</f>
        <v>ELS</v>
      </c>
      <c r="P258" s="29" t="str">
        <f t="shared" si="47"/>
        <v>ELSBAE3312</v>
      </c>
      <c r="Q258" s="1" t="s">
        <v>1050</v>
      </c>
      <c r="R258" s="1" t="s">
        <v>14</v>
      </c>
      <c r="S258" s="26">
        <v>600</v>
      </c>
      <c r="T258" s="26">
        <v>29400000</v>
      </c>
      <c r="U258" s="26">
        <v>4727172.0000000009</v>
      </c>
      <c r="V258" s="26">
        <v>5.653966626827355</v>
      </c>
      <c r="W258" s="26">
        <v>0</v>
      </c>
      <c r="X258" s="26">
        <v>600</v>
      </c>
    </row>
    <row r="259" spans="1:24">
      <c r="A259" s="24" t="str">
        <f t="shared" ref="A259:A322" si="52">IF(OR(MID(Q259,8,1)="3",MID(Q259,8,1)="8"),"신규","러닝")</f>
        <v>신규</v>
      </c>
      <c r="B259" s="24" t="str">
        <f>IF(COUNTIF(Q$1:Q258,Q259)=0,"최초","리오더")</f>
        <v>최초</v>
      </c>
      <c r="C259" s="24" t="str">
        <f t="shared" ref="C259:C322" si="53">IF($B259="리오더","",P259)</f>
        <v>ELSBAE3812</v>
      </c>
      <c r="D259" s="24">
        <f t="shared" si="48"/>
        <v>0.5</v>
      </c>
      <c r="E259" s="24" t="str">
        <f t="shared" ref="E259:E322" si="54">IF($B259="리오더",P259,"")</f>
        <v/>
      </c>
      <c r="F259" s="24">
        <f t="shared" si="49"/>
        <v>0</v>
      </c>
      <c r="G259" s="24" t="str">
        <f t="shared" ref="G259:G322" si="55">IF($B259="리오더","",Q259)</f>
        <v>ELSBAE3812NY</v>
      </c>
      <c r="H259" s="24">
        <f t="shared" si="50"/>
        <v>0.5</v>
      </c>
      <c r="I259" s="24" t="str">
        <f t="shared" ref="I259:I322" si="56">IF($B259="리오더",Q259,"")</f>
        <v/>
      </c>
      <c r="J259" s="24">
        <f t="shared" si="51"/>
        <v>0</v>
      </c>
      <c r="K259" s="24" t="str">
        <f t="shared" ref="K259:K322" si="57">MID(Q259,6,2)</f>
        <v>E3</v>
      </c>
      <c r="L259" s="24" t="str">
        <f>VLOOKUP(N259,CODE!K:P,CODE!$P$1,FALSE)</f>
        <v>모자</v>
      </c>
      <c r="M259" s="24" t="str">
        <f>VLOOKUP(MID(Q259,1,3),CODE!$B:$G,CODE!D$1,FALSE)</f>
        <v>ELS</v>
      </c>
      <c r="N259" s="24" t="str">
        <f t="shared" ref="N259:N322" si="58">MID(Q259,4,2)</f>
        <v>BA</v>
      </c>
      <c r="O259" s="29" t="str">
        <f>IF(ISERROR(IF(VLOOKUP($N259,CODE!$K:$P,CODE!$O$1,FALSE)="",$M259,$M259&amp;"-"&amp;VLOOKUP($N259,CODE!$K:$P,CODE!$O$1,FALSE)))=TRUE,"",IF(VLOOKUP($N259,CODE!$K:$P,CODE!$O$1,FALSE)="",$M259,$M259&amp;"-"&amp;VLOOKUP($N259,CODE!$K:$P,CODE!$O$1,FALSE)))</f>
        <v>ELS</v>
      </c>
      <c r="P259" s="29" t="str">
        <f t="shared" ref="P259:P322" si="59">MID(Q259,1,10)</f>
        <v>ELSBAE3812</v>
      </c>
      <c r="Q259" s="1" t="s">
        <v>1051</v>
      </c>
      <c r="R259" s="1" t="s">
        <v>14</v>
      </c>
      <c r="S259" s="26">
        <v>600</v>
      </c>
      <c r="T259" s="26">
        <v>25800000</v>
      </c>
      <c r="U259" s="26">
        <v>4652328.0000000009</v>
      </c>
      <c r="V259" s="26">
        <v>5.0414642850945688</v>
      </c>
      <c r="W259" s="26">
        <v>0</v>
      </c>
      <c r="X259" s="26">
        <v>600</v>
      </c>
    </row>
    <row r="260" spans="1:24">
      <c r="A260" s="24" t="str">
        <f t="shared" si="52"/>
        <v>신규</v>
      </c>
      <c r="B260" s="24" t="str">
        <f>IF(COUNTIF(Q$1:Q259,Q260)=0,"최초","리오더")</f>
        <v>최초</v>
      </c>
      <c r="C260" s="24" t="str">
        <f t="shared" si="53"/>
        <v>ELSBAE3307</v>
      </c>
      <c r="D260" s="24">
        <f t="shared" si="48"/>
        <v>0.5</v>
      </c>
      <c r="E260" s="24" t="str">
        <f t="shared" si="54"/>
        <v/>
      </c>
      <c r="F260" s="24">
        <f t="shared" si="49"/>
        <v>0</v>
      </c>
      <c r="G260" s="24" t="str">
        <f t="shared" si="55"/>
        <v>ELSBAE3307OR</v>
      </c>
      <c r="H260" s="24">
        <f t="shared" si="50"/>
        <v>0.5</v>
      </c>
      <c r="I260" s="24" t="str">
        <f t="shared" si="56"/>
        <v/>
      </c>
      <c r="J260" s="24">
        <f t="shared" si="51"/>
        <v>0</v>
      </c>
      <c r="K260" s="24" t="str">
        <f t="shared" si="57"/>
        <v>E3</v>
      </c>
      <c r="L260" s="24" t="str">
        <f>VLOOKUP(N260,CODE!K:P,CODE!$P$1,FALSE)</f>
        <v>모자</v>
      </c>
      <c r="M260" s="24" t="str">
        <f>VLOOKUP(MID(Q260,1,3),CODE!$B:$G,CODE!D$1,FALSE)</f>
        <v>ELS</v>
      </c>
      <c r="N260" s="24" t="str">
        <f t="shared" si="58"/>
        <v>BA</v>
      </c>
      <c r="O260" s="29" t="str">
        <f>IF(ISERROR(IF(VLOOKUP($N260,CODE!$K:$P,CODE!$O$1,FALSE)="",$M260,$M260&amp;"-"&amp;VLOOKUP($N260,CODE!$K:$P,CODE!$O$1,FALSE)))=TRUE,"",IF(VLOOKUP($N260,CODE!$K:$P,CODE!$O$1,FALSE)="",$M260,$M260&amp;"-"&amp;VLOOKUP($N260,CODE!$K:$P,CODE!$O$1,FALSE)))</f>
        <v>ELS</v>
      </c>
      <c r="P260" s="29" t="str">
        <f t="shared" si="59"/>
        <v>ELSBAE3307</v>
      </c>
      <c r="Q260" s="1" t="s">
        <v>1052</v>
      </c>
      <c r="R260" s="1" t="s">
        <v>14</v>
      </c>
      <c r="S260" s="26">
        <v>600</v>
      </c>
      <c r="T260" s="26">
        <v>29400000</v>
      </c>
      <c r="U260" s="26">
        <v>5700144</v>
      </c>
      <c r="V260" s="26">
        <v>4.6888767594770808</v>
      </c>
      <c r="W260" s="26">
        <v>0</v>
      </c>
      <c r="X260" s="26">
        <v>600</v>
      </c>
    </row>
    <row r="261" spans="1:24">
      <c r="A261" s="24" t="str">
        <f t="shared" si="52"/>
        <v>신규</v>
      </c>
      <c r="B261" s="24" t="str">
        <f>IF(COUNTIF(Q$1:Q260,Q261)=0,"최초","리오더")</f>
        <v>최초</v>
      </c>
      <c r="C261" s="24" t="str">
        <f t="shared" si="53"/>
        <v>ELSERE5308</v>
      </c>
      <c r="D261" s="24">
        <f t="shared" si="48"/>
        <v>1</v>
      </c>
      <c r="E261" s="24" t="str">
        <f t="shared" si="54"/>
        <v/>
      </c>
      <c r="F261" s="24">
        <f t="shared" si="49"/>
        <v>0</v>
      </c>
      <c r="G261" s="24" t="str">
        <f t="shared" si="55"/>
        <v>ELSERE5308OR</v>
      </c>
      <c r="H261" s="24">
        <f t="shared" si="50"/>
        <v>1</v>
      </c>
      <c r="I261" s="24" t="str">
        <f t="shared" si="56"/>
        <v/>
      </c>
      <c r="J261" s="24">
        <f t="shared" si="51"/>
        <v>0</v>
      </c>
      <c r="K261" s="24" t="str">
        <f t="shared" si="57"/>
        <v>E5</v>
      </c>
      <c r="L261" s="24" t="str">
        <f>VLOOKUP(N261,CODE!K:P,CODE!$P$1,FALSE)</f>
        <v>모자</v>
      </c>
      <c r="M261" s="24" t="str">
        <f>VLOOKUP(MID(Q261,1,3),CODE!$B:$G,CODE!D$1,FALSE)</f>
        <v>ELS</v>
      </c>
      <c r="N261" s="24" t="str">
        <f t="shared" si="58"/>
        <v>ER</v>
      </c>
      <c r="O261" s="29" t="str">
        <f>IF(ISERROR(IF(VLOOKUP($N261,CODE!$K:$P,CODE!$O$1,FALSE)="",$M261,$M261&amp;"-"&amp;VLOOKUP($N261,CODE!$K:$P,CODE!$O$1,FALSE)))=TRUE,"",IF(VLOOKUP($N261,CODE!$K:$P,CODE!$O$1,FALSE)="",$M261,$M261&amp;"-"&amp;VLOOKUP($N261,CODE!$K:$P,CODE!$O$1,FALSE)))</f>
        <v>ELS</v>
      </c>
      <c r="P261" s="29" t="str">
        <f t="shared" si="59"/>
        <v>ELSERE5308</v>
      </c>
      <c r="Q261" s="1" t="s">
        <v>1053</v>
      </c>
      <c r="R261" s="1" t="s">
        <v>14</v>
      </c>
      <c r="S261" s="26">
        <v>1000</v>
      </c>
      <c r="T261" s="26">
        <v>59000000</v>
      </c>
      <c r="U261" s="26">
        <v>9126020</v>
      </c>
      <c r="V261" s="26">
        <v>5.8773006892778712</v>
      </c>
      <c r="W261" s="26">
        <v>0</v>
      </c>
      <c r="X261" s="26">
        <v>1000</v>
      </c>
    </row>
    <row r="262" spans="1:24">
      <c r="A262" s="24" t="str">
        <f t="shared" si="52"/>
        <v>신규</v>
      </c>
      <c r="B262" s="24" t="str">
        <f>IF(COUNTIF(Q$1:Q261,Q262)=0,"최초","리오더")</f>
        <v>최초</v>
      </c>
      <c r="C262" s="24" t="str">
        <f t="shared" si="53"/>
        <v>ELSERE5310</v>
      </c>
      <c r="D262" s="24">
        <f t="shared" si="48"/>
        <v>0.5</v>
      </c>
      <c r="E262" s="24" t="str">
        <f t="shared" si="54"/>
        <v/>
      </c>
      <c r="F262" s="24">
        <f t="shared" si="49"/>
        <v>0</v>
      </c>
      <c r="G262" s="24" t="str">
        <f t="shared" si="55"/>
        <v>ELSERE5310YE</v>
      </c>
      <c r="H262" s="24">
        <f t="shared" si="50"/>
        <v>1</v>
      </c>
      <c r="I262" s="24" t="str">
        <f t="shared" si="56"/>
        <v/>
      </c>
      <c r="J262" s="24">
        <f t="shared" si="51"/>
        <v>0</v>
      </c>
      <c r="K262" s="24" t="str">
        <f t="shared" si="57"/>
        <v>E5</v>
      </c>
      <c r="L262" s="24" t="str">
        <f>VLOOKUP(N262,CODE!K:P,CODE!$P$1,FALSE)</f>
        <v>모자</v>
      </c>
      <c r="M262" s="24" t="str">
        <f>VLOOKUP(MID(Q262,1,3),CODE!$B:$G,CODE!D$1,FALSE)</f>
        <v>ELS</v>
      </c>
      <c r="N262" s="24" t="str">
        <f t="shared" si="58"/>
        <v>ER</v>
      </c>
      <c r="O262" s="29" t="str">
        <f>IF(ISERROR(IF(VLOOKUP($N262,CODE!$K:$P,CODE!$O$1,FALSE)="",$M262,$M262&amp;"-"&amp;VLOOKUP($N262,CODE!$K:$P,CODE!$O$1,FALSE)))=TRUE,"",IF(VLOOKUP($N262,CODE!$K:$P,CODE!$O$1,FALSE)="",$M262,$M262&amp;"-"&amp;VLOOKUP($N262,CODE!$K:$P,CODE!$O$1,FALSE)))</f>
        <v>ELS</v>
      </c>
      <c r="P262" s="29" t="str">
        <f t="shared" si="59"/>
        <v>ELSERE5310</v>
      </c>
      <c r="Q262" s="1" t="s">
        <v>1054</v>
      </c>
      <c r="R262" s="1" t="s">
        <v>14</v>
      </c>
      <c r="S262" s="26">
        <v>800</v>
      </c>
      <c r="T262" s="26">
        <v>47200000</v>
      </c>
      <c r="U262" s="26">
        <v>7600192</v>
      </c>
      <c r="V262" s="26">
        <v>5.6457903838601577</v>
      </c>
      <c r="W262" s="26">
        <v>0</v>
      </c>
      <c r="X262" s="26">
        <v>800</v>
      </c>
    </row>
    <row r="263" spans="1:24">
      <c r="A263" s="24" t="str">
        <f t="shared" si="52"/>
        <v>신규</v>
      </c>
      <c r="B263" s="24" t="str">
        <f>IF(COUNTIF(Q$1:Q262,Q263)=0,"최초","리오더")</f>
        <v>최초</v>
      </c>
      <c r="C263" s="24" t="str">
        <f t="shared" si="53"/>
        <v>ELSERE5810</v>
      </c>
      <c r="D263" s="24">
        <f t="shared" si="48"/>
        <v>0.5</v>
      </c>
      <c r="E263" s="24" t="str">
        <f t="shared" si="54"/>
        <v/>
      </c>
      <c r="F263" s="24">
        <f t="shared" si="49"/>
        <v>0</v>
      </c>
      <c r="G263" s="24" t="str">
        <f t="shared" si="55"/>
        <v>ELSERE5810YE</v>
      </c>
      <c r="H263" s="24">
        <f t="shared" si="50"/>
        <v>1</v>
      </c>
      <c r="I263" s="24" t="str">
        <f t="shared" si="56"/>
        <v/>
      </c>
      <c r="J263" s="24">
        <f t="shared" si="51"/>
        <v>0</v>
      </c>
      <c r="K263" s="24" t="str">
        <f t="shared" si="57"/>
        <v>E5</v>
      </c>
      <c r="L263" s="24" t="str">
        <f>VLOOKUP(N263,CODE!K:P,CODE!$P$1,FALSE)</f>
        <v>모자</v>
      </c>
      <c r="M263" s="24" t="str">
        <f>VLOOKUP(MID(Q263,1,3),CODE!$B:$G,CODE!D$1,FALSE)</f>
        <v>ELS</v>
      </c>
      <c r="N263" s="24" t="str">
        <f t="shared" si="58"/>
        <v>ER</v>
      </c>
      <c r="O263" s="29" t="str">
        <f>IF(ISERROR(IF(VLOOKUP($N263,CODE!$K:$P,CODE!$O$1,FALSE)="",$M263,$M263&amp;"-"&amp;VLOOKUP($N263,CODE!$K:$P,CODE!$O$1,FALSE)))=TRUE,"",IF(VLOOKUP($N263,CODE!$K:$P,CODE!$O$1,FALSE)="",$M263,$M263&amp;"-"&amp;VLOOKUP($N263,CODE!$K:$P,CODE!$O$1,FALSE)))</f>
        <v>ELS</v>
      </c>
      <c r="P263" s="29" t="str">
        <f t="shared" si="59"/>
        <v>ELSERE5810</v>
      </c>
      <c r="Q263" s="1" t="s">
        <v>1055</v>
      </c>
      <c r="R263" s="1" t="s">
        <v>14</v>
      </c>
      <c r="S263" s="26">
        <v>800</v>
      </c>
      <c r="T263" s="26">
        <v>44000000</v>
      </c>
      <c r="U263" s="26">
        <v>7500400</v>
      </c>
      <c r="V263" s="26">
        <v>5.3330489040584492</v>
      </c>
      <c r="W263" s="26">
        <v>0</v>
      </c>
      <c r="X263" s="26">
        <v>800</v>
      </c>
    </row>
    <row r="264" spans="1:24">
      <c r="A264" s="24" t="str">
        <f t="shared" si="52"/>
        <v>신규</v>
      </c>
      <c r="B264" s="24" t="str">
        <f>IF(COUNTIF(Q$1:Q263,Q264)=0,"최초","리오더")</f>
        <v>최초</v>
      </c>
      <c r="C264" s="24" t="str">
        <f t="shared" si="53"/>
        <v>ELSERE5310</v>
      </c>
      <c r="D264" s="24">
        <f t="shared" si="48"/>
        <v>0.5</v>
      </c>
      <c r="E264" s="24" t="str">
        <f t="shared" si="54"/>
        <v/>
      </c>
      <c r="F264" s="24">
        <f t="shared" si="49"/>
        <v>0</v>
      </c>
      <c r="G264" s="24" t="str">
        <f t="shared" si="55"/>
        <v>ELSERE5310PK</v>
      </c>
      <c r="H264" s="24">
        <f t="shared" si="50"/>
        <v>1</v>
      </c>
      <c r="I264" s="24" t="str">
        <f t="shared" si="56"/>
        <v/>
      </c>
      <c r="J264" s="24">
        <f t="shared" si="51"/>
        <v>0</v>
      </c>
      <c r="K264" s="24" t="str">
        <f t="shared" si="57"/>
        <v>E5</v>
      </c>
      <c r="L264" s="24" t="str">
        <f>VLOOKUP(N264,CODE!K:P,CODE!$P$1,FALSE)</f>
        <v>모자</v>
      </c>
      <c r="M264" s="24" t="str">
        <f>VLOOKUP(MID(Q264,1,3),CODE!$B:$G,CODE!D$1,FALSE)</f>
        <v>ELS</v>
      </c>
      <c r="N264" s="24" t="str">
        <f t="shared" si="58"/>
        <v>ER</v>
      </c>
      <c r="O264" s="29" t="str">
        <f>IF(ISERROR(IF(VLOOKUP($N264,CODE!$K:$P,CODE!$O$1,FALSE)="",$M264,$M264&amp;"-"&amp;VLOOKUP($N264,CODE!$K:$P,CODE!$O$1,FALSE)))=TRUE,"",IF(VLOOKUP($N264,CODE!$K:$P,CODE!$O$1,FALSE)="",$M264,$M264&amp;"-"&amp;VLOOKUP($N264,CODE!$K:$P,CODE!$O$1,FALSE)))</f>
        <v>ELS</v>
      </c>
      <c r="P264" s="29" t="str">
        <f t="shared" si="59"/>
        <v>ELSERE5310</v>
      </c>
      <c r="Q264" s="1" t="s">
        <v>1056</v>
      </c>
      <c r="R264" s="1" t="s">
        <v>14</v>
      </c>
      <c r="S264" s="26">
        <v>800</v>
      </c>
      <c r="T264" s="26">
        <v>47200000</v>
      </c>
      <c r="U264" s="26">
        <v>7699984.0000000009</v>
      </c>
      <c r="V264" s="26">
        <v>5.5726207884446124</v>
      </c>
      <c r="W264" s="26">
        <v>0</v>
      </c>
      <c r="X264" s="26">
        <v>800</v>
      </c>
    </row>
    <row r="265" spans="1:24">
      <c r="A265" s="24" t="str">
        <f t="shared" si="52"/>
        <v>신규</v>
      </c>
      <c r="B265" s="24" t="str">
        <f>IF(COUNTIF(Q$1:Q264,Q265)=0,"최초","리오더")</f>
        <v>최초</v>
      </c>
      <c r="C265" s="24" t="str">
        <f t="shared" si="53"/>
        <v>ELSERE5810</v>
      </c>
      <c r="D265" s="24">
        <f t="shared" si="48"/>
        <v>0.5</v>
      </c>
      <c r="E265" s="24" t="str">
        <f t="shared" si="54"/>
        <v/>
      </c>
      <c r="F265" s="24">
        <f t="shared" si="49"/>
        <v>0</v>
      </c>
      <c r="G265" s="24" t="str">
        <f t="shared" si="55"/>
        <v>ELSERE5810PK</v>
      </c>
      <c r="H265" s="24">
        <f t="shared" si="50"/>
        <v>1</v>
      </c>
      <c r="I265" s="24" t="str">
        <f t="shared" si="56"/>
        <v/>
      </c>
      <c r="J265" s="24">
        <f t="shared" si="51"/>
        <v>0</v>
      </c>
      <c r="K265" s="24" t="str">
        <f t="shared" si="57"/>
        <v>E5</v>
      </c>
      <c r="L265" s="24" t="str">
        <f>VLOOKUP(N265,CODE!K:P,CODE!$P$1,FALSE)</f>
        <v>모자</v>
      </c>
      <c r="M265" s="24" t="str">
        <f>VLOOKUP(MID(Q265,1,3),CODE!$B:$G,CODE!D$1,FALSE)</f>
        <v>ELS</v>
      </c>
      <c r="N265" s="24" t="str">
        <f t="shared" si="58"/>
        <v>ER</v>
      </c>
      <c r="O265" s="29" t="str">
        <f>IF(ISERROR(IF(VLOOKUP($N265,CODE!$K:$P,CODE!$O$1,FALSE)="",$M265,$M265&amp;"-"&amp;VLOOKUP($N265,CODE!$K:$P,CODE!$O$1,FALSE)))=TRUE,"",IF(VLOOKUP($N265,CODE!$K:$P,CODE!$O$1,FALSE)="",$M265,$M265&amp;"-"&amp;VLOOKUP($N265,CODE!$K:$P,CODE!$O$1,FALSE)))</f>
        <v>ELS</v>
      </c>
      <c r="P265" s="29" t="str">
        <f t="shared" si="59"/>
        <v>ELSERE5810</v>
      </c>
      <c r="Q265" s="1" t="s">
        <v>1057</v>
      </c>
      <c r="R265" s="1" t="s">
        <v>14</v>
      </c>
      <c r="S265" s="26">
        <v>800</v>
      </c>
      <c r="T265" s="26">
        <v>44000000</v>
      </c>
      <c r="U265" s="26">
        <v>7500400</v>
      </c>
      <c r="V265" s="26">
        <v>5.3330489040584492</v>
      </c>
      <c r="W265" s="26">
        <v>0</v>
      </c>
      <c r="X265" s="26">
        <v>800</v>
      </c>
    </row>
    <row r="266" spans="1:24">
      <c r="A266" s="24" t="str">
        <f t="shared" si="52"/>
        <v>신규</v>
      </c>
      <c r="B266" s="24" t="str">
        <f>IF(COUNTIF(Q$1:Q265,Q266)=0,"최초","리오더")</f>
        <v>최초</v>
      </c>
      <c r="C266" s="24" t="str">
        <f t="shared" si="53"/>
        <v>ELSERE5313</v>
      </c>
      <c r="D266" s="24">
        <f t="shared" si="48"/>
        <v>1</v>
      </c>
      <c r="E266" s="24" t="str">
        <f t="shared" si="54"/>
        <v/>
      </c>
      <c r="F266" s="24">
        <f t="shared" si="49"/>
        <v>0</v>
      </c>
      <c r="G266" s="24" t="str">
        <f t="shared" si="55"/>
        <v>ELSERE5313NY</v>
      </c>
      <c r="H266" s="24">
        <f t="shared" si="50"/>
        <v>1</v>
      </c>
      <c r="I266" s="24" t="str">
        <f t="shared" si="56"/>
        <v/>
      </c>
      <c r="J266" s="24">
        <f t="shared" si="51"/>
        <v>0</v>
      </c>
      <c r="K266" s="24" t="str">
        <f t="shared" si="57"/>
        <v>E5</v>
      </c>
      <c r="L266" s="24" t="str">
        <f>VLOOKUP(N266,CODE!K:P,CODE!$P$1,FALSE)</f>
        <v>모자</v>
      </c>
      <c r="M266" s="24" t="str">
        <f>VLOOKUP(MID(Q266,1,3),CODE!$B:$G,CODE!D$1,FALSE)</f>
        <v>ELS</v>
      </c>
      <c r="N266" s="24" t="str">
        <f t="shared" si="58"/>
        <v>ER</v>
      </c>
      <c r="O266" s="29" t="str">
        <f>IF(ISERROR(IF(VLOOKUP($N266,CODE!$K:$P,CODE!$O$1,FALSE)="",$M266,$M266&amp;"-"&amp;VLOOKUP($N266,CODE!$K:$P,CODE!$O$1,FALSE)))=TRUE,"",IF(VLOOKUP($N266,CODE!$K:$P,CODE!$O$1,FALSE)="",$M266,$M266&amp;"-"&amp;VLOOKUP($N266,CODE!$K:$P,CODE!$O$1,FALSE)))</f>
        <v>ELS</v>
      </c>
      <c r="P266" s="29" t="str">
        <f t="shared" si="59"/>
        <v>ELSERE5313</v>
      </c>
      <c r="Q266" s="1" t="s">
        <v>1058</v>
      </c>
      <c r="R266" s="1" t="s">
        <v>14</v>
      </c>
      <c r="S266" s="26">
        <v>1000</v>
      </c>
      <c r="T266" s="26">
        <v>69000000</v>
      </c>
      <c r="U266" s="26">
        <v>14500000</v>
      </c>
      <c r="V266" s="26">
        <v>4.3260188087774294</v>
      </c>
      <c r="W266" s="26">
        <v>0</v>
      </c>
      <c r="X266" s="26">
        <v>1000</v>
      </c>
    </row>
    <row r="267" spans="1:24">
      <c r="A267" s="24" t="str">
        <f t="shared" si="52"/>
        <v>신규</v>
      </c>
      <c r="B267" s="24" t="str">
        <f>IF(COUNTIF(Q$1:Q266,Q267)=0,"최초","리오더")</f>
        <v>최초</v>
      </c>
      <c r="C267" s="24" t="str">
        <f t="shared" si="53"/>
        <v>ELSERE5316</v>
      </c>
      <c r="D267" s="24">
        <f t="shared" si="48"/>
        <v>1</v>
      </c>
      <c r="E267" s="24" t="str">
        <f t="shared" si="54"/>
        <v/>
      </c>
      <c r="F267" s="24">
        <f t="shared" si="49"/>
        <v>0</v>
      </c>
      <c r="G267" s="24" t="str">
        <f t="shared" si="55"/>
        <v>ELSERE5316BL</v>
      </c>
      <c r="H267" s="24">
        <f t="shared" si="50"/>
        <v>1</v>
      </c>
      <c r="I267" s="24" t="str">
        <f t="shared" si="56"/>
        <v/>
      </c>
      <c r="J267" s="24">
        <f t="shared" si="51"/>
        <v>0</v>
      </c>
      <c r="K267" s="24" t="str">
        <f t="shared" si="57"/>
        <v>E5</v>
      </c>
      <c r="L267" s="24" t="str">
        <f>VLOOKUP(N267,CODE!K:P,CODE!$P$1,FALSE)</f>
        <v>모자</v>
      </c>
      <c r="M267" s="24" t="str">
        <f>VLOOKUP(MID(Q267,1,3),CODE!$B:$G,CODE!D$1,FALSE)</f>
        <v>ELS</v>
      </c>
      <c r="N267" s="24" t="str">
        <f t="shared" si="58"/>
        <v>ER</v>
      </c>
      <c r="O267" s="29" t="str">
        <f>IF(ISERROR(IF(VLOOKUP($N267,CODE!$K:$P,CODE!$O$1,FALSE)="",$M267,$M267&amp;"-"&amp;VLOOKUP($N267,CODE!$K:$P,CODE!$O$1,FALSE)))=TRUE,"",IF(VLOOKUP($N267,CODE!$K:$P,CODE!$O$1,FALSE)="",$M267,$M267&amp;"-"&amp;VLOOKUP($N267,CODE!$K:$P,CODE!$O$1,FALSE)))</f>
        <v>ELS</v>
      </c>
      <c r="P267" s="29" t="str">
        <f t="shared" si="59"/>
        <v>ELSERE5316</v>
      </c>
      <c r="Q267" s="1" t="s">
        <v>1059</v>
      </c>
      <c r="R267" s="1" t="s">
        <v>14</v>
      </c>
      <c r="S267" s="26">
        <v>800</v>
      </c>
      <c r="T267" s="26">
        <v>55200000</v>
      </c>
      <c r="U267" s="26">
        <v>12400000</v>
      </c>
      <c r="V267" s="26">
        <v>4.0469208211143686</v>
      </c>
      <c r="W267" s="26">
        <v>0</v>
      </c>
      <c r="X267" s="26">
        <v>800</v>
      </c>
    </row>
    <row r="268" spans="1:24">
      <c r="A268" s="24" t="str">
        <f t="shared" si="52"/>
        <v>신규</v>
      </c>
      <c r="B268" s="24" t="str">
        <f>IF(COUNTIF(Q$1:Q267,Q268)=0,"최초","리오더")</f>
        <v>최초</v>
      </c>
      <c r="C268" s="24" t="str">
        <f t="shared" si="53"/>
        <v>ELSERE5816</v>
      </c>
      <c r="D268" s="24">
        <f t="shared" si="48"/>
        <v>1</v>
      </c>
      <c r="E268" s="24" t="str">
        <f t="shared" si="54"/>
        <v/>
      </c>
      <c r="F268" s="24">
        <f t="shared" si="49"/>
        <v>0</v>
      </c>
      <c r="G268" s="24" t="str">
        <f t="shared" si="55"/>
        <v>ELSERE5816BL</v>
      </c>
      <c r="H268" s="24">
        <f t="shared" si="50"/>
        <v>1</v>
      </c>
      <c r="I268" s="24" t="str">
        <f t="shared" si="56"/>
        <v/>
      </c>
      <c r="J268" s="24">
        <f t="shared" si="51"/>
        <v>0</v>
      </c>
      <c r="K268" s="24" t="str">
        <f t="shared" si="57"/>
        <v>E5</v>
      </c>
      <c r="L268" s="24" t="str">
        <f>VLOOKUP(N268,CODE!K:P,CODE!$P$1,FALSE)</f>
        <v>모자</v>
      </c>
      <c r="M268" s="24" t="str">
        <f>VLOOKUP(MID(Q268,1,3),CODE!$B:$G,CODE!D$1,FALSE)</f>
        <v>ELS</v>
      </c>
      <c r="N268" s="24" t="str">
        <f t="shared" si="58"/>
        <v>ER</v>
      </c>
      <c r="O268" s="29" t="str">
        <f>IF(ISERROR(IF(VLOOKUP($N268,CODE!$K:$P,CODE!$O$1,FALSE)="",$M268,$M268&amp;"-"&amp;VLOOKUP($N268,CODE!$K:$P,CODE!$O$1,FALSE)))=TRUE,"",IF(VLOOKUP($N268,CODE!$K:$P,CODE!$O$1,FALSE)="",$M268,$M268&amp;"-"&amp;VLOOKUP($N268,CODE!$K:$P,CODE!$O$1,FALSE)))</f>
        <v>ELS</v>
      </c>
      <c r="P268" s="29" t="str">
        <f t="shared" si="59"/>
        <v>ELSERE5816</v>
      </c>
      <c r="Q268" s="1" t="s">
        <v>1060</v>
      </c>
      <c r="R268" s="1" t="s">
        <v>14</v>
      </c>
      <c r="S268" s="26">
        <v>1000</v>
      </c>
      <c r="T268" s="26">
        <v>65000000</v>
      </c>
      <c r="U268" s="26">
        <v>15000000</v>
      </c>
      <c r="V268" s="26">
        <v>3.939393939393939</v>
      </c>
      <c r="W268" s="26">
        <v>0</v>
      </c>
      <c r="X268" s="26">
        <v>1000</v>
      </c>
    </row>
    <row r="269" spans="1:24">
      <c r="A269" s="24" t="str">
        <f t="shared" si="52"/>
        <v>신규</v>
      </c>
      <c r="B269" s="24" t="str">
        <f>IF(COUNTIF(Q$1:Q268,Q269)=0,"최초","리오더")</f>
        <v>최초</v>
      </c>
      <c r="C269" s="24" t="str">
        <f t="shared" si="53"/>
        <v>ELSFAE3818</v>
      </c>
      <c r="D269" s="24">
        <f t="shared" si="48"/>
        <v>1</v>
      </c>
      <c r="E269" s="24" t="str">
        <f t="shared" si="54"/>
        <v/>
      </c>
      <c r="F269" s="24">
        <f t="shared" si="49"/>
        <v>0</v>
      </c>
      <c r="G269" s="24" t="str">
        <f t="shared" si="55"/>
        <v>ELSFAE3818BL</v>
      </c>
      <c r="H269" s="24">
        <f t="shared" si="50"/>
        <v>1</v>
      </c>
      <c r="I269" s="24" t="str">
        <f t="shared" si="56"/>
        <v/>
      </c>
      <c r="J269" s="24">
        <f t="shared" si="51"/>
        <v>0</v>
      </c>
      <c r="K269" s="24" t="str">
        <f t="shared" si="57"/>
        <v>E3</v>
      </c>
      <c r="L269" s="24" t="str">
        <f>VLOOKUP(N269,CODE!K:P,CODE!$P$1,FALSE)</f>
        <v>모자</v>
      </c>
      <c r="M269" s="24" t="str">
        <f>VLOOKUP(MID(Q269,1,3),CODE!$B:$G,CODE!D$1,FALSE)</f>
        <v>ELS</v>
      </c>
      <c r="N269" s="24" t="str">
        <f t="shared" si="58"/>
        <v>FA</v>
      </c>
      <c r="O269" s="29" t="str">
        <f>IF(ISERROR(IF(VLOOKUP($N269,CODE!$K:$P,CODE!$O$1,FALSE)="",$M269,$M269&amp;"-"&amp;VLOOKUP($N269,CODE!$K:$P,CODE!$O$1,FALSE)))=TRUE,"",IF(VLOOKUP($N269,CODE!$K:$P,CODE!$O$1,FALSE)="",$M269,$M269&amp;"-"&amp;VLOOKUP($N269,CODE!$K:$P,CODE!$O$1,FALSE)))</f>
        <v>ELS</v>
      </c>
      <c r="P269" s="29" t="str">
        <f t="shared" si="59"/>
        <v>ELSFAE3818</v>
      </c>
      <c r="Q269" s="1" t="s">
        <v>1061</v>
      </c>
      <c r="R269" s="1" t="s">
        <v>14</v>
      </c>
      <c r="S269" s="26">
        <v>400</v>
      </c>
      <c r="T269" s="26">
        <v>23600000</v>
      </c>
      <c r="U269" s="26">
        <v>3992396</v>
      </c>
      <c r="V269" s="26">
        <v>5.3738520563955712</v>
      </c>
      <c r="W269" s="26">
        <v>0</v>
      </c>
      <c r="X269" s="26">
        <v>400</v>
      </c>
    </row>
    <row r="270" spans="1:24">
      <c r="A270" s="24" t="str">
        <f t="shared" si="52"/>
        <v>신규</v>
      </c>
      <c r="B270" s="24" t="str">
        <f>IF(COUNTIF(Q$1:Q269,Q270)=0,"최초","리오더")</f>
        <v>최초</v>
      </c>
      <c r="C270" s="24" t="str">
        <f t="shared" si="53"/>
        <v>BMDMIE3301</v>
      </c>
      <c r="D270" s="24">
        <f t="shared" si="48"/>
        <v>0.25</v>
      </c>
      <c r="E270" s="24" t="str">
        <f t="shared" si="54"/>
        <v/>
      </c>
      <c r="F270" s="24">
        <f t="shared" si="49"/>
        <v>0</v>
      </c>
      <c r="G270" s="24" t="str">
        <f t="shared" si="55"/>
        <v>BMDMIE3301BL</v>
      </c>
      <c r="H270" s="24">
        <f t="shared" si="50"/>
        <v>1</v>
      </c>
      <c r="I270" s="24" t="str">
        <f t="shared" si="56"/>
        <v/>
      </c>
      <c r="J270" s="24">
        <f t="shared" si="51"/>
        <v>0</v>
      </c>
      <c r="K270" s="24" t="str">
        <f t="shared" si="57"/>
        <v>E3</v>
      </c>
      <c r="L270" s="24" t="str">
        <f>VLOOKUP(N270,CODE!K:P,CODE!$P$1,FALSE)</f>
        <v>모자</v>
      </c>
      <c r="M270" s="24" t="str">
        <f>VLOOKUP(MID(Q270,1,3),CODE!$B:$G,CODE!D$1,FALSE)</f>
        <v>BMD</v>
      </c>
      <c r="N270" s="24" t="str">
        <f t="shared" si="58"/>
        <v>MI</v>
      </c>
      <c r="O270" s="29" t="str">
        <f>IF(ISERROR(IF(VLOOKUP($N270,CODE!$K:$P,CODE!$O$1,FALSE)="",$M270,$M270&amp;"-"&amp;VLOOKUP($N270,CODE!$K:$P,CODE!$O$1,FALSE)))=TRUE,"",IF(VLOOKUP($N270,CODE!$K:$P,CODE!$O$1,FALSE)="",$M270,$M270&amp;"-"&amp;VLOOKUP($N270,CODE!$K:$P,CODE!$O$1,FALSE)))</f>
        <v>BMD</v>
      </c>
      <c r="P270" s="29" t="str">
        <f t="shared" si="59"/>
        <v>BMDMIE3301</v>
      </c>
      <c r="Q270" s="1" t="s">
        <v>1062</v>
      </c>
      <c r="R270" s="1" t="s">
        <v>14</v>
      </c>
      <c r="S270" s="26">
        <v>700</v>
      </c>
      <c r="T270" s="26">
        <v>34300000</v>
      </c>
      <c r="U270" s="26">
        <v>4700640.0000000009</v>
      </c>
      <c r="V270" s="26">
        <v>6.633526111724823</v>
      </c>
      <c r="W270" s="26">
        <v>0</v>
      </c>
      <c r="X270" s="26">
        <v>700</v>
      </c>
    </row>
    <row r="271" spans="1:24">
      <c r="A271" s="24" t="str">
        <f t="shared" si="52"/>
        <v>러닝</v>
      </c>
      <c r="B271" s="24" t="str">
        <f>IF(COUNTIF(Q$1:Q270,Q271)=0,"최초","리오더")</f>
        <v>최초</v>
      </c>
      <c r="C271" s="24" t="str">
        <f t="shared" si="53"/>
        <v>ELSBAE3008</v>
      </c>
      <c r="D271" s="24">
        <f t="shared" si="48"/>
        <v>0.33333333333333331</v>
      </c>
      <c r="E271" s="24" t="str">
        <f t="shared" si="54"/>
        <v/>
      </c>
      <c r="F271" s="24">
        <f t="shared" si="49"/>
        <v>0</v>
      </c>
      <c r="G271" s="24" t="str">
        <f t="shared" si="55"/>
        <v>ELSBAE3008BW</v>
      </c>
      <c r="H271" s="24">
        <f t="shared" si="50"/>
        <v>1</v>
      </c>
      <c r="I271" s="24" t="str">
        <f t="shared" si="56"/>
        <v/>
      </c>
      <c r="J271" s="24">
        <f t="shared" si="51"/>
        <v>0</v>
      </c>
      <c r="K271" s="24" t="str">
        <f t="shared" si="57"/>
        <v>E3</v>
      </c>
      <c r="L271" s="24" t="str">
        <f>VLOOKUP(N271,CODE!K:P,CODE!$P$1,FALSE)</f>
        <v>모자</v>
      </c>
      <c r="M271" s="24" t="str">
        <f>VLOOKUP(MID(Q271,1,3),CODE!$B:$G,CODE!D$1,FALSE)</f>
        <v>ELS</v>
      </c>
      <c r="N271" s="24" t="str">
        <f t="shared" si="58"/>
        <v>BA</v>
      </c>
      <c r="O271" s="29" t="str">
        <f>IF(ISERROR(IF(VLOOKUP($N271,CODE!$K:$P,CODE!$O$1,FALSE)="",$M271,$M271&amp;"-"&amp;VLOOKUP($N271,CODE!$K:$P,CODE!$O$1,FALSE)))=TRUE,"",IF(VLOOKUP($N271,CODE!$K:$P,CODE!$O$1,FALSE)="",$M271,$M271&amp;"-"&amp;VLOOKUP($N271,CODE!$K:$P,CODE!$O$1,FALSE)))</f>
        <v>ELS</v>
      </c>
      <c r="P271" s="29" t="str">
        <f t="shared" si="59"/>
        <v>ELSBAE3008</v>
      </c>
      <c r="Q271" s="1" t="s">
        <v>1063</v>
      </c>
      <c r="R271" s="1" t="s">
        <v>14</v>
      </c>
      <c r="S271" s="26">
        <v>2000</v>
      </c>
      <c r="T271" s="26">
        <v>98000000</v>
      </c>
      <c r="U271" s="26">
        <v>13091500.000000002</v>
      </c>
      <c r="V271" s="26">
        <v>6.8052483742053296</v>
      </c>
      <c r="W271" s="26">
        <v>0</v>
      </c>
      <c r="X271" s="26">
        <v>2000</v>
      </c>
    </row>
    <row r="272" spans="1:24">
      <c r="A272" s="24" t="str">
        <f t="shared" si="52"/>
        <v>러닝</v>
      </c>
      <c r="B272" s="24" t="str">
        <f>IF(COUNTIF(Q$1:Q271,Q272)=0,"최초","리오더")</f>
        <v>최초</v>
      </c>
      <c r="C272" s="24" t="str">
        <f t="shared" si="53"/>
        <v>ELSFIE3620</v>
      </c>
      <c r="D272" s="24">
        <f t="shared" si="48"/>
        <v>0.33333333333333331</v>
      </c>
      <c r="E272" s="24" t="str">
        <f t="shared" si="54"/>
        <v/>
      </c>
      <c r="F272" s="24">
        <f t="shared" si="49"/>
        <v>0</v>
      </c>
      <c r="G272" s="24" t="str">
        <f t="shared" si="55"/>
        <v>ELSFIE3620RE</v>
      </c>
      <c r="H272" s="24">
        <f t="shared" si="50"/>
        <v>1</v>
      </c>
      <c r="I272" s="24" t="str">
        <f t="shared" si="56"/>
        <v/>
      </c>
      <c r="J272" s="24">
        <f t="shared" si="51"/>
        <v>0</v>
      </c>
      <c r="K272" s="24" t="str">
        <f t="shared" si="57"/>
        <v>E3</v>
      </c>
      <c r="L272" s="24" t="str">
        <f>VLOOKUP(N272,CODE!K:P,CODE!$P$1,FALSE)</f>
        <v>모자</v>
      </c>
      <c r="M272" s="24" t="str">
        <f>VLOOKUP(MID(Q272,1,3),CODE!$B:$G,CODE!D$1,FALSE)</f>
        <v>ELS</v>
      </c>
      <c r="N272" s="24" t="str">
        <f t="shared" si="58"/>
        <v>FI</v>
      </c>
      <c r="O272" s="29" t="str">
        <f>IF(ISERROR(IF(VLOOKUP($N272,CODE!$K:$P,CODE!$O$1,FALSE)="",$M272,$M272&amp;"-"&amp;VLOOKUP($N272,CODE!$K:$P,CODE!$O$1,FALSE)))=TRUE,"",IF(VLOOKUP($N272,CODE!$K:$P,CODE!$O$1,FALSE)="",$M272,$M272&amp;"-"&amp;VLOOKUP($N272,CODE!$K:$P,CODE!$O$1,FALSE)))</f>
        <v>ELS</v>
      </c>
      <c r="P272" s="29" t="str">
        <f t="shared" si="59"/>
        <v>ELSFIE3620</v>
      </c>
      <c r="Q272" s="1" t="s">
        <v>1064</v>
      </c>
      <c r="R272" s="1" t="s">
        <v>14</v>
      </c>
      <c r="S272" s="26">
        <v>3000</v>
      </c>
      <c r="T272" s="26">
        <v>129000000</v>
      </c>
      <c r="U272" s="26">
        <v>13573500</v>
      </c>
      <c r="V272" s="26">
        <v>8.6398296145229505</v>
      </c>
      <c r="W272" s="26">
        <v>0</v>
      </c>
      <c r="X272" s="26">
        <v>3000</v>
      </c>
    </row>
    <row r="273" spans="1:24">
      <c r="A273" s="24" t="str">
        <f t="shared" si="52"/>
        <v>러닝</v>
      </c>
      <c r="B273" s="24" t="str">
        <f>IF(COUNTIF(Q$1:Q272,Q273)=0,"최초","리오더")</f>
        <v>최초</v>
      </c>
      <c r="C273" s="24" t="str">
        <f t="shared" si="53"/>
        <v>ELSFIE3620</v>
      </c>
      <c r="D273" s="24">
        <f t="shared" si="48"/>
        <v>0.33333333333333331</v>
      </c>
      <c r="E273" s="24" t="str">
        <f t="shared" si="54"/>
        <v/>
      </c>
      <c r="F273" s="24">
        <f t="shared" si="49"/>
        <v>0</v>
      </c>
      <c r="G273" s="24" t="str">
        <f t="shared" si="55"/>
        <v>ELSFIE3620YE</v>
      </c>
      <c r="H273" s="24">
        <f t="shared" si="50"/>
        <v>1</v>
      </c>
      <c r="I273" s="24" t="str">
        <f t="shared" si="56"/>
        <v/>
      </c>
      <c r="J273" s="24">
        <f t="shared" si="51"/>
        <v>0</v>
      </c>
      <c r="K273" s="24" t="str">
        <f t="shared" si="57"/>
        <v>E3</v>
      </c>
      <c r="L273" s="24" t="str">
        <f>VLOOKUP(N273,CODE!K:P,CODE!$P$1,FALSE)</f>
        <v>모자</v>
      </c>
      <c r="M273" s="24" t="str">
        <f>VLOOKUP(MID(Q273,1,3),CODE!$B:$G,CODE!D$1,FALSE)</f>
        <v>ELS</v>
      </c>
      <c r="N273" s="24" t="str">
        <f t="shared" si="58"/>
        <v>FI</v>
      </c>
      <c r="O273" s="29" t="str">
        <f>IF(ISERROR(IF(VLOOKUP($N273,CODE!$K:$P,CODE!$O$1,FALSE)="",$M273,$M273&amp;"-"&amp;VLOOKUP($N273,CODE!$K:$P,CODE!$O$1,FALSE)))=TRUE,"",IF(VLOOKUP($N273,CODE!$K:$P,CODE!$O$1,FALSE)="",$M273,$M273&amp;"-"&amp;VLOOKUP($N273,CODE!$K:$P,CODE!$O$1,FALSE)))</f>
        <v>ELS</v>
      </c>
      <c r="P273" s="29" t="str">
        <f t="shared" si="59"/>
        <v>ELSFIE3620</v>
      </c>
      <c r="Q273" s="1" t="s">
        <v>1065</v>
      </c>
      <c r="R273" s="1" t="s">
        <v>14</v>
      </c>
      <c r="S273" s="26">
        <v>2000</v>
      </c>
      <c r="T273" s="26">
        <v>86000000</v>
      </c>
      <c r="U273" s="26">
        <v>9049000</v>
      </c>
      <c r="V273" s="26">
        <v>8.6398296145229505</v>
      </c>
      <c r="W273" s="26">
        <v>0</v>
      </c>
      <c r="X273" s="26">
        <v>2000</v>
      </c>
    </row>
    <row r="274" spans="1:24">
      <c r="A274" s="24" t="str">
        <f t="shared" si="52"/>
        <v>러닝</v>
      </c>
      <c r="B274" s="24" t="str">
        <f>IF(COUNTIF(Q$1:Q273,Q274)=0,"최초","리오더")</f>
        <v>최초</v>
      </c>
      <c r="C274" s="24" t="str">
        <f t="shared" si="53"/>
        <v>ELSFIE3640</v>
      </c>
      <c r="D274" s="24">
        <f t="shared" si="48"/>
        <v>1</v>
      </c>
      <c r="E274" s="24" t="str">
        <f t="shared" si="54"/>
        <v/>
      </c>
      <c r="F274" s="24">
        <f t="shared" si="49"/>
        <v>0</v>
      </c>
      <c r="G274" s="24" t="str">
        <f t="shared" si="55"/>
        <v>ELSFIE3640GR</v>
      </c>
      <c r="H274" s="24">
        <f t="shared" si="50"/>
        <v>1</v>
      </c>
      <c r="I274" s="24" t="str">
        <f t="shared" si="56"/>
        <v/>
      </c>
      <c r="J274" s="24">
        <f t="shared" si="51"/>
        <v>0</v>
      </c>
      <c r="K274" s="24" t="str">
        <f t="shared" si="57"/>
        <v>E3</v>
      </c>
      <c r="L274" s="24" t="str">
        <f>VLOOKUP(N274,CODE!K:P,CODE!$P$1,FALSE)</f>
        <v>모자</v>
      </c>
      <c r="M274" s="24" t="str">
        <f>VLOOKUP(MID(Q274,1,3),CODE!$B:$G,CODE!D$1,FALSE)</f>
        <v>ELS</v>
      </c>
      <c r="N274" s="24" t="str">
        <f t="shared" si="58"/>
        <v>FI</v>
      </c>
      <c r="O274" s="29" t="str">
        <f>IF(ISERROR(IF(VLOOKUP($N274,CODE!$K:$P,CODE!$O$1,FALSE)="",$M274,$M274&amp;"-"&amp;VLOOKUP($N274,CODE!$K:$P,CODE!$O$1,FALSE)))=TRUE,"",IF(VLOOKUP($N274,CODE!$K:$P,CODE!$O$1,FALSE)="",$M274,$M274&amp;"-"&amp;VLOOKUP($N274,CODE!$K:$P,CODE!$O$1,FALSE)))</f>
        <v>ELS</v>
      </c>
      <c r="P274" s="29" t="str">
        <f t="shared" si="59"/>
        <v>ELSFIE3640</v>
      </c>
      <c r="Q274" s="1" t="s">
        <v>1066</v>
      </c>
      <c r="R274" s="1" t="s">
        <v>14</v>
      </c>
      <c r="S274" s="26">
        <v>1000</v>
      </c>
      <c r="T274" s="26">
        <v>43000000</v>
      </c>
      <c r="U274" s="26">
        <v>5506250</v>
      </c>
      <c r="V274" s="26">
        <v>7.0993705499948394</v>
      </c>
      <c r="W274" s="26">
        <v>0</v>
      </c>
      <c r="X274" s="26">
        <v>1000</v>
      </c>
    </row>
    <row r="275" spans="1:24">
      <c r="A275" s="24" t="str">
        <f t="shared" si="52"/>
        <v>러닝</v>
      </c>
      <c r="B275" s="24" t="str">
        <f>IF(COUNTIF(Q$1:Q274,Q275)=0,"최초","리오더")</f>
        <v>최초</v>
      </c>
      <c r="C275" s="24" t="str">
        <f t="shared" si="53"/>
        <v>SMBFIE3205</v>
      </c>
      <c r="D275" s="24">
        <f t="shared" si="48"/>
        <v>1</v>
      </c>
      <c r="E275" s="24" t="str">
        <f t="shared" si="54"/>
        <v/>
      </c>
      <c r="F275" s="24">
        <f t="shared" si="49"/>
        <v>0</v>
      </c>
      <c r="G275" s="24" t="str">
        <f t="shared" si="55"/>
        <v>SMBFIE3205BK</v>
      </c>
      <c r="H275" s="24">
        <f t="shared" si="50"/>
        <v>1</v>
      </c>
      <c r="I275" s="24" t="str">
        <f t="shared" si="56"/>
        <v/>
      </c>
      <c r="J275" s="24">
        <f t="shared" si="51"/>
        <v>0</v>
      </c>
      <c r="K275" s="24" t="str">
        <f t="shared" si="57"/>
        <v>E3</v>
      </c>
      <c r="L275" s="24" t="str">
        <f>VLOOKUP(N275,CODE!K:P,CODE!$P$1,FALSE)</f>
        <v>모자</v>
      </c>
      <c r="M275" s="24" t="str">
        <f>VLOOKUP(MID(Q275,1,3),CODE!$B:$G,CODE!D$1,FALSE)</f>
        <v>SMB</v>
      </c>
      <c r="N275" s="24" t="str">
        <f t="shared" si="58"/>
        <v>FI</v>
      </c>
      <c r="O275" s="29" t="str">
        <f>IF(ISERROR(IF(VLOOKUP($N275,CODE!$K:$P,CODE!$O$1,FALSE)="",$M275,$M275&amp;"-"&amp;VLOOKUP($N275,CODE!$K:$P,CODE!$O$1,FALSE)))=TRUE,"",IF(VLOOKUP($N275,CODE!$K:$P,CODE!$O$1,FALSE)="",$M275,$M275&amp;"-"&amp;VLOOKUP($N275,CODE!$K:$P,CODE!$O$1,FALSE)))</f>
        <v>SMB</v>
      </c>
      <c r="P275" s="29" t="str">
        <f t="shared" si="59"/>
        <v>SMBFIE3205</v>
      </c>
      <c r="Q275" s="1" t="s">
        <v>1067</v>
      </c>
      <c r="R275" s="1" t="s">
        <v>14</v>
      </c>
      <c r="S275" s="26">
        <v>1000</v>
      </c>
      <c r="T275" s="26">
        <v>49000000</v>
      </c>
      <c r="U275" s="26">
        <v>7179250</v>
      </c>
      <c r="V275" s="26">
        <v>6.2047504329079697</v>
      </c>
      <c r="W275" s="26">
        <v>1000</v>
      </c>
      <c r="X275" s="26">
        <v>0</v>
      </c>
    </row>
    <row r="276" spans="1:24">
      <c r="A276" s="24" t="str">
        <f t="shared" si="52"/>
        <v>러닝</v>
      </c>
      <c r="B276" s="24" t="str">
        <f>IF(COUNTIF(Q$1:Q275,Q276)=0,"최초","리오더")</f>
        <v>최초</v>
      </c>
      <c r="C276" s="24" t="str">
        <f t="shared" si="53"/>
        <v>SMBFIE3702</v>
      </c>
      <c r="D276" s="24">
        <f t="shared" si="48"/>
        <v>1</v>
      </c>
      <c r="E276" s="24" t="str">
        <f t="shared" si="54"/>
        <v/>
      </c>
      <c r="F276" s="24">
        <f t="shared" si="49"/>
        <v>0</v>
      </c>
      <c r="G276" s="24" t="str">
        <f t="shared" si="55"/>
        <v>SMBFIE3702RE</v>
      </c>
      <c r="H276" s="24">
        <f t="shared" si="50"/>
        <v>1</v>
      </c>
      <c r="I276" s="24" t="str">
        <f t="shared" si="56"/>
        <v/>
      </c>
      <c r="J276" s="24">
        <f t="shared" si="51"/>
        <v>0</v>
      </c>
      <c r="K276" s="24" t="str">
        <f t="shared" si="57"/>
        <v>E3</v>
      </c>
      <c r="L276" s="24" t="str">
        <f>VLOOKUP(N276,CODE!K:P,CODE!$P$1,FALSE)</f>
        <v>모자</v>
      </c>
      <c r="M276" s="24" t="str">
        <f>VLOOKUP(MID(Q276,1,3),CODE!$B:$G,CODE!D$1,FALSE)</f>
        <v>SMB</v>
      </c>
      <c r="N276" s="24" t="str">
        <f t="shared" si="58"/>
        <v>FI</v>
      </c>
      <c r="O276" s="29" t="str">
        <f>IF(ISERROR(IF(VLOOKUP($N276,CODE!$K:$P,CODE!$O$1,FALSE)="",$M276,$M276&amp;"-"&amp;VLOOKUP($N276,CODE!$K:$P,CODE!$O$1,FALSE)))=TRUE,"",IF(VLOOKUP($N276,CODE!$K:$P,CODE!$O$1,FALSE)="",$M276,$M276&amp;"-"&amp;VLOOKUP($N276,CODE!$K:$P,CODE!$O$1,FALSE)))</f>
        <v>SMB</v>
      </c>
      <c r="P276" s="29" t="str">
        <f t="shared" si="59"/>
        <v>SMBFIE3702</v>
      </c>
      <c r="Q276" s="1" t="s">
        <v>1068</v>
      </c>
      <c r="R276" s="1" t="s">
        <v>14</v>
      </c>
      <c r="S276" s="26">
        <v>1000</v>
      </c>
      <c r="T276" s="26">
        <v>43000000</v>
      </c>
      <c r="U276" s="26">
        <v>6832750</v>
      </c>
      <c r="V276" s="26">
        <v>5.7211092299453492</v>
      </c>
      <c r="W276" s="26">
        <v>0</v>
      </c>
      <c r="X276" s="26">
        <v>1000</v>
      </c>
    </row>
    <row r="277" spans="1:24">
      <c r="A277" s="24" t="str">
        <f t="shared" si="52"/>
        <v>러닝</v>
      </c>
      <c r="B277" s="24" t="str">
        <f>IF(COUNTIF(Q$1:Q276,Q277)=0,"최초","리오더")</f>
        <v>최초</v>
      </c>
      <c r="C277" s="24" t="str">
        <f t="shared" si="53"/>
        <v>SMBFIE3705</v>
      </c>
      <c r="D277" s="24">
        <f t="shared" si="48"/>
        <v>1</v>
      </c>
      <c r="E277" s="24" t="str">
        <f t="shared" si="54"/>
        <v/>
      </c>
      <c r="F277" s="24">
        <f t="shared" si="49"/>
        <v>0</v>
      </c>
      <c r="G277" s="24" t="str">
        <f t="shared" si="55"/>
        <v>SMBFIE3705BK</v>
      </c>
      <c r="H277" s="24">
        <f t="shared" si="50"/>
        <v>1</v>
      </c>
      <c r="I277" s="24" t="str">
        <f t="shared" si="56"/>
        <v/>
      </c>
      <c r="J277" s="24">
        <f t="shared" si="51"/>
        <v>0</v>
      </c>
      <c r="K277" s="24" t="str">
        <f t="shared" si="57"/>
        <v>E3</v>
      </c>
      <c r="L277" s="24" t="str">
        <f>VLOOKUP(N277,CODE!K:P,CODE!$P$1,FALSE)</f>
        <v>모자</v>
      </c>
      <c r="M277" s="24" t="str">
        <f>VLOOKUP(MID(Q277,1,3),CODE!$B:$G,CODE!D$1,FALSE)</f>
        <v>SMB</v>
      </c>
      <c r="N277" s="24" t="str">
        <f t="shared" si="58"/>
        <v>FI</v>
      </c>
      <c r="O277" s="29" t="str">
        <f>IF(ISERROR(IF(VLOOKUP($N277,CODE!$K:$P,CODE!$O$1,FALSE)="",$M277,$M277&amp;"-"&amp;VLOOKUP($N277,CODE!$K:$P,CODE!$O$1,FALSE)))=TRUE,"",IF(VLOOKUP($N277,CODE!$K:$P,CODE!$O$1,FALSE)="",$M277,$M277&amp;"-"&amp;VLOOKUP($N277,CODE!$K:$P,CODE!$O$1,FALSE)))</f>
        <v>SMB</v>
      </c>
      <c r="P277" s="29" t="str">
        <f t="shared" si="59"/>
        <v>SMBFIE3705</v>
      </c>
      <c r="Q277" s="1" t="s">
        <v>1069</v>
      </c>
      <c r="R277" s="1" t="s">
        <v>14</v>
      </c>
      <c r="S277" s="26">
        <v>2000</v>
      </c>
      <c r="T277" s="26">
        <v>86000000</v>
      </c>
      <c r="U277" s="26">
        <v>14012000.000000002</v>
      </c>
      <c r="V277" s="26">
        <v>5.5796330418083189</v>
      </c>
      <c r="W277" s="26">
        <v>1300</v>
      </c>
      <c r="X277" s="26">
        <v>700</v>
      </c>
    </row>
    <row r="278" spans="1:24">
      <c r="A278" s="24" t="str">
        <f t="shared" si="52"/>
        <v>러닝</v>
      </c>
      <c r="B278" s="24" t="str">
        <f>IF(COUNTIF(Q$1:Q277,Q278)=0,"최초","리오더")</f>
        <v>최초</v>
      </c>
      <c r="C278" s="24" t="str">
        <f t="shared" si="53"/>
        <v>SMBFLE3742</v>
      </c>
      <c r="D278" s="24">
        <f t="shared" si="48"/>
        <v>1</v>
      </c>
      <c r="E278" s="24" t="str">
        <f t="shared" si="54"/>
        <v/>
      </c>
      <c r="F278" s="24">
        <f t="shared" si="49"/>
        <v>0</v>
      </c>
      <c r="G278" s="24" t="str">
        <f t="shared" si="55"/>
        <v>SMBFLE3742NY</v>
      </c>
      <c r="H278" s="24">
        <f t="shared" si="50"/>
        <v>1</v>
      </c>
      <c r="I278" s="24" t="str">
        <f t="shared" si="56"/>
        <v/>
      </c>
      <c r="J278" s="24">
        <f t="shared" si="51"/>
        <v>0</v>
      </c>
      <c r="K278" s="24" t="str">
        <f t="shared" si="57"/>
        <v>E3</v>
      </c>
      <c r="L278" s="24" t="str">
        <f>VLOOKUP(N278,CODE!K:P,CODE!$P$1,FALSE)</f>
        <v>모자</v>
      </c>
      <c r="M278" s="24" t="str">
        <f>VLOOKUP(MID(Q278,1,3),CODE!$B:$G,CODE!D$1,FALSE)</f>
        <v>SMB</v>
      </c>
      <c r="N278" s="24" t="str">
        <f t="shared" si="58"/>
        <v>FL</v>
      </c>
      <c r="O278" s="29" t="str">
        <f>IF(ISERROR(IF(VLOOKUP($N278,CODE!$K:$P,CODE!$O$1,FALSE)="",$M278,$M278&amp;"-"&amp;VLOOKUP($N278,CODE!$K:$P,CODE!$O$1,FALSE)))=TRUE,"",IF(VLOOKUP($N278,CODE!$K:$P,CODE!$O$1,FALSE)="",$M278,$M278&amp;"-"&amp;VLOOKUP($N278,CODE!$K:$P,CODE!$O$1,FALSE)))</f>
        <v>SMB</v>
      </c>
      <c r="P278" s="29" t="str">
        <f t="shared" si="59"/>
        <v>SMBFLE3742</v>
      </c>
      <c r="Q278" s="1" t="s">
        <v>1070</v>
      </c>
      <c r="R278" s="1" t="s">
        <v>14</v>
      </c>
      <c r="S278" s="26">
        <v>1000</v>
      </c>
      <c r="T278" s="26">
        <v>43000000</v>
      </c>
      <c r="U278" s="26">
        <v>6544000</v>
      </c>
      <c r="V278" s="26">
        <v>5.9735496777061563</v>
      </c>
      <c r="W278" s="26">
        <v>0</v>
      </c>
      <c r="X278" s="26">
        <v>1000</v>
      </c>
    </row>
    <row r="279" spans="1:24">
      <c r="A279" s="24" t="str">
        <f t="shared" si="52"/>
        <v>러닝</v>
      </c>
      <c r="B279" s="24" t="str">
        <f>IF(COUNTIF(Q$1:Q278,Q279)=0,"최초","리오더")</f>
        <v>최초</v>
      </c>
      <c r="C279" s="24" t="str">
        <f t="shared" si="53"/>
        <v>SMBFLE3757</v>
      </c>
      <c r="D279" s="24">
        <f t="shared" si="48"/>
        <v>1</v>
      </c>
      <c r="E279" s="24" t="str">
        <f t="shared" si="54"/>
        <v/>
      </c>
      <c r="F279" s="24">
        <f t="shared" si="49"/>
        <v>0</v>
      </c>
      <c r="G279" s="24" t="str">
        <f t="shared" si="55"/>
        <v>SMBFLE3757PK</v>
      </c>
      <c r="H279" s="24">
        <f t="shared" si="50"/>
        <v>1</v>
      </c>
      <c r="I279" s="24" t="str">
        <f t="shared" si="56"/>
        <v/>
      </c>
      <c r="J279" s="24">
        <f t="shared" si="51"/>
        <v>0</v>
      </c>
      <c r="K279" s="24" t="str">
        <f t="shared" si="57"/>
        <v>E3</v>
      </c>
      <c r="L279" s="24" t="str">
        <f>VLOOKUP(N279,CODE!K:P,CODE!$P$1,FALSE)</f>
        <v>모자</v>
      </c>
      <c r="M279" s="24" t="str">
        <f>VLOOKUP(MID(Q279,1,3),CODE!$B:$G,CODE!D$1,FALSE)</f>
        <v>SMB</v>
      </c>
      <c r="N279" s="24" t="str">
        <f t="shared" si="58"/>
        <v>FL</v>
      </c>
      <c r="O279" s="29" t="str">
        <f>IF(ISERROR(IF(VLOOKUP($N279,CODE!$K:$P,CODE!$O$1,FALSE)="",$M279,$M279&amp;"-"&amp;VLOOKUP($N279,CODE!$K:$P,CODE!$O$1,FALSE)))=TRUE,"",IF(VLOOKUP($N279,CODE!$K:$P,CODE!$O$1,FALSE)="",$M279,$M279&amp;"-"&amp;VLOOKUP($N279,CODE!$K:$P,CODE!$O$1,FALSE)))</f>
        <v>SMB</v>
      </c>
      <c r="P279" s="29" t="str">
        <f t="shared" si="59"/>
        <v>SMBFLE3757</v>
      </c>
      <c r="Q279" s="1" t="s">
        <v>1071</v>
      </c>
      <c r="R279" s="1" t="s">
        <v>14</v>
      </c>
      <c r="S279" s="26">
        <v>1000</v>
      </c>
      <c r="T279" s="26">
        <v>43000000</v>
      </c>
      <c r="U279" s="26">
        <v>6890499.9999999991</v>
      </c>
      <c r="V279" s="26">
        <v>5.6731600160959426</v>
      </c>
      <c r="W279" s="26">
        <v>0</v>
      </c>
      <c r="X279" s="26">
        <v>1000</v>
      </c>
    </row>
    <row r="280" spans="1:24">
      <c r="A280" s="24" t="str">
        <f t="shared" si="52"/>
        <v>신규</v>
      </c>
      <c r="B280" s="24" t="str">
        <f>IF(COUNTIF(Q$1:Q279,Q280)=0,"최초","리오더")</f>
        <v>최초</v>
      </c>
      <c r="C280" s="24" t="str">
        <f t="shared" si="53"/>
        <v>NOVERE5318</v>
      </c>
      <c r="D280" s="24">
        <f t="shared" si="48"/>
        <v>1</v>
      </c>
      <c r="E280" s="24" t="str">
        <f t="shared" si="54"/>
        <v/>
      </c>
      <c r="F280" s="24">
        <f t="shared" si="49"/>
        <v>0</v>
      </c>
      <c r="G280" s="24" t="str">
        <f t="shared" si="55"/>
        <v>NOVERE5318RE</v>
      </c>
      <c r="H280" s="24">
        <f t="shared" si="50"/>
        <v>1</v>
      </c>
      <c r="I280" s="24" t="str">
        <f t="shared" si="56"/>
        <v/>
      </c>
      <c r="J280" s="24">
        <f t="shared" si="51"/>
        <v>0</v>
      </c>
      <c r="K280" s="24" t="str">
        <f t="shared" si="57"/>
        <v>E5</v>
      </c>
      <c r="L280" s="24" t="str">
        <f>VLOOKUP(N280,CODE!K:P,CODE!$P$1,FALSE)</f>
        <v>모자</v>
      </c>
      <c r="M280" s="24" t="str">
        <f>VLOOKUP(MID(Q280,1,3),CODE!$B:$G,CODE!D$1,FALSE)</f>
        <v>NOV</v>
      </c>
      <c r="N280" s="24" t="str">
        <f t="shared" si="58"/>
        <v>ER</v>
      </c>
      <c r="O280" s="29" t="str">
        <f>IF(ISERROR(IF(VLOOKUP($N280,CODE!$K:$P,CODE!$O$1,FALSE)="",$M280,$M280&amp;"-"&amp;VLOOKUP($N280,CODE!$K:$P,CODE!$O$1,FALSE)))=TRUE,"",IF(VLOOKUP($N280,CODE!$K:$P,CODE!$O$1,FALSE)="",$M280,$M280&amp;"-"&amp;VLOOKUP($N280,CODE!$K:$P,CODE!$O$1,FALSE)))</f>
        <v>NOV</v>
      </c>
      <c r="P280" s="29" t="str">
        <f t="shared" si="59"/>
        <v>NOVERE5318</v>
      </c>
      <c r="Q280" s="1" t="s">
        <v>1072</v>
      </c>
      <c r="R280" s="1" t="s">
        <v>14</v>
      </c>
      <c r="S280" s="26">
        <v>500</v>
      </c>
      <c r="T280" s="26">
        <v>29500000</v>
      </c>
      <c r="U280" s="26">
        <v>2856450.0000000005</v>
      </c>
      <c r="V280" s="26">
        <v>9.3886403816561845</v>
      </c>
      <c r="W280" s="26">
        <v>0</v>
      </c>
      <c r="X280" s="26">
        <v>500</v>
      </c>
    </row>
    <row r="281" spans="1:24">
      <c r="A281" s="24" t="str">
        <f t="shared" si="52"/>
        <v>신규</v>
      </c>
      <c r="B281" s="24" t="str">
        <f>IF(COUNTIF(Q$1:Q280,Q281)=0,"최초","리오더")</f>
        <v>최초</v>
      </c>
      <c r="C281" s="24" t="str">
        <f t="shared" si="53"/>
        <v>NOVBAE5319</v>
      </c>
      <c r="D281" s="24">
        <f t="shared" si="48"/>
        <v>1</v>
      </c>
      <c r="E281" s="24" t="str">
        <f t="shared" si="54"/>
        <v/>
      </c>
      <c r="F281" s="24">
        <f t="shared" si="49"/>
        <v>0</v>
      </c>
      <c r="G281" s="24" t="str">
        <f t="shared" si="55"/>
        <v>NOVBAE5319NY</v>
      </c>
      <c r="H281" s="24">
        <f t="shared" si="50"/>
        <v>1</v>
      </c>
      <c r="I281" s="24" t="str">
        <f t="shared" si="56"/>
        <v/>
      </c>
      <c r="J281" s="24">
        <f t="shared" si="51"/>
        <v>0</v>
      </c>
      <c r="K281" s="24" t="str">
        <f t="shared" si="57"/>
        <v>E5</v>
      </c>
      <c r="L281" s="24" t="str">
        <f>VLOOKUP(N281,CODE!K:P,CODE!$P$1,FALSE)</f>
        <v>모자</v>
      </c>
      <c r="M281" s="24" t="str">
        <f>VLOOKUP(MID(Q281,1,3),CODE!$B:$G,CODE!D$1,FALSE)</f>
        <v>NOV</v>
      </c>
      <c r="N281" s="24" t="str">
        <f t="shared" si="58"/>
        <v>BA</v>
      </c>
      <c r="O281" s="29" t="str">
        <f>IF(ISERROR(IF(VLOOKUP($N281,CODE!$K:$P,CODE!$O$1,FALSE)="",$M281,$M281&amp;"-"&amp;VLOOKUP($N281,CODE!$K:$P,CODE!$O$1,FALSE)))=TRUE,"",IF(VLOOKUP($N281,CODE!$K:$P,CODE!$O$1,FALSE)="",$M281,$M281&amp;"-"&amp;VLOOKUP($N281,CODE!$K:$P,CODE!$O$1,FALSE)))</f>
        <v>NOV</v>
      </c>
      <c r="P281" s="29" t="str">
        <f t="shared" si="59"/>
        <v>NOVBAE5319</v>
      </c>
      <c r="Q281" s="1" t="s">
        <v>1073</v>
      </c>
      <c r="R281" s="1" t="s">
        <v>14</v>
      </c>
      <c r="S281" s="26">
        <v>700</v>
      </c>
      <c r="T281" s="26">
        <v>34300000</v>
      </c>
      <c r="U281" s="26">
        <v>3258381</v>
      </c>
      <c r="V281" s="26">
        <v>9.5697274756445552</v>
      </c>
      <c r="W281" s="26">
        <v>0</v>
      </c>
      <c r="X281" s="26">
        <v>700</v>
      </c>
    </row>
    <row r="282" spans="1:24">
      <c r="A282" s="24" t="str">
        <f t="shared" si="52"/>
        <v>신규</v>
      </c>
      <c r="B282" s="24" t="str">
        <f>IF(COUNTIF(Q$1:Q281,Q282)=0,"최초","리오더")</f>
        <v>최초</v>
      </c>
      <c r="C282" s="24" t="str">
        <f t="shared" si="53"/>
        <v>NOVBAE5819</v>
      </c>
      <c r="D282" s="24">
        <f t="shared" si="48"/>
        <v>1</v>
      </c>
      <c r="E282" s="24" t="str">
        <f t="shared" si="54"/>
        <v/>
      </c>
      <c r="F282" s="24">
        <f t="shared" si="49"/>
        <v>0</v>
      </c>
      <c r="G282" s="24" t="str">
        <f t="shared" si="55"/>
        <v>NOVBAE5819NY</v>
      </c>
      <c r="H282" s="24">
        <f t="shared" si="50"/>
        <v>1</v>
      </c>
      <c r="I282" s="24" t="str">
        <f t="shared" si="56"/>
        <v/>
      </c>
      <c r="J282" s="24">
        <f t="shared" si="51"/>
        <v>0</v>
      </c>
      <c r="K282" s="24" t="str">
        <f t="shared" si="57"/>
        <v>E5</v>
      </c>
      <c r="L282" s="24" t="str">
        <f>VLOOKUP(N282,CODE!K:P,CODE!$P$1,FALSE)</f>
        <v>모자</v>
      </c>
      <c r="M282" s="24" t="str">
        <f>VLOOKUP(MID(Q282,1,3),CODE!$B:$G,CODE!D$1,FALSE)</f>
        <v>NOV</v>
      </c>
      <c r="N282" s="24" t="str">
        <f t="shared" si="58"/>
        <v>BA</v>
      </c>
      <c r="O282" s="29" t="str">
        <f>IF(ISERROR(IF(VLOOKUP($N282,CODE!$K:$P,CODE!$O$1,FALSE)="",$M282,$M282&amp;"-"&amp;VLOOKUP($N282,CODE!$K:$P,CODE!$O$1,FALSE)))=TRUE,"",IF(VLOOKUP($N282,CODE!$K:$P,CODE!$O$1,FALSE)="",$M282,$M282&amp;"-"&amp;VLOOKUP($N282,CODE!$K:$P,CODE!$O$1,FALSE)))</f>
        <v>NOV</v>
      </c>
      <c r="P282" s="29" t="str">
        <f t="shared" si="59"/>
        <v>NOVBAE5819</v>
      </c>
      <c r="Q282" s="1" t="s">
        <v>1074</v>
      </c>
      <c r="R282" s="1" t="s">
        <v>14</v>
      </c>
      <c r="S282" s="26">
        <v>500</v>
      </c>
      <c r="T282" s="26">
        <v>22500000</v>
      </c>
      <c r="U282" s="26">
        <v>2267230</v>
      </c>
      <c r="V282" s="26">
        <v>9.0218219830125115</v>
      </c>
      <c r="W282" s="26">
        <v>0</v>
      </c>
      <c r="X282" s="26">
        <v>500</v>
      </c>
    </row>
    <row r="283" spans="1:24">
      <c r="A283" s="24" t="str">
        <f t="shared" si="52"/>
        <v>신규</v>
      </c>
      <c r="B283" s="24" t="str">
        <f>IF(COUNTIF(Q$1:Q282,Q283)=0,"최초","리오더")</f>
        <v>최초</v>
      </c>
      <c r="C283" s="24" t="str">
        <f t="shared" si="53"/>
        <v>NOVMIE5320</v>
      </c>
      <c r="D283" s="24">
        <f t="shared" si="48"/>
        <v>1</v>
      </c>
      <c r="E283" s="24" t="str">
        <f t="shared" si="54"/>
        <v/>
      </c>
      <c r="F283" s="24">
        <f t="shared" si="49"/>
        <v>0</v>
      </c>
      <c r="G283" s="24" t="str">
        <f t="shared" si="55"/>
        <v>NOVMIE5320KH</v>
      </c>
      <c r="H283" s="24">
        <f t="shared" si="50"/>
        <v>1</v>
      </c>
      <c r="I283" s="24" t="str">
        <f t="shared" si="56"/>
        <v/>
      </c>
      <c r="J283" s="24">
        <f t="shared" si="51"/>
        <v>0</v>
      </c>
      <c r="K283" s="24" t="str">
        <f t="shared" si="57"/>
        <v>E5</v>
      </c>
      <c r="L283" s="24" t="str">
        <f>VLOOKUP(N283,CODE!K:P,CODE!$P$1,FALSE)</f>
        <v>모자</v>
      </c>
      <c r="M283" s="24" t="str">
        <f>VLOOKUP(MID(Q283,1,3),CODE!$B:$G,CODE!D$1,FALSE)</f>
        <v>NOV</v>
      </c>
      <c r="N283" s="24" t="str">
        <f t="shared" si="58"/>
        <v>MI</v>
      </c>
      <c r="O283" s="29" t="str">
        <f>IF(ISERROR(IF(VLOOKUP($N283,CODE!$K:$P,CODE!$O$1,FALSE)="",$M283,$M283&amp;"-"&amp;VLOOKUP($N283,CODE!$K:$P,CODE!$O$1,FALSE)))=TRUE,"",IF(VLOOKUP($N283,CODE!$K:$P,CODE!$O$1,FALSE)="",$M283,$M283&amp;"-"&amp;VLOOKUP($N283,CODE!$K:$P,CODE!$O$1,FALSE)))</f>
        <v>NOV</v>
      </c>
      <c r="P283" s="29" t="str">
        <f t="shared" si="59"/>
        <v>NOVMIE5320</v>
      </c>
      <c r="Q283" s="1" t="s">
        <v>1075</v>
      </c>
      <c r="R283" s="1" t="s">
        <v>14</v>
      </c>
      <c r="S283" s="26">
        <v>700</v>
      </c>
      <c r="T283" s="26">
        <v>34300000</v>
      </c>
      <c r="U283" s="26">
        <v>3140081</v>
      </c>
      <c r="V283" s="26">
        <v>9.9302591817912287</v>
      </c>
      <c r="W283" s="26">
        <v>0</v>
      </c>
      <c r="X283" s="26">
        <v>700</v>
      </c>
    </row>
    <row r="284" spans="1:24">
      <c r="A284" s="24" t="str">
        <f t="shared" si="52"/>
        <v>신규</v>
      </c>
      <c r="B284" s="24" t="str">
        <f>IF(COUNTIF(Q$1:Q283,Q284)=0,"최초","리오더")</f>
        <v>최초</v>
      </c>
      <c r="C284" s="24" t="str">
        <f t="shared" si="53"/>
        <v>NOVMIE5820</v>
      </c>
      <c r="D284" s="24">
        <f t="shared" si="48"/>
        <v>1</v>
      </c>
      <c r="E284" s="24" t="str">
        <f t="shared" si="54"/>
        <v/>
      </c>
      <c r="F284" s="24">
        <f t="shared" si="49"/>
        <v>0</v>
      </c>
      <c r="G284" s="24" t="str">
        <f t="shared" si="55"/>
        <v>NOVMIE5820KH</v>
      </c>
      <c r="H284" s="24">
        <f t="shared" si="50"/>
        <v>1</v>
      </c>
      <c r="I284" s="24" t="str">
        <f t="shared" si="56"/>
        <v/>
      </c>
      <c r="J284" s="24">
        <f t="shared" si="51"/>
        <v>0</v>
      </c>
      <c r="K284" s="24" t="str">
        <f t="shared" si="57"/>
        <v>E5</v>
      </c>
      <c r="L284" s="24" t="str">
        <f>VLOOKUP(N284,CODE!K:P,CODE!$P$1,FALSE)</f>
        <v>모자</v>
      </c>
      <c r="M284" s="24" t="str">
        <f>VLOOKUP(MID(Q284,1,3),CODE!$B:$G,CODE!D$1,FALSE)</f>
        <v>NOV</v>
      </c>
      <c r="N284" s="24" t="str">
        <f t="shared" si="58"/>
        <v>MI</v>
      </c>
      <c r="O284" s="29" t="str">
        <f>IF(ISERROR(IF(VLOOKUP($N284,CODE!$K:$P,CODE!$O$1,FALSE)="",$M284,$M284&amp;"-"&amp;VLOOKUP($N284,CODE!$K:$P,CODE!$O$1,FALSE)))=TRUE,"",IF(VLOOKUP($N284,CODE!$K:$P,CODE!$O$1,FALSE)="",$M284,$M284&amp;"-"&amp;VLOOKUP($N284,CODE!$K:$P,CODE!$O$1,FALSE)))</f>
        <v>NOV</v>
      </c>
      <c r="P284" s="29" t="str">
        <f t="shared" si="59"/>
        <v>NOVMIE5820</v>
      </c>
      <c r="Q284" s="1" t="s">
        <v>1076</v>
      </c>
      <c r="R284" s="1" t="s">
        <v>14</v>
      </c>
      <c r="S284" s="26">
        <v>500</v>
      </c>
      <c r="T284" s="26">
        <v>22500000</v>
      </c>
      <c r="U284" s="26">
        <v>2190730</v>
      </c>
      <c r="V284" s="26">
        <v>9.3368628057978178</v>
      </c>
      <c r="W284" s="26">
        <v>0</v>
      </c>
      <c r="X284" s="26">
        <v>500</v>
      </c>
    </row>
    <row r="285" spans="1:24">
      <c r="A285" s="24" t="str">
        <f t="shared" si="52"/>
        <v>신규</v>
      </c>
      <c r="B285" s="24" t="str">
        <f>IF(COUNTIF(Q$1:Q284,Q285)=0,"최초","리오더")</f>
        <v>최초</v>
      </c>
      <c r="C285" s="24" t="str">
        <f t="shared" si="53"/>
        <v>NOVBAE3321</v>
      </c>
      <c r="D285" s="24">
        <f t="shared" si="48"/>
        <v>1</v>
      </c>
      <c r="E285" s="24" t="str">
        <f t="shared" si="54"/>
        <v/>
      </c>
      <c r="F285" s="24">
        <f t="shared" si="49"/>
        <v>0</v>
      </c>
      <c r="G285" s="24" t="str">
        <f t="shared" si="55"/>
        <v>NOVBAE3321NY</v>
      </c>
      <c r="H285" s="24">
        <f t="shared" si="50"/>
        <v>1</v>
      </c>
      <c r="I285" s="24" t="str">
        <f t="shared" si="56"/>
        <v/>
      </c>
      <c r="J285" s="24">
        <f t="shared" si="51"/>
        <v>0</v>
      </c>
      <c r="K285" s="24" t="str">
        <f t="shared" si="57"/>
        <v>E3</v>
      </c>
      <c r="L285" s="24" t="str">
        <f>VLOOKUP(N285,CODE!K:P,CODE!$P$1,FALSE)</f>
        <v>모자</v>
      </c>
      <c r="M285" s="24" t="str">
        <f>VLOOKUP(MID(Q285,1,3),CODE!$B:$G,CODE!D$1,FALSE)</f>
        <v>NOV</v>
      </c>
      <c r="N285" s="24" t="str">
        <f t="shared" si="58"/>
        <v>BA</v>
      </c>
      <c r="O285" s="29" t="str">
        <f>IF(ISERROR(IF(VLOOKUP($N285,CODE!$K:$P,CODE!$O$1,FALSE)="",$M285,$M285&amp;"-"&amp;VLOOKUP($N285,CODE!$K:$P,CODE!$O$1,FALSE)))=TRUE,"",IF(VLOOKUP($N285,CODE!$K:$P,CODE!$O$1,FALSE)="",$M285,$M285&amp;"-"&amp;VLOOKUP($N285,CODE!$K:$P,CODE!$O$1,FALSE)))</f>
        <v>NOV</v>
      </c>
      <c r="P285" s="29" t="str">
        <f t="shared" si="59"/>
        <v>NOVBAE3321</v>
      </c>
      <c r="Q285" s="1" t="s">
        <v>1077</v>
      </c>
      <c r="R285" s="1" t="s">
        <v>14</v>
      </c>
      <c r="S285" s="26">
        <v>500</v>
      </c>
      <c r="T285" s="26">
        <v>22500000</v>
      </c>
      <c r="U285" s="26">
        <v>2777600.0000000005</v>
      </c>
      <c r="V285" s="26">
        <v>7.3641076665270191</v>
      </c>
      <c r="W285" s="26">
        <v>0</v>
      </c>
      <c r="X285" s="26">
        <v>500</v>
      </c>
    </row>
    <row r="286" spans="1:24">
      <c r="A286" s="24" t="str">
        <f t="shared" si="52"/>
        <v>신규</v>
      </c>
      <c r="B286" s="24" t="str">
        <f>IF(COUNTIF(Q$1:Q285,Q286)=0,"최초","리오더")</f>
        <v>최초</v>
      </c>
      <c r="C286" s="24" t="str">
        <f t="shared" si="53"/>
        <v>VBLBAE3306</v>
      </c>
      <c r="D286" s="24">
        <f t="shared" si="48"/>
        <v>1</v>
      </c>
      <c r="E286" s="24" t="str">
        <f t="shared" si="54"/>
        <v/>
      </c>
      <c r="F286" s="24">
        <f t="shared" si="49"/>
        <v>0</v>
      </c>
      <c r="G286" s="24" t="str">
        <f t="shared" si="55"/>
        <v>VBLBAE3306NY</v>
      </c>
      <c r="H286" s="24">
        <f t="shared" si="50"/>
        <v>1</v>
      </c>
      <c r="I286" s="24" t="str">
        <f t="shared" si="56"/>
        <v/>
      </c>
      <c r="J286" s="24">
        <f t="shared" si="51"/>
        <v>0</v>
      </c>
      <c r="K286" s="24" t="str">
        <f t="shared" si="57"/>
        <v>E3</v>
      </c>
      <c r="L286" s="24" t="str">
        <f>VLOOKUP(N286,CODE!K:P,CODE!$P$1,FALSE)</f>
        <v>모자</v>
      </c>
      <c r="M286" s="24" t="str">
        <f>VLOOKUP(MID(Q286,1,3),CODE!$B:$G,CODE!D$1,FALSE)</f>
        <v>VBL</v>
      </c>
      <c r="N286" s="24" t="str">
        <f t="shared" si="58"/>
        <v>BA</v>
      </c>
      <c r="O286" s="29" t="str">
        <f>IF(ISERROR(IF(VLOOKUP($N286,CODE!$K:$P,CODE!$O$1,FALSE)="",$M286,$M286&amp;"-"&amp;VLOOKUP($N286,CODE!$K:$P,CODE!$O$1,FALSE)))=TRUE,"",IF(VLOOKUP($N286,CODE!$K:$P,CODE!$O$1,FALSE)="",$M286,$M286&amp;"-"&amp;VLOOKUP($N286,CODE!$K:$P,CODE!$O$1,FALSE)))</f>
        <v>VBL</v>
      </c>
      <c r="P286" s="29" t="str">
        <f t="shared" si="59"/>
        <v>VBLBAE3306</v>
      </c>
      <c r="Q286" s="1" t="s">
        <v>1078</v>
      </c>
      <c r="R286" s="1" t="s">
        <v>14</v>
      </c>
      <c r="S286" s="26">
        <v>700</v>
      </c>
      <c r="T286" s="26">
        <v>34300000</v>
      </c>
      <c r="U286" s="26">
        <v>3180081.0000000005</v>
      </c>
      <c r="V286" s="26">
        <v>9.8053534428268243</v>
      </c>
      <c r="W286" s="26">
        <v>0</v>
      </c>
      <c r="X286" s="26">
        <v>700</v>
      </c>
    </row>
    <row r="287" spans="1:24">
      <c r="A287" s="24" t="str">
        <f t="shared" si="52"/>
        <v>신규</v>
      </c>
      <c r="B287" s="24" t="str">
        <f>IF(COUNTIF(Q$1:Q286,Q287)=0,"최초","리오더")</f>
        <v>최초</v>
      </c>
      <c r="C287" s="24" t="str">
        <f t="shared" si="53"/>
        <v>VBLBAE3309</v>
      </c>
      <c r="D287" s="24">
        <f t="shared" si="48"/>
        <v>1</v>
      </c>
      <c r="E287" s="24" t="str">
        <f t="shared" si="54"/>
        <v/>
      </c>
      <c r="F287" s="24">
        <f t="shared" si="49"/>
        <v>0</v>
      </c>
      <c r="G287" s="24" t="str">
        <f t="shared" si="55"/>
        <v>VBLBAE3309GR</v>
      </c>
      <c r="H287" s="24">
        <f t="shared" si="50"/>
        <v>1</v>
      </c>
      <c r="I287" s="24" t="str">
        <f t="shared" si="56"/>
        <v/>
      </c>
      <c r="J287" s="24">
        <f t="shared" si="51"/>
        <v>0</v>
      </c>
      <c r="K287" s="24" t="str">
        <f t="shared" si="57"/>
        <v>E3</v>
      </c>
      <c r="L287" s="24" t="str">
        <f>VLOOKUP(N287,CODE!K:P,CODE!$P$1,FALSE)</f>
        <v>모자</v>
      </c>
      <c r="M287" s="24" t="str">
        <f>VLOOKUP(MID(Q287,1,3),CODE!$B:$G,CODE!D$1,FALSE)</f>
        <v>VBL</v>
      </c>
      <c r="N287" s="24" t="str">
        <f t="shared" si="58"/>
        <v>BA</v>
      </c>
      <c r="O287" s="29" t="str">
        <f>IF(ISERROR(IF(VLOOKUP($N287,CODE!$K:$P,CODE!$O$1,FALSE)="",$M287,$M287&amp;"-"&amp;VLOOKUP($N287,CODE!$K:$P,CODE!$O$1,FALSE)))=TRUE,"",IF(VLOOKUP($N287,CODE!$K:$P,CODE!$O$1,FALSE)="",$M287,$M287&amp;"-"&amp;VLOOKUP($N287,CODE!$K:$P,CODE!$O$1,FALSE)))</f>
        <v>VBL</v>
      </c>
      <c r="P287" s="29" t="str">
        <f t="shared" si="59"/>
        <v>VBLBAE3309</v>
      </c>
      <c r="Q287" s="1" t="s">
        <v>1079</v>
      </c>
      <c r="R287" s="1" t="s">
        <v>14</v>
      </c>
      <c r="S287" s="26">
        <v>500</v>
      </c>
      <c r="T287" s="26">
        <v>24500000</v>
      </c>
      <c r="U287" s="26">
        <v>2297715</v>
      </c>
      <c r="V287" s="26">
        <v>9.6934246730892522</v>
      </c>
      <c r="W287" s="26">
        <v>0</v>
      </c>
      <c r="X287" s="26">
        <v>500</v>
      </c>
    </row>
    <row r="288" spans="1:24">
      <c r="A288" s="24" t="str">
        <f t="shared" si="52"/>
        <v>신규</v>
      </c>
      <c r="B288" s="24" t="str">
        <f>IF(COUNTIF(Q$1:Q287,Q288)=0,"최초","리오더")</f>
        <v>최초</v>
      </c>
      <c r="C288" s="24" t="str">
        <f t="shared" si="53"/>
        <v>VBLBAE3310</v>
      </c>
      <c r="D288" s="24">
        <f t="shared" si="48"/>
        <v>1</v>
      </c>
      <c r="E288" s="24" t="str">
        <f t="shared" si="54"/>
        <v/>
      </c>
      <c r="F288" s="24">
        <f t="shared" si="49"/>
        <v>0</v>
      </c>
      <c r="G288" s="24" t="str">
        <f t="shared" si="55"/>
        <v>VBLBAE3310RE</v>
      </c>
      <c r="H288" s="24">
        <f t="shared" si="50"/>
        <v>1</v>
      </c>
      <c r="I288" s="24" t="str">
        <f t="shared" si="56"/>
        <v/>
      </c>
      <c r="J288" s="24">
        <f t="shared" si="51"/>
        <v>0</v>
      </c>
      <c r="K288" s="24" t="str">
        <f t="shared" si="57"/>
        <v>E3</v>
      </c>
      <c r="L288" s="24" t="str">
        <f>VLOOKUP(N288,CODE!K:P,CODE!$P$1,FALSE)</f>
        <v>모자</v>
      </c>
      <c r="M288" s="24" t="str">
        <f>VLOOKUP(MID(Q288,1,3),CODE!$B:$G,CODE!D$1,FALSE)</f>
        <v>VBL</v>
      </c>
      <c r="N288" s="24" t="str">
        <f t="shared" si="58"/>
        <v>BA</v>
      </c>
      <c r="O288" s="29" t="str">
        <f>IF(ISERROR(IF(VLOOKUP($N288,CODE!$K:$P,CODE!$O$1,FALSE)="",$M288,$M288&amp;"-"&amp;VLOOKUP($N288,CODE!$K:$P,CODE!$O$1,FALSE)))=TRUE,"",IF(VLOOKUP($N288,CODE!$K:$P,CODE!$O$1,FALSE)="",$M288,$M288&amp;"-"&amp;VLOOKUP($N288,CODE!$K:$P,CODE!$O$1,FALSE)))</f>
        <v>VBL</v>
      </c>
      <c r="P288" s="29" t="str">
        <f t="shared" si="59"/>
        <v>VBLBAE3310</v>
      </c>
      <c r="Q288" s="1" t="s">
        <v>1080</v>
      </c>
      <c r="R288" s="1" t="s">
        <v>14</v>
      </c>
      <c r="S288" s="26">
        <v>500</v>
      </c>
      <c r="T288" s="26">
        <v>24500000</v>
      </c>
      <c r="U288" s="26">
        <v>2296830</v>
      </c>
      <c r="V288" s="26">
        <v>9.6971596821389792</v>
      </c>
      <c r="W288" s="26">
        <v>0</v>
      </c>
      <c r="X288" s="26">
        <v>500</v>
      </c>
    </row>
    <row r="289" spans="1:24">
      <c r="A289" s="24" t="str">
        <f t="shared" si="52"/>
        <v>신규</v>
      </c>
      <c r="B289" s="24" t="str">
        <f>IF(COUNTIF(Q$1:Q288,Q289)=0,"최초","리오더")</f>
        <v>최초</v>
      </c>
      <c r="C289" s="24" t="str">
        <f t="shared" si="53"/>
        <v>VBLBAE3311</v>
      </c>
      <c r="D289" s="24">
        <f t="shared" si="48"/>
        <v>1</v>
      </c>
      <c r="E289" s="24" t="str">
        <f t="shared" si="54"/>
        <v/>
      </c>
      <c r="F289" s="24">
        <f t="shared" si="49"/>
        <v>0</v>
      </c>
      <c r="G289" s="24" t="str">
        <f t="shared" si="55"/>
        <v>VBLBAE3311NY</v>
      </c>
      <c r="H289" s="24">
        <f t="shared" si="50"/>
        <v>1</v>
      </c>
      <c r="I289" s="24" t="str">
        <f t="shared" si="56"/>
        <v/>
      </c>
      <c r="J289" s="24">
        <f t="shared" si="51"/>
        <v>0</v>
      </c>
      <c r="K289" s="24" t="str">
        <f t="shared" si="57"/>
        <v>E3</v>
      </c>
      <c r="L289" s="24" t="str">
        <f>VLOOKUP(N289,CODE!K:P,CODE!$P$1,FALSE)</f>
        <v>모자</v>
      </c>
      <c r="M289" s="24" t="str">
        <f>VLOOKUP(MID(Q289,1,3),CODE!$B:$G,CODE!D$1,FALSE)</f>
        <v>VBL</v>
      </c>
      <c r="N289" s="24" t="str">
        <f t="shared" si="58"/>
        <v>BA</v>
      </c>
      <c r="O289" s="29" t="str">
        <f>IF(ISERROR(IF(VLOOKUP($N289,CODE!$K:$P,CODE!$O$1,FALSE)="",$M289,$M289&amp;"-"&amp;VLOOKUP($N289,CODE!$K:$P,CODE!$O$1,FALSE)))=TRUE,"",IF(VLOOKUP($N289,CODE!$K:$P,CODE!$O$1,FALSE)="",$M289,$M289&amp;"-"&amp;VLOOKUP($N289,CODE!$K:$P,CODE!$O$1,FALSE)))</f>
        <v>VBL</v>
      </c>
      <c r="P289" s="29" t="str">
        <f t="shared" si="59"/>
        <v>VBLBAE3311</v>
      </c>
      <c r="Q289" s="1" t="s">
        <v>1081</v>
      </c>
      <c r="R289" s="1" t="s">
        <v>14</v>
      </c>
      <c r="S289" s="26">
        <v>700</v>
      </c>
      <c r="T289" s="26">
        <v>34300000</v>
      </c>
      <c r="U289" s="26">
        <v>3408681.0000000005</v>
      </c>
      <c r="V289" s="26">
        <v>9.1477665941219417</v>
      </c>
      <c r="W289" s="26">
        <v>0</v>
      </c>
      <c r="X289" s="26">
        <v>700</v>
      </c>
    </row>
    <row r="290" spans="1:24">
      <c r="A290" s="24" t="str">
        <f t="shared" si="52"/>
        <v>신규</v>
      </c>
      <c r="B290" s="24" t="str">
        <f>IF(COUNTIF(Q$1:Q289,Q290)=0,"최초","리오더")</f>
        <v>최초</v>
      </c>
      <c r="C290" s="24" t="str">
        <f t="shared" si="53"/>
        <v>VBLBAE3811</v>
      </c>
      <c r="D290" s="24">
        <f t="shared" si="48"/>
        <v>1</v>
      </c>
      <c r="E290" s="24" t="str">
        <f t="shared" si="54"/>
        <v/>
      </c>
      <c r="F290" s="24">
        <f t="shared" si="49"/>
        <v>0</v>
      </c>
      <c r="G290" s="24" t="str">
        <f t="shared" si="55"/>
        <v>VBLBAE3811NY</v>
      </c>
      <c r="H290" s="24">
        <f t="shared" si="50"/>
        <v>1</v>
      </c>
      <c r="I290" s="24" t="str">
        <f t="shared" si="56"/>
        <v/>
      </c>
      <c r="J290" s="24">
        <f t="shared" si="51"/>
        <v>0</v>
      </c>
      <c r="K290" s="24" t="str">
        <f t="shared" si="57"/>
        <v>E3</v>
      </c>
      <c r="L290" s="24" t="str">
        <f>VLOOKUP(N290,CODE!K:P,CODE!$P$1,FALSE)</f>
        <v>모자</v>
      </c>
      <c r="M290" s="24" t="str">
        <f>VLOOKUP(MID(Q290,1,3),CODE!$B:$G,CODE!D$1,FALSE)</f>
        <v>VBL</v>
      </c>
      <c r="N290" s="24" t="str">
        <f t="shared" si="58"/>
        <v>BA</v>
      </c>
      <c r="O290" s="29" t="str">
        <f>IF(ISERROR(IF(VLOOKUP($N290,CODE!$K:$P,CODE!$O$1,FALSE)="",$M290,$M290&amp;"-"&amp;VLOOKUP($N290,CODE!$K:$P,CODE!$O$1,FALSE)))=TRUE,"",IF(VLOOKUP($N290,CODE!$K:$P,CODE!$O$1,FALSE)="",$M290,$M290&amp;"-"&amp;VLOOKUP($N290,CODE!$K:$P,CODE!$O$1,FALSE)))</f>
        <v>VBL</v>
      </c>
      <c r="P290" s="29" t="str">
        <f t="shared" si="59"/>
        <v>VBLBAE3811</v>
      </c>
      <c r="Q290" s="1" t="s">
        <v>1082</v>
      </c>
      <c r="R290" s="1" t="s">
        <v>14</v>
      </c>
      <c r="S290" s="26">
        <v>500</v>
      </c>
      <c r="T290" s="26">
        <v>22500000</v>
      </c>
      <c r="U290" s="26">
        <v>2411315</v>
      </c>
      <c r="V290" s="26">
        <v>8.4827347130281421</v>
      </c>
      <c r="W290" s="26">
        <v>0</v>
      </c>
      <c r="X290" s="26">
        <v>500</v>
      </c>
    </row>
    <row r="291" spans="1:24">
      <c r="A291" s="24" t="str">
        <f t="shared" si="52"/>
        <v>신규</v>
      </c>
      <c r="B291" s="24" t="str">
        <f>IF(COUNTIF(Q$1:Q290,Q291)=0,"최초","리오더")</f>
        <v>최초</v>
      </c>
      <c r="C291" s="24" t="str">
        <f t="shared" si="53"/>
        <v>VBLBAE3312</v>
      </c>
      <c r="D291" s="24">
        <f t="shared" si="48"/>
        <v>0.5</v>
      </c>
      <c r="E291" s="24" t="str">
        <f t="shared" si="54"/>
        <v/>
      </c>
      <c r="F291" s="24">
        <f t="shared" si="49"/>
        <v>0</v>
      </c>
      <c r="G291" s="24" t="str">
        <f t="shared" si="55"/>
        <v>VBLBAE3312BK</v>
      </c>
      <c r="H291" s="24">
        <f t="shared" si="50"/>
        <v>0.5</v>
      </c>
      <c r="I291" s="24" t="str">
        <f t="shared" si="56"/>
        <v/>
      </c>
      <c r="J291" s="24">
        <f t="shared" si="51"/>
        <v>0</v>
      </c>
      <c r="K291" s="24" t="str">
        <f t="shared" si="57"/>
        <v>E3</v>
      </c>
      <c r="L291" s="24" t="str">
        <f>VLOOKUP(N291,CODE!K:P,CODE!$P$1,FALSE)</f>
        <v>모자</v>
      </c>
      <c r="M291" s="24" t="str">
        <f>VLOOKUP(MID(Q291,1,3),CODE!$B:$G,CODE!D$1,FALSE)</f>
        <v>VBL</v>
      </c>
      <c r="N291" s="24" t="str">
        <f t="shared" si="58"/>
        <v>BA</v>
      </c>
      <c r="O291" s="29" t="str">
        <f>IF(ISERROR(IF(VLOOKUP($N291,CODE!$K:$P,CODE!$O$1,FALSE)="",$M291,$M291&amp;"-"&amp;VLOOKUP($N291,CODE!$K:$P,CODE!$O$1,FALSE)))=TRUE,"",IF(VLOOKUP($N291,CODE!$K:$P,CODE!$O$1,FALSE)="",$M291,$M291&amp;"-"&amp;VLOOKUP($N291,CODE!$K:$P,CODE!$O$1,FALSE)))</f>
        <v>VBL</v>
      </c>
      <c r="P291" s="29" t="str">
        <f t="shared" si="59"/>
        <v>VBLBAE3312</v>
      </c>
      <c r="Q291" s="1" t="s">
        <v>1083</v>
      </c>
      <c r="R291" s="1" t="s">
        <v>14</v>
      </c>
      <c r="S291" s="26">
        <v>700</v>
      </c>
      <c r="T291" s="26">
        <v>38500000</v>
      </c>
      <c r="U291" s="26">
        <v>3613676.0000000005</v>
      </c>
      <c r="V291" s="26">
        <v>9.6854283560562688</v>
      </c>
      <c r="W291" s="26">
        <v>0</v>
      </c>
      <c r="X291" s="26">
        <v>700</v>
      </c>
    </row>
    <row r="292" spans="1:24">
      <c r="A292" s="24" t="str">
        <f t="shared" si="52"/>
        <v>신규</v>
      </c>
      <c r="B292" s="24" t="str">
        <f>IF(COUNTIF(Q$1:Q291,Q292)=0,"최초","리오더")</f>
        <v>최초</v>
      </c>
      <c r="C292" s="24" t="str">
        <f t="shared" si="53"/>
        <v>VBLBAE3812</v>
      </c>
      <c r="D292" s="24">
        <f t="shared" si="48"/>
        <v>0.5</v>
      </c>
      <c r="E292" s="24" t="str">
        <f t="shared" si="54"/>
        <v/>
      </c>
      <c r="F292" s="24">
        <f t="shared" si="49"/>
        <v>0</v>
      </c>
      <c r="G292" s="24" t="str">
        <f t="shared" si="55"/>
        <v>VBLBAE3812BK</v>
      </c>
      <c r="H292" s="24">
        <f t="shared" si="50"/>
        <v>0.5</v>
      </c>
      <c r="I292" s="24" t="str">
        <f t="shared" si="56"/>
        <v/>
      </c>
      <c r="J292" s="24">
        <f t="shared" si="51"/>
        <v>0</v>
      </c>
      <c r="K292" s="24" t="str">
        <f t="shared" si="57"/>
        <v>E3</v>
      </c>
      <c r="L292" s="24" t="str">
        <f>VLOOKUP(N292,CODE!K:P,CODE!$P$1,FALSE)</f>
        <v>모자</v>
      </c>
      <c r="M292" s="24" t="str">
        <f>VLOOKUP(MID(Q292,1,3),CODE!$B:$G,CODE!D$1,FALSE)</f>
        <v>VBL</v>
      </c>
      <c r="N292" s="24" t="str">
        <f t="shared" si="58"/>
        <v>BA</v>
      </c>
      <c r="O292" s="29" t="str">
        <f>IF(ISERROR(IF(VLOOKUP($N292,CODE!$K:$P,CODE!$O$1,FALSE)="",$M292,$M292&amp;"-"&amp;VLOOKUP($N292,CODE!$K:$P,CODE!$O$1,FALSE)))=TRUE,"",IF(VLOOKUP($N292,CODE!$K:$P,CODE!$O$1,FALSE)="",$M292,$M292&amp;"-"&amp;VLOOKUP($N292,CODE!$K:$P,CODE!$O$1,FALSE)))</f>
        <v>VBL</v>
      </c>
      <c r="P292" s="29" t="str">
        <f t="shared" si="59"/>
        <v>VBLBAE3812</v>
      </c>
      <c r="Q292" s="1" t="s">
        <v>1084</v>
      </c>
      <c r="R292" s="1" t="s">
        <v>14</v>
      </c>
      <c r="S292" s="26">
        <v>500</v>
      </c>
      <c r="T292" s="26">
        <v>26500000</v>
      </c>
      <c r="U292" s="26">
        <v>2568640.0000000005</v>
      </c>
      <c r="V292" s="26">
        <v>9.3788577188352917</v>
      </c>
      <c r="W292" s="26">
        <v>0</v>
      </c>
      <c r="X292" s="26">
        <v>500</v>
      </c>
    </row>
    <row r="293" spans="1:24">
      <c r="A293" s="24" t="str">
        <f t="shared" si="52"/>
        <v>신규</v>
      </c>
      <c r="B293" s="24" t="str">
        <f>IF(COUNTIF(Q$1:Q292,Q293)=0,"최초","리오더")</f>
        <v>최초</v>
      </c>
      <c r="C293" s="24" t="str">
        <f t="shared" si="53"/>
        <v>VBLBAE3313</v>
      </c>
      <c r="D293" s="24">
        <f t="shared" si="48"/>
        <v>1</v>
      </c>
      <c r="E293" s="24" t="str">
        <f t="shared" si="54"/>
        <v/>
      </c>
      <c r="F293" s="24">
        <f t="shared" si="49"/>
        <v>0</v>
      </c>
      <c r="G293" s="24" t="str">
        <f t="shared" si="55"/>
        <v>VBLBAE3313BL</v>
      </c>
      <c r="H293" s="24">
        <f t="shared" si="50"/>
        <v>1</v>
      </c>
      <c r="I293" s="24" t="str">
        <f t="shared" si="56"/>
        <v/>
      </c>
      <c r="J293" s="24">
        <f t="shared" si="51"/>
        <v>0</v>
      </c>
      <c r="K293" s="24" t="str">
        <f t="shared" si="57"/>
        <v>E3</v>
      </c>
      <c r="L293" s="24" t="str">
        <f>VLOOKUP(N293,CODE!K:P,CODE!$P$1,FALSE)</f>
        <v>모자</v>
      </c>
      <c r="M293" s="24" t="str">
        <f>VLOOKUP(MID(Q293,1,3),CODE!$B:$G,CODE!D$1,FALSE)</f>
        <v>VBL</v>
      </c>
      <c r="N293" s="24" t="str">
        <f t="shared" si="58"/>
        <v>BA</v>
      </c>
      <c r="O293" s="29" t="str">
        <f>IF(ISERROR(IF(VLOOKUP($N293,CODE!$K:$P,CODE!$O$1,FALSE)="",$M293,$M293&amp;"-"&amp;VLOOKUP($N293,CODE!$K:$P,CODE!$O$1,FALSE)))=TRUE,"",IF(VLOOKUP($N293,CODE!$K:$P,CODE!$O$1,FALSE)="",$M293,$M293&amp;"-"&amp;VLOOKUP($N293,CODE!$K:$P,CODE!$O$1,FALSE)))</f>
        <v>VBL</v>
      </c>
      <c r="P293" s="29" t="str">
        <f t="shared" si="59"/>
        <v>VBLBAE3313</v>
      </c>
      <c r="Q293" s="1" t="s">
        <v>1085</v>
      </c>
      <c r="R293" s="1" t="s">
        <v>14</v>
      </c>
      <c r="S293" s="26">
        <v>700</v>
      </c>
      <c r="T293" s="26">
        <v>41300000</v>
      </c>
      <c r="U293" s="26">
        <v>3807271.0000000005</v>
      </c>
      <c r="V293" s="26">
        <v>9.861513547487041</v>
      </c>
      <c r="W293" s="26">
        <v>0</v>
      </c>
      <c r="X293" s="26">
        <v>700</v>
      </c>
    </row>
    <row r="294" spans="1:24">
      <c r="A294" s="24" t="str">
        <f t="shared" si="52"/>
        <v>신규</v>
      </c>
      <c r="B294" s="24" t="str">
        <f>IF(COUNTIF(Q$1:Q293,Q294)=0,"최초","리오더")</f>
        <v>최초</v>
      </c>
      <c r="C294" s="24" t="str">
        <f t="shared" si="53"/>
        <v>VBLBAE3813</v>
      </c>
      <c r="D294" s="24">
        <f t="shared" si="48"/>
        <v>1</v>
      </c>
      <c r="E294" s="24" t="str">
        <f t="shared" si="54"/>
        <v/>
      </c>
      <c r="F294" s="24">
        <f t="shared" si="49"/>
        <v>0</v>
      </c>
      <c r="G294" s="24" t="str">
        <f t="shared" si="55"/>
        <v>VBLBAE3813BL</v>
      </c>
      <c r="H294" s="24">
        <f t="shared" si="50"/>
        <v>1</v>
      </c>
      <c r="I294" s="24" t="str">
        <f t="shared" si="56"/>
        <v/>
      </c>
      <c r="J294" s="24">
        <f t="shared" si="51"/>
        <v>0</v>
      </c>
      <c r="K294" s="24" t="str">
        <f t="shared" si="57"/>
        <v>E3</v>
      </c>
      <c r="L294" s="24" t="str">
        <f>VLOOKUP(N294,CODE!K:P,CODE!$P$1,FALSE)</f>
        <v>모자</v>
      </c>
      <c r="M294" s="24" t="str">
        <f>VLOOKUP(MID(Q294,1,3),CODE!$B:$G,CODE!D$1,FALSE)</f>
        <v>VBL</v>
      </c>
      <c r="N294" s="24" t="str">
        <f t="shared" si="58"/>
        <v>BA</v>
      </c>
      <c r="O294" s="29" t="str">
        <f>IF(ISERROR(IF(VLOOKUP($N294,CODE!$K:$P,CODE!$O$1,FALSE)="",$M294,$M294&amp;"-"&amp;VLOOKUP($N294,CODE!$K:$P,CODE!$O$1,FALSE)))=TRUE,"",IF(VLOOKUP($N294,CODE!$K:$P,CODE!$O$1,FALSE)="",$M294,$M294&amp;"-"&amp;VLOOKUP($N294,CODE!$K:$P,CODE!$O$1,FALSE)))</f>
        <v>VBL</v>
      </c>
      <c r="P294" s="29" t="str">
        <f t="shared" si="59"/>
        <v>VBLBAE3813</v>
      </c>
      <c r="Q294" s="1" t="s">
        <v>1086</v>
      </c>
      <c r="R294" s="1" t="s">
        <v>14</v>
      </c>
      <c r="S294" s="26">
        <v>500</v>
      </c>
      <c r="T294" s="26">
        <v>27500000</v>
      </c>
      <c r="U294" s="26">
        <v>2747365.0000000005</v>
      </c>
      <c r="V294" s="26">
        <v>9.0996281891921864</v>
      </c>
      <c r="W294" s="26">
        <v>0</v>
      </c>
      <c r="X294" s="26">
        <v>500</v>
      </c>
    </row>
    <row r="295" spans="1:24">
      <c r="A295" s="24" t="str">
        <f t="shared" si="52"/>
        <v>신규</v>
      </c>
      <c r="B295" s="24" t="str">
        <f>IF(COUNTIF(Q$1:Q294,Q295)=0,"최초","리오더")</f>
        <v>최초</v>
      </c>
      <c r="C295" s="24" t="str">
        <f t="shared" si="53"/>
        <v>VBLBAE3305</v>
      </c>
      <c r="D295" s="24">
        <f t="shared" si="48"/>
        <v>1</v>
      </c>
      <c r="E295" s="24" t="str">
        <f t="shared" si="54"/>
        <v/>
      </c>
      <c r="F295" s="24">
        <f t="shared" si="49"/>
        <v>0</v>
      </c>
      <c r="G295" s="24" t="str">
        <f t="shared" si="55"/>
        <v>VBLBAE3305GY</v>
      </c>
      <c r="H295" s="24">
        <f t="shared" si="50"/>
        <v>1</v>
      </c>
      <c r="I295" s="24" t="str">
        <f t="shared" si="56"/>
        <v/>
      </c>
      <c r="J295" s="24">
        <f t="shared" si="51"/>
        <v>0</v>
      </c>
      <c r="K295" s="24" t="str">
        <f t="shared" si="57"/>
        <v>E3</v>
      </c>
      <c r="L295" s="24" t="str">
        <f>VLOOKUP(N295,CODE!K:P,CODE!$P$1,FALSE)</f>
        <v>모자</v>
      </c>
      <c r="M295" s="24" t="str">
        <f>VLOOKUP(MID(Q295,1,3),CODE!$B:$G,CODE!D$1,FALSE)</f>
        <v>VBL</v>
      </c>
      <c r="N295" s="24" t="str">
        <f t="shared" si="58"/>
        <v>BA</v>
      </c>
      <c r="O295" s="29" t="str">
        <f>IF(ISERROR(IF(VLOOKUP($N295,CODE!$K:$P,CODE!$O$1,FALSE)="",$M295,$M295&amp;"-"&amp;VLOOKUP($N295,CODE!$K:$P,CODE!$O$1,FALSE)))=TRUE,"",IF(VLOOKUP($N295,CODE!$K:$P,CODE!$O$1,FALSE)="",$M295,$M295&amp;"-"&amp;VLOOKUP($N295,CODE!$K:$P,CODE!$O$1,FALSE)))</f>
        <v>VBL</v>
      </c>
      <c r="P295" s="29" t="str">
        <f t="shared" si="59"/>
        <v>VBLBAE3305</v>
      </c>
      <c r="Q295" s="1" t="s">
        <v>1087</v>
      </c>
      <c r="R295" s="1" t="s">
        <v>14</v>
      </c>
      <c r="S295" s="26">
        <v>700</v>
      </c>
      <c r="T295" s="26">
        <v>38500000</v>
      </c>
      <c r="U295" s="26">
        <v>3994425</v>
      </c>
      <c r="V295" s="26">
        <v>8.7622123334397308</v>
      </c>
      <c r="W295" s="26">
        <v>0</v>
      </c>
      <c r="X295" s="26">
        <v>700</v>
      </c>
    </row>
    <row r="296" spans="1:24">
      <c r="A296" s="24" t="str">
        <f t="shared" si="52"/>
        <v>신규</v>
      </c>
      <c r="B296" s="24" t="str">
        <f>IF(COUNTIF(Q$1:Q295,Q296)=0,"최초","리오더")</f>
        <v>최초</v>
      </c>
      <c r="C296" s="24" t="str">
        <f t="shared" si="53"/>
        <v>VBLBAE3307</v>
      </c>
      <c r="D296" s="24">
        <f t="shared" si="48"/>
        <v>1</v>
      </c>
      <c r="E296" s="24" t="str">
        <f t="shared" si="54"/>
        <v/>
      </c>
      <c r="F296" s="24">
        <f t="shared" si="49"/>
        <v>0</v>
      </c>
      <c r="G296" s="24" t="str">
        <f t="shared" si="55"/>
        <v>VBLBAE3307OR</v>
      </c>
      <c r="H296" s="24">
        <f t="shared" si="50"/>
        <v>1</v>
      </c>
      <c r="I296" s="24" t="str">
        <f t="shared" si="56"/>
        <v/>
      </c>
      <c r="J296" s="24">
        <f t="shared" si="51"/>
        <v>0</v>
      </c>
      <c r="K296" s="24" t="str">
        <f t="shared" si="57"/>
        <v>E3</v>
      </c>
      <c r="L296" s="24" t="str">
        <f>VLOOKUP(N296,CODE!K:P,CODE!$P$1,FALSE)</f>
        <v>모자</v>
      </c>
      <c r="M296" s="24" t="str">
        <f>VLOOKUP(MID(Q296,1,3),CODE!$B:$G,CODE!D$1,FALSE)</f>
        <v>VBL</v>
      </c>
      <c r="N296" s="24" t="str">
        <f t="shared" si="58"/>
        <v>BA</v>
      </c>
      <c r="O296" s="29" t="str">
        <f>IF(ISERROR(IF(VLOOKUP($N296,CODE!$K:$P,CODE!$O$1,FALSE)="",$M296,$M296&amp;"-"&amp;VLOOKUP($N296,CODE!$K:$P,CODE!$O$1,FALSE)))=TRUE,"",IF(VLOOKUP($N296,CODE!$K:$P,CODE!$O$1,FALSE)="",$M296,$M296&amp;"-"&amp;VLOOKUP($N296,CODE!$K:$P,CODE!$O$1,FALSE)))</f>
        <v>VBL</v>
      </c>
      <c r="P296" s="29" t="str">
        <f t="shared" si="59"/>
        <v>VBLBAE3307</v>
      </c>
      <c r="Q296" s="1" t="s">
        <v>1088</v>
      </c>
      <c r="R296" s="1" t="s">
        <v>14</v>
      </c>
      <c r="S296" s="26">
        <v>500</v>
      </c>
      <c r="T296" s="26">
        <v>24500000</v>
      </c>
      <c r="U296" s="26">
        <v>2406915</v>
      </c>
      <c r="V296" s="26">
        <v>9.2536409772373656</v>
      </c>
      <c r="W296" s="26">
        <v>0</v>
      </c>
      <c r="X296" s="26">
        <v>500</v>
      </c>
    </row>
    <row r="297" spans="1:24">
      <c r="A297" s="24" t="str">
        <f t="shared" si="52"/>
        <v>신규</v>
      </c>
      <c r="B297" s="24" t="str">
        <f>IF(COUNTIF(Q$1:Q296,Q297)=0,"최초","리오더")</f>
        <v>최초</v>
      </c>
      <c r="C297" s="24" t="str">
        <f t="shared" si="53"/>
        <v>VBLBAE3308</v>
      </c>
      <c r="D297" s="24">
        <f t="shared" si="48"/>
        <v>1</v>
      </c>
      <c r="E297" s="24" t="str">
        <f t="shared" si="54"/>
        <v/>
      </c>
      <c r="F297" s="24">
        <f t="shared" si="49"/>
        <v>0</v>
      </c>
      <c r="G297" s="24" t="str">
        <f t="shared" si="55"/>
        <v>VBLBAE3308OR</v>
      </c>
      <c r="H297" s="24">
        <f t="shared" si="50"/>
        <v>1</v>
      </c>
      <c r="I297" s="24" t="str">
        <f t="shared" si="56"/>
        <v/>
      </c>
      <c r="J297" s="24">
        <f t="shared" si="51"/>
        <v>0</v>
      </c>
      <c r="K297" s="24" t="str">
        <f t="shared" si="57"/>
        <v>E3</v>
      </c>
      <c r="L297" s="24" t="str">
        <f>VLOOKUP(N297,CODE!K:P,CODE!$P$1,FALSE)</f>
        <v>모자</v>
      </c>
      <c r="M297" s="24" t="str">
        <f>VLOOKUP(MID(Q297,1,3),CODE!$B:$G,CODE!D$1,FALSE)</f>
        <v>VBL</v>
      </c>
      <c r="N297" s="24" t="str">
        <f t="shared" si="58"/>
        <v>BA</v>
      </c>
      <c r="O297" s="29" t="str">
        <f>IF(ISERROR(IF(VLOOKUP($N297,CODE!$K:$P,CODE!$O$1,FALSE)="",$M297,$M297&amp;"-"&amp;VLOOKUP($N297,CODE!$K:$P,CODE!$O$1,FALSE)))=TRUE,"",IF(VLOOKUP($N297,CODE!$K:$P,CODE!$O$1,FALSE)="",$M297,$M297&amp;"-"&amp;VLOOKUP($N297,CODE!$K:$P,CODE!$O$1,FALSE)))</f>
        <v>VBL</v>
      </c>
      <c r="P297" s="29" t="str">
        <f t="shared" si="59"/>
        <v>VBLBAE3308</v>
      </c>
      <c r="Q297" s="1" t="s">
        <v>1089</v>
      </c>
      <c r="R297" s="1" t="s">
        <v>14</v>
      </c>
      <c r="S297" s="26">
        <v>700</v>
      </c>
      <c r="T297" s="26">
        <v>38500000</v>
      </c>
      <c r="U297" s="26">
        <v>3237022</v>
      </c>
      <c r="V297" s="26">
        <v>10.812407206376724</v>
      </c>
      <c r="W297" s="26">
        <v>0</v>
      </c>
      <c r="X297" s="26">
        <v>700</v>
      </c>
    </row>
    <row r="298" spans="1:24">
      <c r="A298" s="24" t="str">
        <f t="shared" si="52"/>
        <v>신규</v>
      </c>
      <c r="B298" s="24" t="str">
        <f>IF(COUNTIF(Q$1:Q297,Q298)=0,"최초","리오더")</f>
        <v>최초</v>
      </c>
      <c r="C298" s="24" t="str">
        <f t="shared" si="53"/>
        <v>VBLERE5314</v>
      </c>
      <c r="D298" s="24">
        <f t="shared" si="48"/>
        <v>1</v>
      </c>
      <c r="E298" s="24" t="str">
        <f t="shared" si="54"/>
        <v/>
      </c>
      <c r="F298" s="24">
        <f t="shared" si="49"/>
        <v>0</v>
      </c>
      <c r="G298" s="24" t="str">
        <f t="shared" si="55"/>
        <v>VBLERE5314BK</v>
      </c>
      <c r="H298" s="24">
        <f t="shared" si="50"/>
        <v>1</v>
      </c>
      <c r="I298" s="24" t="str">
        <f t="shared" si="56"/>
        <v/>
      </c>
      <c r="J298" s="24">
        <f t="shared" si="51"/>
        <v>0</v>
      </c>
      <c r="K298" s="24" t="str">
        <f t="shared" si="57"/>
        <v>E5</v>
      </c>
      <c r="L298" s="24" t="str">
        <f>VLOOKUP(N298,CODE!K:P,CODE!$P$1,FALSE)</f>
        <v>모자</v>
      </c>
      <c r="M298" s="24" t="str">
        <f>VLOOKUP(MID(Q298,1,3),CODE!$B:$G,CODE!D$1,FALSE)</f>
        <v>VBL</v>
      </c>
      <c r="N298" s="24" t="str">
        <f t="shared" si="58"/>
        <v>ER</v>
      </c>
      <c r="O298" s="29" t="str">
        <f>IF(ISERROR(IF(VLOOKUP($N298,CODE!$K:$P,CODE!$O$1,FALSE)="",$M298,$M298&amp;"-"&amp;VLOOKUP($N298,CODE!$K:$P,CODE!$O$1,FALSE)))=TRUE,"",IF(VLOOKUP($N298,CODE!$K:$P,CODE!$O$1,FALSE)="",$M298,$M298&amp;"-"&amp;VLOOKUP($N298,CODE!$K:$P,CODE!$O$1,FALSE)))</f>
        <v>VBL</v>
      </c>
      <c r="P298" s="29" t="str">
        <f t="shared" si="59"/>
        <v>VBLERE5314</v>
      </c>
      <c r="Q298" s="1" t="s">
        <v>1090</v>
      </c>
      <c r="R298" s="1" t="s">
        <v>14</v>
      </c>
      <c r="S298" s="26">
        <v>450</v>
      </c>
      <c r="T298" s="26">
        <v>26550000</v>
      </c>
      <c r="U298" s="26">
        <v>2441556</v>
      </c>
      <c r="V298" s="26">
        <v>9.885648183520523</v>
      </c>
      <c r="W298" s="26">
        <v>0</v>
      </c>
      <c r="X298" s="26">
        <v>450</v>
      </c>
    </row>
    <row r="299" spans="1:24">
      <c r="A299" s="24" t="str">
        <f t="shared" si="52"/>
        <v>신규</v>
      </c>
      <c r="B299" s="24" t="str">
        <f>IF(COUNTIF(Q$1:Q298,Q299)=0,"최초","리오더")</f>
        <v>최초</v>
      </c>
      <c r="C299" s="24" t="str">
        <f t="shared" si="53"/>
        <v>VBLERE5814</v>
      </c>
      <c r="D299" s="24">
        <f t="shared" si="48"/>
        <v>1</v>
      </c>
      <c r="E299" s="24" t="str">
        <f t="shared" si="54"/>
        <v/>
      </c>
      <c r="F299" s="24">
        <f t="shared" si="49"/>
        <v>0</v>
      </c>
      <c r="G299" s="24" t="str">
        <f t="shared" si="55"/>
        <v>VBLERE5814BK</v>
      </c>
      <c r="H299" s="24">
        <f t="shared" si="50"/>
        <v>1</v>
      </c>
      <c r="I299" s="24" t="str">
        <f t="shared" si="56"/>
        <v/>
      </c>
      <c r="J299" s="24">
        <f t="shared" si="51"/>
        <v>0</v>
      </c>
      <c r="K299" s="24" t="str">
        <f t="shared" si="57"/>
        <v>E5</v>
      </c>
      <c r="L299" s="24" t="str">
        <f>VLOOKUP(N299,CODE!K:P,CODE!$P$1,FALSE)</f>
        <v>모자</v>
      </c>
      <c r="M299" s="24" t="str">
        <f>VLOOKUP(MID(Q299,1,3),CODE!$B:$G,CODE!D$1,FALSE)</f>
        <v>VBL</v>
      </c>
      <c r="N299" s="24" t="str">
        <f t="shared" si="58"/>
        <v>ER</v>
      </c>
      <c r="O299" s="29" t="str">
        <f>IF(ISERROR(IF(VLOOKUP($N299,CODE!$K:$P,CODE!$O$1,FALSE)="",$M299,$M299&amp;"-"&amp;VLOOKUP($N299,CODE!$K:$P,CODE!$O$1,FALSE)))=TRUE,"",IF(VLOOKUP($N299,CODE!$K:$P,CODE!$O$1,FALSE)="",$M299,$M299&amp;"-"&amp;VLOOKUP($N299,CODE!$K:$P,CODE!$O$1,FALSE)))</f>
        <v>VBL</v>
      </c>
      <c r="P299" s="29" t="str">
        <f t="shared" si="59"/>
        <v>VBLERE5814</v>
      </c>
      <c r="Q299" s="1" t="s">
        <v>1091</v>
      </c>
      <c r="R299" s="1" t="s">
        <v>14</v>
      </c>
      <c r="S299" s="26">
        <v>400</v>
      </c>
      <c r="T299" s="26">
        <v>22000000</v>
      </c>
      <c r="U299" s="26">
        <v>2170272</v>
      </c>
      <c r="V299" s="26">
        <v>9.2154347473496401</v>
      </c>
      <c r="W299" s="26">
        <v>0</v>
      </c>
      <c r="X299" s="26">
        <v>400</v>
      </c>
    </row>
    <row r="300" spans="1:24">
      <c r="A300" s="24" t="str">
        <f t="shared" si="52"/>
        <v>신규</v>
      </c>
      <c r="B300" s="24" t="str">
        <f>IF(COUNTIF(Q$1:Q299,Q300)=0,"최초","리오더")</f>
        <v>최초</v>
      </c>
      <c r="C300" s="24" t="str">
        <f t="shared" si="53"/>
        <v>VBLERE5315</v>
      </c>
      <c r="D300" s="24">
        <f t="shared" si="48"/>
        <v>0.5</v>
      </c>
      <c r="E300" s="24" t="str">
        <f t="shared" si="54"/>
        <v/>
      </c>
      <c r="F300" s="24">
        <f t="shared" si="49"/>
        <v>0</v>
      </c>
      <c r="G300" s="24" t="str">
        <f t="shared" si="55"/>
        <v>VBLERE5315GY</v>
      </c>
      <c r="H300" s="24">
        <f t="shared" si="50"/>
        <v>0.5</v>
      </c>
      <c r="I300" s="24" t="str">
        <f t="shared" si="56"/>
        <v/>
      </c>
      <c r="J300" s="24">
        <f t="shared" si="51"/>
        <v>0</v>
      </c>
      <c r="K300" s="24" t="str">
        <f t="shared" si="57"/>
        <v>E5</v>
      </c>
      <c r="L300" s="24" t="str">
        <f>VLOOKUP(N300,CODE!K:P,CODE!$P$1,FALSE)</f>
        <v>모자</v>
      </c>
      <c r="M300" s="24" t="str">
        <f>VLOOKUP(MID(Q300,1,3),CODE!$B:$G,CODE!D$1,FALSE)</f>
        <v>VBL</v>
      </c>
      <c r="N300" s="24" t="str">
        <f t="shared" si="58"/>
        <v>ER</v>
      </c>
      <c r="O300" s="29" t="str">
        <f>IF(ISERROR(IF(VLOOKUP($N300,CODE!$K:$P,CODE!$O$1,FALSE)="",$M300,$M300&amp;"-"&amp;VLOOKUP($N300,CODE!$K:$P,CODE!$O$1,FALSE)))=TRUE,"",IF(VLOOKUP($N300,CODE!$K:$P,CODE!$O$1,FALSE)="",$M300,$M300&amp;"-"&amp;VLOOKUP($N300,CODE!$K:$P,CODE!$O$1,FALSE)))</f>
        <v>VBL</v>
      </c>
      <c r="P300" s="29" t="str">
        <f t="shared" si="59"/>
        <v>VBLERE5315</v>
      </c>
      <c r="Q300" s="1" t="s">
        <v>1092</v>
      </c>
      <c r="R300" s="1" t="s">
        <v>14</v>
      </c>
      <c r="S300" s="26">
        <v>700</v>
      </c>
      <c r="T300" s="26">
        <v>45500000</v>
      </c>
      <c r="U300" s="26">
        <v>4147276</v>
      </c>
      <c r="V300" s="26">
        <v>9.9736878769670394</v>
      </c>
      <c r="W300" s="26">
        <v>0</v>
      </c>
      <c r="X300" s="26">
        <v>700</v>
      </c>
    </row>
    <row r="301" spans="1:24">
      <c r="A301" s="24" t="str">
        <f t="shared" si="52"/>
        <v>신규</v>
      </c>
      <c r="B301" s="24" t="str">
        <f>IF(COUNTIF(Q$1:Q300,Q301)=0,"최초","리오더")</f>
        <v>최초</v>
      </c>
      <c r="C301" s="24" t="str">
        <f t="shared" si="53"/>
        <v>JILMIE5317</v>
      </c>
      <c r="D301" s="24">
        <f t="shared" si="48"/>
        <v>0.33333333333333331</v>
      </c>
      <c r="E301" s="24" t="str">
        <f t="shared" si="54"/>
        <v/>
      </c>
      <c r="F301" s="24">
        <f t="shared" si="49"/>
        <v>0</v>
      </c>
      <c r="G301" s="24" t="str">
        <f t="shared" si="55"/>
        <v>JILMIE5317BL</v>
      </c>
      <c r="H301" s="24">
        <f t="shared" si="50"/>
        <v>1</v>
      </c>
      <c r="I301" s="24" t="str">
        <f t="shared" si="56"/>
        <v/>
      </c>
      <c r="J301" s="24">
        <f t="shared" si="51"/>
        <v>0</v>
      </c>
      <c r="K301" s="24" t="str">
        <f t="shared" si="57"/>
        <v>E5</v>
      </c>
      <c r="L301" s="24" t="str">
        <f>VLOOKUP(N301,CODE!K:P,CODE!$P$1,FALSE)</f>
        <v>모자</v>
      </c>
      <c r="M301" s="24" t="str">
        <f>VLOOKUP(MID(Q301,1,3),CODE!$B:$G,CODE!D$1,FALSE)</f>
        <v>JIL</v>
      </c>
      <c r="N301" s="24" t="str">
        <f t="shared" si="58"/>
        <v>MI</v>
      </c>
      <c r="O301" s="29" t="str">
        <f>IF(ISERROR(IF(VLOOKUP($N301,CODE!$K:$P,CODE!$O$1,FALSE)="",$M301,$M301&amp;"-"&amp;VLOOKUP($N301,CODE!$K:$P,CODE!$O$1,FALSE)))=TRUE,"",IF(VLOOKUP($N301,CODE!$K:$P,CODE!$O$1,FALSE)="",$M301,$M301&amp;"-"&amp;VLOOKUP($N301,CODE!$K:$P,CODE!$O$1,FALSE)))</f>
        <v>JIL</v>
      </c>
      <c r="P301" s="29" t="str">
        <f t="shared" si="59"/>
        <v>JILMIE5317</v>
      </c>
      <c r="Q301" s="1" t="s">
        <v>1093</v>
      </c>
      <c r="R301" s="1" t="s">
        <v>14</v>
      </c>
      <c r="S301" s="26">
        <v>500</v>
      </c>
      <c r="T301" s="26">
        <v>22500000</v>
      </c>
      <c r="U301" s="26">
        <v>3246505</v>
      </c>
      <c r="V301" s="26">
        <v>6.3004817348334443</v>
      </c>
      <c r="W301" s="26">
        <v>0</v>
      </c>
      <c r="X301" s="26">
        <v>500</v>
      </c>
    </row>
    <row r="302" spans="1:24">
      <c r="A302" s="24" t="str">
        <f t="shared" si="52"/>
        <v>신규</v>
      </c>
      <c r="B302" s="24" t="str">
        <f>IF(COUNTIF(Q$1:Q301,Q302)=0,"최초","리오더")</f>
        <v>최초</v>
      </c>
      <c r="C302" s="24" t="str">
        <f t="shared" si="53"/>
        <v>JILMIE5317</v>
      </c>
      <c r="D302" s="24">
        <f t="shared" si="48"/>
        <v>0.33333333333333331</v>
      </c>
      <c r="E302" s="24" t="str">
        <f t="shared" si="54"/>
        <v/>
      </c>
      <c r="F302" s="24">
        <f t="shared" si="49"/>
        <v>0</v>
      </c>
      <c r="G302" s="24" t="str">
        <f t="shared" si="55"/>
        <v>JILMIE5317GY</v>
      </c>
      <c r="H302" s="24">
        <f t="shared" si="50"/>
        <v>1</v>
      </c>
      <c r="I302" s="24" t="str">
        <f t="shared" si="56"/>
        <v/>
      </c>
      <c r="J302" s="24">
        <f t="shared" si="51"/>
        <v>0</v>
      </c>
      <c r="K302" s="24" t="str">
        <f t="shared" si="57"/>
        <v>E5</v>
      </c>
      <c r="L302" s="24" t="str">
        <f>VLOOKUP(N302,CODE!K:P,CODE!$P$1,FALSE)</f>
        <v>모자</v>
      </c>
      <c r="M302" s="24" t="str">
        <f>VLOOKUP(MID(Q302,1,3),CODE!$B:$G,CODE!D$1,FALSE)</f>
        <v>JIL</v>
      </c>
      <c r="N302" s="24" t="str">
        <f t="shared" si="58"/>
        <v>MI</v>
      </c>
      <c r="O302" s="29" t="str">
        <f>IF(ISERROR(IF(VLOOKUP($N302,CODE!$K:$P,CODE!$O$1,FALSE)="",$M302,$M302&amp;"-"&amp;VLOOKUP($N302,CODE!$K:$P,CODE!$O$1,FALSE)))=TRUE,"",IF(VLOOKUP($N302,CODE!$K:$P,CODE!$O$1,FALSE)="",$M302,$M302&amp;"-"&amp;VLOOKUP($N302,CODE!$K:$P,CODE!$O$1,FALSE)))</f>
        <v>JIL</v>
      </c>
      <c r="P302" s="29" t="str">
        <f t="shared" si="59"/>
        <v>JILMIE5317</v>
      </c>
      <c r="Q302" s="1" t="s">
        <v>1094</v>
      </c>
      <c r="R302" s="1" t="s">
        <v>14</v>
      </c>
      <c r="S302" s="26">
        <v>700</v>
      </c>
      <c r="T302" s="26">
        <v>31500000</v>
      </c>
      <c r="U302" s="26">
        <v>4501707</v>
      </c>
      <c r="V302" s="26">
        <v>6.3612233395828817</v>
      </c>
      <c r="W302" s="26">
        <v>0</v>
      </c>
      <c r="X302" s="26">
        <v>700</v>
      </c>
    </row>
    <row r="303" spans="1:24">
      <c r="A303" s="24" t="str">
        <f t="shared" si="52"/>
        <v>신규</v>
      </c>
      <c r="B303" s="24" t="str">
        <f>IF(COUNTIF(Q$1:Q302,Q303)=0,"최초","리오더")</f>
        <v>최초</v>
      </c>
      <c r="C303" s="24" t="str">
        <f t="shared" si="53"/>
        <v>JILMIE5317</v>
      </c>
      <c r="D303" s="24">
        <f t="shared" si="48"/>
        <v>0.33333333333333331</v>
      </c>
      <c r="E303" s="24" t="str">
        <f t="shared" si="54"/>
        <v/>
      </c>
      <c r="F303" s="24">
        <f t="shared" si="49"/>
        <v>0</v>
      </c>
      <c r="G303" s="24" t="str">
        <f t="shared" si="55"/>
        <v>JILMIE5317KH</v>
      </c>
      <c r="H303" s="24">
        <f t="shared" si="50"/>
        <v>1</v>
      </c>
      <c r="I303" s="24" t="str">
        <f t="shared" si="56"/>
        <v/>
      </c>
      <c r="J303" s="24">
        <f t="shared" si="51"/>
        <v>0</v>
      </c>
      <c r="K303" s="24" t="str">
        <f t="shared" si="57"/>
        <v>E5</v>
      </c>
      <c r="L303" s="24" t="str">
        <f>VLOOKUP(N303,CODE!K:P,CODE!$P$1,FALSE)</f>
        <v>모자</v>
      </c>
      <c r="M303" s="24" t="str">
        <f>VLOOKUP(MID(Q303,1,3),CODE!$B:$G,CODE!D$1,FALSE)</f>
        <v>JIL</v>
      </c>
      <c r="N303" s="24" t="str">
        <f t="shared" si="58"/>
        <v>MI</v>
      </c>
      <c r="O303" s="29" t="str">
        <f>IF(ISERROR(IF(VLOOKUP($N303,CODE!$K:$P,CODE!$O$1,FALSE)="",$M303,$M303&amp;"-"&amp;VLOOKUP($N303,CODE!$K:$P,CODE!$O$1,FALSE)))=TRUE,"",IF(VLOOKUP($N303,CODE!$K:$P,CODE!$O$1,FALSE)="",$M303,$M303&amp;"-"&amp;VLOOKUP($N303,CODE!$K:$P,CODE!$O$1,FALSE)))</f>
        <v>JIL</v>
      </c>
      <c r="P303" s="29" t="str">
        <f t="shared" si="59"/>
        <v>JILMIE5317</v>
      </c>
      <c r="Q303" s="1" t="s">
        <v>1095</v>
      </c>
      <c r="R303" s="1" t="s">
        <v>14</v>
      </c>
      <c r="S303" s="26">
        <v>700</v>
      </c>
      <c r="T303" s="26">
        <v>31500000</v>
      </c>
      <c r="U303" s="26">
        <v>4679507</v>
      </c>
      <c r="V303" s="26">
        <v>6.119525761231607</v>
      </c>
      <c r="W303" s="26">
        <v>0</v>
      </c>
      <c r="X303" s="26">
        <v>700</v>
      </c>
    </row>
    <row r="304" spans="1:24">
      <c r="A304" s="24" t="str">
        <f t="shared" si="52"/>
        <v>신규</v>
      </c>
      <c r="B304" s="24" t="str">
        <f>IF(COUNTIF(Q$1:Q303,Q304)=0,"최초","리오더")</f>
        <v>최초</v>
      </c>
      <c r="C304" s="24" t="str">
        <f t="shared" si="53"/>
        <v>JILMIE5318</v>
      </c>
      <c r="D304" s="24">
        <f t="shared" si="48"/>
        <v>1</v>
      </c>
      <c r="E304" s="24" t="str">
        <f t="shared" si="54"/>
        <v/>
      </c>
      <c r="F304" s="24">
        <f t="shared" si="49"/>
        <v>0</v>
      </c>
      <c r="G304" s="24" t="str">
        <f t="shared" si="55"/>
        <v>JILMIE5318KH</v>
      </c>
      <c r="H304" s="24">
        <f t="shared" si="50"/>
        <v>1</v>
      </c>
      <c r="I304" s="24" t="str">
        <f t="shared" si="56"/>
        <v/>
      </c>
      <c r="J304" s="24">
        <f t="shared" si="51"/>
        <v>0</v>
      </c>
      <c r="K304" s="24" t="str">
        <f t="shared" si="57"/>
        <v>E5</v>
      </c>
      <c r="L304" s="24" t="str">
        <f>VLOOKUP(N304,CODE!K:P,CODE!$P$1,FALSE)</f>
        <v>모자</v>
      </c>
      <c r="M304" s="24" t="str">
        <f>VLOOKUP(MID(Q304,1,3),CODE!$B:$G,CODE!D$1,FALSE)</f>
        <v>JIL</v>
      </c>
      <c r="N304" s="24" t="str">
        <f t="shared" si="58"/>
        <v>MI</v>
      </c>
      <c r="O304" s="29" t="str">
        <f>IF(ISERROR(IF(VLOOKUP($N304,CODE!$K:$P,CODE!$O$1,FALSE)="",$M304,$M304&amp;"-"&amp;VLOOKUP($N304,CODE!$K:$P,CODE!$O$1,FALSE)))=TRUE,"",IF(VLOOKUP($N304,CODE!$K:$P,CODE!$O$1,FALSE)="",$M304,$M304&amp;"-"&amp;VLOOKUP($N304,CODE!$K:$P,CODE!$O$1,FALSE)))</f>
        <v>JIL</v>
      </c>
      <c r="P304" s="29" t="str">
        <f t="shared" si="59"/>
        <v>JILMIE5318</v>
      </c>
      <c r="Q304" s="1" t="s">
        <v>1096</v>
      </c>
      <c r="R304" s="1" t="s">
        <v>14</v>
      </c>
      <c r="S304" s="26">
        <v>500</v>
      </c>
      <c r="T304" s="26">
        <v>19500000</v>
      </c>
      <c r="U304" s="26">
        <v>2876450.0000000005</v>
      </c>
      <c r="V304" s="26">
        <v>6.1628996600923784</v>
      </c>
      <c r="W304" s="26">
        <v>0</v>
      </c>
      <c r="X304" s="26">
        <v>500</v>
      </c>
    </row>
    <row r="305" spans="1:24">
      <c r="A305" s="24" t="str">
        <f t="shared" si="52"/>
        <v>신규</v>
      </c>
      <c r="B305" s="24" t="str">
        <f>IF(COUNTIF(Q$1:Q304,Q305)=0,"최초","리오더")</f>
        <v>최초</v>
      </c>
      <c r="C305" s="24" t="str">
        <f t="shared" si="53"/>
        <v>JILMIE5319</v>
      </c>
      <c r="D305" s="24">
        <f t="shared" si="48"/>
        <v>1</v>
      </c>
      <c r="E305" s="24" t="str">
        <f t="shared" si="54"/>
        <v/>
      </c>
      <c r="F305" s="24">
        <f t="shared" si="49"/>
        <v>0</v>
      </c>
      <c r="G305" s="24" t="str">
        <f t="shared" si="55"/>
        <v>JILMIE5319GY</v>
      </c>
      <c r="H305" s="24">
        <f t="shared" si="50"/>
        <v>1</v>
      </c>
      <c r="I305" s="24" t="str">
        <f t="shared" si="56"/>
        <v/>
      </c>
      <c r="J305" s="24">
        <f t="shared" si="51"/>
        <v>0</v>
      </c>
      <c r="K305" s="24" t="str">
        <f t="shared" si="57"/>
        <v>E5</v>
      </c>
      <c r="L305" s="24" t="str">
        <f>VLOOKUP(N305,CODE!K:P,CODE!$P$1,FALSE)</f>
        <v>모자</v>
      </c>
      <c r="M305" s="24" t="str">
        <f>VLOOKUP(MID(Q305,1,3),CODE!$B:$G,CODE!D$1,FALSE)</f>
        <v>JIL</v>
      </c>
      <c r="N305" s="24" t="str">
        <f t="shared" si="58"/>
        <v>MI</v>
      </c>
      <c r="O305" s="29" t="str">
        <f>IF(ISERROR(IF(VLOOKUP($N305,CODE!$K:$P,CODE!$O$1,FALSE)="",$M305,$M305&amp;"-"&amp;VLOOKUP($N305,CODE!$K:$P,CODE!$O$1,FALSE)))=TRUE,"",IF(VLOOKUP($N305,CODE!$K:$P,CODE!$O$1,FALSE)="",$M305,$M305&amp;"-"&amp;VLOOKUP($N305,CODE!$K:$P,CODE!$O$1,FALSE)))</f>
        <v>JIL</v>
      </c>
      <c r="P305" s="29" t="str">
        <f t="shared" si="59"/>
        <v>JILMIE5319</v>
      </c>
      <c r="Q305" s="1" t="s">
        <v>1097</v>
      </c>
      <c r="R305" s="1" t="s">
        <v>14</v>
      </c>
      <c r="S305" s="26">
        <v>500</v>
      </c>
      <c r="T305" s="26">
        <v>19500000</v>
      </c>
      <c r="U305" s="26">
        <v>2767745.0000000005</v>
      </c>
      <c r="V305" s="26">
        <v>6.4049515859563373</v>
      </c>
      <c r="W305" s="26">
        <v>0</v>
      </c>
      <c r="X305" s="26">
        <v>500</v>
      </c>
    </row>
    <row r="306" spans="1:24">
      <c r="A306" s="24" t="str">
        <f t="shared" si="52"/>
        <v>신규</v>
      </c>
      <c r="B306" s="24" t="str">
        <f>IF(COUNTIF(Q$1:Q305,Q306)=0,"최초","리오더")</f>
        <v>최초</v>
      </c>
      <c r="C306" s="24" t="str">
        <f t="shared" si="53"/>
        <v>JILMIE3320</v>
      </c>
      <c r="D306" s="24">
        <f t="shared" si="48"/>
        <v>1</v>
      </c>
      <c r="E306" s="24" t="str">
        <f t="shared" si="54"/>
        <v/>
      </c>
      <c r="F306" s="24">
        <f t="shared" si="49"/>
        <v>0</v>
      </c>
      <c r="G306" s="24" t="str">
        <f t="shared" si="55"/>
        <v>JILMIE3320BK</v>
      </c>
      <c r="H306" s="24">
        <f t="shared" si="50"/>
        <v>1</v>
      </c>
      <c r="I306" s="24" t="str">
        <f t="shared" si="56"/>
        <v/>
      </c>
      <c r="J306" s="24">
        <f t="shared" si="51"/>
        <v>0</v>
      </c>
      <c r="K306" s="24" t="str">
        <f t="shared" si="57"/>
        <v>E3</v>
      </c>
      <c r="L306" s="24" t="str">
        <f>VLOOKUP(N306,CODE!K:P,CODE!$P$1,FALSE)</f>
        <v>모자</v>
      </c>
      <c r="M306" s="24" t="str">
        <f>VLOOKUP(MID(Q306,1,3),CODE!$B:$G,CODE!D$1,FALSE)</f>
        <v>JIL</v>
      </c>
      <c r="N306" s="24" t="str">
        <f t="shared" si="58"/>
        <v>MI</v>
      </c>
      <c r="O306" s="29" t="str">
        <f>IF(ISERROR(IF(VLOOKUP($N306,CODE!$K:$P,CODE!$O$1,FALSE)="",$M306,$M306&amp;"-"&amp;VLOOKUP($N306,CODE!$K:$P,CODE!$O$1,FALSE)))=TRUE,"",IF(VLOOKUP($N306,CODE!$K:$P,CODE!$O$1,FALSE)="",$M306,$M306&amp;"-"&amp;VLOOKUP($N306,CODE!$K:$P,CODE!$O$1,FALSE)))</f>
        <v>JIL</v>
      </c>
      <c r="P306" s="29" t="str">
        <f t="shared" si="59"/>
        <v>JILMIE3320</v>
      </c>
      <c r="Q306" s="1" t="s">
        <v>1098</v>
      </c>
      <c r="R306" s="1" t="s">
        <v>14</v>
      </c>
      <c r="S306" s="26">
        <v>500</v>
      </c>
      <c r="T306" s="26">
        <v>19500000</v>
      </c>
      <c r="U306" s="26">
        <v>2562820</v>
      </c>
      <c r="V306" s="26">
        <v>6.9170962952032244</v>
      </c>
      <c r="W306" s="26">
        <v>0</v>
      </c>
      <c r="X306" s="26">
        <v>500</v>
      </c>
    </row>
    <row r="307" spans="1:24">
      <c r="A307" s="24" t="str">
        <f t="shared" si="52"/>
        <v>신규</v>
      </c>
      <c r="B307" s="24" t="str">
        <f>IF(COUNTIF(Q$1:Q306,Q307)=0,"최초","리오더")</f>
        <v>최초</v>
      </c>
      <c r="C307" s="24" t="str">
        <f t="shared" si="53"/>
        <v>JILMIE5321</v>
      </c>
      <c r="D307" s="24">
        <f t="shared" si="48"/>
        <v>1</v>
      </c>
      <c r="E307" s="24" t="str">
        <f t="shared" si="54"/>
        <v/>
      </c>
      <c r="F307" s="24">
        <f t="shared" si="49"/>
        <v>0</v>
      </c>
      <c r="G307" s="24" t="str">
        <f t="shared" si="55"/>
        <v>JILMIE5321OR</v>
      </c>
      <c r="H307" s="24">
        <f t="shared" si="50"/>
        <v>1</v>
      </c>
      <c r="I307" s="24" t="str">
        <f t="shared" si="56"/>
        <v/>
      </c>
      <c r="J307" s="24">
        <f t="shared" si="51"/>
        <v>0</v>
      </c>
      <c r="K307" s="24" t="str">
        <f t="shared" si="57"/>
        <v>E5</v>
      </c>
      <c r="L307" s="24" t="str">
        <f>VLOOKUP(N307,CODE!K:P,CODE!$P$1,FALSE)</f>
        <v>모자</v>
      </c>
      <c r="M307" s="24" t="str">
        <f>VLOOKUP(MID(Q307,1,3),CODE!$B:$G,CODE!D$1,FALSE)</f>
        <v>JIL</v>
      </c>
      <c r="N307" s="24" t="str">
        <f t="shared" si="58"/>
        <v>MI</v>
      </c>
      <c r="O307" s="29" t="str">
        <f>IF(ISERROR(IF(VLOOKUP($N307,CODE!$K:$P,CODE!$O$1,FALSE)="",$M307,$M307&amp;"-"&amp;VLOOKUP($N307,CODE!$K:$P,CODE!$O$1,FALSE)))=TRUE,"",IF(VLOOKUP($N307,CODE!$K:$P,CODE!$O$1,FALSE)="",$M307,$M307&amp;"-"&amp;VLOOKUP($N307,CODE!$K:$P,CODE!$O$1,FALSE)))</f>
        <v>JIL</v>
      </c>
      <c r="P307" s="29" t="str">
        <f t="shared" si="59"/>
        <v>JILMIE5321</v>
      </c>
      <c r="Q307" s="1" t="s">
        <v>1099</v>
      </c>
      <c r="R307" s="1" t="s">
        <v>14</v>
      </c>
      <c r="S307" s="26">
        <v>500</v>
      </c>
      <c r="T307" s="26">
        <v>24500000</v>
      </c>
      <c r="U307" s="26">
        <v>3276890.0000000005</v>
      </c>
      <c r="V307" s="26">
        <v>6.7969102633067537</v>
      </c>
      <c r="W307" s="26">
        <v>0</v>
      </c>
      <c r="X307" s="26">
        <v>500</v>
      </c>
    </row>
    <row r="308" spans="1:24">
      <c r="A308" s="24" t="str">
        <f t="shared" si="52"/>
        <v>신규</v>
      </c>
      <c r="B308" s="24" t="str">
        <f>IF(COUNTIF(Q$1:Q307,Q308)=0,"최초","리오더")</f>
        <v>최초</v>
      </c>
      <c r="C308" s="24" t="str">
        <f t="shared" si="53"/>
        <v>JILMIE3322</v>
      </c>
      <c r="D308" s="24">
        <f t="shared" si="48"/>
        <v>1</v>
      </c>
      <c r="E308" s="24" t="str">
        <f t="shared" si="54"/>
        <v/>
      </c>
      <c r="F308" s="24">
        <f t="shared" si="49"/>
        <v>0</v>
      </c>
      <c r="G308" s="24" t="str">
        <f t="shared" si="55"/>
        <v>JILMIE3322OR</v>
      </c>
      <c r="H308" s="24">
        <f t="shared" si="50"/>
        <v>1</v>
      </c>
      <c r="I308" s="24" t="str">
        <f t="shared" si="56"/>
        <v/>
      </c>
      <c r="J308" s="24">
        <f t="shared" si="51"/>
        <v>0</v>
      </c>
      <c r="K308" s="24" t="str">
        <f t="shared" si="57"/>
        <v>E3</v>
      </c>
      <c r="L308" s="24" t="str">
        <f>VLOOKUP(N308,CODE!K:P,CODE!$P$1,FALSE)</f>
        <v>모자</v>
      </c>
      <c r="M308" s="24" t="str">
        <f>VLOOKUP(MID(Q308,1,3),CODE!$B:$G,CODE!D$1,FALSE)</f>
        <v>JIL</v>
      </c>
      <c r="N308" s="24" t="str">
        <f t="shared" si="58"/>
        <v>MI</v>
      </c>
      <c r="O308" s="29" t="str">
        <f>IF(ISERROR(IF(VLOOKUP($N308,CODE!$K:$P,CODE!$O$1,FALSE)="",$M308,$M308&amp;"-"&amp;VLOOKUP($N308,CODE!$K:$P,CODE!$O$1,FALSE)))=TRUE,"",IF(VLOOKUP($N308,CODE!$K:$P,CODE!$O$1,FALSE)="",$M308,$M308&amp;"-"&amp;VLOOKUP($N308,CODE!$K:$P,CODE!$O$1,FALSE)))</f>
        <v>JIL</v>
      </c>
      <c r="P308" s="29" t="str">
        <f t="shared" si="59"/>
        <v>JILMIE3322</v>
      </c>
      <c r="Q308" s="1" t="s">
        <v>1100</v>
      </c>
      <c r="R308" s="1" t="s">
        <v>14</v>
      </c>
      <c r="S308" s="26">
        <v>400</v>
      </c>
      <c r="T308" s="26">
        <v>18000000</v>
      </c>
      <c r="U308" s="26">
        <v>2626684.0000000005</v>
      </c>
      <c r="V308" s="26">
        <v>6.2297696881834126</v>
      </c>
      <c r="W308" s="26">
        <v>0</v>
      </c>
      <c r="X308" s="26">
        <v>400</v>
      </c>
    </row>
    <row r="309" spans="1:24">
      <c r="A309" s="24" t="str">
        <f t="shared" si="52"/>
        <v>신규</v>
      </c>
      <c r="B309" s="24" t="str">
        <f>IF(COUNTIF(Q$1:Q308,Q309)=0,"최초","리오더")</f>
        <v>최초</v>
      </c>
      <c r="C309" s="24" t="str">
        <f t="shared" si="53"/>
        <v>JILMIE3323</v>
      </c>
      <c r="D309" s="24">
        <f t="shared" si="48"/>
        <v>1</v>
      </c>
      <c r="E309" s="24" t="str">
        <f t="shared" si="54"/>
        <v/>
      </c>
      <c r="F309" s="24">
        <f t="shared" si="49"/>
        <v>0</v>
      </c>
      <c r="G309" s="24" t="str">
        <f t="shared" si="55"/>
        <v>JILMIE3323BL</v>
      </c>
      <c r="H309" s="24">
        <f t="shared" si="50"/>
        <v>1</v>
      </c>
      <c r="I309" s="24" t="str">
        <f t="shared" si="56"/>
        <v/>
      </c>
      <c r="J309" s="24">
        <f t="shared" si="51"/>
        <v>0</v>
      </c>
      <c r="K309" s="24" t="str">
        <f t="shared" si="57"/>
        <v>E3</v>
      </c>
      <c r="L309" s="24" t="str">
        <f>VLOOKUP(N309,CODE!K:P,CODE!$P$1,FALSE)</f>
        <v>모자</v>
      </c>
      <c r="M309" s="24" t="str">
        <f>VLOOKUP(MID(Q309,1,3),CODE!$B:$G,CODE!D$1,FALSE)</f>
        <v>JIL</v>
      </c>
      <c r="N309" s="24" t="str">
        <f t="shared" si="58"/>
        <v>MI</v>
      </c>
      <c r="O309" s="29" t="str">
        <f>IF(ISERROR(IF(VLOOKUP($N309,CODE!$K:$P,CODE!$O$1,FALSE)="",$M309,$M309&amp;"-"&amp;VLOOKUP($N309,CODE!$K:$P,CODE!$O$1,FALSE)))=TRUE,"",IF(VLOOKUP($N309,CODE!$K:$P,CODE!$O$1,FALSE)="",$M309,$M309&amp;"-"&amp;VLOOKUP($N309,CODE!$K:$P,CODE!$O$1,FALSE)))</f>
        <v>JIL</v>
      </c>
      <c r="P309" s="29" t="str">
        <f t="shared" si="59"/>
        <v>JILMIE3323</v>
      </c>
      <c r="Q309" s="1" t="s">
        <v>1101</v>
      </c>
      <c r="R309" s="1" t="s">
        <v>14</v>
      </c>
      <c r="S309" s="26">
        <v>500</v>
      </c>
      <c r="T309" s="26">
        <v>22500000</v>
      </c>
      <c r="U309" s="26">
        <v>2574970.0000000005</v>
      </c>
      <c r="V309" s="26">
        <v>7.9436053447401127</v>
      </c>
      <c r="W309" s="26">
        <v>0</v>
      </c>
      <c r="X309" s="26">
        <v>500</v>
      </c>
    </row>
    <row r="310" spans="1:24">
      <c r="A310" s="24" t="str">
        <f t="shared" si="52"/>
        <v>신규</v>
      </c>
      <c r="B310" s="24" t="str">
        <f>IF(COUNTIF(Q$1:Q309,Q310)=0,"최초","리오더")</f>
        <v>최초</v>
      </c>
      <c r="C310" s="24" t="str">
        <f t="shared" si="53"/>
        <v>JILMIE3324</v>
      </c>
      <c r="D310" s="24">
        <f t="shared" si="48"/>
        <v>1</v>
      </c>
      <c r="E310" s="24" t="str">
        <f t="shared" si="54"/>
        <v/>
      </c>
      <c r="F310" s="24">
        <f t="shared" si="49"/>
        <v>0</v>
      </c>
      <c r="G310" s="24" t="str">
        <f t="shared" si="55"/>
        <v>JILMIE3324YE</v>
      </c>
      <c r="H310" s="24">
        <f t="shared" si="50"/>
        <v>1</v>
      </c>
      <c r="I310" s="24" t="str">
        <f t="shared" si="56"/>
        <v/>
      </c>
      <c r="J310" s="24">
        <f t="shared" si="51"/>
        <v>0</v>
      </c>
      <c r="K310" s="24" t="str">
        <f t="shared" si="57"/>
        <v>E3</v>
      </c>
      <c r="L310" s="24" t="str">
        <f>VLOOKUP(N310,CODE!K:P,CODE!$P$1,FALSE)</f>
        <v>모자</v>
      </c>
      <c r="M310" s="24" t="str">
        <f>VLOOKUP(MID(Q310,1,3),CODE!$B:$G,CODE!D$1,FALSE)</f>
        <v>JIL</v>
      </c>
      <c r="N310" s="24" t="str">
        <f t="shared" si="58"/>
        <v>MI</v>
      </c>
      <c r="O310" s="29" t="str">
        <f>IF(ISERROR(IF(VLOOKUP($N310,CODE!$K:$P,CODE!$O$1,FALSE)="",$M310,$M310&amp;"-"&amp;VLOOKUP($N310,CODE!$K:$P,CODE!$O$1,FALSE)))=TRUE,"",IF(VLOOKUP($N310,CODE!$K:$P,CODE!$O$1,FALSE)="",$M310,$M310&amp;"-"&amp;VLOOKUP($N310,CODE!$K:$P,CODE!$O$1,FALSE)))</f>
        <v>JIL</v>
      </c>
      <c r="P310" s="29" t="str">
        <f t="shared" si="59"/>
        <v>JILMIE3324</v>
      </c>
      <c r="Q310" s="1" t="s">
        <v>1102</v>
      </c>
      <c r="R310" s="1" t="s">
        <v>14</v>
      </c>
      <c r="S310" s="26">
        <v>500</v>
      </c>
      <c r="T310" s="26">
        <v>22500000</v>
      </c>
      <c r="U310" s="26">
        <v>2358470.0000000005</v>
      </c>
      <c r="V310" s="26">
        <v>8.6728028995685538</v>
      </c>
      <c r="W310" s="26">
        <v>0</v>
      </c>
      <c r="X310" s="26">
        <v>500</v>
      </c>
    </row>
    <row r="311" spans="1:24">
      <c r="A311" s="24" t="str">
        <f t="shared" si="52"/>
        <v>신규</v>
      </c>
      <c r="B311" s="24" t="str">
        <f>IF(COUNTIF(Q$1:Q310,Q311)=0,"최초","리오더")</f>
        <v>최초</v>
      </c>
      <c r="C311" s="24" t="str">
        <f t="shared" si="53"/>
        <v>JILMIE3325</v>
      </c>
      <c r="D311" s="24">
        <f t="shared" si="48"/>
        <v>1</v>
      </c>
      <c r="E311" s="24" t="str">
        <f t="shared" si="54"/>
        <v/>
      </c>
      <c r="F311" s="24">
        <f t="shared" si="49"/>
        <v>0</v>
      </c>
      <c r="G311" s="24" t="str">
        <f t="shared" si="55"/>
        <v>JILMIE3325RE</v>
      </c>
      <c r="H311" s="24">
        <f t="shared" si="50"/>
        <v>1</v>
      </c>
      <c r="I311" s="24" t="str">
        <f t="shared" si="56"/>
        <v/>
      </c>
      <c r="J311" s="24">
        <f t="shared" si="51"/>
        <v>0</v>
      </c>
      <c r="K311" s="24" t="str">
        <f t="shared" si="57"/>
        <v>E3</v>
      </c>
      <c r="L311" s="24" t="str">
        <f>VLOOKUP(N311,CODE!K:P,CODE!$P$1,FALSE)</f>
        <v>모자</v>
      </c>
      <c r="M311" s="24" t="str">
        <f>VLOOKUP(MID(Q311,1,3),CODE!$B:$G,CODE!D$1,FALSE)</f>
        <v>JIL</v>
      </c>
      <c r="N311" s="24" t="str">
        <f t="shared" si="58"/>
        <v>MI</v>
      </c>
      <c r="O311" s="29" t="str">
        <f>IF(ISERROR(IF(VLOOKUP($N311,CODE!$K:$P,CODE!$O$1,FALSE)="",$M311,$M311&amp;"-"&amp;VLOOKUP($N311,CODE!$K:$P,CODE!$O$1,FALSE)))=TRUE,"",IF(VLOOKUP($N311,CODE!$K:$P,CODE!$O$1,FALSE)="",$M311,$M311&amp;"-"&amp;VLOOKUP($N311,CODE!$K:$P,CODE!$O$1,FALSE)))</f>
        <v>JIL</v>
      </c>
      <c r="P311" s="29" t="str">
        <f t="shared" si="59"/>
        <v>JILMIE3325</v>
      </c>
      <c r="Q311" s="1" t="s">
        <v>1103</v>
      </c>
      <c r="R311" s="1" t="s">
        <v>14</v>
      </c>
      <c r="S311" s="26">
        <v>500</v>
      </c>
      <c r="T311" s="26">
        <v>22500000</v>
      </c>
      <c r="U311" s="26">
        <v>2362470.0000000005</v>
      </c>
      <c r="V311" s="26">
        <v>8.658118602371859</v>
      </c>
      <c r="W311" s="26">
        <v>0</v>
      </c>
      <c r="X311" s="26">
        <v>500</v>
      </c>
    </row>
    <row r="312" spans="1:24">
      <c r="A312" s="24" t="str">
        <f t="shared" si="52"/>
        <v>신규</v>
      </c>
      <c r="B312" s="24" t="str">
        <f>IF(COUNTIF(Q$1:Q311,Q312)=0,"최초","리오더")</f>
        <v>최초</v>
      </c>
      <c r="C312" s="24" t="str">
        <f t="shared" si="53"/>
        <v>JILMIE3326</v>
      </c>
      <c r="D312" s="24">
        <f t="shared" si="48"/>
        <v>1</v>
      </c>
      <c r="E312" s="24" t="str">
        <f t="shared" si="54"/>
        <v/>
      </c>
      <c r="F312" s="24">
        <f t="shared" si="49"/>
        <v>0</v>
      </c>
      <c r="G312" s="24" t="str">
        <f t="shared" si="55"/>
        <v>JILMIE3326BK</v>
      </c>
      <c r="H312" s="24">
        <f t="shared" si="50"/>
        <v>1</v>
      </c>
      <c r="I312" s="24" t="str">
        <f t="shared" si="56"/>
        <v/>
      </c>
      <c r="J312" s="24">
        <f t="shared" si="51"/>
        <v>0</v>
      </c>
      <c r="K312" s="24" t="str">
        <f t="shared" si="57"/>
        <v>E3</v>
      </c>
      <c r="L312" s="24" t="str">
        <f>VLOOKUP(N312,CODE!K:P,CODE!$P$1,FALSE)</f>
        <v>모자</v>
      </c>
      <c r="M312" s="24" t="str">
        <f>VLOOKUP(MID(Q312,1,3),CODE!$B:$G,CODE!D$1,FALSE)</f>
        <v>JIL</v>
      </c>
      <c r="N312" s="24" t="str">
        <f t="shared" si="58"/>
        <v>MI</v>
      </c>
      <c r="O312" s="29" t="str">
        <f>IF(ISERROR(IF(VLOOKUP($N312,CODE!$K:$P,CODE!$O$1,FALSE)="",$M312,$M312&amp;"-"&amp;VLOOKUP($N312,CODE!$K:$P,CODE!$O$1,FALSE)))=TRUE,"",IF(VLOOKUP($N312,CODE!$K:$P,CODE!$O$1,FALSE)="",$M312,$M312&amp;"-"&amp;VLOOKUP($N312,CODE!$K:$P,CODE!$O$1,FALSE)))</f>
        <v>JIL</v>
      </c>
      <c r="P312" s="29" t="str">
        <f t="shared" si="59"/>
        <v>JILMIE3326</v>
      </c>
      <c r="Q312" s="1" t="s">
        <v>1104</v>
      </c>
      <c r="R312" s="1" t="s">
        <v>14</v>
      </c>
      <c r="S312" s="26">
        <v>400</v>
      </c>
      <c r="T312" s="26">
        <v>18000000</v>
      </c>
      <c r="U312" s="26">
        <v>2334376</v>
      </c>
      <c r="V312" s="26">
        <v>7.0098546093844192</v>
      </c>
      <c r="W312" s="26">
        <v>0</v>
      </c>
      <c r="X312" s="26">
        <v>400</v>
      </c>
    </row>
    <row r="313" spans="1:24">
      <c r="A313" s="24" t="str">
        <f t="shared" si="52"/>
        <v>신규</v>
      </c>
      <c r="B313" s="24" t="str">
        <f>IF(COUNTIF(Q$1:Q312,Q313)=0,"최초","리오더")</f>
        <v>최초</v>
      </c>
      <c r="C313" s="24" t="str">
        <f t="shared" si="53"/>
        <v>JILMIE3327</v>
      </c>
      <c r="D313" s="24">
        <f t="shared" si="48"/>
        <v>1</v>
      </c>
      <c r="E313" s="24" t="str">
        <f t="shared" si="54"/>
        <v/>
      </c>
      <c r="F313" s="24">
        <f t="shared" si="49"/>
        <v>0</v>
      </c>
      <c r="G313" s="24" t="str">
        <f t="shared" si="55"/>
        <v>JILMIE3327BW</v>
      </c>
      <c r="H313" s="24">
        <f t="shared" si="50"/>
        <v>1</v>
      </c>
      <c r="I313" s="24" t="str">
        <f t="shared" si="56"/>
        <v/>
      </c>
      <c r="J313" s="24">
        <f t="shared" si="51"/>
        <v>0</v>
      </c>
      <c r="K313" s="24" t="str">
        <f t="shared" si="57"/>
        <v>E3</v>
      </c>
      <c r="L313" s="24" t="str">
        <f>VLOOKUP(N313,CODE!K:P,CODE!$P$1,FALSE)</f>
        <v>모자</v>
      </c>
      <c r="M313" s="24" t="str">
        <f>VLOOKUP(MID(Q313,1,3),CODE!$B:$G,CODE!D$1,FALSE)</f>
        <v>JIL</v>
      </c>
      <c r="N313" s="24" t="str">
        <f t="shared" si="58"/>
        <v>MI</v>
      </c>
      <c r="O313" s="29" t="str">
        <f>IF(ISERROR(IF(VLOOKUP($N313,CODE!$K:$P,CODE!$O$1,FALSE)="",$M313,$M313&amp;"-"&amp;VLOOKUP($N313,CODE!$K:$P,CODE!$O$1,FALSE)))=TRUE,"",IF(VLOOKUP($N313,CODE!$K:$P,CODE!$O$1,FALSE)="",$M313,$M313&amp;"-"&amp;VLOOKUP($N313,CODE!$K:$P,CODE!$O$1,FALSE)))</f>
        <v>JIL</v>
      </c>
      <c r="P313" s="29" t="str">
        <f t="shared" si="59"/>
        <v>JILMIE3327</v>
      </c>
      <c r="Q313" s="1" t="s">
        <v>1105</v>
      </c>
      <c r="R313" s="1" t="s">
        <v>14</v>
      </c>
      <c r="S313" s="26">
        <v>500</v>
      </c>
      <c r="T313" s="26">
        <v>22500000</v>
      </c>
      <c r="U313" s="26">
        <v>2383470.0000000005</v>
      </c>
      <c r="V313" s="26">
        <v>8.5818346589407231</v>
      </c>
      <c r="W313" s="26">
        <v>0</v>
      </c>
      <c r="X313" s="26">
        <v>500</v>
      </c>
    </row>
    <row r="314" spans="1:24">
      <c r="A314" s="24" t="str">
        <f t="shared" si="52"/>
        <v>신규</v>
      </c>
      <c r="B314" s="24" t="str">
        <f>IF(COUNTIF(Q$1:Q313,Q314)=0,"최초","리오더")</f>
        <v>최초</v>
      </c>
      <c r="C314" s="24" t="str">
        <f t="shared" si="53"/>
        <v>JILMIE3339</v>
      </c>
      <c r="D314" s="24">
        <f t="shared" si="48"/>
        <v>1</v>
      </c>
      <c r="E314" s="24" t="str">
        <f t="shared" si="54"/>
        <v/>
      </c>
      <c r="F314" s="24">
        <f t="shared" si="49"/>
        <v>0</v>
      </c>
      <c r="G314" s="24" t="str">
        <f t="shared" si="55"/>
        <v>JILMIE3339YE</v>
      </c>
      <c r="H314" s="24">
        <f t="shared" si="50"/>
        <v>1</v>
      </c>
      <c r="I314" s="24" t="str">
        <f t="shared" si="56"/>
        <v/>
      </c>
      <c r="J314" s="24">
        <f t="shared" si="51"/>
        <v>0</v>
      </c>
      <c r="K314" s="24" t="str">
        <f t="shared" si="57"/>
        <v>E3</v>
      </c>
      <c r="L314" s="24" t="str">
        <f>VLOOKUP(N314,CODE!K:P,CODE!$P$1,FALSE)</f>
        <v>모자</v>
      </c>
      <c r="M314" s="24" t="str">
        <f>VLOOKUP(MID(Q314,1,3),CODE!$B:$G,CODE!D$1,FALSE)</f>
        <v>JIL</v>
      </c>
      <c r="N314" s="24" t="str">
        <f t="shared" si="58"/>
        <v>MI</v>
      </c>
      <c r="O314" s="29" t="str">
        <f>IF(ISERROR(IF(VLOOKUP($N314,CODE!$K:$P,CODE!$O$1,FALSE)="",$M314,$M314&amp;"-"&amp;VLOOKUP($N314,CODE!$K:$P,CODE!$O$1,FALSE)))=TRUE,"",IF(VLOOKUP($N314,CODE!$K:$P,CODE!$O$1,FALSE)="",$M314,$M314&amp;"-"&amp;VLOOKUP($N314,CODE!$K:$P,CODE!$O$1,FALSE)))</f>
        <v>JIL</v>
      </c>
      <c r="P314" s="29" t="str">
        <f t="shared" si="59"/>
        <v>JILMIE3339</v>
      </c>
      <c r="Q314" s="1" t="s">
        <v>1106</v>
      </c>
      <c r="R314" s="1" t="s">
        <v>14</v>
      </c>
      <c r="S314" s="26">
        <v>500</v>
      </c>
      <c r="T314" s="26">
        <v>22500000</v>
      </c>
      <c r="U314" s="26">
        <v>2452285</v>
      </c>
      <c r="V314" s="26">
        <v>8.3410147901020704</v>
      </c>
      <c r="W314" s="26">
        <v>0</v>
      </c>
      <c r="X314" s="26">
        <v>500</v>
      </c>
    </row>
    <row r="315" spans="1:24">
      <c r="A315" s="24" t="str">
        <f t="shared" si="52"/>
        <v>신규</v>
      </c>
      <c r="B315" s="24" t="str">
        <f>IF(COUNTIF(Q$1:Q314,Q315)=0,"최초","리오더")</f>
        <v>최초</v>
      </c>
      <c r="C315" s="24" t="str">
        <f t="shared" si="53"/>
        <v>JILERE5328</v>
      </c>
      <c r="D315" s="24">
        <f t="shared" si="48"/>
        <v>1</v>
      </c>
      <c r="E315" s="24" t="str">
        <f t="shared" si="54"/>
        <v/>
      </c>
      <c r="F315" s="24">
        <f t="shared" si="49"/>
        <v>0</v>
      </c>
      <c r="G315" s="24" t="str">
        <f t="shared" si="55"/>
        <v>JILERE5328KH</v>
      </c>
      <c r="H315" s="24">
        <f t="shared" si="50"/>
        <v>1</v>
      </c>
      <c r="I315" s="24" t="str">
        <f t="shared" si="56"/>
        <v/>
      </c>
      <c r="J315" s="24">
        <f t="shared" si="51"/>
        <v>0</v>
      </c>
      <c r="K315" s="24" t="str">
        <f t="shared" si="57"/>
        <v>E5</v>
      </c>
      <c r="L315" s="24" t="str">
        <f>VLOOKUP(N315,CODE!K:P,CODE!$P$1,FALSE)</f>
        <v>모자</v>
      </c>
      <c r="M315" s="24" t="str">
        <f>VLOOKUP(MID(Q315,1,3),CODE!$B:$G,CODE!D$1,FALSE)</f>
        <v>JIL</v>
      </c>
      <c r="N315" s="24" t="str">
        <f t="shared" si="58"/>
        <v>ER</v>
      </c>
      <c r="O315" s="29" t="str">
        <f>IF(ISERROR(IF(VLOOKUP($N315,CODE!$K:$P,CODE!$O$1,FALSE)="",$M315,$M315&amp;"-"&amp;VLOOKUP($N315,CODE!$K:$P,CODE!$O$1,FALSE)))=TRUE,"",IF(VLOOKUP($N315,CODE!$K:$P,CODE!$O$1,FALSE)="",$M315,$M315&amp;"-"&amp;VLOOKUP($N315,CODE!$K:$P,CODE!$O$1,FALSE)))</f>
        <v>JIL</v>
      </c>
      <c r="P315" s="29" t="str">
        <f t="shared" si="59"/>
        <v>JILERE5328</v>
      </c>
      <c r="Q315" s="1" t="s">
        <v>1107</v>
      </c>
      <c r="R315" s="1" t="s">
        <v>14</v>
      </c>
      <c r="S315" s="26">
        <v>400</v>
      </c>
      <c r="T315" s="26">
        <v>22000000</v>
      </c>
      <c r="U315" s="26">
        <v>2418568</v>
      </c>
      <c r="V315" s="26">
        <v>8.2693560817806233</v>
      </c>
      <c r="W315" s="26">
        <v>0</v>
      </c>
      <c r="X315" s="26">
        <v>400</v>
      </c>
    </row>
    <row r="316" spans="1:24">
      <c r="A316" s="24" t="str">
        <f t="shared" si="52"/>
        <v>신규</v>
      </c>
      <c r="B316" s="24" t="str">
        <f>IF(COUNTIF(Q$1:Q315,Q316)=0,"최초","리오더")</f>
        <v>최초</v>
      </c>
      <c r="C316" s="24" t="str">
        <f t="shared" si="53"/>
        <v>JILERE5329</v>
      </c>
      <c r="D316" s="24">
        <f t="shared" si="48"/>
        <v>1</v>
      </c>
      <c r="E316" s="24" t="str">
        <f t="shared" si="54"/>
        <v/>
      </c>
      <c r="F316" s="24">
        <f t="shared" si="49"/>
        <v>0</v>
      </c>
      <c r="G316" s="24" t="str">
        <f t="shared" si="55"/>
        <v>JILERE5329NY</v>
      </c>
      <c r="H316" s="24">
        <f t="shared" si="50"/>
        <v>1</v>
      </c>
      <c r="I316" s="24" t="str">
        <f t="shared" si="56"/>
        <v/>
      </c>
      <c r="J316" s="24">
        <f t="shared" si="51"/>
        <v>0</v>
      </c>
      <c r="K316" s="24" t="str">
        <f t="shared" si="57"/>
        <v>E5</v>
      </c>
      <c r="L316" s="24" t="str">
        <f>VLOOKUP(N316,CODE!K:P,CODE!$P$1,FALSE)</f>
        <v>모자</v>
      </c>
      <c r="M316" s="24" t="str">
        <f>VLOOKUP(MID(Q316,1,3),CODE!$B:$G,CODE!D$1,FALSE)</f>
        <v>JIL</v>
      </c>
      <c r="N316" s="24" t="str">
        <f t="shared" si="58"/>
        <v>ER</v>
      </c>
      <c r="O316" s="29" t="str">
        <f>IF(ISERROR(IF(VLOOKUP($N316,CODE!$K:$P,CODE!$O$1,FALSE)="",$M316,$M316&amp;"-"&amp;VLOOKUP($N316,CODE!$K:$P,CODE!$O$1,FALSE)))=TRUE,"",IF(VLOOKUP($N316,CODE!$K:$P,CODE!$O$1,FALSE)="",$M316,$M316&amp;"-"&amp;VLOOKUP($N316,CODE!$K:$P,CODE!$O$1,FALSE)))</f>
        <v>JIL</v>
      </c>
      <c r="P316" s="29" t="str">
        <f t="shared" si="59"/>
        <v>JILERE5329</v>
      </c>
      <c r="Q316" s="1" t="s">
        <v>1108</v>
      </c>
      <c r="R316" s="1" t="s">
        <v>14</v>
      </c>
      <c r="S316" s="26">
        <v>400</v>
      </c>
      <c r="T316" s="26">
        <v>22000000</v>
      </c>
      <c r="U316" s="26">
        <v>2403568</v>
      </c>
      <c r="V316" s="26">
        <v>8.3209628352515921</v>
      </c>
      <c r="W316" s="26">
        <v>0</v>
      </c>
      <c r="X316" s="26">
        <v>400</v>
      </c>
    </row>
    <row r="317" spans="1:24">
      <c r="A317" s="24" t="str">
        <f t="shared" si="52"/>
        <v>신규</v>
      </c>
      <c r="B317" s="24" t="str">
        <f>IF(COUNTIF(Q$1:Q316,Q317)=0,"최초","리오더")</f>
        <v>최초</v>
      </c>
      <c r="C317" s="24" t="str">
        <f t="shared" si="53"/>
        <v>JILERE5330</v>
      </c>
      <c r="D317" s="24">
        <f t="shared" si="48"/>
        <v>1</v>
      </c>
      <c r="E317" s="24" t="str">
        <f t="shared" si="54"/>
        <v/>
      </c>
      <c r="F317" s="24">
        <f t="shared" si="49"/>
        <v>0</v>
      </c>
      <c r="G317" s="24" t="str">
        <f t="shared" si="55"/>
        <v>JILERE5330NY</v>
      </c>
      <c r="H317" s="24">
        <f t="shared" si="50"/>
        <v>1</v>
      </c>
      <c r="I317" s="24" t="str">
        <f t="shared" si="56"/>
        <v/>
      </c>
      <c r="J317" s="24">
        <f t="shared" si="51"/>
        <v>0</v>
      </c>
      <c r="K317" s="24" t="str">
        <f t="shared" si="57"/>
        <v>E5</v>
      </c>
      <c r="L317" s="24" t="str">
        <f>VLOOKUP(N317,CODE!K:P,CODE!$P$1,FALSE)</f>
        <v>모자</v>
      </c>
      <c r="M317" s="24" t="str">
        <f>VLOOKUP(MID(Q317,1,3),CODE!$B:$G,CODE!D$1,FALSE)</f>
        <v>JIL</v>
      </c>
      <c r="N317" s="24" t="str">
        <f t="shared" si="58"/>
        <v>ER</v>
      </c>
      <c r="O317" s="29" t="str">
        <f>IF(ISERROR(IF(VLOOKUP($N317,CODE!$K:$P,CODE!$O$1,FALSE)="",$M317,$M317&amp;"-"&amp;VLOOKUP($N317,CODE!$K:$P,CODE!$O$1,FALSE)))=TRUE,"",IF(VLOOKUP($N317,CODE!$K:$P,CODE!$O$1,FALSE)="",$M317,$M317&amp;"-"&amp;VLOOKUP($N317,CODE!$K:$P,CODE!$O$1,FALSE)))</f>
        <v>JIL</v>
      </c>
      <c r="P317" s="29" t="str">
        <f t="shared" si="59"/>
        <v>JILERE5330</v>
      </c>
      <c r="Q317" s="1" t="s">
        <v>1109</v>
      </c>
      <c r="R317" s="1" t="s">
        <v>14</v>
      </c>
      <c r="S317" s="26">
        <v>500</v>
      </c>
      <c r="T317" s="26">
        <v>27500000</v>
      </c>
      <c r="U317" s="26">
        <v>2967050</v>
      </c>
      <c r="V317" s="26">
        <v>8.4258775551473679</v>
      </c>
      <c r="W317" s="26">
        <v>0</v>
      </c>
      <c r="X317" s="26">
        <v>500</v>
      </c>
    </row>
    <row r="318" spans="1:24">
      <c r="A318" s="24" t="str">
        <f t="shared" si="52"/>
        <v>신규</v>
      </c>
      <c r="B318" s="24" t="str">
        <f>IF(COUNTIF(Q$1:Q317,Q318)=0,"최초","리오더")</f>
        <v>최초</v>
      </c>
      <c r="C318" s="24" t="str">
        <f t="shared" si="53"/>
        <v>JILERE5331</v>
      </c>
      <c r="D318" s="24">
        <f t="shared" si="48"/>
        <v>1</v>
      </c>
      <c r="E318" s="24" t="str">
        <f t="shared" si="54"/>
        <v/>
      </c>
      <c r="F318" s="24">
        <f t="shared" si="49"/>
        <v>0</v>
      </c>
      <c r="G318" s="24" t="str">
        <f t="shared" si="55"/>
        <v>JILERE5331BK</v>
      </c>
      <c r="H318" s="24">
        <f t="shared" si="50"/>
        <v>1</v>
      </c>
      <c r="I318" s="24" t="str">
        <f t="shared" si="56"/>
        <v/>
      </c>
      <c r="J318" s="24">
        <f t="shared" si="51"/>
        <v>0</v>
      </c>
      <c r="K318" s="24" t="str">
        <f t="shared" si="57"/>
        <v>E5</v>
      </c>
      <c r="L318" s="24" t="str">
        <f>VLOOKUP(N318,CODE!K:P,CODE!$P$1,FALSE)</f>
        <v>모자</v>
      </c>
      <c r="M318" s="24" t="str">
        <f>VLOOKUP(MID(Q318,1,3),CODE!$B:$G,CODE!D$1,FALSE)</f>
        <v>JIL</v>
      </c>
      <c r="N318" s="24" t="str">
        <f t="shared" si="58"/>
        <v>ER</v>
      </c>
      <c r="O318" s="29" t="str">
        <f>IF(ISERROR(IF(VLOOKUP($N318,CODE!$K:$P,CODE!$O$1,FALSE)="",$M318,$M318&amp;"-"&amp;VLOOKUP($N318,CODE!$K:$P,CODE!$O$1,FALSE)))=TRUE,"",IF(VLOOKUP($N318,CODE!$K:$P,CODE!$O$1,FALSE)="",$M318,$M318&amp;"-"&amp;VLOOKUP($N318,CODE!$K:$P,CODE!$O$1,FALSE)))</f>
        <v>JIL</v>
      </c>
      <c r="P318" s="29" t="str">
        <f t="shared" si="59"/>
        <v>JILERE5331</v>
      </c>
      <c r="Q318" s="1" t="s">
        <v>1110</v>
      </c>
      <c r="R318" s="1" t="s">
        <v>14</v>
      </c>
      <c r="S318" s="26">
        <v>500</v>
      </c>
      <c r="T318" s="26">
        <v>27500000</v>
      </c>
      <c r="U318" s="26">
        <v>3255950.0000000005</v>
      </c>
      <c r="V318" s="26">
        <v>7.6782505873861675</v>
      </c>
      <c r="W318" s="26">
        <v>0</v>
      </c>
      <c r="X318" s="26">
        <v>500</v>
      </c>
    </row>
    <row r="319" spans="1:24">
      <c r="A319" s="24" t="str">
        <f t="shared" si="52"/>
        <v>신규</v>
      </c>
      <c r="B319" s="24" t="str">
        <f>IF(COUNTIF(Q$1:Q318,Q319)=0,"최초","리오더")</f>
        <v>최초</v>
      </c>
      <c r="C319" s="24" t="str">
        <f t="shared" si="53"/>
        <v>JILERE5332</v>
      </c>
      <c r="D319" s="24">
        <f t="shared" si="48"/>
        <v>0.5</v>
      </c>
      <c r="E319" s="24" t="str">
        <f t="shared" si="54"/>
        <v/>
      </c>
      <c r="F319" s="24">
        <f t="shared" si="49"/>
        <v>0</v>
      </c>
      <c r="G319" s="24" t="str">
        <f t="shared" si="55"/>
        <v>JILERE5332NY</v>
      </c>
      <c r="H319" s="24">
        <f t="shared" si="50"/>
        <v>1</v>
      </c>
      <c r="I319" s="24" t="str">
        <f t="shared" si="56"/>
        <v/>
      </c>
      <c r="J319" s="24">
        <f t="shared" si="51"/>
        <v>0</v>
      </c>
      <c r="K319" s="24" t="str">
        <f t="shared" si="57"/>
        <v>E5</v>
      </c>
      <c r="L319" s="24" t="str">
        <f>VLOOKUP(N319,CODE!K:P,CODE!$P$1,FALSE)</f>
        <v>모자</v>
      </c>
      <c r="M319" s="24" t="str">
        <f>VLOOKUP(MID(Q319,1,3),CODE!$B:$G,CODE!D$1,FALSE)</f>
        <v>JIL</v>
      </c>
      <c r="N319" s="24" t="str">
        <f t="shared" si="58"/>
        <v>ER</v>
      </c>
      <c r="O319" s="29" t="str">
        <f>IF(ISERROR(IF(VLOOKUP($N319,CODE!$K:$P,CODE!$O$1,FALSE)="",$M319,$M319&amp;"-"&amp;VLOOKUP($N319,CODE!$K:$P,CODE!$O$1,FALSE)))=TRUE,"",IF(VLOOKUP($N319,CODE!$K:$P,CODE!$O$1,FALSE)="",$M319,$M319&amp;"-"&amp;VLOOKUP($N319,CODE!$K:$P,CODE!$O$1,FALSE)))</f>
        <v>JIL</v>
      </c>
      <c r="P319" s="29" t="str">
        <f t="shared" si="59"/>
        <v>JILERE5332</v>
      </c>
      <c r="Q319" s="1" t="s">
        <v>1111</v>
      </c>
      <c r="R319" s="1" t="s">
        <v>14</v>
      </c>
      <c r="S319" s="26">
        <v>400</v>
      </c>
      <c r="T319" s="26">
        <v>19600000</v>
      </c>
      <c r="U319" s="26">
        <v>2608992</v>
      </c>
      <c r="V319" s="26">
        <v>6.8295271960135624</v>
      </c>
      <c r="W319" s="26">
        <v>0</v>
      </c>
      <c r="X319" s="26">
        <v>400</v>
      </c>
    </row>
    <row r="320" spans="1:24">
      <c r="A320" s="24" t="str">
        <f t="shared" si="52"/>
        <v>신규</v>
      </c>
      <c r="B320" s="24" t="str">
        <f>IF(COUNTIF(Q$1:Q319,Q320)=0,"최초","리오더")</f>
        <v>최초</v>
      </c>
      <c r="C320" s="24" t="str">
        <f t="shared" si="53"/>
        <v>JILERE5332</v>
      </c>
      <c r="D320" s="24">
        <f t="shared" si="48"/>
        <v>0.5</v>
      </c>
      <c r="E320" s="24" t="str">
        <f t="shared" si="54"/>
        <v/>
      </c>
      <c r="F320" s="24">
        <f t="shared" si="49"/>
        <v>0</v>
      </c>
      <c r="G320" s="24" t="str">
        <f t="shared" si="55"/>
        <v>JILERE5332OR</v>
      </c>
      <c r="H320" s="24">
        <f t="shared" si="50"/>
        <v>1</v>
      </c>
      <c r="I320" s="24" t="str">
        <f t="shared" si="56"/>
        <v/>
      </c>
      <c r="J320" s="24">
        <f t="shared" si="51"/>
        <v>0</v>
      </c>
      <c r="K320" s="24" t="str">
        <f t="shared" si="57"/>
        <v>E5</v>
      </c>
      <c r="L320" s="24" t="str">
        <f>VLOOKUP(N320,CODE!K:P,CODE!$P$1,FALSE)</f>
        <v>모자</v>
      </c>
      <c r="M320" s="24" t="str">
        <f>VLOOKUP(MID(Q320,1,3),CODE!$B:$G,CODE!D$1,FALSE)</f>
        <v>JIL</v>
      </c>
      <c r="N320" s="24" t="str">
        <f t="shared" si="58"/>
        <v>ER</v>
      </c>
      <c r="O320" s="29" t="str">
        <f>IF(ISERROR(IF(VLOOKUP($N320,CODE!$K:$P,CODE!$O$1,FALSE)="",$M320,$M320&amp;"-"&amp;VLOOKUP($N320,CODE!$K:$P,CODE!$O$1,FALSE)))=TRUE,"",IF(VLOOKUP($N320,CODE!$K:$P,CODE!$O$1,FALSE)="",$M320,$M320&amp;"-"&amp;VLOOKUP($N320,CODE!$K:$P,CODE!$O$1,FALSE)))</f>
        <v>JIL</v>
      </c>
      <c r="P320" s="29" t="str">
        <f t="shared" si="59"/>
        <v>JILERE5332</v>
      </c>
      <c r="Q320" s="1" t="s">
        <v>1112</v>
      </c>
      <c r="R320" s="1" t="s">
        <v>14</v>
      </c>
      <c r="S320" s="26">
        <v>400</v>
      </c>
      <c r="T320" s="26">
        <v>19600000</v>
      </c>
      <c r="U320" s="26">
        <v>2576992</v>
      </c>
      <c r="V320" s="26">
        <v>6.9143333848850972</v>
      </c>
      <c r="W320" s="26">
        <v>0</v>
      </c>
      <c r="X320" s="26">
        <v>400</v>
      </c>
    </row>
    <row r="321" spans="1:24">
      <c r="A321" s="24" t="str">
        <f t="shared" si="52"/>
        <v>신규</v>
      </c>
      <c r="B321" s="24" t="str">
        <f>IF(COUNTIF(Q$1:Q320,Q321)=0,"최초","리오더")</f>
        <v>최초</v>
      </c>
      <c r="C321" s="24" t="str">
        <f t="shared" si="53"/>
        <v>JILTPE5333</v>
      </c>
      <c r="D321" s="24">
        <f t="shared" si="48"/>
        <v>0.5</v>
      </c>
      <c r="E321" s="24" t="str">
        <f t="shared" si="54"/>
        <v/>
      </c>
      <c r="F321" s="24">
        <f t="shared" si="49"/>
        <v>0</v>
      </c>
      <c r="G321" s="24" t="str">
        <f t="shared" si="55"/>
        <v>JILTPE5333GR</v>
      </c>
      <c r="H321" s="24">
        <f t="shared" si="50"/>
        <v>1</v>
      </c>
      <c r="I321" s="24" t="str">
        <f t="shared" si="56"/>
        <v/>
      </c>
      <c r="J321" s="24">
        <f t="shared" si="51"/>
        <v>0</v>
      </c>
      <c r="K321" s="24" t="str">
        <f t="shared" si="57"/>
        <v>E5</v>
      </c>
      <c r="L321" s="24" t="str">
        <f>VLOOKUP(N321,CODE!K:P,CODE!$P$1,FALSE)</f>
        <v>모자</v>
      </c>
      <c r="M321" s="24" t="str">
        <f>VLOOKUP(MID(Q321,1,3),CODE!$B:$G,CODE!D$1,FALSE)</f>
        <v>JIL</v>
      </c>
      <c r="N321" s="24" t="str">
        <f t="shared" si="58"/>
        <v>TP</v>
      </c>
      <c r="O321" s="29" t="str">
        <f>IF(ISERROR(IF(VLOOKUP($N321,CODE!$K:$P,CODE!$O$1,FALSE)="",$M321,$M321&amp;"-"&amp;VLOOKUP($N321,CODE!$K:$P,CODE!$O$1,FALSE)))=TRUE,"",IF(VLOOKUP($N321,CODE!$K:$P,CODE!$O$1,FALSE)="",$M321,$M321&amp;"-"&amp;VLOOKUP($N321,CODE!$K:$P,CODE!$O$1,FALSE)))</f>
        <v>JIL</v>
      </c>
      <c r="P321" s="29" t="str">
        <f t="shared" si="59"/>
        <v>JILTPE5333</v>
      </c>
      <c r="Q321" s="1" t="s">
        <v>1113</v>
      </c>
      <c r="R321" s="1" t="s">
        <v>14</v>
      </c>
      <c r="S321" s="26">
        <v>500</v>
      </c>
      <c r="T321" s="26">
        <v>34500000</v>
      </c>
      <c r="U321" s="26">
        <v>4998385</v>
      </c>
      <c r="V321" s="26">
        <v>6.2747540182751758</v>
      </c>
      <c r="W321" s="26">
        <v>0</v>
      </c>
      <c r="X321" s="26">
        <v>500</v>
      </c>
    </row>
    <row r="322" spans="1:24">
      <c r="A322" s="24" t="str">
        <f t="shared" si="52"/>
        <v>신규</v>
      </c>
      <c r="B322" s="24" t="str">
        <f>IF(COUNTIF(Q$1:Q321,Q322)=0,"최초","리오더")</f>
        <v>최초</v>
      </c>
      <c r="C322" s="24" t="str">
        <f t="shared" si="53"/>
        <v>JILTPE5833</v>
      </c>
      <c r="D322" s="24">
        <f t="shared" ref="D322:D385" si="60">IF(C322="",0,1/COUNTIF(C:C,C322))</f>
        <v>0.5</v>
      </c>
      <c r="E322" s="24" t="str">
        <f t="shared" si="54"/>
        <v/>
      </c>
      <c r="F322" s="24">
        <f t="shared" ref="F322:F385" si="61">IF(E322="",0,1/COUNTIF(E:E,E322))</f>
        <v>0</v>
      </c>
      <c r="G322" s="24" t="str">
        <f t="shared" si="55"/>
        <v>JILTPE5833GR</v>
      </c>
      <c r="H322" s="24">
        <f t="shared" ref="H322:H385" si="62">IF(G322="",0,1/COUNTIF(G:G,G322))</f>
        <v>1</v>
      </c>
      <c r="I322" s="24" t="str">
        <f t="shared" si="56"/>
        <v/>
      </c>
      <c r="J322" s="24">
        <f t="shared" ref="J322:J385" si="63">IF(I322="",0,1/COUNTIF(I:I,I322))</f>
        <v>0</v>
      </c>
      <c r="K322" s="24" t="str">
        <f t="shared" si="57"/>
        <v>E5</v>
      </c>
      <c r="L322" s="24" t="str">
        <f>VLOOKUP(N322,CODE!K:P,CODE!$P$1,FALSE)</f>
        <v>모자</v>
      </c>
      <c r="M322" s="24" t="str">
        <f>VLOOKUP(MID(Q322,1,3),CODE!$B:$G,CODE!D$1,FALSE)</f>
        <v>JIL</v>
      </c>
      <c r="N322" s="24" t="str">
        <f t="shared" si="58"/>
        <v>TP</v>
      </c>
      <c r="O322" s="29" t="str">
        <f>IF(ISERROR(IF(VLOOKUP($N322,CODE!$K:$P,CODE!$O$1,FALSE)="",$M322,$M322&amp;"-"&amp;VLOOKUP($N322,CODE!$K:$P,CODE!$O$1,FALSE)))=TRUE,"",IF(VLOOKUP($N322,CODE!$K:$P,CODE!$O$1,FALSE)="",$M322,$M322&amp;"-"&amp;VLOOKUP($N322,CODE!$K:$P,CODE!$O$1,FALSE)))</f>
        <v>JIL</v>
      </c>
      <c r="P322" s="29" t="str">
        <f t="shared" si="59"/>
        <v>JILTPE5833</v>
      </c>
      <c r="Q322" s="1" t="s">
        <v>1114</v>
      </c>
      <c r="R322" s="1" t="s">
        <v>14</v>
      </c>
      <c r="S322" s="26">
        <v>500</v>
      </c>
      <c r="T322" s="26">
        <v>32500000</v>
      </c>
      <c r="U322" s="26">
        <v>4923000</v>
      </c>
      <c r="V322" s="26">
        <v>6.00151422820527</v>
      </c>
      <c r="W322" s="26">
        <v>0</v>
      </c>
      <c r="X322" s="26">
        <v>500</v>
      </c>
    </row>
    <row r="323" spans="1:24">
      <c r="A323" s="24" t="str">
        <f t="shared" ref="A323:A386" si="64">IF(OR(MID(Q323,8,1)="3",MID(Q323,8,1)="8"),"신규","러닝")</f>
        <v>신규</v>
      </c>
      <c r="B323" s="24" t="str">
        <f>IF(COUNTIF(Q$1:Q322,Q323)=0,"최초","리오더")</f>
        <v>최초</v>
      </c>
      <c r="C323" s="24" t="str">
        <f t="shared" ref="C323:C386" si="65">IF($B323="리오더","",P323)</f>
        <v>JILTPE5333</v>
      </c>
      <c r="D323" s="24">
        <f t="shared" si="60"/>
        <v>0.5</v>
      </c>
      <c r="E323" s="24" t="str">
        <f t="shared" ref="E323:E386" si="66">IF($B323="리오더",P323,"")</f>
        <v/>
      </c>
      <c r="F323" s="24">
        <f t="shared" si="61"/>
        <v>0</v>
      </c>
      <c r="G323" s="24" t="str">
        <f t="shared" ref="G323:G386" si="67">IF($B323="리오더","",Q323)</f>
        <v>JILTPE5333RE</v>
      </c>
      <c r="H323" s="24">
        <f t="shared" si="62"/>
        <v>1</v>
      </c>
      <c r="I323" s="24" t="str">
        <f t="shared" ref="I323:I386" si="68">IF($B323="리오더",Q323,"")</f>
        <v/>
      </c>
      <c r="J323" s="24">
        <f t="shared" si="63"/>
        <v>0</v>
      </c>
      <c r="K323" s="24" t="str">
        <f t="shared" ref="K323:K386" si="69">MID(Q323,6,2)</f>
        <v>E5</v>
      </c>
      <c r="L323" s="24" t="str">
        <f>VLOOKUP(N323,CODE!K:P,CODE!$P$1,FALSE)</f>
        <v>모자</v>
      </c>
      <c r="M323" s="24" t="str">
        <f>VLOOKUP(MID(Q323,1,3),CODE!$B:$G,CODE!D$1,FALSE)</f>
        <v>JIL</v>
      </c>
      <c r="N323" s="24" t="str">
        <f t="shared" ref="N323:N386" si="70">MID(Q323,4,2)</f>
        <v>TP</v>
      </c>
      <c r="O323" s="29" t="str">
        <f>IF(ISERROR(IF(VLOOKUP($N323,CODE!$K:$P,CODE!$O$1,FALSE)="",$M323,$M323&amp;"-"&amp;VLOOKUP($N323,CODE!$K:$P,CODE!$O$1,FALSE)))=TRUE,"",IF(VLOOKUP($N323,CODE!$K:$P,CODE!$O$1,FALSE)="",$M323,$M323&amp;"-"&amp;VLOOKUP($N323,CODE!$K:$P,CODE!$O$1,FALSE)))</f>
        <v>JIL</v>
      </c>
      <c r="P323" s="29" t="str">
        <f t="shared" ref="P323:P386" si="71">MID(Q323,1,10)</f>
        <v>JILTPE5333</v>
      </c>
      <c r="Q323" s="1" t="s">
        <v>1115</v>
      </c>
      <c r="R323" s="1" t="s">
        <v>14</v>
      </c>
      <c r="S323" s="26">
        <v>500</v>
      </c>
      <c r="T323" s="26">
        <v>34500000</v>
      </c>
      <c r="U323" s="26">
        <v>4692885</v>
      </c>
      <c r="V323" s="26">
        <v>6.6832313946828794</v>
      </c>
      <c r="W323" s="26">
        <v>0</v>
      </c>
      <c r="X323" s="26">
        <v>500</v>
      </c>
    </row>
    <row r="324" spans="1:24">
      <c r="A324" s="24" t="str">
        <f t="shared" si="64"/>
        <v>신규</v>
      </c>
      <c r="B324" s="24" t="str">
        <f>IF(COUNTIF(Q$1:Q323,Q324)=0,"최초","리오더")</f>
        <v>최초</v>
      </c>
      <c r="C324" s="24" t="str">
        <f t="shared" si="65"/>
        <v>JILTPE5833</v>
      </c>
      <c r="D324" s="24">
        <f t="shared" si="60"/>
        <v>0.5</v>
      </c>
      <c r="E324" s="24" t="str">
        <f t="shared" si="66"/>
        <v/>
      </c>
      <c r="F324" s="24">
        <f t="shared" si="61"/>
        <v>0</v>
      </c>
      <c r="G324" s="24" t="str">
        <f t="shared" si="67"/>
        <v>JILTPE5833RE</v>
      </c>
      <c r="H324" s="24">
        <f t="shared" si="62"/>
        <v>1</v>
      </c>
      <c r="I324" s="24" t="str">
        <f t="shared" si="68"/>
        <v/>
      </c>
      <c r="J324" s="24">
        <f t="shared" si="63"/>
        <v>0</v>
      </c>
      <c r="K324" s="24" t="str">
        <f t="shared" si="69"/>
        <v>E5</v>
      </c>
      <c r="L324" s="24" t="str">
        <f>VLOOKUP(N324,CODE!K:P,CODE!$P$1,FALSE)</f>
        <v>모자</v>
      </c>
      <c r="M324" s="24" t="str">
        <f>VLOOKUP(MID(Q324,1,3),CODE!$B:$G,CODE!D$1,FALSE)</f>
        <v>JIL</v>
      </c>
      <c r="N324" s="24" t="str">
        <f t="shared" si="70"/>
        <v>TP</v>
      </c>
      <c r="O324" s="29" t="str">
        <f>IF(ISERROR(IF(VLOOKUP($N324,CODE!$K:$P,CODE!$O$1,FALSE)="",$M324,$M324&amp;"-"&amp;VLOOKUP($N324,CODE!$K:$P,CODE!$O$1,FALSE)))=TRUE,"",IF(VLOOKUP($N324,CODE!$K:$P,CODE!$O$1,FALSE)="",$M324,$M324&amp;"-"&amp;VLOOKUP($N324,CODE!$K:$P,CODE!$O$1,FALSE)))</f>
        <v>JIL</v>
      </c>
      <c r="P324" s="29" t="str">
        <f t="shared" si="71"/>
        <v>JILTPE5833</v>
      </c>
      <c r="Q324" s="1" t="s">
        <v>1116</v>
      </c>
      <c r="R324" s="1" t="s">
        <v>14</v>
      </c>
      <c r="S324" s="26">
        <v>500</v>
      </c>
      <c r="T324" s="26">
        <v>32500000</v>
      </c>
      <c r="U324" s="26">
        <v>4630500</v>
      </c>
      <c r="V324" s="26">
        <v>6.3806186255165844</v>
      </c>
      <c r="W324" s="26">
        <v>0</v>
      </c>
      <c r="X324" s="26">
        <v>500</v>
      </c>
    </row>
    <row r="325" spans="1:24">
      <c r="A325" s="24" t="str">
        <f t="shared" si="64"/>
        <v>신규</v>
      </c>
      <c r="B325" s="24" t="str">
        <f>IF(COUNTIF(Q$1:Q324,Q325)=0,"최초","리오더")</f>
        <v>최초</v>
      </c>
      <c r="C325" s="24" t="str">
        <f t="shared" si="65"/>
        <v>JILTPE5334</v>
      </c>
      <c r="D325" s="24">
        <f t="shared" si="60"/>
        <v>1</v>
      </c>
      <c r="E325" s="24" t="str">
        <f t="shared" si="66"/>
        <v/>
      </c>
      <c r="F325" s="24">
        <f t="shared" si="61"/>
        <v>0</v>
      </c>
      <c r="G325" s="24" t="str">
        <f t="shared" si="67"/>
        <v>JILTPE5334BK</v>
      </c>
      <c r="H325" s="24">
        <f t="shared" si="62"/>
        <v>1</v>
      </c>
      <c r="I325" s="24" t="str">
        <f t="shared" si="68"/>
        <v/>
      </c>
      <c r="J325" s="24">
        <f t="shared" si="63"/>
        <v>0</v>
      </c>
      <c r="K325" s="24" t="str">
        <f t="shared" si="69"/>
        <v>E5</v>
      </c>
      <c r="L325" s="24" t="str">
        <f>VLOOKUP(N325,CODE!K:P,CODE!$P$1,FALSE)</f>
        <v>모자</v>
      </c>
      <c r="M325" s="24" t="str">
        <f>VLOOKUP(MID(Q325,1,3),CODE!$B:$G,CODE!D$1,FALSE)</f>
        <v>JIL</v>
      </c>
      <c r="N325" s="24" t="str">
        <f t="shared" si="70"/>
        <v>TP</v>
      </c>
      <c r="O325" s="29" t="str">
        <f>IF(ISERROR(IF(VLOOKUP($N325,CODE!$K:$P,CODE!$O$1,FALSE)="",$M325,$M325&amp;"-"&amp;VLOOKUP($N325,CODE!$K:$P,CODE!$O$1,FALSE)))=TRUE,"",IF(VLOOKUP($N325,CODE!$K:$P,CODE!$O$1,FALSE)="",$M325,$M325&amp;"-"&amp;VLOOKUP($N325,CODE!$K:$P,CODE!$O$1,FALSE)))</f>
        <v>JIL</v>
      </c>
      <c r="P325" s="29" t="str">
        <f t="shared" si="71"/>
        <v>JILTPE5334</v>
      </c>
      <c r="Q325" s="1" t="s">
        <v>1117</v>
      </c>
      <c r="R325" s="1" t="s">
        <v>14</v>
      </c>
      <c r="S325" s="26">
        <v>500</v>
      </c>
      <c r="T325" s="26">
        <v>29500000</v>
      </c>
      <c r="U325" s="26">
        <v>3921495.0000000005</v>
      </c>
      <c r="V325" s="26">
        <v>6.8387647614447582</v>
      </c>
      <c r="W325" s="26">
        <v>0</v>
      </c>
      <c r="X325" s="26">
        <v>500</v>
      </c>
    </row>
    <row r="326" spans="1:24">
      <c r="A326" s="24" t="str">
        <f t="shared" si="64"/>
        <v>신규</v>
      </c>
      <c r="B326" s="24" t="str">
        <f>IF(COUNTIF(Q$1:Q325,Q326)=0,"최초","리오더")</f>
        <v>최초</v>
      </c>
      <c r="C326" s="24" t="str">
        <f t="shared" si="65"/>
        <v>JILTPE5834</v>
      </c>
      <c r="D326" s="24">
        <f t="shared" si="60"/>
        <v>1</v>
      </c>
      <c r="E326" s="24" t="str">
        <f t="shared" si="66"/>
        <v/>
      </c>
      <c r="F326" s="24">
        <f t="shared" si="61"/>
        <v>0</v>
      </c>
      <c r="G326" s="24" t="str">
        <f t="shared" si="67"/>
        <v>JILTPE5834BK</v>
      </c>
      <c r="H326" s="24">
        <f t="shared" si="62"/>
        <v>1</v>
      </c>
      <c r="I326" s="24" t="str">
        <f t="shared" si="68"/>
        <v/>
      </c>
      <c r="J326" s="24">
        <f t="shared" si="63"/>
        <v>0</v>
      </c>
      <c r="K326" s="24" t="str">
        <f t="shared" si="69"/>
        <v>E5</v>
      </c>
      <c r="L326" s="24" t="str">
        <f>VLOOKUP(N326,CODE!K:P,CODE!$P$1,FALSE)</f>
        <v>모자</v>
      </c>
      <c r="M326" s="24" t="str">
        <f>VLOOKUP(MID(Q326,1,3),CODE!$B:$G,CODE!D$1,FALSE)</f>
        <v>JIL</v>
      </c>
      <c r="N326" s="24" t="str">
        <f t="shared" si="70"/>
        <v>TP</v>
      </c>
      <c r="O326" s="29" t="str">
        <f>IF(ISERROR(IF(VLOOKUP($N326,CODE!$K:$P,CODE!$O$1,FALSE)="",$M326,$M326&amp;"-"&amp;VLOOKUP($N326,CODE!$K:$P,CODE!$O$1,FALSE)))=TRUE,"",IF(VLOOKUP($N326,CODE!$K:$P,CODE!$O$1,FALSE)="",$M326,$M326&amp;"-"&amp;VLOOKUP($N326,CODE!$K:$P,CODE!$O$1,FALSE)))</f>
        <v>JIL</v>
      </c>
      <c r="P326" s="29" t="str">
        <f t="shared" si="71"/>
        <v>JILTPE5834</v>
      </c>
      <c r="Q326" s="1" t="s">
        <v>1118</v>
      </c>
      <c r="R326" s="1" t="s">
        <v>14</v>
      </c>
      <c r="S326" s="26">
        <v>500</v>
      </c>
      <c r="T326" s="26">
        <v>27500000</v>
      </c>
      <c r="U326" s="26">
        <v>3861509.9999999995</v>
      </c>
      <c r="V326" s="26">
        <v>6.4741513035056233</v>
      </c>
      <c r="W326" s="26">
        <v>0</v>
      </c>
      <c r="X326" s="26">
        <v>500</v>
      </c>
    </row>
    <row r="327" spans="1:24">
      <c r="A327" s="24" t="str">
        <f t="shared" si="64"/>
        <v>신규</v>
      </c>
      <c r="B327" s="24" t="str">
        <f>IF(COUNTIF(Q$1:Q326,Q327)=0,"최초","리오더")</f>
        <v>최초</v>
      </c>
      <c r="C327" s="24" t="str">
        <f t="shared" si="65"/>
        <v>JILTPE5335</v>
      </c>
      <c r="D327" s="24">
        <f t="shared" si="60"/>
        <v>1</v>
      </c>
      <c r="E327" s="24" t="str">
        <f t="shared" si="66"/>
        <v/>
      </c>
      <c r="F327" s="24">
        <f t="shared" si="61"/>
        <v>0</v>
      </c>
      <c r="G327" s="24" t="str">
        <f t="shared" si="67"/>
        <v>JILTPE5335KH</v>
      </c>
      <c r="H327" s="24">
        <f t="shared" si="62"/>
        <v>1</v>
      </c>
      <c r="I327" s="24" t="str">
        <f t="shared" si="68"/>
        <v/>
      </c>
      <c r="J327" s="24">
        <f t="shared" si="63"/>
        <v>0</v>
      </c>
      <c r="K327" s="24" t="str">
        <f t="shared" si="69"/>
        <v>E5</v>
      </c>
      <c r="L327" s="24" t="str">
        <f>VLOOKUP(N327,CODE!K:P,CODE!$P$1,FALSE)</f>
        <v>모자</v>
      </c>
      <c r="M327" s="24" t="str">
        <f>VLOOKUP(MID(Q327,1,3),CODE!$B:$G,CODE!D$1,FALSE)</f>
        <v>JIL</v>
      </c>
      <c r="N327" s="24" t="str">
        <f t="shared" si="70"/>
        <v>TP</v>
      </c>
      <c r="O327" s="29" t="str">
        <f>IF(ISERROR(IF(VLOOKUP($N327,CODE!$K:$P,CODE!$O$1,FALSE)="",$M327,$M327&amp;"-"&amp;VLOOKUP($N327,CODE!$K:$P,CODE!$O$1,FALSE)))=TRUE,"",IF(VLOOKUP($N327,CODE!$K:$P,CODE!$O$1,FALSE)="",$M327,$M327&amp;"-"&amp;VLOOKUP($N327,CODE!$K:$P,CODE!$O$1,FALSE)))</f>
        <v>JIL</v>
      </c>
      <c r="P327" s="29" t="str">
        <f t="shared" si="71"/>
        <v>JILTPE5335</v>
      </c>
      <c r="Q327" s="1" t="s">
        <v>1119</v>
      </c>
      <c r="R327" s="1" t="s">
        <v>14</v>
      </c>
      <c r="S327" s="26">
        <v>500</v>
      </c>
      <c r="T327" s="26">
        <v>34500000</v>
      </c>
      <c r="U327" s="26">
        <v>4958885</v>
      </c>
      <c r="V327" s="26">
        <v>6.3247355733469046</v>
      </c>
      <c r="W327" s="26">
        <v>0</v>
      </c>
      <c r="X327" s="26">
        <v>500</v>
      </c>
    </row>
    <row r="328" spans="1:24">
      <c r="A328" s="24" t="str">
        <f t="shared" si="64"/>
        <v>신규</v>
      </c>
      <c r="B328" s="24" t="str">
        <f>IF(COUNTIF(Q$1:Q327,Q328)=0,"최초","리오더")</f>
        <v>최초</v>
      </c>
      <c r="C328" s="24" t="str">
        <f t="shared" si="65"/>
        <v>JILTPE5336</v>
      </c>
      <c r="D328" s="24">
        <f t="shared" si="60"/>
        <v>1</v>
      </c>
      <c r="E328" s="24" t="str">
        <f t="shared" si="66"/>
        <v/>
      </c>
      <c r="F328" s="24">
        <f t="shared" si="61"/>
        <v>0</v>
      </c>
      <c r="G328" s="24" t="str">
        <f t="shared" si="67"/>
        <v>JILTPE5336GY</v>
      </c>
      <c r="H328" s="24">
        <f t="shared" si="62"/>
        <v>1</v>
      </c>
      <c r="I328" s="24" t="str">
        <f t="shared" si="68"/>
        <v/>
      </c>
      <c r="J328" s="24">
        <f t="shared" si="63"/>
        <v>0</v>
      </c>
      <c r="K328" s="24" t="str">
        <f t="shared" si="69"/>
        <v>E5</v>
      </c>
      <c r="L328" s="24" t="str">
        <f>VLOOKUP(N328,CODE!K:P,CODE!$P$1,FALSE)</f>
        <v>모자</v>
      </c>
      <c r="M328" s="24" t="str">
        <f>VLOOKUP(MID(Q328,1,3),CODE!$B:$G,CODE!D$1,FALSE)</f>
        <v>JIL</v>
      </c>
      <c r="N328" s="24" t="str">
        <f t="shared" si="70"/>
        <v>TP</v>
      </c>
      <c r="O328" s="29" t="str">
        <f>IF(ISERROR(IF(VLOOKUP($N328,CODE!$K:$P,CODE!$O$1,FALSE)="",$M328,$M328&amp;"-"&amp;VLOOKUP($N328,CODE!$K:$P,CODE!$O$1,FALSE)))=TRUE,"",IF(VLOOKUP($N328,CODE!$K:$P,CODE!$O$1,FALSE)="",$M328,$M328&amp;"-"&amp;VLOOKUP($N328,CODE!$K:$P,CODE!$O$1,FALSE)))</f>
        <v>JIL</v>
      </c>
      <c r="P328" s="29" t="str">
        <f t="shared" si="71"/>
        <v>JILTPE5336</v>
      </c>
      <c r="Q328" s="1" t="s">
        <v>1120</v>
      </c>
      <c r="R328" s="1" t="s">
        <v>14</v>
      </c>
      <c r="S328" s="26">
        <v>500</v>
      </c>
      <c r="T328" s="26">
        <v>34500000</v>
      </c>
      <c r="U328" s="26">
        <v>4937900</v>
      </c>
      <c r="V328" s="26">
        <v>6.3516143226141404</v>
      </c>
      <c r="W328" s="26">
        <v>0</v>
      </c>
      <c r="X328" s="26">
        <v>500</v>
      </c>
    </row>
    <row r="329" spans="1:24">
      <c r="A329" s="24" t="str">
        <f t="shared" si="64"/>
        <v>신규</v>
      </c>
      <c r="B329" s="24" t="str">
        <f>IF(COUNTIF(Q$1:Q328,Q329)=0,"최초","리오더")</f>
        <v>최초</v>
      </c>
      <c r="C329" s="24" t="str">
        <f t="shared" si="65"/>
        <v>JILTPE5337</v>
      </c>
      <c r="D329" s="24">
        <f t="shared" si="60"/>
        <v>1</v>
      </c>
      <c r="E329" s="24" t="str">
        <f t="shared" si="66"/>
        <v/>
      </c>
      <c r="F329" s="24">
        <f t="shared" si="61"/>
        <v>0</v>
      </c>
      <c r="G329" s="24" t="str">
        <f t="shared" si="67"/>
        <v>JILTPE5337BK</v>
      </c>
      <c r="H329" s="24">
        <f t="shared" si="62"/>
        <v>1</v>
      </c>
      <c r="I329" s="24" t="str">
        <f t="shared" si="68"/>
        <v/>
      </c>
      <c r="J329" s="24">
        <f t="shared" si="63"/>
        <v>0</v>
      </c>
      <c r="K329" s="24" t="str">
        <f t="shared" si="69"/>
        <v>E5</v>
      </c>
      <c r="L329" s="24" t="str">
        <f>VLOOKUP(N329,CODE!K:P,CODE!$P$1,FALSE)</f>
        <v>모자</v>
      </c>
      <c r="M329" s="24" t="str">
        <f>VLOOKUP(MID(Q329,1,3),CODE!$B:$G,CODE!D$1,FALSE)</f>
        <v>JIL</v>
      </c>
      <c r="N329" s="24" t="str">
        <f t="shared" si="70"/>
        <v>TP</v>
      </c>
      <c r="O329" s="29" t="str">
        <f>IF(ISERROR(IF(VLOOKUP($N329,CODE!$K:$P,CODE!$O$1,FALSE)="",$M329,$M329&amp;"-"&amp;VLOOKUP($N329,CODE!$K:$P,CODE!$O$1,FALSE)))=TRUE,"",IF(VLOOKUP($N329,CODE!$K:$P,CODE!$O$1,FALSE)="",$M329,$M329&amp;"-"&amp;VLOOKUP($N329,CODE!$K:$P,CODE!$O$1,FALSE)))</f>
        <v>JIL</v>
      </c>
      <c r="P329" s="29" t="str">
        <f t="shared" si="71"/>
        <v>JILTPE5337</v>
      </c>
      <c r="Q329" s="1" t="s">
        <v>1121</v>
      </c>
      <c r="R329" s="1" t="s">
        <v>14</v>
      </c>
      <c r="S329" s="26">
        <v>500</v>
      </c>
      <c r="T329" s="26">
        <v>32500000</v>
      </c>
      <c r="U329" s="26">
        <v>4303205</v>
      </c>
      <c r="V329" s="26">
        <v>6.8659184364803778</v>
      </c>
      <c r="W329" s="26">
        <v>0</v>
      </c>
      <c r="X329" s="26">
        <v>500</v>
      </c>
    </row>
    <row r="330" spans="1:24">
      <c r="A330" s="24" t="str">
        <f t="shared" si="64"/>
        <v>신규</v>
      </c>
      <c r="B330" s="24" t="str">
        <f>IF(COUNTIF(Q$1:Q329,Q330)=0,"최초","리오더")</f>
        <v>최초</v>
      </c>
      <c r="C330" s="24" t="str">
        <f t="shared" si="65"/>
        <v>JILTPE5338</v>
      </c>
      <c r="D330" s="24">
        <f t="shared" si="60"/>
        <v>1</v>
      </c>
      <c r="E330" s="24" t="str">
        <f t="shared" si="66"/>
        <v/>
      </c>
      <c r="F330" s="24">
        <f t="shared" si="61"/>
        <v>0</v>
      </c>
      <c r="G330" s="24" t="str">
        <f t="shared" si="67"/>
        <v>JILTPE5338BL</v>
      </c>
      <c r="H330" s="24">
        <f t="shared" si="62"/>
        <v>1</v>
      </c>
      <c r="I330" s="24" t="str">
        <f t="shared" si="68"/>
        <v/>
      </c>
      <c r="J330" s="24">
        <f t="shared" si="63"/>
        <v>0</v>
      </c>
      <c r="K330" s="24" t="str">
        <f t="shared" si="69"/>
        <v>E5</v>
      </c>
      <c r="L330" s="24" t="str">
        <f>VLOOKUP(N330,CODE!K:P,CODE!$P$1,FALSE)</f>
        <v>모자</v>
      </c>
      <c r="M330" s="24" t="str">
        <f>VLOOKUP(MID(Q330,1,3),CODE!$B:$G,CODE!D$1,FALSE)</f>
        <v>JIL</v>
      </c>
      <c r="N330" s="24" t="str">
        <f t="shared" si="70"/>
        <v>TP</v>
      </c>
      <c r="O330" s="29" t="str">
        <f>IF(ISERROR(IF(VLOOKUP($N330,CODE!$K:$P,CODE!$O$1,FALSE)="",$M330,$M330&amp;"-"&amp;VLOOKUP($N330,CODE!$K:$P,CODE!$O$1,FALSE)))=TRUE,"",IF(VLOOKUP($N330,CODE!$K:$P,CODE!$O$1,FALSE)="",$M330,$M330&amp;"-"&amp;VLOOKUP($N330,CODE!$K:$P,CODE!$O$1,FALSE)))</f>
        <v>JIL</v>
      </c>
      <c r="P330" s="29" t="str">
        <f t="shared" si="71"/>
        <v>JILTPE5338</v>
      </c>
      <c r="Q330" s="1" t="s">
        <v>1122</v>
      </c>
      <c r="R330" s="1" t="s">
        <v>14</v>
      </c>
      <c r="S330" s="26">
        <v>500</v>
      </c>
      <c r="T330" s="26">
        <v>34500000</v>
      </c>
      <c r="U330" s="26">
        <v>4750875</v>
      </c>
      <c r="V330" s="26">
        <v>6.6016547191067678</v>
      </c>
      <c r="W330" s="26">
        <v>0</v>
      </c>
      <c r="X330" s="26">
        <v>500</v>
      </c>
    </row>
    <row r="331" spans="1:24">
      <c r="A331" s="24" t="str">
        <f t="shared" si="64"/>
        <v>신규</v>
      </c>
      <c r="B331" s="24" t="str">
        <f>IF(COUNTIF(Q$1:Q330,Q331)=0,"최초","리오더")</f>
        <v>최초</v>
      </c>
      <c r="C331" s="24" t="str">
        <f t="shared" si="65"/>
        <v>NOVBAE5803</v>
      </c>
      <c r="D331" s="24">
        <f t="shared" si="60"/>
        <v>1</v>
      </c>
      <c r="E331" s="24" t="str">
        <f t="shared" si="66"/>
        <v/>
      </c>
      <c r="F331" s="24">
        <f t="shared" si="61"/>
        <v>0</v>
      </c>
      <c r="G331" s="24" t="str">
        <f t="shared" si="67"/>
        <v>NOVBAE5803OR</v>
      </c>
      <c r="H331" s="24">
        <f t="shared" si="62"/>
        <v>1</v>
      </c>
      <c r="I331" s="24" t="str">
        <f t="shared" si="68"/>
        <v/>
      </c>
      <c r="J331" s="24">
        <f t="shared" si="63"/>
        <v>0</v>
      </c>
      <c r="K331" s="24" t="str">
        <f t="shared" si="69"/>
        <v>E5</v>
      </c>
      <c r="L331" s="24" t="str">
        <f>VLOOKUP(N331,CODE!K:P,CODE!$P$1,FALSE)</f>
        <v>모자</v>
      </c>
      <c r="M331" s="24" t="str">
        <f>VLOOKUP(MID(Q331,1,3),CODE!$B:$G,CODE!D$1,FALSE)</f>
        <v>NOV</v>
      </c>
      <c r="N331" s="24" t="str">
        <f t="shared" si="70"/>
        <v>BA</v>
      </c>
      <c r="O331" s="29" t="str">
        <f>IF(ISERROR(IF(VLOOKUP($N331,CODE!$K:$P,CODE!$O$1,FALSE)="",$M331,$M331&amp;"-"&amp;VLOOKUP($N331,CODE!$K:$P,CODE!$O$1,FALSE)))=TRUE,"",IF(VLOOKUP($N331,CODE!$K:$P,CODE!$O$1,FALSE)="",$M331,$M331&amp;"-"&amp;VLOOKUP($N331,CODE!$K:$P,CODE!$O$1,FALSE)))</f>
        <v>NOV</v>
      </c>
      <c r="P331" s="29" t="str">
        <f t="shared" si="71"/>
        <v>NOVBAE5803</v>
      </c>
      <c r="Q331" s="1" t="s">
        <v>1123</v>
      </c>
      <c r="R331" s="1" t="s">
        <v>14</v>
      </c>
      <c r="S331" s="26">
        <v>500</v>
      </c>
      <c r="T331" s="26">
        <v>22500000</v>
      </c>
      <c r="U331" s="26">
        <v>2331045</v>
      </c>
      <c r="V331" s="26">
        <v>8.7748393765652128</v>
      </c>
      <c r="W331" s="26">
        <v>0</v>
      </c>
      <c r="X331" s="26">
        <v>500</v>
      </c>
    </row>
    <row r="332" spans="1:24">
      <c r="A332" s="24" t="str">
        <f t="shared" si="64"/>
        <v>신규</v>
      </c>
      <c r="B332" s="24" t="str">
        <f>IF(COUNTIF(Q$1:Q331,Q332)=0,"최초","리오더")</f>
        <v>최초</v>
      </c>
      <c r="C332" s="24" t="str">
        <f t="shared" si="65"/>
        <v>NOVBAE5804</v>
      </c>
      <c r="D332" s="24">
        <f t="shared" si="60"/>
        <v>1</v>
      </c>
      <c r="E332" s="24" t="str">
        <f t="shared" si="66"/>
        <v/>
      </c>
      <c r="F332" s="24">
        <f t="shared" si="61"/>
        <v>0</v>
      </c>
      <c r="G332" s="24" t="str">
        <f t="shared" si="67"/>
        <v>NOVBAE5804BL</v>
      </c>
      <c r="H332" s="24">
        <f t="shared" si="62"/>
        <v>1</v>
      </c>
      <c r="I332" s="24" t="str">
        <f t="shared" si="68"/>
        <v/>
      </c>
      <c r="J332" s="24">
        <f t="shared" si="63"/>
        <v>0</v>
      </c>
      <c r="K332" s="24" t="str">
        <f t="shared" si="69"/>
        <v>E5</v>
      </c>
      <c r="L332" s="24" t="str">
        <f>VLOOKUP(N332,CODE!K:P,CODE!$P$1,FALSE)</f>
        <v>모자</v>
      </c>
      <c r="M332" s="24" t="str">
        <f>VLOOKUP(MID(Q332,1,3),CODE!$B:$G,CODE!D$1,FALSE)</f>
        <v>NOV</v>
      </c>
      <c r="N332" s="24" t="str">
        <f t="shared" si="70"/>
        <v>BA</v>
      </c>
      <c r="O332" s="29" t="str">
        <f>IF(ISERROR(IF(VLOOKUP($N332,CODE!$K:$P,CODE!$O$1,FALSE)="",$M332,$M332&amp;"-"&amp;VLOOKUP($N332,CODE!$K:$P,CODE!$O$1,FALSE)))=TRUE,"",IF(VLOOKUP($N332,CODE!$K:$P,CODE!$O$1,FALSE)="",$M332,$M332&amp;"-"&amp;VLOOKUP($N332,CODE!$K:$P,CODE!$O$1,FALSE)))</f>
        <v>NOV</v>
      </c>
      <c r="P332" s="29" t="str">
        <f t="shared" si="71"/>
        <v>NOVBAE5804</v>
      </c>
      <c r="Q332" s="1" t="s">
        <v>1124</v>
      </c>
      <c r="R332" s="1" t="s">
        <v>14</v>
      </c>
      <c r="S332" s="26">
        <v>500</v>
      </c>
      <c r="T332" s="26">
        <v>22500000</v>
      </c>
      <c r="U332" s="26">
        <v>2243675</v>
      </c>
      <c r="V332" s="26">
        <v>9.1165366884889547</v>
      </c>
      <c r="W332" s="26">
        <v>0</v>
      </c>
      <c r="X332" s="26">
        <v>500</v>
      </c>
    </row>
    <row r="333" spans="1:24">
      <c r="A333" s="24" t="str">
        <f t="shared" si="64"/>
        <v>러닝</v>
      </c>
      <c r="B333" s="24" t="str">
        <f>IF(COUNTIF(Q$1:Q332,Q333)=0,"최초","리오더")</f>
        <v>최초</v>
      </c>
      <c r="C333" s="24" t="str">
        <f t="shared" si="65"/>
        <v>ELSFIE3001</v>
      </c>
      <c r="D333" s="24">
        <f t="shared" si="60"/>
        <v>1</v>
      </c>
      <c r="E333" s="24" t="str">
        <f t="shared" si="66"/>
        <v/>
      </c>
      <c r="F333" s="24">
        <f t="shared" si="61"/>
        <v>0</v>
      </c>
      <c r="G333" s="24" t="str">
        <f t="shared" si="67"/>
        <v>ELSFIE3001BK</v>
      </c>
      <c r="H333" s="24">
        <f t="shared" si="62"/>
        <v>1</v>
      </c>
      <c r="I333" s="24" t="str">
        <f t="shared" si="68"/>
        <v/>
      </c>
      <c r="J333" s="24">
        <f t="shared" si="63"/>
        <v>0</v>
      </c>
      <c r="K333" s="24" t="str">
        <f t="shared" si="69"/>
        <v>E3</v>
      </c>
      <c r="L333" s="24" t="str">
        <f>VLOOKUP(N333,CODE!K:P,CODE!$P$1,FALSE)</f>
        <v>모자</v>
      </c>
      <c r="M333" s="24" t="str">
        <f>VLOOKUP(MID(Q333,1,3),CODE!$B:$G,CODE!D$1,FALSE)</f>
        <v>ELS</v>
      </c>
      <c r="N333" s="24" t="str">
        <f t="shared" si="70"/>
        <v>FI</v>
      </c>
      <c r="O333" s="29" t="str">
        <f>IF(ISERROR(IF(VLOOKUP($N333,CODE!$K:$P,CODE!$O$1,FALSE)="",$M333,$M333&amp;"-"&amp;VLOOKUP($N333,CODE!$K:$P,CODE!$O$1,FALSE)))=TRUE,"",IF(VLOOKUP($N333,CODE!$K:$P,CODE!$O$1,FALSE)="",$M333,$M333&amp;"-"&amp;VLOOKUP($N333,CODE!$K:$P,CODE!$O$1,FALSE)))</f>
        <v>ELS</v>
      </c>
      <c r="P333" s="29" t="str">
        <f t="shared" si="71"/>
        <v>ELSFIE3001</v>
      </c>
      <c r="Q333" s="1" t="s">
        <v>1125</v>
      </c>
      <c r="R333" s="1" t="s">
        <v>14</v>
      </c>
      <c r="S333" s="26">
        <v>5000</v>
      </c>
      <c r="T333" s="26">
        <v>245000000</v>
      </c>
      <c r="U333" s="26">
        <v>27820000</v>
      </c>
      <c r="V333" s="26">
        <v>8.0060126789098742</v>
      </c>
      <c r="W333" s="26">
        <v>0</v>
      </c>
      <c r="X333" s="26">
        <v>5000</v>
      </c>
    </row>
    <row r="334" spans="1:24">
      <c r="A334" s="24" t="str">
        <f t="shared" si="64"/>
        <v>러닝</v>
      </c>
      <c r="B334" s="24" t="str">
        <f>IF(COUNTIF(Q$1:Q333,Q334)=0,"최초","리오더")</f>
        <v>최초</v>
      </c>
      <c r="C334" s="24" t="str">
        <f t="shared" si="65"/>
        <v>ELSFIE3661</v>
      </c>
      <c r="D334" s="24">
        <f t="shared" si="60"/>
        <v>1</v>
      </c>
      <c r="E334" s="24" t="str">
        <f t="shared" si="66"/>
        <v/>
      </c>
      <c r="F334" s="24">
        <f t="shared" si="61"/>
        <v>0</v>
      </c>
      <c r="G334" s="24" t="str">
        <f t="shared" si="67"/>
        <v>ELSFIE3661BK</v>
      </c>
      <c r="H334" s="24">
        <f t="shared" si="62"/>
        <v>1</v>
      </c>
      <c r="I334" s="24" t="str">
        <f t="shared" si="68"/>
        <v/>
      </c>
      <c r="J334" s="24">
        <f t="shared" si="63"/>
        <v>0</v>
      </c>
      <c r="K334" s="24" t="str">
        <f t="shared" si="69"/>
        <v>E3</v>
      </c>
      <c r="L334" s="24" t="str">
        <f>VLOOKUP(N334,CODE!K:P,CODE!$P$1,FALSE)</f>
        <v>모자</v>
      </c>
      <c r="M334" s="24" t="str">
        <f>VLOOKUP(MID(Q334,1,3),CODE!$B:$G,CODE!D$1,FALSE)</f>
        <v>ELS</v>
      </c>
      <c r="N334" s="24" t="str">
        <f t="shared" si="70"/>
        <v>FI</v>
      </c>
      <c r="O334" s="29" t="str">
        <f>IF(ISERROR(IF(VLOOKUP($N334,CODE!$K:$P,CODE!$O$1,FALSE)="",$M334,$M334&amp;"-"&amp;VLOOKUP($N334,CODE!$K:$P,CODE!$O$1,FALSE)))=TRUE,"",IF(VLOOKUP($N334,CODE!$K:$P,CODE!$O$1,FALSE)="",$M334,$M334&amp;"-"&amp;VLOOKUP($N334,CODE!$K:$P,CODE!$O$1,FALSE)))</f>
        <v>ELS</v>
      </c>
      <c r="P334" s="29" t="str">
        <f t="shared" si="71"/>
        <v>ELSFIE3661</v>
      </c>
      <c r="Q334" s="1" t="s">
        <v>1126</v>
      </c>
      <c r="R334" s="1" t="s">
        <v>14</v>
      </c>
      <c r="S334" s="26">
        <v>3000</v>
      </c>
      <c r="T334" s="26">
        <v>129000000</v>
      </c>
      <c r="U334" s="26">
        <v>14613000</v>
      </c>
      <c r="V334" s="26">
        <v>8.0252328250685867</v>
      </c>
      <c r="W334" s="26">
        <v>0</v>
      </c>
      <c r="X334" s="26">
        <v>3000</v>
      </c>
    </row>
    <row r="335" spans="1:24">
      <c r="A335" s="24" t="str">
        <f t="shared" si="64"/>
        <v>러닝</v>
      </c>
      <c r="B335" s="24" t="str">
        <f>IF(COUNTIF(Q$1:Q334,Q335)=0,"최초","리오더")</f>
        <v>최초</v>
      </c>
      <c r="C335" s="24" t="str">
        <f t="shared" si="65"/>
        <v>ELSUME3014</v>
      </c>
      <c r="D335" s="24">
        <f t="shared" si="60"/>
        <v>0.5</v>
      </c>
      <c r="E335" s="24" t="str">
        <f t="shared" si="66"/>
        <v/>
      </c>
      <c r="F335" s="24">
        <f t="shared" si="61"/>
        <v>0</v>
      </c>
      <c r="G335" s="24" t="str">
        <f t="shared" si="67"/>
        <v>ELSUME3014PK</v>
      </c>
      <c r="H335" s="24">
        <f t="shared" si="62"/>
        <v>1</v>
      </c>
      <c r="I335" s="24" t="str">
        <f t="shared" si="68"/>
        <v/>
      </c>
      <c r="J335" s="24">
        <f t="shared" si="63"/>
        <v>0</v>
      </c>
      <c r="K335" s="24" t="str">
        <f t="shared" si="69"/>
        <v>E3</v>
      </c>
      <c r="L335" s="24" t="str">
        <f>VLOOKUP(N335,CODE!K:P,CODE!$P$1,FALSE)</f>
        <v>모자</v>
      </c>
      <c r="M335" s="24" t="str">
        <f>VLOOKUP(MID(Q335,1,3),CODE!$B:$G,CODE!D$1,FALSE)</f>
        <v>ELS</v>
      </c>
      <c r="N335" s="24" t="str">
        <f t="shared" si="70"/>
        <v>UM</v>
      </c>
      <c r="O335" s="29" t="str">
        <f>IF(ISERROR(IF(VLOOKUP($N335,CODE!$K:$P,CODE!$O$1,FALSE)="",$M335,$M335&amp;"-"&amp;VLOOKUP($N335,CODE!$K:$P,CODE!$O$1,FALSE)))=TRUE,"",IF(VLOOKUP($N335,CODE!$K:$P,CODE!$O$1,FALSE)="",$M335,$M335&amp;"-"&amp;VLOOKUP($N335,CODE!$K:$P,CODE!$O$1,FALSE)))</f>
        <v>ELS</v>
      </c>
      <c r="P335" s="29" t="str">
        <f t="shared" si="71"/>
        <v>ELSUME3014</v>
      </c>
      <c r="Q335" s="1" t="s">
        <v>1127</v>
      </c>
      <c r="R335" s="1" t="s">
        <v>14</v>
      </c>
      <c r="S335" s="26">
        <v>1500</v>
      </c>
      <c r="T335" s="26">
        <v>67500000</v>
      </c>
      <c r="U335" s="26">
        <v>8086125</v>
      </c>
      <c r="V335" s="26">
        <v>7.5887568351511216</v>
      </c>
      <c r="W335" s="26">
        <v>0</v>
      </c>
      <c r="X335" s="26">
        <v>1500</v>
      </c>
    </row>
    <row r="336" spans="1:24">
      <c r="A336" s="24" t="str">
        <f t="shared" si="64"/>
        <v>러닝</v>
      </c>
      <c r="B336" s="24" t="str">
        <f>IF(COUNTIF(Q$1:Q335,Q336)=0,"최초","리오더")</f>
        <v>최초</v>
      </c>
      <c r="C336" s="24" t="str">
        <f t="shared" si="65"/>
        <v>NOVMIE3102</v>
      </c>
      <c r="D336" s="24">
        <f t="shared" si="60"/>
        <v>0.33333333333333331</v>
      </c>
      <c r="E336" s="24" t="str">
        <f t="shared" si="66"/>
        <v/>
      </c>
      <c r="F336" s="24">
        <f t="shared" si="61"/>
        <v>0</v>
      </c>
      <c r="G336" s="24" t="str">
        <f t="shared" si="67"/>
        <v>NOVMIE3102GR</v>
      </c>
      <c r="H336" s="24">
        <f t="shared" si="62"/>
        <v>1</v>
      </c>
      <c r="I336" s="24" t="str">
        <f t="shared" si="68"/>
        <v/>
      </c>
      <c r="J336" s="24">
        <f t="shared" si="63"/>
        <v>0</v>
      </c>
      <c r="K336" s="24" t="str">
        <f t="shared" si="69"/>
        <v>E3</v>
      </c>
      <c r="L336" s="24" t="str">
        <f>VLOOKUP(N336,CODE!K:P,CODE!$P$1,FALSE)</f>
        <v>모자</v>
      </c>
      <c r="M336" s="24" t="str">
        <f>VLOOKUP(MID(Q336,1,3),CODE!$B:$G,CODE!D$1,FALSE)</f>
        <v>NOV</v>
      </c>
      <c r="N336" s="24" t="str">
        <f t="shared" si="70"/>
        <v>MI</v>
      </c>
      <c r="O336" s="29" t="str">
        <f>IF(ISERROR(IF(VLOOKUP($N336,CODE!$K:$P,CODE!$O$1,FALSE)="",$M336,$M336&amp;"-"&amp;VLOOKUP($N336,CODE!$K:$P,CODE!$O$1,FALSE)))=TRUE,"",IF(VLOOKUP($N336,CODE!$K:$P,CODE!$O$1,FALSE)="",$M336,$M336&amp;"-"&amp;VLOOKUP($N336,CODE!$K:$P,CODE!$O$1,FALSE)))</f>
        <v>NOV</v>
      </c>
      <c r="P336" s="29" t="str">
        <f t="shared" si="71"/>
        <v>NOVMIE3102</v>
      </c>
      <c r="Q336" s="1" t="s">
        <v>1128</v>
      </c>
      <c r="R336" s="1" t="s">
        <v>14</v>
      </c>
      <c r="S336" s="26">
        <v>700</v>
      </c>
      <c r="T336" s="26">
        <v>34300000</v>
      </c>
      <c r="U336" s="26">
        <v>4772831.0000000009</v>
      </c>
      <c r="V336" s="26">
        <v>6.5331913453080936</v>
      </c>
      <c r="W336" s="26">
        <v>0</v>
      </c>
      <c r="X336" s="26">
        <v>700</v>
      </c>
    </row>
    <row r="337" spans="1:24">
      <c r="A337" s="24" t="str">
        <f t="shared" si="64"/>
        <v>러닝</v>
      </c>
      <c r="B337" s="24" t="str">
        <f>IF(COUNTIF(Q$1:Q336,Q337)=0,"최초","리오더")</f>
        <v>최초</v>
      </c>
      <c r="C337" s="24" t="str">
        <f t="shared" si="65"/>
        <v>PLAUME3003</v>
      </c>
      <c r="D337" s="24">
        <f t="shared" si="60"/>
        <v>1</v>
      </c>
      <c r="E337" s="24" t="str">
        <f t="shared" si="66"/>
        <v/>
      </c>
      <c r="F337" s="24">
        <f t="shared" si="61"/>
        <v>0</v>
      </c>
      <c r="G337" s="24" t="str">
        <f t="shared" si="67"/>
        <v>PLAUME3003BW</v>
      </c>
      <c r="H337" s="24">
        <f t="shared" si="62"/>
        <v>1</v>
      </c>
      <c r="I337" s="24" t="str">
        <f t="shared" si="68"/>
        <v/>
      </c>
      <c r="J337" s="24">
        <f t="shared" si="63"/>
        <v>0</v>
      </c>
      <c r="K337" s="24" t="str">
        <f t="shared" si="69"/>
        <v>E3</v>
      </c>
      <c r="L337" s="24" t="str">
        <f>VLOOKUP(N337,CODE!K:P,CODE!$P$1,FALSE)</f>
        <v>모자</v>
      </c>
      <c r="M337" s="24" t="str">
        <f>VLOOKUP(MID(Q337,1,3),CODE!$B:$G,CODE!D$1,FALSE)</f>
        <v>PLA</v>
      </c>
      <c r="N337" s="24" t="str">
        <f t="shared" si="70"/>
        <v>UM</v>
      </c>
      <c r="O337" s="29" t="str">
        <f>IF(ISERROR(IF(VLOOKUP($N337,CODE!$K:$P,CODE!$O$1,FALSE)="",$M337,$M337&amp;"-"&amp;VLOOKUP($N337,CODE!$K:$P,CODE!$O$1,FALSE)))=TRUE,"",IF(VLOOKUP($N337,CODE!$K:$P,CODE!$O$1,FALSE)="",$M337,$M337&amp;"-"&amp;VLOOKUP($N337,CODE!$K:$P,CODE!$O$1,FALSE)))</f>
        <v>PLA</v>
      </c>
      <c r="P337" s="29" t="str">
        <f t="shared" si="71"/>
        <v>PLAUME3003</v>
      </c>
      <c r="Q337" s="1" t="s">
        <v>1129</v>
      </c>
      <c r="R337" s="1" t="s">
        <v>14</v>
      </c>
      <c r="S337" s="26">
        <v>700</v>
      </c>
      <c r="T337" s="26">
        <v>41300000</v>
      </c>
      <c r="U337" s="26">
        <v>5151762.0000000009</v>
      </c>
      <c r="V337" s="26">
        <v>7.2878860757648622</v>
      </c>
      <c r="W337" s="26">
        <v>700</v>
      </c>
      <c r="X337" s="26">
        <v>0</v>
      </c>
    </row>
    <row r="338" spans="1:24">
      <c r="A338" s="24" t="str">
        <f t="shared" si="64"/>
        <v>러닝</v>
      </c>
      <c r="B338" s="24" t="str">
        <f>IF(COUNTIF(Q$1:Q337,Q338)=0,"최초","리오더")</f>
        <v>최초</v>
      </c>
      <c r="C338" s="24" t="str">
        <f t="shared" si="65"/>
        <v>ELSBPE3601</v>
      </c>
      <c r="D338" s="24">
        <f t="shared" si="60"/>
        <v>0.5</v>
      </c>
      <c r="E338" s="24" t="str">
        <f t="shared" si="66"/>
        <v/>
      </c>
      <c r="F338" s="24">
        <f t="shared" si="61"/>
        <v>0</v>
      </c>
      <c r="G338" s="24" t="str">
        <f t="shared" si="67"/>
        <v>ELSBPE3601BK</v>
      </c>
      <c r="H338" s="24">
        <f t="shared" si="62"/>
        <v>1</v>
      </c>
      <c r="I338" s="24" t="str">
        <f t="shared" si="68"/>
        <v/>
      </c>
      <c r="J338" s="24">
        <f t="shared" si="63"/>
        <v>0</v>
      </c>
      <c r="K338" s="24" t="str">
        <f t="shared" si="69"/>
        <v>E3</v>
      </c>
      <c r="L338" s="24" t="str">
        <f>VLOOKUP(N338,CODE!K:P,CODE!$P$1,FALSE)</f>
        <v>가방</v>
      </c>
      <c r="M338" s="24" t="str">
        <f>VLOOKUP(MID(Q338,1,3),CODE!$B:$G,CODE!D$1,FALSE)</f>
        <v>ELS</v>
      </c>
      <c r="N338" s="24" t="str">
        <f t="shared" si="70"/>
        <v>BP</v>
      </c>
      <c r="O338" s="29" t="str">
        <f>IF(ISERROR(IF(VLOOKUP($N338,CODE!$K:$P,CODE!$O$1,FALSE)="",$M338,$M338&amp;"-"&amp;VLOOKUP($N338,CODE!$K:$P,CODE!$O$1,FALSE)))=TRUE,"",IF(VLOOKUP($N338,CODE!$K:$P,CODE!$O$1,FALSE)="",$M338,$M338&amp;"-"&amp;VLOOKUP($N338,CODE!$K:$P,CODE!$O$1,FALSE)))</f>
        <v>ELS-가방</v>
      </c>
      <c r="P338" s="29" t="str">
        <f t="shared" si="71"/>
        <v>ELSBPE3601</v>
      </c>
      <c r="Q338" s="1" t="s">
        <v>1131</v>
      </c>
      <c r="R338" s="1" t="s">
        <v>14</v>
      </c>
      <c r="S338" s="26">
        <v>1000</v>
      </c>
      <c r="T338" s="26">
        <v>109000000</v>
      </c>
      <c r="U338" s="26">
        <v>22920000</v>
      </c>
      <c r="V338" s="26">
        <v>4.3233380929715999</v>
      </c>
      <c r="W338" s="26">
        <v>990</v>
      </c>
      <c r="X338" s="26">
        <v>0</v>
      </c>
    </row>
    <row r="339" spans="1:24">
      <c r="A339" s="24" t="str">
        <f t="shared" si="64"/>
        <v>러닝</v>
      </c>
      <c r="B339" s="24" t="str">
        <f>IF(COUNTIF(Q$1:Q338,Q339)=0,"최초","리오더")</f>
        <v>최초</v>
      </c>
      <c r="C339" s="24" t="str">
        <f t="shared" si="65"/>
        <v>ELSBPE3601</v>
      </c>
      <c r="D339" s="24">
        <f t="shared" si="60"/>
        <v>0.5</v>
      </c>
      <c r="E339" s="24" t="str">
        <f t="shared" si="66"/>
        <v/>
      </c>
      <c r="F339" s="24">
        <f t="shared" si="61"/>
        <v>0</v>
      </c>
      <c r="G339" s="24" t="str">
        <f t="shared" si="67"/>
        <v>ELSBPE3601BL</v>
      </c>
      <c r="H339" s="24">
        <f t="shared" si="62"/>
        <v>1</v>
      </c>
      <c r="I339" s="24" t="str">
        <f t="shared" si="68"/>
        <v/>
      </c>
      <c r="J339" s="24">
        <f t="shared" si="63"/>
        <v>0</v>
      </c>
      <c r="K339" s="24" t="str">
        <f t="shared" si="69"/>
        <v>E3</v>
      </c>
      <c r="L339" s="24" t="str">
        <f>VLOOKUP(N339,CODE!K:P,CODE!$P$1,FALSE)</f>
        <v>가방</v>
      </c>
      <c r="M339" s="24" t="str">
        <f>VLOOKUP(MID(Q339,1,3),CODE!$B:$G,CODE!D$1,FALSE)</f>
        <v>ELS</v>
      </c>
      <c r="N339" s="24" t="str">
        <f t="shared" si="70"/>
        <v>BP</v>
      </c>
      <c r="O339" s="29" t="str">
        <f>IF(ISERROR(IF(VLOOKUP($N339,CODE!$K:$P,CODE!$O$1,FALSE)="",$M339,$M339&amp;"-"&amp;VLOOKUP($N339,CODE!$K:$P,CODE!$O$1,FALSE)))=TRUE,"",IF(VLOOKUP($N339,CODE!$K:$P,CODE!$O$1,FALSE)="",$M339,$M339&amp;"-"&amp;VLOOKUP($N339,CODE!$K:$P,CODE!$O$1,FALSE)))</f>
        <v>ELS-가방</v>
      </c>
      <c r="P339" s="29" t="str">
        <f t="shared" si="71"/>
        <v>ELSBPE3601</v>
      </c>
      <c r="Q339" s="1" t="s">
        <v>1132</v>
      </c>
      <c r="R339" s="1" t="s">
        <v>14</v>
      </c>
      <c r="S339" s="26">
        <v>500</v>
      </c>
      <c r="T339" s="26">
        <v>54500000</v>
      </c>
      <c r="U339" s="26">
        <v>11460000</v>
      </c>
      <c r="V339" s="26">
        <v>4.3233380929715999</v>
      </c>
      <c r="W339" s="26">
        <v>510</v>
      </c>
      <c r="X339" s="26">
        <v>0</v>
      </c>
    </row>
    <row r="340" spans="1:24">
      <c r="A340" s="24" t="str">
        <f t="shared" si="64"/>
        <v>러닝</v>
      </c>
      <c r="B340" s="24" t="str">
        <f>IF(COUNTIF(Q$1:Q339,Q340)=0,"최초","리오더")</f>
        <v>최초</v>
      </c>
      <c r="C340" s="24" t="str">
        <f t="shared" si="65"/>
        <v>ELSBPE3603</v>
      </c>
      <c r="D340" s="24">
        <f t="shared" si="60"/>
        <v>0.5</v>
      </c>
      <c r="E340" s="24" t="str">
        <f t="shared" si="66"/>
        <v/>
      </c>
      <c r="F340" s="24">
        <f t="shared" si="61"/>
        <v>0</v>
      </c>
      <c r="G340" s="24" t="str">
        <f t="shared" si="67"/>
        <v>ELSBPE3603PK</v>
      </c>
      <c r="H340" s="24">
        <f t="shared" si="62"/>
        <v>1</v>
      </c>
      <c r="I340" s="24" t="str">
        <f t="shared" si="68"/>
        <v/>
      </c>
      <c r="J340" s="24">
        <f t="shared" si="63"/>
        <v>0</v>
      </c>
      <c r="K340" s="24" t="str">
        <f t="shared" si="69"/>
        <v>E3</v>
      </c>
      <c r="L340" s="24" t="str">
        <f>VLOOKUP(N340,CODE!K:P,CODE!$P$1,FALSE)</f>
        <v>가방</v>
      </c>
      <c r="M340" s="24" t="str">
        <f>VLOOKUP(MID(Q340,1,3),CODE!$B:$G,CODE!D$1,FALSE)</f>
        <v>ELS</v>
      </c>
      <c r="N340" s="24" t="str">
        <f t="shared" si="70"/>
        <v>BP</v>
      </c>
      <c r="O340" s="29" t="str">
        <f>IF(ISERROR(IF(VLOOKUP($N340,CODE!$K:$P,CODE!$O$1,FALSE)="",$M340,$M340&amp;"-"&amp;VLOOKUP($N340,CODE!$K:$P,CODE!$O$1,FALSE)))=TRUE,"",IF(VLOOKUP($N340,CODE!$K:$P,CODE!$O$1,FALSE)="",$M340,$M340&amp;"-"&amp;VLOOKUP($N340,CODE!$K:$P,CODE!$O$1,FALSE)))</f>
        <v>ELS-가방</v>
      </c>
      <c r="P340" s="29" t="str">
        <f t="shared" si="71"/>
        <v>ELSBPE3603</v>
      </c>
      <c r="Q340" s="1" t="s">
        <v>1133</v>
      </c>
      <c r="R340" s="1" t="s">
        <v>14</v>
      </c>
      <c r="S340" s="26">
        <v>500</v>
      </c>
      <c r="T340" s="26">
        <v>54500000</v>
      </c>
      <c r="U340" s="26">
        <v>11460000</v>
      </c>
      <c r="V340" s="26">
        <v>4.3233380929715999</v>
      </c>
      <c r="W340" s="26">
        <v>500</v>
      </c>
      <c r="X340" s="26">
        <v>0</v>
      </c>
    </row>
    <row r="341" spans="1:24">
      <c r="A341" s="24" t="str">
        <f t="shared" si="64"/>
        <v>러닝</v>
      </c>
      <c r="B341" s="24" t="str">
        <f>IF(COUNTIF(Q$1:Q340,Q341)=0,"최초","리오더")</f>
        <v>최초</v>
      </c>
      <c r="C341" s="24" t="str">
        <f t="shared" si="65"/>
        <v>ELSBPE3611</v>
      </c>
      <c r="D341" s="24">
        <f t="shared" si="60"/>
        <v>0.33333333333333331</v>
      </c>
      <c r="E341" s="24" t="str">
        <f t="shared" si="66"/>
        <v/>
      </c>
      <c r="F341" s="24">
        <f t="shared" si="61"/>
        <v>0</v>
      </c>
      <c r="G341" s="24" t="str">
        <f t="shared" si="67"/>
        <v>ELSBPE3611BK</v>
      </c>
      <c r="H341" s="24">
        <f t="shared" si="62"/>
        <v>1</v>
      </c>
      <c r="I341" s="24" t="str">
        <f t="shared" si="68"/>
        <v/>
      </c>
      <c r="J341" s="24">
        <f t="shared" si="63"/>
        <v>0</v>
      </c>
      <c r="K341" s="24" t="str">
        <f t="shared" si="69"/>
        <v>E3</v>
      </c>
      <c r="L341" s="24" t="str">
        <f>VLOOKUP(N341,CODE!K:P,CODE!$P$1,FALSE)</f>
        <v>가방</v>
      </c>
      <c r="M341" s="24" t="str">
        <f>VLOOKUP(MID(Q341,1,3),CODE!$B:$G,CODE!D$1,FALSE)</f>
        <v>ELS</v>
      </c>
      <c r="N341" s="24" t="str">
        <f t="shared" si="70"/>
        <v>BP</v>
      </c>
      <c r="O341" s="29" t="str">
        <f>IF(ISERROR(IF(VLOOKUP($N341,CODE!$K:$P,CODE!$O$1,FALSE)="",$M341,$M341&amp;"-"&amp;VLOOKUP($N341,CODE!$K:$P,CODE!$O$1,FALSE)))=TRUE,"",IF(VLOOKUP($N341,CODE!$K:$P,CODE!$O$1,FALSE)="",$M341,$M341&amp;"-"&amp;VLOOKUP($N341,CODE!$K:$P,CODE!$O$1,FALSE)))</f>
        <v>ELS-가방</v>
      </c>
      <c r="P341" s="29" t="str">
        <f t="shared" si="71"/>
        <v>ELSBPE3611</v>
      </c>
      <c r="Q341" s="1" t="s">
        <v>1134</v>
      </c>
      <c r="R341" s="1" t="s">
        <v>14</v>
      </c>
      <c r="S341" s="26">
        <v>500</v>
      </c>
      <c r="T341" s="26">
        <v>49500000</v>
      </c>
      <c r="U341" s="26">
        <v>10010000</v>
      </c>
      <c r="V341" s="26">
        <v>4.4955044955044956</v>
      </c>
      <c r="W341" s="26">
        <v>500</v>
      </c>
      <c r="X341" s="26">
        <v>0</v>
      </c>
    </row>
    <row r="342" spans="1:24">
      <c r="A342" s="24" t="str">
        <f t="shared" si="64"/>
        <v>러닝</v>
      </c>
      <c r="B342" s="24" t="str">
        <f>IF(COUNTIF(Q$1:Q341,Q342)=0,"최초","리오더")</f>
        <v>최초</v>
      </c>
      <c r="C342" s="24" t="str">
        <f t="shared" si="65"/>
        <v>ELSBPE3611</v>
      </c>
      <c r="D342" s="24">
        <f t="shared" si="60"/>
        <v>0.33333333333333331</v>
      </c>
      <c r="E342" s="24" t="str">
        <f t="shared" si="66"/>
        <v/>
      </c>
      <c r="F342" s="24">
        <f t="shared" si="61"/>
        <v>0</v>
      </c>
      <c r="G342" s="24" t="str">
        <f t="shared" si="67"/>
        <v>ELSBPE3611BL</v>
      </c>
      <c r="H342" s="24">
        <f t="shared" si="62"/>
        <v>1</v>
      </c>
      <c r="I342" s="24" t="str">
        <f t="shared" si="68"/>
        <v/>
      </c>
      <c r="J342" s="24">
        <f t="shared" si="63"/>
        <v>0</v>
      </c>
      <c r="K342" s="24" t="str">
        <f t="shared" si="69"/>
        <v>E3</v>
      </c>
      <c r="L342" s="24" t="str">
        <f>VLOOKUP(N342,CODE!K:P,CODE!$P$1,FALSE)</f>
        <v>가방</v>
      </c>
      <c r="M342" s="24" t="str">
        <f>VLOOKUP(MID(Q342,1,3),CODE!$B:$G,CODE!D$1,FALSE)</f>
        <v>ELS</v>
      </c>
      <c r="N342" s="24" t="str">
        <f t="shared" si="70"/>
        <v>BP</v>
      </c>
      <c r="O342" s="29" t="str">
        <f>IF(ISERROR(IF(VLOOKUP($N342,CODE!$K:$P,CODE!$O$1,FALSE)="",$M342,$M342&amp;"-"&amp;VLOOKUP($N342,CODE!$K:$P,CODE!$O$1,FALSE)))=TRUE,"",IF(VLOOKUP($N342,CODE!$K:$P,CODE!$O$1,FALSE)="",$M342,$M342&amp;"-"&amp;VLOOKUP($N342,CODE!$K:$P,CODE!$O$1,FALSE)))</f>
        <v>ELS-가방</v>
      </c>
      <c r="P342" s="29" t="str">
        <f t="shared" si="71"/>
        <v>ELSBPE3611</v>
      </c>
      <c r="Q342" s="1" t="s">
        <v>1135</v>
      </c>
      <c r="R342" s="1" t="s">
        <v>14</v>
      </c>
      <c r="S342" s="26">
        <v>500</v>
      </c>
      <c r="T342" s="26">
        <v>49500000</v>
      </c>
      <c r="U342" s="26">
        <v>10010000</v>
      </c>
      <c r="V342" s="26">
        <v>4.4955044955044956</v>
      </c>
      <c r="W342" s="26">
        <v>500</v>
      </c>
      <c r="X342" s="26">
        <v>0</v>
      </c>
    </row>
    <row r="343" spans="1:24">
      <c r="A343" s="24" t="str">
        <f t="shared" si="64"/>
        <v>러닝</v>
      </c>
      <c r="B343" s="24" t="str">
        <f>IF(COUNTIF(Q$1:Q342,Q343)=0,"최초","리오더")</f>
        <v>최초</v>
      </c>
      <c r="C343" s="24" t="str">
        <f t="shared" si="65"/>
        <v>ELSBPE3613</v>
      </c>
      <c r="D343" s="24">
        <f t="shared" si="60"/>
        <v>1</v>
      </c>
      <c r="E343" s="24" t="str">
        <f t="shared" si="66"/>
        <v/>
      </c>
      <c r="F343" s="24">
        <f t="shared" si="61"/>
        <v>0</v>
      </c>
      <c r="G343" s="24" t="str">
        <f t="shared" si="67"/>
        <v>ELSBPE3613GR</v>
      </c>
      <c r="H343" s="24">
        <f t="shared" si="62"/>
        <v>1</v>
      </c>
      <c r="I343" s="24" t="str">
        <f t="shared" si="68"/>
        <v/>
      </c>
      <c r="J343" s="24">
        <f t="shared" si="63"/>
        <v>0</v>
      </c>
      <c r="K343" s="24" t="str">
        <f t="shared" si="69"/>
        <v>E3</v>
      </c>
      <c r="L343" s="24" t="str">
        <f>VLOOKUP(N343,CODE!K:P,CODE!$P$1,FALSE)</f>
        <v>가방</v>
      </c>
      <c r="M343" s="24" t="str">
        <f>VLOOKUP(MID(Q343,1,3),CODE!$B:$G,CODE!D$1,FALSE)</f>
        <v>ELS</v>
      </c>
      <c r="N343" s="24" t="str">
        <f t="shared" si="70"/>
        <v>BP</v>
      </c>
      <c r="O343" s="29" t="str">
        <f>IF(ISERROR(IF(VLOOKUP($N343,CODE!$K:$P,CODE!$O$1,FALSE)="",$M343,$M343&amp;"-"&amp;VLOOKUP($N343,CODE!$K:$P,CODE!$O$1,FALSE)))=TRUE,"",IF(VLOOKUP($N343,CODE!$K:$P,CODE!$O$1,FALSE)="",$M343,$M343&amp;"-"&amp;VLOOKUP($N343,CODE!$K:$P,CODE!$O$1,FALSE)))</f>
        <v>ELS-가방</v>
      </c>
      <c r="P343" s="29" t="str">
        <f t="shared" si="71"/>
        <v>ELSBPE3613</v>
      </c>
      <c r="Q343" s="1" t="s">
        <v>1136</v>
      </c>
      <c r="R343" s="1" t="s">
        <v>14</v>
      </c>
      <c r="S343" s="26">
        <v>500</v>
      </c>
      <c r="T343" s="26">
        <v>49500000</v>
      </c>
      <c r="U343" s="26">
        <v>10460000</v>
      </c>
      <c r="V343" s="26">
        <v>4.3021032504780115</v>
      </c>
      <c r="W343" s="26">
        <v>500</v>
      </c>
      <c r="X343" s="26">
        <v>0</v>
      </c>
    </row>
    <row r="344" spans="1:24">
      <c r="A344" s="24" t="str">
        <f t="shared" si="64"/>
        <v>신규</v>
      </c>
      <c r="B344" s="85" t="s">
        <v>1596</v>
      </c>
      <c r="C344" s="24" t="str">
        <f t="shared" si="65"/>
        <v>ELSSBE3801</v>
      </c>
      <c r="D344" s="24">
        <f t="shared" si="60"/>
        <v>0.33333333333333331</v>
      </c>
      <c r="E344" s="24" t="str">
        <f t="shared" si="66"/>
        <v/>
      </c>
      <c r="F344" s="24">
        <f t="shared" si="61"/>
        <v>0</v>
      </c>
      <c r="G344" s="24" t="str">
        <f t="shared" si="67"/>
        <v>ELSSBE3801BK</v>
      </c>
      <c r="H344" s="24">
        <f t="shared" si="62"/>
        <v>0.5</v>
      </c>
      <c r="I344" s="24" t="str">
        <f t="shared" si="68"/>
        <v/>
      </c>
      <c r="J344" s="24">
        <f t="shared" si="63"/>
        <v>0</v>
      </c>
      <c r="K344" s="24" t="str">
        <f t="shared" si="69"/>
        <v>E3</v>
      </c>
      <c r="L344" s="24" t="str">
        <f>VLOOKUP(N344,CODE!K:P,CODE!$P$1,FALSE)</f>
        <v>가방</v>
      </c>
      <c r="M344" s="24" t="str">
        <f>VLOOKUP(MID(Q344,1,3),CODE!$B:$G,CODE!D$1,FALSE)</f>
        <v>ELS</v>
      </c>
      <c r="N344" s="24" t="str">
        <f t="shared" si="70"/>
        <v>SB</v>
      </c>
      <c r="O344" s="29" t="str">
        <f>IF(ISERROR(IF(VLOOKUP($N344,CODE!$K:$P,CODE!$O$1,FALSE)="",$M344,$M344&amp;"-"&amp;VLOOKUP($N344,CODE!$K:$P,CODE!$O$1,FALSE)))=TRUE,"",IF(VLOOKUP($N344,CODE!$K:$P,CODE!$O$1,FALSE)="",$M344,$M344&amp;"-"&amp;VLOOKUP($N344,CODE!$K:$P,CODE!$O$1,FALSE)))</f>
        <v>ELS-가방</v>
      </c>
      <c r="P344" s="29" t="str">
        <f t="shared" si="71"/>
        <v>ELSSBE3801</v>
      </c>
      <c r="Q344" s="1" t="s">
        <v>797</v>
      </c>
      <c r="R344" s="1" t="s">
        <v>14</v>
      </c>
      <c r="S344" s="26">
        <v>500</v>
      </c>
      <c r="T344" s="26">
        <v>22500000</v>
      </c>
      <c r="U344" s="26">
        <v>5010000</v>
      </c>
      <c r="V344" s="26">
        <v>4.0827436037016875</v>
      </c>
      <c r="W344" s="26">
        <v>500</v>
      </c>
      <c r="X344" s="26">
        <v>0</v>
      </c>
    </row>
    <row r="345" spans="1:24" hidden="1">
      <c r="A345" s="24" t="str">
        <f t="shared" si="64"/>
        <v>러닝</v>
      </c>
      <c r="B345" s="24" t="str">
        <f>IF(COUNTIF(Q$1:Q344,Q345)=0,"최초","리오더")</f>
        <v>리오더</v>
      </c>
      <c r="C345" s="24" t="str">
        <f t="shared" si="65"/>
        <v/>
      </c>
      <c r="D345" s="24">
        <f t="shared" si="60"/>
        <v>0</v>
      </c>
      <c r="E345" s="24" t="str">
        <f t="shared" si="66"/>
        <v>VBLBAE3216</v>
      </c>
      <c r="F345" s="24">
        <f t="shared" si="61"/>
        <v>0.25</v>
      </c>
      <c r="G345" s="24" t="str">
        <f t="shared" si="67"/>
        <v/>
      </c>
      <c r="H345" s="24">
        <f t="shared" si="62"/>
        <v>0</v>
      </c>
      <c r="I345" s="24" t="str">
        <f t="shared" si="68"/>
        <v>VBLBAE3216BK</v>
      </c>
      <c r="J345" s="24">
        <f t="shared" si="63"/>
        <v>0.5</v>
      </c>
      <c r="K345" s="24" t="str">
        <f t="shared" si="69"/>
        <v>E3</v>
      </c>
      <c r="L345" s="24" t="str">
        <f>VLOOKUP(N345,CODE!K:P,CODE!$P$1,FALSE)</f>
        <v>모자</v>
      </c>
      <c r="M345" s="24" t="str">
        <f>VLOOKUP(MID(Q345,1,3),CODE!$B:$G,CODE!D$1,FALSE)</f>
        <v>VBL</v>
      </c>
      <c r="N345" s="24" t="str">
        <f t="shared" si="70"/>
        <v>BA</v>
      </c>
      <c r="O345" s="29" t="str">
        <f>IF(ISERROR(IF(VLOOKUP($N345,CODE!$K:$P,CODE!$O$1,FALSE)="",$M345,$M345&amp;"-"&amp;VLOOKUP($N345,CODE!$K:$P,CODE!$O$1,FALSE)))=TRUE,"",IF(VLOOKUP($N345,CODE!$K:$P,CODE!$O$1,FALSE)="",$M345,$M345&amp;"-"&amp;VLOOKUP($N345,CODE!$K:$P,CODE!$O$1,FALSE)))</f>
        <v>VBL</v>
      </c>
      <c r="P345" s="29" t="str">
        <f t="shared" si="71"/>
        <v>VBLBAE3216</v>
      </c>
      <c r="Q345" s="1" t="s">
        <v>920</v>
      </c>
      <c r="R345" s="1" t="s">
        <v>14</v>
      </c>
      <c r="S345" s="26">
        <v>3000</v>
      </c>
      <c r="T345" s="26">
        <v>147000000</v>
      </c>
      <c r="U345" s="26">
        <v>25560000</v>
      </c>
      <c r="V345" s="26">
        <v>5.2283397353819883</v>
      </c>
      <c r="W345" s="26">
        <v>3000</v>
      </c>
      <c r="X345" s="26">
        <v>0</v>
      </c>
    </row>
    <row r="346" spans="1:24">
      <c r="A346" s="24" t="str">
        <f t="shared" si="64"/>
        <v>러닝</v>
      </c>
      <c r="B346" s="24" t="str">
        <f>IF(COUNTIF(Q$1:Q345,Q346)=0,"최초","리오더")</f>
        <v>최초</v>
      </c>
      <c r="C346" s="24" t="str">
        <f t="shared" si="65"/>
        <v>BMDBAE3202</v>
      </c>
      <c r="D346" s="24">
        <f t="shared" si="60"/>
        <v>0.25</v>
      </c>
      <c r="E346" s="24" t="str">
        <f t="shared" si="66"/>
        <v/>
      </c>
      <c r="F346" s="24">
        <f t="shared" si="61"/>
        <v>0</v>
      </c>
      <c r="G346" s="24" t="str">
        <f t="shared" si="67"/>
        <v>BMDBAE3202BK</v>
      </c>
      <c r="H346" s="24">
        <f t="shared" si="62"/>
        <v>1</v>
      </c>
      <c r="I346" s="24" t="str">
        <f t="shared" si="68"/>
        <v/>
      </c>
      <c r="J346" s="24">
        <f t="shared" si="63"/>
        <v>0</v>
      </c>
      <c r="K346" s="24" t="str">
        <f t="shared" si="69"/>
        <v>E3</v>
      </c>
      <c r="L346" s="24" t="str">
        <f>VLOOKUP(N346,CODE!K:P,CODE!$P$1,FALSE)</f>
        <v>모자</v>
      </c>
      <c r="M346" s="24" t="str">
        <f>VLOOKUP(MID(Q346,1,3),CODE!$B:$G,CODE!D$1,FALSE)</f>
        <v>BMD</v>
      </c>
      <c r="N346" s="24" t="str">
        <f t="shared" si="70"/>
        <v>BA</v>
      </c>
      <c r="O346" s="29" t="str">
        <f>IF(ISERROR(IF(VLOOKUP($N346,CODE!$K:$P,CODE!$O$1,FALSE)="",$M346,$M346&amp;"-"&amp;VLOOKUP($N346,CODE!$K:$P,CODE!$O$1,FALSE)))=TRUE,"",IF(VLOOKUP($N346,CODE!$K:$P,CODE!$O$1,FALSE)="",$M346,$M346&amp;"-"&amp;VLOOKUP($N346,CODE!$K:$P,CODE!$O$1,FALSE)))</f>
        <v>BMD</v>
      </c>
      <c r="P346" s="29" t="str">
        <f t="shared" si="71"/>
        <v>BMDBAE3202</v>
      </c>
      <c r="Q346" s="1" t="s">
        <v>1137</v>
      </c>
      <c r="R346" s="1" t="s">
        <v>14</v>
      </c>
      <c r="S346" s="26">
        <v>1000</v>
      </c>
      <c r="T346" s="26">
        <v>55000000</v>
      </c>
      <c r="U346" s="26">
        <v>9020000</v>
      </c>
      <c r="V346" s="26">
        <v>5.5432372505543235</v>
      </c>
      <c r="W346" s="26">
        <v>497</v>
      </c>
      <c r="X346" s="26">
        <v>503</v>
      </c>
    </row>
    <row r="347" spans="1:24">
      <c r="A347" s="24" t="str">
        <f t="shared" si="64"/>
        <v>러닝</v>
      </c>
      <c r="B347" s="24" t="str">
        <f>IF(COUNTIF(Q$1:Q346,Q347)=0,"최초","리오더")</f>
        <v>최초</v>
      </c>
      <c r="C347" s="24" t="str">
        <f t="shared" si="65"/>
        <v>BMDBAE3202</v>
      </c>
      <c r="D347" s="24">
        <f t="shared" si="60"/>
        <v>0.25</v>
      </c>
      <c r="E347" s="24" t="str">
        <f t="shared" si="66"/>
        <v/>
      </c>
      <c r="F347" s="24">
        <f t="shared" si="61"/>
        <v>0</v>
      </c>
      <c r="G347" s="24" t="str">
        <f t="shared" si="67"/>
        <v>BMDBAE3202PK</v>
      </c>
      <c r="H347" s="24">
        <f t="shared" si="62"/>
        <v>1</v>
      </c>
      <c r="I347" s="24" t="str">
        <f t="shared" si="68"/>
        <v/>
      </c>
      <c r="J347" s="24">
        <f t="shared" si="63"/>
        <v>0</v>
      </c>
      <c r="K347" s="24" t="str">
        <f t="shared" si="69"/>
        <v>E3</v>
      </c>
      <c r="L347" s="24" t="str">
        <f>VLOOKUP(N347,CODE!K:P,CODE!$P$1,FALSE)</f>
        <v>모자</v>
      </c>
      <c r="M347" s="24" t="str">
        <f>VLOOKUP(MID(Q347,1,3),CODE!$B:$G,CODE!D$1,FALSE)</f>
        <v>BMD</v>
      </c>
      <c r="N347" s="24" t="str">
        <f t="shared" si="70"/>
        <v>BA</v>
      </c>
      <c r="O347" s="29" t="str">
        <f>IF(ISERROR(IF(VLOOKUP($N347,CODE!$K:$P,CODE!$O$1,FALSE)="",$M347,$M347&amp;"-"&amp;VLOOKUP($N347,CODE!$K:$P,CODE!$O$1,FALSE)))=TRUE,"",IF(VLOOKUP($N347,CODE!$K:$P,CODE!$O$1,FALSE)="",$M347,$M347&amp;"-"&amp;VLOOKUP($N347,CODE!$K:$P,CODE!$O$1,FALSE)))</f>
        <v>BMD</v>
      </c>
      <c r="P347" s="29" t="str">
        <f t="shared" si="71"/>
        <v>BMDBAE3202</v>
      </c>
      <c r="Q347" s="1" t="s">
        <v>1138</v>
      </c>
      <c r="R347" s="1" t="s">
        <v>14</v>
      </c>
      <c r="S347" s="26">
        <v>1000</v>
      </c>
      <c r="T347" s="26">
        <v>55000000</v>
      </c>
      <c r="U347" s="26">
        <v>9020000</v>
      </c>
      <c r="V347" s="26">
        <v>5.5432372505543235</v>
      </c>
      <c r="W347" s="26">
        <v>499</v>
      </c>
      <c r="X347" s="26">
        <v>501</v>
      </c>
    </row>
    <row r="348" spans="1:24">
      <c r="A348" s="24" t="str">
        <f t="shared" si="64"/>
        <v>신규</v>
      </c>
      <c r="B348" s="24" t="str">
        <f>IF(COUNTIF(Q$1:Q347,Q348)=0,"최초","리오더")</f>
        <v>최초</v>
      </c>
      <c r="C348" s="24" t="str">
        <f t="shared" si="65"/>
        <v>HCUMIE3304</v>
      </c>
      <c r="D348" s="24">
        <f t="shared" si="60"/>
        <v>1</v>
      </c>
      <c r="E348" s="24" t="str">
        <f t="shared" si="66"/>
        <v/>
      </c>
      <c r="F348" s="24">
        <f t="shared" si="61"/>
        <v>0</v>
      </c>
      <c r="G348" s="24" t="str">
        <f t="shared" si="67"/>
        <v>HCUMIE3304BK</v>
      </c>
      <c r="H348" s="24">
        <f t="shared" si="62"/>
        <v>1</v>
      </c>
      <c r="I348" s="24" t="str">
        <f t="shared" si="68"/>
        <v/>
      </c>
      <c r="J348" s="24">
        <f t="shared" si="63"/>
        <v>0</v>
      </c>
      <c r="K348" s="24" t="str">
        <f t="shared" si="69"/>
        <v>E3</v>
      </c>
      <c r="L348" s="24" t="str">
        <f>VLOOKUP(N348,CODE!K:P,CODE!$P$1,FALSE)</f>
        <v>모자</v>
      </c>
      <c r="M348" s="24" t="str">
        <f>VLOOKUP(MID(Q348,1,3),CODE!$B:$G,CODE!D$1,FALSE)</f>
        <v>HCU</v>
      </c>
      <c r="N348" s="24" t="str">
        <f t="shared" si="70"/>
        <v>MI</v>
      </c>
      <c r="O348" s="29" t="str">
        <f>IF(ISERROR(IF(VLOOKUP($N348,CODE!$K:$P,CODE!$O$1,FALSE)="",$M348,$M348&amp;"-"&amp;VLOOKUP($N348,CODE!$K:$P,CODE!$O$1,FALSE)))=TRUE,"",IF(VLOOKUP($N348,CODE!$K:$P,CODE!$O$1,FALSE)="",$M348,$M348&amp;"-"&amp;VLOOKUP($N348,CODE!$K:$P,CODE!$O$1,FALSE)))</f>
        <v>HCU</v>
      </c>
      <c r="P348" s="29" t="str">
        <f t="shared" si="71"/>
        <v>HCUMIE3304</v>
      </c>
      <c r="Q348" s="1" t="s">
        <v>1139</v>
      </c>
      <c r="R348" s="1" t="s">
        <v>14</v>
      </c>
      <c r="S348" s="26">
        <v>1000</v>
      </c>
      <c r="T348" s="26">
        <v>49000000</v>
      </c>
      <c r="U348" s="26">
        <v>5938470</v>
      </c>
      <c r="V348" s="26">
        <v>7.5011668907066191</v>
      </c>
      <c r="W348" s="26">
        <v>0</v>
      </c>
      <c r="X348" s="26">
        <v>1000</v>
      </c>
    </row>
    <row r="349" spans="1:24">
      <c r="A349" s="24" t="str">
        <f t="shared" si="64"/>
        <v>신규</v>
      </c>
      <c r="B349" s="24" t="str">
        <f>IF(COUNTIF(Q$1:Q348,Q349)=0,"최초","리오더")</f>
        <v>최초</v>
      </c>
      <c r="C349" s="24" t="str">
        <f t="shared" si="65"/>
        <v>HCUMIE3305</v>
      </c>
      <c r="D349" s="24">
        <f t="shared" si="60"/>
        <v>1</v>
      </c>
      <c r="E349" s="24" t="str">
        <f t="shared" si="66"/>
        <v/>
      </c>
      <c r="F349" s="24">
        <f t="shared" si="61"/>
        <v>0</v>
      </c>
      <c r="G349" s="24" t="str">
        <f t="shared" si="67"/>
        <v>HCUMIE3305NY</v>
      </c>
      <c r="H349" s="24">
        <f t="shared" si="62"/>
        <v>1</v>
      </c>
      <c r="I349" s="24" t="str">
        <f t="shared" si="68"/>
        <v/>
      </c>
      <c r="J349" s="24">
        <f t="shared" si="63"/>
        <v>0</v>
      </c>
      <c r="K349" s="24" t="str">
        <f t="shared" si="69"/>
        <v>E3</v>
      </c>
      <c r="L349" s="24" t="str">
        <f>VLOOKUP(N349,CODE!K:P,CODE!$P$1,FALSE)</f>
        <v>모자</v>
      </c>
      <c r="M349" s="24" t="str">
        <f>VLOOKUP(MID(Q349,1,3),CODE!$B:$G,CODE!D$1,FALSE)</f>
        <v>HCU</v>
      </c>
      <c r="N349" s="24" t="str">
        <f t="shared" si="70"/>
        <v>MI</v>
      </c>
      <c r="O349" s="29" t="str">
        <f>IF(ISERROR(IF(VLOOKUP($N349,CODE!$K:$P,CODE!$O$1,FALSE)="",$M349,$M349&amp;"-"&amp;VLOOKUP($N349,CODE!$K:$P,CODE!$O$1,FALSE)))=TRUE,"",IF(VLOOKUP($N349,CODE!$K:$P,CODE!$O$1,FALSE)="",$M349,$M349&amp;"-"&amp;VLOOKUP($N349,CODE!$K:$P,CODE!$O$1,FALSE)))</f>
        <v>HCU</v>
      </c>
      <c r="P349" s="29" t="str">
        <f t="shared" si="71"/>
        <v>HCUMIE3305</v>
      </c>
      <c r="Q349" s="1" t="s">
        <v>1140</v>
      </c>
      <c r="R349" s="1" t="s">
        <v>14</v>
      </c>
      <c r="S349" s="26">
        <v>800</v>
      </c>
      <c r="T349" s="26">
        <v>44000000</v>
      </c>
      <c r="U349" s="26">
        <v>7126060.0000000009</v>
      </c>
      <c r="V349" s="26">
        <v>5.6132000011226388</v>
      </c>
      <c r="W349" s="26">
        <v>0</v>
      </c>
      <c r="X349" s="26">
        <v>800</v>
      </c>
    </row>
    <row r="350" spans="1:24">
      <c r="A350" s="24" t="str">
        <f t="shared" si="64"/>
        <v>신규</v>
      </c>
      <c r="B350" s="24" t="str">
        <f>IF(COUNTIF(Q$1:Q349,Q350)=0,"최초","리오더")</f>
        <v>최초</v>
      </c>
      <c r="C350" s="24" t="str">
        <f t="shared" si="65"/>
        <v>HCUMIE3306</v>
      </c>
      <c r="D350" s="24">
        <f t="shared" si="60"/>
        <v>0.5</v>
      </c>
      <c r="E350" s="24" t="str">
        <f t="shared" si="66"/>
        <v/>
      </c>
      <c r="F350" s="24">
        <f t="shared" si="61"/>
        <v>0</v>
      </c>
      <c r="G350" s="24" t="str">
        <f t="shared" si="67"/>
        <v>HCUMIE3306KH</v>
      </c>
      <c r="H350" s="24">
        <f t="shared" si="62"/>
        <v>1</v>
      </c>
      <c r="I350" s="24" t="str">
        <f t="shared" si="68"/>
        <v/>
      </c>
      <c r="J350" s="24">
        <f t="shared" si="63"/>
        <v>0</v>
      </c>
      <c r="K350" s="24" t="str">
        <f t="shared" si="69"/>
        <v>E3</v>
      </c>
      <c r="L350" s="24" t="str">
        <f>VLOOKUP(N350,CODE!K:P,CODE!$P$1,FALSE)</f>
        <v>모자</v>
      </c>
      <c r="M350" s="24" t="str">
        <f>VLOOKUP(MID(Q350,1,3),CODE!$B:$G,CODE!D$1,FALSE)</f>
        <v>HCU</v>
      </c>
      <c r="N350" s="24" t="str">
        <f t="shared" si="70"/>
        <v>MI</v>
      </c>
      <c r="O350" s="29" t="str">
        <f>IF(ISERROR(IF(VLOOKUP($N350,CODE!$K:$P,CODE!$O$1,FALSE)="",$M350,$M350&amp;"-"&amp;VLOOKUP($N350,CODE!$K:$P,CODE!$O$1,FALSE)))=TRUE,"",IF(VLOOKUP($N350,CODE!$K:$P,CODE!$O$1,FALSE)="",$M350,$M350&amp;"-"&amp;VLOOKUP($N350,CODE!$K:$P,CODE!$O$1,FALSE)))</f>
        <v>HCU</v>
      </c>
      <c r="P350" s="29" t="str">
        <f t="shared" si="71"/>
        <v>HCUMIE3306</v>
      </c>
      <c r="Q350" s="1" t="s">
        <v>1141</v>
      </c>
      <c r="R350" s="1" t="s">
        <v>14</v>
      </c>
      <c r="S350" s="26">
        <v>800</v>
      </c>
      <c r="T350" s="26">
        <v>44000000</v>
      </c>
      <c r="U350" s="26">
        <v>7517256.0000000009</v>
      </c>
      <c r="V350" s="26">
        <v>5.3210905681541236</v>
      </c>
      <c r="W350" s="26">
        <v>0</v>
      </c>
      <c r="X350" s="26">
        <v>800</v>
      </c>
    </row>
    <row r="351" spans="1:24">
      <c r="A351" s="24" t="str">
        <f t="shared" si="64"/>
        <v>신규</v>
      </c>
      <c r="B351" s="24" t="str">
        <f>IF(COUNTIF(Q$1:Q350,Q351)=0,"최초","리오더")</f>
        <v>최초</v>
      </c>
      <c r="C351" s="24" t="str">
        <f t="shared" si="65"/>
        <v>HCUMIE3306</v>
      </c>
      <c r="D351" s="24">
        <f t="shared" si="60"/>
        <v>0.5</v>
      </c>
      <c r="E351" s="24" t="str">
        <f t="shared" si="66"/>
        <v/>
      </c>
      <c r="F351" s="24">
        <f t="shared" si="61"/>
        <v>0</v>
      </c>
      <c r="G351" s="24" t="str">
        <f t="shared" si="67"/>
        <v>HCUMIE3306BK</v>
      </c>
      <c r="H351" s="24">
        <f t="shared" si="62"/>
        <v>1</v>
      </c>
      <c r="I351" s="24" t="str">
        <f t="shared" si="68"/>
        <v/>
      </c>
      <c r="J351" s="24">
        <f t="shared" si="63"/>
        <v>0</v>
      </c>
      <c r="K351" s="24" t="str">
        <f t="shared" si="69"/>
        <v>E3</v>
      </c>
      <c r="L351" s="24" t="str">
        <f>VLOOKUP(N351,CODE!K:P,CODE!$P$1,FALSE)</f>
        <v>모자</v>
      </c>
      <c r="M351" s="24" t="str">
        <f>VLOOKUP(MID(Q351,1,3),CODE!$B:$G,CODE!D$1,FALSE)</f>
        <v>HCU</v>
      </c>
      <c r="N351" s="24" t="str">
        <f t="shared" si="70"/>
        <v>MI</v>
      </c>
      <c r="O351" s="29" t="str">
        <f>IF(ISERROR(IF(VLOOKUP($N351,CODE!$K:$P,CODE!$O$1,FALSE)="",$M351,$M351&amp;"-"&amp;VLOOKUP($N351,CODE!$K:$P,CODE!$O$1,FALSE)))=TRUE,"",IF(VLOOKUP($N351,CODE!$K:$P,CODE!$O$1,FALSE)="",$M351,$M351&amp;"-"&amp;VLOOKUP($N351,CODE!$K:$P,CODE!$O$1,FALSE)))</f>
        <v>HCU</v>
      </c>
      <c r="P351" s="29" t="str">
        <f t="shared" si="71"/>
        <v>HCUMIE3306</v>
      </c>
      <c r="Q351" s="1" t="s">
        <v>1142</v>
      </c>
      <c r="R351" s="1" t="s">
        <v>14</v>
      </c>
      <c r="S351" s="26">
        <v>800</v>
      </c>
      <c r="T351" s="26">
        <v>44000000</v>
      </c>
      <c r="U351" s="26">
        <v>7517256.0000000009</v>
      </c>
      <c r="V351" s="26">
        <v>5.3210905681541236</v>
      </c>
      <c r="W351" s="26">
        <v>0</v>
      </c>
      <c r="X351" s="26">
        <v>800</v>
      </c>
    </row>
    <row r="352" spans="1:24">
      <c r="A352" s="24" t="str">
        <f t="shared" si="64"/>
        <v>신규</v>
      </c>
      <c r="B352" s="24" t="str">
        <f>IF(COUNTIF(Q$1:Q351,Q352)=0,"최초","리오더")</f>
        <v>최초</v>
      </c>
      <c r="C352" s="24" t="str">
        <f t="shared" si="65"/>
        <v>HCUMIE3307</v>
      </c>
      <c r="D352" s="24">
        <f t="shared" si="60"/>
        <v>1</v>
      </c>
      <c r="E352" s="24" t="str">
        <f t="shared" si="66"/>
        <v/>
      </c>
      <c r="F352" s="24">
        <f t="shared" si="61"/>
        <v>0</v>
      </c>
      <c r="G352" s="24" t="str">
        <f t="shared" si="67"/>
        <v>HCUMIE3307GY</v>
      </c>
      <c r="H352" s="24">
        <f t="shared" si="62"/>
        <v>1</v>
      </c>
      <c r="I352" s="24" t="str">
        <f t="shared" si="68"/>
        <v/>
      </c>
      <c r="J352" s="24">
        <f t="shared" si="63"/>
        <v>0</v>
      </c>
      <c r="K352" s="24" t="str">
        <f t="shared" si="69"/>
        <v>E3</v>
      </c>
      <c r="L352" s="24" t="str">
        <f>VLOOKUP(N352,CODE!K:P,CODE!$P$1,FALSE)</f>
        <v>모자</v>
      </c>
      <c r="M352" s="24" t="str">
        <f>VLOOKUP(MID(Q352,1,3),CODE!$B:$G,CODE!D$1,FALSE)</f>
        <v>HCU</v>
      </c>
      <c r="N352" s="24" t="str">
        <f t="shared" si="70"/>
        <v>MI</v>
      </c>
      <c r="O352" s="29" t="str">
        <f>IF(ISERROR(IF(VLOOKUP($N352,CODE!$K:$P,CODE!$O$1,FALSE)="",$M352,$M352&amp;"-"&amp;VLOOKUP($N352,CODE!$K:$P,CODE!$O$1,FALSE)))=TRUE,"",IF(VLOOKUP($N352,CODE!$K:$P,CODE!$O$1,FALSE)="",$M352,$M352&amp;"-"&amp;VLOOKUP($N352,CODE!$K:$P,CODE!$O$1,FALSE)))</f>
        <v>HCU</v>
      </c>
      <c r="P352" s="29" t="str">
        <f t="shared" si="71"/>
        <v>HCUMIE3307</v>
      </c>
      <c r="Q352" s="1" t="s">
        <v>1143</v>
      </c>
      <c r="R352" s="1" t="s">
        <v>14</v>
      </c>
      <c r="S352" s="26">
        <v>800</v>
      </c>
      <c r="T352" s="26">
        <v>44000000</v>
      </c>
      <c r="U352" s="26">
        <v>7236176.0000000009</v>
      </c>
      <c r="V352" s="26">
        <v>5.5277815243852544</v>
      </c>
      <c r="W352" s="26">
        <v>0</v>
      </c>
      <c r="X352" s="26">
        <v>800</v>
      </c>
    </row>
    <row r="353" spans="1:24">
      <c r="A353" s="24" t="str">
        <f t="shared" si="64"/>
        <v>신규</v>
      </c>
      <c r="B353" s="24" t="str">
        <f>IF(COUNTIF(Q$1:Q352,Q353)=0,"최초","리오더")</f>
        <v>최초</v>
      </c>
      <c r="C353" s="24" t="str">
        <f t="shared" si="65"/>
        <v>HCUERE5308</v>
      </c>
      <c r="D353" s="24">
        <f t="shared" si="60"/>
        <v>0.5</v>
      </c>
      <c r="E353" s="24" t="str">
        <f t="shared" si="66"/>
        <v/>
      </c>
      <c r="F353" s="24">
        <f t="shared" si="61"/>
        <v>0</v>
      </c>
      <c r="G353" s="24" t="str">
        <f t="shared" si="67"/>
        <v>HCUERE5308KH</v>
      </c>
      <c r="H353" s="24">
        <f t="shared" si="62"/>
        <v>1</v>
      </c>
      <c r="I353" s="24" t="str">
        <f t="shared" si="68"/>
        <v/>
      </c>
      <c r="J353" s="24">
        <f t="shared" si="63"/>
        <v>0</v>
      </c>
      <c r="K353" s="24" t="str">
        <f t="shared" si="69"/>
        <v>E5</v>
      </c>
      <c r="L353" s="24" t="str">
        <f>VLOOKUP(N353,CODE!K:P,CODE!$P$1,FALSE)</f>
        <v>모자</v>
      </c>
      <c r="M353" s="24" t="str">
        <f>VLOOKUP(MID(Q353,1,3),CODE!$B:$G,CODE!D$1,FALSE)</f>
        <v>HCU</v>
      </c>
      <c r="N353" s="24" t="str">
        <f t="shared" si="70"/>
        <v>ER</v>
      </c>
      <c r="O353" s="29" t="str">
        <f>IF(ISERROR(IF(VLOOKUP($N353,CODE!$K:$P,CODE!$O$1,FALSE)="",$M353,$M353&amp;"-"&amp;VLOOKUP($N353,CODE!$K:$P,CODE!$O$1,FALSE)))=TRUE,"",IF(VLOOKUP($N353,CODE!$K:$P,CODE!$O$1,FALSE)="",$M353,$M353&amp;"-"&amp;VLOOKUP($N353,CODE!$K:$P,CODE!$O$1,FALSE)))</f>
        <v>HCU</v>
      </c>
      <c r="P353" s="29" t="str">
        <f t="shared" si="71"/>
        <v>HCUERE5308</v>
      </c>
      <c r="Q353" s="1" t="s">
        <v>1144</v>
      </c>
      <c r="R353" s="1" t="s">
        <v>14</v>
      </c>
      <c r="S353" s="26">
        <v>800</v>
      </c>
      <c r="T353" s="26">
        <v>47200000</v>
      </c>
      <c r="U353" s="26">
        <v>6631792.0000000009</v>
      </c>
      <c r="V353" s="26">
        <v>6.4702106020651575</v>
      </c>
      <c r="W353" s="26">
        <v>0</v>
      </c>
      <c r="X353" s="26">
        <v>800</v>
      </c>
    </row>
    <row r="354" spans="1:24">
      <c r="A354" s="24" t="str">
        <f t="shared" si="64"/>
        <v>신규</v>
      </c>
      <c r="B354" s="24" t="str">
        <f>IF(COUNTIF(Q$1:Q353,Q354)=0,"최초","리오더")</f>
        <v>최초</v>
      </c>
      <c r="C354" s="24" t="str">
        <f t="shared" si="65"/>
        <v>HCUERE5308</v>
      </c>
      <c r="D354" s="24">
        <f t="shared" si="60"/>
        <v>0.5</v>
      </c>
      <c r="E354" s="24" t="str">
        <f t="shared" si="66"/>
        <v/>
      </c>
      <c r="F354" s="24">
        <f t="shared" si="61"/>
        <v>0</v>
      </c>
      <c r="G354" s="24" t="str">
        <f t="shared" si="67"/>
        <v>HCUERE5308BK</v>
      </c>
      <c r="H354" s="24">
        <f t="shared" si="62"/>
        <v>1</v>
      </c>
      <c r="I354" s="24" t="str">
        <f t="shared" si="68"/>
        <v/>
      </c>
      <c r="J354" s="24">
        <f t="shared" si="63"/>
        <v>0</v>
      </c>
      <c r="K354" s="24" t="str">
        <f t="shared" si="69"/>
        <v>E5</v>
      </c>
      <c r="L354" s="24" t="str">
        <f>VLOOKUP(N354,CODE!K:P,CODE!$P$1,FALSE)</f>
        <v>모자</v>
      </c>
      <c r="M354" s="24" t="str">
        <f>VLOOKUP(MID(Q354,1,3),CODE!$B:$G,CODE!D$1,FALSE)</f>
        <v>HCU</v>
      </c>
      <c r="N354" s="24" t="str">
        <f t="shared" si="70"/>
        <v>ER</v>
      </c>
      <c r="O354" s="29" t="str">
        <f>IF(ISERROR(IF(VLOOKUP($N354,CODE!$K:$P,CODE!$O$1,FALSE)="",$M354,$M354&amp;"-"&amp;VLOOKUP($N354,CODE!$K:$P,CODE!$O$1,FALSE)))=TRUE,"",IF(VLOOKUP($N354,CODE!$K:$P,CODE!$O$1,FALSE)="",$M354,$M354&amp;"-"&amp;VLOOKUP($N354,CODE!$K:$P,CODE!$O$1,FALSE)))</f>
        <v>HCU</v>
      </c>
      <c r="P354" s="29" t="str">
        <f t="shared" si="71"/>
        <v>HCUERE5308</v>
      </c>
      <c r="Q354" s="1" t="s">
        <v>1145</v>
      </c>
      <c r="R354" s="1" t="s">
        <v>14</v>
      </c>
      <c r="S354" s="26">
        <v>800</v>
      </c>
      <c r="T354" s="26">
        <v>47200000</v>
      </c>
      <c r="U354" s="26">
        <v>6813792.0000000009</v>
      </c>
      <c r="V354" s="26">
        <v>6.2973878435225048</v>
      </c>
      <c r="W354" s="26">
        <v>0</v>
      </c>
      <c r="X354" s="26">
        <v>800</v>
      </c>
    </row>
    <row r="355" spans="1:24">
      <c r="A355" s="24" t="str">
        <f t="shared" si="64"/>
        <v>신규</v>
      </c>
      <c r="B355" s="24" t="str">
        <f>IF(COUNTIF(Q$1:Q354,Q355)=0,"최초","리오더")</f>
        <v>최초</v>
      </c>
      <c r="C355" s="24" t="str">
        <f t="shared" si="65"/>
        <v>PLAUME3301</v>
      </c>
      <c r="D355" s="24">
        <f t="shared" si="60"/>
        <v>1</v>
      </c>
      <c r="E355" s="24" t="str">
        <f t="shared" si="66"/>
        <v/>
      </c>
      <c r="F355" s="24">
        <f t="shared" si="61"/>
        <v>0</v>
      </c>
      <c r="G355" s="24" t="str">
        <f t="shared" si="67"/>
        <v>PLAUME3301BL</v>
      </c>
      <c r="H355" s="24">
        <f t="shared" si="62"/>
        <v>1</v>
      </c>
      <c r="I355" s="24" t="str">
        <f t="shared" si="68"/>
        <v/>
      </c>
      <c r="J355" s="24">
        <f t="shared" si="63"/>
        <v>0</v>
      </c>
      <c r="K355" s="24" t="str">
        <f t="shared" si="69"/>
        <v>E3</v>
      </c>
      <c r="L355" s="24" t="str">
        <f>VLOOKUP(N355,CODE!K:P,CODE!$P$1,FALSE)</f>
        <v>모자</v>
      </c>
      <c r="M355" s="24" t="str">
        <f>VLOOKUP(MID(Q355,1,3),CODE!$B:$G,CODE!D$1,FALSE)</f>
        <v>PLA</v>
      </c>
      <c r="N355" s="24" t="str">
        <f t="shared" si="70"/>
        <v>UM</v>
      </c>
      <c r="O355" s="29" t="str">
        <f>IF(ISERROR(IF(VLOOKUP($N355,CODE!$K:$P,CODE!$O$1,FALSE)="",$M355,$M355&amp;"-"&amp;VLOOKUP($N355,CODE!$K:$P,CODE!$O$1,FALSE)))=TRUE,"",IF(VLOOKUP($N355,CODE!$K:$P,CODE!$O$1,FALSE)="",$M355,$M355&amp;"-"&amp;VLOOKUP($N355,CODE!$K:$P,CODE!$O$1,FALSE)))</f>
        <v>PLA</v>
      </c>
      <c r="P355" s="29" t="str">
        <f t="shared" si="71"/>
        <v>PLAUME3301</v>
      </c>
      <c r="Q355" s="1" t="s">
        <v>1146</v>
      </c>
      <c r="R355" s="1" t="s">
        <v>14</v>
      </c>
      <c r="S355" s="26">
        <v>700</v>
      </c>
      <c r="T355" s="26">
        <v>45500000</v>
      </c>
      <c r="U355" s="26">
        <v>6112260.0000000009</v>
      </c>
      <c r="V355" s="26">
        <v>6.7673227846388002</v>
      </c>
      <c r="W355" s="26">
        <v>0</v>
      </c>
      <c r="X355" s="26">
        <v>700</v>
      </c>
    </row>
    <row r="356" spans="1:24">
      <c r="A356" s="24" t="str">
        <f t="shared" si="64"/>
        <v>신규</v>
      </c>
      <c r="B356" s="24" t="str">
        <f>IF(COUNTIF(Q$1:Q355,Q356)=0,"최초","리오더")</f>
        <v>최초</v>
      </c>
      <c r="C356" s="24" t="str">
        <f t="shared" si="65"/>
        <v>PLAUME3302</v>
      </c>
      <c r="D356" s="24">
        <f t="shared" si="60"/>
        <v>1</v>
      </c>
      <c r="E356" s="24" t="str">
        <f t="shared" si="66"/>
        <v/>
      </c>
      <c r="F356" s="24">
        <f t="shared" si="61"/>
        <v>0</v>
      </c>
      <c r="G356" s="24" t="str">
        <f t="shared" si="67"/>
        <v>PLAUME3302PK</v>
      </c>
      <c r="H356" s="24">
        <f t="shared" si="62"/>
        <v>1</v>
      </c>
      <c r="I356" s="24" t="str">
        <f t="shared" si="68"/>
        <v/>
      </c>
      <c r="J356" s="24">
        <f t="shared" si="63"/>
        <v>0</v>
      </c>
      <c r="K356" s="24" t="str">
        <f t="shared" si="69"/>
        <v>E3</v>
      </c>
      <c r="L356" s="24" t="str">
        <f>VLOOKUP(N356,CODE!K:P,CODE!$P$1,FALSE)</f>
        <v>모자</v>
      </c>
      <c r="M356" s="24" t="str">
        <f>VLOOKUP(MID(Q356,1,3),CODE!$B:$G,CODE!D$1,FALSE)</f>
        <v>PLA</v>
      </c>
      <c r="N356" s="24" t="str">
        <f t="shared" si="70"/>
        <v>UM</v>
      </c>
      <c r="O356" s="29" t="str">
        <f>IF(ISERROR(IF(VLOOKUP($N356,CODE!$K:$P,CODE!$O$1,FALSE)="",$M356,$M356&amp;"-"&amp;VLOOKUP($N356,CODE!$K:$P,CODE!$O$1,FALSE)))=TRUE,"",IF(VLOOKUP($N356,CODE!$K:$P,CODE!$O$1,FALSE)="",$M356,$M356&amp;"-"&amp;VLOOKUP($N356,CODE!$K:$P,CODE!$O$1,FALSE)))</f>
        <v>PLA</v>
      </c>
      <c r="P356" s="29" t="str">
        <f t="shared" si="71"/>
        <v>PLAUME3302</v>
      </c>
      <c r="Q356" s="1" t="s">
        <v>1147</v>
      </c>
      <c r="R356" s="1" t="s">
        <v>14</v>
      </c>
      <c r="S356" s="26">
        <v>700</v>
      </c>
      <c r="T356" s="26">
        <v>45500000</v>
      </c>
      <c r="U356" s="26">
        <v>6112260.0000000009</v>
      </c>
      <c r="V356" s="26">
        <v>6.7673227846388002</v>
      </c>
      <c r="W356" s="26">
        <v>0</v>
      </c>
      <c r="X356" s="26">
        <v>700</v>
      </c>
    </row>
    <row r="357" spans="1:24">
      <c r="A357" s="24" t="str">
        <f t="shared" si="64"/>
        <v>러닝</v>
      </c>
      <c r="B357" s="24" t="str">
        <f>IF(COUNTIF(Q$1:Q356,Q357)=0,"최초","리오더")</f>
        <v>최초</v>
      </c>
      <c r="C357" s="24" t="str">
        <f t="shared" si="65"/>
        <v>VBLBAE5113</v>
      </c>
      <c r="D357" s="24">
        <f t="shared" si="60"/>
        <v>1</v>
      </c>
      <c r="E357" s="24" t="str">
        <f t="shared" si="66"/>
        <v/>
      </c>
      <c r="F357" s="24">
        <f t="shared" si="61"/>
        <v>0</v>
      </c>
      <c r="G357" s="24" t="str">
        <f t="shared" si="67"/>
        <v>VBLBAE5113RE</v>
      </c>
      <c r="H357" s="24">
        <f t="shared" si="62"/>
        <v>1</v>
      </c>
      <c r="I357" s="24" t="str">
        <f t="shared" si="68"/>
        <v/>
      </c>
      <c r="J357" s="24">
        <f t="shared" si="63"/>
        <v>0</v>
      </c>
      <c r="K357" s="24" t="str">
        <f t="shared" si="69"/>
        <v>E5</v>
      </c>
      <c r="L357" s="24" t="str">
        <f>VLOOKUP(N357,CODE!K:P,CODE!$P$1,FALSE)</f>
        <v>모자</v>
      </c>
      <c r="M357" s="24" t="str">
        <f>VLOOKUP(MID(Q357,1,3),CODE!$B:$G,CODE!D$1,FALSE)</f>
        <v>VBL</v>
      </c>
      <c r="N357" s="24" t="str">
        <f t="shared" si="70"/>
        <v>BA</v>
      </c>
      <c r="O357" s="29" t="str">
        <f>IF(ISERROR(IF(VLOOKUP($N357,CODE!$K:$P,CODE!$O$1,FALSE)="",$M357,$M357&amp;"-"&amp;VLOOKUP($N357,CODE!$K:$P,CODE!$O$1,FALSE)))=TRUE,"",IF(VLOOKUP($N357,CODE!$K:$P,CODE!$O$1,FALSE)="",$M357,$M357&amp;"-"&amp;VLOOKUP($N357,CODE!$K:$P,CODE!$O$1,FALSE)))</f>
        <v>VBL</v>
      </c>
      <c r="P357" s="29" t="str">
        <f t="shared" si="71"/>
        <v>VBLBAE5113</v>
      </c>
      <c r="Q357" s="1" t="s">
        <v>1148</v>
      </c>
      <c r="R357" s="1" t="s">
        <v>14</v>
      </c>
      <c r="S357" s="26">
        <v>1500</v>
      </c>
      <c r="T357" s="26">
        <v>82500000</v>
      </c>
      <c r="U357" s="26">
        <v>5549745.0000000009</v>
      </c>
      <c r="V357" s="26">
        <v>13.514134433203683</v>
      </c>
      <c r="W357" s="26">
        <v>0</v>
      </c>
      <c r="X357" s="26">
        <v>1500</v>
      </c>
    </row>
    <row r="358" spans="1:24">
      <c r="A358" s="24" t="str">
        <f t="shared" si="64"/>
        <v>러닝</v>
      </c>
      <c r="B358" s="24" t="str">
        <f>IF(COUNTIF(Q$1:Q357,Q358)=0,"최초","리오더")</f>
        <v>최초</v>
      </c>
      <c r="C358" s="24" t="str">
        <f t="shared" si="65"/>
        <v>VBLBAE5106</v>
      </c>
      <c r="D358" s="24">
        <f t="shared" si="60"/>
        <v>1</v>
      </c>
      <c r="E358" s="24" t="str">
        <f t="shared" si="66"/>
        <v/>
      </c>
      <c r="F358" s="24">
        <f t="shared" si="61"/>
        <v>0</v>
      </c>
      <c r="G358" s="24" t="str">
        <f t="shared" si="67"/>
        <v>VBLBAE5106BK</v>
      </c>
      <c r="H358" s="24">
        <f t="shared" si="62"/>
        <v>1</v>
      </c>
      <c r="I358" s="24" t="str">
        <f t="shared" si="68"/>
        <v/>
      </c>
      <c r="J358" s="24">
        <f t="shared" si="63"/>
        <v>0</v>
      </c>
      <c r="K358" s="24" t="str">
        <f t="shared" si="69"/>
        <v>E5</v>
      </c>
      <c r="L358" s="24" t="str">
        <f>VLOOKUP(N358,CODE!K:P,CODE!$P$1,FALSE)</f>
        <v>모자</v>
      </c>
      <c r="M358" s="24" t="str">
        <f>VLOOKUP(MID(Q358,1,3),CODE!$B:$G,CODE!D$1,FALSE)</f>
        <v>VBL</v>
      </c>
      <c r="N358" s="24" t="str">
        <f t="shared" si="70"/>
        <v>BA</v>
      </c>
      <c r="O358" s="29" t="str">
        <f>IF(ISERROR(IF(VLOOKUP($N358,CODE!$K:$P,CODE!$O$1,FALSE)="",$M358,$M358&amp;"-"&amp;VLOOKUP($N358,CODE!$K:$P,CODE!$O$1,FALSE)))=TRUE,"",IF(VLOOKUP($N358,CODE!$K:$P,CODE!$O$1,FALSE)="",$M358,$M358&amp;"-"&amp;VLOOKUP($N358,CODE!$K:$P,CODE!$O$1,FALSE)))</f>
        <v>VBL</v>
      </c>
      <c r="P358" s="29" t="str">
        <f t="shared" si="71"/>
        <v>VBLBAE5106</v>
      </c>
      <c r="Q358" s="1" t="s">
        <v>1149</v>
      </c>
      <c r="R358" s="1" t="s">
        <v>14</v>
      </c>
      <c r="S358" s="26">
        <v>1000</v>
      </c>
      <c r="T358" s="26">
        <v>55000000</v>
      </c>
      <c r="U358" s="26">
        <v>3824570</v>
      </c>
      <c r="V358" s="26">
        <v>13.073365110326128</v>
      </c>
      <c r="W358" s="26">
        <v>0</v>
      </c>
      <c r="X358" s="26">
        <v>1000</v>
      </c>
    </row>
    <row r="359" spans="1:24">
      <c r="A359" s="24" t="str">
        <f t="shared" si="64"/>
        <v>러닝</v>
      </c>
      <c r="B359" s="24" t="str">
        <f>IF(COUNTIF(Q$1:Q358,Q359)=0,"최초","리오더")</f>
        <v>최초</v>
      </c>
      <c r="C359" s="24" t="str">
        <f t="shared" si="65"/>
        <v>ELSTPE5148</v>
      </c>
      <c r="D359" s="24">
        <f t="shared" si="60"/>
        <v>1</v>
      </c>
      <c r="E359" s="24" t="str">
        <f t="shared" si="66"/>
        <v/>
      </c>
      <c r="F359" s="24">
        <f t="shared" si="61"/>
        <v>0</v>
      </c>
      <c r="G359" s="24" t="str">
        <f t="shared" si="67"/>
        <v>ELSTPE5148NY</v>
      </c>
      <c r="H359" s="24">
        <f t="shared" si="62"/>
        <v>1</v>
      </c>
      <c r="I359" s="24" t="str">
        <f t="shared" si="68"/>
        <v/>
      </c>
      <c r="J359" s="24">
        <f t="shared" si="63"/>
        <v>0</v>
      </c>
      <c r="K359" s="24" t="str">
        <f t="shared" si="69"/>
        <v>E5</v>
      </c>
      <c r="L359" s="24" t="str">
        <f>VLOOKUP(N359,CODE!K:P,CODE!$P$1,FALSE)</f>
        <v>모자</v>
      </c>
      <c r="M359" s="24" t="str">
        <f>VLOOKUP(MID(Q359,1,3),CODE!$B:$G,CODE!D$1,FALSE)</f>
        <v>ELS</v>
      </c>
      <c r="N359" s="24" t="str">
        <f t="shared" si="70"/>
        <v>TP</v>
      </c>
      <c r="O359" s="29" t="str">
        <f>IF(ISERROR(IF(VLOOKUP($N359,CODE!$K:$P,CODE!$O$1,FALSE)="",$M359,$M359&amp;"-"&amp;VLOOKUP($N359,CODE!$K:$P,CODE!$O$1,FALSE)))=TRUE,"",IF(VLOOKUP($N359,CODE!$K:$P,CODE!$O$1,FALSE)="",$M359,$M359&amp;"-"&amp;VLOOKUP($N359,CODE!$K:$P,CODE!$O$1,FALSE)))</f>
        <v>ELS</v>
      </c>
      <c r="P359" s="29" t="str">
        <f t="shared" si="71"/>
        <v>ELSTPE5148</v>
      </c>
      <c r="Q359" s="1" t="s">
        <v>1150</v>
      </c>
      <c r="R359" s="1" t="s">
        <v>14</v>
      </c>
      <c r="S359" s="26">
        <v>1200</v>
      </c>
      <c r="T359" s="26">
        <v>78000000</v>
      </c>
      <c r="U359" s="26">
        <v>5861832</v>
      </c>
      <c r="V359" s="26">
        <v>12.096745677646664</v>
      </c>
      <c r="W359" s="26">
        <v>0</v>
      </c>
      <c r="X359" s="26">
        <v>1200</v>
      </c>
    </row>
    <row r="360" spans="1:24">
      <c r="A360" s="24" t="str">
        <f t="shared" si="64"/>
        <v>러닝</v>
      </c>
      <c r="B360" s="24" t="str">
        <f>IF(COUNTIF(Q$1:Q359,Q360)=0,"최초","리오더")</f>
        <v>최초</v>
      </c>
      <c r="C360" s="24" t="str">
        <f t="shared" si="65"/>
        <v>ELSTPE5648</v>
      </c>
      <c r="D360" s="24">
        <f t="shared" si="60"/>
        <v>0.5</v>
      </c>
      <c r="E360" s="24" t="str">
        <f t="shared" si="66"/>
        <v/>
      </c>
      <c r="F360" s="24">
        <f t="shared" si="61"/>
        <v>0</v>
      </c>
      <c r="G360" s="24" t="str">
        <f t="shared" si="67"/>
        <v>ELSTPE5648NY</v>
      </c>
      <c r="H360" s="24">
        <f t="shared" si="62"/>
        <v>1</v>
      </c>
      <c r="I360" s="24" t="str">
        <f t="shared" si="68"/>
        <v/>
      </c>
      <c r="J360" s="24">
        <f t="shared" si="63"/>
        <v>0</v>
      </c>
      <c r="K360" s="24" t="str">
        <f t="shared" si="69"/>
        <v>E5</v>
      </c>
      <c r="L360" s="24" t="str">
        <f>VLOOKUP(N360,CODE!K:P,CODE!$P$1,FALSE)</f>
        <v>모자</v>
      </c>
      <c r="M360" s="24" t="str">
        <f>VLOOKUP(MID(Q360,1,3),CODE!$B:$G,CODE!D$1,FALSE)</f>
        <v>ELS</v>
      </c>
      <c r="N360" s="24" t="str">
        <f t="shared" si="70"/>
        <v>TP</v>
      </c>
      <c r="O360" s="29" t="str">
        <f>IF(ISERROR(IF(VLOOKUP($N360,CODE!$K:$P,CODE!$O$1,FALSE)="",$M360,$M360&amp;"-"&amp;VLOOKUP($N360,CODE!$K:$P,CODE!$O$1,FALSE)))=TRUE,"",IF(VLOOKUP($N360,CODE!$K:$P,CODE!$O$1,FALSE)="",$M360,$M360&amp;"-"&amp;VLOOKUP($N360,CODE!$K:$P,CODE!$O$1,FALSE)))</f>
        <v>ELS</v>
      </c>
      <c r="P360" s="29" t="str">
        <f t="shared" si="71"/>
        <v>ELSTPE5648</v>
      </c>
      <c r="Q360" s="1" t="s">
        <v>1151</v>
      </c>
      <c r="R360" s="1" t="s">
        <v>14</v>
      </c>
      <c r="S360" s="26">
        <v>1200</v>
      </c>
      <c r="T360" s="26">
        <v>70800000</v>
      </c>
      <c r="U360" s="26">
        <v>5861832</v>
      </c>
      <c r="V360" s="26">
        <v>10.98012299971005</v>
      </c>
      <c r="W360" s="26">
        <v>0</v>
      </c>
      <c r="X360" s="26">
        <v>1200</v>
      </c>
    </row>
    <row r="361" spans="1:24">
      <c r="A361" s="24" t="str">
        <f t="shared" si="64"/>
        <v>러닝</v>
      </c>
      <c r="B361" s="24" t="str">
        <f>IF(COUNTIF(Q$1:Q360,Q361)=0,"최초","리오더")</f>
        <v>최초</v>
      </c>
      <c r="C361" s="24" t="str">
        <f t="shared" si="65"/>
        <v>ELSTPE5648</v>
      </c>
      <c r="D361" s="24">
        <f t="shared" si="60"/>
        <v>0.5</v>
      </c>
      <c r="E361" s="24" t="str">
        <f t="shared" si="66"/>
        <v/>
      </c>
      <c r="F361" s="24">
        <f t="shared" si="61"/>
        <v>0</v>
      </c>
      <c r="G361" s="24" t="str">
        <f t="shared" si="67"/>
        <v>ELSTPE5648PK</v>
      </c>
      <c r="H361" s="24">
        <f t="shared" si="62"/>
        <v>1</v>
      </c>
      <c r="I361" s="24" t="str">
        <f t="shared" si="68"/>
        <v/>
      </c>
      <c r="J361" s="24">
        <f t="shared" si="63"/>
        <v>0</v>
      </c>
      <c r="K361" s="24" t="str">
        <f t="shared" si="69"/>
        <v>E5</v>
      </c>
      <c r="L361" s="24" t="str">
        <f>VLOOKUP(N361,CODE!K:P,CODE!$P$1,FALSE)</f>
        <v>모자</v>
      </c>
      <c r="M361" s="24" t="str">
        <f>VLOOKUP(MID(Q361,1,3),CODE!$B:$G,CODE!D$1,FALSE)</f>
        <v>ELS</v>
      </c>
      <c r="N361" s="24" t="str">
        <f t="shared" si="70"/>
        <v>TP</v>
      </c>
      <c r="O361" s="29" t="str">
        <f>IF(ISERROR(IF(VLOOKUP($N361,CODE!$K:$P,CODE!$O$1,FALSE)="",$M361,$M361&amp;"-"&amp;VLOOKUP($N361,CODE!$K:$P,CODE!$O$1,FALSE)))=TRUE,"",IF(VLOOKUP($N361,CODE!$K:$P,CODE!$O$1,FALSE)="",$M361,$M361&amp;"-"&amp;VLOOKUP($N361,CODE!$K:$P,CODE!$O$1,FALSE)))</f>
        <v>ELS</v>
      </c>
      <c r="P361" s="29" t="str">
        <f t="shared" si="71"/>
        <v>ELSTPE5648</v>
      </c>
      <c r="Q361" s="1" t="s">
        <v>1152</v>
      </c>
      <c r="R361" s="1" t="s">
        <v>14</v>
      </c>
      <c r="S361" s="26">
        <v>1200</v>
      </c>
      <c r="T361" s="26">
        <v>70800000</v>
      </c>
      <c r="U361" s="26">
        <v>5861832</v>
      </c>
      <c r="V361" s="26">
        <v>10.98012299971005</v>
      </c>
      <c r="W361" s="26">
        <v>0</v>
      </c>
      <c r="X361" s="26">
        <v>1200</v>
      </c>
    </row>
    <row r="362" spans="1:24">
      <c r="A362" s="24" t="str">
        <f t="shared" si="64"/>
        <v>러닝</v>
      </c>
      <c r="B362" s="24" t="str">
        <f>IF(COUNTIF(Q$1:Q361,Q362)=0,"최초","리오더")</f>
        <v>최초</v>
      </c>
      <c r="C362" s="24" t="str">
        <f t="shared" si="65"/>
        <v>ELSFIE5647</v>
      </c>
      <c r="D362" s="24">
        <f t="shared" si="60"/>
        <v>1</v>
      </c>
      <c r="E362" s="24" t="str">
        <f t="shared" si="66"/>
        <v/>
      </c>
      <c r="F362" s="24">
        <f t="shared" si="61"/>
        <v>0</v>
      </c>
      <c r="G362" s="24" t="str">
        <f t="shared" si="67"/>
        <v>ELSFIE5647BK</v>
      </c>
      <c r="H362" s="24">
        <f t="shared" si="62"/>
        <v>1</v>
      </c>
      <c r="I362" s="24" t="str">
        <f t="shared" si="68"/>
        <v/>
      </c>
      <c r="J362" s="24">
        <f t="shared" si="63"/>
        <v>0</v>
      </c>
      <c r="K362" s="24" t="str">
        <f t="shared" si="69"/>
        <v>E5</v>
      </c>
      <c r="L362" s="24" t="str">
        <f>VLOOKUP(N362,CODE!K:P,CODE!$P$1,FALSE)</f>
        <v>모자</v>
      </c>
      <c r="M362" s="24" t="str">
        <f>VLOOKUP(MID(Q362,1,3),CODE!$B:$G,CODE!D$1,FALSE)</f>
        <v>ELS</v>
      </c>
      <c r="N362" s="24" t="str">
        <f t="shared" si="70"/>
        <v>FI</v>
      </c>
      <c r="O362" s="29" t="str">
        <f>IF(ISERROR(IF(VLOOKUP($N362,CODE!$K:$P,CODE!$O$1,FALSE)="",$M362,$M362&amp;"-"&amp;VLOOKUP($N362,CODE!$K:$P,CODE!$O$1,FALSE)))=TRUE,"",IF(VLOOKUP($N362,CODE!$K:$P,CODE!$O$1,FALSE)="",$M362,$M362&amp;"-"&amp;VLOOKUP($N362,CODE!$K:$P,CODE!$O$1,FALSE)))</f>
        <v>ELS</v>
      </c>
      <c r="P362" s="29" t="str">
        <f t="shared" si="71"/>
        <v>ELSFIE5647</v>
      </c>
      <c r="Q362" s="1" t="s">
        <v>1153</v>
      </c>
      <c r="R362" s="1" t="s">
        <v>14</v>
      </c>
      <c r="S362" s="26">
        <v>700</v>
      </c>
      <c r="T362" s="26">
        <v>37100000</v>
      </c>
      <c r="U362" s="26">
        <v>9100000</v>
      </c>
      <c r="V362" s="26">
        <v>3.7062937062937062</v>
      </c>
      <c r="W362" s="26">
        <v>0</v>
      </c>
      <c r="X362" s="26">
        <v>700</v>
      </c>
    </row>
    <row r="363" spans="1:24">
      <c r="A363" s="24" t="str">
        <f t="shared" si="64"/>
        <v>신규</v>
      </c>
      <c r="B363" s="24" t="str">
        <f>IF(COUNTIF(Q$1:Q362,Q363)=0,"최초","리오더")</f>
        <v>최초</v>
      </c>
      <c r="C363" s="24" t="str">
        <f t="shared" si="65"/>
        <v>PLATLE5301</v>
      </c>
      <c r="D363" s="24">
        <f t="shared" si="60"/>
        <v>1</v>
      </c>
      <c r="E363" s="24" t="str">
        <f t="shared" si="66"/>
        <v/>
      </c>
      <c r="F363" s="24">
        <f t="shared" si="61"/>
        <v>0</v>
      </c>
      <c r="G363" s="24" t="str">
        <f t="shared" si="67"/>
        <v>PLATLE5301BK</v>
      </c>
      <c r="H363" s="24">
        <f t="shared" si="62"/>
        <v>1</v>
      </c>
      <c r="I363" s="24" t="str">
        <f t="shared" si="68"/>
        <v/>
      </c>
      <c r="J363" s="24">
        <f t="shared" si="63"/>
        <v>0</v>
      </c>
      <c r="K363" s="24" t="str">
        <f t="shared" si="69"/>
        <v>E5</v>
      </c>
      <c r="L363" s="24" t="str">
        <f>VLOOKUP(N363,CODE!K:P,CODE!$P$1,FALSE)</f>
        <v>의류</v>
      </c>
      <c r="M363" s="24" t="str">
        <f>VLOOKUP(MID(Q363,1,3),CODE!$B:$G,CODE!D$1,FALSE)</f>
        <v>PLA</v>
      </c>
      <c r="N363" s="24" t="str">
        <f t="shared" si="70"/>
        <v>TL</v>
      </c>
      <c r="O363" s="29" t="str">
        <f>IF(ISERROR(IF(VLOOKUP($N363,CODE!$K:$P,CODE!$O$1,FALSE)="",$M363,$M363&amp;"-"&amp;VLOOKUP($N363,CODE!$K:$P,CODE!$O$1,FALSE)))=TRUE,"",IF(VLOOKUP($N363,CODE!$K:$P,CODE!$O$1,FALSE)="",$M363,$M363&amp;"-"&amp;VLOOKUP($N363,CODE!$K:$P,CODE!$O$1,FALSE)))</f>
        <v>PLA-의류</v>
      </c>
      <c r="P363" s="29" t="str">
        <f t="shared" si="71"/>
        <v>PLATLE5301</v>
      </c>
      <c r="Q363" s="1" t="s">
        <v>1154</v>
      </c>
      <c r="R363" s="1" t="s">
        <v>14</v>
      </c>
      <c r="S363" s="26">
        <v>1200</v>
      </c>
      <c r="T363" s="26">
        <v>118800000</v>
      </c>
      <c r="U363" s="26">
        <v>29130000</v>
      </c>
      <c r="V363" s="26">
        <v>3.7075180226570543</v>
      </c>
      <c r="W363" s="26">
        <v>0</v>
      </c>
      <c r="X363" s="26">
        <v>1200</v>
      </c>
    </row>
    <row r="364" spans="1:24">
      <c r="A364" s="24" t="str">
        <f t="shared" si="64"/>
        <v>신규</v>
      </c>
      <c r="B364" s="24" t="str">
        <f>IF(COUNTIF(Q$1:Q363,Q364)=0,"최초","리오더")</f>
        <v>최초</v>
      </c>
      <c r="C364" s="24" t="str">
        <f t="shared" si="65"/>
        <v>PLATLE5801</v>
      </c>
      <c r="D364" s="24">
        <f t="shared" si="60"/>
        <v>1</v>
      </c>
      <c r="E364" s="24" t="str">
        <f t="shared" si="66"/>
        <v/>
      </c>
      <c r="F364" s="24">
        <f t="shared" si="61"/>
        <v>0</v>
      </c>
      <c r="G364" s="24" t="str">
        <f t="shared" si="67"/>
        <v>PLATLE5801BK</v>
      </c>
      <c r="H364" s="24">
        <f t="shared" si="62"/>
        <v>1</v>
      </c>
      <c r="I364" s="24" t="str">
        <f t="shared" si="68"/>
        <v/>
      </c>
      <c r="J364" s="24">
        <f t="shared" si="63"/>
        <v>0</v>
      </c>
      <c r="K364" s="24" t="str">
        <f t="shared" si="69"/>
        <v>E5</v>
      </c>
      <c r="L364" s="24" t="str">
        <f>VLOOKUP(N364,CODE!K:P,CODE!$P$1,FALSE)</f>
        <v>의류</v>
      </c>
      <c r="M364" s="24" t="str">
        <f>VLOOKUP(MID(Q364,1,3),CODE!$B:$G,CODE!D$1,FALSE)</f>
        <v>PLA</v>
      </c>
      <c r="N364" s="24" t="str">
        <f t="shared" si="70"/>
        <v>TL</v>
      </c>
      <c r="O364" s="29" t="str">
        <f>IF(ISERROR(IF(VLOOKUP($N364,CODE!$K:$P,CODE!$O$1,FALSE)="",$M364,$M364&amp;"-"&amp;VLOOKUP($N364,CODE!$K:$P,CODE!$O$1,FALSE)))=TRUE,"",IF(VLOOKUP($N364,CODE!$K:$P,CODE!$O$1,FALSE)="",$M364,$M364&amp;"-"&amp;VLOOKUP($N364,CODE!$K:$P,CODE!$O$1,FALSE)))</f>
        <v>PLA-의류</v>
      </c>
      <c r="P364" s="29" t="str">
        <f t="shared" si="71"/>
        <v>PLATLE5801</v>
      </c>
      <c r="Q364" s="1" t="s">
        <v>1155</v>
      </c>
      <c r="R364" s="1" t="s">
        <v>14</v>
      </c>
      <c r="S364" s="26">
        <v>1000</v>
      </c>
      <c r="T364" s="26">
        <v>89000000</v>
      </c>
      <c r="U364" s="26">
        <v>20579000</v>
      </c>
      <c r="V364" s="26">
        <v>3.9316337484372861</v>
      </c>
      <c r="W364" s="26">
        <v>0</v>
      </c>
      <c r="X364" s="26">
        <v>1000</v>
      </c>
    </row>
    <row r="365" spans="1:24">
      <c r="A365" s="24" t="str">
        <f t="shared" si="64"/>
        <v>신규</v>
      </c>
      <c r="B365" s="24" t="str">
        <f>IF(COUNTIF(Q$1:Q364,Q365)=0,"최초","리오더")</f>
        <v>최초</v>
      </c>
      <c r="C365" s="24" t="str">
        <f t="shared" si="65"/>
        <v>PLATLE5302</v>
      </c>
      <c r="D365" s="24">
        <f t="shared" si="60"/>
        <v>1</v>
      </c>
      <c r="E365" s="24" t="str">
        <f t="shared" si="66"/>
        <v/>
      </c>
      <c r="F365" s="24">
        <f t="shared" si="61"/>
        <v>0</v>
      </c>
      <c r="G365" s="24" t="str">
        <f t="shared" si="67"/>
        <v>PLATLE5302BK</v>
      </c>
      <c r="H365" s="24">
        <f t="shared" si="62"/>
        <v>1</v>
      </c>
      <c r="I365" s="24" t="str">
        <f t="shared" si="68"/>
        <v/>
      </c>
      <c r="J365" s="24">
        <f t="shared" si="63"/>
        <v>0</v>
      </c>
      <c r="K365" s="24" t="str">
        <f t="shared" si="69"/>
        <v>E5</v>
      </c>
      <c r="L365" s="24" t="str">
        <f>VLOOKUP(N365,CODE!K:P,CODE!$P$1,FALSE)</f>
        <v>의류</v>
      </c>
      <c r="M365" s="24" t="str">
        <f>VLOOKUP(MID(Q365,1,3),CODE!$B:$G,CODE!D$1,FALSE)</f>
        <v>PLA</v>
      </c>
      <c r="N365" s="24" t="str">
        <f t="shared" si="70"/>
        <v>TL</v>
      </c>
      <c r="O365" s="29" t="str">
        <f>IF(ISERROR(IF(VLOOKUP($N365,CODE!$K:$P,CODE!$O$1,FALSE)="",$M365,$M365&amp;"-"&amp;VLOOKUP($N365,CODE!$K:$P,CODE!$O$1,FALSE)))=TRUE,"",IF(VLOOKUP($N365,CODE!$K:$P,CODE!$O$1,FALSE)="",$M365,$M365&amp;"-"&amp;VLOOKUP($N365,CODE!$K:$P,CODE!$O$1,FALSE)))</f>
        <v>PLA-의류</v>
      </c>
      <c r="P365" s="29" t="str">
        <f t="shared" si="71"/>
        <v>PLATLE5302</v>
      </c>
      <c r="Q365" s="1" t="s">
        <v>1156</v>
      </c>
      <c r="R365" s="1" t="s">
        <v>14</v>
      </c>
      <c r="S365" s="26">
        <v>1200</v>
      </c>
      <c r="T365" s="26">
        <v>106800000</v>
      </c>
      <c r="U365" s="26">
        <v>20814000</v>
      </c>
      <c r="V365" s="26">
        <v>4.6646924709767026</v>
      </c>
      <c r="W365" s="26">
        <v>0</v>
      </c>
      <c r="X365" s="26">
        <v>1200</v>
      </c>
    </row>
    <row r="366" spans="1:24">
      <c r="A366" s="24" t="str">
        <f t="shared" si="64"/>
        <v>신규</v>
      </c>
      <c r="B366" s="24" t="str">
        <f>IF(COUNTIF(Q$1:Q365,Q366)=0,"최초","리오더")</f>
        <v>최초</v>
      </c>
      <c r="C366" s="24" t="str">
        <f t="shared" si="65"/>
        <v>PLATLE5802</v>
      </c>
      <c r="D366" s="24">
        <f t="shared" si="60"/>
        <v>1</v>
      </c>
      <c r="E366" s="24" t="str">
        <f t="shared" si="66"/>
        <v/>
      </c>
      <c r="F366" s="24">
        <f t="shared" si="61"/>
        <v>0</v>
      </c>
      <c r="G366" s="24" t="str">
        <f t="shared" si="67"/>
        <v>PLATLE5802BK</v>
      </c>
      <c r="H366" s="24">
        <f t="shared" si="62"/>
        <v>1</v>
      </c>
      <c r="I366" s="24" t="str">
        <f t="shared" si="68"/>
        <v/>
      </c>
      <c r="J366" s="24">
        <f t="shared" si="63"/>
        <v>0</v>
      </c>
      <c r="K366" s="24" t="str">
        <f t="shared" si="69"/>
        <v>E5</v>
      </c>
      <c r="L366" s="24" t="str">
        <f>VLOOKUP(N366,CODE!K:P,CODE!$P$1,FALSE)</f>
        <v>의류</v>
      </c>
      <c r="M366" s="24" t="str">
        <f>VLOOKUP(MID(Q366,1,3),CODE!$B:$G,CODE!D$1,FALSE)</f>
        <v>PLA</v>
      </c>
      <c r="N366" s="24" t="str">
        <f t="shared" si="70"/>
        <v>TL</v>
      </c>
      <c r="O366" s="29" t="str">
        <f>IF(ISERROR(IF(VLOOKUP($N366,CODE!$K:$P,CODE!$O$1,FALSE)="",$M366,$M366&amp;"-"&amp;VLOOKUP($N366,CODE!$K:$P,CODE!$O$1,FALSE)))=TRUE,"",IF(VLOOKUP($N366,CODE!$K:$P,CODE!$O$1,FALSE)="",$M366,$M366&amp;"-"&amp;VLOOKUP($N366,CODE!$K:$P,CODE!$O$1,FALSE)))</f>
        <v>PLA-의류</v>
      </c>
      <c r="P366" s="29" t="str">
        <f t="shared" si="71"/>
        <v>PLATLE5802</v>
      </c>
      <c r="Q366" s="1" t="s">
        <v>1157</v>
      </c>
      <c r="R366" s="1" t="s">
        <v>14</v>
      </c>
      <c r="S366" s="26">
        <v>1000</v>
      </c>
      <c r="T366" s="26">
        <v>79000000</v>
      </c>
      <c r="U366" s="26">
        <v>15843500</v>
      </c>
      <c r="V366" s="26">
        <v>4.5329745206666345</v>
      </c>
      <c r="W366" s="26">
        <v>0</v>
      </c>
      <c r="X366" s="26">
        <v>1000</v>
      </c>
    </row>
    <row r="367" spans="1:24">
      <c r="A367" s="24" t="str">
        <f t="shared" si="64"/>
        <v>신규</v>
      </c>
      <c r="B367" s="24" t="str">
        <f>IF(COUNTIF(Q$1:Q366,Q367)=0,"최초","리오더")</f>
        <v>최초</v>
      </c>
      <c r="C367" s="24" t="str">
        <f t="shared" si="65"/>
        <v>PLAJPE5305</v>
      </c>
      <c r="D367" s="24">
        <f t="shared" si="60"/>
        <v>1</v>
      </c>
      <c r="E367" s="24" t="str">
        <f t="shared" si="66"/>
        <v/>
      </c>
      <c r="F367" s="24">
        <f t="shared" si="61"/>
        <v>0</v>
      </c>
      <c r="G367" s="24" t="str">
        <f t="shared" si="67"/>
        <v>PLAJPE5305BK</v>
      </c>
      <c r="H367" s="24">
        <f t="shared" si="62"/>
        <v>1</v>
      </c>
      <c r="I367" s="24" t="str">
        <f t="shared" si="68"/>
        <v/>
      </c>
      <c r="J367" s="24">
        <f t="shared" si="63"/>
        <v>0</v>
      </c>
      <c r="K367" s="24" t="str">
        <f t="shared" si="69"/>
        <v>E5</v>
      </c>
      <c r="L367" s="24" t="str">
        <f>VLOOKUP(N367,CODE!K:P,CODE!$P$1,FALSE)</f>
        <v>의류</v>
      </c>
      <c r="M367" s="24" t="str">
        <f>VLOOKUP(MID(Q367,1,3),CODE!$B:$G,CODE!D$1,FALSE)</f>
        <v>PLA</v>
      </c>
      <c r="N367" s="24" t="str">
        <f t="shared" si="70"/>
        <v>JP</v>
      </c>
      <c r="O367" s="29" t="str">
        <f>IF(ISERROR(IF(VLOOKUP($N367,CODE!$K:$P,CODE!$O$1,FALSE)="",$M367,$M367&amp;"-"&amp;VLOOKUP($N367,CODE!$K:$P,CODE!$O$1,FALSE)))=TRUE,"",IF(VLOOKUP($N367,CODE!$K:$P,CODE!$O$1,FALSE)="",$M367,$M367&amp;"-"&amp;VLOOKUP($N367,CODE!$K:$P,CODE!$O$1,FALSE)))</f>
        <v>PLA-의류</v>
      </c>
      <c r="P367" s="29" t="str">
        <f t="shared" si="71"/>
        <v>PLAJPE5305</v>
      </c>
      <c r="Q367" s="1" t="s">
        <v>1158</v>
      </c>
      <c r="R367" s="1" t="s">
        <v>14</v>
      </c>
      <c r="S367" s="26">
        <v>1000</v>
      </c>
      <c r="T367" s="26">
        <v>199000000</v>
      </c>
      <c r="U367" s="26">
        <v>40445000</v>
      </c>
      <c r="V367" s="26">
        <v>4.4729655311927532</v>
      </c>
      <c r="W367" s="26">
        <v>0</v>
      </c>
      <c r="X367" s="26">
        <v>1000</v>
      </c>
    </row>
    <row r="368" spans="1:24">
      <c r="A368" s="24" t="str">
        <f t="shared" si="64"/>
        <v>신규</v>
      </c>
      <c r="B368" s="24" t="str">
        <f>IF(COUNTIF(Q$1:Q367,Q368)=0,"최초","리오더")</f>
        <v>최초</v>
      </c>
      <c r="C368" s="24" t="str">
        <f t="shared" si="65"/>
        <v>PLAJPE5306</v>
      </c>
      <c r="D368" s="24">
        <f t="shared" si="60"/>
        <v>1</v>
      </c>
      <c r="E368" s="24" t="str">
        <f t="shared" si="66"/>
        <v/>
      </c>
      <c r="F368" s="24">
        <f t="shared" si="61"/>
        <v>0</v>
      </c>
      <c r="G368" s="24" t="str">
        <f t="shared" si="67"/>
        <v>PLAJPE5306BK</v>
      </c>
      <c r="H368" s="24">
        <f t="shared" si="62"/>
        <v>1</v>
      </c>
      <c r="I368" s="24" t="str">
        <f t="shared" si="68"/>
        <v/>
      </c>
      <c r="J368" s="24">
        <f t="shared" si="63"/>
        <v>0</v>
      </c>
      <c r="K368" s="24" t="str">
        <f t="shared" si="69"/>
        <v>E5</v>
      </c>
      <c r="L368" s="24" t="str">
        <f>VLOOKUP(N368,CODE!K:P,CODE!$P$1,FALSE)</f>
        <v>의류</v>
      </c>
      <c r="M368" s="24" t="str">
        <f>VLOOKUP(MID(Q368,1,3),CODE!$B:$G,CODE!D$1,FALSE)</f>
        <v>PLA</v>
      </c>
      <c r="N368" s="24" t="str">
        <f t="shared" si="70"/>
        <v>JP</v>
      </c>
      <c r="O368" s="29" t="str">
        <f>IF(ISERROR(IF(VLOOKUP($N368,CODE!$K:$P,CODE!$O$1,FALSE)="",$M368,$M368&amp;"-"&amp;VLOOKUP($N368,CODE!$K:$P,CODE!$O$1,FALSE)))=TRUE,"",IF(VLOOKUP($N368,CODE!$K:$P,CODE!$O$1,FALSE)="",$M368,$M368&amp;"-"&amp;VLOOKUP($N368,CODE!$K:$P,CODE!$O$1,FALSE)))</f>
        <v>PLA-의류</v>
      </c>
      <c r="P368" s="29" t="str">
        <f t="shared" si="71"/>
        <v>PLAJPE5306</v>
      </c>
      <c r="Q368" s="1" t="s">
        <v>1159</v>
      </c>
      <c r="R368" s="1" t="s">
        <v>14</v>
      </c>
      <c r="S368" s="26">
        <v>1200</v>
      </c>
      <c r="T368" s="26">
        <v>226800000</v>
      </c>
      <c r="U368" s="26">
        <v>45623400</v>
      </c>
      <c r="V368" s="26">
        <v>4.5192120311466955</v>
      </c>
      <c r="W368" s="26">
        <v>0</v>
      </c>
      <c r="X368" s="26">
        <v>1200</v>
      </c>
    </row>
    <row r="369" spans="1:24">
      <c r="A369" s="24" t="str">
        <f t="shared" si="64"/>
        <v>신규</v>
      </c>
      <c r="B369" s="24" t="str">
        <f>IF(COUNTIF(Q$1:Q368,Q369)=0,"최초","리오더")</f>
        <v>최초</v>
      </c>
      <c r="C369" s="24" t="str">
        <f t="shared" si="65"/>
        <v>PLAJPE5806</v>
      </c>
      <c r="D369" s="24">
        <f t="shared" si="60"/>
        <v>1</v>
      </c>
      <c r="E369" s="24" t="str">
        <f t="shared" si="66"/>
        <v/>
      </c>
      <c r="F369" s="24">
        <f t="shared" si="61"/>
        <v>0</v>
      </c>
      <c r="G369" s="24" t="str">
        <f t="shared" si="67"/>
        <v>PLAJPE5806BK</v>
      </c>
      <c r="H369" s="24">
        <f t="shared" si="62"/>
        <v>1</v>
      </c>
      <c r="I369" s="24" t="str">
        <f t="shared" si="68"/>
        <v/>
      </c>
      <c r="J369" s="24">
        <f t="shared" si="63"/>
        <v>0</v>
      </c>
      <c r="K369" s="24" t="str">
        <f t="shared" si="69"/>
        <v>E5</v>
      </c>
      <c r="L369" s="24" t="str">
        <f>VLOOKUP(N369,CODE!K:P,CODE!$P$1,FALSE)</f>
        <v>의류</v>
      </c>
      <c r="M369" s="24" t="str">
        <f>VLOOKUP(MID(Q369,1,3),CODE!$B:$G,CODE!D$1,FALSE)</f>
        <v>PLA</v>
      </c>
      <c r="N369" s="24" t="str">
        <f t="shared" si="70"/>
        <v>JP</v>
      </c>
      <c r="O369" s="29" t="str">
        <f>IF(ISERROR(IF(VLOOKUP($N369,CODE!$K:$P,CODE!$O$1,FALSE)="",$M369,$M369&amp;"-"&amp;VLOOKUP($N369,CODE!$K:$P,CODE!$O$1,FALSE)))=TRUE,"",IF(VLOOKUP($N369,CODE!$K:$P,CODE!$O$1,FALSE)="",$M369,$M369&amp;"-"&amp;VLOOKUP($N369,CODE!$K:$P,CODE!$O$1,FALSE)))</f>
        <v>PLA-의류</v>
      </c>
      <c r="P369" s="29" t="str">
        <f t="shared" si="71"/>
        <v>PLAJPE5806</v>
      </c>
      <c r="Q369" s="1" t="s">
        <v>1160</v>
      </c>
      <c r="R369" s="1" t="s">
        <v>14</v>
      </c>
      <c r="S369" s="26">
        <v>800</v>
      </c>
      <c r="T369" s="26">
        <v>143200000</v>
      </c>
      <c r="U369" s="26">
        <v>28198000</v>
      </c>
      <c r="V369" s="26">
        <v>4.6167039570827066</v>
      </c>
      <c r="W369" s="26">
        <v>0</v>
      </c>
      <c r="X369" s="26">
        <v>800</v>
      </c>
    </row>
    <row r="370" spans="1:24">
      <c r="A370" s="24" t="str">
        <f t="shared" si="64"/>
        <v>신규</v>
      </c>
      <c r="B370" s="24" t="str">
        <f>IF(COUNTIF(Q$1:Q369,Q370)=0,"최초","리오더")</f>
        <v>최초</v>
      </c>
      <c r="C370" s="24" t="str">
        <f t="shared" si="65"/>
        <v>PLATLE5303</v>
      </c>
      <c r="D370" s="24">
        <f t="shared" si="60"/>
        <v>1</v>
      </c>
      <c r="E370" s="24" t="str">
        <f t="shared" si="66"/>
        <v/>
      </c>
      <c r="F370" s="24">
        <f t="shared" si="61"/>
        <v>0</v>
      </c>
      <c r="G370" s="24" t="str">
        <f t="shared" si="67"/>
        <v>PLATLE5303BK</v>
      </c>
      <c r="H370" s="24">
        <f t="shared" si="62"/>
        <v>1</v>
      </c>
      <c r="I370" s="24" t="str">
        <f t="shared" si="68"/>
        <v/>
      </c>
      <c r="J370" s="24">
        <f t="shared" si="63"/>
        <v>0</v>
      </c>
      <c r="K370" s="24" t="str">
        <f t="shared" si="69"/>
        <v>E5</v>
      </c>
      <c r="L370" s="24" t="str">
        <f>VLOOKUP(N370,CODE!K:P,CODE!$P$1,FALSE)</f>
        <v>의류</v>
      </c>
      <c r="M370" s="24" t="str">
        <f>VLOOKUP(MID(Q370,1,3),CODE!$B:$G,CODE!D$1,FALSE)</f>
        <v>PLA</v>
      </c>
      <c r="N370" s="24" t="str">
        <f t="shared" si="70"/>
        <v>TL</v>
      </c>
      <c r="O370" s="29" t="str">
        <f>IF(ISERROR(IF(VLOOKUP($N370,CODE!$K:$P,CODE!$O$1,FALSE)="",$M370,$M370&amp;"-"&amp;VLOOKUP($N370,CODE!$K:$P,CODE!$O$1,FALSE)))=TRUE,"",IF(VLOOKUP($N370,CODE!$K:$P,CODE!$O$1,FALSE)="",$M370,$M370&amp;"-"&amp;VLOOKUP($N370,CODE!$K:$P,CODE!$O$1,FALSE)))</f>
        <v>PLA-의류</v>
      </c>
      <c r="P370" s="29" t="str">
        <f t="shared" si="71"/>
        <v>PLATLE5303</v>
      </c>
      <c r="Q370" s="1" t="s">
        <v>1161</v>
      </c>
      <c r="R370" s="1" t="s">
        <v>14</v>
      </c>
      <c r="S370" s="26">
        <v>1200</v>
      </c>
      <c r="T370" s="26">
        <v>118800000</v>
      </c>
      <c r="U370" s="26">
        <v>26064000</v>
      </c>
      <c r="V370" s="26">
        <v>4.1436464088397784</v>
      </c>
      <c r="W370" s="26">
        <v>0</v>
      </c>
      <c r="X370" s="26">
        <v>1200</v>
      </c>
    </row>
    <row r="371" spans="1:24">
      <c r="A371" s="24" t="str">
        <f t="shared" si="64"/>
        <v>신규</v>
      </c>
      <c r="B371" s="24" t="str">
        <f>IF(COUNTIF(Q$1:Q370,Q371)=0,"최초","리오더")</f>
        <v>최초</v>
      </c>
      <c r="C371" s="24" t="str">
        <f t="shared" si="65"/>
        <v>PLATLE5304</v>
      </c>
      <c r="D371" s="24">
        <f t="shared" si="60"/>
        <v>1</v>
      </c>
      <c r="E371" s="24" t="str">
        <f t="shared" si="66"/>
        <v/>
      </c>
      <c r="F371" s="24">
        <f t="shared" si="61"/>
        <v>0</v>
      </c>
      <c r="G371" s="24" t="str">
        <f t="shared" si="67"/>
        <v>PLATLE5304RE</v>
      </c>
      <c r="H371" s="24">
        <f t="shared" si="62"/>
        <v>1</v>
      </c>
      <c r="I371" s="24" t="str">
        <f t="shared" si="68"/>
        <v/>
      </c>
      <c r="J371" s="24">
        <f t="shared" si="63"/>
        <v>0</v>
      </c>
      <c r="K371" s="24" t="str">
        <f t="shared" si="69"/>
        <v>E5</v>
      </c>
      <c r="L371" s="24" t="str">
        <f>VLOOKUP(N371,CODE!K:P,CODE!$P$1,FALSE)</f>
        <v>의류</v>
      </c>
      <c r="M371" s="24" t="str">
        <f>VLOOKUP(MID(Q371,1,3),CODE!$B:$G,CODE!D$1,FALSE)</f>
        <v>PLA</v>
      </c>
      <c r="N371" s="24" t="str">
        <f t="shared" si="70"/>
        <v>TL</v>
      </c>
      <c r="O371" s="29" t="str">
        <f>IF(ISERROR(IF(VLOOKUP($N371,CODE!$K:$P,CODE!$O$1,FALSE)="",$M371,$M371&amp;"-"&amp;VLOOKUP($N371,CODE!$K:$P,CODE!$O$1,FALSE)))=TRUE,"",IF(VLOOKUP($N371,CODE!$K:$P,CODE!$O$1,FALSE)="",$M371,$M371&amp;"-"&amp;VLOOKUP($N371,CODE!$K:$P,CODE!$O$1,FALSE)))</f>
        <v>PLA-의류</v>
      </c>
      <c r="P371" s="29" t="str">
        <f t="shared" si="71"/>
        <v>PLATLE5304</v>
      </c>
      <c r="Q371" s="1" t="s">
        <v>1162</v>
      </c>
      <c r="R371" s="1" t="s">
        <v>14</v>
      </c>
      <c r="S371" s="26">
        <v>1000</v>
      </c>
      <c r="T371" s="26">
        <v>99000000</v>
      </c>
      <c r="U371" s="26">
        <v>23320000</v>
      </c>
      <c r="V371" s="26">
        <v>3.85934819897084</v>
      </c>
      <c r="W371" s="26">
        <v>0</v>
      </c>
      <c r="X371" s="26">
        <v>1000</v>
      </c>
    </row>
    <row r="372" spans="1:24">
      <c r="A372" s="24" t="str">
        <f t="shared" si="64"/>
        <v>신규</v>
      </c>
      <c r="B372" s="24" t="str">
        <f>IF(COUNTIF(Q$1:Q371,Q372)=0,"최초","리오더")</f>
        <v>최초</v>
      </c>
      <c r="C372" s="24" t="str">
        <f t="shared" si="65"/>
        <v>PLATLE5804</v>
      </c>
      <c r="D372" s="24">
        <f t="shared" si="60"/>
        <v>1</v>
      </c>
      <c r="E372" s="24" t="str">
        <f t="shared" si="66"/>
        <v/>
      </c>
      <c r="F372" s="24">
        <f t="shared" si="61"/>
        <v>0</v>
      </c>
      <c r="G372" s="24" t="str">
        <f t="shared" si="67"/>
        <v>PLATLE5804RE</v>
      </c>
      <c r="H372" s="24">
        <f t="shared" si="62"/>
        <v>1</v>
      </c>
      <c r="I372" s="24" t="str">
        <f t="shared" si="68"/>
        <v/>
      </c>
      <c r="J372" s="24">
        <f t="shared" si="63"/>
        <v>0</v>
      </c>
      <c r="K372" s="24" t="str">
        <f t="shared" si="69"/>
        <v>E5</v>
      </c>
      <c r="L372" s="24" t="str">
        <f>VLOOKUP(N372,CODE!K:P,CODE!$P$1,FALSE)</f>
        <v>의류</v>
      </c>
      <c r="M372" s="24" t="str">
        <f>VLOOKUP(MID(Q372,1,3),CODE!$B:$G,CODE!D$1,FALSE)</f>
        <v>PLA</v>
      </c>
      <c r="N372" s="24" t="str">
        <f t="shared" si="70"/>
        <v>TL</v>
      </c>
      <c r="O372" s="29" t="str">
        <f>IF(ISERROR(IF(VLOOKUP($N372,CODE!$K:$P,CODE!$O$1,FALSE)="",$M372,$M372&amp;"-"&amp;VLOOKUP($N372,CODE!$K:$P,CODE!$O$1,FALSE)))=TRUE,"",IF(VLOOKUP($N372,CODE!$K:$P,CODE!$O$1,FALSE)="",$M372,$M372&amp;"-"&amp;VLOOKUP($N372,CODE!$K:$P,CODE!$O$1,FALSE)))</f>
        <v>PLA-의류</v>
      </c>
      <c r="P372" s="29" t="str">
        <f t="shared" si="71"/>
        <v>PLATLE5804</v>
      </c>
      <c r="Q372" s="1" t="s">
        <v>1163</v>
      </c>
      <c r="R372" s="1" t="s">
        <v>14</v>
      </c>
      <c r="S372" s="26">
        <v>1000</v>
      </c>
      <c r="T372" s="26">
        <v>89000000</v>
      </c>
      <c r="U372" s="26">
        <v>21320000</v>
      </c>
      <c r="V372" s="26">
        <v>3.7949855023025747</v>
      </c>
      <c r="W372" s="26">
        <v>0</v>
      </c>
      <c r="X372" s="26">
        <v>1000</v>
      </c>
    </row>
    <row r="373" spans="1:24">
      <c r="A373" s="24" t="str">
        <f t="shared" si="64"/>
        <v>신규</v>
      </c>
      <c r="B373" s="24" t="str">
        <f>IF(COUNTIF(Q$1:Q372,Q373)=0,"최초","리오더")</f>
        <v>최초</v>
      </c>
      <c r="C373" s="24" t="str">
        <f t="shared" si="65"/>
        <v>PLAJPE5307</v>
      </c>
      <c r="D373" s="24">
        <f t="shared" si="60"/>
        <v>1</v>
      </c>
      <c r="E373" s="24" t="str">
        <f t="shared" si="66"/>
        <v/>
      </c>
      <c r="F373" s="24">
        <f t="shared" si="61"/>
        <v>0</v>
      </c>
      <c r="G373" s="24" t="str">
        <f t="shared" si="67"/>
        <v>PLAJPE5307BL</v>
      </c>
      <c r="H373" s="24">
        <f t="shared" si="62"/>
        <v>1</v>
      </c>
      <c r="I373" s="24" t="str">
        <f t="shared" si="68"/>
        <v/>
      </c>
      <c r="J373" s="24">
        <f t="shared" si="63"/>
        <v>0</v>
      </c>
      <c r="K373" s="24" t="str">
        <f t="shared" si="69"/>
        <v>E5</v>
      </c>
      <c r="L373" s="24" t="str">
        <f>VLOOKUP(N373,CODE!K:P,CODE!$P$1,FALSE)</f>
        <v>의류</v>
      </c>
      <c r="M373" s="24" t="str">
        <f>VLOOKUP(MID(Q373,1,3),CODE!$B:$G,CODE!D$1,FALSE)</f>
        <v>PLA</v>
      </c>
      <c r="N373" s="24" t="str">
        <f t="shared" si="70"/>
        <v>JP</v>
      </c>
      <c r="O373" s="29" t="str">
        <f>IF(ISERROR(IF(VLOOKUP($N373,CODE!$K:$P,CODE!$O$1,FALSE)="",$M373,$M373&amp;"-"&amp;VLOOKUP($N373,CODE!$K:$P,CODE!$O$1,FALSE)))=TRUE,"",IF(VLOOKUP($N373,CODE!$K:$P,CODE!$O$1,FALSE)="",$M373,$M373&amp;"-"&amp;VLOOKUP($N373,CODE!$K:$P,CODE!$O$1,FALSE)))</f>
        <v>PLA-의류</v>
      </c>
      <c r="P373" s="29" t="str">
        <f t="shared" si="71"/>
        <v>PLAJPE5307</v>
      </c>
      <c r="Q373" s="1" t="s">
        <v>1164</v>
      </c>
      <c r="R373" s="1" t="s">
        <v>14</v>
      </c>
      <c r="S373" s="26">
        <v>1000</v>
      </c>
      <c r="T373" s="26">
        <v>189000000</v>
      </c>
      <c r="U373" s="26">
        <v>41820000</v>
      </c>
      <c r="V373" s="26">
        <v>4.1085170209990869</v>
      </c>
      <c r="W373" s="26">
        <v>0</v>
      </c>
      <c r="X373" s="26">
        <v>1000</v>
      </c>
    </row>
    <row r="374" spans="1:24">
      <c r="A374" s="24" t="str">
        <f t="shared" si="64"/>
        <v>신규</v>
      </c>
      <c r="B374" s="24" t="str">
        <f>IF(COUNTIF(Q$1:Q373,Q374)=0,"최초","리오더")</f>
        <v>최초</v>
      </c>
      <c r="C374" s="24" t="str">
        <f t="shared" si="65"/>
        <v>PLAJPE5807</v>
      </c>
      <c r="D374" s="24">
        <f t="shared" si="60"/>
        <v>1</v>
      </c>
      <c r="E374" s="24" t="str">
        <f t="shared" si="66"/>
        <v/>
      </c>
      <c r="F374" s="24">
        <f t="shared" si="61"/>
        <v>0</v>
      </c>
      <c r="G374" s="24" t="str">
        <f t="shared" si="67"/>
        <v>PLAJPE5807BL</v>
      </c>
      <c r="H374" s="24">
        <f t="shared" si="62"/>
        <v>1</v>
      </c>
      <c r="I374" s="24" t="str">
        <f t="shared" si="68"/>
        <v/>
      </c>
      <c r="J374" s="24">
        <f t="shared" si="63"/>
        <v>0</v>
      </c>
      <c r="K374" s="24" t="str">
        <f t="shared" si="69"/>
        <v>E5</v>
      </c>
      <c r="L374" s="24" t="str">
        <f>VLOOKUP(N374,CODE!K:P,CODE!$P$1,FALSE)</f>
        <v>의류</v>
      </c>
      <c r="M374" s="24" t="str">
        <f>VLOOKUP(MID(Q374,1,3),CODE!$B:$G,CODE!D$1,FALSE)</f>
        <v>PLA</v>
      </c>
      <c r="N374" s="24" t="str">
        <f t="shared" si="70"/>
        <v>JP</v>
      </c>
      <c r="O374" s="29" t="str">
        <f>IF(ISERROR(IF(VLOOKUP($N374,CODE!$K:$P,CODE!$O$1,FALSE)="",$M374,$M374&amp;"-"&amp;VLOOKUP($N374,CODE!$K:$P,CODE!$O$1,FALSE)))=TRUE,"",IF(VLOOKUP($N374,CODE!$K:$P,CODE!$O$1,FALSE)="",$M374,$M374&amp;"-"&amp;VLOOKUP($N374,CODE!$K:$P,CODE!$O$1,FALSE)))</f>
        <v>PLA-의류</v>
      </c>
      <c r="P374" s="29" t="str">
        <f t="shared" si="71"/>
        <v>PLAJPE5807</v>
      </c>
      <c r="Q374" s="1" t="s">
        <v>1165</v>
      </c>
      <c r="R374" s="1" t="s">
        <v>14</v>
      </c>
      <c r="S374" s="26">
        <v>800</v>
      </c>
      <c r="T374" s="26">
        <v>143200000</v>
      </c>
      <c r="U374" s="26">
        <v>31776000</v>
      </c>
      <c r="V374" s="26">
        <v>4.096859837041106</v>
      </c>
      <c r="W374" s="26">
        <v>0</v>
      </c>
      <c r="X374" s="26">
        <v>800</v>
      </c>
    </row>
    <row r="375" spans="1:24">
      <c r="A375" s="24" t="str">
        <f t="shared" si="64"/>
        <v>신규</v>
      </c>
      <c r="B375" s="24" t="str">
        <f>IF(COUNTIF(Q$1:Q374,Q375)=0,"최초","리오더")</f>
        <v>최초</v>
      </c>
      <c r="C375" s="24" t="str">
        <f t="shared" si="65"/>
        <v>ELSTLE5307</v>
      </c>
      <c r="D375" s="24">
        <f t="shared" si="60"/>
        <v>1</v>
      </c>
      <c r="E375" s="24" t="str">
        <f t="shared" si="66"/>
        <v/>
      </c>
      <c r="F375" s="24">
        <f t="shared" si="61"/>
        <v>0</v>
      </c>
      <c r="G375" s="24" t="str">
        <f t="shared" si="67"/>
        <v>ELSTLE5307RE</v>
      </c>
      <c r="H375" s="24">
        <f t="shared" si="62"/>
        <v>1</v>
      </c>
      <c r="I375" s="24" t="str">
        <f t="shared" si="68"/>
        <v/>
      </c>
      <c r="J375" s="24">
        <f t="shared" si="63"/>
        <v>0</v>
      </c>
      <c r="K375" s="24" t="str">
        <f t="shared" si="69"/>
        <v>E5</v>
      </c>
      <c r="L375" s="24" t="str">
        <f>VLOOKUP(N375,CODE!K:P,CODE!$P$1,FALSE)</f>
        <v>의류</v>
      </c>
      <c r="M375" s="24" t="str">
        <f>VLOOKUP(MID(Q375,1,3),CODE!$B:$G,CODE!D$1,FALSE)</f>
        <v>ELS</v>
      </c>
      <c r="N375" s="24" t="str">
        <f t="shared" si="70"/>
        <v>TL</v>
      </c>
      <c r="O375" s="29" t="str">
        <f>IF(ISERROR(IF(VLOOKUP($N375,CODE!$K:$P,CODE!$O$1,FALSE)="",$M375,$M375&amp;"-"&amp;VLOOKUP($N375,CODE!$K:$P,CODE!$O$1,FALSE)))=TRUE,"",IF(VLOOKUP($N375,CODE!$K:$P,CODE!$O$1,FALSE)="",$M375,$M375&amp;"-"&amp;VLOOKUP($N375,CODE!$K:$P,CODE!$O$1,FALSE)))</f>
        <v>ELS-의류</v>
      </c>
      <c r="P375" s="29" t="str">
        <f t="shared" si="71"/>
        <v>ELSTLE5307</v>
      </c>
      <c r="Q375" s="1" t="s">
        <v>1166</v>
      </c>
      <c r="R375" s="1" t="s">
        <v>14</v>
      </c>
      <c r="S375" s="26">
        <v>1200</v>
      </c>
      <c r="T375" s="26">
        <v>94800000</v>
      </c>
      <c r="U375" s="26">
        <v>22167137.999999996</v>
      </c>
      <c r="V375" s="26">
        <v>3.8878189048048597</v>
      </c>
      <c r="W375" s="26">
        <v>0</v>
      </c>
      <c r="X375" s="26">
        <v>1200</v>
      </c>
    </row>
    <row r="376" spans="1:24">
      <c r="A376" s="24" t="str">
        <f t="shared" si="64"/>
        <v>신규</v>
      </c>
      <c r="B376" s="24" t="str">
        <f>IF(COUNTIF(Q$1:Q375,Q376)=0,"최초","리오더")</f>
        <v>최초</v>
      </c>
      <c r="C376" s="24" t="str">
        <f t="shared" si="65"/>
        <v>ELSTLE5807</v>
      </c>
      <c r="D376" s="24">
        <f t="shared" si="60"/>
        <v>1</v>
      </c>
      <c r="E376" s="24" t="str">
        <f t="shared" si="66"/>
        <v/>
      </c>
      <c r="F376" s="24">
        <f t="shared" si="61"/>
        <v>0</v>
      </c>
      <c r="G376" s="24" t="str">
        <f t="shared" si="67"/>
        <v>ELSTLE5807RE</v>
      </c>
      <c r="H376" s="24">
        <f t="shared" si="62"/>
        <v>1</v>
      </c>
      <c r="I376" s="24" t="str">
        <f t="shared" si="68"/>
        <v/>
      </c>
      <c r="J376" s="24">
        <f t="shared" si="63"/>
        <v>0</v>
      </c>
      <c r="K376" s="24" t="str">
        <f t="shared" si="69"/>
        <v>E5</v>
      </c>
      <c r="L376" s="24" t="str">
        <f>VLOOKUP(N376,CODE!K:P,CODE!$P$1,FALSE)</f>
        <v>의류</v>
      </c>
      <c r="M376" s="24" t="str">
        <f>VLOOKUP(MID(Q376,1,3),CODE!$B:$G,CODE!D$1,FALSE)</f>
        <v>ELS</v>
      </c>
      <c r="N376" s="24" t="str">
        <f t="shared" si="70"/>
        <v>TL</v>
      </c>
      <c r="O376" s="29" t="str">
        <f>IF(ISERROR(IF(VLOOKUP($N376,CODE!$K:$P,CODE!$O$1,FALSE)="",$M376,$M376&amp;"-"&amp;VLOOKUP($N376,CODE!$K:$P,CODE!$O$1,FALSE)))=TRUE,"",IF(VLOOKUP($N376,CODE!$K:$P,CODE!$O$1,FALSE)="",$M376,$M376&amp;"-"&amp;VLOOKUP($N376,CODE!$K:$P,CODE!$O$1,FALSE)))</f>
        <v>ELS-의류</v>
      </c>
      <c r="P376" s="29" t="str">
        <f t="shared" si="71"/>
        <v>ELSTLE5807</v>
      </c>
      <c r="Q376" s="1" t="s">
        <v>1167</v>
      </c>
      <c r="R376" s="1" t="s">
        <v>14</v>
      </c>
      <c r="S376" s="26">
        <v>1200</v>
      </c>
      <c r="T376" s="26">
        <v>82800000</v>
      </c>
      <c r="U376" s="26">
        <v>19348014</v>
      </c>
      <c r="V376" s="26">
        <v>3.8904627251524246</v>
      </c>
      <c r="W376" s="26">
        <v>0</v>
      </c>
      <c r="X376" s="26">
        <v>1200</v>
      </c>
    </row>
    <row r="377" spans="1:24">
      <c r="A377" s="24" t="str">
        <f t="shared" si="64"/>
        <v>신규</v>
      </c>
      <c r="B377" s="24" t="str">
        <f>IF(COUNTIF(Q$1:Q376,Q377)=0,"최초","리오더")</f>
        <v>최초</v>
      </c>
      <c r="C377" s="24" t="str">
        <f t="shared" si="65"/>
        <v>ELSTLE5308</v>
      </c>
      <c r="D377" s="24">
        <f t="shared" si="60"/>
        <v>1</v>
      </c>
      <c r="E377" s="24" t="str">
        <f t="shared" si="66"/>
        <v/>
      </c>
      <c r="F377" s="24">
        <f t="shared" si="61"/>
        <v>0</v>
      </c>
      <c r="G377" s="24" t="str">
        <f t="shared" si="67"/>
        <v>ELSTLE5308BK</v>
      </c>
      <c r="H377" s="24">
        <f t="shared" si="62"/>
        <v>1</v>
      </c>
      <c r="I377" s="24" t="str">
        <f t="shared" si="68"/>
        <v/>
      </c>
      <c r="J377" s="24">
        <f t="shared" si="63"/>
        <v>0</v>
      </c>
      <c r="K377" s="24" t="str">
        <f t="shared" si="69"/>
        <v>E5</v>
      </c>
      <c r="L377" s="24" t="str">
        <f>VLOOKUP(N377,CODE!K:P,CODE!$P$1,FALSE)</f>
        <v>의류</v>
      </c>
      <c r="M377" s="24" t="str">
        <f>VLOOKUP(MID(Q377,1,3),CODE!$B:$G,CODE!D$1,FALSE)</f>
        <v>ELS</v>
      </c>
      <c r="N377" s="24" t="str">
        <f t="shared" si="70"/>
        <v>TL</v>
      </c>
      <c r="O377" s="29" t="str">
        <f>IF(ISERROR(IF(VLOOKUP($N377,CODE!$K:$P,CODE!$O$1,FALSE)="",$M377,$M377&amp;"-"&amp;VLOOKUP($N377,CODE!$K:$P,CODE!$O$1,FALSE)))=TRUE,"",IF(VLOOKUP($N377,CODE!$K:$P,CODE!$O$1,FALSE)="",$M377,$M377&amp;"-"&amp;VLOOKUP($N377,CODE!$K:$P,CODE!$O$1,FALSE)))</f>
        <v>ELS-의류</v>
      </c>
      <c r="P377" s="29" t="str">
        <f t="shared" si="71"/>
        <v>ELSTLE5308</v>
      </c>
      <c r="Q377" s="1" t="s">
        <v>1168</v>
      </c>
      <c r="R377" s="1" t="s">
        <v>14</v>
      </c>
      <c r="S377" s="26">
        <v>1200</v>
      </c>
      <c r="T377" s="26">
        <v>94800000</v>
      </c>
      <c r="U377" s="26">
        <v>20914194</v>
      </c>
      <c r="V377" s="26">
        <v>4.1207334206528916</v>
      </c>
      <c r="W377" s="26">
        <v>0</v>
      </c>
      <c r="X377" s="26">
        <v>1200</v>
      </c>
    </row>
    <row r="378" spans="1:24">
      <c r="A378" s="24" t="str">
        <f t="shared" si="64"/>
        <v>신규</v>
      </c>
      <c r="B378" s="24" t="str">
        <f>IF(COUNTIF(Q$1:Q377,Q378)=0,"최초","리오더")</f>
        <v>최초</v>
      </c>
      <c r="C378" s="24" t="str">
        <f t="shared" si="65"/>
        <v>ELSTLE5808</v>
      </c>
      <c r="D378" s="24">
        <f t="shared" si="60"/>
        <v>1</v>
      </c>
      <c r="E378" s="24" t="str">
        <f t="shared" si="66"/>
        <v/>
      </c>
      <c r="F378" s="24">
        <f t="shared" si="61"/>
        <v>0</v>
      </c>
      <c r="G378" s="24" t="str">
        <f t="shared" si="67"/>
        <v>ELSTLE5808BK</v>
      </c>
      <c r="H378" s="24">
        <f t="shared" si="62"/>
        <v>1</v>
      </c>
      <c r="I378" s="24" t="str">
        <f t="shared" si="68"/>
        <v/>
      </c>
      <c r="J378" s="24">
        <f t="shared" si="63"/>
        <v>0</v>
      </c>
      <c r="K378" s="24" t="str">
        <f t="shared" si="69"/>
        <v>E5</v>
      </c>
      <c r="L378" s="24" t="str">
        <f>VLOOKUP(N378,CODE!K:P,CODE!$P$1,FALSE)</f>
        <v>의류</v>
      </c>
      <c r="M378" s="24" t="str">
        <f>VLOOKUP(MID(Q378,1,3),CODE!$B:$G,CODE!D$1,FALSE)</f>
        <v>ELS</v>
      </c>
      <c r="N378" s="24" t="str">
        <f t="shared" si="70"/>
        <v>TL</v>
      </c>
      <c r="O378" s="29" t="str">
        <f>IF(ISERROR(IF(VLOOKUP($N378,CODE!$K:$P,CODE!$O$1,FALSE)="",$M378,$M378&amp;"-"&amp;VLOOKUP($N378,CODE!$K:$P,CODE!$O$1,FALSE)))=TRUE,"",IF(VLOOKUP($N378,CODE!$K:$P,CODE!$O$1,FALSE)="",$M378,$M378&amp;"-"&amp;VLOOKUP($N378,CODE!$K:$P,CODE!$O$1,FALSE)))</f>
        <v>ELS-의류</v>
      </c>
      <c r="P378" s="29" t="str">
        <f t="shared" si="71"/>
        <v>ELSTLE5808</v>
      </c>
      <c r="Q378" s="1" t="s">
        <v>1169</v>
      </c>
      <c r="R378" s="1" t="s">
        <v>14</v>
      </c>
      <c r="S378" s="26">
        <v>1500</v>
      </c>
      <c r="T378" s="26">
        <v>103500000</v>
      </c>
      <c r="U378" s="26">
        <v>22618837.5</v>
      </c>
      <c r="V378" s="26">
        <v>4.1598472552317984</v>
      </c>
      <c r="W378" s="26">
        <v>0</v>
      </c>
      <c r="X378" s="26">
        <v>1500</v>
      </c>
    </row>
    <row r="379" spans="1:24">
      <c r="A379" s="24" t="str">
        <f t="shared" si="64"/>
        <v>신규</v>
      </c>
      <c r="B379" s="24" t="str">
        <f>IF(COUNTIF(Q$1:Q378,Q379)=0,"최초","리오더")</f>
        <v>최초</v>
      </c>
      <c r="C379" s="24" t="str">
        <f t="shared" si="65"/>
        <v>ELSTLE5309</v>
      </c>
      <c r="D379" s="24">
        <f t="shared" si="60"/>
        <v>1</v>
      </c>
      <c r="E379" s="24" t="str">
        <f t="shared" si="66"/>
        <v/>
      </c>
      <c r="F379" s="24">
        <f t="shared" si="61"/>
        <v>0</v>
      </c>
      <c r="G379" s="24" t="str">
        <f t="shared" si="67"/>
        <v>ELSTLE5309YE</v>
      </c>
      <c r="H379" s="24">
        <f t="shared" si="62"/>
        <v>1</v>
      </c>
      <c r="I379" s="24" t="str">
        <f t="shared" si="68"/>
        <v/>
      </c>
      <c r="J379" s="24">
        <f t="shared" si="63"/>
        <v>0</v>
      </c>
      <c r="K379" s="24" t="str">
        <f t="shared" si="69"/>
        <v>E5</v>
      </c>
      <c r="L379" s="24" t="str">
        <f>VLOOKUP(N379,CODE!K:P,CODE!$P$1,FALSE)</f>
        <v>의류</v>
      </c>
      <c r="M379" s="24" t="str">
        <f>VLOOKUP(MID(Q379,1,3),CODE!$B:$G,CODE!D$1,FALSE)</f>
        <v>ELS</v>
      </c>
      <c r="N379" s="24" t="str">
        <f t="shared" si="70"/>
        <v>TL</v>
      </c>
      <c r="O379" s="29" t="str">
        <f>IF(ISERROR(IF(VLOOKUP($N379,CODE!$K:$P,CODE!$O$1,FALSE)="",$M379,$M379&amp;"-"&amp;VLOOKUP($N379,CODE!$K:$P,CODE!$O$1,FALSE)))=TRUE,"",IF(VLOOKUP($N379,CODE!$K:$P,CODE!$O$1,FALSE)="",$M379,$M379&amp;"-"&amp;VLOOKUP($N379,CODE!$K:$P,CODE!$O$1,FALSE)))</f>
        <v>ELS-의류</v>
      </c>
      <c r="P379" s="29" t="str">
        <f t="shared" si="71"/>
        <v>ELSTLE5309</v>
      </c>
      <c r="Q379" s="1" t="s">
        <v>1170</v>
      </c>
      <c r="R379" s="1" t="s">
        <v>14</v>
      </c>
      <c r="S379" s="26">
        <v>1200</v>
      </c>
      <c r="T379" s="26">
        <v>94800000</v>
      </c>
      <c r="U379" s="26">
        <v>20906804.999999996</v>
      </c>
      <c r="V379" s="26">
        <v>4.1221897933145781</v>
      </c>
      <c r="W379" s="26">
        <v>0</v>
      </c>
      <c r="X379" s="26">
        <v>1200</v>
      </c>
    </row>
    <row r="380" spans="1:24">
      <c r="A380" s="24" t="str">
        <f t="shared" si="64"/>
        <v>신규</v>
      </c>
      <c r="B380" s="24" t="str">
        <f>IF(COUNTIF(Q$1:Q379,Q380)=0,"최초","리오더")</f>
        <v>최초</v>
      </c>
      <c r="C380" s="24" t="str">
        <f t="shared" si="65"/>
        <v>ELSTLE5809</v>
      </c>
      <c r="D380" s="24">
        <f t="shared" si="60"/>
        <v>1</v>
      </c>
      <c r="E380" s="24" t="str">
        <f t="shared" si="66"/>
        <v/>
      </c>
      <c r="F380" s="24">
        <f t="shared" si="61"/>
        <v>0</v>
      </c>
      <c r="G380" s="24" t="str">
        <f t="shared" si="67"/>
        <v>ELSTLE5809YE</v>
      </c>
      <c r="H380" s="24">
        <f t="shared" si="62"/>
        <v>1</v>
      </c>
      <c r="I380" s="24" t="str">
        <f t="shared" si="68"/>
        <v/>
      </c>
      <c r="J380" s="24">
        <f t="shared" si="63"/>
        <v>0</v>
      </c>
      <c r="K380" s="24" t="str">
        <f t="shared" si="69"/>
        <v>E5</v>
      </c>
      <c r="L380" s="24" t="str">
        <f>VLOOKUP(N380,CODE!K:P,CODE!$P$1,FALSE)</f>
        <v>의류</v>
      </c>
      <c r="M380" s="24" t="str">
        <f>VLOOKUP(MID(Q380,1,3),CODE!$B:$G,CODE!D$1,FALSE)</f>
        <v>ELS</v>
      </c>
      <c r="N380" s="24" t="str">
        <f t="shared" si="70"/>
        <v>TL</v>
      </c>
      <c r="O380" s="29" t="str">
        <f>IF(ISERROR(IF(VLOOKUP($N380,CODE!$K:$P,CODE!$O$1,FALSE)="",$M380,$M380&amp;"-"&amp;VLOOKUP($N380,CODE!$K:$P,CODE!$O$1,FALSE)))=TRUE,"",IF(VLOOKUP($N380,CODE!$K:$P,CODE!$O$1,FALSE)="",$M380,$M380&amp;"-"&amp;VLOOKUP($N380,CODE!$K:$P,CODE!$O$1,FALSE)))</f>
        <v>ELS-의류</v>
      </c>
      <c r="P380" s="29" t="str">
        <f t="shared" si="71"/>
        <v>ELSTLE5809</v>
      </c>
      <c r="Q380" s="1" t="s">
        <v>1171</v>
      </c>
      <c r="R380" s="1" t="s">
        <v>14</v>
      </c>
      <c r="S380" s="26">
        <v>1500</v>
      </c>
      <c r="T380" s="26">
        <v>103500000</v>
      </c>
      <c r="U380" s="26">
        <v>22590024</v>
      </c>
      <c r="V380" s="26">
        <v>4.1651531264822506</v>
      </c>
      <c r="W380" s="26">
        <v>0</v>
      </c>
      <c r="X380" s="26">
        <v>1500</v>
      </c>
    </row>
    <row r="381" spans="1:24">
      <c r="A381" s="24" t="str">
        <f t="shared" si="64"/>
        <v>신규</v>
      </c>
      <c r="B381" s="24" t="str">
        <f>IF(COUNTIF(Q$1:Q380,Q381)=0,"최초","리오더")</f>
        <v>최초</v>
      </c>
      <c r="C381" s="24" t="str">
        <f t="shared" si="65"/>
        <v>ELSTHE5312</v>
      </c>
      <c r="D381" s="24">
        <f t="shared" si="60"/>
        <v>1</v>
      </c>
      <c r="E381" s="24" t="str">
        <f t="shared" si="66"/>
        <v/>
      </c>
      <c r="F381" s="24">
        <f t="shared" si="61"/>
        <v>0</v>
      </c>
      <c r="G381" s="24" t="str">
        <f t="shared" si="67"/>
        <v>ELSTHE5312PK</v>
      </c>
      <c r="H381" s="24">
        <f t="shared" si="62"/>
        <v>1</v>
      </c>
      <c r="I381" s="24" t="str">
        <f t="shared" si="68"/>
        <v/>
      </c>
      <c r="J381" s="24">
        <f t="shared" si="63"/>
        <v>0</v>
      </c>
      <c r="K381" s="24" t="str">
        <f t="shared" si="69"/>
        <v>E5</v>
      </c>
      <c r="L381" s="24" t="str">
        <f>VLOOKUP(N381,CODE!K:P,CODE!$P$1,FALSE)</f>
        <v>의류</v>
      </c>
      <c r="M381" s="24" t="str">
        <f>VLOOKUP(MID(Q381,1,3),CODE!$B:$G,CODE!D$1,FALSE)</f>
        <v>ELS</v>
      </c>
      <c r="N381" s="24" t="str">
        <f t="shared" si="70"/>
        <v>TH</v>
      </c>
      <c r="O381" s="29" t="str">
        <f>IF(ISERROR(IF(VLOOKUP($N381,CODE!$K:$P,CODE!$O$1,FALSE)="",$M381,$M381&amp;"-"&amp;VLOOKUP($N381,CODE!$K:$P,CODE!$O$1,FALSE)))=TRUE,"",IF(VLOOKUP($N381,CODE!$K:$P,CODE!$O$1,FALSE)="",$M381,$M381&amp;"-"&amp;VLOOKUP($N381,CODE!$K:$P,CODE!$O$1,FALSE)))</f>
        <v>ELS-의류</v>
      </c>
      <c r="P381" s="29" t="str">
        <f t="shared" si="71"/>
        <v>ELSTHE5312</v>
      </c>
      <c r="Q381" s="1" t="s">
        <v>1172</v>
      </c>
      <c r="R381" s="1" t="s">
        <v>14</v>
      </c>
      <c r="S381" s="26">
        <v>1000</v>
      </c>
      <c r="T381" s="26">
        <v>109000000</v>
      </c>
      <c r="U381" s="26">
        <v>20401070</v>
      </c>
      <c r="V381" s="26">
        <v>4.8571427425575759</v>
      </c>
      <c r="W381" s="26">
        <v>0</v>
      </c>
      <c r="X381" s="26">
        <v>1000</v>
      </c>
    </row>
    <row r="382" spans="1:24">
      <c r="A382" s="24" t="str">
        <f t="shared" si="64"/>
        <v>신규</v>
      </c>
      <c r="B382" s="24" t="str">
        <f>IF(COUNTIF(Q$1:Q381,Q382)=0,"최초","리오더")</f>
        <v>최초</v>
      </c>
      <c r="C382" s="24" t="str">
        <f t="shared" si="65"/>
        <v>ELSTHE5314</v>
      </c>
      <c r="D382" s="24">
        <f t="shared" si="60"/>
        <v>1</v>
      </c>
      <c r="E382" s="24" t="str">
        <f t="shared" si="66"/>
        <v/>
      </c>
      <c r="F382" s="24">
        <f t="shared" si="61"/>
        <v>0</v>
      </c>
      <c r="G382" s="24" t="str">
        <f t="shared" si="67"/>
        <v>ELSTHE5314BK</v>
      </c>
      <c r="H382" s="24">
        <f t="shared" si="62"/>
        <v>1</v>
      </c>
      <c r="I382" s="24" t="str">
        <f t="shared" si="68"/>
        <v/>
      </c>
      <c r="J382" s="24">
        <f t="shared" si="63"/>
        <v>0</v>
      </c>
      <c r="K382" s="24" t="str">
        <f t="shared" si="69"/>
        <v>E5</v>
      </c>
      <c r="L382" s="24" t="str">
        <f>VLOOKUP(N382,CODE!K:P,CODE!$P$1,FALSE)</f>
        <v>의류</v>
      </c>
      <c r="M382" s="24" t="str">
        <f>VLOOKUP(MID(Q382,1,3),CODE!$B:$G,CODE!D$1,FALSE)</f>
        <v>ELS</v>
      </c>
      <c r="N382" s="24" t="str">
        <f t="shared" si="70"/>
        <v>TH</v>
      </c>
      <c r="O382" s="29" t="str">
        <f>IF(ISERROR(IF(VLOOKUP($N382,CODE!$K:$P,CODE!$O$1,FALSE)="",$M382,$M382&amp;"-"&amp;VLOOKUP($N382,CODE!$K:$P,CODE!$O$1,FALSE)))=TRUE,"",IF(VLOOKUP($N382,CODE!$K:$P,CODE!$O$1,FALSE)="",$M382,$M382&amp;"-"&amp;VLOOKUP($N382,CODE!$K:$P,CODE!$O$1,FALSE)))</f>
        <v>ELS-의류</v>
      </c>
      <c r="P382" s="29" t="str">
        <f t="shared" si="71"/>
        <v>ELSTHE5314</v>
      </c>
      <c r="Q382" s="1" t="s">
        <v>1173</v>
      </c>
      <c r="R382" s="1" t="s">
        <v>14</v>
      </c>
      <c r="S382" s="26">
        <v>1500</v>
      </c>
      <c r="T382" s="26">
        <v>148500000</v>
      </c>
      <c r="U382" s="26">
        <v>32994780</v>
      </c>
      <c r="V382" s="26">
        <v>4.0915563007239326</v>
      </c>
      <c r="W382" s="26">
        <v>0</v>
      </c>
      <c r="X382" s="26">
        <v>1500</v>
      </c>
    </row>
    <row r="383" spans="1:24">
      <c r="A383" s="24" t="str">
        <f t="shared" si="64"/>
        <v>신규</v>
      </c>
      <c r="B383" s="24" t="str">
        <f>IF(COUNTIF(Q$1:Q382,Q383)=0,"최초","리오더")</f>
        <v>최초</v>
      </c>
      <c r="C383" s="24" t="str">
        <f t="shared" si="65"/>
        <v>ELSTHE5814</v>
      </c>
      <c r="D383" s="24">
        <f t="shared" si="60"/>
        <v>1</v>
      </c>
      <c r="E383" s="24" t="str">
        <f t="shared" si="66"/>
        <v/>
      </c>
      <c r="F383" s="24">
        <f t="shared" si="61"/>
        <v>0</v>
      </c>
      <c r="G383" s="24" t="str">
        <f t="shared" si="67"/>
        <v>ELSTHE5814BK</v>
      </c>
      <c r="H383" s="24">
        <f t="shared" si="62"/>
        <v>1</v>
      </c>
      <c r="I383" s="24" t="str">
        <f t="shared" si="68"/>
        <v/>
      </c>
      <c r="J383" s="24">
        <f t="shared" si="63"/>
        <v>0</v>
      </c>
      <c r="K383" s="24" t="str">
        <f t="shared" si="69"/>
        <v>E5</v>
      </c>
      <c r="L383" s="24" t="str">
        <f>VLOOKUP(N383,CODE!K:P,CODE!$P$1,FALSE)</f>
        <v>의류</v>
      </c>
      <c r="M383" s="24" t="str">
        <f>VLOOKUP(MID(Q383,1,3),CODE!$B:$G,CODE!D$1,FALSE)</f>
        <v>ELS</v>
      </c>
      <c r="N383" s="24" t="str">
        <f t="shared" si="70"/>
        <v>TH</v>
      </c>
      <c r="O383" s="29" t="str">
        <f>IF(ISERROR(IF(VLOOKUP($N383,CODE!$K:$P,CODE!$O$1,FALSE)="",$M383,$M383&amp;"-"&amp;VLOOKUP($N383,CODE!$K:$P,CODE!$O$1,FALSE)))=TRUE,"",IF(VLOOKUP($N383,CODE!$K:$P,CODE!$O$1,FALSE)="",$M383,$M383&amp;"-"&amp;VLOOKUP($N383,CODE!$K:$P,CODE!$O$1,FALSE)))</f>
        <v>ELS-의류</v>
      </c>
      <c r="P383" s="29" t="str">
        <f t="shared" si="71"/>
        <v>ELSTHE5814</v>
      </c>
      <c r="Q383" s="1" t="s">
        <v>1174</v>
      </c>
      <c r="R383" s="1" t="s">
        <v>14</v>
      </c>
      <c r="S383" s="26">
        <v>1500</v>
      </c>
      <c r="T383" s="26">
        <v>133500000</v>
      </c>
      <c r="U383" s="26">
        <v>29079329.999999993</v>
      </c>
      <c r="V383" s="26">
        <v>4.1735361978297432</v>
      </c>
      <c r="W383" s="26">
        <v>0</v>
      </c>
      <c r="X383" s="26">
        <v>1500</v>
      </c>
    </row>
    <row r="384" spans="1:24">
      <c r="A384" s="24" t="str">
        <f t="shared" si="64"/>
        <v>신규</v>
      </c>
      <c r="B384" s="24" t="str">
        <f>IF(COUNTIF(Q$1:Q383,Q384)=0,"최초","리오더")</f>
        <v>최초</v>
      </c>
      <c r="C384" s="24" t="str">
        <f t="shared" si="65"/>
        <v>ELSTHE5318</v>
      </c>
      <c r="D384" s="24">
        <f t="shared" si="60"/>
        <v>1</v>
      </c>
      <c r="E384" s="24" t="str">
        <f t="shared" si="66"/>
        <v/>
      </c>
      <c r="F384" s="24">
        <f t="shared" si="61"/>
        <v>0</v>
      </c>
      <c r="G384" s="24" t="str">
        <f t="shared" si="67"/>
        <v>ELSTHE5318NY</v>
      </c>
      <c r="H384" s="24">
        <f t="shared" si="62"/>
        <v>1</v>
      </c>
      <c r="I384" s="24" t="str">
        <f t="shared" si="68"/>
        <v/>
      </c>
      <c r="J384" s="24">
        <f t="shared" si="63"/>
        <v>0</v>
      </c>
      <c r="K384" s="24" t="str">
        <f t="shared" si="69"/>
        <v>E5</v>
      </c>
      <c r="L384" s="24" t="str">
        <f>VLOOKUP(N384,CODE!K:P,CODE!$P$1,FALSE)</f>
        <v>의류</v>
      </c>
      <c r="M384" s="24" t="str">
        <f>VLOOKUP(MID(Q384,1,3),CODE!$B:$G,CODE!D$1,FALSE)</f>
        <v>ELS</v>
      </c>
      <c r="N384" s="24" t="str">
        <f t="shared" si="70"/>
        <v>TH</v>
      </c>
      <c r="O384" s="29" t="str">
        <f>IF(ISERROR(IF(VLOOKUP($N384,CODE!$K:$P,CODE!$O$1,FALSE)="",$M384,$M384&amp;"-"&amp;VLOOKUP($N384,CODE!$K:$P,CODE!$O$1,FALSE)))=TRUE,"",IF(VLOOKUP($N384,CODE!$K:$P,CODE!$O$1,FALSE)="",$M384,$M384&amp;"-"&amp;VLOOKUP($N384,CODE!$K:$P,CODE!$O$1,FALSE)))</f>
        <v>ELS-의류</v>
      </c>
      <c r="P384" s="29" t="str">
        <f t="shared" si="71"/>
        <v>ELSTHE5318</v>
      </c>
      <c r="Q384" s="1" t="s">
        <v>1175</v>
      </c>
      <c r="R384" s="1" t="s">
        <v>14</v>
      </c>
      <c r="S384" s="26">
        <v>1200</v>
      </c>
      <c r="T384" s="26">
        <v>118800000</v>
      </c>
      <c r="U384" s="26">
        <v>24359790</v>
      </c>
      <c r="V384" s="26">
        <v>4.4335357570816489</v>
      </c>
      <c r="W384" s="26">
        <v>0</v>
      </c>
      <c r="X384" s="26">
        <v>1200</v>
      </c>
    </row>
    <row r="385" spans="1:24">
      <c r="A385" s="24" t="str">
        <f t="shared" si="64"/>
        <v>신규</v>
      </c>
      <c r="B385" s="24" t="str">
        <f>IF(COUNTIF(Q$1:Q384,Q385)=0,"최초","리오더")</f>
        <v>최초</v>
      </c>
      <c r="C385" s="24" t="str">
        <f t="shared" si="65"/>
        <v>ELSTHE5818</v>
      </c>
      <c r="D385" s="24">
        <f t="shared" si="60"/>
        <v>1</v>
      </c>
      <c r="E385" s="24" t="str">
        <f t="shared" si="66"/>
        <v/>
      </c>
      <c r="F385" s="24">
        <f t="shared" si="61"/>
        <v>0</v>
      </c>
      <c r="G385" s="24" t="str">
        <f t="shared" si="67"/>
        <v>ELSTHE5818NY</v>
      </c>
      <c r="H385" s="24">
        <f t="shared" si="62"/>
        <v>1</v>
      </c>
      <c r="I385" s="24" t="str">
        <f t="shared" si="68"/>
        <v/>
      </c>
      <c r="J385" s="24">
        <f t="shared" si="63"/>
        <v>0</v>
      </c>
      <c r="K385" s="24" t="str">
        <f t="shared" si="69"/>
        <v>E5</v>
      </c>
      <c r="L385" s="24" t="str">
        <f>VLOOKUP(N385,CODE!K:P,CODE!$P$1,FALSE)</f>
        <v>의류</v>
      </c>
      <c r="M385" s="24" t="str">
        <f>VLOOKUP(MID(Q385,1,3),CODE!$B:$G,CODE!D$1,FALSE)</f>
        <v>ELS</v>
      </c>
      <c r="N385" s="24" t="str">
        <f t="shared" si="70"/>
        <v>TH</v>
      </c>
      <c r="O385" s="29" t="str">
        <f>IF(ISERROR(IF(VLOOKUP($N385,CODE!$K:$P,CODE!$O$1,FALSE)="",$M385,$M385&amp;"-"&amp;VLOOKUP($N385,CODE!$K:$P,CODE!$O$1,FALSE)))=TRUE,"",IF(VLOOKUP($N385,CODE!$K:$P,CODE!$O$1,FALSE)="",$M385,$M385&amp;"-"&amp;VLOOKUP($N385,CODE!$K:$P,CODE!$O$1,FALSE)))</f>
        <v>ELS-의류</v>
      </c>
      <c r="P385" s="29" t="str">
        <f t="shared" si="71"/>
        <v>ELSTHE5818</v>
      </c>
      <c r="Q385" s="1" t="s">
        <v>1176</v>
      </c>
      <c r="R385" s="1" t="s">
        <v>14</v>
      </c>
      <c r="S385" s="26">
        <v>1500</v>
      </c>
      <c r="T385" s="26">
        <v>133500000</v>
      </c>
      <c r="U385" s="26">
        <v>26925832.499999993</v>
      </c>
      <c r="V385" s="26">
        <v>4.5073308824763876</v>
      </c>
      <c r="W385" s="26">
        <v>0</v>
      </c>
      <c r="X385" s="26">
        <v>1500</v>
      </c>
    </row>
    <row r="386" spans="1:24">
      <c r="A386" s="24" t="str">
        <f t="shared" si="64"/>
        <v>신규</v>
      </c>
      <c r="B386" s="24" t="str">
        <f>IF(COUNTIF(Q$1:Q385,Q386)=0,"최초","리오더")</f>
        <v>최초</v>
      </c>
      <c r="C386" s="24" t="str">
        <f t="shared" si="65"/>
        <v>ELSTHE5316</v>
      </c>
      <c r="D386" s="24">
        <f t="shared" ref="D386:D449" si="72">IF(C386="",0,1/COUNTIF(C:C,C386))</f>
        <v>1</v>
      </c>
      <c r="E386" s="24" t="str">
        <f t="shared" si="66"/>
        <v/>
      </c>
      <c r="F386" s="24">
        <f t="shared" ref="F386:F449" si="73">IF(E386="",0,1/COUNTIF(E:E,E386))</f>
        <v>0</v>
      </c>
      <c r="G386" s="24" t="str">
        <f t="shared" si="67"/>
        <v>ELSTHE5316RE</v>
      </c>
      <c r="H386" s="24">
        <f t="shared" ref="H386:H449" si="74">IF(G386="",0,1/COUNTIF(G:G,G386))</f>
        <v>1</v>
      </c>
      <c r="I386" s="24" t="str">
        <f t="shared" si="68"/>
        <v/>
      </c>
      <c r="J386" s="24">
        <f t="shared" ref="J386:J449" si="75">IF(I386="",0,1/COUNTIF(I:I,I386))</f>
        <v>0</v>
      </c>
      <c r="K386" s="24" t="str">
        <f t="shared" si="69"/>
        <v>E5</v>
      </c>
      <c r="L386" s="24" t="str">
        <f>VLOOKUP(N386,CODE!K:P,CODE!$P$1,FALSE)</f>
        <v>의류</v>
      </c>
      <c r="M386" s="24" t="str">
        <f>VLOOKUP(MID(Q386,1,3),CODE!$B:$G,CODE!D$1,FALSE)</f>
        <v>ELS</v>
      </c>
      <c r="N386" s="24" t="str">
        <f t="shared" si="70"/>
        <v>TH</v>
      </c>
      <c r="O386" s="29" t="str">
        <f>IF(ISERROR(IF(VLOOKUP($N386,CODE!$K:$P,CODE!$O$1,FALSE)="",$M386,$M386&amp;"-"&amp;VLOOKUP($N386,CODE!$K:$P,CODE!$O$1,FALSE)))=TRUE,"",IF(VLOOKUP($N386,CODE!$K:$P,CODE!$O$1,FALSE)="",$M386,$M386&amp;"-"&amp;VLOOKUP($N386,CODE!$K:$P,CODE!$O$1,FALSE)))</f>
        <v>ELS-의류</v>
      </c>
      <c r="P386" s="29" t="str">
        <f t="shared" si="71"/>
        <v>ELSTHE5316</v>
      </c>
      <c r="Q386" s="1" t="s">
        <v>1182</v>
      </c>
      <c r="R386" s="1" t="s">
        <v>14</v>
      </c>
      <c r="S386" s="26">
        <v>800</v>
      </c>
      <c r="T386" s="26">
        <v>79200000</v>
      </c>
      <c r="U386" s="26">
        <v>16553095.999999996</v>
      </c>
      <c r="V386" s="26">
        <v>4.3496394873804878</v>
      </c>
      <c r="W386" s="26">
        <v>0</v>
      </c>
      <c r="X386" s="26">
        <v>800</v>
      </c>
    </row>
    <row r="387" spans="1:24">
      <c r="A387" s="24" t="str">
        <f t="shared" ref="A387:A450" si="76">IF(OR(MID(Q387,8,1)="3",MID(Q387,8,1)="8"),"신규","러닝")</f>
        <v>신규</v>
      </c>
      <c r="B387" s="24" t="str">
        <f>IF(COUNTIF(Q$1:Q386,Q387)=0,"최초","리오더")</f>
        <v>최초</v>
      </c>
      <c r="C387" s="24" t="str">
        <f t="shared" ref="C387:C450" si="77">IF($B387="리오더","",P387)</f>
        <v>ELSTHE5317</v>
      </c>
      <c r="D387" s="24">
        <f t="shared" si="72"/>
        <v>1</v>
      </c>
      <c r="E387" s="24" t="str">
        <f t="shared" ref="E387:E450" si="78">IF($B387="리오더",P387,"")</f>
        <v/>
      </c>
      <c r="F387" s="24">
        <f t="shared" si="73"/>
        <v>0</v>
      </c>
      <c r="G387" s="24" t="str">
        <f t="shared" ref="G387:G450" si="79">IF($B387="리오더","",Q387)</f>
        <v>ELSTHE5317YE</v>
      </c>
      <c r="H387" s="24">
        <f t="shared" si="74"/>
        <v>1</v>
      </c>
      <c r="I387" s="24" t="str">
        <f t="shared" ref="I387:I450" si="80">IF($B387="리오더",Q387,"")</f>
        <v/>
      </c>
      <c r="J387" s="24">
        <f t="shared" si="75"/>
        <v>0</v>
      </c>
      <c r="K387" s="24" t="str">
        <f t="shared" ref="K387:K450" si="81">MID(Q387,6,2)</f>
        <v>E5</v>
      </c>
      <c r="L387" s="24" t="str">
        <f>VLOOKUP(N387,CODE!K:P,CODE!$P$1,FALSE)</f>
        <v>의류</v>
      </c>
      <c r="M387" s="24" t="str">
        <f>VLOOKUP(MID(Q387,1,3),CODE!$B:$G,CODE!D$1,FALSE)</f>
        <v>ELS</v>
      </c>
      <c r="N387" s="24" t="str">
        <f t="shared" ref="N387:N450" si="82">MID(Q387,4,2)</f>
        <v>TH</v>
      </c>
      <c r="O387" s="29" t="str">
        <f>IF(ISERROR(IF(VLOOKUP($N387,CODE!$K:$P,CODE!$O$1,FALSE)="",$M387,$M387&amp;"-"&amp;VLOOKUP($N387,CODE!$K:$P,CODE!$O$1,FALSE)))=TRUE,"",IF(VLOOKUP($N387,CODE!$K:$P,CODE!$O$1,FALSE)="",$M387,$M387&amp;"-"&amp;VLOOKUP($N387,CODE!$K:$P,CODE!$O$1,FALSE)))</f>
        <v>ELS-의류</v>
      </c>
      <c r="P387" s="29" t="str">
        <f t="shared" ref="P387:P450" si="83">MID(Q387,1,10)</f>
        <v>ELSTHE5317</v>
      </c>
      <c r="Q387" s="1" t="s">
        <v>1183</v>
      </c>
      <c r="R387" s="1" t="s">
        <v>14</v>
      </c>
      <c r="S387" s="26">
        <v>800</v>
      </c>
      <c r="T387" s="26">
        <v>79200000</v>
      </c>
      <c r="U387" s="26">
        <v>16553095.999999996</v>
      </c>
      <c r="V387" s="26">
        <v>4.3496394873804878</v>
      </c>
      <c r="W387" s="26">
        <v>0</v>
      </c>
      <c r="X387" s="26">
        <v>800</v>
      </c>
    </row>
    <row r="388" spans="1:24">
      <c r="A388" s="24" t="str">
        <f t="shared" si="76"/>
        <v>신규</v>
      </c>
      <c r="B388" s="24" t="str">
        <f>IF(COUNTIF(Q$1:Q387,Q388)=0,"최초","리오더")</f>
        <v>최초</v>
      </c>
      <c r="C388" s="24" t="str">
        <f t="shared" si="77"/>
        <v>ELSTLE5310</v>
      </c>
      <c r="D388" s="24">
        <f t="shared" si="72"/>
        <v>0.5</v>
      </c>
      <c r="E388" s="24" t="str">
        <f t="shared" si="78"/>
        <v/>
      </c>
      <c r="F388" s="24">
        <f t="shared" si="73"/>
        <v>0</v>
      </c>
      <c r="G388" s="24" t="str">
        <f t="shared" si="79"/>
        <v>ELSTLE5310BL</v>
      </c>
      <c r="H388" s="24">
        <f t="shared" si="74"/>
        <v>1</v>
      </c>
      <c r="I388" s="24" t="str">
        <f t="shared" si="80"/>
        <v/>
      </c>
      <c r="J388" s="24">
        <f t="shared" si="75"/>
        <v>0</v>
      </c>
      <c r="K388" s="24" t="str">
        <f t="shared" si="81"/>
        <v>E5</v>
      </c>
      <c r="L388" s="24" t="str">
        <f>VLOOKUP(N388,CODE!K:P,CODE!$P$1,FALSE)</f>
        <v>의류</v>
      </c>
      <c r="M388" s="24" t="str">
        <f>VLOOKUP(MID(Q388,1,3),CODE!$B:$G,CODE!D$1,FALSE)</f>
        <v>ELS</v>
      </c>
      <c r="N388" s="24" t="str">
        <f t="shared" si="82"/>
        <v>TL</v>
      </c>
      <c r="O388" s="29" t="str">
        <f>IF(ISERROR(IF(VLOOKUP($N388,CODE!$K:$P,CODE!$O$1,FALSE)="",$M388,$M388&amp;"-"&amp;VLOOKUP($N388,CODE!$K:$P,CODE!$O$1,FALSE)))=TRUE,"",IF(VLOOKUP($N388,CODE!$K:$P,CODE!$O$1,FALSE)="",$M388,$M388&amp;"-"&amp;VLOOKUP($N388,CODE!$K:$P,CODE!$O$1,FALSE)))</f>
        <v>ELS-의류</v>
      </c>
      <c r="P388" s="29" t="str">
        <f t="shared" si="83"/>
        <v>ELSTLE5310</v>
      </c>
      <c r="Q388" s="1" t="s">
        <v>1177</v>
      </c>
      <c r="R388" s="1" t="s">
        <v>14</v>
      </c>
      <c r="S388" s="26">
        <v>1500</v>
      </c>
      <c r="T388" s="26">
        <v>133500000</v>
      </c>
      <c r="U388" s="26">
        <v>30058192.5</v>
      </c>
      <c r="V388" s="26">
        <v>4.0376225670800512</v>
      </c>
      <c r="W388" s="26">
        <v>0</v>
      </c>
      <c r="X388" s="26">
        <v>1500</v>
      </c>
    </row>
    <row r="389" spans="1:24">
      <c r="A389" s="24" t="str">
        <f t="shared" si="76"/>
        <v>신규</v>
      </c>
      <c r="B389" s="24" t="str">
        <f>IF(COUNTIF(Q$1:Q388,Q389)=0,"최초","리오더")</f>
        <v>최초</v>
      </c>
      <c r="C389" s="24" t="str">
        <f t="shared" si="77"/>
        <v>ELSTLE5810</v>
      </c>
      <c r="D389" s="24">
        <f t="shared" si="72"/>
        <v>0.5</v>
      </c>
      <c r="E389" s="24" t="str">
        <f t="shared" si="78"/>
        <v/>
      </c>
      <c r="F389" s="24">
        <f t="shared" si="73"/>
        <v>0</v>
      </c>
      <c r="G389" s="24" t="str">
        <f t="shared" si="79"/>
        <v>ELSTLE5810BL</v>
      </c>
      <c r="H389" s="24">
        <f t="shared" si="74"/>
        <v>1</v>
      </c>
      <c r="I389" s="24" t="str">
        <f t="shared" si="80"/>
        <v/>
      </c>
      <c r="J389" s="24">
        <f t="shared" si="75"/>
        <v>0</v>
      </c>
      <c r="K389" s="24" t="str">
        <f t="shared" si="81"/>
        <v>E5</v>
      </c>
      <c r="L389" s="24" t="str">
        <f>VLOOKUP(N389,CODE!K:P,CODE!$P$1,FALSE)</f>
        <v>의류</v>
      </c>
      <c r="M389" s="24" t="str">
        <f>VLOOKUP(MID(Q389,1,3),CODE!$B:$G,CODE!D$1,FALSE)</f>
        <v>ELS</v>
      </c>
      <c r="N389" s="24" t="str">
        <f t="shared" si="82"/>
        <v>TL</v>
      </c>
      <c r="O389" s="29" t="str">
        <f>IF(ISERROR(IF(VLOOKUP($N389,CODE!$K:$P,CODE!$O$1,FALSE)="",$M389,$M389&amp;"-"&amp;VLOOKUP($N389,CODE!$K:$P,CODE!$O$1,FALSE)))=TRUE,"",IF(VLOOKUP($N389,CODE!$K:$P,CODE!$O$1,FALSE)="",$M389,$M389&amp;"-"&amp;VLOOKUP($N389,CODE!$K:$P,CODE!$O$1,FALSE)))</f>
        <v>ELS-의류</v>
      </c>
      <c r="P389" s="29" t="str">
        <f t="shared" si="83"/>
        <v>ELSTLE5810</v>
      </c>
      <c r="Q389" s="1" t="s">
        <v>1178</v>
      </c>
      <c r="R389" s="1" t="s">
        <v>14</v>
      </c>
      <c r="S389" s="26">
        <v>1500</v>
      </c>
      <c r="T389" s="26">
        <v>118500000</v>
      </c>
      <c r="U389" s="26">
        <v>23206155</v>
      </c>
      <c r="V389" s="26">
        <v>4.6421853481230606</v>
      </c>
      <c r="W389" s="26">
        <v>0</v>
      </c>
      <c r="X389" s="26">
        <v>1500</v>
      </c>
    </row>
    <row r="390" spans="1:24">
      <c r="A390" s="24" t="str">
        <f t="shared" si="76"/>
        <v>신규</v>
      </c>
      <c r="B390" s="24" t="str">
        <f>IF(COUNTIF(Q$1:Q389,Q390)=0,"최초","리오더")</f>
        <v>최초</v>
      </c>
      <c r="C390" s="24" t="str">
        <f t="shared" si="77"/>
        <v>ELSTLE5310</v>
      </c>
      <c r="D390" s="24">
        <f t="shared" si="72"/>
        <v>0.5</v>
      </c>
      <c r="E390" s="24" t="str">
        <f t="shared" si="78"/>
        <v/>
      </c>
      <c r="F390" s="24">
        <f t="shared" si="73"/>
        <v>0</v>
      </c>
      <c r="G390" s="24" t="str">
        <f t="shared" si="79"/>
        <v>ELSTLE5310RE</v>
      </c>
      <c r="H390" s="24">
        <f t="shared" si="74"/>
        <v>1</v>
      </c>
      <c r="I390" s="24" t="str">
        <f t="shared" si="80"/>
        <v/>
      </c>
      <c r="J390" s="24">
        <f t="shared" si="75"/>
        <v>0</v>
      </c>
      <c r="K390" s="24" t="str">
        <f t="shared" si="81"/>
        <v>E5</v>
      </c>
      <c r="L390" s="24" t="str">
        <f>VLOOKUP(N390,CODE!K:P,CODE!$P$1,FALSE)</f>
        <v>의류</v>
      </c>
      <c r="M390" s="24" t="str">
        <f>VLOOKUP(MID(Q390,1,3),CODE!$B:$G,CODE!D$1,FALSE)</f>
        <v>ELS</v>
      </c>
      <c r="N390" s="24" t="str">
        <f t="shared" si="82"/>
        <v>TL</v>
      </c>
      <c r="O390" s="29" t="str">
        <f>IF(ISERROR(IF(VLOOKUP($N390,CODE!$K:$P,CODE!$O$1,FALSE)="",$M390,$M390&amp;"-"&amp;VLOOKUP($N390,CODE!$K:$P,CODE!$O$1,FALSE)))=TRUE,"",IF(VLOOKUP($N390,CODE!$K:$P,CODE!$O$1,FALSE)="",$M390,$M390&amp;"-"&amp;VLOOKUP($N390,CODE!$K:$P,CODE!$O$1,FALSE)))</f>
        <v>ELS-의류</v>
      </c>
      <c r="P390" s="29" t="str">
        <f t="shared" si="83"/>
        <v>ELSTLE5310</v>
      </c>
      <c r="Q390" s="1" t="s">
        <v>1179</v>
      </c>
      <c r="R390" s="1" t="s">
        <v>14</v>
      </c>
      <c r="S390" s="26">
        <v>1500</v>
      </c>
      <c r="T390" s="26">
        <v>133500000</v>
      </c>
      <c r="U390" s="26">
        <v>30058192.5</v>
      </c>
      <c r="V390" s="26">
        <v>4.0376225670800512</v>
      </c>
      <c r="W390" s="26">
        <v>0</v>
      </c>
      <c r="X390" s="26">
        <v>1500</v>
      </c>
    </row>
    <row r="391" spans="1:24">
      <c r="A391" s="24" t="str">
        <f t="shared" si="76"/>
        <v>신규</v>
      </c>
      <c r="B391" s="24" t="str">
        <f>IF(COUNTIF(Q$1:Q390,Q391)=0,"최초","리오더")</f>
        <v>최초</v>
      </c>
      <c r="C391" s="24" t="str">
        <f t="shared" si="77"/>
        <v>ELSTLE5810</v>
      </c>
      <c r="D391" s="24">
        <f t="shared" si="72"/>
        <v>0.5</v>
      </c>
      <c r="E391" s="24" t="str">
        <f t="shared" si="78"/>
        <v/>
      </c>
      <c r="F391" s="24">
        <f t="shared" si="73"/>
        <v>0</v>
      </c>
      <c r="G391" s="24" t="str">
        <f t="shared" si="79"/>
        <v>ELSTLE5810RE</v>
      </c>
      <c r="H391" s="24">
        <f t="shared" si="74"/>
        <v>1</v>
      </c>
      <c r="I391" s="24" t="str">
        <f t="shared" si="80"/>
        <v/>
      </c>
      <c r="J391" s="24">
        <f t="shared" si="75"/>
        <v>0</v>
      </c>
      <c r="K391" s="24" t="str">
        <f t="shared" si="81"/>
        <v>E5</v>
      </c>
      <c r="L391" s="24" t="str">
        <f>VLOOKUP(N391,CODE!K:P,CODE!$P$1,FALSE)</f>
        <v>의류</v>
      </c>
      <c r="M391" s="24" t="str">
        <f>VLOOKUP(MID(Q391,1,3),CODE!$B:$G,CODE!D$1,FALSE)</f>
        <v>ELS</v>
      </c>
      <c r="N391" s="24" t="str">
        <f t="shared" si="82"/>
        <v>TL</v>
      </c>
      <c r="O391" s="29" t="str">
        <f>IF(ISERROR(IF(VLOOKUP($N391,CODE!$K:$P,CODE!$O$1,FALSE)="",$M391,$M391&amp;"-"&amp;VLOOKUP($N391,CODE!$K:$P,CODE!$O$1,FALSE)))=TRUE,"",IF(VLOOKUP($N391,CODE!$K:$P,CODE!$O$1,FALSE)="",$M391,$M391&amp;"-"&amp;VLOOKUP($N391,CODE!$K:$P,CODE!$O$1,FALSE)))</f>
        <v>ELS-의류</v>
      </c>
      <c r="P391" s="29" t="str">
        <f t="shared" si="83"/>
        <v>ELSTLE5810</v>
      </c>
      <c r="Q391" s="1" t="s">
        <v>1180</v>
      </c>
      <c r="R391" s="1" t="s">
        <v>14</v>
      </c>
      <c r="S391" s="26">
        <v>1500</v>
      </c>
      <c r="T391" s="26">
        <v>118500000</v>
      </c>
      <c r="U391" s="26">
        <v>23206155</v>
      </c>
      <c r="V391" s="26">
        <v>4.6421853481230606</v>
      </c>
      <c r="W391" s="26">
        <v>0</v>
      </c>
      <c r="X391" s="26">
        <v>1500</v>
      </c>
    </row>
    <row r="392" spans="1:24">
      <c r="A392" s="24" t="str">
        <f t="shared" si="76"/>
        <v>신규</v>
      </c>
      <c r="B392" s="24" t="str">
        <f>IF(COUNTIF(Q$1:Q391,Q392)=0,"최초","리오더")</f>
        <v>최초</v>
      </c>
      <c r="C392" s="24" t="str">
        <f t="shared" si="77"/>
        <v>ELSTLE5311</v>
      </c>
      <c r="D392" s="24">
        <f t="shared" si="72"/>
        <v>1</v>
      </c>
      <c r="E392" s="24" t="str">
        <f t="shared" si="78"/>
        <v/>
      </c>
      <c r="F392" s="24">
        <f t="shared" si="73"/>
        <v>0</v>
      </c>
      <c r="G392" s="24" t="str">
        <f t="shared" si="79"/>
        <v>ELSTLE5311BK</v>
      </c>
      <c r="H392" s="24">
        <f t="shared" si="74"/>
        <v>1</v>
      </c>
      <c r="I392" s="24" t="str">
        <f t="shared" si="80"/>
        <v/>
      </c>
      <c r="J392" s="24">
        <f t="shared" si="75"/>
        <v>0</v>
      </c>
      <c r="K392" s="24" t="str">
        <f t="shared" si="81"/>
        <v>E5</v>
      </c>
      <c r="L392" s="24" t="str">
        <f>VLOOKUP(N392,CODE!K:P,CODE!$P$1,FALSE)</f>
        <v>의류</v>
      </c>
      <c r="M392" s="24" t="str">
        <f>VLOOKUP(MID(Q392,1,3),CODE!$B:$G,CODE!D$1,FALSE)</f>
        <v>ELS</v>
      </c>
      <c r="N392" s="24" t="str">
        <f t="shared" si="82"/>
        <v>TL</v>
      </c>
      <c r="O392" s="29" t="str">
        <f>IF(ISERROR(IF(VLOOKUP($N392,CODE!$K:$P,CODE!$O$1,FALSE)="",$M392,$M392&amp;"-"&amp;VLOOKUP($N392,CODE!$K:$P,CODE!$O$1,FALSE)))=TRUE,"",IF(VLOOKUP($N392,CODE!$K:$P,CODE!$O$1,FALSE)="",$M392,$M392&amp;"-"&amp;VLOOKUP($N392,CODE!$K:$P,CODE!$O$1,FALSE)))</f>
        <v>ELS-의류</v>
      </c>
      <c r="P392" s="29" t="str">
        <f t="shared" si="83"/>
        <v>ELSTLE5311</v>
      </c>
      <c r="Q392" s="1" t="s">
        <v>1181</v>
      </c>
      <c r="R392" s="1" t="s">
        <v>14</v>
      </c>
      <c r="S392" s="26">
        <v>1000</v>
      </c>
      <c r="T392" s="26">
        <v>89000000</v>
      </c>
      <c r="U392" s="26">
        <v>18929417.499999996</v>
      </c>
      <c r="V392" s="26">
        <v>4.2742514876166116</v>
      </c>
      <c r="W392" s="26">
        <v>0</v>
      </c>
      <c r="X392" s="26">
        <v>1000</v>
      </c>
    </row>
    <row r="393" spans="1:24">
      <c r="A393" s="24" t="str">
        <f t="shared" si="76"/>
        <v>신규</v>
      </c>
      <c r="B393" s="24" t="str">
        <f>IF(COUNTIF(Q$1:Q392,Q393)=0,"최초","리오더")</f>
        <v>최초</v>
      </c>
      <c r="C393" s="24" t="str">
        <f t="shared" si="77"/>
        <v>ELSHPE5321</v>
      </c>
      <c r="D393" s="24">
        <f t="shared" si="72"/>
        <v>1</v>
      </c>
      <c r="E393" s="24" t="str">
        <f t="shared" si="78"/>
        <v/>
      </c>
      <c r="F393" s="24">
        <f t="shared" si="73"/>
        <v>0</v>
      </c>
      <c r="G393" s="24" t="str">
        <f t="shared" si="79"/>
        <v>ELSHPE5321BW</v>
      </c>
      <c r="H393" s="24">
        <f t="shared" si="74"/>
        <v>1</v>
      </c>
      <c r="I393" s="24" t="str">
        <f t="shared" si="80"/>
        <v/>
      </c>
      <c r="J393" s="24">
        <f t="shared" si="75"/>
        <v>0</v>
      </c>
      <c r="K393" s="24" t="str">
        <f t="shared" si="81"/>
        <v>E5</v>
      </c>
      <c r="L393" s="24" t="str">
        <f>VLOOKUP(N393,CODE!K:P,CODE!$P$1,FALSE)</f>
        <v>의류</v>
      </c>
      <c r="M393" s="24" t="str">
        <f>VLOOKUP(MID(Q393,1,3),CODE!$B:$G,CODE!D$1,FALSE)</f>
        <v>ELS</v>
      </c>
      <c r="N393" s="24" t="str">
        <f t="shared" si="82"/>
        <v>HP</v>
      </c>
      <c r="O393" s="29" t="str">
        <f>IF(ISERROR(IF(VLOOKUP($N393,CODE!$K:$P,CODE!$O$1,FALSE)="",$M393,$M393&amp;"-"&amp;VLOOKUP($N393,CODE!$K:$P,CODE!$O$1,FALSE)))=TRUE,"",IF(VLOOKUP($N393,CODE!$K:$P,CODE!$O$1,FALSE)="",$M393,$M393&amp;"-"&amp;VLOOKUP($N393,CODE!$K:$P,CODE!$O$1,FALSE)))</f>
        <v>ELS-의류</v>
      </c>
      <c r="P393" s="29" t="str">
        <f t="shared" si="83"/>
        <v>ELSHPE5321</v>
      </c>
      <c r="Q393" s="1" t="s">
        <v>1184</v>
      </c>
      <c r="R393" s="1" t="s">
        <v>14</v>
      </c>
      <c r="S393" s="26">
        <v>1000</v>
      </c>
      <c r="T393" s="26">
        <v>129000000</v>
      </c>
      <c r="U393" s="26">
        <v>25921225</v>
      </c>
      <c r="V393" s="26">
        <v>4.5241969572320464</v>
      </c>
      <c r="W393" s="26">
        <v>0</v>
      </c>
      <c r="X393" s="26">
        <v>1000</v>
      </c>
    </row>
    <row r="394" spans="1:24">
      <c r="A394" s="24" t="str">
        <f t="shared" si="76"/>
        <v>신규</v>
      </c>
      <c r="B394" s="24" t="str">
        <f>IF(COUNTIF(Q$1:Q393,Q394)=0,"최초","리오더")</f>
        <v>최초</v>
      </c>
      <c r="C394" s="24" t="str">
        <f t="shared" si="77"/>
        <v>ELSHPE5821</v>
      </c>
      <c r="D394" s="24">
        <f t="shared" si="72"/>
        <v>1</v>
      </c>
      <c r="E394" s="24" t="str">
        <f t="shared" si="78"/>
        <v/>
      </c>
      <c r="F394" s="24">
        <f t="shared" si="73"/>
        <v>0</v>
      </c>
      <c r="G394" s="24" t="str">
        <f t="shared" si="79"/>
        <v>ELSHPE5821BW</v>
      </c>
      <c r="H394" s="24">
        <f t="shared" si="74"/>
        <v>1</v>
      </c>
      <c r="I394" s="24" t="str">
        <f t="shared" si="80"/>
        <v/>
      </c>
      <c r="J394" s="24">
        <f t="shared" si="75"/>
        <v>0</v>
      </c>
      <c r="K394" s="24" t="str">
        <f t="shared" si="81"/>
        <v>E5</v>
      </c>
      <c r="L394" s="24" t="str">
        <f>VLOOKUP(N394,CODE!K:P,CODE!$P$1,FALSE)</f>
        <v>의류</v>
      </c>
      <c r="M394" s="24" t="str">
        <f>VLOOKUP(MID(Q394,1,3),CODE!$B:$G,CODE!D$1,FALSE)</f>
        <v>ELS</v>
      </c>
      <c r="N394" s="24" t="str">
        <f t="shared" si="82"/>
        <v>HP</v>
      </c>
      <c r="O394" s="29" t="str">
        <f>IF(ISERROR(IF(VLOOKUP($N394,CODE!$K:$P,CODE!$O$1,FALSE)="",$M394,$M394&amp;"-"&amp;VLOOKUP($N394,CODE!$K:$P,CODE!$O$1,FALSE)))=TRUE,"",IF(VLOOKUP($N394,CODE!$K:$P,CODE!$O$1,FALSE)="",$M394,$M394&amp;"-"&amp;VLOOKUP($N394,CODE!$K:$P,CODE!$O$1,FALSE)))</f>
        <v>ELS-의류</v>
      </c>
      <c r="P394" s="29" t="str">
        <f t="shared" si="83"/>
        <v>ELSHPE5821</v>
      </c>
      <c r="Q394" s="1" t="s">
        <v>1185</v>
      </c>
      <c r="R394" s="1" t="s">
        <v>14</v>
      </c>
      <c r="S394" s="26">
        <v>800</v>
      </c>
      <c r="T394" s="26">
        <v>95200000</v>
      </c>
      <c r="U394" s="26">
        <v>18335503.999999996</v>
      </c>
      <c r="V394" s="26">
        <v>4.720102296912839</v>
      </c>
      <c r="W394" s="26">
        <v>0</v>
      </c>
      <c r="X394" s="26">
        <v>800</v>
      </c>
    </row>
    <row r="395" spans="1:24">
      <c r="A395" s="24" t="str">
        <f t="shared" si="76"/>
        <v>신규</v>
      </c>
      <c r="B395" s="24" t="str">
        <f>IF(COUNTIF(Q$1:Q394,Q395)=0,"최초","리오더")</f>
        <v>최초</v>
      </c>
      <c r="C395" s="24" t="str">
        <f t="shared" si="77"/>
        <v>ELSHPE5322</v>
      </c>
      <c r="D395" s="24">
        <f t="shared" si="72"/>
        <v>1</v>
      </c>
      <c r="E395" s="24" t="str">
        <f t="shared" si="78"/>
        <v/>
      </c>
      <c r="F395" s="24">
        <f t="shared" si="73"/>
        <v>0</v>
      </c>
      <c r="G395" s="24" t="str">
        <f t="shared" si="79"/>
        <v>ELSHPE5322RE</v>
      </c>
      <c r="H395" s="24">
        <f t="shared" si="74"/>
        <v>1</v>
      </c>
      <c r="I395" s="24" t="str">
        <f t="shared" si="80"/>
        <v/>
      </c>
      <c r="J395" s="24">
        <f t="shared" si="75"/>
        <v>0</v>
      </c>
      <c r="K395" s="24" t="str">
        <f t="shared" si="81"/>
        <v>E5</v>
      </c>
      <c r="L395" s="24" t="str">
        <f>VLOOKUP(N395,CODE!K:P,CODE!$P$1,FALSE)</f>
        <v>의류</v>
      </c>
      <c r="M395" s="24" t="str">
        <f>VLOOKUP(MID(Q395,1,3),CODE!$B:$G,CODE!D$1,FALSE)</f>
        <v>ELS</v>
      </c>
      <c r="N395" s="24" t="str">
        <f t="shared" si="82"/>
        <v>HP</v>
      </c>
      <c r="O395" s="29" t="str">
        <f>IF(ISERROR(IF(VLOOKUP($N395,CODE!$K:$P,CODE!$O$1,FALSE)="",$M395,$M395&amp;"-"&amp;VLOOKUP($N395,CODE!$K:$P,CODE!$O$1,FALSE)))=TRUE,"",IF(VLOOKUP($N395,CODE!$K:$P,CODE!$O$1,FALSE)="",$M395,$M395&amp;"-"&amp;VLOOKUP($N395,CODE!$K:$P,CODE!$O$1,FALSE)))</f>
        <v>ELS-의류</v>
      </c>
      <c r="P395" s="29" t="str">
        <f t="shared" si="83"/>
        <v>ELSHPE5322</v>
      </c>
      <c r="Q395" s="1" t="s">
        <v>1186</v>
      </c>
      <c r="R395" s="1" t="s">
        <v>14</v>
      </c>
      <c r="S395" s="26">
        <v>1000</v>
      </c>
      <c r="T395" s="26">
        <v>129000000</v>
      </c>
      <c r="U395" s="26">
        <v>25921225</v>
      </c>
      <c r="V395" s="26">
        <v>4.5241969572320464</v>
      </c>
      <c r="W395" s="26">
        <v>0</v>
      </c>
      <c r="X395" s="26">
        <v>1000</v>
      </c>
    </row>
    <row r="396" spans="1:24">
      <c r="A396" s="24" t="str">
        <f t="shared" si="76"/>
        <v>신규</v>
      </c>
      <c r="B396" s="24" t="str">
        <f>IF(COUNTIF(Q$1:Q395,Q396)=0,"최초","리오더")</f>
        <v>최초</v>
      </c>
      <c r="C396" s="24" t="str">
        <f t="shared" si="77"/>
        <v>ELSHPE5822</v>
      </c>
      <c r="D396" s="24">
        <f t="shared" si="72"/>
        <v>1</v>
      </c>
      <c r="E396" s="24" t="str">
        <f t="shared" si="78"/>
        <v/>
      </c>
      <c r="F396" s="24">
        <f t="shared" si="73"/>
        <v>0</v>
      </c>
      <c r="G396" s="24" t="str">
        <f t="shared" si="79"/>
        <v>ELSHPE5822RE</v>
      </c>
      <c r="H396" s="24">
        <f t="shared" si="74"/>
        <v>1</v>
      </c>
      <c r="I396" s="24" t="str">
        <f t="shared" si="80"/>
        <v/>
      </c>
      <c r="J396" s="24">
        <f t="shared" si="75"/>
        <v>0</v>
      </c>
      <c r="K396" s="24" t="str">
        <f t="shared" si="81"/>
        <v>E5</v>
      </c>
      <c r="L396" s="24" t="str">
        <f>VLOOKUP(N396,CODE!K:P,CODE!$P$1,FALSE)</f>
        <v>의류</v>
      </c>
      <c r="M396" s="24" t="str">
        <f>VLOOKUP(MID(Q396,1,3),CODE!$B:$G,CODE!D$1,FALSE)</f>
        <v>ELS</v>
      </c>
      <c r="N396" s="24" t="str">
        <f t="shared" si="82"/>
        <v>HP</v>
      </c>
      <c r="O396" s="29" t="str">
        <f>IF(ISERROR(IF(VLOOKUP($N396,CODE!$K:$P,CODE!$O$1,FALSE)="",$M396,$M396&amp;"-"&amp;VLOOKUP($N396,CODE!$K:$P,CODE!$O$1,FALSE)))=TRUE,"",IF(VLOOKUP($N396,CODE!$K:$P,CODE!$O$1,FALSE)="",$M396,$M396&amp;"-"&amp;VLOOKUP($N396,CODE!$K:$P,CODE!$O$1,FALSE)))</f>
        <v>ELS-의류</v>
      </c>
      <c r="P396" s="29" t="str">
        <f t="shared" si="83"/>
        <v>ELSHPE5822</v>
      </c>
      <c r="Q396" s="1" t="s">
        <v>1187</v>
      </c>
      <c r="R396" s="1" t="s">
        <v>14</v>
      </c>
      <c r="S396" s="26">
        <v>800</v>
      </c>
      <c r="T396" s="26">
        <v>95200000</v>
      </c>
      <c r="U396" s="26">
        <v>18335503.999999996</v>
      </c>
      <c r="V396" s="26">
        <v>4.720102296912839</v>
      </c>
      <c r="W396" s="26">
        <v>0</v>
      </c>
      <c r="X396" s="26">
        <v>800</v>
      </c>
    </row>
    <row r="397" spans="1:24">
      <c r="A397" s="24" t="str">
        <f t="shared" si="76"/>
        <v>신규</v>
      </c>
      <c r="B397" s="24" t="str">
        <f>IF(COUNTIF(Q$1:Q396,Q397)=0,"최초","리오더")</f>
        <v>최초</v>
      </c>
      <c r="C397" s="24" t="str">
        <f t="shared" si="77"/>
        <v>ELSTHE5313</v>
      </c>
      <c r="D397" s="24">
        <f t="shared" si="72"/>
        <v>1</v>
      </c>
      <c r="E397" s="24" t="str">
        <f t="shared" si="78"/>
        <v/>
      </c>
      <c r="F397" s="24">
        <f t="shared" si="73"/>
        <v>0</v>
      </c>
      <c r="G397" s="24" t="str">
        <f t="shared" si="79"/>
        <v>ELSTHE5313NY</v>
      </c>
      <c r="H397" s="24">
        <f t="shared" si="74"/>
        <v>1</v>
      </c>
      <c r="I397" s="24" t="str">
        <f t="shared" si="80"/>
        <v/>
      </c>
      <c r="J397" s="24">
        <f t="shared" si="75"/>
        <v>0</v>
      </c>
      <c r="K397" s="24" t="str">
        <f t="shared" si="81"/>
        <v>E5</v>
      </c>
      <c r="L397" s="24" t="str">
        <f>VLOOKUP(N397,CODE!K:P,CODE!$P$1,FALSE)</f>
        <v>의류</v>
      </c>
      <c r="M397" s="24" t="str">
        <f>VLOOKUP(MID(Q397,1,3),CODE!$B:$G,CODE!D$1,FALSE)</f>
        <v>ELS</v>
      </c>
      <c r="N397" s="24" t="str">
        <f t="shared" si="82"/>
        <v>TH</v>
      </c>
      <c r="O397" s="29" t="str">
        <f>IF(ISERROR(IF(VLOOKUP($N397,CODE!$K:$P,CODE!$O$1,FALSE)="",$M397,$M397&amp;"-"&amp;VLOOKUP($N397,CODE!$K:$P,CODE!$O$1,FALSE)))=TRUE,"",IF(VLOOKUP($N397,CODE!$K:$P,CODE!$O$1,FALSE)="",$M397,$M397&amp;"-"&amp;VLOOKUP($N397,CODE!$K:$P,CODE!$O$1,FALSE)))</f>
        <v>ELS-의류</v>
      </c>
      <c r="P397" s="29" t="str">
        <f t="shared" si="83"/>
        <v>ELSTHE5313</v>
      </c>
      <c r="Q397" s="1" t="s">
        <v>1188</v>
      </c>
      <c r="R397" s="1" t="s">
        <v>14</v>
      </c>
      <c r="S397" s="26">
        <v>1000</v>
      </c>
      <c r="T397" s="26">
        <v>109000000</v>
      </c>
      <c r="U397" s="26">
        <v>26120000</v>
      </c>
      <c r="V397" s="26">
        <v>3.7936795210914656</v>
      </c>
      <c r="W397" s="26">
        <v>0</v>
      </c>
      <c r="X397" s="26">
        <v>1000</v>
      </c>
    </row>
    <row r="398" spans="1:24">
      <c r="A398" s="24" t="str">
        <f t="shared" si="76"/>
        <v>신규</v>
      </c>
      <c r="B398" s="24" t="str">
        <f>IF(COUNTIF(Q$1:Q397,Q398)=0,"최초","리오더")</f>
        <v>최초</v>
      </c>
      <c r="C398" s="24" t="str">
        <f t="shared" si="77"/>
        <v>ELSTHE5813</v>
      </c>
      <c r="D398" s="24">
        <f t="shared" si="72"/>
        <v>1</v>
      </c>
      <c r="E398" s="24" t="str">
        <f t="shared" si="78"/>
        <v/>
      </c>
      <c r="F398" s="24">
        <f t="shared" si="73"/>
        <v>0</v>
      </c>
      <c r="G398" s="24" t="str">
        <f t="shared" si="79"/>
        <v>ELSTHE5813NY</v>
      </c>
      <c r="H398" s="24">
        <f t="shared" si="74"/>
        <v>1</v>
      </c>
      <c r="I398" s="24" t="str">
        <f t="shared" si="80"/>
        <v/>
      </c>
      <c r="J398" s="24">
        <f t="shared" si="75"/>
        <v>0</v>
      </c>
      <c r="K398" s="24" t="str">
        <f t="shared" si="81"/>
        <v>E5</v>
      </c>
      <c r="L398" s="24" t="str">
        <f>VLOOKUP(N398,CODE!K:P,CODE!$P$1,FALSE)</f>
        <v>의류</v>
      </c>
      <c r="M398" s="24" t="str">
        <f>VLOOKUP(MID(Q398,1,3),CODE!$B:$G,CODE!D$1,FALSE)</f>
        <v>ELS</v>
      </c>
      <c r="N398" s="24" t="str">
        <f t="shared" si="82"/>
        <v>TH</v>
      </c>
      <c r="O398" s="29" t="str">
        <f>IF(ISERROR(IF(VLOOKUP($N398,CODE!$K:$P,CODE!$O$1,FALSE)="",$M398,$M398&amp;"-"&amp;VLOOKUP($N398,CODE!$K:$P,CODE!$O$1,FALSE)))=TRUE,"",IF(VLOOKUP($N398,CODE!$K:$P,CODE!$O$1,FALSE)="",$M398,$M398&amp;"-"&amp;VLOOKUP($N398,CODE!$K:$P,CODE!$O$1,FALSE)))</f>
        <v>ELS-의류</v>
      </c>
      <c r="P398" s="29" t="str">
        <f t="shared" si="83"/>
        <v>ELSTHE5813</v>
      </c>
      <c r="Q398" s="1" t="s">
        <v>1189</v>
      </c>
      <c r="R398" s="1" t="s">
        <v>14</v>
      </c>
      <c r="S398" s="26">
        <v>1000</v>
      </c>
      <c r="T398" s="26">
        <v>99000000</v>
      </c>
      <c r="U398" s="26">
        <v>24220000</v>
      </c>
      <c r="V398" s="26">
        <v>3.7159372419488021</v>
      </c>
      <c r="W398" s="26">
        <v>0</v>
      </c>
      <c r="X398" s="26">
        <v>1000</v>
      </c>
    </row>
    <row r="399" spans="1:24">
      <c r="A399" s="24" t="str">
        <f t="shared" si="76"/>
        <v>신규</v>
      </c>
      <c r="B399" s="24" t="str">
        <f>IF(COUNTIF(Q$1:Q398,Q399)=0,"최초","리오더")</f>
        <v>최초</v>
      </c>
      <c r="C399" s="24" t="str">
        <f t="shared" si="77"/>
        <v>ELSTHE5319</v>
      </c>
      <c r="D399" s="24">
        <f t="shared" si="72"/>
        <v>1</v>
      </c>
      <c r="E399" s="24" t="str">
        <f t="shared" si="78"/>
        <v/>
      </c>
      <c r="F399" s="24">
        <f t="shared" si="73"/>
        <v>0</v>
      </c>
      <c r="G399" s="24" t="str">
        <f t="shared" si="79"/>
        <v>ELSTHE5319BU</v>
      </c>
      <c r="H399" s="24">
        <f t="shared" si="74"/>
        <v>1</v>
      </c>
      <c r="I399" s="24" t="str">
        <f t="shared" si="80"/>
        <v/>
      </c>
      <c r="J399" s="24">
        <f t="shared" si="75"/>
        <v>0</v>
      </c>
      <c r="K399" s="24" t="str">
        <f t="shared" si="81"/>
        <v>E5</v>
      </c>
      <c r="L399" s="24" t="str">
        <f>VLOOKUP(N399,CODE!K:P,CODE!$P$1,FALSE)</f>
        <v>의류</v>
      </c>
      <c r="M399" s="24" t="str">
        <f>VLOOKUP(MID(Q399,1,3),CODE!$B:$G,CODE!D$1,FALSE)</f>
        <v>ELS</v>
      </c>
      <c r="N399" s="24" t="str">
        <f t="shared" si="82"/>
        <v>TH</v>
      </c>
      <c r="O399" s="29" t="str">
        <f>IF(ISERROR(IF(VLOOKUP($N399,CODE!$K:$P,CODE!$O$1,FALSE)="",$M399,$M399&amp;"-"&amp;VLOOKUP($N399,CODE!$K:$P,CODE!$O$1,FALSE)))=TRUE,"",IF(VLOOKUP($N399,CODE!$K:$P,CODE!$O$1,FALSE)="",$M399,$M399&amp;"-"&amp;VLOOKUP($N399,CODE!$K:$P,CODE!$O$1,FALSE)))</f>
        <v>ELS-의류</v>
      </c>
      <c r="P399" s="29" t="str">
        <f t="shared" si="83"/>
        <v>ELSTHE5319</v>
      </c>
      <c r="Q399" s="1" t="s">
        <v>1190</v>
      </c>
      <c r="R399" s="1" t="s">
        <v>14</v>
      </c>
      <c r="S399" s="26">
        <v>1500</v>
      </c>
      <c r="T399" s="26">
        <v>163500000</v>
      </c>
      <c r="U399" s="26">
        <v>40080000</v>
      </c>
      <c r="V399" s="26">
        <v>3.7084921066956995</v>
      </c>
      <c r="W399" s="26">
        <v>0</v>
      </c>
      <c r="X399" s="26">
        <v>1500</v>
      </c>
    </row>
    <row r="400" spans="1:24">
      <c r="A400" s="24" t="str">
        <f t="shared" si="76"/>
        <v>신규</v>
      </c>
      <c r="B400" s="24" t="str">
        <f>IF(COUNTIF(Q$1:Q399,Q400)=0,"최초","리오더")</f>
        <v>최초</v>
      </c>
      <c r="C400" s="24" t="str">
        <f t="shared" si="77"/>
        <v>ELSHPE5320</v>
      </c>
      <c r="D400" s="24">
        <f t="shared" si="72"/>
        <v>1</v>
      </c>
      <c r="E400" s="24" t="str">
        <f t="shared" si="78"/>
        <v/>
      </c>
      <c r="F400" s="24">
        <f t="shared" si="73"/>
        <v>0</v>
      </c>
      <c r="G400" s="24" t="str">
        <f t="shared" si="79"/>
        <v>ELSHPE5320BK</v>
      </c>
      <c r="H400" s="24">
        <f t="shared" si="74"/>
        <v>1</v>
      </c>
      <c r="I400" s="24" t="str">
        <f t="shared" si="80"/>
        <v/>
      </c>
      <c r="J400" s="24">
        <f t="shared" si="75"/>
        <v>0</v>
      </c>
      <c r="K400" s="24" t="str">
        <f t="shared" si="81"/>
        <v>E5</v>
      </c>
      <c r="L400" s="24" t="str">
        <f>VLOOKUP(N400,CODE!K:P,CODE!$P$1,FALSE)</f>
        <v>의류</v>
      </c>
      <c r="M400" s="24" t="str">
        <f>VLOOKUP(MID(Q400,1,3),CODE!$B:$G,CODE!D$1,FALSE)</f>
        <v>ELS</v>
      </c>
      <c r="N400" s="24" t="str">
        <f t="shared" si="82"/>
        <v>HP</v>
      </c>
      <c r="O400" s="29" t="str">
        <f>IF(ISERROR(IF(VLOOKUP($N400,CODE!$K:$P,CODE!$O$1,FALSE)="",$M400,$M400&amp;"-"&amp;VLOOKUP($N400,CODE!$K:$P,CODE!$O$1,FALSE)))=TRUE,"",IF(VLOOKUP($N400,CODE!$K:$P,CODE!$O$1,FALSE)="",$M400,$M400&amp;"-"&amp;VLOOKUP($N400,CODE!$K:$P,CODE!$O$1,FALSE)))</f>
        <v>ELS-의류</v>
      </c>
      <c r="P400" s="29" t="str">
        <f t="shared" si="83"/>
        <v>ELSHPE5320</v>
      </c>
      <c r="Q400" s="1" t="s">
        <v>1191</v>
      </c>
      <c r="R400" s="1" t="s">
        <v>14</v>
      </c>
      <c r="S400" s="26">
        <v>1500</v>
      </c>
      <c r="T400" s="26">
        <v>193500000</v>
      </c>
      <c r="U400" s="26">
        <v>46680000</v>
      </c>
      <c r="V400" s="26">
        <v>3.7684038326711842</v>
      </c>
      <c r="W400" s="26">
        <v>0</v>
      </c>
      <c r="X400" s="26">
        <v>1500</v>
      </c>
    </row>
    <row r="401" spans="1:24">
      <c r="A401" s="24" t="str">
        <f t="shared" si="76"/>
        <v>신규</v>
      </c>
      <c r="B401" s="24" t="str">
        <f>IF(COUNTIF(Q$1:Q400,Q401)=0,"최초","리오더")</f>
        <v>최초</v>
      </c>
      <c r="C401" s="24" t="str">
        <f t="shared" si="77"/>
        <v>ELSTHE5315</v>
      </c>
      <c r="D401" s="24">
        <f t="shared" si="72"/>
        <v>1</v>
      </c>
      <c r="E401" s="24" t="str">
        <f t="shared" si="78"/>
        <v/>
      </c>
      <c r="F401" s="24">
        <f t="shared" si="73"/>
        <v>0</v>
      </c>
      <c r="G401" s="24" t="str">
        <f t="shared" si="79"/>
        <v>ELSTHE5315BW</v>
      </c>
      <c r="H401" s="24">
        <f t="shared" si="74"/>
        <v>1</v>
      </c>
      <c r="I401" s="24" t="str">
        <f t="shared" si="80"/>
        <v/>
      </c>
      <c r="J401" s="24">
        <f t="shared" si="75"/>
        <v>0</v>
      </c>
      <c r="K401" s="24" t="str">
        <f t="shared" si="81"/>
        <v>E5</v>
      </c>
      <c r="L401" s="24" t="str">
        <f>VLOOKUP(N401,CODE!K:P,CODE!$P$1,FALSE)</f>
        <v>의류</v>
      </c>
      <c r="M401" s="24" t="str">
        <f>VLOOKUP(MID(Q401,1,3),CODE!$B:$G,CODE!D$1,FALSE)</f>
        <v>ELS</v>
      </c>
      <c r="N401" s="24" t="str">
        <f t="shared" si="82"/>
        <v>TH</v>
      </c>
      <c r="O401" s="29" t="str">
        <f>IF(ISERROR(IF(VLOOKUP($N401,CODE!$K:$P,CODE!$O$1,FALSE)="",$M401,$M401&amp;"-"&amp;VLOOKUP($N401,CODE!$K:$P,CODE!$O$1,FALSE)))=TRUE,"",IF(VLOOKUP($N401,CODE!$K:$P,CODE!$O$1,FALSE)="",$M401,$M401&amp;"-"&amp;VLOOKUP($N401,CODE!$K:$P,CODE!$O$1,FALSE)))</f>
        <v>ELS-의류</v>
      </c>
      <c r="P401" s="29" t="str">
        <f t="shared" si="83"/>
        <v>ELSTHE5315</v>
      </c>
      <c r="Q401" s="1" t="s">
        <v>1192</v>
      </c>
      <c r="R401" s="1" t="s">
        <v>14</v>
      </c>
      <c r="S401" s="26">
        <v>1500</v>
      </c>
      <c r="T401" s="26">
        <v>148500000</v>
      </c>
      <c r="U401" s="26">
        <v>29252625.000000004</v>
      </c>
      <c r="V401" s="26">
        <v>4.6149704513697474</v>
      </c>
      <c r="W401" s="26">
        <v>0</v>
      </c>
      <c r="X401" s="26">
        <v>1500</v>
      </c>
    </row>
    <row r="402" spans="1:24">
      <c r="A402" s="24" t="str">
        <f t="shared" si="76"/>
        <v>신규</v>
      </c>
      <c r="B402" s="24" t="str">
        <f>IF(COUNTIF(Q$1:Q401,Q402)=0,"최초","리오더")</f>
        <v>최초</v>
      </c>
      <c r="C402" s="24" t="str">
        <f t="shared" si="77"/>
        <v>ELSTHE5815</v>
      </c>
      <c r="D402" s="24">
        <f t="shared" si="72"/>
        <v>1</v>
      </c>
      <c r="E402" s="24" t="str">
        <f t="shared" si="78"/>
        <v/>
      </c>
      <c r="F402" s="24">
        <f t="shared" si="73"/>
        <v>0</v>
      </c>
      <c r="G402" s="24" t="str">
        <f t="shared" si="79"/>
        <v>ELSTHE5815BW</v>
      </c>
      <c r="H402" s="24">
        <f t="shared" si="74"/>
        <v>1</v>
      </c>
      <c r="I402" s="24" t="str">
        <f t="shared" si="80"/>
        <v/>
      </c>
      <c r="J402" s="24">
        <f t="shared" si="75"/>
        <v>0</v>
      </c>
      <c r="K402" s="24" t="str">
        <f t="shared" si="81"/>
        <v>E5</v>
      </c>
      <c r="L402" s="24" t="str">
        <f>VLOOKUP(N402,CODE!K:P,CODE!$P$1,FALSE)</f>
        <v>의류</v>
      </c>
      <c r="M402" s="24" t="str">
        <f>VLOOKUP(MID(Q402,1,3),CODE!$B:$G,CODE!D$1,FALSE)</f>
        <v>ELS</v>
      </c>
      <c r="N402" s="24" t="str">
        <f t="shared" si="82"/>
        <v>TH</v>
      </c>
      <c r="O402" s="29" t="str">
        <f>IF(ISERROR(IF(VLOOKUP($N402,CODE!$K:$P,CODE!$O$1,FALSE)="",$M402,$M402&amp;"-"&amp;VLOOKUP($N402,CODE!$K:$P,CODE!$O$1,FALSE)))=TRUE,"",IF(VLOOKUP($N402,CODE!$K:$P,CODE!$O$1,FALSE)="",$M402,$M402&amp;"-"&amp;VLOOKUP($N402,CODE!$K:$P,CODE!$O$1,FALSE)))</f>
        <v>ELS-의류</v>
      </c>
      <c r="P402" s="29" t="str">
        <f t="shared" si="83"/>
        <v>ELSTHE5815</v>
      </c>
      <c r="Q402" s="1" t="s">
        <v>1193</v>
      </c>
      <c r="R402" s="1" t="s">
        <v>14</v>
      </c>
      <c r="S402" s="26">
        <v>1500</v>
      </c>
      <c r="T402" s="26">
        <v>133500000</v>
      </c>
      <c r="U402" s="26">
        <v>25701000</v>
      </c>
      <c r="V402" s="26">
        <v>4.7221367403461478</v>
      </c>
      <c r="W402" s="26">
        <v>0</v>
      </c>
      <c r="X402" s="26">
        <v>1500</v>
      </c>
    </row>
    <row r="403" spans="1:24">
      <c r="A403" s="24" t="str">
        <f t="shared" si="76"/>
        <v>신규</v>
      </c>
      <c r="B403" s="24" t="str">
        <f>IF(COUNTIF(Q$1:Q402,Q403)=0,"최초","리오더")</f>
        <v>최초</v>
      </c>
      <c r="C403" s="24" t="str">
        <f t="shared" si="77"/>
        <v>ELSHPE5323</v>
      </c>
      <c r="D403" s="24">
        <f t="shared" si="72"/>
        <v>1</v>
      </c>
      <c r="E403" s="24" t="str">
        <f t="shared" si="78"/>
        <v/>
      </c>
      <c r="F403" s="24">
        <f t="shared" si="73"/>
        <v>0</v>
      </c>
      <c r="G403" s="24" t="str">
        <f t="shared" si="79"/>
        <v>ELSHPE5323BK</v>
      </c>
      <c r="H403" s="24">
        <f t="shared" si="74"/>
        <v>1</v>
      </c>
      <c r="I403" s="24" t="str">
        <f t="shared" si="80"/>
        <v/>
      </c>
      <c r="J403" s="24">
        <f t="shared" si="75"/>
        <v>0</v>
      </c>
      <c r="K403" s="24" t="str">
        <f t="shared" si="81"/>
        <v>E5</v>
      </c>
      <c r="L403" s="24" t="str">
        <f>VLOOKUP(N403,CODE!K:P,CODE!$P$1,FALSE)</f>
        <v>의류</v>
      </c>
      <c r="M403" s="24" t="str">
        <f>VLOOKUP(MID(Q403,1,3),CODE!$B:$G,CODE!D$1,FALSE)</f>
        <v>ELS</v>
      </c>
      <c r="N403" s="24" t="str">
        <f t="shared" si="82"/>
        <v>HP</v>
      </c>
      <c r="O403" s="29" t="str">
        <f>IF(ISERROR(IF(VLOOKUP($N403,CODE!$K:$P,CODE!$O$1,FALSE)="",$M403,$M403&amp;"-"&amp;VLOOKUP($N403,CODE!$K:$P,CODE!$O$1,FALSE)))=TRUE,"",IF(VLOOKUP($N403,CODE!$K:$P,CODE!$O$1,FALSE)="",$M403,$M403&amp;"-"&amp;VLOOKUP($N403,CODE!$K:$P,CODE!$O$1,FALSE)))</f>
        <v>ELS-의류</v>
      </c>
      <c r="P403" s="29" t="str">
        <f t="shared" si="83"/>
        <v>ELSHPE5323</v>
      </c>
      <c r="Q403" s="1" t="s">
        <v>1194</v>
      </c>
      <c r="R403" s="1" t="s">
        <v>14</v>
      </c>
      <c r="S403" s="26">
        <v>1500</v>
      </c>
      <c r="T403" s="26">
        <v>193500000</v>
      </c>
      <c r="U403" s="26">
        <v>38781375</v>
      </c>
      <c r="V403" s="26">
        <v>4.5359168133953709</v>
      </c>
      <c r="W403" s="26">
        <v>0</v>
      </c>
      <c r="X403" s="26">
        <v>1500</v>
      </c>
    </row>
    <row r="404" spans="1:24">
      <c r="A404" s="24" t="str">
        <f t="shared" si="76"/>
        <v>신규</v>
      </c>
      <c r="B404" s="24" t="str">
        <f>IF(COUNTIF(Q$1:Q403,Q404)=0,"최초","리오더")</f>
        <v>최초</v>
      </c>
      <c r="C404" s="24" t="str">
        <f t="shared" si="77"/>
        <v>ELSHPE5823</v>
      </c>
      <c r="D404" s="24">
        <f t="shared" si="72"/>
        <v>1</v>
      </c>
      <c r="E404" s="24" t="str">
        <f t="shared" si="78"/>
        <v/>
      </c>
      <c r="F404" s="24">
        <f t="shared" si="73"/>
        <v>0</v>
      </c>
      <c r="G404" s="24" t="str">
        <f t="shared" si="79"/>
        <v>ELSHPE5823BK</v>
      </c>
      <c r="H404" s="24">
        <f t="shared" si="74"/>
        <v>1</v>
      </c>
      <c r="I404" s="24" t="str">
        <f t="shared" si="80"/>
        <v/>
      </c>
      <c r="J404" s="24">
        <f t="shared" si="75"/>
        <v>0</v>
      </c>
      <c r="K404" s="24" t="str">
        <f t="shared" si="81"/>
        <v>E5</v>
      </c>
      <c r="L404" s="24" t="str">
        <f>VLOOKUP(N404,CODE!K:P,CODE!$P$1,FALSE)</f>
        <v>의류</v>
      </c>
      <c r="M404" s="24" t="str">
        <f>VLOOKUP(MID(Q404,1,3),CODE!$B:$G,CODE!D$1,FALSE)</f>
        <v>ELS</v>
      </c>
      <c r="N404" s="24" t="str">
        <f t="shared" si="82"/>
        <v>HP</v>
      </c>
      <c r="O404" s="29" t="str">
        <f>IF(ISERROR(IF(VLOOKUP($N404,CODE!$K:$P,CODE!$O$1,FALSE)="",$M404,$M404&amp;"-"&amp;VLOOKUP($N404,CODE!$K:$P,CODE!$O$1,FALSE)))=TRUE,"",IF(VLOOKUP($N404,CODE!$K:$P,CODE!$O$1,FALSE)="",$M404,$M404&amp;"-"&amp;VLOOKUP($N404,CODE!$K:$P,CODE!$O$1,FALSE)))</f>
        <v>ELS-의류</v>
      </c>
      <c r="P404" s="29" t="str">
        <f t="shared" si="83"/>
        <v>ELSHPE5823</v>
      </c>
      <c r="Q404" s="1" t="s">
        <v>1195</v>
      </c>
      <c r="R404" s="1" t="s">
        <v>14</v>
      </c>
      <c r="S404" s="26">
        <v>1200</v>
      </c>
      <c r="T404" s="26">
        <v>142800000</v>
      </c>
      <c r="U404" s="26">
        <v>28668900</v>
      </c>
      <c r="V404" s="26">
        <v>4.5281884487434745</v>
      </c>
      <c r="W404" s="26">
        <v>0</v>
      </c>
      <c r="X404" s="26">
        <v>1200</v>
      </c>
    </row>
    <row r="405" spans="1:24">
      <c r="A405" s="24" t="str">
        <f t="shared" si="76"/>
        <v>신규</v>
      </c>
      <c r="B405" s="24" t="str">
        <f>IF(COUNTIF(Q$1:Q404,Q405)=0,"최초","리오더")</f>
        <v>최초</v>
      </c>
      <c r="C405" s="24" t="str">
        <f t="shared" si="77"/>
        <v>ELSHPE5324</v>
      </c>
      <c r="D405" s="24">
        <f t="shared" si="72"/>
        <v>1</v>
      </c>
      <c r="E405" s="24" t="str">
        <f t="shared" si="78"/>
        <v/>
      </c>
      <c r="F405" s="24">
        <f t="shared" si="73"/>
        <v>0</v>
      </c>
      <c r="G405" s="24" t="str">
        <f t="shared" si="79"/>
        <v>ELSHPE5324GY</v>
      </c>
      <c r="H405" s="24">
        <f t="shared" si="74"/>
        <v>1</v>
      </c>
      <c r="I405" s="24" t="str">
        <f t="shared" si="80"/>
        <v/>
      </c>
      <c r="J405" s="24">
        <f t="shared" si="75"/>
        <v>0</v>
      </c>
      <c r="K405" s="24" t="str">
        <f t="shared" si="81"/>
        <v>E5</v>
      </c>
      <c r="L405" s="24" t="str">
        <f>VLOOKUP(N405,CODE!K:P,CODE!$P$1,FALSE)</f>
        <v>의류</v>
      </c>
      <c r="M405" s="24" t="str">
        <f>VLOOKUP(MID(Q405,1,3),CODE!$B:$G,CODE!D$1,FALSE)</f>
        <v>ELS</v>
      </c>
      <c r="N405" s="24" t="str">
        <f t="shared" si="82"/>
        <v>HP</v>
      </c>
      <c r="O405" s="29" t="str">
        <f>IF(ISERROR(IF(VLOOKUP($N405,CODE!$K:$P,CODE!$O$1,FALSE)="",$M405,$M405&amp;"-"&amp;VLOOKUP($N405,CODE!$K:$P,CODE!$O$1,FALSE)))=TRUE,"",IF(VLOOKUP($N405,CODE!$K:$P,CODE!$O$1,FALSE)="",$M405,$M405&amp;"-"&amp;VLOOKUP($N405,CODE!$K:$P,CODE!$O$1,FALSE)))</f>
        <v>ELS-의류</v>
      </c>
      <c r="P405" s="29" t="str">
        <f t="shared" si="83"/>
        <v>ELSHPE5324</v>
      </c>
      <c r="Q405" s="1" t="s">
        <v>1196</v>
      </c>
      <c r="R405" s="1" t="s">
        <v>14</v>
      </c>
      <c r="S405" s="26">
        <v>800</v>
      </c>
      <c r="T405" s="26">
        <v>111200000</v>
      </c>
      <c r="U405" s="26">
        <v>21746000</v>
      </c>
      <c r="V405" s="26">
        <v>4.6487128249291398</v>
      </c>
      <c r="W405" s="26">
        <v>0</v>
      </c>
      <c r="X405" s="26">
        <v>800</v>
      </c>
    </row>
    <row r="406" spans="1:24">
      <c r="A406" s="24" t="str">
        <f t="shared" si="76"/>
        <v>신규</v>
      </c>
      <c r="B406" s="24" t="str">
        <f>IF(COUNTIF(Q$1:Q405,Q406)=0,"최초","리오더")</f>
        <v>최초</v>
      </c>
      <c r="C406" s="24" t="str">
        <f t="shared" si="77"/>
        <v>ELSHPE5325</v>
      </c>
      <c r="D406" s="24">
        <f t="shared" si="72"/>
        <v>1</v>
      </c>
      <c r="E406" s="24" t="str">
        <f t="shared" si="78"/>
        <v/>
      </c>
      <c r="F406" s="24">
        <f t="shared" si="73"/>
        <v>0</v>
      </c>
      <c r="G406" s="24" t="str">
        <f t="shared" si="79"/>
        <v>ELSHPE5325BK</v>
      </c>
      <c r="H406" s="24">
        <f t="shared" si="74"/>
        <v>1</v>
      </c>
      <c r="I406" s="24" t="str">
        <f t="shared" si="80"/>
        <v/>
      </c>
      <c r="J406" s="24">
        <f t="shared" si="75"/>
        <v>0</v>
      </c>
      <c r="K406" s="24" t="str">
        <f t="shared" si="81"/>
        <v>E5</v>
      </c>
      <c r="L406" s="24" t="str">
        <f>VLOOKUP(N406,CODE!K:P,CODE!$P$1,FALSE)</f>
        <v>의류</v>
      </c>
      <c r="M406" s="24" t="str">
        <f>VLOOKUP(MID(Q406,1,3),CODE!$B:$G,CODE!D$1,FALSE)</f>
        <v>ELS</v>
      </c>
      <c r="N406" s="24" t="str">
        <f t="shared" si="82"/>
        <v>HP</v>
      </c>
      <c r="O406" s="29" t="str">
        <f>IF(ISERROR(IF(VLOOKUP($N406,CODE!$K:$P,CODE!$O$1,FALSE)="",$M406,$M406&amp;"-"&amp;VLOOKUP($N406,CODE!$K:$P,CODE!$O$1,FALSE)))=TRUE,"",IF(VLOOKUP($N406,CODE!$K:$P,CODE!$O$1,FALSE)="",$M406,$M406&amp;"-"&amp;VLOOKUP($N406,CODE!$K:$P,CODE!$O$1,FALSE)))</f>
        <v>ELS-의류</v>
      </c>
      <c r="P406" s="29" t="str">
        <f t="shared" si="83"/>
        <v>ELSHPE5325</v>
      </c>
      <c r="Q406" s="1" t="s">
        <v>1197</v>
      </c>
      <c r="R406" s="1" t="s">
        <v>14</v>
      </c>
      <c r="S406" s="26">
        <v>1000</v>
      </c>
      <c r="T406" s="26">
        <v>139000000</v>
      </c>
      <c r="U406" s="26">
        <v>27182500</v>
      </c>
      <c r="V406" s="26">
        <v>4.6487128249291398</v>
      </c>
      <c r="W406" s="26">
        <v>0</v>
      </c>
      <c r="X406" s="26">
        <v>1000</v>
      </c>
    </row>
    <row r="407" spans="1:24">
      <c r="A407" s="24" t="str">
        <f t="shared" si="76"/>
        <v>신규</v>
      </c>
      <c r="B407" s="24" t="str">
        <f>IF(COUNTIF(Q$1:Q406,Q407)=0,"최초","리오더")</f>
        <v>최초</v>
      </c>
      <c r="C407" s="24" t="str">
        <f t="shared" si="77"/>
        <v>ELSJPE5326</v>
      </c>
      <c r="D407" s="24">
        <f t="shared" si="72"/>
        <v>1</v>
      </c>
      <c r="E407" s="24" t="str">
        <f t="shared" si="78"/>
        <v/>
      </c>
      <c r="F407" s="24">
        <f t="shared" si="73"/>
        <v>0</v>
      </c>
      <c r="G407" s="24" t="str">
        <f t="shared" si="79"/>
        <v>ELSJPE5326GR</v>
      </c>
      <c r="H407" s="24">
        <f t="shared" si="74"/>
        <v>1</v>
      </c>
      <c r="I407" s="24" t="str">
        <f t="shared" si="80"/>
        <v/>
      </c>
      <c r="J407" s="24">
        <f t="shared" si="75"/>
        <v>0</v>
      </c>
      <c r="K407" s="24" t="str">
        <f t="shared" si="81"/>
        <v>E5</v>
      </c>
      <c r="L407" s="24" t="str">
        <f>VLOOKUP(N407,CODE!K:P,CODE!$P$1,FALSE)</f>
        <v>의류</v>
      </c>
      <c r="M407" s="24" t="str">
        <f>VLOOKUP(MID(Q407,1,3),CODE!$B:$G,CODE!D$1,FALSE)</f>
        <v>ELS</v>
      </c>
      <c r="N407" s="24" t="str">
        <f t="shared" si="82"/>
        <v>JP</v>
      </c>
      <c r="O407" s="29" t="str">
        <f>IF(ISERROR(IF(VLOOKUP($N407,CODE!$K:$P,CODE!$O$1,FALSE)="",$M407,$M407&amp;"-"&amp;VLOOKUP($N407,CODE!$K:$P,CODE!$O$1,FALSE)))=TRUE,"",IF(VLOOKUP($N407,CODE!$K:$P,CODE!$O$1,FALSE)="",$M407,$M407&amp;"-"&amp;VLOOKUP($N407,CODE!$K:$P,CODE!$O$1,FALSE)))</f>
        <v>ELS-의류</v>
      </c>
      <c r="P407" s="29" t="str">
        <f t="shared" si="83"/>
        <v>ELSJPE5326</v>
      </c>
      <c r="Q407" s="1" t="s">
        <v>1198</v>
      </c>
      <c r="R407" s="1" t="s">
        <v>14</v>
      </c>
      <c r="S407" s="26">
        <v>1200</v>
      </c>
      <c r="T407" s="26">
        <v>214800000</v>
      </c>
      <c r="U407" s="26">
        <v>45093000</v>
      </c>
      <c r="V407" s="26">
        <v>4.3304443543948556</v>
      </c>
      <c r="W407" s="26">
        <v>0</v>
      </c>
      <c r="X407" s="26">
        <v>1200</v>
      </c>
    </row>
    <row r="408" spans="1:24">
      <c r="A408" s="24" t="str">
        <f t="shared" si="76"/>
        <v>신규</v>
      </c>
      <c r="B408" s="24" t="str">
        <f>IF(COUNTIF(Q$1:Q407,Q408)=0,"최초","리오더")</f>
        <v>최초</v>
      </c>
      <c r="C408" s="24" t="str">
        <f t="shared" si="77"/>
        <v>ELSJPE5826</v>
      </c>
      <c r="D408" s="24">
        <f t="shared" si="72"/>
        <v>1</v>
      </c>
      <c r="E408" s="24" t="str">
        <f t="shared" si="78"/>
        <v/>
      </c>
      <c r="F408" s="24">
        <f t="shared" si="73"/>
        <v>0</v>
      </c>
      <c r="G408" s="24" t="str">
        <f t="shared" si="79"/>
        <v>ELSJPE5826GR</v>
      </c>
      <c r="H408" s="24">
        <f t="shared" si="74"/>
        <v>1</v>
      </c>
      <c r="I408" s="24" t="str">
        <f t="shared" si="80"/>
        <v/>
      </c>
      <c r="J408" s="24">
        <f t="shared" si="75"/>
        <v>0</v>
      </c>
      <c r="K408" s="24" t="str">
        <f t="shared" si="81"/>
        <v>E5</v>
      </c>
      <c r="L408" s="24" t="str">
        <f>VLOOKUP(N408,CODE!K:P,CODE!$P$1,FALSE)</f>
        <v>의류</v>
      </c>
      <c r="M408" s="24" t="str">
        <f>VLOOKUP(MID(Q408,1,3),CODE!$B:$G,CODE!D$1,FALSE)</f>
        <v>ELS</v>
      </c>
      <c r="N408" s="24" t="str">
        <f t="shared" si="82"/>
        <v>JP</v>
      </c>
      <c r="O408" s="29" t="str">
        <f>IF(ISERROR(IF(VLOOKUP($N408,CODE!$K:$P,CODE!$O$1,FALSE)="",$M408,$M408&amp;"-"&amp;VLOOKUP($N408,CODE!$K:$P,CODE!$O$1,FALSE)))=TRUE,"",IF(VLOOKUP($N408,CODE!$K:$P,CODE!$O$1,FALSE)="",$M408,$M408&amp;"-"&amp;VLOOKUP($N408,CODE!$K:$P,CODE!$O$1,FALSE)))</f>
        <v>ELS-의류</v>
      </c>
      <c r="P408" s="29" t="str">
        <f t="shared" si="83"/>
        <v>ELSJPE5826</v>
      </c>
      <c r="Q408" s="1" t="s">
        <v>1199</v>
      </c>
      <c r="R408" s="1" t="s">
        <v>14</v>
      </c>
      <c r="S408" s="26">
        <v>800</v>
      </c>
      <c r="T408" s="26">
        <v>135200000</v>
      </c>
      <c r="U408" s="26">
        <v>27752000</v>
      </c>
      <c r="V408" s="26">
        <v>4.4288372336801274</v>
      </c>
      <c r="W408" s="26">
        <v>0</v>
      </c>
      <c r="X408" s="26">
        <v>800</v>
      </c>
    </row>
    <row r="409" spans="1:24">
      <c r="A409" s="24" t="str">
        <f t="shared" si="76"/>
        <v>신규</v>
      </c>
      <c r="B409" s="24" t="str">
        <f>IF(COUNTIF(Q$1:Q408,Q409)=0,"최초","리오더")</f>
        <v>최초</v>
      </c>
      <c r="C409" s="24" t="str">
        <f t="shared" si="77"/>
        <v>ELSEDE5319</v>
      </c>
      <c r="D409" s="24">
        <f t="shared" si="72"/>
        <v>1</v>
      </c>
      <c r="E409" s="24" t="str">
        <f t="shared" si="78"/>
        <v/>
      </c>
      <c r="F409" s="24">
        <f t="shared" si="73"/>
        <v>0</v>
      </c>
      <c r="G409" s="24" t="str">
        <f t="shared" si="79"/>
        <v>ELSEDE5319BW</v>
      </c>
      <c r="H409" s="24">
        <f t="shared" si="74"/>
        <v>1</v>
      </c>
      <c r="I409" s="24" t="str">
        <f t="shared" si="80"/>
        <v/>
      </c>
      <c r="J409" s="24">
        <f t="shared" si="75"/>
        <v>0</v>
      </c>
      <c r="K409" s="24" t="str">
        <f t="shared" si="81"/>
        <v>E5</v>
      </c>
      <c r="L409" s="24" t="str">
        <f>VLOOKUP(N409,CODE!K:P,CODE!$P$1,FALSE)</f>
        <v>ACC</v>
      </c>
      <c r="M409" s="24" t="str">
        <f>VLOOKUP(MID(Q409,1,3),CODE!$B:$G,CODE!D$1,FALSE)</f>
        <v>ELS</v>
      </c>
      <c r="N409" s="24" t="str">
        <f t="shared" si="82"/>
        <v>ED</v>
      </c>
      <c r="O409" s="29" t="str">
        <f>IF(ISERROR(IF(VLOOKUP($N409,CODE!$K:$P,CODE!$O$1,FALSE)="",$M409,$M409&amp;"-"&amp;VLOOKUP($N409,CODE!$K:$P,CODE!$O$1,FALSE)))=TRUE,"",IF(VLOOKUP($N409,CODE!$K:$P,CODE!$O$1,FALSE)="",$M409,$M409&amp;"-"&amp;VLOOKUP($N409,CODE!$K:$P,CODE!$O$1,FALSE)))</f>
        <v>ELS-ACC</v>
      </c>
      <c r="P409" s="29" t="str">
        <f t="shared" si="83"/>
        <v>ELSEDE5319</v>
      </c>
      <c r="Q409" s="1" t="s">
        <v>1200</v>
      </c>
      <c r="R409" s="1" t="s">
        <v>14</v>
      </c>
      <c r="S409" s="26">
        <v>500</v>
      </c>
      <c r="T409" s="26">
        <v>21500000</v>
      </c>
      <c r="U409" s="26">
        <v>4001680.0000000005</v>
      </c>
      <c r="V409" s="26">
        <v>4.8843122252290394</v>
      </c>
      <c r="W409" s="26">
        <v>0</v>
      </c>
      <c r="X409" s="26">
        <v>500</v>
      </c>
    </row>
    <row r="410" spans="1:24">
      <c r="A410" s="24" t="str">
        <f t="shared" si="76"/>
        <v>신규</v>
      </c>
      <c r="B410" s="24" t="str">
        <f>IF(COUNTIF(Q$1:Q409,Q410)=0,"최초","리오더")</f>
        <v>최초</v>
      </c>
      <c r="C410" s="24" t="str">
        <f t="shared" si="77"/>
        <v>ELSEDE5320</v>
      </c>
      <c r="D410" s="24">
        <f t="shared" si="72"/>
        <v>1</v>
      </c>
      <c r="E410" s="24" t="str">
        <f t="shared" si="78"/>
        <v/>
      </c>
      <c r="F410" s="24">
        <f t="shared" si="73"/>
        <v>0</v>
      </c>
      <c r="G410" s="24" t="str">
        <f t="shared" si="79"/>
        <v>ELSEDE5320BU</v>
      </c>
      <c r="H410" s="24">
        <f t="shared" si="74"/>
        <v>1</v>
      </c>
      <c r="I410" s="24" t="str">
        <f t="shared" si="80"/>
        <v/>
      </c>
      <c r="J410" s="24">
        <f t="shared" si="75"/>
        <v>0</v>
      </c>
      <c r="K410" s="24" t="str">
        <f t="shared" si="81"/>
        <v>E5</v>
      </c>
      <c r="L410" s="24" t="str">
        <f>VLOOKUP(N410,CODE!K:P,CODE!$P$1,FALSE)</f>
        <v>ACC</v>
      </c>
      <c r="M410" s="24" t="str">
        <f>VLOOKUP(MID(Q410,1,3),CODE!$B:$G,CODE!D$1,FALSE)</f>
        <v>ELS</v>
      </c>
      <c r="N410" s="24" t="str">
        <f t="shared" si="82"/>
        <v>ED</v>
      </c>
      <c r="O410" s="29" t="str">
        <f>IF(ISERROR(IF(VLOOKUP($N410,CODE!$K:$P,CODE!$O$1,FALSE)="",$M410,$M410&amp;"-"&amp;VLOOKUP($N410,CODE!$K:$P,CODE!$O$1,FALSE)))=TRUE,"",IF(VLOOKUP($N410,CODE!$K:$P,CODE!$O$1,FALSE)="",$M410,$M410&amp;"-"&amp;VLOOKUP($N410,CODE!$K:$P,CODE!$O$1,FALSE)))</f>
        <v>ELS-ACC</v>
      </c>
      <c r="P410" s="29" t="str">
        <f t="shared" si="83"/>
        <v>ELSEDE5320</v>
      </c>
      <c r="Q410" s="1" t="s">
        <v>1201</v>
      </c>
      <c r="R410" s="1" t="s">
        <v>14</v>
      </c>
      <c r="S410" s="26">
        <v>500</v>
      </c>
      <c r="T410" s="26">
        <v>21500000</v>
      </c>
      <c r="U410" s="26">
        <v>4001680.0000000005</v>
      </c>
      <c r="V410" s="26">
        <v>4.8843122252290394</v>
      </c>
      <c r="W410" s="26">
        <v>0</v>
      </c>
      <c r="X410" s="26">
        <v>500</v>
      </c>
    </row>
    <row r="411" spans="1:24">
      <c r="A411" s="24" t="str">
        <f t="shared" si="76"/>
        <v>신규</v>
      </c>
      <c r="B411" s="24" t="str">
        <f>IF(COUNTIF(Q$1:Q410,Q411)=0,"최초","리오더")</f>
        <v>최초</v>
      </c>
      <c r="C411" s="24" t="str">
        <f t="shared" si="77"/>
        <v>ELSTPE5321</v>
      </c>
      <c r="D411" s="24">
        <f t="shared" si="72"/>
        <v>1</v>
      </c>
      <c r="E411" s="24" t="str">
        <f t="shared" si="78"/>
        <v/>
      </c>
      <c r="F411" s="24">
        <f t="shared" si="73"/>
        <v>0</v>
      </c>
      <c r="G411" s="24" t="str">
        <f t="shared" si="79"/>
        <v>ELSTPE5321MT</v>
      </c>
      <c r="H411" s="24">
        <f t="shared" si="74"/>
        <v>1</v>
      </c>
      <c r="I411" s="24" t="str">
        <f t="shared" si="80"/>
        <v/>
      </c>
      <c r="J411" s="24">
        <f t="shared" si="75"/>
        <v>0</v>
      </c>
      <c r="K411" s="24" t="str">
        <f t="shared" si="81"/>
        <v>E5</v>
      </c>
      <c r="L411" s="24" t="str">
        <f>VLOOKUP(N411,CODE!K:P,CODE!$P$1,FALSE)</f>
        <v>모자</v>
      </c>
      <c r="M411" s="24" t="str">
        <f>VLOOKUP(MID(Q411,1,3),CODE!$B:$G,CODE!D$1,FALSE)</f>
        <v>ELS</v>
      </c>
      <c r="N411" s="24" t="str">
        <f t="shared" si="82"/>
        <v>TP</v>
      </c>
      <c r="O411" s="29" t="str">
        <f>IF(ISERROR(IF(VLOOKUP($N411,CODE!$K:$P,CODE!$O$1,FALSE)="",$M411,$M411&amp;"-"&amp;VLOOKUP($N411,CODE!$K:$P,CODE!$O$1,FALSE)))=TRUE,"",IF(VLOOKUP($N411,CODE!$K:$P,CODE!$O$1,FALSE)="",$M411,$M411&amp;"-"&amp;VLOOKUP($N411,CODE!$K:$P,CODE!$O$1,FALSE)))</f>
        <v>ELS</v>
      </c>
      <c r="P411" s="29" t="str">
        <f t="shared" si="83"/>
        <v>ELSTPE5321</v>
      </c>
      <c r="Q411" s="1" t="s">
        <v>1202</v>
      </c>
      <c r="R411" s="1" t="s">
        <v>14</v>
      </c>
      <c r="S411" s="26">
        <v>300</v>
      </c>
      <c r="T411" s="26">
        <v>14700000</v>
      </c>
      <c r="U411" s="26">
        <v>2424768.0000000005</v>
      </c>
      <c r="V411" s="26">
        <v>5.511305149043686</v>
      </c>
      <c r="W411" s="26">
        <v>0</v>
      </c>
      <c r="X411" s="26">
        <v>300</v>
      </c>
    </row>
    <row r="412" spans="1:24">
      <c r="A412" s="24" t="str">
        <f t="shared" si="76"/>
        <v>신규</v>
      </c>
      <c r="B412" s="24" t="str">
        <f>IF(COUNTIF(Q$1:Q411,Q412)=0,"최초","리오더")</f>
        <v>최초</v>
      </c>
      <c r="C412" s="24" t="str">
        <f t="shared" si="77"/>
        <v>ELSTPE5821</v>
      </c>
      <c r="D412" s="24">
        <f t="shared" si="72"/>
        <v>1</v>
      </c>
      <c r="E412" s="24" t="str">
        <f t="shared" si="78"/>
        <v/>
      </c>
      <c r="F412" s="24">
        <f t="shared" si="73"/>
        <v>0</v>
      </c>
      <c r="G412" s="24" t="str">
        <f t="shared" si="79"/>
        <v>ELSTPE5821MT</v>
      </c>
      <c r="H412" s="24">
        <f t="shared" si="74"/>
        <v>1</v>
      </c>
      <c r="I412" s="24" t="str">
        <f t="shared" si="80"/>
        <v/>
      </c>
      <c r="J412" s="24">
        <f t="shared" si="75"/>
        <v>0</v>
      </c>
      <c r="K412" s="24" t="str">
        <f t="shared" si="81"/>
        <v>E5</v>
      </c>
      <c r="L412" s="24" t="str">
        <f>VLOOKUP(N412,CODE!K:P,CODE!$P$1,FALSE)</f>
        <v>모자</v>
      </c>
      <c r="M412" s="24" t="str">
        <f>VLOOKUP(MID(Q412,1,3),CODE!$B:$G,CODE!D$1,FALSE)</f>
        <v>ELS</v>
      </c>
      <c r="N412" s="24" t="str">
        <f t="shared" si="82"/>
        <v>TP</v>
      </c>
      <c r="O412" s="29" t="str">
        <f>IF(ISERROR(IF(VLOOKUP($N412,CODE!$K:$P,CODE!$O$1,FALSE)="",$M412,$M412&amp;"-"&amp;VLOOKUP($N412,CODE!$K:$P,CODE!$O$1,FALSE)))=TRUE,"",IF(VLOOKUP($N412,CODE!$K:$P,CODE!$O$1,FALSE)="",$M412,$M412&amp;"-"&amp;VLOOKUP($N412,CODE!$K:$P,CODE!$O$1,FALSE)))</f>
        <v>ELS</v>
      </c>
      <c r="P412" s="29" t="str">
        <f t="shared" si="83"/>
        <v>ELSTPE5821</v>
      </c>
      <c r="Q412" s="1" t="s">
        <v>1203</v>
      </c>
      <c r="R412" s="1" t="s">
        <v>14</v>
      </c>
      <c r="S412" s="26">
        <v>800</v>
      </c>
      <c r="T412" s="26">
        <v>36000000</v>
      </c>
      <c r="U412" s="26">
        <v>5125248.0000000009</v>
      </c>
      <c r="V412" s="26">
        <v>6.3855003167208135</v>
      </c>
      <c r="W412" s="26">
        <v>0</v>
      </c>
      <c r="X412" s="26">
        <v>800</v>
      </c>
    </row>
    <row r="413" spans="1:24">
      <c r="A413" s="24" t="str">
        <f t="shared" si="76"/>
        <v>신규</v>
      </c>
      <c r="B413" s="24" t="str">
        <f>IF(COUNTIF(Q$1:Q412,Q413)=0,"최초","리오더")</f>
        <v>최초</v>
      </c>
      <c r="C413" s="24" t="str">
        <f t="shared" si="77"/>
        <v>ELSVBE5322</v>
      </c>
      <c r="D413" s="24">
        <f t="shared" si="72"/>
        <v>1</v>
      </c>
      <c r="E413" s="24" t="str">
        <f t="shared" si="78"/>
        <v/>
      </c>
      <c r="F413" s="24">
        <f t="shared" si="73"/>
        <v>0</v>
      </c>
      <c r="G413" s="24" t="str">
        <f t="shared" si="79"/>
        <v>ELSVBE5322OR</v>
      </c>
      <c r="H413" s="24">
        <f t="shared" si="74"/>
        <v>1</v>
      </c>
      <c r="I413" s="24" t="str">
        <f t="shared" si="80"/>
        <v/>
      </c>
      <c r="J413" s="24">
        <f t="shared" si="75"/>
        <v>0</v>
      </c>
      <c r="K413" s="24" t="str">
        <f t="shared" si="81"/>
        <v>E5</v>
      </c>
      <c r="L413" s="24" t="str">
        <f>VLOOKUP(N413,CODE!K:P,CODE!$P$1,FALSE)</f>
        <v>모자</v>
      </c>
      <c r="M413" s="24" t="str">
        <f>VLOOKUP(MID(Q413,1,3),CODE!$B:$G,CODE!D$1,FALSE)</f>
        <v>ELS</v>
      </c>
      <c r="N413" s="24" t="str">
        <f t="shared" si="82"/>
        <v>VB</v>
      </c>
      <c r="O413" s="29" t="str">
        <f>IF(ISERROR(IF(VLOOKUP($N413,CODE!$K:$P,CODE!$O$1,FALSE)="",$M413,$M413&amp;"-"&amp;VLOOKUP($N413,CODE!$K:$P,CODE!$O$1,FALSE)))=TRUE,"",IF(VLOOKUP($N413,CODE!$K:$P,CODE!$O$1,FALSE)="",$M413,$M413&amp;"-"&amp;VLOOKUP($N413,CODE!$K:$P,CODE!$O$1,FALSE)))</f>
        <v>ELS</v>
      </c>
      <c r="P413" s="29" t="str">
        <f t="shared" si="83"/>
        <v>ELSVBE5322</v>
      </c>
      <c r="Q413" s="1" t="s">
        <v>1204</v>
      </c>
      <c r="R413" s="1" t="s">
        <v>14</v>
      </c>
      <c r="S413" s="26">
        <v>700</v>
      </c>
      <c r="T413" s="26">
        <v>34300000</v>
      </c>
      <c r="U413" s="26">
        <v>4674236.0000000009</v>
      </c>
      <c r="V413" s="26">
        <v>6.6709978233487082</v>
      </c>
      <c r="W413" s="26">
        <v>0</v>
      </c>
      <c r="X413" s="26">
        <v>700</v>
      </c>
    </row>
    <row r="414" spans="1:24">
      <c r="A414" s="24" t="str">
        <f t="shared" si="76"/>
        <v>신규</v>
      </c>
      <c r="B414" s="24" t="str">
        <f>IF(COUNTIF(Q$1:Q413,Q414)=0,"최초","리오더")</f>
        <v>최초</v>
      </c>
      <c r="C414" s="24" t="str">
        <f t="shared" si="77"/>
        <v>ELSVBE5822</v>
      </c>
      <c r="D414" s="24">
        <f t="shared" si="72"/>
        <v>1</v>
      </c>
      <c r="E414" s="24" t="str">
        <f t="shared" si="78"/>
        <v/>
      </c>
      <c r="F414" s="24">
        <f t="shared" si="73"/>
        <v>0</v>
      </c>
      <c r="G414" s="24" t="str">
        <f t="shared" si="79"/>
        <v>ELSVBE5822OR</v>
      </c>
      <c r="H414" s="24">
        <f t="shared" si="74"/>
        <v>1</v>
      </c>
      <c r="I414" s="24" t="str">
        <f t="shared" si="80"/>
        <v/>
      </c>
      <c r="J414" s="24">
        <f t="shared" si="75"/>
        <v>0</v>
      </c>
      <c r="K414" s="24" t="str">
        <f t="shared" si="81"/>
        <v>E5</v>
      </c>
      <c r="L414" s="24" t="str">
        <f>VLOOKUP(N414,CODE!K:P,CODE!$P$1,FALSE)</f>
        <v>모자</v>
      </c>
      <c r="M414" s="24" t="str">
        <f>VLOOKUP(MID(Q414,1,3),CODE!$B:$G,CODE!D$1,FALSE)</f>
        <v>ELS</v>
      </c>
      <c r="N414" s="24" t="str">
        <f t="shared" si="82"/>
        <v>VB</v>
      </c>
      <c r="O414" s="29" t="str">
        <f>IF(ISERROR(IF(VLOOKUP($N414,CODE!$K:$P,CODE!$O$1,FALSE)="",$M414,$M414&amp;"-"&amp;VLOOKUP($N414,CODE!$K:$P,CODE!$O$1,FALSE)))=TRUE,"",IF(VLOOKUP($N414,CODE!$K:$P,CODE!$O$1,FALSE)="",$M414,$M414&amp;"-"&amp;VLOOKUP($N414,CODE!$K:$P,CODE!$O$1,FALSE)))</f>
        <v>ELS</v>
      </c>
      <c r="P414" s="29" t="str">
        <f t="shared" si="83"/>
        <v>ELSVBE5822</v>
      </c>
      <c r="Q414" s="1" t="s">
        <v>1205</v>
      </c>
      <c r="R414" s="1" t="s">
        <v>14</v>
      </c>
      <c r="S414" s="26">
        <v>700</v>
      </c>
      <c r="T414" s="26">
        <v>31500000</v>
      </c>
      <c r="U414" s="26">
        <v>4499600</v>
      </c>
      <c r="V414" s="26">
        <v>6.3642020704870736</v>
      </c>
      <c r="W414" s="26">
        <v>0</v>
      </c>
      <c r="X414" s="26">
        <v>700</v>
      </c>
    </row>
    <row r="415" spans="1:24">
      <c r="A415" s="24" t="str">
        <f t="shared" si="76"/>
        <v>신규</v>
      </c>
      <c r="B415" s="24" t="str">
        <f>IF(COUNTIF(Q$1:Q414,Q415)=0,"최초","리오더")</f>
        <v>최초</v>
      </c>
      <c r="C415" s="24" t="str">
        <f t="shared" si="77"/>
        <v>ELSBEE5323</v>
      </c>
      <c r="D415" s="24">
        <f t="shared" si="72"/>
        <v>1</v>
      </c>
      <c r="E415" s="24" t="str">
        <f t="shared" si="78"/>
        <v/>
      </c>
      <c r="F415" s="24">
        <f t="shared" si="73"/>
        <v>0</v>
      </c>
      <c r="G415" s="24" t="str">
        <f t="shared" si="79"/>
        <v>ELSBEE5323BW</v>
      </c>
      <c r="H415" s="24">
        <f t="shared" si="74"/>
        <v>1</v>
      </c>
      <c r="I415" s="24" t="str">
        <f t="shared" si="80"/>
        <v/>
      </c>
      <c r="J415" s="24">
        <f t="shared" si="75"/>
        <v>0</v>
      </c>
      <c r="K415" s="24" t="str">
        <f t="shared" si="81"/>
        <v>E5</v>
      </c>
      <c r="L415" s="24" t="str">
        <f>VLOOKUP(N415,CODE!K:P,CODE!$P$1,FALSE)</f>
        <v>모자</v>
      </c>
      <c r="M415" s="24" t="str">
        <f>VLOOKUP(MID(Q415,1,3),CODE!$B:$G,CODE!D$1,FALSE)</f>
        <v>ELS</v>
      </c>
      <c r="N415" s="24" t="str">
        <f t="shared" si="82"/>
        <v>BE</v>
      </c>
      <c r="O415" s="29" t="str">
        <f>IF(ISERROR(IF(VLOOKUP($N415,CODE!$K:$P,CODE!$O$1,FALSE)="",$M415,$M415&amp;"-"&amp;VLOOKUP($N415,CODE!$K:$P,CODE!$O$1,FALSE)))=TRUE,"",IF(VLOOKUP($N415,CODE!$K:$P,CODE!$O$1,FALSE)="",$M415,$M415&amp;"-"&amp;VLOOKUP($N415,CODE!$K:$P,CODE!$O$1,FALSE)))</f>
        <v>ELS</v>
      </c>
      <c r="P415" s="29" t="str">
        <f t="shared" si="83"/>
        <v>ELSBEE5323</v>
      </c>
      <c r="Q415" s="1" t="s">
        <v>1206</v>
      </c>
      <c r="R415" s="1" t="s">
        <v>14</v>
      </c>
      <c r="S415" s="26">
        <v>200</v>
      </c>
      <c r="T415" s="26">
        <v>15800000</v>
      </c>
      <c r="U415" s="26">
        <v>2782864</v>
      </c>
      <c r="V415" s="26">
        <v>5.1614582543869778</v>
      </c>
      <c r="W415" s="26">
        <v>0</v>
      </c>
      <c r="X415" s="26">
        <v>200</v>
      </c>
    </row>
    <row r="416" spans="1:24">
      <c r="A416" s="24" t="str">
        <f t="shared" si="76"/>
        <v>신규</v>
      </c>
      <c r="B416" s="24" t="str">
        <f>IF(COUNTIF(Q$1:Q415,Q416)=0,"최초","리오더")</f>
        <v>최초</v>
      </c>
      <c r="C416" s="24" t="str">
        <f t="shared" si="77"/>
        <v>ELSTPE5824</v>
      </c>
      <c r="D416" s="24">
        <f t="shared" si="72"/>
        <v>1</v>
      </c>
      <c r="E416" s="24" t="str">
        <f t="shared" si="78"/>
        <v/>
      </c>
      <c r="F416" s="24">
        <f t="shared" si="73"/>
        <v>0</v>
      </c>
      <c r="G416" s="24" t="str">
        <f t="shared" si="79"/>
        <v>ELSTPE5824NY</v>
      </c>
      <c r="H416" s="24">
        <f t="shared" si="74"/>
        <v>1</v>
      </c>
      <c r="I416" s="24" t="str">
        <f t="shared" si="80"/>
        <v/>
      </c>
      <c r="J416" s="24">
        <f t="shared" si="75"/>
        <v>0</v>
      </c>
      <c r="K416" s="24" t="str">
        <f t="shared" si="81"/>
        <v>E5</v>
      </c>
      <c r="L416" s="24" t="str">
        <f>VLOOKUP(N416,CODE!K:P,CODE!$P$1,FALSE)</f>
        <v>모자</v>
      </c>
      <c r="M416" s="24" t="str">
        <f>VLOOKUP(MID(Q416,1,3),CODE!$B:$G,CODE!D$1,FALSE)</f>
        <v>ELS</v>
      </c>
      <c r="N416" s="24" t="str">
        <f t="shared" si="82"/>
        <v>TP</v>
      </c>
      <c r="O416" s="29" t="str">
        <f>IF(ISERROR(IF(VLOOKUP($N416,CODE!$K:$P,CODE!$O$1,FALSE)="",$M416,$M416&amp;"-"&amp;VLOOKUP($N416,CODE!$K:$P,CODE!$O$1,FALSE)))=TRUE,"",IF(VLOOKUP($N416,CODE!$K:$P,CODE!$O$1,FALSE)="",$M416,$M416&amp;"-"&amp;VLOOKUP($N416,CODE!$K:$P,CODE!$O$1,FALSE)))</f>
        <v>ELS</v>
      </c>
      <c r="P416" s="29" t="str">
        <f t="shared" si="83"/>
        <v>ELSTPE5824</v>
      </c>
      <c r="Q416" s="1" t="s">
        <v>1207</v>
      </c>
      <c r="R416" s="1" t="s">
        <v>14</v>
      </c>
      <c r="S416" s="26">
        <v>300</v>
      </c>
      <c r="T416" s="26">
        <v>16500000</v>
      </c>
      <c r="U416" s="26">
        <v>2706678</v>
      </c>
      <c r="V416" s="26">
        <v>5.5418487163969994</v>
      </c>
      <c r="W416" s="26">
        <v>0</v>
      </c>
      <c r="X416" s="26">
        <v>300</v>
      </c>
    </row>
    <row r="417" spans="1:24">
      <c r="A417" s="24" t="str">
        <f t="shared" si="76"/>
        <v>신규</v>
      </c>
      <c r="B417" s="24" t="str">
        <f>IF(COUNTIF(Q$1:Q416,Q417)=0,"최초","리오더")</f>
        <v>최초</v>
      </c>
      <c r="C417" s="24" t="str">
        <f t="shared" si="77"/>
        <v>JOIEBE5803</v>
      </c>
      <c r="D417" s="24">
        <f t="shared" si="72"/>
        <v>1</v>
      </c>
      <c r="E417" s="24" t="str">
        <f t="shared" si="78"/>
        <v/>
      </c>
      <c r="F417" s="24">
        <f t="shared" si="73"/>
        <v>0</v>
      </c>
      <c r="G417" s="24" t="str">
        <f t="shared" si="79"/>
        <v>JOIEBE5803BL</v>
      </c>
      <c r="H417" s="24">
        <f t="shared" si="74"/>
        <v>1</v>
      </c>
      <c r="I417" s="24" t="str">
        <f t="shared" si="80"/>
        <v/>
      </c>
      <c r="J417" s="24">
        <f t="shared" si="75"/>
        <v>0</v>
      </c>
      <c r="K417" s="24" t="str">
        <f t="shared" si="81"/>
        <v>E5</v>
      </c>
      <c r="L417" s="24" t="str">
        <f>VLOOKUP(N417,CODE!K:P,CODE!$P$1,FALSE)</f>
        <v>모자</v>
      </c>
      <c r="M417" s="24" t="str">
        <f>VLOOKUP(MID(Q417,1,3),CODE!$B:$G,CODE!D$1,FALSE)</f>
        <v>JOI</v>
      </c>
      <c r="N417" s="24" t="str">
        <f t="shared" si="82"/>
        <v>EB</v>
      </c>
      <c r="O417" s="29" t="str">
        <f>IF(ISERROR(IF(VLOOKUP($N417,CODE!$K:$P,CODE!$O$1,FALSE)="",$M417,$M417&amp;"-"&amp;VLOOKUP($N417,CODE!$K:$P,CODE!$O$1,FALSE)))=TRUE,"",IF(VLOOKUP($N417,CODE!$K:$P,CODE!$O$1,FALSE)="",$M417,$M417&amp;"-"&amp;VLOOKUP($N417,CODE!$K:$P,CODE!$O$1,FALSE)))</f>
        <v>JOI</v>
      </c>
      <c r="P417" s="29" t="str">
        <f t="shared" si="83"/>
        <v>JOIEBE5803</v>
      </c>
      <c r="Q417" s="1" t="s">
        <v>1208</v>
      </c>
      <c r="R417" s="1" t="s">
        <v>14</v>
      </c>
      <c r="S417" s="26">
        <v>400</v>
      </c>
      <c r="T417" s="26">
        <v>22000000</v>
      </c>
      <c r="U417" s="26">
        <v>3932648.0000000005</v>
      </c>
      <c r="V417" s="26">
        <v>5.0856318694172469</v>
      </c>
      <c r="W417" s="26">
        <v>0</v>
      </c>
      <c r="X417" s="26">
        <v>400</v>
      </c>
    </row>
    <row r="418" spans="1:24">
      <c r="A418" s="24" t="str">
        <f t="shared" si="76"/>
        <v>신규</v>
      </c>
      <c r="B418" s="24" t="str">
        <f>IF(COUNTIF(Q$1:Q417,Q418)=0,"최초","리오더")</f>
        <v>최초</v>
      </c>
      <c r="C418" s="24" t="str">
        <f t="shared" si="77"/>
        <v>JOIEBE5804</v>
      </c>
      <c r="D418" s="24">
        <f t="shared" si="72"/>
        <v>1</v>
      </c>
      <c r="E418" s="24" t="str">
        <f t="shared" si="78"/>
        <v/>
      </c>
      <c r="F418" s="24">
        <f t="shared" si="73"/>
        <v>0</v>
      </c>
      <c r="G418" s="24" t="str">
        <f t="shared" si="79"/>
        <v>JOIEBE5804RE</v>
      </c>
      <c r="H418" s="24">
        <f t="shared" si="74"/>
        <v>1</v>
      </c>
      <c r="I418" s="24" t="str">
        <f t="shared" si="80"/>
        <v/>
      </c>
      <c r="J418" s="24">
        <f t="shared" si="75"/>
        <v>0</v>
      </c>
      <c r="K418" s="24" t="str">
        <f t="shared" si="81"/>
        <v>E5</v>
      </c>
      <c r="L418" s="24" t="str">
        <f>VLOOKUP(N418,CODE!K:P,CODE!$P$1,FALSE)</f>
        <v>모자</v>
      </c>
      <c r="M418" s="24" t="str">
        <f>VLOOKUP(MID(Q418,1,3),CODE!$B:$G,CODE!D$1,FALSE)</f>
        <v>JOI</v>
      </c>
      <c r="N418" s="24" t="str">
        <f t="shared" si="82"/>
        <v>EB</v>
      </c>
      <c r="O418" s="29" t="str">
        <f>IF(ISERROR(IF(VLOOKUP($N418,CODE!$K:$P,CODE!$O$1,FALSE)="",$M418,$M418&amp;"-"&amp;VLOOKUP($N418,CODE!$K:$P,CODE!$O$1,FALSE)))=TRUE,"",IF(VLOOKUP($N418,CODE!$K:$P,CODE!$O$1,FALSE)="",$M418,$M418&amp;"-"&amp;VLOOKUP($N418,CODE!$K:$P,CODE!$O$1,FALSE)))</f>
        <v>JOI</v>
      </c>
      <c r="P418" s="29" t="str">
        <f t="shared" si="83"/>
        <v>JOIEBE5804</v>
      </c>
      <c r="Q418" s="1" t="s">
        <v>1209</v>
      </c>
      <c r="R418" s="1" t="s">
        <v>14</v>
      </c>
      <c r="S418" s="26">
        <v>400</v>
      </c>
      <c r="T418" s="26">
        <v>22000000</v>
      </c>
      <c r="U418" s="26">
        <v>3414936</v>
      </c>
      <c r="V418" s="26">
        <v>5.8566251314812341</v>
      </c>
      <c r="W418" s="26">
        <v>0</v>
      </c>
      <c r="X418" s="26">
        <v>400</v>
      </c>
    </row>
    <row r="419" spans="1:24">
      <c r="A419" s="24" t="str">
        <f t="shared" si="76"/>
        <v>신규</v>
      </c>
      <c r="B419" s="24" t="str">
        <f>IF(COUNTIF(Q$1:Q418,Q419)=0,"최초","리오더")</f>
        <v>최초</v>
      </c>
      <c r="C419" s="24" t="str">
        <f t="shared" si="77"/>
        <v>JOIEBE5305</v>
      </c>
      <c r="D419" s="24">
        <f t="shared" si="72"/>
        <v>1</v>
      </c>
      <c r="E419" s="24" t="str">
        <f t="shared" si="78"/>
        <v/>
      </c>
      <c r="F419" s="24">
        <f t="shared" si="73"/>
        <v>0</v>
      </c>
      <c r="G419" s="24" t="str">
        <f t="shared" si="79"/>
        <v>JOIEBE5305GY</v>
      </c>
      <c r="H419" s="24">
        <f t="shared" si="74"/>
        <v>1</v>
      </c>
      <c r="I419" s="24" t="str">
        <f t="shared" si="80"/>
        <v/>
      </c>
      <c r="J419" s="24">
        <f t="shared" si="75"/>
        <v>0</v>
      </c>
      <c r="K419" s="24" t="str">
        <f t="shared" si="81"/>
        <v>E5</v>
      </c>
      <c r="L419" s="24" t="str">
        <f>VLOOKUP(N419,CODE!K:P,CODE!$P$1,FALSE)</f>
        <v>모자</v>
      </c>
      <c r="M419" s="24" t="str">
        <f>VLOOKUP(MID(Q419,1,3),CODE!$B:$G,CODE!D$1,FALSE)</f>
        <v>JOI</v>
      </c>
      <c r="N419" s="24" t="str">
        <f t="shared" si="82"/>
        <v>EB</v>
      </c>
      <c r="O419" s="29" t="str">
        <f>IF(ISERROR(IF(VLOOKUP($N419,CODE!$K:$P,CODE!$O$1,FALSE)="",$M419,$M419&amp;"-"&amp;VLOOKUP($N419,CODE!$K:$P,CODE!$O$1,FALSE)))=TRUE,"",IF(VLOOKUP($N419,CODE!$K:$P,CODE!$O$1,FALSE)="",$M419,$M419&amp;"-"&amp;VLOOKUP($N419,CODE!$K:$P,CODE!$O$1,FALSE)))</f>
        <v>JOI</v>
      </c>
      <c r="P419" s="29" t="str">
        <f t="shared" si="83"/>
        <v>JOIEBE5305</v>
      </c>
      <c r="Q419" s="1" t="s">
        <v>1210</v>
      </c>
      <c r="R419" s="1" t="s">
        <v>14</v>
      </c>
      <c r="S419" s="26">
        <v>500</v>
      </c>
      <c r="T419" s="26">
        <v>32500000</v>
      </c>
      <c r="U419" s="26">
        <v>4390525</v>
      </c>
      <c r="V419" s="26">
        <v>6.7293671133758597</v>
      </c>
      <c r="W419" s="26">
        <v>0</v>
      </c>
      <c r="X419" s="26">
        <v>500</v>
      </c>
    </row>
    <row r="420" spans="1:24">
      <c r="A420" s="24" t="str">
        <f t="shared" si="76"/>
        <v>신규</v>
      </c>
      <c r="B420" s="24" t="str">
        <f>IF(COUNTIF(Q$1:Q419,Q420)=0,"최초","리오더")</f>
        <v>최초</v>
      </c>
      <c r="C420" s="24" t="str">
        <f t="shared" si="77"/>
        <v>JOIEBE5805</v>
      </c>
      <c r="D420" s="24">
        <f t="shared" si="72"/>
        <v>1</v>
      </c>
      <c r="E420" s="24" t="str">
        <f t="shared" si="78"/>
        <v/>
      </c>
      <c r="F420" s="24">
        <f t="shared" si="73"/>
        <v>0</v>
      </c>
      <c r="G420" s="24" t="str">
        <f t="shared" si="79"/>
        <v>JOIEBE5805GY</v>
      </c>
      <c r="H420" s="24">
        <f t="shared" si="74"/>
        <v>1</v>
      </c>
      <c r="I420" s="24" t="str">
        <f t="shared" si="80"/>
        <v/>
      </c>
      <c r="J420" s="24">
        <f t="shared" si="75"/>
        <v>0</v>
      </c>
      <c r="K420" s="24" t="str">
        <f t="shared" si="81"/>
        <v>E5</v>
      </c>
      <c r="L420" s="24" t="str">
        <f>VLOOKUP(N420,CODE!K:P,CODE!$P$1,FALSE)</f>
        <v>모자</v>
      </c>
      <c r="M420" s="24" t="str">
        <f>VLOOKUP(MID(Q420,1,3),CODE!$B:$G,CODE!D$1,FALSE)</f>
        <v>JOI</v>
      </c>
      <c r="N420" s="24" t="str">
        <f t="shared" si="82"/>
        <v>EB</v>
      </c>
      <c r="O420" s="29" t="str">
        <f>IF(ISERROR(IF(VLOOKUP($N420,CODE!$K:$P,CODE!$O$1,FALSE)="",$M420,$M420&amp;"-"&amp;VLOOKUP($N420,CODE!$K:$P,CODE!$O$1,FALSE)))=TRUE,"",IF(VLOOKUP($N420,CODE!$K:$P,CODE!$O$1,FALSE)="",$M420,$M420&amp;"-"&amp;VLOOKUP($N420,CODE!$K:$P,CODE!$O$1,FALSE)))</f>
        <v>JOI</v>
      </c>
      <c r="P420" s="29" t="str">
        <f t="shared" si="83"/>
        <v>JOIEBE5805</v>
      </c>
      <c r="Q420" s="1" t="s">
        <v>1211</v>
      </c>
      <c r="R420" s="1" t="s">
        <v>14</v>
      </c>
      <c r="S420" s="26">
        <v>500</v>
      </c>
      <c r="T420" s="26">
        <v>29500000</v>
      </c>
      <c r="U420" s="26">
        <v>4308025</v>
      </c>
      <c r="V420" s="26">
        <v>6.2251685675412327</v>
      </c>
      <c r="W420" s="26">
        <v>0</v>
      </c>
      <c r="X420" s="26">
        <v>500</v>
      </c>
    </row>
    <row r="421" spans="1:24">
      <c r="A421" s="24" t="str">
        <f t="shared" si="76"/>
        <v>신규</v>
      </c>
      <c r="B421" s="24" t="str">
        <f>IF(COUNTIF(Q$1:Q420,Q421)=0,"최초","리오더")</f>
        <v>최초</v>
      </c>
      <c r="C421" s="24" t="str">
        <f t="shared" si="77"/>
        <v>JOIVBE5806</v>
      </c>
      <c r="D421" s="24">
        <f t="shared" si="72"/>
        <v>0.5</v>
      </c>
      <c r="E421" s="24" t="str">
        <f t="shared" si="78"/>
        <v/>
      </c>
      <c r="F421" s="24">
        <f t="shared" si="73"/>
        <v>0</v>
      </c>
      <c r="G421" s="24" t="str">
        <f t="shared" si="79"/>
        <v>JOIVBE5806NY</v>
      </c>
      <c r="H421" s="24">
        <f t="shared" si="74"/>
        <v>1</v>
      </c>
      <c r="I421" s="24" t="str">
        <f t="shared" si="80"/>
        <v/>
      </c>
      <c r="J421" s="24">
        <f t="shared" si="75"/>
        <v>0</v>
      </c>
      <c r="K421" s="24" t="str">
        <f t="shared" si="81"/>
        <v>E5</v>
      </c>
      <c r="L421" s="24" t="str">
        <f>VLOOKUP(N421,CODE!K:P,CODE!$P$1,FALSE)</f>
        <v>모자</v>
      </c>
      <c r="M421" s="24" t="str">
        <f>VLOOKUP(MID(Q421,1,3),CODE!$B:$G,CODE!D$1,FALSE)</f>
        <v>JOI</v>
      </c>
      <c r="N421" s="24" t="str">
        <f t="shared" si="82"/>
        <v>VB</v>
      </c>
      <c r="O421" s="29" t="str">
        <f>IF(ISERROR(IF(VLOOKUP($N421,CODE!$K:$P,CODE!$O$1,FALSE)="",$M421,$M421&amp;"-"&amp;VLOOKUP($N421,CODE!$K:$P,CODE!$O$1,FALSE)))=TRUE,"",IF(VLOOKUP($N421,CODE!$K:$P,CODE!$O$1,FALSE)="",$M421,$M421&amp;"-"&amp;VLOOKUP($N421,CODE!$K:$P,CODE!$O$1,FALSE)))</f>
        <v>JOI</v>
      </c>
      <c r="P421" s="29" t="str">
        <f t="shared" si="83"/>
        <v>JOIVBE5806</v>
      </c>
      <c r="Q421" s="1" t="s">
        <v>1212</v>
      </c>
      <c r="R421" s="1" t="s">
        <v>14</v>
      </c>
      <c r="S421" s="26">
        <v>400</v>
      </c>
      <c r="T421" s="26">
        <v>22000000</v>
      </c>
      <c r="U421" s="26">
        <v>4215224.0000000009</v>
      </c>
      <c r="V421" s="26">
        <v>4.7447063311463387</v>
      </c>
      <c r="W421" s="26">
        <v>0</v>
      </c>
      <c r="X421" s="26">
        <v>400</v>
      </c>
    </row>
    <row r="422" spans="1:24">
      <c r="A422" s="24" t="str">
        <f t="shared" si="76"/>
        <v>신규</v>
      </c>
      <c r="B422" s="24" t="str">
        <f>IF(COUNTIF(Q$1:Q421,Q422)=0,"최초","리오더")</f>
        <v>최초</v>
      </c>
      <c r="C422" s="24" t="str">
        <f t="shared" si="77"/>
        <v>JOIVBE5806</v>
      </c>
      <c r="D422" s="24">
        <f t="shared" si="72"/>
        <v>0.5</v>
      </c>
      <c r="E422" s="24" t="str">
        <f t="shared" si="78"/>
        <v/>
      </c>
      <c r="F422" s="24">
        <f t="shared" si="73"/>
        <v>0</v>
      </c>
      <c r="G422" s="24" t="str">
        <f t="shared" si="79"/>
        <v>JOIVBE5806PK</v>
      </c>
      <c r="H422" s="24">
        <f t="shared" si="74"/>
        <v>1</v>
      </c>
      <c r="I422" s="24" t="str">
        <f t="shared" si="80"/>
        <v/>
      </c>
      <c r="J422" s="24">
        <f t="shared" si="75"/>
        <v>0</v>
      </c>
      <c r="K422" s="24" t="str">
        <f t="shared" si="81"/>
        <v>E5</v>
      </c>
      <c r="L422" s="24" t="str">
        <f>VLOOKUP(N422,CODE!K:P,CODE!$P$1,FALSE)</f>
        <v>모자</v>
      </c>
      <c r="M422" s="24" t="str">
        <f>VLOOKUP(MID(Q422,1,3),CODE!$B:$G,CODE!D$1,FALSE)</f>
        <v>JOI</v>
      </c>
      <c r="N422" s="24" t="str">
        <f t="shared" si="82"/>
        <v>VB</v>
      </c>
      <c r="O422" s="29" t="str">
        <f>IF(ISERROR(IF(VLOOKUP($N422,CODE!$K:$P,CODE!$O$1,FALSE)="",$M422,$M422&amp;"-"&amp;VLOOKUP($N422,CODE!$K:$P,CODE!$O$1,FALSE)))=TRUE,"",IF(VLOOKUP($N422,CODE!$K:$P,CODE!$O$1,FALSE)="",$M422,$M422&amp;"-"&amp;VLOOKUP($N422,CODE!$K:$P,CODE!$O$1,FALSE)))</f>
        <v>JOI</v>
      </c>
      <c r="P422" s="29" t="str">
        <f t="shared" si="83"/>
        <v>JOIVBE5806</v>
      </c>
      <c r="Q422" s="1" t="s">
        <v>1213</v>
      </c>
      <c r="R422" s="1" t="s">
        <v>14</v>
      </c>
      <c r="S422" s="26">
        <v>400</v>
      </c>
      <c r="T422" s="26">
        <v>22000000</v>
      </c>
      <c r="U422" s="26">
        <v>4258024.0000000009</v>
      </c>
      <c r="V422" s="26">
        <v>4.6970143897732832</v>
      </c>
      <c r="W422" s="26">
        <v>0</v>
      </c>
      <c r="X422" s="26">
        <v>400</v>
      </c>
    </row>
    <row r="423" spans="1:24">
      <c r="A423" s="24" t="str">
        <f t="shared" si="76"/>
        <v>신규</v>
      </c>
      <c r="B423" s="24" t="str">
        <f>IF(COUNTIF(Q$1:Q422,Q423)=0,"최초","리오더")</f>
        <v>최초</v>
      </c>
      <c r="C423" s="24" t="str">
        <f t="shared" si="77"/>
        <v>JOIVBE5306</v>
      </c>
      <c r="D423" s="24">
        <f t="shared" si="72"/>
        <v>0.5</v>
      </c>
      <c r="E423" s="24" t="str">
        <f t="shared" si="78"/>
        <v/>
      </c>
      <c r="F423" s="24">
        <f t="shared" si="73"/>
        <v>0</v>
      </c>
      <c r="G423" s="24" t="str">
        <f t="shared" si="79"/>
        <v>JOIVBE5306NY</v>
      </c>
      <c r="H423" s="24">
        <f t="shared" si="74"/>
        <v>1</v>
      </c>
      <c r="I423" s="24" t="str">
        <f t="shared" si="80"/>
        <v/>
      </c>
      <c r="J423" s="24">
        <f t="shared" si="75"/>
        <v>0</v>
      </c>
      <c r="K423" s="24" t="str">
        <f t="shared" si="81"/>
        <v>E5</v>
      </c>
      <c r="L423" s="24" t="str">
        <f>VLOOKUP(N423,CODE!K:P,CODE!$P$1,FALSE)</f>
        <v>모자</v>
      </c>
      <c r="M423" s="24" t="str">
        <f>VLOOKUP(MID(Q423,1,3),CODE!$B:$G,CODE!D$1,FALSE)</f>
        <v>JOI</v>
      </c>
      <c r="N423" s="24" t="str">
        <f t="shared" si="82"/>
        <v>VB</v>
      </c>
      <c r="O423" s="29" t="str">
        <f>IF(ISERROR(IF(VLOOKUP($N423,CODE!$K:$P,CODE!$O$1,FALSE)="",$M423,$M423&amp;"-"&amp;VLOOKUP($N423,CODE!$K:$P,CODE!$O$1,FALSE)))=TRUE,"",IF(VLOOKUP($N423,CODE!$K:$P,CODE!$O$1,FALSE)="",$M423,$M423&amp;"-"&amp;VLOOKUP($N423,CODE!$K:$P,CODE!$O$1,FALSE)))</f>
        <v>JOI</v>
      </c>
      <c r="P423" s="29" t="str">
        <f t="shared" si="83"/>
        <v>JOIVBE5306</v>
      </c>
      <c r="Q423" s="1" t="s">
        <v>1383</v>
      </c>
      <c r="R423" s="1" t="s">
        <v>14</v>
      </c>
      <c r="S423" s="26">
        <v>400</v>
      </c>
      <c r="T423" s="26">
        <v>23600000</v>
      </c>
      <c r="U423" s="26">
        <v>4389964</v>
      </c>
      <c r="V423" s="26">
        <v>4.8871802717620128</v>
      </c>
      <c r="W423" s="26">
        <v>0</v>
      </c>
      <c r="X423" s="26">
        <v>400</v>
      </c>
    </row>
    <row r="424" spans="1:24">
      <c r="A424" s="24" t="str">
        <f t="shared" si="76"/>
        <v>신규</v>
      </c>
      <c r="B424" s="24" t="str">
        <f>IF(COUNTIF(Q$1:Q423,Q424)=0,"최초","리오더")</f>
        <v>최초</v>
      </c>
      <c r="C424" s="24" t="str">
        <f t="shared" si="77"/>
        <v>JOIVBE5306</v>
      </c>
      <c r="D424" s="24">
        <f t="shared" si="72"/>
        <v>0.5</v>
      </c>
      <c r="E424" s="24" t="str">
        <f t="shared" si="78"/>
        <v/>
      </c>
      <c r="F424" s="24">
        <f t="shared" si="73"/>
        <v>0</v>
      </c>
      <c r="G424" s="24" t="str">
        <f t="shared" si="79"/>
        <v>JOIVBE5306PK</v>
      </c>
      <c r="H424" s="24">
        <f t="shared" si="74"/>
        <v>1</v>
      </c>
      <c r="I424" s="24" t="str">
        <f t="shared" si="80"/>
        <v/>
      </c>
      <c r="J424" s="24">
        <f t="shared" si="75"/>
        <v>0</v>
      </c>
      <c r="K424" s="24" t="str">
        <f t="shared" si="81"/>
        <v>E5</v>
      </c>
      <c r="L424" s="24" t="str">
        <f>VLOOKUP(N424,CODE!K:P,CODE!$P$1,FALSE)</f>
        <v>모자</v>
      </c>
      <c r="M424" s="24" t="str">
        <f>VLOOKUP(MID(Q424,1,3),CODE!$B:$G,CODE!D$1,FALSE)</f>
        <v>JOI</v>
      </c>
      <c r="N424" s="24" t="str">
        <f t="shared" si="82"/>
        <v>VB</v>
      </c>
      <c r="O424" s="29" t="str">
        <f>IF(ISERROR(IF(VLOOKUP($N424,CODE!$K:$P,CODE!$O$1,FALSE)="",$M424,$M424&amp;"-"&amp;VLOOKUP($N424,CODE!$K:$P,CODE!$O$1,FALSE)))=TRUE,"",IF(VLOOKUP($N424,CODE!$K:$P,CODE!$O$1,FALSE)="",$M424,$M424&amp;"-"&amp;VLOOKUP($N424,CODE!$K:$P,CODE!$O$1,FALSE)))</f>
        <v>JOI</v>
      </c>
      <c r="P424" s="29" t="str">
        <f t="shared" si="83"/>
        <v>JOIVBE5306</v>
      </c>
      <c r="Q424" s="1" t="s">
        <v>1384</v>
      </c>
      <c r="R424" s="1" t="s">
        <v>14</v>
      </c>
      <c r="S424" s="26">
        <v>400</v>
      </c>
      <c r="T424" s="26">
        <v>23600000</v>
      </c>
      <c r="U424" s="26">
        <v>4439164</v>
      </c>
      <c r="V424" s="26">
        <v>4.8330148321948574</v>
      </c>
      <c r="W424" s="26">
        <v>0</v>
      </c>
      <c r="X424" s="26">
        <v>400</v>
      </c>
    </row>
    <row r="425" spans="1:24">
      <c r="A425" s="24" t="str">
        <f t="shared" si="76"/>
        <v>신규</v>
      </c>
      <c r="B425" s="24" t="str">
        <f>IF(COUNTIF(Q$1:Q424,Q425)=0,"최초","리오더")</f>
        <v>최초</v>
      </c>
      <c r="C425" s="24" t="str">
        <f t="shared" si="77"/>
        <v>JOIEBE5807</v>
      </c>
      <c r="D425" s="24">
        <f t="shared" si="72"/>
        <v>1</v>
      </c>
      <c r="E425" s="24" t="str">
        <f t="shared" si="78"/>
        <v/>
      </c>
      <c r="F425" s="24">
        <f t="shared" si="73"/>
        <v>0</v>
      </c>
      <c r="G425" s="24" t="str">
        <f t="shared" si="79"/>
        <v>JOIEBE5807BL</v>
      </c>
      <c r="H425" s="24">
        <f t="shared" si="74"/>
        <v>1</v>
      </c>
      <c r="I425" s="24" t="str">
        <f t="shared" si="80"/>
        <v/>
      </c>
      <c r="J425" s="24">
        <f t="shared" si="75"/>
        <v>0</v>
      </c>
      <c r="K425" s="24" t="str">
        <f t="shared" si="81"/>
        <v>E5</v>
      </c>
      <c r="L425" s="24" t="str">
        <f>VLOOKUP(N425,CODE!K:P,CODE!$P$1,FALSE)</f>
        <v>모자</v>
      </c>
      <c r="M425" s="24" t="str">
        <f>VLOOKUP(MID(Q425,1,3),CODE!$B:$G,CODE!D$1,FALSE)</f>
        <v>JOI</v>
      </c>
      <c r="N425" s="24" t="str">
        <f t="shared" si="82"/>
        <v>EB</v>
      </c>
      <c r="O425" s="29" t="str">
        <f>IF(ISERROR(IF(VLOOKUP($N425,CODE!$K:$P,CODE!$O$1,FALSE)="",$M425,$M425&amp;"-"&amp;VLOOKUP($N425,CODE!$K:$P,CODE!$O$1,FALSE)))=TRUE,"",IF(VLOOKUP($N425,CODE!$K:$P,CODE!$O$1,FALSE)="",$M425,$M425&amp;"-"&amp;VLOOKUP($N425,CODE!$K:$P,CODE!$O$1,FALSE)))</f>
        <v>JOI</v>
      </c>
      <c r="P425" s="29" t="str">
        <f t="shared" si="83"/>
        <v>JOIEBE5807</v>
      </c>
      <c r="Q425" s="1" t="s">
        <v>1214</v>
      </c>
      <c r="R425" s="1" t="s">
        <v>14</v>
      </c>
      <c r="S425" s="26">
        <v>400</v>
      </c>
      <c r="T425" s="26">
        <v>22000000</v>
      </c>
      <c r="U425" s="26">
        <v>3678844</v>
      </c>
      <c r="V425" s="26">
        <v>5.4364903757810872</v>
      </c>
      <c r="W425" s="26">
        <v>0</v>
      </c>
      <c r="X425" s="26">
        <v>400</v>
      </c>
    </row>
    <row r="426" spans="1:24">
      <c r="A426" s="24" t="str">
        <f t="shared" si="76"/>
        <v>신규</v>
      </c>
      <c r="B426" s="24" t="str">
        <f>IF(COUNTIF(Q$1:Q425,Q426)=0,"최초","리오더")</f>
        <v>최초</v>
      </c>
      <c r="C426" s="24" t="str">
        <f t="shared" si="77"/>
        <v>JOIEBE5310</v>
      </c>
      <c r="D426" s="24">
        <f t="shared" si="72"/>
        <v>1</v>
      </c>
      <c r="E426" s="24" t="str">
        <f t="shared" si="78"/>
        <v/>
      </c>
      <c r="F426" s="24">
        <f t="shared" si="73"/>
        <v>0</v>
      </c>
      <c r="G426" s="24" t="str">
        <f t="shared" si="79"/>
        <v>JOIEBE5310KH</v>
      </c>
      <c r="H426" s="24">
        <f t="shared" si="74"/>
        <v>1</v>
      </c>
      <c r="I426" s="24" t="str">
        <f t="shared" si="80"/>
        <v/>
      </c>
      <c r="J426" s="24">
        <f t="shared" si="75"/>
        <v>0</v>
      </c>
      <c r="K426" s="24" t="str">
        <f t="shared" si="81"/>
        <v>E5</v>
      </c>
      <c r="L426" s="24" t="str">
        <f>VLOOKUP(N426,CODE!K:P,CODE!$P$1,FALSE)</f>
        <v>모자</v>
      </c>
      <c r="M426" s="24" t="str">
        <f>VLOOKUP(MID(Q426,1,3),CODE!$B:$G,CODE!D$1,FALSE)</f>
        <v>JOI</v>
      </c>
      <c r="N426" s="24" t="str">
        <f t="shared" si="82"/>
        <v>EB</v>
      </c>
      <c r="O426" s="29" t="str">
        <f>IF(ISERROR(IF(VLOOKUP($N426,CODE!$K:$P,CODE!$O$1,FALSE)="",$M426,$M426&amp;"-"&amp;VLOOKUP($N426,CODE!$K:$P,CODE!$O$1,FALSE)))=TRUE,"",IF(VLOOKUP($N426,CODE!$K:$P,CODE!$O$1,FALSE)="",$M426,$M426&amp;"-"&amp;VLOOKUP($N426,CODE!$K:$P,CODE!$O$1,FALSE)))</f>
        <v>JOI</v>
      </c>
      <c r="P426" s="29" t="str">
        <f t="shared" si="83"/>
        <v>JOIEBE5310</v>
      </c>
      <c r="Q426" s="1" t="s">
        <v>1215</v>
      </c>
      <c r="R426" s="1" t="s">
        <v>14</v>
      </c>
      <c r="S426" s="26">
        <v>200</v>
      </c>
      <c r="T426" s="26">
        <v>11800000</v>
      </c>
      <c r="U426" s="26">
        <v>2074460.0000000002</v>
      </c>
      <c r="V426" s="26">
        <v>5.1711157251876267</v>
      </c>
      <c r="W426" s="26">
        <v>0</v>
      </c>
      <c r="X426" s="26">
        <v>200</v>
      </c>
    </row>
    <row r="427" spans="1:24">
      <c r="A427" s="24" t="str">
        <f t="shared" si="76"/>
        <v>신규</v>
      </c>
      <c r="B427" s="24" t="str">
        <f>IF(COUNTIF(Q$1:Q426,Q427)=0,"최초","리오더")</f>
        <v>최초</v>
      </c>
      <c r="C427" s="24" t="str">
        <f t="shared" si="77"/>
        <v>JOIEBE5808</v>
      </c>
      <c r="D427" s="24">
        <f t="shared" si="72"/>
        <v>1</v>
      </c>
      <c r="E427" s="24" t="str">
        <f t="shared" si="78"/>
        <v/>
      </c>
      <c r="F427" s="24">
        <f t="shared" si="73"/>
        <v>0</v>
      </c>
      <c r="G427" s="24" t="str">
        <f t="shared" si="79"/>
        <v>JOIEBE5808IV</v>
      </c>
      <c r="H427" s="24">
        <f t="shared" si="74"/>
        <v>1</v>
      </c>
      <c r="I427" s="24" t="str">
        <f t="shared" si="80"/>
        <v/>
      </c>
      <c r="J427" s="24">
        <f t="shared" si="75"/>
        <v>0</v>
      </c>
      <c r="K427" s="24" t="str">
        <f t="shared" si="81"/>
        <v>E5</v>
      </c>
      <c r="L427" s="24" t="str">
        <f>VLOOKUP(N427,CODE!K:P,CODE!$P$1,FALSE)</f>
        <v>모자</v>
      </c>
      <c r="M427" s="24" t="str">
        <f>VLOOKUP(MID(Q427,1,3),CODE!$B:$G,CODE!D$1,FALSE)</f>
        <v>JOI</v>
      </c>
      <c r="N427" s="24" t="str">
        <f t="shared" si="82"/>
        <v>EB</v>
      </c>
      <c r="O427" s="29" t="str">
        <f>IF(ISERROR(IF(VLOOKUP($N427,CODE!$K:$P,CODE!$O$1,FALSE)="",$M427,$M427&amp;"-"&amp;VLOOKUP($N427,CODE!$K:$P,CODE!$O$1,FALSE)))=TRUE,"",IF(VLOOKUP($N427,CODE!$K:$P,CODE!$O$1,FALSE)="",$M427,$M427&amp;"-"&amp;VLOOKUP($N427,CODE!$K:$P,CODE!$O$1,FALSE)))</f>
        <v>JOI</v>
      </c>
      <c r="P427" s="29" t="str">
        <f t="shared" si="83"/>
        <v>JOIEBE5808</v>
      </c>
      <c r="Q427" s="1" t="s">
        <v>1216</v>
      </c>
      <c r="R427" s="1" t="s">
        <v>14</v>
      </c>
      <c r="S427" s="26">
        <v>500</v>
      </c>
      <c r="T427" s="26">
        <v>24500000</v>
      </c>
      <c r="U427" s="26">
        <v>3101820</v>
      </c>
      <c r="V427" s="26">
        <v>7.1805350641646744</v>
      </c>
      <c r="W427" s="26">
        <v>0</v>
      </c>
      <c r="X427" s="26">
        <v>500</v>
      </c>
    </row>
    <row r="428" spans="1:24">
      <c r="A428" s="24" t="str">
        <f t="shared" si="76"/>
        <v>신규</v>
      </c>
      <c r="B428" s="24" t="str">
        <f>IF(COUNTIF(Q$1:Q427,Q428)=0,"최초","리오더")</f>
        <v>최초</v>
      </c>
      <c r="C428" s="24" t="str">
        <f t="shared" si="77"/>
        <v>JOIEBE5809</v>
      </c>
      <c r="D428" s="24">
        <f t="shared" si="72"/>
        <v>1</v>
      </c>
      <c r="E428" s="24" t="str">
        <f t="shared" si="78"/>
        <v/>
      </c>
      <c r="F428" s="24">
        <f t="shared" si="73"/>
        <v>0</v>
      </c>
      <c r="G428" s="24" t="str">
        <f t="shared" si="79"/>
        <v>JOIEBE5809BL</v>
      </c>
      <c r="H428" s="24">
        <f t="shared" si="74"/>
        <v>1</v>
      </c>
      <c r="I428" s="24" t="str">
        <f t="shared" si="80"/>
        <v/>
      </c>
      <c r="J428" s="24">
        <f t="shared" si="75"/>
        <v>0</v>
      </c>
      <c r="K428" s="24" t="str">
        <f t="shared" si="81"/>
        <v>E5</v>
      </c>
      <c r="L428" s="24" t="str">
        <f>VLOOKUP(N428,CODE!K:P,CODE!$P$1,FALSE)</f>
        <v>모자</v>
      </c>
      <c r="M428" s="24" t="str">
        <f>VLOOKUP(MID(Q428,1,3),CODE!$B:$G,CODE!D$1,FALSE)</f>
        <v>JOI</v>
      </c>
      <c r="N428" s="24" t="str">
        <f t="shared" si="82"/>
        <v>EB</v>
      </c>
      <c r="O428" s="29" t="str">
        <f>IF(ISERROR(IF(VLOOKUP($N428,CODE!$K:$P,CODE!$O$1,FALSE)="",$M428,$M428&amp;"-"&amp;VLOOKUP($N428,CODE!$K:$P,CODE!$O$1,FALSE)))=TRUE,"",IF(VLOOKUP($N428,CODE!$K:$P,CODE!$O$1,FALSE)="",$M428,$M428&amp;"-"&amp;VLOOKUP($N428,CODE!$K:$P,CODE!$O$1,FALSE)))</f>
        <v>JOI</v>
      </c>
      <c r="P428" s="29" t="str">
        <f t="shared" si="83"/>
        <v>JOIEBE5809</v>
      </c>
      <c r="Q428" s="1" t="s">
        <v>1217</v>
      </c>
      <c r="R428" s="1" t="s">
        <v>14</v>
      </c>
      <c r="S428" s="26">
        <v>500</v>
      </c>
      <c r="T428" s="26">
        <v>24500000</v>
      </c>
      <c r="U428" s="26">
        <v>3529370.0000000005</v>
      </c>
      <c r="V428" s="26">
        <v>6.3106807369947804</v>
      </c>
      <c r="W428" s="26">
        <v>0</v>
      </c>
      <c r="X428" s="26">
        <v>500</v>
      </c>
    </row>
    <row r="429" spans="1:24">
      <c r="A429" s="24" t="str">
        <f t="shared" si="76"/>
        <v>신규</v>
      </c>
      <c r="B429" s="24" t="str">
        <f>IF(COUNTIF(Q$1:Q428,Q429)=0,"최초","리오더")</f>
        <v>최초</v>
      </c>
      <c r="C429" s="24" t="str">
        <f t="shared" si="77"/>
        <v>JOIEDE5311</v>
      </c>
      <c r="D429" s="24">
        <f t="shared" si="72"/>
        <v>1</v>
      </c>
      <c r="E429" s="24" t="str">
        <f t="shared" si="78"/>
        <v/>
      </c>
      <c r="F429" s="24">
        <f t="shared" si="73"/>
        <v>0</v>
      </c>
      <c r="G429" s="24" t="str">
        <f t="shared" si="79"/>
        <v>JOIEDE5311BL</v>
      </c>
      <c r="H429" s="24">
        <f t="shared" si="74"/>
        <v>1</v>
      </c>
      <c r="I429" s="24" t="str">
        <f t="shared" si="80"/>
        <v/>
      </c>
      <c r="J429" s="24">
        <f t="shared" si="75"/>
        <v>0</v>
      </c>
      <c r="K429" s="24" t="str">
        <f t="shared" si="81"/>
        <v>E5</v>
      </c>
      <c r="L429" s="24" t="str">
        <f>VLOOKUP(N429,CODE!K:P,CODE!$P$1,FALSE)</f>
        <v>ACC</v>
      </c>
      <c r="M429" s="24" t="str">
        <f>VLOOKUP(MID(Q429,1,3),CODE!$B:$G,CODE!D$1,FALSE)</f>
        <v>JOI</v>
      </c>
      <c r="N429" s="24" t="str">
        <f t="shared" si="82"/>
        <v>ED</v>
      </c>
      <c r="O429" s="29" t="str">
        <f>IF(ISERROR(IF(VLOOKUP($N429,CODE!$K:$P,CODE!$O$1,FALSE)="",$M429,$M429&amp;"-"&amp;VLOOKUP($N429,CODE!$K:$P,CODE!$O$1,FALSE)))=TRUE,"",IF(VLOOKUP($N429,CODE!$K:$P,CODE!$O$1,FALSE)="",$M429,$M429&amp;"-"&amp;VLOOKUP($N429,CODE!$K:$P,CODE!$O$1,FALSE)))</f>
        <v>JOI-ACC</v>
      </c>
      <c r="P429" s="29" t="str">
        <f t="shared" si="83"/>
        <v>JOIEDE5311</v>
      </c>
      <c r="Q429" s="1" t="s">
        <v>1218</v>
      </c>
      <c r="R429" s="1" t="s">
        <v>14</v>
      </c>
      <c r="S429" s="26">
        <v>500</v>
      </c>
      <c r="T429" s="26">
        <v>22500000</v>
      </c>
      <c r="U429" s="26">
        <v>3197815.0000000009</v>
      </c>
      <c r="V429" s="26">
        <v>6.3964130053006336</v>
      </c>
      <c r="W429" s="26">
        <v>0</v>
      </c>
      <c r="X429" s="26">
        <v>500</v>
      </c>
    </row>
    <row r="430" spans="1:24">
      <c r="A430" s="24" t="str">
        <f t="shared" si="76"/>
        <v>신규</v>
      </c>
      <c r="B430" s="24" t="str">
        <f>IF(COUNTIF(Q$1:Q429,Q430)=0,"최초","리오더")</f>
        <v>최초</v>
      </c>
      <c r="C430" s="24" t="str">
        <f t="shared" si="77"/>
        <v>JOIEBE5812</v>
      </c>
      <c r="D430" s="24">
        <f t="shared" si="72"/>
        <v>1</v>
      </c>
      <c r="E430" s="24" t="str">
        <f t="shared" si="78"/>
        <v/>
      </c>
      <c r="F430" s="24">
        <f t="shared" si="73"/>
        <v>0</v>
      </c>
      <c r="G430" s="24" t="str">
        <f t="shared" si="79"/>
        <v>JOIEBE5812YE</v>
      </c>
      <c r="H430" s="24">
        <f t="shared" si="74"/>
        <v>1</v>
      </c>
      <c r="I430" s="24" t="str">
        <f t="shared" si="80"/>
        <v/>
      </c>
      <c r="J430" s="24">
        <f t="shared" si="75"/>
        <v>0</v>
      </c>
      <c r="K430" s="24" t="str">
        <f t="shared" si="81"/>
        <v>E5</v>
      </c>
      <c r="L430" s="24" t="str">
        <f>VLOOKUP(N430,CODE!K:P,CODE!$P$1,FALSE)</f>
        <v>모자</v>
      </c>
      <c r="M430" s="24" t="str">
        <f>VLOOKUP(MID(Q430,1,3),CODE!$B:$G,CODE!D$1,FALSE)</f>
        <v>JOI</v>
      </c>
      <c r="N430" s="24" t="str">
        <f t="shared" si="82"/>
        <v>EB</v>
      </c>
      <c r="O430" s="29" t="str">
        <f>IF(ISERROR(IF(VLOOKUP($N430,CODE!$K:$P,CODE!$O$1,FALSE)="",$M430,$M430&amp;"-"&amp;VLOOKUP($N430,CODE!$K:$P,CODE!$O$1,FALSE)))=TRUE,"",IF(VLOOKUP($N430,CODE!$K:$P,CODE!$O$1,FALSE)="",$M430,$M430&amp;"-"&amp;VLOOKUP($N430,CODE!$K:$P,CODE!$O$1,FALSE)))</f>
        <v>JOI</v>
      </c>
      <c r="P430" s="29" t="str">
        <f t="shared" si="83"/>
        <v>JOIEBE5812</v>
      </c>
      <c r="Q430" s="1" t="s">
        <v>1219</v>
      </c>
      <c r="R430" s="1" t="s">
        <v>14</v>
      </c>
      <c r="S430" s="26">
        <v>500</v>
      </c>
      <c r="T430" s="26">
        <v>24500000</v>
      </c>
      <c r="U430" s="26">
        <v>3565450.0000000005</v>
      </c>
      <c r="V430" s="26">
        <v>6.2468208144069521</v>
      </c>
      <c r="W430" s="26">
        <v>0</v>
      </c>
      <c r="X430" s="26">
        <v>500</v>
      </c>
    </row>
    <row r="431" spans="1:24">
      <c r="A431" s="24" t="str">
        <f t="shared" si="76"/>
        <v>러닝</v>
      </c>
      <c r="B431" s="24" t="str">
        <f>IF(COUNTIF(Q$1:Q430,Q431)=0,"최초","리오더")</f>
        <v>최초</v>
      </c>
      <c r="C431" s="24" t="str">
        <f t="shared" si="77"/>
        <v>JOIEDE5102</v>
      </c>
      <c r="D431" s="24">
        <f t="shared" si="72"/>
        <v>1</v>
      </c>
      <c r="E431" s="24" t="str">
        <f t="shared" si="78"/>
        <v/>
      </c>
      <c r="F431" s="24">
        <f t="shared" si="73"/>
        <v>0</v>
      </c>
      <c r="G431" s="24" t="str">
        <f t="shared" si="79"/>
        <v>JOIEDE5102IV</v>
      </c>
      <c r="H431" s="24">
        <f t="shared" si="74"/>
        <v>1</v>
      </c>
      <c r="I431" s="24" t="str">
        <f t="shared" si="80"/>
        <v/>
      </c>
      <c r="J431" s="24">
        <f t="shared" si="75"/>
        <v>0</v>
      </c>
      <c r="K431" s="24" t="str">
        <f t="shared" si="81"/>
        <v>E5</v>
      </c>
      <c r="L431" s="24" t="str">
        <f>VLOOKUP(N431,CODE!K:P,CODE!$P$1,FALSE)</f>
        <v>ACC</v>
      </c>
      <c r="M431" s="24" t="str">
        <f>VLOOKUP(MID(Q431,1,3),CODE!$B:$G,CODE!D$1,FALSE)</f>
        <v>JOI</v>
      </c>
      <c r="N431" s="24" t="str">
        <f t="shared" si="82"/>
        <v>ED</v>
      </c>
      <c r="O431" s="29" t="str">
        <f>IF(ISERROR(IF(VLOOKUP($N431,CODE!$K:$P,CODE!$O$1,FALSE)="",$M431,$M431&amp;"-"&amp;VLOOKUP($N431,CODE!$K:$P,CODE!$O$1,FALSE)))=TRUE,"",IF(VLOOKUP($N431,CODE!$K:$P,CODE!$O$1,FALSE)="",$M431,$M431&amp;"-"&amp;VLOOKUP($N431,CODE!$K:$P,CODE!$O$1,FALSE)))</f>
        <v>JOI-ACC</v>
      </c>
      <c r="P431" s="29" t="str">
        <f t="shared" si="83"/>
        <v>JOIEDE5102</v>
      </c>
      <c r="Q431" s="1" t="s">
        <v>1220</v>
      </c>
      <c r="R431" s="1" t="s">
        <v>14</v>
      </c>
      <c r="S431" s="26">
        <v>500</v>
      </c>
      <c r="T431" s="26">
        <v>19500000</v>
      </c>
      <c r="U431" s="26">
        <v>3970495</v>
      </c>
      <c r="V431" s="26">
        <v>4.4647513036215196</v>
      </c>
      <c r="W431" s="26">
        <v>0</v>
      </c>
      <c r="X431" s="26">
        <v>500</v>
      </c>
    </row>
    <row r="432" spans="1:24">
      <c r="A432" s="24" t="str">
        <f t="shared" si="76"/>
        <v>러닝</v>
      </c>
      <c r="B432" s="24" t="str">
        <f>IF(COUNTIF(Q$1:Q431,Q432)=0,"최초","리오더")</f>
        <v>최초</v>
      </c>
      <c r="C432" s="24" t="str">
        <f t="shared" si="77"/>
        <v>JOIEDE5110</v>
      </c>
      <c r="D432" s="24">
        <f t="shared" si="72"/>
        <v>1</v>
      </c>
      <c r="E432" s="24" t="str">
        <f t="shared" si="78"/>
        <v/>
      </c>
      <c r="F432" s="24">
        <f t="shared" si="73"/>
        <v>0</v>
      </c>
      <c r="G432" s="24" t="str">
        <f t="shared" si="79"/>
        <v>JOIEDE5110IV</v>
      </c>
      <c r="H432" s="24">
        <f t="shared" si="74"/>
        <v>1</v>
      </c>
      <c r="I432" s="24" t="str">
        <f t="shared" si="80"/>
        <v/>
      </c>
      <c r="J432" s="24">
        <f t="shared" si="75"/>
        <v>0</v>
      </c>
      <c r="K432" s="24" t="str">
        <f t="shared" si="81"/>
        <v>E5</v>
      </c>
      <c r="L432" s="24" t="str">
        <f>VLOOKUP(N432,CODE!K:P,CODE!$P$1,FALSE)</f>
        <v>ACC</v>
      </c>
      <c r="M432" s="24" t="str">
        <f>VLOOKUP(MID(Q432,1,3),CODE!$B:$G,CODE!D$1,FALSE)</f>
        <v>JOI</v>
      </c>
      <c r="N432" s="24" t="str">
        <f t="shared" si="82"/>
        <v>ED</v>
      </c>
      <c r="O432" s="29" t="str">
        <f>IF(ISERROR(IF(VLOOKUP($N432,CODE!$K:$P,CODE!$O$1,FALSE)="",$M432,$M432&amp;"-"&amp;VLOOKUP($N432,CODE!$K:$P,CODE!$O$1,FALSE)))=TRUE,"",IF(VLOOKUP($N432,CODE!$K:$P,CODE!$O$1,FALSE)="",$M432,$M432&amp;"-"&amp;VLOOKUP($N432,CODE!$K:$P,CODE!$O$1,FALSE)))</f>
        <v>JOI-ACC</v>
      </c>
      <c r="P432" s="29" t="str">
        <f t="shared" si="83"/>
        <v>JOIEDE5110</v>
      </c>
      <c r="Q432" s="1" t="s">
        <v>1221</v>
      </c>
      <c r="R432" s="1" t="s">
        <v>14</v>
      </c>
      <c r="S432" s="26">
        <v>500</v>
      </c>
      <c r="T432" s="26">
        <v>19500000</v>
      </c>
      <c r="U432" s="26">
        <v>3970495</v>
      </c>
      <c r="V432" s="26">
        <v>4.4647513036215196</v>
      </c>
      <c r="W432" s="26">
        <v>0</v>
      </c>
      <c r="X432" s="26">
        <v>500</v>
      </c>
    </row>
    <row r="433" spans="1:24">
      <c r="A433" s="24" t="str">
        <f t="shared" si="76"/>
        <v>신규</v>
      </c>
      <c r="B433" s="24" t="str">
        <f>IF(COUNTIF(Q$1:Q432,Q433)=0,"최초","리오더")</f>
        <v>최초</v>
      </c>
      <c r="C433" s="24" t="str">
        <f t="shared" si="77"/>
        <v>PLABPE3301</v>
      </c>
      <c r="D433" s="24">
        <f t="shared" si="72"/>
        <v>1</v>
      </c>
      <c r="E433" s="24" t="str">
        <f t="shared" si="78"/>
        <v/>
      </c>
      <c r="F433" s="24">
        <f t="shared" si="73"/>
        <v>0</v>
      </c>
      <c r="G433" s="24" t="str">
        <f t="shared" si="79"/>
        <v>PLABPE3301BW</v>
      </c>
      <c r="H433" s="24">
        <f t="shared" si="74"/>
        <v>1</v>
      </c>
      <c r="I433" s="24" t="str">
        <f t="shared" si="80"/>
        <v/>
      </c>
      <c r="J433" s="24">
        <f t="shared" si="75"/>
        <v>0</v>
      </c>
      <c r="K433" s="24" t="str">
        <f t="shared" si="81"/>
        <v>E3</v>
      </c>
      <c r="L433" s="24" t="str">
        <f>VLOOKUP(N433,CODE!K:P,CODE!$P$1,FALSE)</f>
        <v>가방</v>
      </c>
      <c r="M433" s="24" t="str">
        <f>VLOOKUP(MID(Q433,1,3),CODE!$B:$G,CODE!D$1,FALSE)</f>
        <v>PLA</v>
      </c>
      <c r="N433" s="24" t="str">
        <f t="shared" si="82"/>
        <v>BP</v>
      </c>
      <c r="O433" s="29" t="str">
        <f>IF(ISERROR(IF(VLOOKUP($N433,CODE!$K:$P,CODE!$O$1,FALSE)="",$M433,$M433&amp;"-"&amp;VLOOKUP($N433,CODE!$K:$P,CODE!$O$1,FALSE)))=TRUE,"",IF(VLOOKUP($N433,CODE!$K:$P,CODE!$O$1,FALSE)="",$M433,$M433&amp;"-"&amp;VLOOKUP($N433,CODE!$K:$P,CODE!$O$1,FALSE)))</f>
        <v>PLA-가방</v>
      </c>
      <c r="P433" s="29" t="str">
        <f t="shared" si="83"/>
        <v>PLABPE3301</v>
      </c>
      <c r="Q433" s="1" t="s">
        <v>1222</v>
      </c>
      <c r="R433" s="1" t="s">
        <v>14</v>
      </c>
      <c r="S433" s="26">
        <v>500</v>
      </c>
      <c r="T433" s="26">
        <v>59500000</v>
      </c>
      <c r="U433" s="26">
        <v>12000000</v>
      </c>
      <c r="V433" s="26">
        <v>4.5075757575757569</v>
      </c>
      <c r="W433" s="26">
        <v>0</v>
      </c>
      <c r="X433" s="26">
        <v>500</v>
      </c>
    </row>
    <row r="434" spans="1:24">
      <c r="A434" s="24" t="str">
        <f t="shared" si="76"/>
        <v>신규</v>
      </c>
      <c r="B434" s="24" t="str">
        <f>IF(COUNTIF(Q$1:Q433,Q434)=0,"최초","리오더")</f>
        <v>최초</v>
      </c>
      <c r="C434" s="24" t="str">
        <f t="shared" si="77"/>
        <v>PLABPE3302</v>
      </c>
      <c r="D434" s="24">
        <f t="shared" si="72"/>
        <v>1</v>
      </c>
      <c r="E434" s="24" t="str">
        <f t="shared" si="78"/>
        <v/>
      </c>
      <c r="F434" s="24">
        <f t="shared" si="73"/>
        <v>0</v>
      </c>
      <c r="G434" s="24" t="str">
        <f t="shared" si="79"/>
        <v>PLABPE3302BK</v>
      </c>
      <c r="H434" s="24">
        <f t="shared" si="74"/>
        <v>1</v>
      </c>
      <c r="I434" s="24" t="str">
        <f t="shared" si="80"/>
        <v/>
      </c>
      <c r="J434" s="24">
        <f t="shared" si="75"/>
        <v>0</v>
      </c>
      <c r="K434" s="24" t="str">
        <f t="shared" si="81"/>
        <v>E3</v>
      </c>
      <c r="L434" s="24" t="str">
        <f>VLOOKUP(N434,CODE!K:P,CODE!$P$1,FALSE)</f>
        <v>가방</v>
      </c>
      <c r="M434" s="24" t="str">
        <f>VLOOKUP(MID(Q434,1,3),CODE!$B:$G,CODE!D$1,FALSE)</f>
        <v>PLA</v>
      </c>
      <c r="N434" s="24" t="str">
        <f t="shared" si="82"/>
        <v>BP</v>
      </c>
      <c r="O434" s="29" t="str">
        <f>IF(ISERROR(IF(VLOOKUP($N434,CODE!$K:$P,CODE!$O$1,FALSE)="",$M434,$M434&amp;"-"&amp;VLOOKUP($N434,CODE!$K:$P,CODE!$O$1,FALSE)))=TRUE,"",IF(VLOOKUP($N434,CODE!$K:$P,CODE!$O$1,FALSE)="",$M434,$M434&amp;"-"&amp;VLOOKUP($N434,CODE!$K:$P,CODE!$O$1,FALSE)))</f>
        <v>PLA-가방</v>
      </c>
      <c r="P434" s="29" t="str">
        <f t="shared" si="83"/>
        <v>PLABPE3302</v>
      </c>
      <c r="Q434" s="1" t="s">
        <v>1223</v>
      </c>
      <c r="R434" s="1" t="s">
        <v>14</v>
      </c>
      <c r="S434" s="26">
        <v>500</v>
      </c>
      <c r="T434" s="26">
        <v>59500000</v>
      </c>
      <c r="U434" s="26">
        <v>12000000</v>
      </c>
      <c r="V434" s="26">
        <v>4.5075757575757569</v>
      </c>
      <c r="W434" s="26">
        <v>0</v>
      </c>
      <c r="X434" s="26">
        <v>500</v>
      </c>
    </row>
    <row r="435" spans="1:24">
      <c r="A435" s="24" t="str">
        <f t="shared" si="76"/>
        <v>신규</v>
      </c>
      <c r="B435" s="24" t="str">
        <f>IF(COUNTIF(Q$1:Q434,Q435)=0,"최초","리오더")</f>
        <v>최초</v>
      </c>
      <c r="C435" s="24" t="str">
        <f t="shared" si="77"/>
        <v>PLABPE3303</v>
      </c>
      <c r="D435" s="24">
        <f t="shared" si="72"/>
        <v>1</v>
      </c>
      <c r="E435" s="24" t="str">
        <f t="shared" si="78"/>
        <v/>
      </c>
      <c r="F435" s="24">
        <f t="shared" si="73"/>
        <v>0</v>
      </c>
      <c r="G435" s="24" t="str">
        <f t="shared" si="79"/>
        <v>PLABPE3303OR</v>
      </c>
      <c r="H435" s="24">
        <f t="shared" si="74"/>
        <v>1</v>
      </c>
      <c r="I435" s="24" t="str">
        <f t="shared" si="80"/>
        <v/>
      </c>
      <c r="J435" s="24">
        <f t="shared" si="75"/>
        <v>0</v>
      </c>
      <c r="K435" s="24" t="str">
        <f t="shared" si="81"/>
        <v>E3</v>
      </c>
      <c r="L435" s="24" t="str">
        <f>VLOOKUP(N435,CODE!K:P,CODE!$P$1,FALSE)</f>
        <v>가방</v>
      </c>
      <c r="M435" s="24" t="str">
        <f>VLOOKUP(MID(Q435,1,3),CODE!$B:$G,CODE!D$1,FALSE)</f>
        <v>PLA</v>
      </c>
      <c r="N435" s="24" t="str">
        <f t="shared" si="82"/>
        <v>BP</v>
      </c>
      <c r="O435" s="29" t="str">
        <f>IF(ISERROR(IF(VLOOKUP($N435,CODE!$K:$P,CODE!$O$1,FALSE)="",$M435,$M435&amp;"-"&amp;VLOOKUP($N435,CODE!$K:$P,CODE!$O$1,FALSE)))=TRUE,"",IF(VLOOKUP($N435,CODE!$K:$P,CODE!$O$1,FALSE)="",$M435,$M435&amp;"-"&amp;VLOOKUP($N435,CODE!$K:$P,CODE!$O$1,FALSE)))</f>
        <v>PLA-가방</v>
      </c>
      <c r="P435" s="29" t="str">
        <f t="shared" si="83"/>
        <v>PLABPE3303</v>
      </c>
      <c r="Q435" s="1" t="s">
        <v>1224</v>
      </c>
      <c r="R435" s="1" t="s">
        <v>14</v>
      </c>
      <c r="S435" s="26">
        <v>500</v>
      </c>
      <c r="T435" s="26">
        <v>59500000</v>
      </c>
      <c r="U435" s="26">
        <v>12000000</v>
      </c>
      <c r="V435" s="26">
        <v>4.5075757575757569</v>
      </c>
      <c r="W435" s="26">
        <v>0</v>
      </c>
      <c r="X435" s="26">
        <v>500</v>
      </c>
    </row>
    <row r="436" spans="1:24">
      <c r="A436" s="24" t="str">
        <f t="shared" si="76"/>
        <v>신규</v>
      </c>
      <c r="B436" s="24" t="str">
        <f>IF(COUNTIF(Q$1:Q435,Q436)=0,"최초","리오더")</f>
        <v>최초</v>
      </c>
      <c r="C436" s="24" t="str">
        <f t="shared" si="77"/>
        <v>PLABPE3304</v>
      </c>
      <c r="D436" s="24">
        <f t="shared" si="72"/>
        <v>1</v>
      </c>
      <c r="E436" s="24" t="str">
        <f t="shared" si="78"/>
        <v/>
      </c>
      <c r="F436" s="24">
        <f t="shared" si="73"/>
        <v>0</v>
      </c>
      <c r="G436" s="24" t="str">
        <f t="shared" si="79"/>
        <v>PLABPE3304BK</v>
      </c>
      <c r="H436" s="24">
        <f t="shared" si="74"/>
        <v>1</v>
      </c>
      <c r="I436" s="24" t="str">
        <f t="shared" si="80"/>
        <v/>
      </c>
      <c r="J436" s="24">
        <f t="shared" si="75"/>
        <v>0</v>
      </c>
      <c r="K436" s="24" t="str">
        <f t="shared" si="81"/>
        <v>E3</v>
      </c>
      <c r="L436" s="24" t="str">
        <f>VLOOKUP(N436,CODE!K:P,CODE!$P$1,FALSE)</f>
        <v>가방</v>
      </c>
      <c r="M436" s="24" t="str">
        <f>VLOOKUP(MID(Q436,1,3),CODE!$B:$G,CODE!D$1,FALSE)</f>
        <v>PLA</v>
      </c>
      <c r="N436" s="24" t="str">
        <f t="shared" si="82"/>
        <v>BP</v>
      </c>
      <c r="O436" s="29" t="str">
        <f>IF(ISERROR(IF(VLOOKUP($N436,CODE!$K:$P,CODE!$O$1,FALSE)="",$M436,$M436&amp;"-"&amp;VLOOKUP($N436,CODE!$K:$P,CODE!$O$1,FALSE)))=TRUE,"",IF(VLOOKUP($N436,CODE!$K:$P,CODE!$O$1,FALSE)="",$M436,$M436&amp;"-"&amp;VLOOKUP($N436,CODE!$K:$P,CODE!$O$1,FALSE)))</f>
        <v>PLA-가방</v>
      </c>
      <c r="P436" s="29" t="str">
        <f t="shared" si="83"/>
        <v>PLABPE3304</v>
      </c>
      <c r="Q436" s="1" t="s">
        <v>1225</v>
      </c>
      <c r="R436" s="1" t="s">
        <v>14</v>
      </c>
      <c r="S436" s="26">
        <v>500</v>
      </c>
      <c r="T436" s="26">
        <v>59500000</v>
      </c>
      <c r="U436" s="26">
        <v>12000000</v>
      </c>
      <c r="V436" s="26">
        <v>4.5075757575757569</v>
      </c>
      <c r="W436" s="26">
        <v>0</v>
      </c>
      <c r="X436" s="26">
        <v>500</v>
      </c>
    </row>
    <row r="437" spans="1:24">
      <c r="A437" s="24" t="str">
        <f t="shared" si="76"/>
        <v>신규</v>
      </c>
      <c r="B437" s="24" t="str">
        <f>IF(COUNTIF(Q$1:Q436,Q437)=0,"최초","리오더")</f>
        <v>최초</v>
      </c>
      <c r="C437" s="24" t="str">
        <f t="shared" si="77"/>
        <v>ELSBPE3301</v>
      </c>
      <c r="D437" s="24">
        <f t="shared" si="72"/>
        <v>1</v>
      </c>
      <c r="E437" s="24" t="str">
        <f t="shared" si="78"/>
        <v/>
      </c>
      <c r="F437" s="24">
        <f t="shared" si="73"/>
        <v>0</v>
      </c>
      <c r="G437" s="24" t="str">
        <f t="shared" si="79"/>
        <v>ELSBPE3301BW</v>
      </c>
      <c r="H437" s="24">
        <f t="shared" si="74"/>
        <v>1</v>
      </c>
      <c r="I437" s="24" t="str">
        <f t="shared" si="80"/>
        <v/>
      </c>
      <c r="J437" s="24">
        <f t="shared" si="75"/>
        <v>0</v>
      </c>
      <c r="K437" s="24" t="str">
        <f t="shared" si="81"/>
        <v>E3</v>
      </c>
      <c r="L437" s="24" t="str">
        <f>VLOOKUP(N437,CODE!K:P,CODE!$P$1,FALSE)</f>
        <v>가방</v>
      </c>
      <c r="M437" s="24" t="str">
        <f>VLOOKUP(MID(Q437,1,3),CODE!$B:$G,CODE!D$1,FALSE)</f>
        <v>ELS</v>
      </c>
      <c r="N437" s="24" t="str">
        <f t="shared" si="82"/>
        <v>BP</v>
      </c>
      <c r="O437" s="29" t="str">
        <f>IF(ISERROR(IF(VLOOKUP($N437,CODE!$K:$P,CODE!$O$1,FALSE)="",$M437,$M437&amp;"-"&amp;VLOOKUP($N437,CODE!$K:$P,CODE!$O$1,FALSE)))=TRUE,"",IF(VLOOKUP($N437,CODE!$K:$P,CODE!$O$1,FALSE)="",$M437,$M437&amp;"-"&amp;VLOOKUP($N437,CODE!$K:$P,CODE!$O$1,FALSE)))</f>
        <v>ELS-가방</v>
      </c>
      <c r="P437" s="29" t="str">
        <f t="shared" si="83"/>
        <v>ELSBPE3301</v>
      </c>
      <c r="Q437" s="1" t="s">
        <v>1226</v>
      </c>
      <c r="R437" s="1" t="s">
        <v>14</v>
      </c>
      <c r="S437" s="26">
        <v>500</v>
      </c>
      <c r="T437" s="26">
        <v>64500000</v>
      </c>
      <c r="U437" s="26">
        <v>12510000</v>
      </c>
      <c r="V437" s="26">
        <v>4.6871593634183553</v>
      </c>
      <c r="W437" s="26">
        <v>0</v>
      </c>
      <c r="X437" s="26">
        <v>500</v>
      </c>
    </row>
    <row r="438" spans="1:24">
      <c r="A438" s="24" t="str">
        <f t="shared" si="76"/>
        <v>신규</v>
      </c>
      <c r="B438" s="24" t="str">
        <f>IF(COUNTIF(Q$1:Q437,Q438)=0,"최초","리오더")</f>
        <v>최초</v>
      </c>
      <c r="C438" s="24" t="str">
        <f t="shared" si="77"/>
        <v>ELSBPE3801</v>
      </c>
      <c r="D438" s="24">
        <f t="shared" si="72"/>
        <v>1</v>
      </c>
      <c r="E438" s="24" t="str">
        <f t="shared" si="78"/>
        <v/>
      </c>
      <c r="F438" s="24">
        <f t="shared" si="73"/>
        <v>0</v>
      </c>
      <c r="G438" s="24" t="str">
        <f t="shared" si="79"/>
        <v>ELSBPE3801BW</v>
      </c>
      <c r="H438" s="24">
        <f t="shared" si="74"/>
        <v>1</v>
      </c>
      <c r="I438" s="24" t="str">
        <f t="shared" si="80"/>
        <v/>
      </c>
      <c r="J438" s="24">
        <f t="shared" si="75"/>
        <v>0</v>
      </c>
      <c r="K438" s="24" t="str">
        <f t="shared" si="81"/>
        <v>E3</v>
      </c>
      <c r="L438" s="24" t="str">
        <f>VLOOKUP(N438,CODE!K:P,CODE!$P$1,FALSE)</f>
        <v>가방</v>
      </c>
      <c r="M438" s="24" t="str">
        <f>VLOOKUP(MID(Q438,1,3),CODE!$B:$G,CODE!D$1,FALSE)</f>
        <v>ELS</v>
      </c>
      <c r="N438" s="24" t="str">
        <f t="shared" si="82"/>
        <v>BP</v>
      </c>
      <c r="O438" s="29" t="str">
        <f>IF(ISERROR(IF(VLOOKUP($N438,CODE!$K:$P,CODE!$O$1,FALSE)="",$M438,$M438&amp;"-"&amp;VLOOKUP($N438,CODE!$K:$P,CODE!$O$1,FALSE)))=TRUE,"",IF(VLOOKUP($N438,CODE!$K:$P,CODE!$O$1,FALSE)="",$M438,$M438&amp;"-"&amp;VLOOKUP($N438,CODE!$K:$P,CODE!$O$1,FALSE)))</f>
        <v>ELS-가방</v>
      </c>
      <c r="P438" s="29" t="str">
        <f t="shared" si="83"/>
        <v>ELSBPE3801</v>
      </c>
      <c r="Q438" s="1" t="s">
        <v>1227</v>
      </c>
      <c r="R438" s="1" t="s">
        <v>14</v>
      </c>
      <c r="S438" s="26">
        <v>500</v>
      </c>
      <c r="T438" s="26">
        <v>49500000</v>
      </c>
      <c r="U438" s="26">
        <v>11260000</v>
      </c>
      <c r="V438" s="26">
        <v>3.9964476021314379</v>
      </c>
      <c r="W438" s="26">
        <v>0</v>
      </c>
      <c r="X438" s="26">
        <v>500</v>
      </c>
    </row>
    <row r="439" spans="1:24">
      <c r="A439" s="24" t="str">
        <f t="shared" si="76"/>
        <v>신규</v>
      </c>
      <c r="B439" s="24" t="str">
        <f>IF(COUNTIF(Q$1:Q438,Q439)=0,"최초","리오더")</f>
        <v>최초</v>
      </c>
      <c r="C439" s="24" t="str">
        <f t="shared" si="77"/>
        <v>ELSBPE3811</v>
      </c>
      <c r="D439" s="24">
        <f t="shared" si="72"/>
        <v>1</v>
      </c>
      <c r="E439" s="24" t="str">
        <f t="shared" si="78"/>
        <v/>
      </c>
      <c r="F439" s="24">
        <f t="shared" si="73"/>
        <v>0</v>
      </c>
      <c r="G439" s="24" t="str">
        <f t="shared" si="79"/>
        <v>ELSBPE3811BW</v>
      </c>
      <c r="H439" s="24">
        <f t="shared" si="74"/>
        <v>1</v>
      </c>
      <c r="I439" s="24" t="str">
        <f t="shared" si="80"/>
        <v/>
      </c>
      <c r="J439" s="24">
        <f t="shared" si="75"/>
        <v>0</v>
      </c>
      <c r="K439" s="24" t="str">
        <f t="shared" si="81"/>
        <v>E3</v>
      </c>
      <c r="L439" s="24" t="str">
        <f>VLOOKUP(N439,CODE!K:P,CODE!$P$1,FALSE)</f>
        <v>가방</v>
      </c>
      <c r="M439" s="24" t="str">
        <f>VLOOKUP(MID(Q439,1,3),CODE!$B:$G,CODE!D$1,FALSE)</f>
        <v>ELS</v>
      </c>
      <c r="N439" s="24" t="str">
        <f t="shared" si="82"/>
        <v>BP</v>
      </c>
      <c r="O439" s="29" t="str">
        <f>IF(ISERROR(IF(VLOOKUP($N439,CODE!$K:$P,CODE!$O$1,FALSE)="",$M439,$M439&amp;"-"&amp;VLOOKUP($N439,CODE!$K:$P,CODE!$O$1,FALSE)))=TRUE,"",IF(VLOOKUP($N439,CODE!$K:$P,CODE!$O$1,FALSE)="",$M439,$M439&amp;"-"&amp;VLOOKUP($N439,CODE!$K:$P,CODE!$O$1,FALSE)))</f>
        <v>ELS-가방</v>
      </c>
      <c r="P439" s="29" t="str">
        <f t="shared" si="83"/>
        <v>ELSBPE3811</v>
      </c>
      <c r="Q439" s="1" t="s">
        <v>1228</v>
      </c>
      <c r="R439" s="1" t="s">
        <v>14</v>
      </c>
      <c r="S439" s="26">
        <v>500</v>
      </c>
      <c r="T439" s="26">
        <v>44500000</v>
      </c>
      <c r="U439" s="26">
        <v>10010000</v>
      </c>
      <c r="V439" s="26">
        <v>4.0414131323222229</v>
      </c>
      <c r="W439" s="26">
        <v>0</v>
      </c>
      <c r="X439" s="26">
        <v>500</v>
      </c>
    </row>
    <row r="440" spans="1:24">
      <c r="A440" s="24" t="str">
        <f t="shared" si="76"/>
        <v>러닝</v>
      </c>
      <c r="B440" s="24" t="str">
        <f>IF(COUNTIF(Q$1:Q439,Q440)=0,"최초","리오더")</f>
        <v>최초</v>
      </c>
      <c r="C440" s="24" t="str">
        <f t="shared" si="77"/>
        <v>NOVFAE3105</v>
      </c>
      <c r="D440" s="24">
        <f t="shared" si="72"/>
        <v>1</v>
      </c>
      <c r="E440" s="24" t="str">
        <f t="shared" si="78"/>
        <v/>
      </c>
      <c r="F440" s="24">
        <f t="shared" si="73"/>
        <v>0</v>
      </c>
      <c r="G440" s="24" t="str">
        <f t="shared" si="79"/>
        <v>NOVFAE3105BG</v>
      </c>
      <c r="H440" s="24">
        <f t="shared" si="74"/>
        <v>1</v>
      </c>
      <c r="I440" s="24" t="str">
        <f t="shared" si="80"/>
        <v/>
      </c>
      <c r="J440" s="24">
        <f t="shared" si="75"/>
        <v>0</v>
      </c>
      <c r="K440" s="24" t="str">
        <f t="shared" si="81"/>
        <v>E3</v>
      </c>
      <c r="L440" s="24" t="str">
        <f>VLOOKUP(N440,CODE!K:P,CODE!$P$1,FALSE)</f>
        <v>모자</v>
      </c>
      <c r="M440" s="24" t="str">
        <f>VLOOKUP(MID(Q440,1,3),CODE!$B:$G,CODE!D$1,FALSE)</f>
        <v>NOV</v>
      </c>
      <c r="N440" s="24" t="str">
        <f t="shared" si="82"/>
        <v>FA</v>
      </c>
      <c r="O440" s="29" t="str">
        <f>IF(ISERROR(IF(VLOOKUP($N440,CODE!$K:$P,CODE!$O$1,FALSE)="",$M440,$M440&amp;"-"&amp;VLOOKUP($N440,CODE!$K:$P,CODE!$O$1,FALSE)))=TRUE,"",IF(VLOOKUP($N440,CODE!$K:$P,CODE!$O$1,FALSE)="",$M440,$M440&amp;"-"&amp;VLOOKUP($N440,CODE!$K:$P,CODE!$O$1,FALSE)))</f>
        <v>NOV</v>
      </c>
      <c r="P440" s="29" t="str">
        <f t="shared" si="83"/>
        <v>NOVFAE3105</v>
      </c>
      <c r="Q440" s="1" t="s">
        <v>1229</v>
      </c>
      <c r="R440" s="1" t="s">
        <v>14</v>
      </c>
      <c r="S440" s="26">
        <v>700</v>
      </c>
      <c r="T440" s="26">
        <v>41300000</v>
      </c>
      <c r="U440" s="26">
        <v>4656456.0000000009</v>
      </c>
      <c r="V440" s="26">
        <v>8.063096600817131</v>
      </c>
      <c r="W440" s="26">
        <v>0</v>
      </c>
      <c r="X440" s="26">
        <v>700</v>
      </c>
    </row>
    <row r="441" spans="1:24">
      <c r="A441" s="24" t="str">
        <f t="shared" si="76"/>
        <v>러닝</v>
      </c>
      <c r="B441" s="24" t="str">
        <f>IF(COUNTIF(Q$1:Q440,Q441)=0,"최초","리오더")</f>
        <v>최초</v>
      </c>
      <c r="C441" s="24" t="str">
        <f t="shared" si="77"/>
        <v>NOVFAE3605</v>
      </c>
      <c r="D441" s="24">
        <f t="shared" si="72"/>
        <v>1</v>
      </c>
      <c r="E441" s="24" t="str">
        <f t="shared" si="78"/>
        <v/>
      </c>
      <c r="F441" s="24">
        <f t="shared" si="73"/>
        <v>0</v>
      </c>
      <c r="G441" s="24" t="str">
        <f t="shared" si="79"/>
        <v>NOVFAE3605BG</v>
      </c>
      <c r="H441" s="24">
        <f t="shared" si="74"/>
        <v>1</v>
      </c>
      <c r="I441" s="24" t="str">
        <f t="shared" si="80"/>
        <v/>
      </c>
      <c r="J441" s="24">
        <f t="shared" si="75"/>
        <v>0</v>
      </c>
      <c r="K441" s="24" t="str">
        <f t="shared" si="81"/>
        <v>E3</v>
      </c>
      <c r="L441" s="24" t="str">
        <f>VLOOKUP(N441,CODE!K:P,CODE!$P$1,FALSE)</f>
        <v>모자</v>
      </c>
      <c r="M441" s="24" t="str">
        <f>VLOOKUP(MID(Q441,1,3),CODE!$B:$G,CODE!D$1,FALSE)</f>
        <v>NOV</v>
      </c>
      <c r="N441" s="24" t="str">
        <f t="shared" si="82"/>
        <v>FA</v>
      </c>
      <c r="O441" s="29" t="str">
        <f>IF(ISERROR(IF(VLOOKUP($N441,CODE!$K:$P,CODE!$O$1,FALSE)="",$M441,$M441&amp;"-"&amp;VLOOKUP($N441,CODE!$K:$P,CODE!$O$1,FALSE)))=TRUE,"",IF(VLOOKUP($N441,CODE!$K:$P,CODE!$O$1,FALSE)="",$M441,$M441&amp;"-"&amp;VLOOKUP($N441,CODE!$K:$P,CODE!$O$1,FALSE)))</f>
        <v>NOV</v>
      </c>
      <c r="P441" s="29" t="str">
        <f t="shared" si="83"/>
        <v>NOVFAE3605</v>
      </c>
      <c r="Q441" s="1" t="s">
        <v>1230</v>
      </c>
      <c r="R441" s="1" t="s">
        <v>14</v>
      </c>
      <c r="S441" s="26">
        <v>500</v>
      </c>
      <c r="T441" s="26">
        <v>27500000</v>
      </c>
      <c r="U441" s="26">
        <v>3297855.0000000005</v>
      </c>
      <c r="V441" s="26">
        <v>7.580685021021238</v>
      </c>
      <c r="W441" s="26">
        <v>0</v>
      </c>
      <c r="X441" s="26">
        <v>500</v>
      </c>
    </row>
    <row r="442" spans="1:24">
      <c r="A442" s="24" t="str">
        <f t="shared" si="76"/>
        <v>러닝</v>
      </c>
      <c r="B442" s="24" t="str">
        <f>IF(COUNTIF(Q$1:Q441,Q442)=0,"최초","리오더")</f>
        <v>최초</v>
      </c>
      <c r="C442" s="24" t="str">
        <f t="shared" si="77"/>
        <v>NOVMIE3101</v>
      </c>
      <c r="D442" s="24">
        <f t="shared" si="72"/>
        <v>1</v>
      </c>
      <c r="E442" s="24" t="str">
        <f t="shared" si="78"/>
        <v/>
      </c>
      <c r="F442" s="24">
        <f t="shared" si="73"/>
        <v>0</v>
      </c>
      <c r="G442" s="24" t="str">
        <f t="shared" si="79"/>
        <v>NOVMIE3101BG</v>
      </c>
      <c r="H442" s="24">
        <f t="shared" si="74"/>
        <v>1</v>
      </c>
      <c r="I442" s="24" t="str">
        <f t="shared" si="80"/>
        <v/>
      </c>
      <c r="J442" s="24">
        <f t="shared" si="75"/>
        <v>0</v>
      </c>
      <c r="K442" s="24" t="str">
        <f t="shared" si="81"/>
        <v>E3</v>
      </c>
      <c r="L442" s="24" t="str">
        <f>VLOOKUP(N442,CODE!K:P,CODE!$P$1,FALSE)</f>
        <v>모자</v>
      </c>
      <c r="M442" s="24" t="str">
        <f>VLOOKUP(MID(Q442,1,3),CODE!$B:$G,CODE!D$1,FALSE)</f>
        <v>NOV</v>
      </c>
      <c r="N442" s="24" t="str">
        <f t="shared" si="82"/>
        <v>MI</v>
      </c>
      <c r="O442" s="29" t="str">
        <f>IF(ISERROR(IF(VLOOKUP($N442,CODE!$K:$P,CODE!$O$1,FALSE)="",$M442,$M442&amp;"-"&amp;VLOOKUP($N442,CODE!$K:$P,CODE!$O$1,FALSE)))=TRUE,"",IF(VLOOKUP($N442,CODE!$K:$P,CODE!$O$1,FALSE)="",$M442,$M442&amp;"-"&amp;VLOOKUP($N442,CODE!$K:$P,CODE!$O$1,FALSE)))</f>
        <v>NOV</v>
      </c>
      <c r="P442" s="29" t="str">
        <f t="shared" si="83"/>
        <v>NOVMIE3101</v>
      </c>
      <c r="Q442" s="1" t="s">
        <v>1231</v>
      </c>
      <c r="R442" s="1" t="s">
        <v>14</v>
      </c>
      <c r="S442" s="26">
        <v>700</v>
      </c>
      <c r="T442" s="26">
        <v>34300000</v>
      </c>
      <c r="U442" s="26">
        <v>3479707</v>
      </c>
      <c r="V442" s="26">
        <v>8.961047059944466</v>
      </c>
      <c r="W442" s="26">
        <v>0</v>
      </c>
      <c r="X442" s="26">
        <v>700</v>
      </c>
    </row>
    <row r="443" spans="1:24">
      <c r="A443" s="24" t="str">
        <f t="shared" si="76"/>
        <v>러닝</v>
      </c>
      <c r="B443" s="24" t="str">
        <f>IF(COUNTIF(Q$1:Q442,Q443)=0,"최초","리오더")</f>
        <v>최초</v>
      </c>
      <c r="C443" s="24" t="str">
        <f t="shared" si="77"/>
        <v>NOVMIE3102</v>
      </c>
      <c r="D443" s="24">
        <f t="shared" si="72"/>
        <v>0.33333333333333331</v>
      </c>
      <c r="E443" s="24" t="str">
        <f t="shared" si="78"/>
        <v/>
      </c>
      <c r="F443" s="24">
        <f t="shared" si="73"/>
        <v>0</v>
      </c>
      <c r="G443" s="24" t="str">
        <f t="shared" si="79"/>
        <v>NOVMIE3102BK</v>
      </c>
      <c r="H443" s="24">
        <f t="shared" si="74"/>
        <v>1</v>
      </c>
      <c r="I443" s="24" t="str">
        <f t="shared" si="80"/>
        <v/>
      </c>
      <c r="J443" s="24">
        <f t="shared" si="75"/>
        <v>0</v>
      </c>
      <c r="K443" s="24" t="str">
        <f t="shared" si="81"/>
        <v>E3</v>
      </c>
      <c r="L443" s="24" t="str">
        <f>VLOOKUP(N443,CODE!K:P,CODE!$P$1,FALSE)</f>
        <v>모자</v>
      </c>
      <c r="M443" s="24" t="str">
        <f>VLOOKUP(MID(Q443,1,3),CODE!$B:$G,CODE!D$1,FALSE)</f>
        <v>NOV</v>
      </c>
      <c r="N443" s="24" t="str">
        <f t="shared" si="82"/>
        <v>MI</v>
      </c>
      <c r="O443" s="29" t="str">
        <f>IF(ISERROR(IF(VLOOKUP($N443,CODE!$K:$P,CODE!$O$1,FALSE)="",$M443,$M443&amp;"-"&amp;VLOOKUP($N443,CODE!$K:$P,CODE!$O$1,FALSE)))=TRUE,"",IF(VLOOKUP($N443,CODE!$K:$P,CODE!$O$1,FALSE)="",$M443,$M443&amp;"-"&amp;VLOOKUP($N443,CODE!$K:$P,CODE!$O$1,FALSE)))</f>
        <v>NOV</v>
      </c>
      <c r="P443" s="29" t="str">
        <f t="shared" si="83"/>
        <v>NOVMIE3102</v>
      </c>
      <c r="Q443" s="1" t="s">
        <v>1232</v>
      </c>
      <c r="R443" s="1" t="s">
        <v>14</v>
      </c>
      <c r="S443" s="26">
        <v>1000</v>
      </c>
      <c r="T443" s="26">
        <v>49000000</v>
      </c>
      <c r="U443" s="26">
        <v>6818330.0000000009</v>
      </c>
      <c r="V443" s="26">
        <v>6.5331913453080936</v>
      </c>
      <c r="W443" s="26">
        <v>0</v>
      </c>
      <c r="X443" s="26">
        <v>1000</v>
      </c>
    </row>
    <row r="444" spans="1:24">
      <c r="A444" s="24" t="str">
        <f t="shared" si="76"/>
        <v>러닝</v>
      </c>
      <c r="B444" s="24" t="str">
        <f>IF(COUNTIF(Q$1:Q443,Q444)=0,"최초","리오더")</f>
        <v>최초</v>
      </c>
      <c r="C444" s="24" t="str">
        <f t="shared" si="77"/>
        <v>NOVMIE3102</v>
      </c>
      <c r="D444" s="24">
        <f t="shared" si="72"/>
        <v>0.33333333333333331</v>
      </c>
      <c r="E444" s="24" t="str">
        <f t="shared" si="78"/>
        <v/>
      </c>
      <c r="F444" s="24">
        <f t="shared" si="73"/>
        <v>0</v>
      </c>
      <c r="G444" s="24" t="str">
        <f t="shared" si="79"/>
        <v>NOVMIE3102RE</v>
      </c>
      <c r="H444" s="24">
        <f t="shared" si="74"/>
        <v>1</v>
      </c>
      <c r="I444" s="24" t="str">
        <f t="shared" si="80"/>
        <v/>
      </c>
      <c r="J444" s="24">
        <f t="shared" si="75"/>
        <v>0</v>
      </c>
      <c r="K444" s="24" t="str">
        <f t="shared" si="81"/>
        <v>E3</v>
      </c>
      <c r="L444" s="24" t="str">
        <f>VLOOKUP(N444,CODE!K:P,CODE!$P$1,FALSE)</f>
        <v>모자</v>
      </c>
      <c r="M444" s="24" t="str">
        <f>VLOOKUP(MID(Q444,1,3),CODE!$B:$G,CODE!D$1,FALSE)</f>
        <v>NOV</v>
      </c>
      <c r="N444" s="24" t="str">
        <f t="shared" si="82"/>
        <v>MI</v>
      </c>
      <c r="O444" s="29" t="str">
        <f>IF(ISERROR(IF(VLOOKUP($N444,CODE!$K:$P,CODE!$O$1,FALSE)="",$M444,$M444&amp;"-"&amp;VLOOKUP($N444,CODE!$K:$P,CODE!$O$1,FALSE)))=TRUE,"",IF(VLOOKUP($N444,CODE!$K:$P,CODE!$O$1,FALSE)="",$M444,$M444&amp;"-"&amp;VLOOKUP($N444,CODE!$K:$P,CODE!$O$1,FALSE)))</f>
        <v>NOV</v>
      </c>
      <c r="P444" s="29" t="str">
        <f t="shared" si="83"/>
        <v>NOVMIE3102</v>
      </c>
      <c r="Q444" s="1" t="s">
        <v>1233</v>
      </c>
      <c r="R444" s="1" t="s">
        <v>14</v>
      </c>
      <c r="S444" s="26">
        <v>1000</v>
      </c>
      <c r="T444" s="26">
        <v>49000000</v>
      </c>
      <c r="U444" s="26">
        <v>6818330.0000000009</v>
      </c>
      <c r="V444" s="26">
        <v>6.5331913453080936</v>
      </c>
      <c r="W444" s="26">
        <v>0</v>
      </c>
      <c r="X444" s="26">
        <v>1000</v>
      </c>
    </row>
    <row r="445" spans="1:24">
      <c r="A445" s="24" t="str">
        <f t="shared" si="76"/>
        <v>러닝</v>
      </c>
      <c r="B445" s="24" t="str">
        <f>IF(COUNTIF(Q$1:Q444,Q445)=0,"최초","리오더")</f>
        <v>최초</v>
      </c>
      <c r="C445" s="24" t="str">
        <f t="shared" si="77"/>
        <v>NOVMIE3602</v>
      </c>
      <c r="D445" s="24">
        <f t="shared" si="72"/>
        <v>1</v>
      </c>
      <c r="E445" s="24" t="str">
        <f t="shared" si="78"/>
        <v/>
      </c>
      <c r="F445" s="24">
        <f t="shared" si="73"/>
        <v>0</v>
      </c>
      <c r="G445" s="24" t="str">
        <f t="shared" si="79"/>
        <v>NOVMIE3602RE</v>
      </c>
      <c r="H445" s="24">
        <f t="shared" si="74"/>
        <v>1</v>
      </c>
      <c r="I445" s="24" t="str">
        <f t="shared" si="80"/>
        <v/>
      </c>
      <c r="J445" s="24">
        <f t="shared" si="75"/>
        <v>0</v>
      </c>
      <c r="K445" s="24" t="str">
        <f t="shared" si="81"/>
        <v>E3</v>
      </c>
      <c r="L445" s="24" t="str">
        <f>VLOOKUP(N445,CODE!K:P,CODE!$P$1,FALSE)</f>
        <v>모자</v>
      </c>
      <c r="M445" s="24" t="str">
        <f>VLOOKUP(MID(Q445,1,3),CODE!$B:$G,CODE!D$1,FALSE)</f>
        <v>NOV</v>
      </c>
      <c r="N445" s="24" t="str">
        <f t="shared" si="82"/>
        <v>MI</v>
      </c>
      <c r="O445" s="29" t="str">
        <f>IF(ISERROR(IF(VLOOKUP($N445,CODE!$K:$P,CODE!$O$1,FALSE)="",$M445,$M445&amp;"-"&amp;VLOOKUP($N445,CODE!$K:$P,CODE!$O$1,FALSE)))=TRUE,"",IF(VLOOKUP($N445,CODE!$K:$P,CODE!$O$1,FALSE)="",$M445,$M445&amp;"-"&amp;VLOOKUP($N445,CODE!$K:$P,CODE!$O$1,FALSE)))</f>
        <v>NOV</v>
      </c>
      <c r="P445" s="29" t="str">
        <f t="shared" si="83"/>
        <v>NOVMIE3602</v>
      </c>
      <c r="Q445" s="1" t="s">
        <v>1234</v>
      </c>
      <c r="R445" s="1" t="s">
        <v>14</v>
      </c>
      <c r="S445" s="26">
        <v>500</v>
      </c>
      <c r="T445" s="26">
        <v>22500000</v>
      </c>
      <c r="U445" s="26">
        <v>3377980.0000000009</v>
      </c>
      <c r="V445" s="26">
        <v>6.0552594907446009</v>
      </c>
      <c r="W445" s="26">
        <v>0</v>
      </c>
      <c r="X445" s="26">
        <v>500</v>
      </c>
    </row>
    <row r="446" spans="1:24">
      <c r="A446" s="24" t="str">
        <f t="shared" si="76"/>
        <v>러닝</v>
      </c>
      <c r="B446" s="24" t="str">
        <f>IF(COUNTIF(Q$1:Q445,Q446)=0,"최초","리오더")</f>
        <v>최초</v>
      </c>
      <c r="C446" s="24" t="str">
        <f t="shared" si="77"/>
        <v>HCUMIE3001</v>
      </c>
      <c r="D446" s="24">
        <f t="shared" si="72"/>
        <v>1</v>
      </c>
      <c r="E446" s="24" t="str">
        <f t="shared" si="78"/>
        <v/>
      </c>
      <c r="F446" s="24">
        <f t="shared" si="73"/>
        <v>0</v>
      </c>
      <c r="G446" s="24" t="str">
        <f t="shared" si="79"/>
        <v>HCUMIE3001GY</v>
      </c>
      <c r="H446" s="24">
        <f t="shared" si="74"/>
        <v>1</v>
      </c>
      <c r="I446" s="24" t="str">
        <f t="shared" si="80"/>
        <v/>
      </c>
      <c r="J446" s="24">
        <f t="shared" si="75"/>
        <v>0</v>
      </c>
      <c r="K446" s="24" t="str">
        <f t="shared" si="81"/>
        <v>E3</v>
      </c>
      <c r="L446" s="24" t="str">
        <f>VLOOKUP(N446,CODE!K:P,CODE!$P$1,FALSE)</f>
        <v>모자</v>
      </c>
      <c r="M446" s="24" t="str">
        <f>VLOOKUP(MID(Q446,1,3),CODE!$B:$G,CODE!D$1,FALSE)</f>
        <v>HCU</v>
      </c>
      <c r="N446" s="24" t="str">
        <f t="shared" si="82"/>
        <v>MI</v>
      </c>
      <c r="O446" s="29" t="str">
        <f>IF(ISERROR(IF(VLOOKUP($N446,CODE!$K:$P,CODE!$O$1,FALSE)="",$M446,$M446&amp;"-"&amp;VLOOKUP($N446,CODE!$K:$P,CODE!$O$1,FALSE)))=TRUE,"",IF(VLOOKUP($N446,CODE!$K:$P,CODE!$O$1,FALSE)="",$M446,$M446&amp;"-"&amp;VLOOKUP($N446,CODE!$K:$P,CODE!$O$1,FALSE)))</f>
        <v>HCU</v>
      </c>
      <c r="P446" s="29" t="str">
        <f t="shared" si="83"/>
        <v>HCUMIE3001</v>
      </c>
      <c r="Q446" s="1" t="s">
        <v>1235</v>
      </c>
      <c r="R446" s="1" t="s">
        <v>14</v>
      </c>
      <c r="S446" s="26">
        <v>700</v>
      </c>
      <c r="T446" s="26">
        <v>31500000</v>
      </c>
      <c r="U446" s="26">
        <v>4017153</v>
      </c>
      <c r="V446" s="26">
        <v>7.1285220245192633</v>
      </c>
      <c r="W446" s="26">
        <v>0</v>
      </c>
      <c r="X446" s="26">
        <v>700</v>
      </c>
    </row>
    <row r="447" spans="1:24">
      <c r="A447" s="24" t="str">
        <f t="shared" si="76"/>
        <v>러닝</v>
      </c>
      <c r="B447" s="24" t="str">
        <f>IF(COUNTIF(Q$1:Q446,Q447)=0,"최초","리오더")</f>
        <v>최초</v>
      </c>
      <c r="C447" s="24" t="str">
        <f t="shared" si="77"/>
        <v>HCUMIE3010</v>
      </c>
      <c r="D447" s="24">
        <f t="shared" si="72"/>
        <v>1</v>
      </c>
      <c r="E447" s="24" t="str">
        <f t="shared" si="78"/>
        <v/>
      </c>
      <c r="F447" s="24">
        <f t="shared" si="73"/>
        <v>0</v>
      </c>
      <c r="G447" s="24" t="str">
        <f t="shared" si="79"/>
        <v>HCUMIE3010BK</v>
      </c>
      <c r="H447" s="24">
        <f t="shared" si="74"/>
        <v>1</v>
      </c>
      <c r="I447" s="24" t="str">
        <f t="shared" si="80"/>
        <v/>
      </c>
      <c r="J447" s="24">
        <f t="shared" si="75"/>
        <v>0</v>
      </c>
      <c r="K447" s="24" t="str">
        <f t="shared" si="81"/>
        <v>E3</v>
      </c>
      <c r="L447" s="24" t="str">
        <f>VLOOKUP(N447,CODE!K:P,CODE!$P$1,FALSE)</f>
        <v>모자</v>
      </c>
      <c r="M447" s="24" t="str">
        <f>VLOOKUP(MID(Q447,1,3),CODE!$B:$G,CODE!D$1,FALSE)</f>
        <v>HCU</v>
      </c>
      <c r="N447" s="24" t="str">
        <f t="shared" si="82"/>
        <v>MI</v>
      </c>
      <c r="O447" s="29" t="str">
        <f>IF(ISERROR(IF(VLOOKUP($N447,CODE!$K:$P,CODE!$O$1,FALSE)="",$M447,$M447&amp;"-"&amp;VLOOKUP($N447,CODE!$K:$P,CODE!$O$1,FALSE)))=TRUE,"",IF(VLOOKUP($N447,CODE!$K:$P,CODE!$O$1,FALSE)="",$M447,$M447&amp;"-"&amp;VLOOKUP($N447,CODE!$K:$P,CODE!$O$1,FALSE)))</f>
        <v>HCU</v>
      </c>
      <c r="P447" s="29" t="str">
        <f t="shared" si="83"/>
        <v>HCUMIE3010</v>
      </c>
      <c r="Q447" s="1" t="s">
        <v>1236</v>
      </c>
      <c r="R447" s="1" t="s">
        <v>14</v>
      </c>
      <c r="S447" s="26">
        <v>1200</v>
      </c>
      <c r="T447" s="26">
        <v>54000000</v>
      </c>
      <c r="U447" s="26">
        <v>7032456</v>
      </c>
      <c r="V447" s="26">
        <v>6.9806208657272917</v>
      </c>
      <c r="W447" s="26">
        <v>0</v>
      </c>
      <c r="X447" s="26">
        <v>1200</v>
      </c>
    </row>
    <row r="448" spans="1:24" hidden="1">
      <c r="A448" s="24" t="str">
        <f t="shared" si="76"/>
        <v>러닝</v>
      </c>
      <c r="B448" s="24" t="str">
        <f>IF(COUNTIF(Q$1:Q447,Q448)=0,"최초","리오더")</f>
        <v>리오더</v>
      </c>
      <c r="C448" s="24" t="str">
        <f t="shared" si="77"/>
        <v/>
      </c>
      <c r="D448" s="24">
        <f t="shared" si="72"/>
        <v>0</v>
      </c>
      <c r="E448" s="24" t="str">
        <f t="shared" si="78"/>
        <v>VBLBAE3003</v>
      </c>
      <c r="F448" s="24">
        <f t="shared" si="73"/>
        <v>1</v>
      </c>
      <c r="G448" s="24" t="str">
        <f t="shared" si="79"/>
        <v/>
      </c>
      <c r="H448" s="24">
        <f t="shared" si="74"/>
        <v>0</v>
      </c>
      <c r="I448" s="24" t="str">
        <f t="shared" si="80"/>
        <v>VBLBAE3003BK</v>
      </c>
      <c r="J448" s="24">
        <f t="shared" si="75"/>
        <v>1</v>
      </c>
      <c r="K448" s="24" t="str">
        <f t="shared" si="81"/>
        <v>E3</v>
      </c>
      <c r="L448" s="24" t="str">
        <f>VLOOKUP(N448,CODE!K:P,CODE!$P$1,FALSE)</f>
        <v>모자</v>
      </c>
      <c r="M448" s="24" t="str">
        <f>VLOOKUP(MID(Q448,1,3),CODE!$B:$G,CODE!D$1,FALSE)</f>
        <v>VBL</v>
      </c>
      <c r="N448" s="24" t="str">
        <f t="shared" si="82"/>
        <v>BA</v>
      </c>
      <c r="O448" s="29" t="str">
        <f>IF(ISERROR(IF(VLOOKUP($N448,CODE!$K:$P,CODE!$O$1,FALSE)="",$M448,$M448&amp;"-"&amp;VLOOKUP($N448,CODE!$K:$P,CODE!$O$1,FALSE)))=TRUE,"",IF(VLOOKUP($N448,CODE!$K:$P,CODE!$O$1,FALSE)="",$M448,$M448&amp;"-"&amp;VLOOKUP($N448,CODE!$K:$P,CODE!$O$1,FALSE)))</f>
        <v>VBL</v>
      </c>
      <c r="P448" s="29" t="str">
        <f t="shared" si="83"/>
        <v>VBLBAE3003</v>
      </c>
      <c r="Q448" s="1" t="s">
        <v>921</v>
      </c>
      <c r="R448" s="1" t="s">
        <v>14</v>
      </c>
      <c r="S448" s="26">
        <v>700</v>
      </c>
      <c r="T448" s="26">
        <v>30100000</v>
      </c>
      <c r="U448" s="26">
        <v>6664000</v>
      </c>
      <c r="V448" s="26">
        <v>4.1061879297173407</v>
      </c>
      <c r="W448" s="26">
        <v>700</v>
      </c>
      <c r="X448" s="26">
        <v>0</v>
      </c>
    </row>
    <row r="449" spans="1:24">
      <c r="A449" s="24" t="str">
        <f t="shared" si="76"/>
        <v>러닝</v>
      </c>
      <c r="B449" s="24" t="str">
        <f>IF(COUNTIF(Q$1:Q448,Q449)=0,"최초","리오더")</f>
        <v>최초</v>
      </c>
      <c r="C449" s="24" t="str">
        <f t="shared" si="77"/>
        <v>BMDBAE3202</v>
      </c>
      <c r="D449" s="24">
        <f t="shared" si="72"/>
        <v>0.25</v>
      </c>
      <c r="E449" s="24" t="str">
        <f t="shared" si="78"/>
        <v/>
      </c>
      <c r="F449" s="24">
        <f t="shared" si="73"/>
        <v>0</v>
      </c>
      <c r="G449" s="24" t="str">
        <f t="shared" si="79"/>
        <v>BMDBAE3202OR</v>
      </c>
      <c r="H449" s="24">
        <f t="shared" si="74"/>
        <v>1</v>
      </c>
      <c r="I449" s="24" t="str">
        <f t="shared" si="80"/>
        <v/>
      </c>
      <c r="J449" s="24">
        <f t="shared" si="75"/>
        <v>0</v>
      </c>
      <c r="K449" s="24" t="str">
        <f t="shared" si="81"/>
        <v>E3</v>
      </c>
      <c r="L449" s="24" t="str">
        <f>VLOOKUP(N449,CODE!K:P,CODE!$P$1,FALSE)</f>
        <v>모자</v>
      </c>
      <c r="M449" s="24" t="str">
        <f>VLOOKUP(MID(Q449,1,3),CODE!$B:$G,CODE!D$1,FALSE)</f>
        <v>BMD</v>
      </c>
      <c r="N449" s="24" t="str">
        <f t="shared" si="82"/>
        <v>BA</v>
      </c>
      <c r="O449" s="29" t="str">
        <f>IF(ISERROR(IF(VLOOKUP($N449,CODE!$K:$P,CODE!$O$1,FALSE)="",$M449,$M449&amp;"-"&amp;VLOOKUP($N449,CODE!$K:$P,CODE!$O$1,FALSE)))=TRUE,"",IF(VLOOKUP($N449,CODE!$K:$P,CODE!$O$1,FALSE)="",$M449,$M449&amp;"-"&amp;VLOOKUP($N449,CODE!$K:$P,CODE!$O$1,FALSE)))</f>
        <v>BMD</v>
      </c>
      <c r="P449" s="29" t="str">
        <f t="shared" si="83"/>
        <v>BMDBAE3202</v>
      </c>
      <c r="Q449" s="1" t="s">
        <v>1237</v>
      </c>
      <c r="R449" s="1" t="s">
        <v>14</v>
      </c>
      <c r="S449" s="26">
        <v>500</v>
      </c>
      <c r="T449" s="26">
        <v>27500000</v>
      </c>
      <c r="U449" s="26">
        <v>4510000</v>
      </c>
      <c r="V449" s="26">
        <v>5.5432372505543235</v>
      </c>
      <c r="W449" s="26">
        <v>0</v>
      </c>
      <c r="X449" s="26">
        <v>500</v>
      </c>
    </row>
    <row r="450" spans="1:24">
      <c r="A450" s="24" t="str">
        <f t="shared" si="76"/>
        <v>러닝</v>
      </c>
      <c r="B450" s="24" t="str">
        <f>IF(COUNTIF(Q$1:Q449,Q450)=0,"최초","리오더")</f>
        <v>최초</v>
      </c>
      <c r="C450" s="24" t="str">
        <f t="shared" si="77"/>
        <v>PLAUME3203</v>
      </c>
      <c r="D450" s="24">
        <f t="shared" ref="D450:D513" si="84">IF(C450="",0,1/COUNTIF(C:C,C450))</f>
        <v>1</v>
      </c>
      <c r="E450" s="24" t="str">
        <f t="shared" si="78"/>
        <v/>
      </c>
      <c r="F450" s="24">
        <f t="shared" ref="F450:F513" si="85">IF(E450="",0,1/COUNTIF(E:E,E450))</f>
        <v>0</v>
      </c>
      <c r="G450" s="24" t="str">
        <f t="shared" si="79"/>
        <v>PLAUME3203BK</v>
      </c>
      <c r="H450" s="24">
        <f t="shared" ref="H450:H513" si="86">IF(G450="",0,1/COUNTIF(G:G,G450))</f>
        <v>1</v>
      </c>
      <c r="I450" s="24" t="str">
        <f t="shared" si="80"/>
        <v/>
      </c>
      <c r="J450" s="24">
        <f t="shared" ref="J450:J513" si="87">IF(I450="",0,1/COUNTIF(I:I,I450))</f>
        <v>0</v>
      </c>
      <c r="K450" s="24" t="str">
        <f t="shared" si="81"/>
        <v>E3</v>
      </c>
      <c r="L450" s="24" t="str">
        <f>VLOOKUP(N450,CODE!K:P,CODE!$P$1,FALSE)</f>
        <v>모자</v>
      </c>
      <c r="M450" s="24" t="str">
        <f>VLOOKUP(MID(Q450,1,3),CODE!$B:$G,CODE!D$1,FALSE)</f>
        <v>PLA</v>
      </c>
      <c r="N450" s="24" t="str">
        <f t="shared" si="82"/>
        <v>UM</v>
      </c>
      <c r="O450" s="29" t="str">
        <f>IF(ISERROR(IF(VLOOKUP($N450,CODE!$K:$P,CODE!$O$1,FALSE)="",$M450,$M450&amp;"-"&amp;VLOOKUP($N450,CODE!$K:$P,CODE!$O$1,FALSE)))=TRUE,"",IF(VLOOKUP($N450,CODE!$K:$P,CODE!$O$1,FALSE)="",$M450,$M450&amp;"-"&amp;VLOOKUP($N450,CODE!$K:$P,CODE!$O$1,FALSE)))</f>
        <v>PLA</v>
      </c>
      <c r="P450" s="29" t="str">
        <f t="shared" si="83"/>
        <v>PLAUME3203</v>
      </c>
      <c r="Q450" s="1" t="s">
        <v>1238</v>
      </c>
      <c r="R450" s="1" t="s">
        <v>14</v>
      </c>
      <c r="S450" s="26">
        <v>1500</v>
      </c>
      <c r="T450" s="26">
        <v>88500000</v>
      </c>
      <c r="U450" s="26">
        <v>11600820.000000002</v>
      </c>
      <c r="V450" s="26">
        <v>6.9352464269375291</v>
      </c>
      <c r="W450" s="26">
        <v>0</v>
      </c>
      <c r="X450" s="26">
        <v>1500</v>
      </c>
    </row>
    <row r="451" spans="1:24">
      <c r="A451" s="24" t="str">
        <f t="shared" ref="A451:A514" si="88">IF(OR(MID(Q451,8,1)="3",MID(Q451,8,1)="8"),"신규","러닝")</f>
        <v>러닝</v>
      </c>
      <c r="B451" s="24" t="str">
        <f>IF(COUNTIF(Q$1:Q450,Q451)=0,"최초","리오더")</f>
        <v>최초</v>
      </c>
      <c r="C451" s="24" t="str">
        <f t="shared" ref="C451:C514" si="89">IF($B451="리오더","",P451)</f>
        <v>PLAUME3208</v>
      </c>
      <c r="D451" s="24">
        <f t="shared" si="84"/>
        <v>1</v>
      </c>
      <c r="E451" s="24" t="str">
        <f t="shared" ref="E451:E514" si="90">IF($B451="리오더",P451,"")</f>
        <v/>
      </c>
      <c r="F451" s="24">
        <f t="shared" si="85"/>
        <v>0</v>
      </c>
      <c r="G451" s="24" t="str">
        <f t="shared" ref="G451:G514" si="91">IF($B451="리오더","",Q451)</f>
        <v>PLAUME3208GR</v>
      </c>
      <c r="H451" s="24">
        <f t="shared" si="86"/>
        <v>1</v>
      </c>
      <c r="I451" s="24" t="str">
        <f t="shared" ref="I451:I514" si="92">IF($B451="리오더",Q451,"")</f>
        <v/>
      </c>
      <c r="J451" s="24">
        <f t="shared" si="87"/>
        <v>0</v>
      </c>
      <c r="K451" s="24" t="str">
        <f t="shared" ref="K451:K514" si="93">MID(Q451,6,2)</f>
        <v>E3</v>
      </c>
      <c r="L451" s="24" t="str">
        <f>VLOOKUP(N451,CODE!K:P,CODE!$P$1,FALSE)</f>
        <v>모자</v>
      </c>
      <c r="M451" s="24" t="str">
        <f>VLOOKUP(MID(Q451,1,3),CODE!$B:$G,CODE!D$1,FALSE)</f>
        <v>PLA</v>
      </c>
      <c r="N451" s="24" t="str">
        <f t="shared" ref="N451:N514" si="94">MID(Q451,4,2)</f>
        <v>UM</v>
      </c>
      <c r="O451" s="29" t="str">
        <f>IF(ISERROR(IF(VLOOKUP($N451,CODE!$K:$P,CODE!$O$1,FALSE)="",$M451,$M451&amp;"-"&amp;VLOOKUP($N451,CODE!$K:$P,CODE!$O$1,FALSE)))=TRUE,"",IF(VLOOKUP($N451,CODE!$K:$P,CODE!$O$1,FALSE)="",$M451,$M451&amp;"-"&amp;VLOOKUP($N451,CODE!$K:$P,CODE!$O$1,FALSE)))</f>
        <v>PLA</v>
      </c>
      <c r="P451" s="29" t="str">
        <f t="shared" ref="P451:P514" si="95">MID(Q451,1,10)</f>
        <v>PLAUME3208</v>
      </c>
      <c r="Q451" s="1" t="s">
        <v>1239</v>
      </c>
      <c r="R451" s="1" t="s">
        <v>14</v>
      </c>
      <c r="S451" s="26">
        <v>500</v>
      </c>
      <c r="T451" s="26">
        <v>29500000</v>
      </c>
      <c r="U451" s="26">
        <v>3866940.0000000005</v>
      </c>
      <c r="V451" s="26">
        <v>6.93524642693753</v>
      </c>
      <c r="W451" s="26">
        <v>0</v>
      </c>
      <c r="X451" s="26">
        <v>500</v>
      </c>
    </row>
    <row r="452" spans="1:24">
      <c r="A452" s="24" t="str">
        <f t="shared" si="88"/>
        <v>러닝</v>
      </c>
      <c r="B452" s="24" t="str">
        <f>IF(COUNTIF(Q$1:Q451,Q452)=0,"최초","리오더")</f>
        <v>최초</v>
      </c>
      <c r="C452" s="24" t="str">
        <f t="shared" si="89"/>
        <v>HCUMIE3008</v>
      </c>
      <c r="D452" s="24">
        <f t="shared" si="84"/>
        <v>0.5</v>
      </c>
      <c r="E452" s="24" t="str">
        <f t="shared" si="90"/>
        <v/>
      </c>
      <c r="F452" s="24">
        <f t="shared" si="85"/>
        <v>0</v>
      </c>
      <c r="G452" s="24" t="str">
        <f t="shared" si="91"/>
        <v>HCUMIE3008BK</v>
      </c>
      <c r="H452" s="24">
        <f t="shared" si="86"/>
        <v>1</v>
      </c>
      <c r="I452" s="24" t="str">
        <f t="shared" si="92"/>
        <v/>
      </c>
      <c r="J452" s="24">
        <f t="shared" si="87"/>
        <v>0</v>
      </c>
      <c r="K452" s="24" t="str">
        <f t="shared" si="93"/>
        <v>E3</v>
      </c>
      <c r="L452" s="24" t="str">
        <f>VLOOKUP(N452,CODE!K:P,CODE!$P$1,FALSE)</f>
        <v>모자</v>
      </c>
      <c r="M452" s="24" t="str">
        <f>VLOOKUP(MID(Q452,1,3),CODE!$B:$G,CODE!D$1,FALSE)</f>
        <v>HCU</v>
      </c>
      <c r="N452" s="24" t="str">
        <f t="shared" si="94"/>
        <v>MI</v>
      </c>
      <c r="O452" s="29" t="str">
        <f>IF(ISERROR(IF(VLOOKUP($N452,CODE!$K:$P,CODE!$O$1,FALSE)="",$M452,$M452&amp;"-"&amp;VLOOKUP($N452,CODE!$K:$P,CODE!$O$1,FALSE)))=TRUE,"",IF(VLOOKUP($N452,CODE!$K:$P,CODE!$O$1,FALSE)="",$M452,$M452&amp;"-"&amp;VLOOKUP($N452,CODE!$K:$P,CODE!$O$1,FALSE)))</f>
        <v>HCU</v>
      </c>
      <c r="P452" s="29" t="str">
        <f t="shared" si="95"/>
        <v>HCUMIE3008</v>
      </c>
      <c r="Q452" s="1" t="s">
        <v>1240</v>
      </c>
      <c r="R452" s="1" t="s">
        <v>14</v>
      </c>
      <c r="S452" s="26">
        <v>1000</v>
      </c>
      <c r="T452" s="26">
        <v>49000000</v>
      </c>
      <c r="U452" s="26">
        <v>9520000</v>
      </c>
      <c r="V452" s="26">
        <v>4.6791443850267376</v>
      </c>
      <c r="W452" s="26">
        <v>0</v>
      </c>
      <c r="X452" s="26">
        <v>1000</v>
      </c>
    </row>
    <row r="453" spans="1:24">
      <c r="A453" s="24" t="str">
        <f t="shared" si="88"/>
        <v>러닝</v>
      </c>
      <c r="B453" s="24" t="str">
        <f>IF(COUNTIF(Q$1:Q452,Q453)=0,"최초","리오더")</f>
        <v>최초</v>
      </c>
      <c r="C453" s="24" t="str">
        <f t="shared" si="89"/>
        <v>HCUMIE3008</v>
      </c>
      <c r="D453" s="24">
        <f t="shared" si="84"/>
        <v>0.5</v>
      </c>
      <c r="E453" s="24" t="str">
        <f t="shared" si="90"/>
        <v/>
      </c>
      <c r="F453" s="24">
        <f t="shared" si="85"/>
        <v>0</v>
      </c>
      <c r="G453" s="24" t="str">
        <f t="shared" si="91"/>
        <v>HCUMIE3008KH</v>
      </c>
      <c r="H453" s="24">
        <f t="shared" si="86"/>
        <v>1</v>
      </c>
      <c r="I453" s="24" t="str">
        <f t="shared" si="92"/>
        <v/>
      </c>
      <c r="J453" s="24">
        <f t="shared" si="87"/>
        <v>0</v>
      </c>
      <c r="K453" s="24" t="str">
        <f t="shared" si="93"/>
        <v>E3</v>
      </c>
      <c r="L453" s="24" t="str">
        <f>VLOOKUP(N453,CODE!K:P,CODE!$P$1,FALSE)</f>
        <v>모자</v>
      </c>
      <c r="M453" s="24" t="str">
        <f>VLOOKUP(MID(Q453,1,3),CODE!$B:$G,CODE!D$1,FALSE)</f>
        <v>HCU</v>
      </c>
      <c r="N453" s="24" t="str">
        <f t="shared" si="94"/>
        <v>MI</v>
      </c>
      <c r="O453" s="29" t="str">
        <f>IF(ISERROR(IF(VLOOKUP($N453,CODE!$K:$P,CODE!$O$1,FALSE)="",$M453,$M453&amp;"-"&amp;VLOOKUP($N453,CODE!$K:$P,CODE!$O$1,FALSE)))=TRUE,"",IF(VLOOKUP($N453,CODE!$K:$P,CODE!$O$1,FALSE)="",$M453,$M453&amp;"-"&amp;VLOOKUP($N453,CODE!$K:$P,CODE!$O$1,FALSE)))</f>
        <v>HCU</v>
      </c>
      <c r="P453" s="29" t="str">
        <f t="shared" si="95"/>
        <v>HCUMIE3008</v>
      </c>
      <c r="Q453" s="1" t="s">
        <v>1241</v>
      </c>
      <c r="R453" s="1" t="s">
        <v>14</v>
      </c>
      <c r="S453" s="26">
        <v>1000</v>
      </c>
      <c r="T453" s="26">
        <v>49000000</v>
      </c>
      <c r="U453" s="26">
        <v>9520000</v>
      </c>
      <c r="V453" s="26">
        <v>4.6791443850267376</v>
      </c>
      <c r="W453" s="26">
        <v>0</v>
      </c>
      <c r="X453" s="26">
        <v>1000</v>
      </c>
    </row>
    <row r="454" spans="1:24">
      <c r="A454" s="24" t="str">
        <f t="shared" si="88"/>
        <v>러닝</v>
      </c>
      <c r="B454" s="24" t="str">
        <f>IF(COUNTIF(Q$1:Q453,Q454)=0,"최초","리오더")</f>
        <v>최초</v>
      </c>
      <c r="C454" s="24" t="str">
        <f t="shared" si="89"/>
        <v>HCUMIE3109</v>
      </c>
      <c r="D454" s="24">
        <f t="shared" si="84"/>
        <v>1</v>
      </c>
      <c r="E454" s="24" t="str">
        <f t="shared" si="90"/>
        <v/>
      </c>
      <c r="F454" s="24">
        <f t="shared" si="85"/>
        <v>0</v>
      </c>
      <c r="G454" s="24" t="str">
        <f t="shared" si="91"/>
        <v>HCUMIE3109GY</v>
      </c>
      <c r="H454" s="24">
        <f t="shared" si="86"/>
        <v>1</v>
      </c>
      <c r="I454" s="24" t="str">
        <f t="shared" si="92"/>
        <v/>
      </c>
      <c r="J454" s="24">
        <f t="shared" si="87"/>
        <v>0</v>
      </c>
      <c r="K454" s="24" t="str">
        <f t="shared" si="93"/>
        <v>E3</v>
      </c>
      <c r="L454" s="24" t="str">
        <f>VLOOKUP(N454,CODE!K:P,CODE!$P$1,FALSE)</f>
        <v>모자</v>
      </c>
      <c r="M454" s="24" t="str">
        <f>VLOOKUP(MID(Q454,1,3),CODE!$B:$G,CODE!D$1,FALSE)</f>
        <v>HCU</v>
      </c>
      <c r="N454" s="24" t="str">
        <f t="shared" si="94"/>
        <v>MI</v>
      </c>
      <c r="O454" s="29" t="str">
        <f>IF(ISERROR(IF(VLOOKUP($N454,CODE!$K:$P,CODE!$O$1,FALSE)="",$M454,$M454&amp;"-"&amp;VLOOKUP($N454,CODE!$K:$P,CODE!$O$1,FALSE)))=TRUE,"",IF(VLOOKUP($N454,CODE!$K:$P,CODE!$O$1,FALSE)="",$M454,$M454&amp;"-"&amp;VLOOKUP($N454,CODE!$K:$P,CODE!$O$1,FALSE)))</f>
        <v>HCU</v>
      </c>
      <c r="P454" s="29" t="str">
        <f t="shared" si="95"/>
        <v>HCUMIE3109</v>
      </c>
      <c r="Q454" s="1" t="s">
        <v>1242</v>
      </c>
      <c r="R454" s="1" t="s">
        <v>14</v>
      </c>
      <c r="S454" s="26">
        <v>800</v>
      </c>
      <c r="T454" s="26">
        <v>44000000</v>
      </c>
      <c r="U454" s="26">
        <v>7229600</v>
      </c>
      <c r="V454" s="26">
        <v>5.5328095606949201</v>
      </c>
      <c r="W454" s="26">
        <v>0</v>
      </c>
      <c r="X454" s="26">
        <v>800</v>
      </c>
    </row>
    <row r="455" spans="1:24">
      <c r="A455" s="24" t="str">
        <f t="shared" si="88"/>
        <v>러닝</v>
      </c>
      <c r="B455" s="24" t="str">
        <f>IF(COUNTIF(Q$1:Q454,Q455)=0,"최초","리오더")</f>
        <v>최초</v>
      </c>
      <c r="C455" s="24" t="str">
        <f t="shared" si="89"/>
        <v>HCUMIE3110</v>
      </c>
      <c r="D455" s="24">
        <f t="shared" si="84"/>
        <v>1</v>
      </c>
      <c r="E455" s="24" t="str">
        <f t="shared" si="90"/>
        <v/>
      </c>
      <c r="F455" s="24">
        <f t="shared" si="85"/>
        <v>0</v>
      </c>
      <c r="G455" s="24" t="str">
        <f t="shared" si="91"/>
        <v>HCUMIE3110GY</v>
      </c>
      <c r="H455" s="24">
        <f t="shared" si="86"/>
        <v>1</v>
      </c>
      <c r="I455" s="24" t="str">
        <f t="shared" si="92"/>
        <v/>
      </c>
      <c r="J455" s="24">
        <f t="shared" si="87"/>
        <v>0</v>
      </c>
      <c r="K455" s="24" t="str">
        <f t="shared" si="93"/>
        <v>E3</v>
      </c>
      <c r="L455" s="24" t="str">
        <f>VLOOKUP(N455,CODE!K:P,CODE!$P$1,FALSE)</f>
        <v>모자</v>
      </c>
      <c r="M455" s="24" t="str">
        <f>VLOOKUP(MID(Q455,1,3),CODE!$B:$G,CODE!D$1,FALSE)</f>
        <v>HCU</v>
      </c>
      <c r="N455" s="24" t="str">
        <f t="shared" si="94"/>
        <v>MI</v>
      </c>
      <c r="O455" s="29" t="str">
        <f>IF(ISERROR(IF(VLOOKUP($N455,CODE!$K:$P,CODE!$O$1,FALSE)="",$M455,$M455&amp;"-"&amp;VLOOKUP($N455,CODE!$K:$P,CODE!$O$1,FALSE)))=TRUE,"",IF(VLOOKUP($N455,CODE!$K:$P,CODE!$O$1,FALSE)="",$M455,$M455&amp;"-"&amp;VLOOKUP($N455,CODE!$K:$P,CODE!$O$1,FALSE)))</f>
        <v>HCU</v>
      </c>
      <c r="P455" s="29" t="str">
        <f t="shared" si="95"/>
        <v>HCUMIE3110</v>
      </c>
      <c r="Q455" s="1" t="s">
        <v>1243</v>
      </c>
      <c r="R455" s="1" t="s">
        <v>14</v>
      </c>
      <c r="S455" s="26">
        <v>800</v>
      </c>
      <c r="T455" s="26">
        <v>47200000</v>
      </c>
      <c r="U455" s="26">
        <v>6253040.0000000009</v>
      </c>
      <c r="V455" s="26">
        <v>6.8621168118372662</v>
      </c>
      <c r="W455" s="26">
        <v>0</v>
      </c>
      <c r="X455" s="26">
        <v>800</v>
      </c>
    </row>
    <row r="456" spans="1:24">
      <c r="A456" s="24" t="str">
        <f t="shared" si="88"/>
        <v>러닝</v>
      </c>
      <c r="B456" s="24" t="str">
        <f>IF(COUNTIF(Q$1:Q455,Q456)=0,"최초","리오더")</f>
        <v>최초</v>
      </c>
      <c r="C456" s="24" t="str">
        <f t="shared" si="89"/>
        <v>VBLBAE3101</v>
      </c>
      <c r="D456" s="24">
        <f t="shared" si="84"/>
        <v>1</v>
      </c>
      <c r="E456" s="24" t="str">
        <f t="shared" si="90"/>
        <v/>
      </c>
      <c r="F456" s="24">
        <f t="shared" si="85"/>
        <v>0</v>
      </c>
      <c r="G456" s="24" t="str">
        <f t="shared" si="91"/>
        <v>VBLBAE3101GY</v>
      </c>
      <c r="H456" s="24">
        <f t="shared" si="86"/>
        <v>1</v>
      </c>
      <c r="I456" s="24" t="str">
        <f t="shared" si="92"/>
        <v/>
      </c>
      <c r="J456" s="24">
        <f t="shared" si="87"/>
        <v>0</v>
      </c>
      <c r="K456" s="24" t="str">
        <f t="shared" si="93"/>
        <v>E3</v>
      </c>
      <c r="L456" s="24" t="str">
        <f>VLOOKUP(N456,CODE!K:P,CODE!$P$1,FALSE)</f>
        <v>모자</v>
      </c>
      <c r="M456" s="24" t="str">
        <f>VLOOKUP(MID(Q456,1,3),CODE!$B:$G,CODE!D$1,FALSE)</f>
        <v>VBL</v>
      </c>
      <c r="N456" s="24" t="str">
        <f t="shared" si="94"/>
        <v>BA</v>
      </c>
      <c r="O456" s="29" t="str">
        <f>IF(ISERROR(IF(VLOOKUP($N456,CODE!$K:$P,CODE!$O$1,FALSE)="",$M456,$M456&amp;"-"&amp;VLOOKUP($N456,CODE!$K:$P,CODE!$O$1,FALSE)))=TRUE,"",IF(VLOOKUP($N456,CODE!$K:$P,CODE!$O$1,FALSE)="",$M456,$M456&amp;"-"&amp;VLOOKUP($N456,CODE!$K:$P,CODE!$O$1,FALSE)))</f>
        <v>VBL</v>
      </c>
      <c r="P456" s="29" t="str">
        <f t="shared" si="95"/>
        <v>VBLBAE3101</v>
      </c>
      <c r="Q456" s="1" t="s">
        <v>1244</v>
      </c>
      <c r="R456" s="1" t="s">
        <v>14</v>
      </c>
      <c r="S456" s="26">
        <v>1000</v>
      </c>
      <c r="T456" s="26">
        <v>59000000</v>
      </c>
      <c r="U456" s="26">
        <v>12520000</v>
      </c>
      <c r="V456" s="26">
        <v>4.2840546035434208</v>
      </c>
      <c r="W456" s="26">
        <v>0</v>
      </c>
      <c r="X456" s="26">
        <v>1000</v>
      </c>
    </row>
    <row r="457" spans="1:24">
      <c r="A457" s="24" t="str">
        <f t="shared" si="88"/>
        <v>러닝</v>
      </c>
      <c r="B457" s="24" t="str">
        <f>IF(COUNTIF(Q$1:Q456,Q457)=0,"최초","리오더")</f>
        <v>최초</v>
      </c>
      <c r="C457" s="24" t="str">
        <f t="shared" si="89"/>
        <v>VBLBAE3107</v>
      </c>
      <c r="D457" s="24">
        <f t="shared" si="84"/>
        <v>1</v>
      </c>
      <c r="E457" s="24" t="str">
        <f t="shared" si="90"/>
        <v/>
      </c>
      <c r="F457" s="24">
        <f t="shared" si="85"/>
        <v>0</v>
      </c>
      <c r="G457" s="24" t="str">
        <f t="shared" si="91"/>
        <v>VBLBAE3107NY</v>
      </c>
      <c r="H457" s="24">
        <f t="shared" si="86"/>
        <v>1</v>
      </c>
      <c r="I457" s="24" t="str">
        <f t="shared" si="92"/>
        <v/>
      </c>
      <c r="J457" s="24">
        <f t="shared" si="87"/>
        <v>0</v>
      </c>
      <c r="K457" s="24" t="str">
        <f t="shared" si="93"/>
        <v>E3</v>
      </c>
      <c r="L457" s="24" t="str">
        <f>VLOOKUP(N457,CODE!K:P,CODE!$P$1,FALSE)</f>
        <v>모자</v>
      </c>
      <c r="M457" s="24" t="str">
        <f>VLOOKUP(MID(Q457,1,3),CODE!$B:$G,CODE!D$1,FALSE)</f>
        <v>VBL</v>
      </c>
      <c r="N457" s="24" t="str">
        <f t="shared" si="94"/>
        <v>BA</v>
      </c>
      <c r="O457" s="29" t="str">
        <f>IF(ISERROR(IF(VLOOKUP($N457,CODE!$K:$P,CODE!$O$1,FALSE)="",$M457,$M457&amp;"-"&amp;VLOOKUP($N457,CODE!$K:$P,CODE!$O$1,FALSE)))=TRUE,"",IF(VLOOKUP($N457,CODE!$K:$P,CODE!$O$1,FALSE)="",$M457,$M457&amp;"-"&amp;VLOOKUP($N457,CODE!$K:$P,CODE!$O$1,FALSE)))</f>
        <v>VBL</v>
      </c>
      <c r="P457" s="29" t="str">
        <f t="shared" si="95"/>
        <v>VBLBAE3107</v>
      </c>
      <c r="Q457" s="1" t="s">
        <v>1245</v>
      </c>
      <c r="R457" s="1" t="s">
        <v>14</v>
      </c>
      <c r="S457" s="26">
        <v>1000</v>
      </c>
      <c r="T457" s="26">
        <v>55000000</v>
      </c>
      <c r="U457" s="26">
        <v>11020000</v>
      </c>
      <c r="V457" s="26">
        <v>4.5372050816696907</v>
      </c>
      <c r="W457" s="26">
        <v>0</v>
      </c>
      <c r="X457" s="26">
        <v>1000</v>
      </c>
    </row>
    <row r="458" spans="1:24">
      <c r="A458" s="24" t="str">
        <f t="shared" si="88"/>
        <v>러닝</v>
      </c>
      <c r="B458" s="24" t="str">
        <f>IF(COUNTIF(Q$1:Q457,Q458)=0,"최초","리오더")</f>
        <v>최초</v>
      </c>
      <c r="C458" s="24" t="str">
        <f t="shared" si="89"/>
        <v>ELSERE5022</v>
      </c>
      <c r="D458" s="24">
        <f t="shared" si="84"/>
        <v>1</v>
      </c>
      <c r="E458" s="24" t="str">
        <f t="shared" si="90"/>
        <v/>
      </c>
      <c r="F458" s="24">
        <f t="shared" si="85"/>
        <v>0</v>
      </c>
      <c r="G458" s="24" t="str">
        <f t="shared" si="91"/>
        <v>ELSERE5022NY</v>
      </c>
      <c r="H458" s="24">
        <f t="shared" si="86"/>
        <v>1</v>
      </c>
      <c r="I458" s="24" t="str">
        <f t="shared" si="92"/>
        <v/>
      </c>
      <c r="J458" s="24">
        <f t="shared" si="87"/>
        <v>0</v>
      </c>
      <c r="K458" s="24" t="str">
        <f t="shared" si="93"/>
        <v>E5</v>
      </c>
      <c r="L458" s="24" t="str">
        <f>VLOOKUP(N458,CODE!K:P,CODE!$P$1,FALSE)</f>
        <v>모자</v>
      </c>
      <c r="M458" s="24" t="str">
        <f>VLOOKUP(MID(Q458,1,3),CODE!$B:$G,CODE!D$1,FALSE)</f>
        <v>ELS</v>
      </c>
      <c r="N458" s="24" t="str">
        <f t="shared" si="94"/>
        <v>ER</v>
      </c>
      <c r="O458" s="29" t="str">
        <f>IF(ISERROR(IF(VLOOKUP($N458,CODE!$K:$P,CODE!$O$1,FALSE)="",$M458,$M458&amp;"-"&amp;VLOOKUP($N458,CODE!$K:$P,CODE!$O$1,FALSE)))=TRUE,"",IF(VLOOKUP($N458,CODE!$K:$P,CODE!$O$1,FALSE)="",$M458,$M458&amp;"-"&amp;VLOOKUP($N458,CODE!$K:$P,CODE!$O$1,FALSE)))</f>
        <v>ELS</v>
      </c>
      <c r="P458" s="29" t="str">
        <f t="shared" si="95"/>
        <v>ELSERE5022</v>
      </c>
      <c r="Q458" s="1" t="s">
        <v>1246</v>
      </c>
      <c r="R458" s="1" t="s">
        <v>14</v>
      </c>
      <c r="S458" s="26">
        <v>1200</v>
      </c>
      <c r="T458" s="26">
        <v>70800000</v>
      </c>
      <c r="U458" s="26">
        <v>11400288</v>
      </c>
      <c r="V458" s="26">
        <v>5.6457903838601586</v>
      </c>
      <c r="W458" s="26">
        <v>0</v>
      </c>
      <c r="X458" s="26">
        <v>1200</v>
      </c>
    </row>
    <row r="459" spans="1:24">
      <c r="A459" s="24" t="str">
        <f t="shared" si="88"/>
        <v>러닝</v>
      </c>
      <c r="B459" s="24" t="str">
        <f>IF(COUNTIF(Q$1:Q458,Q459)=0,"최초","리오더")</f>
        <v>최초</v>
      </c>
      <c r="C459" s="24" t="str">
        <f t="shared" si="89"/>
        <v>ELSERE5144</v>
      </c>
      <c r="D459" s="24">
        <f t="shared" si="84"/>
        <v>1</v>
      </c>
      <c r="E459" s="24" t="str">
        <f t="shared" si="90"/>
        <v/>
      </c>
      <c r="F459" s="24">
        <f t="shared" si="85"/>
        <v>0</v>
      </c>
      <c r="G459" s="24" t="str">
        <f t="shared" si="91"/>
        <v>ELSERE5144RE</v>
      </c>
      <c r="H459" s="24">
        <f t="shared" si="86"/>
        <v>1</v>
      </c>
      <c r="I459" s="24" t="str">
        <f t="shared" si="92"/>
        <v/>
      </c>
      <c r="J459" s="24">
        <f t="shared" si="87"/>
        <v>0</v>
      </c>
      <c r="K459" s="24" t="str">
        <f t="shared" si="93"/>
        <v>E5</v>
      </c>
      <c r="L459" s="24" t="str">
        <f>VLOOKUP(N459,CODE!K:P,CODE!$P$1,FALSE)</f>
        <v>모자</v>
      </c>
      <c r="M459" s="24" t="str">
        <f>VLOOKUP(MID(Q459,1,3),CODE!$B:$G,CODE!D$1,FALSE)</f>
        <v>ELS</v>
      </c>
      <c r="N459" s="24" t="str">
        <f t="shared" si="94"/>
        <v>ER</v>
      </c>
      <c r="O459" s="29" t="str">
        <f>IF(ISERROR(IF(VLOOKUP($N459,CODE!$K:$P,CODE!$O$1,FALSE)="",$M459,$M459&amp;"-"&amp;VLOOKUP($N459,CODE!$K:$P,CODE!$O$1,FALSE)))=TRUE,"",IF(VLOOKUP($N459,CODE!$K:$P,CODE!$O$1,FALSE)="",$M459,$M459&amp;"-"&amp;VLOOKUP($N459,CODE!$K:$P,CODE!$O$1,FALSE)))</f>
        <v>ELS</v>
      </c>
      <c r="P459" s="29" t="str">
        <f t="shared" si="95"/>
        <v>ELSERE5144</v>
      </c>
      <c r="Q459" s="1" t="s">
        <v>1247</v>
      </c>
      <c r="R459" s="1" t="s">
        <v>14</v>
      </c>
      <c r="S459" s="26">
        <v>3000</v>
      </c>
      <c r="T459" s="26">
        <v>207000000</v>
      </c>
      <c r="U459" s="26">
        <v>31386270</v>
      </c>
      <c r="V459" s="26">
        <v>5.9956732093943685</v>
      </c>
      <c r="W459" s="26">
        <v>0</v>
      </c>
      <c r="X459" s="26">
        <v>3000</v>
      </c>
    </row>
    <row r="460" spans="1:24">
      <c r="A460" s="24" t="str">
        <f t="shared" si="88"/>
        <v>러닝</v>
      </c>
      <c r="B460" s="24" t="str">
        <f>IF(COUNTIF(Q$1:Q459,Q460)=0,"최초","리오더")</f>
        <v>최초</v>
      </c>
      <c r="C460" s="24" t="str">
        <f t="shared" si="89"/>
        <v>ELSERE5644</v>
      </c>
      <c r="D460" s="24">
        <f t="shared" si="84"/>
        <v>1</v>
      </c>
      <c r="E460" s="24" t="str">
        <f t="shared" si="90"/>
        <v/>
      </c>
      <c r="F460" s="24">
        <f t="shared" si="85"/>
        <v>0</v>
      </c>
      <c r="G460" s="24" t="str">
        <f t="shared" si="91"/>
        <v>ELSERE5644RE</v>
      </c>
      <c r="H460" s="24">
        <f t="shared" si="86"/>
        <v>1</v>
      </c>
      <c r="I460" s="24" t="str">
        <f t="shared" si="92"/>
        <v/>
      </c>
      <c r="J460" s="24">
        <f t="shared" si="87"/>
        <v>0</v>
      </c>
      <c r="K460" s="24" t="str">
        <f t="shared" si="93"/>
        <v>E5</v>
      </c>
      <c r="L460" s="24" t="str">
        <f>VLOOKUP(N460,CODE!K:P,CODE!$P$1,FALSE)</f>
        <v>모자</v>
      </c>
      <c r="M460" s="24" t="str">
        <f>VLOOKUP(MID(Q460,1,3),CODE!$B:$G,CODE!D$1,FALSE)</f>
        <v>ELS</v>
      </c>
      <c r="N460" s="24" t="str">
        <f t="shared" si="94"/>
        <v>ER</v>
      </c>
      <c r="O460" s="29" t="str">
        <f>IF(ISERROR(IF(VLOOKUP($N460,CODE!$K:$P,CODE!$O$1,FALSE)="",$M460,$M460&amp;"-"&amp;VLOOKUP($N460,CODE!$K:$P,CODE!$O$1,FALSE)))=TRUE,"",IF(VLOOKUP($N460,CODE!$K:$P,CODE!$O$1,FALSE)="",$M460,$M460&amp;"-"&amp;VLOOKUP($N460,CODE!$K:$P,CODE!$O$1,FALSE)))</f>
        <v>ELS</v>
      </c>
      <c r="P460" s="29" t="str">
        <f t="shared" si="95"/>
        <v>ELSERE5644</v>
      </c>
      <c r="Q460" s="1" t="s">
        <v>1248</v>
      </c>
      <c r="R460" s="1" t="s">
        <v>14</v>
      </c>
      <c r="S460" s="26">
        <v>2000</v>
      </c>
      <c r="T460" s="26">
        <v>126000000</v>
      </c>
      <c r="U460" s="26">
        <v>19955989.999999996</v>
      </c>
      <c r="V460" s="26">
        <v>5.7399033846706962</v>
      </c>
      <c r="W460" s="26">
        <v>0</v>
      </c>
      <c r="X460" s="26">
        <v>2000</v>
      </c>
    </row>
    <row r="461" spans="1:24">
      <c r="A461" s="24" t="str">
        <f t="shared" si="88"/>
        <v>러닝</v>
      </c>
      <c r="B461" s="24" t="str">
        <f>IF(COUNTIF(Q$1:Q460,Q461)=0,"최초","리오더")</f>
        <v>최초</v>
      </c>
      <c r="C461" s="24" t="str">
        <f t="shared" si="89"/>
        <v>ELSERE5145</v>
      </c>
      <c r="D461" s="24">
        <f t="shared" si="84"/>
        <v>1</v>
      </c>
      <c r="E461" s="24" t="str">
        <f t="shared" si="90"/>
        <v/>
      </c>
      <c r="F461" s="24">
        <f t="shared" si="85"/>
        <v>0</v>
      </c>
      <c r="G461" s="24" t="str">
        <f t="shared" si="91"/>
        <v>ELSERE5145BK</v>
      </c>
      <c r="H461" s="24">
        <f t="shared" si="86"/>
        <v>1</v>
      </c>
      <c r="I461" s="24" t="str">
        <f t="shared" si="92"/>
        <v/>
      </c>
      <c r="J461" s="24">
        <f t="shared" si="87"/>
        <v>0</v>
      </c>
      <c r="K461" s="24" t="str">
        <f t="shared" si="93"/>
        <v>E5</v>
      </c>
      <c r="L461" s="24" t="str">
        <f>VLOOKUP(N461,CODE!K:P,CODE!$P$1,FALSE)</f>
        <v>모자</v>
      </c>
      <c r="M461" s="24" t="str">
        <f>VLOOKUP(MID(Q461,1,3),CODE!$B:$G,CODE!D$1,FALSE)</f>
        <v>ELS</v>
      </c>
      <c r="N461" s="24" t="str">
        <f t="shared" si="94"/>
        <v>ER</v>
      </c>
      <c r="O461" s="29" t="str">
        <f>IF(ISERROR(IF(VLOOKUP($N461,CODE!$K:$P,CODE!$O$1,FALSE)="",$M461,$M461&amp;"-"&amp;VLOOKUP($N461,CODE!$K:$P,CODE!$O$1,FALSE)))=TRUE,"",IF(VLOOKUP($N461,CODE!$K:$P,CODE!$O$1,FALSE)="",$M461,$M461&amp;"-"&amp;VLOOKUP($N461,CODE!$K:$P,CODE!$O$1,FALSE)))</f>
        <v>ELS</v>
      </c>
      <c r="P461" s="29" t="str">
        <f t="shared" si="95"/>
        <v>ELSERE5145</v>
      </c>
      <c r="Q461" s="1" t="s">
        <v>1249</v>
      </c>
      <c r="R461" s="1" t="s">
        <v>14</v>
      </c>
      <c r="S461" s="26">
        <v>2500</v>
      </c>
      <c r="T461" s="26">
        <v>172500000</v>
      </c>
      <c r="U461" s="26">
        <v>26277600.000000004</v>
      </c>
      <c r="V461" s="26">
        <v>5.9677513097916774</v>
      </c>
      <c r="W461" s="26">
        <v>0</v>
      </c>
      <c r="X461" s="26">
        <v>2500</v>
      </c>
    </row>
    <row r="462" spans="1:24">
      <c r="A462" s="24" t="str">
        <f t="shared" si="88"/>
        <v>신규</v>
      </c>
      <c r="B462" s="24" t="str">
        <f>IF(COUNTIF(Q$1:Q461,Q462)=0,"최초","리오더")</f>
        <v>최초</v>
      </c>
      <c r="C462" s="24" t="str">
        <f t="shared" si="89"/>
        <v>ELSFIE3325</v>
      </c>
      <c r="D462" s="24">
        <f t="shared" si="84"/>
        <v>1</v>
      </c>
      <c r="E462" s="24" t="str">
        <f t="shared" si="90"/>
        <v/>
      </c>
      <c r="F462" s="24">
        <f t="shared" si="85"/>
        <v>0</v>
      </c>
      <c r="G462" s="24" t="str">
        <f t="shared" si="91"/>
        <v>ELSFIE3325LI</v>
      </c>
      <c r="H462" s="24">
        <f t="shared" si="86"/>
        <v>1</v>
      </c>
      <c r="I462" s="24" t="str">
        <f t="shared" si="92"/>
        <v/>
      </c>
      <c r="J462" s="24">
        <f t="shared" si="87"/>
        <v>0</v>
      </c>
      <c r="K462" s="24" t="str">
        <f t="shared" si="93"/>
        <v>E3</v>
      </c>
      <c r="L462" s="24" t="str">
        <f>VLOOKUP(N462,CODE!K:P,CODE!$P$1,FALSE)</f>
        <v>모자</v>
      </c>
      <c r="M462" s="24" t="str">
        <f>VLOOKUP(MID(Q462,1,3),CODE!$B:$G,CODE!D$1,FALSE)</f>
        <v>ELS</v>
      </c>
      <c r="N462" s="24" t="str">
        <f t="shared" si="94"/>
        <v>FI</v>
      </c>
      <c r="O462" s="29" t="str">
        <f>IF(ISERROR(IF(VLOOKUP($N462,CODE!$K:$P,CODE!$O$1,FALSE)="",$M462,$M462&amp;"-"&amp;VLOOKUP($N462,CODE!$K:$P,CODE!$O$1,FALSE)))=TRUE,"",IF(VLOOKUP($N462,CODE!$K:$P,CODE!$O$1,FALSE)="",$M462,$M462&amp;"-"&amp;VLOOKUP($N462,CODE!$K:$P,CODE!$O$1,FALSE)))</f>
        <v>ELS</v>
      </c>
      <c r="P462" s="29" t="str">
        <f t="shared" si="95"/>
        <v>ELSFIE3325</v>
      </c>
      <c r="Q462" s="1" t="s">
        <v>1250</v>
      </c>
      <c r="R462" s="1" t="s">
        <v>14</v>
      </c>
      <c r="S462" s="26">
        <v>1000</v>
      </c>
      <c r="T462" s="26">
        <v>49000000</v>
      </c>
      <c r="U462" s="26">
        <v>6488000</v>
      </c>
      <c r="V462" s="26">
        <v>6.8658222172402192</v>
      </c>
      <c r="W462" s="26">
        <v>0</v>
      </c>
      <c r="X462" s="26">
        <v>1000</v>
      </c>
    </row>
    <row r="463" spans="1:24">
      <c r="A463" s="24" t="str">
        <f t="shared" si="88"/>
        <v>신규</v>
      </c>
      <c r="B463" s="24" t="str">
        <f>IF(COUNTIF(Q$1:Q462,Q463)=0,"최초","리오더")</f>
        <v>최초</v>
      </c>
      <c r="C463" s="24" t="str">
        <f t="shared" si="89"/>
        <v>ELSFIE3825</v>
      </c>
      <c r="D463" s="24">
        <f t="shared" si="84"/>
        <v>1</v>
      </c>
      <c r="E463" s="24" t="str">
        <f t="shared" si="90"/>
        <v/>
      </c>
      <c r="F463" s="24">
        <f t="shared" si="85"/>
        <v>0</v>
      </c>
      <c r="G463" s="24" t="str">
        <f t="shared" si="91"/>
        <v>ELSFIE3825LI</v>
      </c>
      <c r="H463" s="24">
        <f t="shared" si="86"/>
        <v>1</v>
      </c>
      <c r="I463" s="24" t="str">
        <f t="shared" si="92"/>
        <v/>
      </c>
      <c r="J463" s="24">
        <f t="shared" si="87"/>
        <v>0</v>
      </c>
      <c r="K463" s="24" t="str">
        <f t="shared" si="93"/>
        <v>E3</v>
      </c>
      <c r="L463" s="24" t="str">
        <f>VLOOKUP(N463,CODE!K:P,CODE!$P$1,FALSE)</f>
        <v>모자</v>
      </c>
      <c r="M463" s="24" t="str">
        <f>VLOOKUP(MID(Q463,1,3),CODE!$B:$G,CODE!D$1,FALSE)</f>
        <v>ELS</v>
      </c>
      <c r="N463" s="24" t="str">
        <f t="shared" si="94"/>
        <v>FI</v>
      </c>
      <c r="O463" s="29" t="str">
        <f>IF(ISERROR(IF(VLOOKUP($N463,CODE!$K:$P,CODE!$O$1,FALSE)="",$M463,$M463&amp;"-"&amp;VLOOKUP($N463,CODE!$K:$P,CODE!$O$1,FALSE)))=TRUE,"",IF(VLOOKUP($N463,CODE!$K:$P,CODE!$O$1,FALSE)="",$M463,$M463&amp;"-"&amp;VLOOKUP($N463,CODE!$K:$P,CODE!$O$1,FALSE)))</f>
        <v>ELS</v>
      </c>
      <c r="P463" s="29" t="str">
        <f t="shared" si="95"/>
        <v>ELSFIE3825</v>
      </c>
      <c r="Q463" s="1" t="s">
        <v>1251</v>
      </c>
      <c r="R463" s="1" t="s">
        <v>14</v>
      </c>
      <c r="S463" s="26">
        <v>1000</v>
      </c>
      <c r="T463" s="26">
        <v>43000000</v>
      </c>
      <c r="U463" s="26">
        <v>6372500</v>
      </c>
      <c r="V463" s="26">
        <v>6.1343129212882053</v>
      </c>
      <c r="W463" s="26">
        <v>0</v>
      </c>
      <c r="X463" s="26">
        <v>1000</v>
      </c>
    </row>
    <row r="464" spans="1:24">
      <c r="A464" s="24" t="str">
        <f t="shared" si="88"/>
        <v>신규</v>
      </c>
      <c r="B464" s="24" t="str">
        <f>IF(COUNTIF(Q$1:Q463,Q464)=0,"최초","리오더")</f>
        <v>최초</v>
      </c>
      <c r="C464" s="24" t="str">
        <f t="shared" si="89"/>
        <v>ELSFIE3326</v>
      </c>
      <c r="D464" s="24">
        <f t="shared" si="84"/>
        <v>0.5</v>
      </c>
      <c r="E464" s="24" t="str">
        <f t="shared" si="90"/>
        <v/>
      </c>
      <c r="F464" s="24">
        <f t="shared" si="85"/>
        <v>0</v>
      </c>
      <c r="G464" s="24" t="str">
        <f t="shared" si="91"/>
        <v>ELSFIE3326KH</v>
      </c>
      <c r="H464" s="24">
        <f t="shared" si="86"/>
        <v>1</v>
      </c>
      <c r="I464" s="24" t="str">
        <f t="shared" si="92"/>
        <v/>
      </c>
      <c r="J464" s="24">
        <f t="shared" si="87"/>
        <v>0</v>
      </c>
      <c r="K464" s="24" t="str">
        <f t="shared" si="93"/>
        <v>E3</v>
      </c>
      <c r="L464" s="24" t="str">
        <f>VLOOKUP(N464,CODE!K:P,CODE!$P$1,FALSE)</f>
        <v>모자</v>
      </c>
      <c r="M464" s="24" t="str">
        <f>VLOOKUP(MID(Q464,1,3),CODE!$B:$G,CODE!D$1,FALSE)</f>
        <v>ELS</v>
      </c>
      <c r="N464" s="24" t="str">
        <f t="shared" si="94"/>
        <v>FI</v>
      </c>
      <c r="O464" s="29" t="str">
        <f>IF(ISERROR(IF(VLOOKUP($N464,CODE!$K:$P,CODE!$O$1,FALSE)="",$M464,$M464&amp;"-"&amp;VLOOKUP($N464,CODE!$K:$P,CODE!$O$1,FALSE)))=TRUE,"",IF(VLOOKUP($N464,CODE!$K:$P,CODE!$O$1,FALSE)="",$M464,$M464&amp;"-"&amp;VLOOKUP($N464,CODE!$K:$P,CODE!$O$1,FALSE)))</f>
        <v>ELS</v>
      </c>
      <c r="P464" s="29" t="str">
        <f t="shared" si="95"/>
        <v>ELSFIE3326</v>
      </c>
      <c r="Q464" s="1" t="s">
        <v>1252</v>
      </c>
      <c r="R464" s="1" t="s">
        <v>14</v>
      </c>
      <c r="S464" s="26">
        <v>1200</v>
      </c>
      <c r="T464" s="26">
        <v>58800000</v>
      </c>
      <c r="U464" s="26">
        <v>6954000</v>
      </c>
      <c r="V464" s="26">
        <v>7.6868774021491868</v>
      </c>
      <c r="W464" s="26">
        <v>0</v>
      </c>
      <c r="X464" s="26">
        <v>1200</v>
      </c>
    </row>
    <row r="465" spans="1:24">
      <c r="A465" s="24" t="str">
        <f t="shared" si="88"/>
        <v>신규</v>
      </c>
      <c r="B465" s="24" t="str">
        <f>IF(COUNTIF(Q$1:Q464,Q465)=0,"최초","리오더")</f>
        <v>최초</v>
      </c>
      <c r="C465" s="24" t="str">
        <f t="shared" si="89"/>
        <v>ELSFIE3826</v>
      </c>
      <c r="D465" s="24">
        <f t="shared" si="84"/>
        <v>0.5</v>
      </c>
      <c r="E465" s="24" t="str">
        <f t="shared" si="90"/>
        <v/>
      </c>
      <c r="F465" s="24">
        <f t="shared" si="85"/>
        <v>0</v>
      </c>
      <c r="G465" s="24" t="str">
        <f t="shared" si="91"/>
        <v>ELSFIE3826KH</v>
      </c>
      <c r="H465" s="24">
        <f t="shared" si="86"/>
        <v>1</v>
      </c>
      <c r="I465" s="24" t="str">
        <f t="shared" si="92"/>
        <v/>
      </c>
      <c r="J465" s="24">
        <f t="shared" si="87"/>
        <v>0</v>
      </c>
      <c r="K465" s="24" t="str">
        <f t="shared" si="93"/>
        <v>E3</v>
      </c>
      <c r="L465" s="24" t="str">
        <f>VLOOKUP(N465,CODE!K:P,CODE!$P$1,FALSE)</f>
        <v>모자</v>
      </c>
      <c r="M465" s="24" t="str">
        <f>VLOOKUP(MID(Q465,1,3),CODE!$B:$G,CODE!D$1,FALSE)</f>
        <v>ELS</v>
      </c>
      <c r="N465" s="24" t="str">
        <f t="shared" si="94"/>
        <v>FI</v>
      </c>
      <c r="O465" s="29" t="str">
        <f>IF(ISERROR(IF(VLOOKUP($N465,CODE!$K:$P,CODE!$O$1,FALSE)="",$M465,$M465&amp;"-"&amp;VLOOKUP($N465,CODE!$K:$P,CODE!$O$1,FALSE)))=TRUE,"",IF(VLOOKUP($N465,CODE!$K:$P,CODE!$O$1,FALSE)="",$M465,$M465&amp;"-"&amp;VLOOKUP($N465,CODE!$K:$P,CODE!$O$1,FALSE)))</f>
        <v>ELS</v>
      </c>
      <c r="P465" s="29" t="str">
        <f t="shared" si="95"/>
        <v>ELSFIE3826</v>
      </c>
      <c r="Q465" s="1" t="s">
        <v>1253</v>
      </c>
      <c r="R465" s="1" t="s">
        <v>14</v>
      </c>
      <c r="S465" s="26">
        <v>1200</v>
      </c>
      <c r="T465" s="26">
        <v>51600000</v>
      </c>
      <c r="U465" s="26">
        <v>6815400.0000000009</v>
      </c>
      <c r="V465" s="26">
        <v>6.8828081857397798</v>
      </c>
      <c r="W465" s="26">
        <v>0</v>
      </c>
      <c r="X465" s="26">
        <v>1200</v>
      </c>
    </row>
    <row r="466" spans="1:24">
      <c r="A466" s="24" t="str">
        <f t="shared" si="88"/>
        <v>신규</v>
      </c>
      <c r="B466" s="24" t="str">
        <f>IF(COUNTIF(Q$1:Q465,Q466)=0,"최초","리오더")</f>
        <v>최초</v>
      </c>
      <c r="C466" s="24" t="str">
        <f t="shared" si="89"/>
        <v>ELSFIE3326</v>
      </c>
      <c r="D466" s="24">
        <f t="shared" si="84"/>
        <v>0.5</v>
      </c>
      <c r="E466" s="24" t="str">
        <f t="shared" si="90"/>
        <v/>
      </c>
      <c r="F466" s="24">
        <f t="shared" si="85"/>
        <v>0</v>
      </c>
      <c r="G466" s="24" t="str">
        <f t="shared" si="91"/>
        <v>ELSFIE3326RE</v>
      </c>
      <c r="H466" s="24">
        <f t="shared" si="86"/>
        <v>1</v>
      </c>
      <c r="I466" s="24" t="str">
        <f t="shared" si="92"/>
        <v/>
      </c>
      <c r="J466" s="24">
        <f t="shared" si="87"/>
        <v>0</v>
      </c>
      <c r="K466" s="24" t="str">
        <f t="shared" si="93"/>
        <v>E3</v>
      </c>
      <c r="L466" s="24" t="str">
        <f>VLOOKUP(N466,CODE!K:P,CODE!$P$1,FALSE)</f>
        <v>모자</v>
      </c>
      <c r="M466" s="24" t="str">
        <f>VLOOKUP(MID(Q466,1,3),CODE!$B:$G,CODE!D$1,FALSE)</f>
        <v>ELS</v>
      </c>
      <c r="N466" s="24" t="str">
        <f t="shared" si="94"/>
        <v>FI</v>
      </c>
      <c r="O466" s="29" t="str">
        <f>IF(ISERROR(IF(VLOOKUP($N466,CODE!$K:$P,CODE!$O$1,FALSE)="",$M466,$M466&amp;"-"&amp;VLOOKUP($N466,CODE!$K:$P,CODE!$O$1,FALSE)))=TRUE,"",IF(VLOOKUP($N466,CODE!$K:$P,CODE!$O$1,FALSE)="",$M466,$M466&amp;"-"&amp;VLOOKUP($N466,CODE!$K:$P,CODE!$O$1,FALSE)))</f>
        <v>ELS</v>
      </c>
      <c r="P466" s="29" t="str">
        <f t="shared" si="95"/>
        <v>ELSFIE3326</v>
      </c>
      <c r="Q466" s="1" t="s">
        <v>1254</v>
      </c>
      <c r="R466" s="1" t="s">
        <v>14</v>
      </c>
      <c r="S466" s="26">
        <v>1200</v>
      </c>
      <c r="T466" s="26">
        <v>58800000</v>
      </c>
      <c r="U466" s="26">
        <v>6954000</v>
      </c>
      <c r="V466" s="26">
        <v>7.6868774021491868</v>
      </c>
      <c r="W466" s="26">
        <v>0</v>
      </c>
      <c r="X466" s="26">
        <v>1200</v>
      </c>
    </row>
    <row r="467" spans="1:24">
      <c r="A467" s="24" t="str">
        <f t="shared" si="88"/>
        <v>신규</v>
      </c>
      <c r="B467" s="24" t="str">
        <f>IF(COUNTIF(Q$1:Q466,Q467)=0,"최초","리오더")</f>
        <v>최초</v>
      </c>
      <c r="C467" s="24" t="str">
        <f t="shared" si="89"/>
        <v>ELSFIE3826</v>
      </c>
      <c r="D467" s="24">
        <f t="shared" si="84"/>
        <v>0.5</v>
      </c>
      <c r="E467" s="24" t="str">
        <f t="shared" si="90"/>
        <v/>
      </c>
      <c r="F467" s="24">
        <f t="shared" si="85"/>
        <v>0</v>
      </c>
      <c r="G467" s="24" t="str">
        <f t="shared" si="91"/>
        <v>ELSFIE3826RE</v>
      </c>
      <c r="H467" s="24">
        <f t="shared" si="86"/>
        <v>1</v>
      </c>
      <c r="I467" s="24" t="str">
        <f t="shared" si="92"/>
        <v/>
      </c>
      <c r="J467" s="24">
        <f t="shared" si="87"/>
        <v>0</v>
      </c>
      <c r="K467" s="24" t="str">
        <f t="shared" si="93"/>
        <v>E3</v>
      </c>
      <c r="L467" s="24" t="str">
        <f>VLOOKUP(N467,CODE!K:P,CODE!$P$1,FALSE)</f>
        <v>모자</v>
      </c>
      <c r="M467" s="24" t="str">
        <f>VLOOKUP(MID(Q467,1,3),CODE!$B:$G,CODE!D$1,FALSE)</f>
        <v>ELS</v>
      </c>
      <c r="N467" s="24" t="str">
        <f t="shared" si="94"/>
        <v>FI</v>
      </c>
      <c r="O467" s="29" t="str">
        <f>IF(ISERROR(IF(VLOOKUP($N467,CODE!$K:$P,CODE!$O$1,FALSE)="",$M467,$M467&amp;"-"&amp;VLOOKUP($N467,CODE!$K:$P,CODE!$O$1,FALSE)))=TRUE,"",IF(VLOOKUP($N467,CODE!$K:$P,CODE!$O$1,FALSE)="",$M467,$M467&amp;"-"&amp;VLOOKUP($N467,CODE!$K:$P,CODE!$O$1,FALSE)))</f>
        <v>ELS</v>
      </c>
      <c r="P467" s="29" t="str">
        <f t="shared" si="95"/>
        <v>ELSFIE3826</v>
      </c>
      <c r="Q467" s="1" t="s">
        <v>1255</v>
      </c>
      <c r="R467" s="1" t="s">
        <v>14</v>
      </c>
      <c r="S467" s="26">
        <v>1200</v>
      </c>
      <c r="T467" s="26">
        <v>51600000</v>
      </c>
      <c r="U467" s="26">
        <v>6815400.0000000009</v>
      </c>
      <c r="V467" s="26">
        <v>6.8828081857397798</v>
      </c>
      <c r="W467" s="26">
        <v>0</v>
      </c>
      <c r="X467" s="26">
        <v>1200</v>
      </c>
    </row>
    <row r="468" spans="1:24">
      <c r="A468" s="24" t="str">
        <f t="shared" si="88"/>
        <v>신규</v>
      </c>
      <c r="B468" s="24" t="str">
        <f>IF(COUNTIF(Q$1:Q467,Q468)=0,"최초","리오더")</f>
        <v>최초</v>
      </c>
      <c r="C468" s="24" t="str">
        <f t="shared" si="89"/>
        <v>ELSMIE3327</v>
      </c>
      <c r="D468" s="24">
        <f t="shared" si="84"/>
        <v>1</v>
      </c>
      <c r="E468" s="24" t="str">
        <f t="shared" si="90"/>
        <v/>
      </c>
      <c r="F468" s="24">
        <f t="shared" si="85"/>
        <v>0</v>
      </c>
      <c r="G468" s="24" t="str">
        <f t="shared" si="91"/>
        <v>ELSMIE3327BK</v>
      </c>
      <c r="H468" s="24">
        <f t="shared" si="86"/>
        <v>1</v>
      </c>
      <c r="I468" s="24" t="str">
        <f t="shared" si="92"/>
        <v/>
      </c>
      <c r="J468" s="24">
        <f t="shared" si="87"/>
        <v>0</v>
      </c>
      <c r="K468" s="24" t="str">
        <f t="shared" si="93"/>
        <v>E3</v>
      </c>
      <c r="L468" s="24" t="str">
        <f>VLOOKUP(N468,CODE!K:P,CODE!$P$1,FALSE)</f>
        <v>모자</v>
      </c>
      <c r="M468" s="24" t="str">
        <f>VLOOKUP(MID(Q468,1,3),CODE!$B:$G,CODE!D$1,FALSE)</f>
        <v>ELS</v>
      </c>
      <c r="N468" s="24" t="str">
        <f t="shared" si="94"/>
        <v>MI</v>
      </c>
      <c r="O468" s="29" t="str">
        <f>IF(ISERROR(IF(VLOOKUP($N468,CODE!$K:$P,CODE!$O$1,FALSE)="",$M468,$M468&amp;"-"&amp;VLOOKUP($N468,CODE!$K:$P,CODE!$O$1,FALSE)))=TRUE,"",IF(VLOOKUP($N468,CODE!$K:$P,CODE!$O$1,FALSE)="",$M468,$M468&amp;"-"&amp;VLOOKUP($N468,CODE!$K:$P,CODE!$O$1,FALSE)))</f>
        <v>ELS</v>
      </c>
      <c r="P468" s="29" t="str">
        <f t="shared" si="95"/>
        <v>ELSMIE3327</v>
      </c>
      <c r="Q468" s="1" t="s">
        <v>1256</v>
      </c>
      <c r="R468" s="1" t="s">
        <v>14</v>
      </c>
      <c r="S468" s="26">
        <v>800</v>
      </c>
      <c r="T468" s="26">
        <v>39200000</v>
      </c>
      <c r="U468" s="26">
        <v>7188080</v>
      </c>
      <c r="V468" s="26">
        <v>4.9577027017456166</v>
      </c>
      <c r="W468" s="26">
        <v>0</v>
      </c>
      <c r="X468" s="26">
        <v>800</v>
      </c>
    </row>
    <row r="469" spans="1:24">
      <c r="A469" s="24" t="str">
        <f t="shared" si="88"/>
        <v>러닝</v>
      </c>
      <c r="B469" s="24" t="str">
        <f>IF(COUNTIF(Q$1:Q468,Q469)=0,"최초","리오더")</f>
        <v>최초</v>
      </c>
      <c r="C469" s="24" t="str">
        <f t="shared" si="89"/>
        <v>ELSBEE5149</v>
      </c>
      <c r="D469" s="24">
        <f t="shared" si="84"/>
        <v>1</v>
      </c>
      <c r="E469" s="24" t="str">
        <f t="shared" si="90"/>
        <v/>
      </c>
      <c r="F469" s="24">
        <f t="shared" si="85"/>
        <v>0</v>
      </c>
      <c r="G469" s="24" t="str">
        <f t="shared" si="91"/>
        <v>ELSBEE5149BK</v>
      </c>
      <c r="H469" s="24">
        <f t="shared" si="86"/>
        <v>1</v>
      </c>
      <c r="I469" s="24" t="str">
        <f t="shared" si="92"/>
        <v/>
      </c>
      <c r="J469" s="24">
        <f t="shared" si="87"/>
        <v>0</v>
      </c>
      <c r="K469" s="24" t="str">
        <f t="shared" si="93"/>
        <v>E5</v>
      </c>
      <c r="L469" s="24" t="str">
        <f>VLOOKUP(N469,CODE!K:P,CODE!$P$1,FALSE)</f>
        <v>모자</v>
      </c>
      <c r="M469" s="24" t="str">
        <f>VLOOKUP(MID(Q469,1,3),CODE!$B:$G,CODE!D$1,FALSE)</f>
        <v>ELS</v>
      </c>
      <c r="N469" s="24" t="str">
        <f t="shared" si="94"/>
        <v>BE</v>
      </c>
      <c r="O469" s="29" t="str">
        <f>IF(ISERROR(IF(VLOOKUP($N469,CODE!$K:$P,CODE!$O$1,FALSE)="",$M469,$M469&amp;"-"&amp;VLOOKUP($N469,CODE!$K:$P,CODE!$O$1,FALSE)))=TRUE,"",IF(VLOOKUP($N469,CODE!$K:$P,CODE!$O$1,FALSE)="",$M469,$M469&amp;"-"&amp;VLOOKUP($N469,CODE!$K:$P,CODE!$O$1,FALSE)))</f>
        <v>ELS</v>
      </c>
      <c r="P469" s="29" t="str">
        <f t="shared" si="95"/>
        <v>ELSBEE5149</v>
      </c>
      <c r="Q469" s="1" t="s">
        <v>1257</v>
      </c>
      <c r="R469" s="1" t="s">
        <v>14</v>
      </c>
      <c r="S469" s="26">
        <v>700</v>
      </c>
      <c r="T469" s="26">
        <v>30100000</v>
      </c>
      <c r="U469" s="26">
        <v>3943310.0000000009</v>
      </c>
      <c r="V469" s="26">
        <v>6.939255692206892</v>
      </c>
      <c r="W469" s="26">
        <v>0</v>
      </c>
      <c r="X469" s="26">
        <v>700</v>
      </c>
    </row>
    <row r="470" spans="1:24">
      <c r="A470" s="24" t="str">
        <f t="shared" si="88"/>
        <v>신규</v>
      </c>
      <c r="B470" s="24" t="str">
        <f>IF(COUNTIF(Q$1:Q469,Q470)=0,"최초","리오더")</f>
        <v>최초</v>
      </c>
      <c r="C470" s="24" t="str">
        <f t="shared" si="89"/>
        <v>ELSEBE5328</v>
      </c>
      <c r="D470" s="24">
        <f t="shared" si="84"/>
        <v>0.5</v>
      </c>
      <c r="E470" s="24" t="str">
        <f t="shared" si="90"/>
        <v/>
      </c>
      <c r="F470" s="24">
        <f t="shared" si="85"/>
        <v>0</v>
      </c>
      <c r="G470" s="24" t="str">
        <f t="shared" si="91"/>
        <v>ELSEBE5328GY</v>
      </c>
      <c r="H470" s="24">
        <f t="shared" si="86"/>
        <v>1</v>
      </c>
      <c r="I470" s="24" t="str">
        <f t="shared" si="92"/>
        <v/>
      </c>
      <c r="J470" s="24">
        <f t="shared" si="87"/>
        <v>0</v>
      </c>
      <c r="K470" s="24" t="str">
        <f t="shared" si="93"/>
        <v>E5</v>
      </c>
      <c r="L470" s="24" t="str">
        <f>VLOOKUP(N470,CODE!K:P,CODE!$P$1,FALSE)</f>
        <v>모자</v>
      </c>
      <c r="M470" s="24" t="str">
        <f>VLOOKUP(MID(Q470,1,3),CODE!$B:$G,CODE!D$1,FALSE)</f>
        <v>ELS</v>
      </c>
      <c r="N470" s="24" t="str">
        <f t="shared" si="94"/>
        <v>EB</v>
      </c>
      <c r="O470" s="29" t="str">
        <f>IF(ISERROR(IF(VLOOKUP($N470,CODE!$K:$P,CODE!$O$1,FALSE)="",$M470,$M470&amp;"-"&amp;VLOOKUP($N470,CODE!$K:$P,CODE!$O$1,FALSE)))=TRUE,"",IF(VLOOKUP($N470,CODE!$K:$P,CODE!$O$1,FALSE)="",$M470,$M470&amp;"-"&amp;VLOOKUP($N470,CODE!$K:$P,CODE!$O$1,FALSE)))</f>
        <v>ELS</v>
      </c>
      <c r="P470" s="29" t="str">
        <f t="shared" si="95"/>
        <v>ELSEBE5328</v>
      </c>
      <c r="Q470" s="1" t="s">
        <v>1258</v>
      </c>
      <c r="R470" s="1" t="s">
        <v>14</v>
      </c>
      <c r="S470" s="26">
        <v>700</v>
      </c>
      <c r="T470" s="26">
        <v>34300000</v>
      </c>
      <c r="U470" s="26">
        <v>5929562.0000000009</v>
      </c>
      <c r="V470" s="26">
        <v>5.2587051424402302</v>
      </c>
      <c r="W470" s="26">
        <v>0</v>
      </c>
      <c r="X470" s="26">
        <v>700</v>
      </c>
    </row>
    <row r="471" spans="1:24">
      <c r="A471" s="24" t="str">
        <f t="shared" si="88"/>
        <v>신규</v>
      </c>
      <c r="B471" s="24" t="str">
        <f>IF(COUNTIF(Q$1:Q470,Q471)=0,"최초","리오더")</f>
        <v>최초</v>
      </c>
      <c r="C471" s="24" t="str">
        <f t="shared" si="89"/>
        <v>ELSEBE5828</v>
      </c>
      <c r="D471" s="24">
        <f t="shared" si="84"/>
        <v>0.5</v>
      </c>
      <c r="E471" s="24" t="str">
        <f t="shared" si="90"/>
        <v/>
      </c>
      <c r="F471" s="24">
        <f t="shared" si="85"/>
        <v>0</v>
      </c>
      <c r="G471" s="24" t="str">
        <f t="shared" si="91"/>
        <v>ELSEBE5828GY</v>
      </c>
      <c r="H471" s="24">
        <f t="shared" si="86"/>
        <v>1</v>
      </c>
      <c r="I471" s="24" t="str">
        <f t="shared" si="92"/>
        <v/>
      </c>
      <c r="J471" s="24">
        <f t="shared" si="87"/>
        <v>0</v>
      </c>
      <c r="K471" s="24" t="str">
        <f t="shared" si="93"/>
        <v>E5</v>
      </c>
      <c r="L471" s="24" t="str">
        <f>VLOOKUP(N471,CODE!K:P,CODE!$P$1,FALSE)</f>
        <v>모자</v>
      </c>
      <c r="M471" s="24" t="str">
        <f>VLOOKUP(MID(Q471,1,3),CODE!$B:$G,CODE!D$1,FALSE)</f>
        <v>ELS</v>
      </c>
      <c r="N471" s="24" t="str">
        <f t="shared" si="94"/>
        <v>EB</v>
      </c>
      <c r="O471" s="29" t="str">
        <f>IF(ISERROR(IF(VLOOKUP($N471,CODE!$K:$P,CODE!$O$1,FALSE)="",$M471,$M471&amp;"-"&amp;VLOOKUP($N471,CODE!$K:$P,CODE!$O$1,FALSE)))=TRUE,"",IF(VLOOKUP($N471,CODE!$K:$P,CODE!$O$1,FALSE)="",$M471,$M471&amp;"-"&amp;VLOOKUP($N471,CODE!$K:$P,CODE!$O$1,FALSE)))</f>
        <v>ELS</v>
      </c>
      <c r="P471" s="29" t="str">
        <f t="shared" si="95"/>
        <v>ELSEBE5828</v>
      </c>
      <c r="Q471" s="1" t="s">
        <v>1259</v>
      </c>
      <c r="R471" s="1" t="s">
        <v>14</v>
      </c>
      <c r="S471" s="26">
        <v>700</v>
      </c>
      <c r="T471" s="26">
        <v>31500000</v>
      </c>
      <c r="U471" s="26">
        <v>5623826.0000000009</v>
      </c>
      <c r="V471" s="26">
        <v>5.0919718420099818</v>
      </c>
      <c r="W471" s="26">
        <v>0</v>
      </c>
      <c r="X471" s="26">
        <v>700</v>
      </c>
    </row>
    <row r="472" spans="1:24">
      <c r="A472" s="24" t="str">
        <f t="shared" si="88"/>
        <v>신규</v>
      </c>
      <c r="B472" s="24" t="str">
        <f>IF(COUNTIF(Q$1:Q471,Q472)=0,"최초","리오더")</f>
        <v>최초</v>
      </c>
      <c r="C472" s="24" t="str">
        <f t="shared" si="89"/>
        <v>ELSEBE5328</v>
      </c>
      <c r="D472" s="24">
        <f t="shared" si="84"/>
        <v>0.5</v>
      </c>
      <c r="E472" s="24" t="str">
        <f t="shared" si="90"/>
        <v/>
      </c>
      <c r="F472" s="24">
        <f t="shared" si="85"/>
        <v>0</v>
      </c>
      <c r="G472" s="24" t="str">
        <f t="shared" si="91"/>
        <v>ELSEBE5328MT</v>
      </c>
      <c r="H472" s="24">
        <f t="shared" si="86"/>
        <v>1</v>
      </c>
      <c r="I472" s="24" t="str">
        <f t="shared" si="92"/>
        <v/>
      </c>
      <c r="J472" s="24">
        <f t="shared" si="87"/>
        <v>0</v>
      </c>
      <c r="K472" s="24" t="str">
        <f t="shared" si="93"/>
        <v>E5</v>
      </c>
      <c r="L472" s="24" t="str">
        <f>VLOOKUP(N472,CODE!K:P,CODE!$P$1,FALSE)</f>
        <v>모자</v>
      </c>
      <c r="M472" s="24" t="str">
        <f>VLOOKUP(MID(Q472,1,3),CODE!$B:$G,CODE!D$1,FALSE)</f>
        <v>ELS</v>
      </c>
      <c r="N472" s="24" t="str">
        <f t="shared" si="94"/>
        <v>EB</v>
      </c>
      <c r="O472" s="29" t="str">
        <f>IF(ISERROR(IF(VLOOKUP($N472,CODE!$K:$P,CODE!$O$1,FALSE)="",$M472,$M472&amp;"-"&amp;VLOOKUP($N472,CODE!$K:$P,CODE!$O$1,FALSE)))=TRUE,"",IF(VLOOKUP($N472,CODE!$K:$P,CODE!$O$1,FALSE)="",$M472,$M472&amp;"-"&amp;VLOOKUP($N472,CODE!$K:$P,CODE!$O$1,FALSE)))</f>
        <v>ELS</v>
      </c>
      <c r="P472" s="29" t="str">
        <f t="shared" si="95"/>
        <v>ELSEBE5328</v>
      </c>
      <c r="Q472" s="1" t="s">
        <v>1260</v>
      </c>
      <c r="R472" s="1" t="s">
        <v>14</v>
      </c>
      <c r="S472" s="26">
        <v>700</v>
      </c>
      <c r="T472" s="26">
        <v>34300000</v>
      </c>
      <c r="U472" s="26">
        <v>5929562.0000000009</v>
      </c>
      <c r="V472" s="26">
        <v>5.2587051424402302</v>
      </c>
      <c r="W472" s="26">
        <v>0</v>
      </c>
      <c r="X472" s="26">
        <v>700</v>
      </c>
    </row>
    <row r="473" spans="1:24">
      <c r="A473" s="24" t="str">
        <f t="shared" si="88"/>
        <v>신규</v>
      </c>
      <c r="B473" s="24" t="str">
        <f>IF(COUNTIF(Q$1:Q472,Q473)=0,"최초","리오더")</f>
        <v>최초</v>
      </c>
      <c r="C473" s="24" t="str">
        <f t="shared" si="89"/>
        <v>ELSEBE5828</v>
      </c>
      <c r="D473" s="24">
        <f t="shared" si="84"/>
        <v>0.5</v>
      </c>
      <c r="E473" s="24" t="str">
        <f t="shared" si="90"/>
        <v/>
      </c>
      <c r="F473" s="24">
        <f t="shared" si="85"/>
        <v>0</v>
      </c>
      <c r="G473" s="24" t="str">
        <f t="shared" si="91"/>
        <v>ELSEBE5828MT</v>
      </c>
      <c r="H473" s="24">
        <f t="shared" si="86"/>
        <v>1</v>
      </c>
      <c r="I473" s="24" t="str">
        <f t="shared" si="92"/>
        <v/>
      </c>
      <c r="J473" s="24">
        <f t="shared" si="87"/>
        <v>0</v>
      </c>
      <c r="K473" s="24" t="str">
        <f t="shared" si="93"/>
        <v>E5</v>
      </c>
      <c r="L473" s="24" t="str">
        <f>VLOOKUP(N473,CODE!K:P,CODE!$P$1,FALSE)</f>
        <v>모자</v>
      </c>
      <c r="M473" s="24" t="str">
        <f>VLOOKUP(MID(Q473,1,3),CODE!$B:$G,CODE!D$1,FALSE)</f>
        <v>ELS</v>
      </c>
      <c r="N473" s="24" t="str">
        <f t="shared" si="94"/>
        <v>EB</v>
      </c>
      <c r="O473" s="29" t="str">
        <f>IF(ISERROR(IF(VLOOKUP($N473,CODE!$K:$P,CODE!$O$1,FALSE)="",$M473,$M473&amp;"-"&amp;VLOOKUP($N473,CODE!$K:$P,CODE!$O$1,FALSE)))=TRUE,"",IF(VLOOKUP($N473,CODE!$K:$P,CODE!$O$1,FALSE)="",$M473,$M473&amp;"-"&amp;VLOOKUP($N473,CODE!$K:$P,CODE!$O$1,FALSE)))</f>
        <v>ELS</v>
      </c>
      <c r="P473" s="29" t="str">
        <f t="shared" si="95"/>
        <v>ELSEBE5828</v>
      </c>
      <c r="Q473" s="1" t="s">
        <v>1261</v>
      </c>
      <c r="R473" s="1" t="s">
        <v>14</v>
      </c>
      <c r="S473" s="26">
        <v>700</v>
      </c>
      <c r="T473" s="26">
        <v>31500000</v>
      </c>
      <c r="U473" s="26">
        <v>5623826.0000000009</v>
      </c>
      <c r="V473" s="26">
        <v>5.0919718420099818</v>
      </c>
      <c r="W473" s="26">
        <v>0</v>
      </c>
      <c r="X473" s="26">
        <v>700</v>
      </c>
    </row>
    <row r="474" spans="1:24">
      <c r="A474" s="24" t="str">
        <f t="shared" si="88"/>
        <v>신규</v>
      </c>
      <c r="B474" s="24" t="str">
        <f>IF(COUNTIF(Q$1:Q473,Q474)=0,"최초","리오더")</f>
        <v>최초</v>
      </c>
      <c r="C474" s="24" t="str">
        <f t="shared" si="89"/>
        <v>ELSEBE5329</v>
      </c>
      <c r="D474" s="24">
        <f t="shared" si="84"/>
        <v>0.33333333333333331</v>
      </c>
      <c r="E474" s="24" t="str">
        <f t="shared" si="90"/>
        <v/>
      </c>
      <c r="F474" s="24">
        <f t="shared" si="85"/>
        <v>0</v>
      </c>
      <c r="G474" s="24" t="str">
        <f t="shared" si="91"/>
        <v>ELSEBE5329NY</v>
      </c>
      <c r="H474" s="24">
        <f t="shared" si="86"/>
        <v>1</v>
      </c>
      <c r="I474" s="24" t="str">
        <f t="shared" si="92"/>
        <v/>
      </c>
      <c r="J474" s="24">
        <f t="shared" si="87"/>
        <v>0</v>
      </c>
      <c r="K474" s="24" t="str">
        <f t="shared" si="93"/>
        <v>E5</v>
      </c>
      <c r="L474" s="24" t="str">
        <f>VLOOKUP(N474,CODE!K:P,CODE!$P$1,FALSE)</f>
        <v>모자</v>
      </c>
      <c r="M474" s="24" t="str">
        <f>VLOOKUP(MID(Q474,1,3),CODE!$B:$G,CODE!D$1,FALSE)</f>
        <v>ELS</v>
      </c>
      <c r="N474" s="24" t="str">
        <f t="shared" si="94"/>
        <v>EB</v>
      </c>
      <c r="O474" s="29" t="str">
        <f>IF(ISERROR(IF(VLOOKUP($N474,CODE!$K:$P,CODE!$O$1,FALSE)="",$M474,$M474&amp;"-"&amp;VLOOKUP($N474,CODE!$K:$P,CODE!$O$1,FALSE)))=TRUE,"",IF(VLOOKUP($N474,CODE!$K:$P,CODE!$O$1,FALSE)="",$M474,$M474&amp;"-"&amp;VLOOKUP($N474,CODE!$K:$P,CODE!$O$1,FALSE)))</f>
        <v>ELS</v>
      </c>
      <c r="P474" s="29" t="str">
        <f t="shared" si="95"/>
        <v>ELSEBE5329</v>
      </c>
      <c r="Q474" s="1" t="s">
        <v>1262</v>
      </c>
      <c r="R474" s="1" t="s">
        <v>14</v>
      </c>
      <c r="S474" s="26">
        <v>500</v>
      </c>
      <c r="T474" s="26">
        <v>22500000</v>
      </c>
      <c r="U474" s="26">
        <v>3382315.0000000009</v>
      </c>
      <c r="V474" s="26">
        <v>6.0474986671984858</v>
      </c>
      <c r="W474" s="26">
        <v>0</v>
      </c>
      <c r="X474" s="26">
        <v>500</v>
      </c>
    </row>
    <row r="475" spans="1:24">
      <c r="A475" s="24" t="str">
        <f t="shared" si="88"/>
        <v>신규</v>
      </c>
      <c r="B475" s="24" t="str">
        <f>IF(COUNTIF(Q$1:Q474,Q475)=0,"최초","리오더")</f>
        <v>최초</v>
      </c>
      <c r="C475" s="24" t="str">
        <f t="shared" si="89"/>
        <v>ELSEBE5829</v>
      </c>
      <c r="D475" s="24">
        <f t="shared" si="84"/>
        <v>0.33333333333333331</v>
      </c>
      <c r="E475" s="24" t="str">
        <f t="shared" si="90"/>
        <v/>
      </c>
      <c r="F475" s="24">
        <f t="shared" si="85"/>
        <v>0</v>
      </c>
      <c r="G475" s="24" t="str">
        <f t="shared" si="91"/>
        <v>ELSEBE5829NY</v>
      </c>
      <c r="H475" s="24">
        <f t="shared" si="86"/>
        <v>1</v>
      </c>
      <c r="I475" s="24" t="str">
        <f t="shared" si="92"/>
        <v/>
      </c>
      <c r="J475" s="24">
        <f t="shared" si="87"/>
        <v>0</v>
      </c>
      <c r="K475" s="24" t="str">
        <f t="shared" si="93"/>
        <v>E5</v>
      </c>
      <c r="L475" s="24" t="str">
        <f>VLOOKUP(N475,CODE!K:P,CODE!$P$1,FALSE)</f>
        <v>모자</v>
      </c>
      <c r="M475" s="24" t="str">
        <f>VLOOKUP(MID(Q475,1,3),CODE!$B:$G,CODE!D$1,FALSE)</f>
        <v>ELS</v>
      </c>
      <c r="N475" s="24" t="str">
        <f t="shared" si="94"/>
        <v>EB</v>
      </c>
      <c r="O475" s="29" t="str">
        <f>IF(ISERROR(IF(VLOOKUP($N475,CODE!$K:$P,CODE!$O$1,FALSE)="",$M475,$M475&amp;"-"&amp;VLOOKUP($N475,CODE!$K:$P,CODE!$O$1,FALSE)))=TRUE,"",IF(VLOOKUP($N475,CODE!$K:$P,CODE!$O$1,FALSE)="",$M475,$M475&amp;"-"&amp;VLOOKUP($N475,CODE!$K:$P,CODE!$O$1,FALSE)))</f>
        <v>ELS</v>
      </c>
      <c r="P475" s="29" t="str">
        <f t="shared" si="95"/>
        <v>ELSEBE5829</v>
      </c>
      <c r="Q475" s="1" t="s">
        <v>1263</v>
      </c>
      <c r="R475" s="1" t="s">
        <v>14</v>
      </c>
      <c r="S475" s="26">
        <v>500</v>
      </c>
      <c r="T475" s="26">
        <v>21500000</v>
      </c>
      <c r="U475" s="26">
        <v>3178390.0000000005</v>
      </c>
      <c r="V475" s="26">
        <v>6.1494827712944415</v>
      </c>
      <c r="W475" s="26">
        <v>0</v>
      </c>
      <c r="X475" s="26">
        <v>500</v>
      </c>
    </row>
    <row r="476" spans="1:24">
      <c r="A476" s="24" t="str">
        <f t="shared" si="88"/>
        <v>신규</v>
      </c>
      <c r="B476" s="24" t="str">
        <f>IF(COUNTIF(Q$1:Q475,Q476)=0,"최초","리오더")</f>
        <v>최초</v>
      </c>
      <c r="C476" s="24" t="str">
        <f t="shared" si="89"/>
        <v>ELSEBE5329</v>
      </c>
      <c r="D476" s="24">
        <f t="shared" si="84"/>
        <v>0.33333333333333331</v>
      </c>
      <c r="E476" s="24" t="str">
        <f t="shared" si="90"/>
        <v/>
      </c>
      <c r="F476" s="24">
        <f t="shared" si="85"/>
        <v>0</v>
      </c>
      <c r="G476" s="24" t="str">
        <f t="shared" si="91"/>
        <v>ELSEBE5329MT</v>
      </c>
      <c r="H476" s="24">
        <f t="shared" si="86"/>
        <v>1</v>
      </c>
      <c r="I476" s="24" t="str">
        <f t="shared" si="92"/>
        <v/>
      </c>
      <c r="J476" s="24">
        <f t="shared" si="87"/>
        <v>0</v>
      </c>
      <c r="K476" s="24" t="str">
        <f t="shared" si="93"/>
        <v>E5</v>
      </c>
      <c r="L476" s="24" t="str">
        <f>VLOOKUP(N476,CODE!K:P,CODE!$P$1,FALSE)</f>
        <v>모자</v>
      </c>
      <c r="M476" s="24" t="str">
        <f>VLOOKUP(MID(Q476,1,3),CODE!$B:$G,CODE!D$1,FALSE)</f>
        <v>ELS</v>
      </c>
      <c r="N476" s="24" t="str">
        <f t="shared" si="94"/>
        <v>EB</v>
      </c>
      <c r="O476" s="29" t="str">
        <f>IF(ISERROR(IF(VLOOKUP($N476,CODE!$K:$P,CODE!$O$1,FALSE)="",$M476,$M476&amp;"-"&amp;VLOOKUP($N476,CODE!$K:$P,CODE!$O$1,FALSE)))=TRUE,"",IF(VLOOKUP($N476,CODE!$K:$P,CODE!$O$1,FALSE)="",$M476,$M476&amp;"-"&amp;VLOOKUP($N476,CODE!$K:$P,CODE!$O$1,FALSE)))</f>
        <v>ELS</v>
      </c>
      <c r="P476" s="29" t="str">
        <f t="shared" si="95"/>
        <v>ELSEBE5329</v>
      </c>
      <c r="Q476" s="1" t="s">
        <v>1264</v>
      </c>
      <c r="R476" s="1" t="s">
        <v>14</v>
      </c>
      <c r="S476" s="26">
        <v>500</v>
      </c>
      <c r="T476" s="26">
        <v>22500000</v>
      </c>
      <c r="U476" s="26">
        <v>3382315.0000000009</v>
      </c>
      <c r="V476" s="26">
        <v>6.0474986671984858</v>
      </c>
      <c r="W476" s="26">
        <v>0</v>
      </c>
      <c r="X476" s="26">
        <v>500</v>
      </c>
    </row>
    <row r="477" spans="1:24">
      <c r="A477" s="24" t="str">
        <f t="shared" si="88"/>
        <v>신규</v>
      </c>
      <c r="B477" s="24" t="str">
        <f>IF(COUNTIF(Q$1:Q476,Q477)=0,"최초","리오더")</f>
        <v>최초</v>
      </c>
      <c r="C477" s="24" t="str">
        <f t="shared" si="89"/>
        <v>ELSEBE5829</v>
      </c>
      <c r="D477" s="24">
        <f t="shared" si="84"/>
        <v>0.33333333333333331</v>
      </c>
      <c r="E477" s="24" t="str">
        <f t="shared" si="90"/>
        <v/>
      </c>
      <c r="F477" s="24">
        <f t="shared" si="85"/>
        <v>0</v>
      </c>
      <c r="G477" s="24" t="str">
        <f t="shared" si="91"/>
        <v>ELSEBE5829MT</v>
      </c>
      <c r="H477" s="24">
        <f t="shared" si="86"/>
        <v>1</v>
      </c>
      <c r="I477" s="24" t="str">
        <f t="shared" si="92"/>
        <v/>
      </c>
      <c r="J477" s="24">
        <f t="shared" si="87"/>
        <v>0</v>
      </c>
      <c r="K477" s="24" t="str">
        <f t="shared" si="93"/>
        <v>E5</v>
      </c>
      <c r="L477" s="24" t="str">
        <f>VLOOKUP(N477,CODE!K:P,CODE!$P$1,FALSE)</f>
        <v>모자</v>
      </c>
      <c r="M477" s="24" t="str">
        <f>VLOOKUP(MID(Q477,1,3),CODE!$B:$G,CODE!D$1,FALSE)</f>
        <v>ELS</v>
      </c>
      <c r="N477" s="24" t="str">
        <f t="shared" si="94"/>
        <v>EB</v>
      </c>
      <c r="O477" s="29" t="str">
        <f>IF(ISERROR(IF(VLOOKUP($N477,CODE!$K:$P,CODE!$O$1,FALSE)="",$M477,$M477&amp;"-"&amp;VLOOKUP($N477,CODE!$K:$P,CODE!$O$1,FALSE)))=TRUE,"",IF(VLOOKUP($N477,CODE!$K:$P,CODE!$O$1,FALSE)="",$M477,$M477&amp;"-"&amp;VLOOKUP($N477,CODE!$K:$P,CODE!$O$1,FALSE)))</f>
        <v>ELS</v>
      </c>
      <c r="P477" s="29" t="str">
        <f t="shared" si="95"/>
        <v>ELSEBE5829</v>
      </c>
      <c r="Q477" s="1" t="s">
        <v>1265</v>
      </c>
      <c r="R477" s="1" t="s">
        <v>14</v>
      </c>
      <c r="S477" s="26">
        <v>500</v>
      </c>
      <c r="T477" s="26">
        <v>21500000</v>
      </c>
      <c r="U477" s="26">
        <v>3178390.0000000005</v>
      </c>
      <c r="V477" s="26">
        <v>6.1494827712944415</v>
      </c>
      <c r="W477" s="26">
        <v>0</v>
      </c>
      <c r="X477" s="26">
        <v>500</v>
      </c>
    </row>
    <row r="478" spans="1:24">
      <c r="A478" s="24" t="str">
        <f t="shared" si="88"/>
        <v>신규</v>
      </c>
      <c r="B478" s="24" t="str">
        <f>IF(COUNTIF(Q$1:Q477,Q478)=0,"최초","리오더")</f>
        <v>최초</v>
      </c>
      <c r="C478" s="24" t="str">
        <f t="shared" si="89"/>
        <v>ELSEBE5329</v>
      </c>
      <c r="D478" s="24">
        <f t="shared" si="84"/>
        <v>0.33333333333333331</v>
      </c>
      <c r="E478" s="24" t="str">
        <f t="shared" si="90"/>
        <v/>
      </c>
      <c r="F478" s="24">
        <f t="shared" si="85"/>
        <v>0</v>
      </c>
      <c r="G478" s="24" t="str">
        <f t="shared" si="91"/>
        <v>ELSEBE5329BL</v>
      </c>
      <c r="H478" s="24">
        <f t="shared" si="86"/>
        <v>1</v>
      </c>
      <c r="I478" s="24" t="str">
        <f t="shared" si="92"/>
        <v/>
      </c>
      <c r="J478" s="24">
        <f t="shared" si="87"/>
        <v>0</v>
      </c>
      <c r="K478" s="24" t="str">
        <f t="shared" si="93"/>
        <v>E5</v>
      </c>
      <c r="L478" s="24" t="str">
        <f>VLOOKUP(N478,CODE!K:P,CODE!$P$1,FALSE)</f>
        <v>모자</v>
      </c>
      <c r="M478" s="24" t="str">
        <f>VLOOKUP(MID(Q478,1,3),CODE!$B:$G,CODE!D$1,FALSE)</f>
        <v>ELS</v>
      </c>
      <c r="N478" s="24" t="str">
        <f t="shared" si="94"/>
        <v>EB</v>
      </c>
      <c r="O478" s="29" t="str">
        <f>IF(ISERROR(IF(VLOOKUP($N478,CODE!$K:$P,CODE!$O$1,FALSE)="",$M478,$M478&amp;"-"&amp;VLOOKUP($N478,CODE!$K:$P,CODE!$O$1,FALSE)))=TRUE,"",IF(VLOOKUP($N478,CODE!$K:$P,CODE!$O$1,FALSE)="",$M478,$M478&amp;"-"&amp;VLOOKUP($N478,CODE!$K:$P,CODE!$O$1,FALSE)))</f>
        <v>ELS</v>
      </c>
      <c r="P478" s="29" t="str">
        <f t="shared" si="95"/>
        <v>ELSEBE5329</v>
      </c>
      <c r="Q478" s="1" t="s">
        <v>1266</v>
      </c>
      <c r="R478" s="1" t="s">
        <v>14</v>
      </c>
      <c r="S478" s="26">
        <v>500</v>
      </c>
      <c r="T478" s="26">
        <v>22500000</v>
      </c>
      <c r="U478" s="26">
        <v>3429815.0000000009</v>
      </c>
      <c r="V478" s="26">
        <v>5.9637459905404366</v>
      </c>
      <c r="W478" s="26">
        <v>0</v>
      </c>
      <c r="X478" s="26">
        <v>500</v>
      </c>
    </row>
    <row r="479" spans="1:24">
      <c r="A479" s="24" t="str">
        <f t="shared" si="88"/>
        <v>신규</v>
      </c>
      <c r="B479" s="24" t="str">
        <f>IF(COUNTIF(Q$1:Q478,Q479)=0,"최초","리오더")</f>
        <v>최초</v>
      </c>
      <c r="C479" s="24" t="str">
        <f t="shared" si="89"/>
        <v>ELSEBE5829</v>
      </c>
      <c r="D479" s="24">
        <f t="shared" si="84"/>
        <v>0.33333333333333331</v>
      </c>
      <c r="E479" s="24" t="str">
        <f t="shared" si="90"/>
        <v/>
      </c>
      <c r="F479" s="24">
        <f t="shared" si="85"/>
        <v>0</v>
      </c>
      <c r="G479" s="24" t="str">
        <f t="shared" si="91"/>
        <v>ELSEBE5829BL</v>
      </c>
      <c r="H479" s="24">
        <f t="shared" si="86"/>
        <v>1</v>
      </c>
      <c r="I479" s="24" t="str">
        <f t="shared" si="92"/>
        <v/>
      </c>
      <c r="J479" s="24">
        <f t="shared" si="87"/>
        <v>0</v>
      </c>
      <c r="K479" s="24" t="str">
        <f t="shared" si="93"/>
        <v>E5</v>
      </c>
      <c r="L479" s="24" t="str">
        <f>VLOOKUP(N479,CODE!K:P,CODE!$P$1,FALSE)</f>
        <v>모자</v>
      </c>
      <c r="M479" s="24" t="str">
        <f>VLOOKUP(MID(Q479,1,3),CODE!$B:$G,CODE!D$1,FALSE)</f>
        <v>ELS</v>
      </c>
      <c r="N479" s="24" t="str">
        <f t="shared" si="94"/>
        <v>EB</v>
      </c>
      <c r="O479" s="29" t="str">
        <f>IF(ISERROR(IF(VLOOKUP($N479,CODE!$K:$P,CODE!$O$1,FALSE)="",$M479,$M479&amp;"-"&amp;VLOOKUP($N479,CODE!$K:$P,CODE!$O$1,FALSE)))=TRUE,"",IF(VLOOKUP($N479,CODE!$K:$P,CODE!$O$1,FALSE)="",$M479,$M479&amp;"-"&amp;VLOOKUP($N479,CODE!$K:$P,CODE!$O$1,FALSE)))</f>
        <v>ELS</v>
      </c>
      <c r="P479" s="29" t="str">
        <f t="shared" si="95"/>
        <v>ELSEBE5829</v>
      </c>
      <c r="Q479" s="1" t="s">
        <v>1267</v>
      </c>
      <c r="R479" s="1" t="s">
        <v>14</v>
      </c>
      <c r="S479" s="26">
        <v>500</v>
      </c>
      <c r="T479" s="26">
        <v>21500000</v>
      </c>
      <c r="U479" s="26">
        <v>3217890.0000000005</v>
      </c>
      <c r="V479" s="26">
        <v>6.0739971053872379</v>
      </c>
      <c r="W479" s="26">
        <v>0</v>
      </c>
      <c r="X479" s="26">
        <v>500</v>
      </c>
    </row>
    <row r="480" spans="1:24">
      <c r="A480" s="24" t="str">
        <f t="shared" si="88"/>
        <v>신규</v>
      </c>
      <c r="B480" s="24" t="str">
        <f>IF(COUNTIF(Q$1:Q479,Q480)=0,"최초","리오더")</f>
        <v>최초</v>
      </c>
      <c r="C480" s="24" t="str">
        <f t="shared" si="89"/>
        <v>ELSEBE5330</v>
      </c>
      <c r="D480" s="24">
        <f t="shared" si="84"/>
        <v>1</v>
      </c>
      <c r="E480" s="24" t="str">
        <f t="shared" si="90"/>
        <v/>
      </c>
      <c r="F480" s="24">
        <f t="shared" si="85"/>
        <v>0</v>
      </c>
      <c r="G480" s="24" t="str">
        <f t="shared" si="91"/>
        <v>ELSEBE5330BL</v>
      </c>
      <c r="H480" s="24">
        <f t="shared" si="86"/>
        <v>1</v>
      </c>
      <c r="I480" s="24" t="str">
        <f t="shared" si="92"/>
        <v/>
      </c>
      <c r="J480" s="24">
        <f t="shared" si="87"/>
        <v>0</v>
      </c>
      <c r="K480" s="24" t="str">
        <f t="shared" si="93"/>
        <v>E5</v>
      </c>
      <c r="L480" s="24" t="str">
        <f>VLOOKUP(N480,CODE!K:P,CODE!$P$1,FALSE)</f>
        <v>모자</v>
      </c>
      <c r="M480" s="24" t="str">
        <f>VLOOKUP(MID(Q480,1,3),CODE!$B:$G,CODE!D$1,FALSE)</f>
        <v>ELS</v>
      </c>
      <c r="N480" s="24" t="str">
        <f t="shared" si="94"/>
        <v>EB</v>
      </c>
      <c r="O480" s="29" t="str">
        <f>IF(ISERROR(IF(VLOOKUP($N480,CODE!$K:$P,CODE!$O$1,FALSE)="",$M480,$M480&amp;"-"&amp;VLOOKUP($N480,CODE!$K:$P,CODE!$O$1,FALSE)))=TRUE,"",IF(VLOOKUP($N480,CODE!$K:$P,CODE!$O$1,FALSE)="",$M480,$M480&amp;"-"&amp;VLOOKUP($N480,CODE!$K:$P,CODE!$O$1,FALSE)))</f>
        <v>ELS</v>
      </c>
      <c r="P480" s="29" t="str">
        <f t="shared" si="95"/>
        <v>ELSEBE5330</v>
      </c>
      <c r="Q480" s="1" t="s">
        <v>1268</v>
      </c>
      <c r="R480" s="1" t="s">
        <v>14</v>
      </c>
      <c r="S480" s="26">
        <v>700</v>
      </c>
      <c r="T480" s="26">
        <v>34300000</v>
      </c>
      <c r="U480" s="26">
        <v>5876444</v>
      </c>
      <c r="V480" s="26">
        <v>5.3062393144252171</v>
      </c>
      <c r="W480" s="26">
        <v>0</v>
      </c>
      <c r="X480" s="26">
        <v>700</v>
      </c>
    </row>
    <row r="481" spans="1:24">
      <c r="A481" s="24" t="str">
        <f t="shared" si="88"/>
        <v>신규</v>
      </c>
      <c r="B481" s="24" t="str">
        <f>IF(COUNTIF(Q$1:Q480,Q481)=0,"최초","리오더")</f>
        <v>최초</v>
      </c>
      <c r="C481" s="24" t="str">
        <f t="shared" si="89"/>
        <v>ELSEBE5830</v>
      </c>
      <c r="D481" s="24">
        <f t="shared" si="84"/>
        <v>1</v>
      </c>
      <c r="E481" s="24" t="str">
        <f t="shared" si="90"/>
        <v/>
      </c>
      <c r="F481" s="24">
        <f t="shared" si="85"/>
        <v>0</v>
      </c>
      <c r="G481" s="24" t="str">
        <f t="shared" si="91"/>
        <v>ELSEBE5830BL</v>
      </c>
      <c r="H481" s="24">
        <f t="shared" si="86"/>
        <v>1</v>
      </c>
      <c r="I481" s="24" t="str">
        <f t="shared" si="92"/>
        <v/>
      </c>
      <c r="J481" s="24">
        <f t="shared" si="87"/>
        <v>0</v>
      </c>
      <c r="K481" s="24" t="str">
        <f t="shared" si="93"/>
        <v>E5</v>
      </c>
      <c r="L481" s="24" t="str">
        <f>VLOOKUP(N481,CODE!K:P,CODE!$P$1,FALSE)</f>
        <v>모자</v>
      </c>
      <c r="M481" s="24" t="str">
        <f>VLOOKUP(MID(Q481,1,3),CODE!$B:$G,CODE!D$1,FALSE)</f>
        <v>ELS</v>
      </c>
      <c r="N481" s="24" t="str">
        <f t="shared" si="94"/>
        <v>EB</v>
      </c>
      <c r="O481" s="29" t="str">
        <f>IF(ISERROR(IF(VLOOKUP($N481,CODE!$K:$P,CODE!$O$1,FALSE)="",$M481,$M481&amp;"-"&amp;VLOOKUP($N481,CODE!$K:$P,CODE!$O$1,FALSE)))=TRUE,"",IF(VLOOKUP($N481,CODE!$K:$P,CODE!$O$1,FALSE)="",$M481,$M481&amp;"-"&amp;VLOOKUP($N481,CODE!$K:$P,CODE!$O$1,FALSE)))</f>
        <v>ELS</v>
      </c>
      <c r="P481" s="29" t="str">
        <f t="shared" si="95"/>
        <v>ELSEBE5830</v>
      </c>
      <c r="Q481" s="1" t="s">
        <v>1269</v>
      </c>
      <c r="R481" s="1" t="s">
        <v>14</v>
      </c>
      <c r="S481" s="26">
        <v>700</v>
      </c>
      <c r="T481" s="26">
        <v>31500000</v>
      </c>
      <c r="U481" s="26">
        <v>5587808</v>
      </c>
      <c r="V481" s="26">
        <v>5.124793771790948</v>
      </c>
      <c r="W481" s="26">
        <v>0</v>
      </c>
      <c r="X481" s="26">
        <v>700</v>
      </c>
    </row>
    <row r="482" spans="1:24">
      <c r="A482" s="24" t="str">
        <f t="shared" si="88"/>
        <v>신규</v>
      </c>
      <c r="B482" s="24" t="str">
        <f>IF(COUNTIF(Q$1:Q481,Q482)=0,"최초","리오더")</f>
        <v>최초</v>
      </c>
      <c r="C482" s="24" t="str">
        <f t="shared" si="89"/>
        <v>ELSBEE5804</v>
      </c>
      <c r="D482" s="24">
        <f t="shared" si="84"/>
        <v>0.33333333333333331</v>
      </c>
      <c r="E482" s="24" t="str">
        <f t="shared" si="90"/>
        <v/>
      </c>
      <c r="F482" s="24">
        <f t="shared" si="85"/>
        <v>0</v>
      </c>
      <c r="G482" s="24" t="str">
        <f t="shared" si="91"/>
        <v>ELSBEE5804BK</v>
      </c>
      <c r="H482" s="24">
        <f t="shared" si="86"/>
        <v>1</v>
      </c>
      <c r="I482" s="24" t="str">
        <f t="shared" si="92"/>
        <v/>
      </c>
      <c r="J482" s="24">
        <f t="shared" si="87"/>
        <v>0</v>
      </c>
      <c r="K482" s="24" t="str">
        <f t="shared" si="93"/>
        <v>E5</v>
      </c>
      <c r="L482" s="24" t="str">
        <f>VLOOKUP(N482,CODE!K:P,CODE!$P$1,FALSE)</f>
        <v>모자</v>
      </c>
      <c r="M482" s="24" t="str">
        <f>VLOOKUP(MID(Q482,1,3),CODE!$B:$G,CODE!D$1,FALSE)</f>
        <v>ELS</v>
      </c>
      <c r="N482" s="24" t="str">
        <f t="shared" si="94"/>
        <v>BE</v>
      </c>
      <c r="O482" s="29" t="str">
        <f>IF(ISERROR(IF(VLOOKUP($N482,CODE!$K:$P,CODE!$O$1,FALSE)="",$M482,$M482&amp;"-"&amp;VLOOKUP($N482,CODE!$K:$P,CODE!$O$1,FALSE)))=TRUE,"",IF(VLOOKUP($N482,CODE!$K:$P,CODE!$O$1,FALSE)="",$M482,$M482&amp;"-"&amp;VLOOKUP($N482,CODE!$K:$P,CODE!$O$1,FALSE)))</f>
        <v>ELS</v>
      </c>
      <c r="P482" s="29" t="str">
        <f t="shared" si="95"/>
        <v>ELSBEE5804</v>
      </c>
      <c r="Q482" s="1" t="s">
        <v>1270</v>
      </c>
      <c r="R482" s="1" t="s">
        <v>14</v>
      </c>
      <c r="S482" s="26">
        <v>500</v>
      </c>
      <c r="T482" s="26">
        <v>17500000</v>
      </c>
      <c r="U482" s="26">
        <v>3222055.0000000009</v>
      </c>
      <c r="V482" s="26">
        <v>4.9375603175895204</v>
      </c>
      <c r="W482" s="26">
        <v>0</v>
      </c>
      <c r="X482" s="26">
        <v>500</v>
      </c>
    </row>
    <row r="483" spans="1:24">
      <c r="A483" s="24" t="str">
        <f t="shared" si="88"/>
        <v>신규</v>
      </c>
      <c r="B483" s="24" t="str">
        <f>IF(COUNTIF(Q$1:Q482,Q483)=0,"최초","리오더")</f>
        <v>최초</v>
      </c>
      <c r="C483" s="24" t="str">
        <f t="shared" si="89"/>
        <v>ELSBEE5804</v>
      </c>
      <c r="D483" s="24">
        <f t="shared" si="84"/>
        <v>0.33333333333333331</v>
      </c>
      <c r="E483" s="24" t="str">
        <f t="shared" si="90"/>
        <v/>
      </c>
      <c r="F483" s="24">
        <f t="shared" si="85"/>
        <v>0</v>
      </c>
      <c r="G483" s="24" t="str">
        <f t="shared" si="91"/>
        <v>ELSBEE5804GR</v>
      </c>
      <c r="H483" s="24">
        <f t="shared" si="86"/>
        <v>1</v>
      </c>
      <c r="I483" s="24" t="str">
        <f t="shared" si="92"/>
        <v/>
      </c>
      <c r="J483" s="24">
        <f t="shared" si="87"/>
        <v>0</v>
      </c>
      <c r="K483" s="24" t="str">
        <f t="shared" si="93"/>
        <v>E5</v>
      </c>
      <c r="L483" s="24" t="str">
        <f>VLOOKUP(N483,CODE!K:P,CODE!$P$1,FALSE)</f>
        <v>모자</v>
      </c>
      <c r="M483" s="24" t="str">
        <f>VLOOKUP(MID(Q483,1,3),CODE!$B:$G,CODE!D$1,FALSE)</f>
        <v>ELS</v>
      </c>
      <c r="N483" s="24" t="str">
        <f t="shared" si="94"/>
        <v>BE</v>
      </c>
      <c r="O483" s="29" t="str">
        <f>IF(ISERROR(IF(VLOOKUP($N483,CODE!$K:$P,CODE!$O$1,FALSE)="",$M483,$M483&amp;"-"&amp;VLOOKUP($N483,CODE!$K:$P,CODE!$O$1,FALSE)))=TRUE,"",IF(VLOOKUP($N483,CODE!$K:$P,CODE!$O$1,FALSE)="",$M483,$M483&amp;"-"&amp;VLOOKUP($N483,CODE!$K:$P,CODE!$O$1,FALSE)))</f>
        <v>ELS</v>
      </c>
      <c r="P483" s="29" t="str">
        <f t="shared" si="95"/>
        <v>ELSBEE5804</v>
      </c>
      <c r="Q483" s="1" t="s">
        <v>1271</v>
      </c>
      <c r="R483" s="1" t="s">
        <v>14</v>
      </c>
      <c r="S483" s="26">
        <v>500</v>
      </c>
      <c r="T483" s="26">
        <v>17500000</v>
      </c>
      <c r="U483" s="26">
        <v>3222055.0000000009</v>
      </c>
      <c r="V483" s="26">
        <v>4.9375603175895204</v>
      </c>
      <c r="W483" s="26">
        <v>0</v>
      </c>
      <c r="X483" s="26">
        <v>500</v>
      </c>
    </row>
    <row r="484" spans="1:24">
      <c r="A484" s="24" t="str">
        <f t="shared" si="88"/>
        <v>신규</v>
      </c>
      <c r="B484" s="24" t="str">
        <f>IF(COUNTIF(Q$1:Q483,Q484)=0,"최초","리오더")</f>
        <v>최초</v>
      </c>
      <c r="C484" s="24" t="str">
        <f t="shared" si="89"/>
        <v>ELSBEE5804</v>
      </c>
      <c r="D484" s="24">
        <f t="shared" si="84"/>
        <v>0.33333333333333331</v>
      </c>
      <c r="E484" s="24" t="str">
        <f t="shared" si="90"/>
        <v/>
      </c>
      <c r="F484" s="24">
        <f t="shared" si="85"/>
        <v>0</v>
      </c>
      <c r="G484" s="24" t="str">
        <f t="shared" si="91"/>
        <v>ELSBEE5804PK</v>
      </c>
      <c r="H484" s="24">
        <f t="shared" si="86"/>
        <v>1</v>
      </c>
      <c r="I484" s="24" t="str">
        <f t="shared" si="92"/>
        <v/>
      </c>
      <c r="J484" s="24">
        <f t="shared" si="87"/>
        <v>0</v>
      </c>
      <c r="K484" s="24" t="str">
        <f t="shared" si="93"/>
        <v>E5</v>
      </c>
      <c r="L484" s="24" t="str">
        <f>VLOOKUP(N484,CODE!K:P,CODE!$P$1,FALSE)</f>
        <v>모자</v>
      </c>
      <c r="M484" s="24" t="str">
        <f>VLOOKUP(MID(Q484,1,3),CODE!$B:$G,CODE!D$1,FALSE)</f>
        <v>ELS</v>
      </c>
      <c r="N484" s="24" t="str">
        <f t="shared" si="94"/>
        <v>BE</v>
      </c>
      <c r="O484" s="29" t="str">
        <f>IF(ISERROR(IF(VLOOKUP($N484,CODE!$K:$P,CODE!$O$1,FALSE)="",$M484,$M484&amp;"-"&amp;VLOOKUP($N484,CODE!$K:$P,CODE!$O$1,FALSE)))=TRUE,"",IF(VLOOKUP($N484,CODE!$K:$P,CODE!$O$1,FALSE)="",$M484,$M484&amp;"-"&amp;VLOOKUP($N484,CODE!$K:$P,CODE!$O$1,FALSE)))</f>
        <v>ELS</v>
      </c>
      <c r="P484" s="29" t="str">
        <f t="shared" si="95"/>
        <v>ELSBEE5804</v>
      </c>
      <c r="Q484" s="1" t="s">
        <v>1272</v>
      </c>
      <c r="R484" s="1" t="s">
        <v>14</v>
      </c>
      <c r="S484" s="26">
        <v>500</v>
      </c>
      <c r="T484" s="26">
        <v>17500000</v>
      </c>
      <c r="U484" s="26">
        <v>3222055.0000000009</v>
      </c>
      <c r="V484" s="26">
        <v>4.9375603175895204</v>
      </c>
      <c r="W484" s="26">
        <v>0</v>
      </c>
      <c r="X484" s="26">
        <v>500</v>
      </c>
    </row>
    <row r="485" spans="1:24">
      <c r="A485" s="24" t="str">
        <f t="shared" si="88"/>
        <v>신규</v>
      </c>
      <c r="B485" s="24" t="str">
        <f>IF(COUNTIF(Q$1:Q484,Q485)=0,"최초","리오더")</f>
        <v>최초</v>
      </c>
      <c r="C485" s="24" t="str">
        <f t="shared" si="89"/>
        <v>JILBEE5341</v>
      </c>
      <c r="D485" s="24">
        <f t="shared" si="84"/>
        <v>1</v>
      </c>
      <c r="E485" s="24" t="str">
        <f t="shared" si="90"/>
        <v/>
      </c>
      <c r="F485" s="24">
        <f t="shared" si="85"/>
        <v>0</v>
      </c>
      <c r="G485" s="24" t="str">
        <f t="shared" si="91"/>
        <v>JILBEE5341ZZ</v>
      </c>
      <c r="H485" s="24">
        <f t="shared" si="86"/>
        <v>1</v>
      </c>
      <c r="I485" s="24" t="str">
        <f t="shared" si="92"/>
        <v/>
      </c>
      <c r="J485" s="24">
        <f t="shared" si="87"/>
        <v>0</v>
      </c>
      <c r="K485" s="24" t="str">
        <f t="shared" si="93"/>
        <v>E5</v>
      </c>
      <c r="L485" s="24" t="str">
        <f>VLOOKUP(N485,CODE!K:P,CODE!$P$1,FALSE)</f>
        <v>모자</v>
      </c>
      <c r="M485" s="24" t="str">
        <f>VLOOKUP(MID(Q485,1,3),CODE!$B:$G,CODE!D$1,FALSE)</f>
        <v>JIL</v>
      </c>
      <c r="N485" s="24" t="str">
        <f t="shared" si="94"/>
        <v>BE</v>
      </c>
      <c r="O485" s="29" t="str">
        <f>IF(ISERROR(IF(VLOOKUP($N485,CODE!$K:$P,CODE!$O$1,FALSE)="",$M485,$M485&amp;"-"&amp;VLOOKUP($N485,CODE!$K:$P,CODE!$O$1,FALSE)))=TRUE,"",IF(VLOOKUP($N485,CODE!$K:$P,CODE!$O$1,FALSE)="",$M485,$M485&amp;"-"&amp;VLOOKUP($N485,CODE!$K:$P,CODE!$O$1,FALSE)))</f>
        <v>JIL</v>
      </c>
      <c r="P485" s="29" t="str">
        <f t="shared" si="95"/>
        <v>JILBEE5341</v>
      </c>
      <c r="Q485" s="1" t="s">
        <v>1273</v>
      </c>
      <c r="R485" s="1" t="s">
        <v>14</v>
      </c>
      <c r="S485" s="26">
        <v>700</v>
      </c>
      <c r="T485" s="26">
        <v>30100000</v>
      </c>
      <c r="U485" s="26">
        <v>3120299</v>
      </c>
      <c r="V485" s="26">
        <v>8.7695558546268675</v>
      </c>
      <c r="W485" s="26">
        <v>0</v>
      </c>
      <c r="X485" s="26">
        <v>700</v>
      </c>
    </row>
    <row r="486" spans="1:24">
      <c r="A486" s="24" t="str">
        <f t="shared" si="88"/>
        <v>신규</v>
      </c>
      <c r="B486" s="24" t="str">
        <f>IF(COUNTIF(Q$1:Q485,Q486)=0,"최초","리오더")</f>
        <v>최초</v>
      </c>
      <c r="C486" s="24" t="str">
        <f t="shared" si="89"/>
        <v>JILBEE5342</v>
      </c>
      <c r="D486" s="24">
        <f t="shared" si="84"/>
        <v>0.5</v>
      </c>
      <c r="E486" s="24" t="str">
        <f t="shared" si="90"/>
        <v/>
      </c>
      <c r="F486" s="24">
        <f t="shared" si="85"/>
        <v>0</v>
      </c>
      <c r="G486" s="24" t="str">
        <f t="shared" si="91"/>
        <v>JILBEE5342NY</v>
      </c>
      <c r="H486" s="24">
        <f t="shared" si="86"/>
        <v>1</v>
      </c>
      <c r="I486" s="24" t="str">
        <f t="shared" si="92"/>
        <v/>
      </c>
      <c r="J486" s="24">
        <f t="shared" si="87"/>
        <v>0</v>
      </c>
      <c r="K486" s="24" t="str">
        <f t="shared" si="93"/>
        <v>E5</v>
      </c>
      <c r="L486" s="24" t="str">
        <f>VLOOKUP(N486,CODE!K:P,CODE!$P$1,FALSE)</f>
        <v>모자</v>
      </c>
      <c r="M486" s="24" t="str">
        <f>VLOOKUP(MID(Q486,1,3),CODE!$B:$G,CODE!D$1,FALSE)</f>
        <v>JIL</v>
      </c>
      <c r="N486" s="24" t="str">
        <f t="shared" si="94"/>
        <v>BE</v>
      </c>
      <c r="O486" s="29" t="str">
        <f>IF(ISERROR(IF(VLOOKUP($N486,CODE!$K:$P,CODE!$O$1,FALSE)="",$M486,$M486&amp;"-"&amp;VLOOKUP($N486,CODE!$K:$P,CODE!$O$1,FALSE)))=TRUE,"",IF(VLOOKUP($N486,CODE!$K:$P,CODE!$O$1,FALSE)="",$M486,$M486&amp;"-"&amp;VLOOKUP($N486,CODE!$K:$P,CODE!$O$1,FALSE)))</f>
        <v>JIL</v>
      </c>
      <c r="P486" s="29" t="str">
        <f t="shared" si="95"/>
        <v>JILBEE5342</v>
      </c>
      <c r="Q486" s="1" t="s">
        <v>1274</v>
      </c>
      <c r="R486" s="1" t="s">
        <v>14</v>
      </c>
      <c r="S486" s="26">
        <v>500</v>
      </c>
      <c r="T486" s="26">
        <v>14500000</v>
      </c>
      <c r="U486" s="26">
        <v>1646010</v>
      </c>
      <c r="V486" s="26">
        <v>8.0083463537999044</v>
      </c>
      <c r="W486" s="26">
        <v>0</v>
      </c>
      <c r="X486" s="26">
        <v>500</v>
      </c>
    </row>
    <row r="487" spans="1:24">
      <c r="A487" s="24" t="str">
        <f t="shared" si="88"/>
        <v>신규</v>
      </c>
      <c r="B487" s="24" t="str">
        <f>IF(COUNTIF(Q$1:Q486,Q487)=0,"최초","리오더")</f>
        <v>최초</v>
      </c>
      <c r="C487" s="24" t="str">
        <f t="shared" si="89"/>
        <v>JILBEE5842</v>
      </c>
      <c r="D487" s="24">
        <f t="shared" si="84"/>
        <v>0.5</v>
      </c>
      <c r="E487" s="24" t="str">
        <f t="shared" si="90"/>
        <v/>
      </c>
      <c r="F487" s="24">
        <f t="shared" si="85"/>
        <v>0</v>
      </c>
      <c r="G487" s="24" t="str">
        <f t="shared" si="91"/>
        <v>JILBEE5842NY</v>
      </c>
      <c r="H487" s="24">
        <f t="shared" si="86"/>
        <v>1</v>
      </c>
      <c r="I487" s="24" t="str">
        <f t="shared" si="92"/>
        <v/>
      </c>
      <c r="J487" s="24">
        <f t="shared" si="87"/>
        <v>0</v>
      </c>
      <c r="K487" s="24" t="str">
        <f t="shared" si="93"/>
        <v>E5</v>
      </c>
      <c r="L487" s="24" t="str">
        <f>VLOOKUP(N487,CODE!K:P,CODE!$P$1,FALSE)</f>
        <v>모자</v>
      </c>
      <c r="M487" s="24" t="str">
        <f>VLOOKUP(MID(Q487,1,3),CODE!$B:$G,CODE!D$1,FALSE)</f>
        <v>JIL</v>
      </c>
      <c r="N487" s="24" t="str">
        <f t="shared" si="94"/>
        <v>BE</v>
      </c>
      <c r="O487" s="29" t="str">
        <f>IF(ISERROR(IF(VLOOKUP($N487,CODE!$K:$P,CODE!$O$1,FALSE)="",$M487,$M487&amp;"-"&amp;VLOOKUP($N487,CODE!$K:$P,CODE!$O$1,FALSE)))=TRUE,"",IF(VLOOKUP($N487,CODE!$K:$P,CODE!$O$1,FALSE)="",$M487,$M487&amp;"-"&amp;VLOOKUP($N487,CODE!$K:$P,CODE!$O$1,FALSE)))</f>
        <v>JIL</v>
      </c>
      <c r="P487" s="29" t="str">
        <f t="shared" si="95"/>
        <v>JILBEE5842</v>
      </c>
      <c r="Q487" s="1" t="s">
        <v>1275</v>
      </c>
      <c r="R487" s="1" t="s">
        <v>14</v>
      </c>
      <c r="S487" s="26">
        <v>700</v>
      </c>
      <c r="T487" s="26">
        <v>17500000</v>
      </c>
      <c r="U487" s="26">
        <v>2307914</v>
      </c>
      <c r="V487" s="26">
        <v>6.8932771797783223</v>
      </c>
      <c r="W487" s="26">
        <v>0</v>
      </c>
      <c r="X487" s="26">
        <v>700</v>
      </c>
    </row>
    <row r="488" spans="1:24">
      <c r="A488" s="24" t="str">
        <f t="shared" si="88"/>
        <v>신규</v>
      </c>
      <c r="B488" s="24" t="str">
        <f>IF(COUNTIF(Q$1:Q487,Q488)=0,"최초","리오더")</f>
        <v>최초</v>
      </c>
      <c r="C488" s="24" t="str">
        <f t="shared" si="89"/>
        <v>JILBEE5342</v>
      </c>
      <c r="D488" s="24">
        <f t="shared" si="84"/>
        <v>0.5</v>
      </c>
      <c r="E488" s="24" t="str">
        <f t="shared" si="90"/>
        <v/>
      </c>
      <c r="F488" s="24">
        <f t="shared" si="85"/>
        <v>0</v>
      </c>
      <c r="G488" s="24" t="str">
        <f t="shared" si="91"/>
        <v>JILBEE5342GR</v>
      </c>
      <c r="H488" s="24">
        <f t="shared" si="86"/>
        <v>1</v>
      </c>
      <c r="I488" s="24" t="str">
        <f t="shared" si="92"/>
        <v/>
      </c>
      <c r="J488" s="24">
        <f t="shared" si="87"/>
        <v>0</v>
      </c>
      <c r="K488" s="24" t="str">
        <f t="shared" si="93"/>
        <v>E5</v>
      </c>
      <c r="L488" s="24" t="str">
        <f>VLOOKUP(N488,CODE!K:P,CODE!$P$1,FALSE)</f>
        <v>모자</v>
      </c>
      <c r="M488" s="24" t="str">
        <f>VLOOKUP(MID(Q488,1,3),CODE!$B:$G,CODE!D$1,FALSE)</f>
        <v>JIL</v>
      </c>
      <c r="N488" s="24" t="str">
        <f t="shared" si="94"/>
        <v>BE</v>
      </c>
      <c r="O488" s="29" t="str">
        <f>IF(ISERROR(IF(VLOOKUP($N488,CODE!$K:$P,CODE!$O$1,FALSE)="",$M488,$M488&amp;"-"&amp;VLOOKUP($N488,CODE!$K:$P,CODE!$O$1,FALSE)))=TRUE,"",IF(VLOOKUP($N488,CODE!$K:$P,CODE!$O$1,FALSE)="",$M488,$M488&amp;"-"&amp;VLOOKUP($N488,CODE!$K:$P,CODE!$O$1,FALSE)))</f>
        <v>JIL</v>
      </c>
      <c r="P488" s="29" t="str">
        <f t="shared" si="95"/>
        <v>JILBEE5342</v>
      </c>
      <c r="Q488" s="1" t="s">
        <v>1276</v>
      </c>
      <c r="R488" s="1" t="s">
        <v>14</v>
      </c>
      <c r="S488" s="26">
        <v>500</v>
      </c>
      <c r="T488" s="26">
        <v>14500000</v>
      </c>
      <c r="U488" s="26">
        <v>1646010</v>
      </c>
      <c r="V488" s="26">
        <v>8.0083463537999044</v>
      </c>
      <c r="W488" s="26">
        <v>0</v>
      </c>
      <c r="X488" s="26">
        <v>500</v>
      </c>
    </row>
    <row r="489" spans="1:24">
      <c r="A489" s="24" t="str">
        <f t="shared" si="88"/>
        <v>신규</v>
      </c>
      <c r="B489" s="24" t="str">
        <f>IF(COUNTIF(Q$1:Q488,Q489)=0,"최초","리오더")</f>
        <v>최초</v>
      </c>
      <c r="C489" s="24" t="str">
        <f t="shared" si="89"/>
        <v>JILBEE5842</v>
      </c>
      <c r="D489" s="24">
        <f t="shared" si="84"/>
        <v>0.5</v>
      </c>
      <c r="E489" s="24" t="str">
        <f t="shared" si="90"/>
        <v/>
      </c>
      <c r="F489" s="24">
        <f t="shared" si="85"/>
        <v>0</v>
      </c>
      <c r="G489" s="24" t="str">
        <f t="shared" si="91"/>
        <v>JILBEE5842GR</v>
      </c>
      <c r="H489" s="24">
        <f t="shared" si="86"/>
        <v>1</v>
      </c>
      <c r="I489" s="24" t="str">
        <f t="shared" si="92"/>
        <v/>
      </c>
      <c r="J489" s="24">
        <f t="shared" si="87"/>
        <v>0</v>
      </c>
      <c r="K489" s="24" t="str">
        <f t="shared" si="93"/>
        <v>E5</v>
      </c>
      <c r="L489" s="24" t="str">
        <f>VLOOKUP(N489,CODE!K:P,CODE!$P$1,FALSE)</f>
        <v>모자</v>
      </c>
      <c r="M489" s="24" t="str">
        <f>VLOOKUP(MID(Q489,1,3),CODE!$B:$G,CODE!D$1,FALSE)</f>
        <v>JIL</v>
      </c>
      <c r="N489" s="24" t="str">
        <f t="shared" si="94"/>
        <v>BE</v>
      </c>
      <c r="O489" s="29" t="str">
        <f>IF(ISERROR(IF(VLOOKUP($N489,CODE!$K:$P,CODE!$O$1,FALSE)="",$M489,$M489&amp;"-"&amp;VLOOKUP($N489,CODE!$K:$P,CODE!$O$1,FALSE)))=TRUE,"",IF(VLOOKUP($N489,CODE!$K:$P,CODE!$O$1,FALSE)="",$M489,$M489&amp;"-"&amp;VLOOKUP($N489,CODE!$K:$P,CODE!$O$1,FALSE)))</f>
        <v>JIL</v>
      </c>
      <c r="P489" s="29" t="str">
        <f t="shared" si="95"/>
        <v>JILBEE5842</v>
      </c>
      <c r="Q489" s="1" t="s">
        <v>1277</v>
      </c>
      <c r="R489" s="1" t="s">
        <v>14</v>
      </c>
      <c r="S489" s="26">
        <v>700</v>
      </c>
      <c r="T489" s="26">
        <v>17500000</v>
      </c>
      <c r="U489" s="26">
        <v>2307914</v>
      </c>
      <c r="V489" s="26">
        <v>6.8932771797783223</v>
      </c>
      <c r="W489" s="26">
        <v>0</v>
      </c>
      <c r="X489" s="26">
        <v>700</v>
      </c>
    </row>
    <row r="490" spans="1:24">
      <c r="A490" s="24" t="str">
        <f t="shared" si="88"/>
        <v>신규</v>
      </c>
      <c r="B490" s="24" t="str">
        <f>IF(COUNTIF(Q$1:Q489,Q490)=0,"최초","리오더")</f>
        <v>최초</v>
      </c>
      <c r="C490" s="24" t="str">
        <f t="shared" si="89"/>
        <v>JILEBE5343</v>
      </c>
      <c r="D490" s="24">
        <f t="shared" si="84"/>
        <v>1</v>
      </c>
      <c r="E490" s="24" t="str">
        <f t="shared" si="90"/>
        <v/>
      </c>
      <c r="F490" s="24">
        <f t="shared" si="85"/>
        <v>0</v>
      </c>
      <c r="G490" s="24" t="str">
        <f t="shared" si="91"/>
        <v>JILEBE5343RE</v>
      </c>
      <c r="H490" s="24">
        <f t="shared" si="86"/>
        <v>1</v>
      </c>
      <c r="I490" s="24" t="str">
        <f t="shared" si="92"/>
        <v/>
      </c>
      <c r="J490" s="24">
        <f t="shared" si="87"/>
        <v>0</v>
      </c>
      <c r="K490" s="24" t="str">
        <f t="shared" si="93"/>
        <v>E5</v>
      </c>
      <c r="L490" s="24" t="str">
        <f>VLOOKUP(N490,CODE!K:P,CODE!$P$1,FALSE)</f>
        <v>모자</v>
      </c>
      <c r="M490" s="24" t="str">
        <f>VLOOKUP(MID(Q490,1,3),CODE!$B:$G,CODE!D$1,FALSE)</f>
        <v>JIL</v>
      </c>
      <c r="N490" s="24" t="str">
        <f t="shared" si="94"/>
        <v>EB</v>
      </c>
      <c r="O490" s="29" t="str">
        <f>IF(ISERROR(IF(VLOOKUP($N490,CODE!$K:$P,CODE!$O$1,FALSE)="",$M490,$M490&amp;"-"&amp;VLOOKUP($N490,CODE!$K:$P,CODE!$O$1,FALSE)))=TRUE,"",IF(VLOOKUP($N490,CODE!$K:$P,CODE!$O$1,FALSE)="",$M490,$M490&amp;"-"&amp;VLOOKUP($N490,CODE!$K:$P,CODE!$O$1,FALSE)))</f>
        <v>JIL</v>
      </c>
      <c r="P490" s="29" t="str">
        <f t="shared" si="95"/>
        <v>JILEBE5343</v>
      </c>
      <c r="Q490" s="1" t="s">
        <v>1278</v>
      </c>
      <c r="R490" s="1" t="s">
        <v>14</v>
      </c>
      <c r="S490" s="26">
        <v>1200</v>
      </c>
      <c r="T490" s="26">
        <v>51600000</v>
      </c>
      <c r="U490" s="26">
        <v>6656184</v>
      </c>
      <c r="V490" s="26">
        <v>7.04744503894287</v>
      </c>
      <c r="W490" s="26">
        <v>0</v>
      </c>
      <c r="X490" s="26">
        <v>1200</v>
      </c>
    </row>
    <row r="491" spans="1:24">
      <c r="A491" s="24" t="str">
        <f t="shared" si="88"/>
        <v>신규</v>
      </c>
      <c r="B491" s="24" t="str">
        <f>IF(COUNTIF(Q$1:Q490,Q491)=0,"최초","리오더")</f>
        <v>최초</v>
      </c>
      <c r="C491" s="24" t="str">
        <f t="shared" si="89"/>
        <v>JILEBE5843</v>
      </c>
      <c r="D491" s="24">
        <f t="shared" si="84"/>
        <v>1</v>
      </c>
      <c r="E491" s="24" t="str">
        <f t="shared" si="90"/>
        <v/>
      </c>
      <c r="F491" s="24">
        <f t="shared" si="85"/>
        <v>0</v>
      </c>
      <c r="G491" s="24" t="str">
        <f t="shared" si="91"/>
        <v>JILEBE5843RE</v>
      </c>
      <c r="H491" s="24">
        <f t="shared" si="86"/>
        <v>1</v>
      </c>
      <c r="I491" s="24" t="str">
        <f t="shared" si="92"/>
        <v/>
      </c>
      <c r="J491" s="24">
        <f t="shared" si="87"/>
        <v>0</v>
      </c>
      <c r="K491" s="24" t="str">
        <f t="shared" si="93"/>
        <v>E5</v>
      </c>
      <c r="L491" s="24" t="str">
        <f>VLOOKUP(N491,CODE!K:P,CODE!$P$1,FALSE)</f>
        <v>모자</v>
      </c>
      <c r="M491" s="24" t="str">
        <f>VLOOKUP(MID(Q491,1,3),CODE!$B:$G,CODE!D$1,FALSE)</f>
        <v>JIL</v>
      </c>
      <c r="N491" s="24" t="str">
        <f t="shared" si="94"/>
        <v>EB</v>
      </c>
      <c r="O491" s="29" t="str">
        <f>IF(ISERROR(IF(VLOOKUP($N491,CODE!$K:$P,CODE!$O$1,FALSE)="",$M491,$M491&amp;"-"&amp;VLOOKUP($N491,CODE!$K:$P,CODE!$O$1,FALSE)))=TRUE,"",IF(VLOOKUP($N491,CODE!$K:$P,CODE!$O$1,FALSE)="",$M491,$M491&amp;"-"&amp;VLOOKUP($N491,CODE!$K:$P,CODE!$O$1,FALSE)))</f>
        <v>JIL</v>
      </c>
      <c r="P491" s="29" t="str">
        <f t="shared" si="95"/>
        <v>JILEBE5843</v>
      </c>
      <c r="Q491" s="1" t="s">
        <v>1279</v>
      </c>
      <c r="R491" s="1" t="s">
        <v>14</v>
      </c>
      <c r="S491" s="26">
        <v>1200</v>
      </c>
      <c r="T491" s="26">
        <v>46800000</v>
      </c>
      <c r="U491" s="26">
        <v>6617277.6000000006</v>
      </c>
      <c r="V491" s="26">
        <v>6.4294498609903474</v>
      </c>
      <c r="W491" s="26">
        <v>0</v>
      </c>
      <c r="X491" s="26">
        <v>1200</v>
      </c>
    </row>
    <row r="492" spans="1:24">
      <c r="A492" s="24" t="str">
        <f t="shared" si="88"/>
        <v>신규</v>
      </c>
      <c r="B492" s="24" t="str">
        <f>IF(COUNTIF(Q$1:Q491,Q492)=0,"최초","리오더")</f>
        <v>최초</v>
      </c>
      <c r="C492" s="24" t="str">
        <f t="shared" si="89"/>
        <v>JILBEE5344</v>
      </c>
      <c r="D492" s="24">
        <f t="shared" si="84"/>
        <v>0.5</v>
      </c>
      <c r="E492" s="24" t="str">
        <f t="shared" si="90"/>
        <v/>
      </c>
      <c r="F492" s="24">
        <f t="shared" si="85"/>
        <v>0</v>
      </c>
      <c r="G492" s="24" t="str">
        <f t="shared" si="91"/>
        <v>JILBEE5344RE</v>
      </c>
      <c r="H492" s="24">
        <f t="shared" si="86"/>
        <v>1</v>
      </c>
      <c r="I492" s="24" t="str">
        <f t="shared" si="92"/>
        <v/>
      </c>
      <c r="J492" s="24">
        <f t="shared" si="87"/>
        <v>0</v>
      </c>
      <c r="K492" s="24" t="str">
        <f t="shared" si="93"/>
        <v>E5</v>
      </c>
      <c r="L492" s="24" t="str">
        <f>VLOOKUP(N492,CODE!K:P,CODE!$P$1,FALSE)</f>
        <v>모자</v>
      </c>
      <c r="M492" s="24" t="str">
        <f>VLOOKUP(MID(Q492,1,3),CODE!$B:$G,CODE!D$1,FALSE)</f>
        <v>JIL</v>
      </c>
      <c r="N492" s="24" t="str">
        <f t="shared" si="94"/>
        <v>BE</v>
      </c>
      <c r="O492" s="29" t="str">
        <f>IF(ISERROR(IF(VLOOKUP($N492,CODE!$K:$P,CODE!$O$1,FALSE)="",$M492,$M492&amp;"-"&amp;VLOOKUP($N492,CODE!$K:$P,CODE!$O$1,FALSE)))=TRUE,"",IF(VLOOKUP($N492,CODE!$K:$P,CODE!$O$1,FALSE)="",$M492,$M492&amp;"-"&amp;VLOOKUP($N492,CODE!$K:$P,CODE!$O$1,FALSE)))</f>
        <v>JIL</v>
      </c>
      <c r="P492" s="29" t="str">
        <f t="shared" si="95"/>
        <v>JILBEE5344</v>
      </c>
      <c r="Q492" s="1" t="s">
        <v>1280</v>
      </c>
      <c r="R492" s="1" t="s">
        <v>14</v>
      </c>
      <c r="S492" s="26">
        <v>1200</v>
      </c>
      <c r="T492" s="26">
        <v>46800000</v>
      </c>
      <c r="U492" s="26">
        <v>5417366.3999999994</v>
      </c>
      <c r="V492" s="26">
        <v>7.8535309233384227</v>
      </c>
      <c r="W492" s="26">
        <v>0</v>
      </c>
      <c r="X492" s="26">
        <v>1200</v>
      </c>
    </row>
    <row r="493" spans="1:24">
      <c r="A493" s="24" t="str">
        <f t="shared" si="88"/>
        <v>신규</v>
      </c>
      <c r="B493" s="24" t="str">
        <f>IF(COUNTIF(Q$1:Q492,Q493)=0,"최초","리오더")</f>
        <v>최초</v>
      </c>
      <c r="C493" s="24" t="str">
        <f t="shared" si="89"/>
        <v>JILBEE5844</v>
      </c>
      <c r="D493" s="24">
        <f t="shared" si="84"/>
        <v>0.5</v>
      </c>
      <c r="E493" s="24" t="str">
        <f t="shared" si="90"/>
        <v/>
      </c>
      <c r="F493" s="24">
        <f t="shared" si="85"/>
        <v>0</v>
      </c>
      <c r="G493" s="24" t="str">
        <f t="shared" si="91"/>
        <v>JILBEE5844RE</v>
      </c>
      <c r="H493" s="24">
        <f t="shared" si="86"/>
        <v>1</v>
      </c>
      <c r="I493" s="24" t="str">
        <f t="shared" si="92"/>
        <v/>
      </c>
      <c r="J493" s="24">
        <f t="shared" si="87"/>
        <v>0</v>
      </c>
      <c r="K493" s="24" t="str">
        <f t="shared" si="93"/>
        <v>E5</v>
      </c>
      <c r="L493" s="24" t="str">
        <f>VLOOKUP(N493,CODE!K:P,CODE!$P$1,FALSE)</f>
        <v>모자</v>
      </c>
      <c r="M493" s="24" t="str">
        <f>VLOOKUP(MID(Q493,1,3),CODE!$B:$G,CODE!D$1,FALSE)</f>
        <v>JIL</v>
      </c>
      <c r="N493" s="24" t="str">
        <f t="shared" si="94"/>
        <v>BE</v>
      </c>
      <c r="O493" s="29" t="str">
        <f>IF(ISERROR(IF(VLOOKUP($N493,CODE!$K:$P,CODE!$O$1,FALSE)="",$M493,$M493&amp;"-"&amp;VLOOKUP($N493,CODE!$K:$P,CODE!$O$1,FALSE)))=TRUE,"",IF(VLOOKUP($N493,CODE!$K:$P,CODE!$O$1,FALSE)="",$M493,$M493&amp;"-"&amp;VLOOKUP($N493,CODE!$K:$P,CODE!$O$1,FALSE)))</f>
        <v>JIL</v>
      </c>
      <c r="P493" s="29" t="str">
        <f t="shared" si="95"/>
        <v>JILBEE5844</v>
      </c>
      <c r="Q493" s="1" t="s">
        <v>1281</v>
      </c>
      <c r="R493" s="1" t="s">
        <v>14</v>
      </c>
      <c r="S493" s="26">
        <v>1000</v>
      </c>
      <c r="T493" s="26">
        <v>35000000</v>
      </c>
      <c r="U493" s="26">
        <v>4519472</v>
      </c>
      <c r="V493" s="26">
        <v>7.0402431563204324</v>
      </c>
      <c r="W493" s="26">
        <v>0</v>
      </c>
      <c r="X493" s="26">
        <v>1000</v>
      </c>
    </row>
    <row r="494" spans="1:24">
      <c r="A494" s="24" t="str">
        <f t="shared" si="88"/>
        <v>신규</v>
      </c>
      <c r="B494" s="24" t="str">
        <f>IF(COUNTIF(Q$1:Q493,Q494)=0,"최초","리오더")</f>
        <v>최초</v>
      </c>
      <c r="C494" s="24" t="str">
        <f t="shared" si="89"/>
        <v>JILBEE5344</v>
      </c>
      <c r="D494" s="24">
        <f t="shared" si="84"/>
        <v>0.5</v>
      </c>
      <c r="E494" s="24" t="str">
        <f t="shared" si="90"/>
        <v/>
      </c>
      <c r="F494" s="24">
        <f t="shared" si="85"/>
        <v>0</v>
      </c>
      <c r="G494" s="24" t="str">
        <f t="shared" si="91"/>
        <v>JILBEE5344MT</v>
      </c>
      <c r="H494" s="24">
        <f t="shared" si="86"/>
        <v>1</v>
      </c>
      <c r="I494" s="24" t="str">
        <f t="shared" si="92"/>
        <v/>
      </c>
      <c r="J494" s="24">
        <f t="shared" si="87"/>
        <v>0</v>
      </c>
      <c r="K494" s="24" t="str">
        <f t="shared" si="93"/>
        <v>E5</v>
      </c>
      <c r="L494" s="24" t="str">
        <f>VLOOKUP(N494,CODE!K:P,CODE!$P$1,FALSE)</f>
        <v>모자</v>
      </c>
      <c r="M494" s="24" t="str">
        <f>VLOOKUP(MID(Q494,1,3),CODE!$B:$G,CODE!D$1,FALSE)</f>
        <v>JIL</v>
      </c>
      <c r="N494" s="24" t="str">
        <f t="shared" si="94"/>
        <v>BE</v>
      </c>
      <c r="O494" s="29" t="str">
        <f>IF(ISERROR(IF(VLOOKUP($N494,CODE!$K:$P,CODE!$O$1,FALSE)="",$M494,$M494&amp;"-"&amp;VLOOKUP($N494,CODE!$K:$P,CODE!$O$1,FALSE)))=TRUE,"",IF(VLOOKUP($N494,CODE!$K:$P,CODE!$O$1,FALSE)="",$M494,$M494&amp;"-"&amp;VLOOKUP($N494,CODE!$K:$P,CODE!$O$1,FALSE)))</f>
        <v>JIL</v>
      </c>
      <c r="P494" s="29" t="str">
        <f t="shared" si="95"/>
        <v>JILBEE5344</v>
      </c>
      <c r="Q494" s="1" t="s">
        <v>1282</v>
      </c>
      <c r="R494" s="1" t="s">
        <v>14</v>
      </c>
      <c r="S494" s="26">
        <v>1200</v>
      </c>
      <c r="T494" s="26">
        <v>46800000</v>
      </c>
      <c r="U494" s="26">
        <v>5417366.3999999994</v>
      </c>
      <c r="V494" s="26">
        <v>7.8535309233384227</v>
      </c>
      <c r="W494" s="26">
        <v>0</v>
      </c>
      <c r="X494" s="26">
        <v>1200</v>
      </c>
    </row>
    <row r="495" spans="1:24">
      <c r="A495" s="24" t="str">
        <f t="shared" si="88"/>
        <v>신규</v>
      </c>
      <c r="B495" s="24" t="str">
        <f>IF(COUNTIF(Q$1:Q494,Q495)=0,"최초","리오더")</f>
        <v>최초</v>
      </c>
      <c r="C495" s="24" t="str">
        <f t="shared" si="89"/>
        <v>JILBEE5844</v>
      </c>
      <c r="D495" s="24">
        <f t="shared" si="84"/>
        <v>0.5</v>
      </c>
      <c r="E495" s="24" t="str">
        <f t="shared" si="90"/>
        <v/>
      </c>
      <c r="F495" s="24">
        <f t="shared" si="85"/>
        <v>0</v>
      </c>
      <c r="G495" s="24" t="str">
        <f t="shared" si="91"/>
        <v>JILBEE5844MT</v>
      </c>
      <c r="H495" s="24">
        <f t="shared" si="86"/>
        <v>1</v>
      </c>
      <c r="I495" s="24" t="str">
        <f t="shared" si="92"/>
        <v/>
      </c>
      <c r="J495" s="24">
        <f t="shared" si="87"/>
        <v>0</v>
      </c>
      <c r="K495" s="24" t="str">
        <f t="shared" si="93"/>
        <v>E5</v>
      </c>
      <c r="L495" s="24" t="str">
        <f>VLOOKUP(N495,CODE!K:P,CODE!$P$1,FALSE)</f>
        <v>모자</v>
      </c>
      <c r="M495" s="24" t="str">
        <f>VLOOKUP(MID(Q495,1,3),CODE!$B:$G,CODE!D$1,FALSE)</f>
        <v>JIL</v>
      </c>
      <c r="N495" s="24" t="str">
        <f t="shared" si="94"/>
        <v>BE</v>
      </c>
      <c r="O495" s="29" t="str">
        <f>IF(ISERROR(IF(VLOOKUP($N495,CODE!$K:$P,CODE!$O$1,FALSE)="",$M495,$M495&amp;"-"&amp;VLOOKUP($N495,CODE!$K:$P,CODE!$O$1,FALSE)))=TRUE,"",IF(VLOOKUP($N495,CODE!$K:$P,CODE!$O$1,FALSE)="",$M495,$M495&amp;"-"&amp;VLOOKUP($N495,CODE!$K:$P,CODE!$O$1,FALSE)))</f>
        <v>JIL</v>
      </c>
      <c r="P495" s="29" t="str">
        <f t="shared" si="95"/>
        <v>JILBEE5844</v>
      </c>
      <c r="Q495" s="1" t="s">
        <v>1283</v>
      </c>
      <c r="R495" s="1" t="s">
        <v>14</v>
      </c>
      <c r="S495" s="26">
        <v>1000</v>
      </c>
      <c r="T495" s="26">
        <v>35000000</v>
      </c>
      <c r="U495" s="26">
        <v>4519472</v>
      </c>
      <c r="V495" s="26">
        <v>7.0402431563204324</v>
      </c>
      <c r="W495" s="26">
        <v>0</v>
      </c>
      <c r="X495" s="26">
        <v>1000</v>
      </c>
    </row>
    <row r="496" spans="1:24">
      <c r="A496" s="24" t="str">
        <f t="shared" si="88"/>
        <v>신규</v>
      </c>
      <c r="B496" s="24" t="str">
        <f>IF(COUNTIF(Q$1:Q495,Q496)=0,"최초","리오더")</f>
        <v>최초</v>
      </c>
      <c r="C496" s="24" t="str">
        <f t="shared" si="89"/>
        <v>JILBEE5345</v>
      </c>
      <c r="D496" s="24">
        <f t="shared" si="84"/>
        <v>0.25</v>
      </c>
      <c r="E496" s="24" t="str">
        <f t="shared" si="90"/>
        <v/>
      </c>
      <c r="F496" s="24">
        <f t="shared" si="85"/>
        <v>0</v>
      </c>
      <c r="G496" s="24" t="str">
        <f t="shared" si="91"/>
        <v>JILBEE5345BK</v>
      </c>
      <c r="H496" s="24">
        <f t="shared" si="86"/>
        <v>1</v>
      </c>
      <c r="I496" s="24" t="str">
        <f t="shared" si="92"/>
        <v/>
      </c>
      <c r="J496" s="24">
        <f t="shared" si="87"/>
        <v>0</v>
      </c>
      <c r="K496" s="24" t="str">
        <f t="shared" si="93"/>
        <v>E5</v>
      </c>
      <c r="L496" s="24" t="str">
        <f>VLOOKUP(N496,CODE!K:P,CODE!$P$1,FALSE)</f>
        <v>모자</v>
      </c>
      <c r="M496" s="24" t="str">
        <f>VLOOKUP(MID(Q496,1,3),CODE!$B:$G,CODE!D$1,FALSE)</f>
        <v>JIL</v>
      </c>
      <c r="N496" s="24" t="str">
        <f t="shared" si="94"/>
        <v>BE</v>
      </c>
      <c r="O496" s="29" t="str">
        <f>IF(ISERROR(IF(VLOOKUP($N496,CODE!$K:$P,CODE!$O$1,FALSE)="",$M496,$M496&amp;"-"&amp;VLOOKUP($N496,CODE!$K:$P,CODE!$O$1,FALSE)))=TRUE,"",IF(VLOOKUP($N496,CODE!$K:$P,CODE!$O$1,FALSE)="",$M496,$M496&amp;"-"&amp;VLOOKUP($N496,CODE!$K:$P,CODE!$O$1,FALSE)))</f>
        <v>JIL</v>
      </c>
      <c r="P496" s="29" t="str">
        <f t="shared" si="95"/>
        <v>JILBEE5345</v>
      </c>
      <c r="Q496" s="1" t="s">
        <v>1284</v>
      </c>
      <c r="R496" s="1" t="s">
        <v>14</v>
      </c>
      <c r="S496" s="26">
        <v>700</v>
      </c>
      <c r="T496" s="26">
        <v>20300000</v>
      </c>
      <c r="U496" s="26">
        <v>2814686.0000000005</v>
      </c>
      <c r="V496" s="26">
        <v>6.5565201427603119</v>
      </c>
      <c r="W496" s="26">
        <v>0</v>
      </c>
      <c r="X496" s="26">
        <v>700</v>
      </c>
    </row>
    <row r="497" spans="1:24">
      <c r="A497" s="24" t="str">
        <f t="shared" si="88"/>
        <v>신규</v>
      </c>
      <c r="B497" s="24" t="str">
        <f>IF(COUNTIF(Q$1:Q496,Q497)=0,"최초","리오더")</f>
        <v>최초</v>
      </c>
      <c r="C497" s="24" t="str">
        <f t="shared" si="89"/>
        <v>JILBEE5345</v>
      </c>
      <c r="D497" s="24">
        <f t="shared" si="84"/>
        <v>0.25</v>
      </c>
      <c r="E497" s="24" t="str">
        <f t="shared" si="90"/>
        <v/>
      </c>
      <c r="F497" s="24">
        <f t="shared" si="85"/>
        <v>0</v>
      </c>
      <c r="G497" s="24" t="str">
        <f t="shared" si="91"/>
        <v>JILBEE5345NY</v>
      </c>
      <c r="H497" s="24">
        <f t="shared" si="86"/>
        <v>1</v>
      </c>
      <c r="I497" s="24" t="str">
        <f t="shared" si="92"/>
        <v/>
      </c>
      <c r="J497" s="24">
        <f t="shared" si="87"/>
        <v>0</v>
      </c>
      <c r="K497" s="24" t="str">
        <f t="shared" si="93"/>
        <v>E5</v>
      </c>
      <c r="L497" s="24" t="str">
        <f>VLOOKUP(N497,CODE!K:P,CODE!$P$1,FALSE)</f>
        <v>모자</v>
      </c>
      <c r="M497" s="24" t="str">
        <f>VLOOKUP(MID(Q497,1,3),CODE!$B:$G,CODE!D$1,FALSE)</f>
        <v>JIL</v>
      </c>
      <c r="N497" s="24" t="str">
        <f t="shared" si="94"/>
        <v>BE</v>
      </c>
      <c r="O497" s="29" t="str">
        <f>IF(ISERROR(IF(VLOOKUP($N497,CODE!$K:$P,CODE!$O$1,FALSE)="",$M497,$M497&amp;"-"&amp;VLOOKUP($N497,CODE!$K:$P,CODE!$O$1,FALSE)))=TRUE,"",IF(VLOOKUP($N497,CODE!$K:$P,CODE!$O$1,FALSE)="",$M497,$M497&amp;"-"&amp;VLOOKUP($N497,CODE!$K:$P,CODE!$O$1,FALSE)))</f>
        <v>JIL</v>
      </c>
      <c r="P497" s="29" t="str">
        <f t="shared" si="95"/>
        <v>JILBEE5345</v>
      </c>
      <c r="Q497" s="1" t="s">
        <v>1285</v>
      </c>
      <c r="R497" s="1" t="s">
        <v>14</v>
      </c>
      <c r="S497" s="26">
        <v>700</v>
      </c>
      <c r="T497" s="26">
        <v>20300000</v>
      </c>
      <c r="U497" s="26">
        <v>2814686.0000000005</v>
      </c>
      <c r="V497" s="26">
        <v>6.5565201427603119</v>
      </c>
      <c r="W497" s="26">
        <v>0</v>
      </c>
      <c r="X497" s="26">
        <v>700</v>
      </c>
    </row>
    <row r="498" spans="1:24">
      <c r="A498" s="24" t="str">
        <f t="shared" si="88"/>
        <v>신규</v>
      </c>
      <c r="B498" s="24" t="str">
        <f>IF(COUNTIF(Q$1:Q497,Q498)=0,"최초","리오더")</f>
        <v>최초</v>
      </c>
      <c r="C498" s="24" t="str">
        <f t="shared" si="89"/>
        <v>JILBEE5345</v>
      </c>
      <c r="D498" s="24">
        <f t="shared" si="84"/>
        <v>0.25</v>
      </c>
      <c r="E498" s="24" t="str">
        <f t="shared" si="90"/>
        <v/>
      </c>
      <c r="F498" s="24">
        <f t="shared" si="85"/>
        <v>0</v>
      </c>
      <c r="G498" s="24" t="str">
        <f t="shared" si="91"/>
        <v>JILBEE5345GY</v>
      </c>
      <c r="H498" s="24">
        <f t="shared" si="86"/>
        <v>1</v>
      </c>
      <c r="I498" s="24" t="str">
        <f t="shared" si="92"/>
        <v/>
      </c>
      <c r="J498" s="24">
        <f t="shared" si="87"/>
        <v>0</v>
      </c>
      <c r="K498" s="24" t="str">
        <f t="shared" si="93"/>
        <v>E5</v>
      </c>
      <c r="L498" s="24" t="str">
        <f>VLOOKUP(N498,CODE!K:P,CODE!$P$1,FALSE)</f>
        <v>모자</v>
      </c>
      <c r="M498" s="24" t="str">
        <f>VLOOKUP(MID(Q498,1,3),CODE!$B:$G,CODE!D$1,FALSE)</f>
        <v>JIL</v>
      </c>
      <c r="N498" s="24" t="str">
        <f t="shared" si="94"/>
        <v>BE</v>
      </c>
      <c r="O498" s="29" t="str">
        <f>IF(ISERROR(IF(VLOOKUP($N498,CODE!$K:$P,CODE!$O$1,FALSE)="",$M498,$M498&amp;"-"&amp;VLOOKUP($N498,CODE!$K:$P,CODE!$O$1,FALSE)))=TRUE,"",IF(VLOOKUP($N498,CODE!$K:$P,CODE!$O$1,FALSE)="",$M498,$M498&amp;"-"&amp;VLOOKUP($N498,CODE!$K:$P,CODE!$O$1,FALSE)))</f>
        <v>JIL</v>
      </c>
      <c r="P498" s="29" t="str">
        <f t="shared" si="95"/>
        <v>JILBEE5345</v>
      </c>
      <c r="Q498" s="1" t="s">
        <v>1286</v>
      </c>
      <c r="R498" s="1" t="s">
        <v>14</v>
      </c>
      <c r="S498" s="26">
        <v>500</v>
      </c>
      <c r="T498" s="26">
        <v>14500000</v>
      </c>
      <c r="U498" s="26">
        <v>2010490.0000000005</v>
      </c>
      <c r="V498" s="26">
        <v>6.5565201427603119</v>
      </c>
      <c r="W498" s="26">
        <v>0</v>
      </c>
      <c r="X498" s="26">
        <v>500</v>
      </c>
    </row>
    <row r="499" spans="1:24">
      <c r="A499" s="24" t="str">
        <f t="shared" si="88"/>
        <v>신규</v>
      </c>
      <c r="B499" s="24" t="str">
        <f>IF(COUNTIF(Q$1:Q498,Q499)=0,"최초","리오더")</f>
        <v>최초</v>
      </c>
      <c r="C499" s="24" t="str">
        <f t="shared" si="89"/>
        <v>JILBEE5345</v>
      </c>
      <c r="D499" s="24">
        <f t="shared" si="84"/>
        <v>0.25</v>
      </c>
      <c r="E499" s="24" t="str">
        <f t="shared" si="90"/>
        <v/>
      </c>
      <c r="F499" s="24">
        <f t="shared" si="85"/>
        <v>0</v>
      </c>
      <c r="G499" s="24" t="str">
        <f t="shared" si="91"/>
        <v>JILBEE5345PK</v>
      </c>
      <c r="H499" s="24">
        <f t="shared" si="86"/>
        <v>1</v>
      </c>
      <c r="I499" s="24" t="str">
        <f t="shared" si="92"/>
        <v/>
      </c>
      <c r="J499" s="24">
        <f t="shared" si="87"/>
        <v>0</v>
      </c>
      <c r="K499" s="24" t="str">
        <f t="shared" si="93"/>
        <v>E5</v>
      </c>
      <c r="L499" s="24" t="str">
        <f>VLOOKUP(N499,CODE!K:P,CODE!$P$1,FALSE)</f>
        <v>모자</v>
      </c>
      <c r="M499" s="24" t="str">
        <f>VLOOKUP(MID(Q499,1,3),CODE!$B:$G,CODE!D$1,FALSE)</f>
        <v>JIL</v>
      </c>
      <c r="N499" s="24" t="str">
        <f t="shared" si="94"/>
        <v>BE</v>
      </c>
      <c r="O499" s="29" t="str">
        <f>IF(ISERROR(IF(VLOOKUP($N499,CODE!$K:$P,CODE!$O$1,FALSE)="",$M499,$M499&amp;"-"&amp;VLOOKUP($N499,CODE!$K:$P,CODE!$O$1,FALSE)))=TRUE,"",IF(VLOOKUP($N499,CODE!$K:$P,CODE!$O$1,FALSE)="",$M499,$M499&amp;"-"&amp;VLOOKUP($N499,CODE!$K:$P,CODE!$O$1,FALSE)))</f>
        <v>JIL</v>
      </c>
      <c r="P499" s="29" t="str">
        <f t="shared" si="95"/>
        <v>JILBEE5345</v>
      </c>
      <c r="Q499" s="1" t="s">
        <v>1287</v>
      </c>
      <c r="R499" s="1" t="s">
        <v>14</v>
      </c>
      <c r="S499" s="26">
        <v>500</v>
      </c>
      <c r="T499" s="26">
        <v>14500000</v>
      </c>
      <c r="U499" s="26">
        <v>2010490.0000000005</v>
      </c>
      <c r="V499" s="26">
        <v>6.5565201427603119</v>
      </c>
      <c r="W499" s="26">
        <v>0</v>
      </c>
      <c r="X499" s="26">
        <v>500</v>
      </c>
    </row>
    <row r="500" spans="1:24">
      <c r="A500" s="24" t="str">
        <f t="shared" si="88"/>
        <v>신규</v>
      </c>
      <c r="B500" s="24" t="str">
        <f>IF(COUNTIF(Q$1:Q499,Q500)=0,"최초","리오더")</f>
        <v>최초</v>
      </c>
      <c r="C500" s="24" t="str">
        <f t="shared" si="89"/>
        <v>JILEBE5346</v>
      </c>
      <c r="D500" s="24">
        <f t="shared" si="84"/>
        <v>0.33333333333333331</v>
      </c>
      <c r="E500" s="24" t="str">
        <f t="shared" si="90"/>
        <v/>
      </c>
      <c r="F500" s="24">
        <f t="shared" si="85"/>
        <v>0</v>
      </c>
      <c r="G500" s="24" t="str">
        <f t="shared" si="91"/>
        <v>JILEBE5346BU</v>
      </c>
      <c r="H500" s="24">
        <f t="shared" si="86"/>
        <v>1</v>
      </c>
      <c r="I500" s="24" t="str">
        <f t="shared" si="92"/>
        <v/>
      </c>
      <c r="J500" s="24">
        <f t="shared" si="87"/>
        <v>0</v>
      </c>
      <c r="K500" s="24" t="str">
        <f t="shared" si="93"/>
        <v>E5</v>
      </c>
      <c r="L500" s="24" t="str">
        <f>VLOOKUP(N500,CODE!K:P,CODE!$P$1,FALSE)</f>
        <v>모자</v>
      </c>
      <c r="M500" s="24" t="str">
        <f>VLOOKUP(MID(Q500,1,3),CODE!$B:$G,CODE!D$1,FALSE)</f>
        <v>JIL</v>
      </c>
      <c r="N500" s="24" t="str">
        <f t="shared" si="94"/>
        <v>EB</v>
      </c>
      <c r="O500" s="29" t="str">
        <f>IF(ISERROR(IF(VLOOKUP($N500,CODE!$K:$P,CODE!$O$1,FALSE)="",$M500,$M500&amp;"-"&amp;VLOOKUP($N500,CODE!$K:$P,CODE!$O$1,FALSE)))=TRUE,"",IF(VLOOKUP($N500,CODE!$K:$P,CODE!$O$1,FALSE)="",$M500,$M500&amp;"-"&amp;VLOOKUP($N500,CODE!$K:$P,CODE!$O$1,FALSE)))</f>
        <v>JIL</v>
      </c>
      <c r="P500" s="29" t="str">
        <f t="shared" si="95"/>
        <v>JILEBE5346</v>
      </c>
      <c r="Q500" s="1" t="s">
        <v>1288</v>
      </c>
      <c r="R500" s="1" t="s">
        <v>14</v>
      </c>
      <c r="S500" s="26">
        <v>700</v>
      </c>
      <c r="T500" s="26">
        <v>30100000</v>
      </c>
      <c r="U500" s="26">
        <v>3657843.0000000005</v>
      </c>
      <c r="V500" s="26">
        <v>7.4808121517616692</v>
      </c>
      <c r="W500" s="26">
        <v>0</v>
      </c>
      <c r="X500" s="26">
        <v>700</v>
      </c>
    </row>
    <row r="501" spans="1:24">
      <c r="A501" s="24" t="str">
        <f t="shared" si="88"/>
        <v>신규</v>
      </c>
      <c r="B501" s="24" t="str">
        <f>IF(COUNTIF(Q$1:Q500,Q501)=0,"최초","리오더")</f>
        <v>최초</v>
      </c>
      <c r="C501" s="24" t="str">
        <f t="shared" si="89"/>
        <v>JILEBE5346</v>
      </c>
      <c r="D501" s="24">
        <f t="shared" si="84"/>
        <v>0.33333333333333331</v>
      </c>
      <c r="E501" s="24" t="str">
        <f t="shared" si="90"/>
        <v/>
      </c>
      <c r="F501" s="24">
        <f t="shared" si="85"/>
        <v>0</v>
      </c>
      <c r="G501" s="24" t="str">
        <f t="shared" si="91"/>
        <v>JILEBE5346BK</v>
      </c>
      <c r="H501" s="24">
        <f t="shared" si="86"/>
        <v>1</v>
      </c>
      <c r="I501" s="24" t="str">
        <f t="shared" si="92"/>
        <v/>
      </c>
      <c r="J501" s="24">
        <f t="shared" si="87"/>
        <v>0</v>
      </c>
      <c r="K501" s="24" t="str">
        <f t="shared" si="93"/>
        <v>E5</v>
      </c>
      <c r="L501" s="24" t="str">
        <f>VLOOKUP(N501,CODE!K:P,CODE!$P$1,FALSE)</f>
        <v>모자</v>
      </c>
      <c r="M501" s="24" t="str">
        <f>VLOOKUP(MID(Q501,1,3),CODE!$B:$G,CODE!D$1,FALSE)</f>
        <v>JIL</v>
      </c>
      <c r="N501" s="24" t="str">
        <f t="shared" si="94"/>
        <v>EB</v>
      </c>
      <c r="O501" s="29" t="str">
        <f>IF(ISERROR(IF(VLOOKUP($N501,CODE!$K:$P,CODE!$O$1,FALSE)="",$M501,$M501&amp;"-"&amp;VLOOKUP($N501,CODE!$K:$P,CODE!$O$1,FALSE)))=TRUE,"",IF(VLOOKUP($N501,CODE!$K:$P,CODE!$O$1,FALSE)="",$M501,$M501&amp;"-"&amp;VLOOKUP($N501,CODE!$K:$P,CODE!$O$1,FALSE)))</f>
        <v>JIL</v>
      </c>
      <c r="P501" s="29" t="str">
        <f t="shared" si="95"/>
        <v>JILEBE5346</v>
      </c>
      <c r="Q501" s="1" t="s">
        <v>1289</v>
      </c>
      <c r="R501" s="1" t="s">
        <v>14</v>
      </c>
      <c r="S501" s="26">
        <v>700</v>
      </c>
      <c r="T501" s="26">
        <v>30100000</v>
      </c>
      <c r="U501" s="26">
        <v>3657843.0000000005</v>
      </c>
      <c r="V501" s="26">
        <v>7.4808121517616692</v>
      </c>
      <c r="W501" s="26">
        <v>0</v>
      </c>
      <c r="X501" s="26">
        <v>700</v>
      </c>
    </row>
    <row r="502" spans="1:24">
      <c r="A502" s="24" t="str">
        <f t="shared" si="88"/>
        <v>신규</v>
      </c>
      <c r="B502" s="24" t="str">
        <f>IF(COUNTIF(Q$1:Q501,Q502)=0,"최초","리오더")</f>
        <v>최초</v>
      </c>
      <c r="C502" s="24" t="str">
        <f t="shared" si="89"/>
        <v>JILEBE5346</v>
      </c>
      <c r="D502" s="24">
        <f t="shared" si="84"/>
        <v>0.33333333333333331</v>
      </c>
      <c r="E502" s="24" t="str">
        <f t="shared" si="90"/>
        <v/>
      </c>
      <c r="F502" s="24">
        <f t="shared" si="85"/>
        <v>0</v>
      </c>
      <c r="G502" s="24" t="str">
        <f t="shared" si="91"/>
        <v>JILEBE5346YE</v>
      </c>
      <c r="H502" s="24">
        <f t="shared" si="86"/>
        <v>1</v>
      </c>
      <c r="I502" s="24" t="str">
        <f t="shared" si="92"/>
        <v/>
      </c>
      <c r="J502" s="24">
        <f t="shared" si="87"/>
        <v>0</v>
      </c>
      <c r="K502" s="24" t="str">
        <f t="shared" si="93"/>
        <v>E5</v>
      </c>
      <c r="L502" s="24" t="str">
        <f>VLOOKUP(N502,CODE!K:P,CODE!$P$1,FALSE)</f>
        <v>모자</v>
      </c>
      <c r="M502" s="24" t="str">
        <f>VLOOKUP(MID(Q502,1,3),CODE!$B:$G,CODE!D$1,FALSE)</f>
        <v>JIL</v>
      </c>
      <c r="N502" s="24" t="str">
        <f t="shared" si="94"/>
        <v>EB</v>
      </c>
      <c r="O502" s="29" t="str">
        <f>IF(ISERROR(IF(VLOOKUP($N502,CODE!$K:$P,CODE!$O$1,FALSE)="",$M502,$M502&amp;"-"&amp;VLOOKUP($N502,CODE!$K:$P,CODE!$O$1,FALSE)))=TRUE,"",IF(VLOOKUP($N502,CODE!$K:$P,CODE!$O$1,FALSE)="",$M502,$M502&amp;"-"&amp;VLOOKUP($N502,CODE!$K:$P,CODE!$O$1,FALSE)))</f>
        <v>JIL</v>
      </c>
      <c r="P502" s="29" t="str">
        <f t="shared" si="95"/>
        <v>JILEBE5346</v>
      </c>
      <c r="Q502" s="1" t="s">
        <v>1290</v>
      </c>
      <c r="R502" s="1" t="s">
        <v>14</v>
      </c>
      <c r="S502" s="26">
        <v>700</v>
      </c>
      <c r="T502" s="26">
        <v>30100000</v>
      </c>
      <c r="U502" s="26">
        <v>3657843.0000000005</v>
      </c>
      <c r="V502" s="26">
        <v>7.4808121517616692</v>
      </c>
      <c r="W502" s="26">
        <v>0</v>
      </c>
      <c r="X502" s="26">
        <v>700</v>
      </c>
    </row>
    <row r="503" spans="1:24">
      <c r="A503" s="24" t="str">
        <f t="shared" si="88"/>
        <v>신규</v>
      </c>
      <c r="B503" s="24" t="str">
        <f>IF(COUNTIF(Q$1:Q502,Q503)=0,"최초","리오더")</f>
        <v>최초</v>
      </c>
      <c r="C503" s="24" t="str">
        <f t="shared" si="89"/>
        <v>JILVBE5347</v>
      </c>
      <c r="D503" s="24">
        <f t="shared" si="84"/>
        <v>0.5</v>
      </c>
      <c r="E503" s="24" t="str">
        <f t="shared" si="90"/>
        <v/>
      </c>
      <c r="F503" s="24">
        <f t="shared" si="85"/>
        <v>0</v>
      </c>
      <c r="G503" s="24" t="str">
        <f t="shared" si="91"/>
        <v>JILVBE5347BW</v>
      </c>
      <c r="H503" s="24">
        <f t="shared" si="86"/>
        <v>1</v>
      </c>
      <c r="I503" s="24" t="str">
        <f t="shared" si="92"/>
        <v/>
      </c>
      <c r="J503" s="24">
        <f t="shared" si="87"/>
        <v>0</v>
      </c>
      <c r="K503" s="24" t="str">
        <f t="shared" si="93"/>
        <v>E5</v>
      </c>
      <c r="L503" s="24" t="str">
        <f>VLOOKUP(N503,CODE!K:P,CODE!$P$1,FALSE)</f>
        <v>모자</v>
      </c>
      <c r="M503" s="24" t="str">
        <f>VLOOKUP(MID(Q503,1,3),CODE!$B:$G,CODE!D$1,FALSE)</f>
        <v>JIL</v>
      </c>
      <c r="N503" s="24" t="str">
        <f t="shared" si="94"/>
        <v>VB</v>
      </c>
      <c r="O503" s="29" t="str">
        <f>IF(ISERROR(IF(VLOOKUP($N503,CODE!$K:$P,CODE!$O$1,FALSE)="",$M503,$M503&amp;"-"&amp;VLOOKUP($N503,CODE!$K:$P,CODE!$O$1,FALSE)))=TRUE,"",IF(VLOOKUP($N503,CODE!$K:$P,CODE!$O$1,FALSE)="",$M503,$M503&amp;"-"&amp;VLOOKUP($N503,CODE!$K:$P,CODE!$O$1,FALSE)))</f>
        <v>JIL</v>
      </c>
      <c r="P503" s="29" t="str">
        <f t="shared" si="95"/>
        <v>JILVBE5347</v>
      </c>
      <c r="Q503" s="1" t="s">
        <v>1291</v>
      </c>
      <c r="R503" s="1" t="s">
        <v>14</v>
      </c>
      <c r="S503" s="26">
        <v>500</v>
      </c>
      <c r="T503" s="26">
        <v>22500000</v>
      </c>
      <c r="U503" s="26">
        <v>3248919.0000000005</v>
      </c>
      <c r="V503" s="26">
        <v>6.2958003737690751</v>
      </c>
      <c r="W503" s="26">
        <v>0</v>
      </c>
      <c r="X503" s="26">
        <v>500</v>
      </c>
    </row>
    <row r="504" spans="1:24">
      <c r="A504" s="24" t="str">
        <f t="shared" si="88"/>
        <v>신규</v>
      </c>
      <c r="B504" s="24" t="str">
        <f>IF(COUNTIF(Q$1:Q503,Q504)=0,"최초","리오더")</f>
        <v>최초</v>
      </c>
      <c r="C504" s="24" t="str">
        <f t="shared" si="89"/>
        <v>JILVBE5347</v>
      </c>
      <c r="D504" s="24">
        <f t="shared" si="84"/>
        <v>0.5</v>
      </c>
      <c r="E504" s="24" t="str">
        <f t="shared" si="90"/>
        <v/>
      </c>
      <c r="F504" s="24">
        <f t="shared" si="85"/>
        <v>0</v>
      </c>
      <c r="G504" s="24" t="str">
        <f t="shared" si="91"/>
        <v>JILVBE5347BK</v>
      </c>
      <c r="H504" s="24">
        <f t="shared" si="86"/>
        <v>1</v>
      </c>
      <c r="I504" s="24" t="str">
        <f t="shared" si="92"/>
        <v/>
      </c>
      <c r="J504" s="24">
        <f t="shared" si="87"/>
        <v>0</v>
      </c>
      <c r="K504" s="24" t="str">
        <f t="shared" si="93"/>
        <v>E5</v>
      </c>
      <c r="L504" s="24" t="str">
        <f>VLOOKUP(N504,CODE!K:P,CODE!$P$1,FALSE)</f>
        <v>모자</v>
      </c>
      <c r="M504" s="24" t="str">
        <f>VLOOKUP(MID(Q504,1,3),CODE!$B:$G,CODE!D$1,FALSE)</f>
        <v>JIL</v>
      </c>
      <c r="N504" s="24" t="str">
        <f t="shared" si="94"/>
        <v>VB</v>
      </c>
      <c r="O504" s="29" t="str">
        <f>IF(ISERROR(IF(VLOOKUP($N504,CODE!$K:$P,CODE!$O$1,FALSE)="",$M504,$M504&amp;"-"&amp;VLOOKUP($N504,CODE!$K:$P,CODE!$O$1,FALSE)))=TRUE,"",IF(VLOOKUP($N504,CODE!$K:$P,CODE!$O$1,FALSE)="",$M504,$M504&amp;"-"&amp;VLOOKUP($N504,CODE!$K:$P,CODE!$O$1,FALSE)))</f>
        <v>JIL</v>
      </c>
      <c r="P504" s="29" t="str">
        <f t="shared" si="95"/>
        <v>JILVBE5347</v>
      </c>
      <c r="Q504" s="1" t="s">
        <v>1292</v>
      </c>
      <c r="R504" s="1" t="s">
        <v>14</v>
      </c>
      <c r="S504" s="26">
        <v>500</v>
      </c>
      <c r="T504" s="26">
        <v>22500000</v>
      </c>
      <c r="U504" s="26">
        <v>3248919.0000000005</v>
      </c>
      <c r="V504" s="26">
        <v>6.2958003737690751</v>
      </c>
      <c r="W504" s="26">
        <v>0</v>
      </c>
      <c r="X504" s="26">
        <v>500</v>
      </c>
    </row>
    <row r="505" spans="1:24">
      <c r="A505" s="24" t="str">
        <f t="shared" si="88"/>
        <v>신규</v>
      </c>
      <c r="B505" s="24" t="str">
        <f>IF(COUNTIF(Q$1:Q504,Q505)=0,"최초","리오더")</f>
        <v>최초</v>
      </c>
      <c r="C505" s="24" t="str">
        <f t="shared" si="89"/>
        <v>JILBEE5348</v>
      </c>
      <c r="D505" s="24">
        <f t="shared" si="84"/>
        <v>0.16666666666666666</v>
      </c>
      <c r="E505" s="24" t="str">
        <f t="shared" si="90"/>
        <v/>
      </c>
      <c r="F505" s="24">
        <f t="shared" si="85"/>
        <v>0</v>
      </c>
      <c r="G505" s="24" t="str">
        <f t="shared" si="91"/>
        <v>JILBEE5348GR</v>
      </c>
      <c r="H505" s="24">
        <f t="shared" si="86"/>
        <v>1</v>
      </c>
      <c r="I505" s="24" t="str">
        <f t="shared" si="92"/>
        <v/>
      </c>
      <c r="J505" s="24">
        <f t="shared" si="87"/>
        <v>0</v>
      </c>
      <c r="K505" s="24" t="str">
        <f t="shared" si="93"/>
        <v>E5</v>
      </c>
      <c r="L505" s="24" t="str">
        <f>VLOOKUP(N505,CODE!K:P,CODE!$P$1,FALSE)</f>
        <v>모자</v>
      </c>
      <c r="M505" s="24" t="str">
        <f>VLOOKUP(MID(Q505,1,3),CODE!$B:$G,CODE!D$1,FALSE)</f>
        <v>JIL</v>
      </c>
      <c r="N505" s="24" t="str">
        <f t="shared" si="94"/>
        <v>BE</v>
      </c>
      <c r="O505" s="29" t="str">
        <f>IF(ISERROR(IF(VLOOKUP($N505,CODE!$K:$P,CODE!$O$1,FALSE)="",$M505,$M505&amp;"-"&amp;VLOOKUP($N505,CODE!$K:$P,CODE!$O$1,FALSE)))=TRUE,"",IF(VLOOKUP($N505,CODE!$K:$P,CODE!$O$1,FALSE)="",$M505,$M505&amp;"-"&amp;VLOOKUP($N505,CODE!$K:$P,CODE!$O$1,FALSE)))</f>
        <v>JIL</v>
      </c>
      <c r="P505" s="29" t="str">
        <f t="shared" si="95"/>
        <v>JILBEE5348</v>
      </c>
      <c r="Q505" s="1" t="s">
        <v>1293</v>
      </c>
      <c r="R505" s="1" t="s">
        <v>14</v>
      </c>
      <c r="S505" s="26">
        <v>1500</v>
      </c>
      <c r="T505" s="26">
        <v>58500000</v>
      </c>
      <c r="U505" s="26">
        <v>6677685</v>
      </c>
      <c r="V505" s="26">
        <v>7.9641100443968496</v>
      </c>
      <c r="W505" s="26">
        <v>0</v>
      </c>
      <c r="X505" s="26">
        <v>1500</v>
      </c>
    </row>
    <row r="506" spans="1:24">
      <c r="A506" s="24" t="str">
        <f t="shared" si="88"/>
        <v>신규</v>
      </c>
      <c r="B506" s="24" t="str">
        <f>IF(COUNTIF(Q$1:Q505,Q506)=0,"최초","리오더")</f>
        <v>최초</v>
      </c>
      <c r="C506" s="24" t="str">
        <f t="shared" si="89"/>
        <v>JILBEE5348</v>
      </c>
      <c r="D506" s="24">
        <f t="shared" si="84"/>
        <v>0.16666666666666666</v>
      </c>
      <c r="E506" s="24" t="str">
        <f t="shared" si="90"/>
        <v/>
      </c>
      <c r="F506" s="24">
        <f t="shared" si="85"/>
        <v>0</v>
      </c>
      <c r="G506" s="24" t="str">
        <f t="shared" si="91"/>
        <v>JILBEE5348GY</v>
      </c>
      <c r="H506" s="24">
        <f t="shared" si="86"/>
        <v>1</v>
      </c>
      <c r="I506" s="24" t="str">
        <f t="shared" si="92"/>
        <v/>
      </c>
      <c r="J506" s="24">
        <f t="shared" si="87"/>
        <v>0</v>
      </c>
      <c r="K506" s="24" t="str">
        <f t="shared" si="93"/>
        <v>E5</v>
      </c>
      <c r="L506" s="24" t="str">
        <f>VLOOKUP(N506,CODE!K:P,CODE!$P$1,FALSE)</f>
        <v>모자</v>
      </c>
      <c r="M506" s="24" t="str">
        <f>VLOOKUP(MID(Q506,1,3),CODE!$B:$G,CODE!D$1,FALSE)</f>
        <v>JIL</v>
      </c>
      <c r="N506" s="24" t="str">
        <f t="shared" si="94"/>
        <v>BE</v>
      </c>
      <c r="O506" s="29" t="str">
        <f>IF(ISERROR(IF(VLOOKUP($N506,CODE!$K:$P,CODE!$O$1,FALSE)="",$M506,$M506&amp;"-"&amp;VLOOKUP($N506,CODE!$K:$P,CODE!$O$1,FALSE)))=TRUE,"",IF(VLOOKUP($N506,CODE!$K:$P,CODE!$O$1,FALSE)="",$M506,$M506&amp;"-"&amp;VLOOKUP($N506,CODE!$K:$P,CODE!$O$1,FALSE)))</f>
        <v>JIL</v>
      </c>
      <c r="P506" s="29" t="str">
        <f t="shared" si="95"/>
        <v>JILBEE5348</v>
      </c>
      <c r="Q506" s="1" t="s">
        <v>1294</v>
      </c>
      <c r="R506" s="1" t="s">
        <v>14</v>
      </c>
      <c r="S506" s="26">
        <v>1000</v>
      </c>
      <c r="T506" s="26">
        <v>39000000</v>
      </c>
      <c r="U506" s="26">
        <v>4451790</v>
      </c>
      <c r="V506" s="26">
        <v>7.9641100443968504</v>
      </c>
      <c r="W506" s="26">
        <v>0</v>
      </c>
      <c r="X506" s="26">
        <v>1000</v>
      </c>
    </row>
    <row r="507" spans="1:24">
      <c r="A507" s="24" t="str">
        <f t="shared" si="88"/>
        <v>신규</v>
      </c>
      <c r="B507" s="24" t="str">
        <f>IF(COUNTIF(Q$1:Q506,Q507)=0,"최초","리오더")</f>
        <v>최초</v>
      </c>
      <c r="C507" s="24" t="str">
        <f t="shared" si="89"/>
        <v>JILBEE5348</v>
      </c>
      <c r="D507" s="24">
        <f t="shared" si="84"/>
        <v>0.16666666666666666</v>
      </c>
      <c r="E507" s="24" t="str">
        <f t="shared" si="90"/>
        <v/>
      </c>
      <c r="F507" s="24">
        <f t="shared" si="85"/>
        <v>0</v>
      </c>
      <c r="G507" s="24" t="str">
        <f t="shared" si="91"/>
        <v>JILBEE5348BL</v>
      </c>
      <c r="H507" s="24">
        <f t="shared" si="86"/>
        <v>1</v>
      </c>
      <c r="I507" s="24" t="str">
        <f t="shared" si="92"/>
        <v/>
      </c>
      <c r="J507" s="24">
        <f t="shared" si="87"/>
        <v>0</v>
      </c>
      <c r="K507" s="24" t="str">
        <f t="shared" si="93"/>
        <v>E5</v>
      </c>
      <c r="L507" s="24" t="str">
        <f>VLOOKUP(N507,CODE!K:P,CODE!$P$1,FALSE)</f>
        <v>모자</v>
      </c>
      <c r="M507" s="24" t="str">
        <f>VLOOKUP(MID(Q507,1,3),CODE!$B:$G,CODE!D$1,FALSE)</f>
        <v>JIL</v>
      </c>
      <c r="N507" s="24" t="str">
        <f t="shared" si="94"/>
        <v>BE</v>
      </c>
      <c r="O507" s="29" t="str">
        <f>IF(ISERROR(IF(VLOOKUP($N507,CODE!$K:$P,CODE!$O$1,FALSE)="",$M507,$M507&amp;"-"&amp;VLOOKUP($N507,CODE!$K:$P,CODE!$O$1,FALSE)))=TRUE,"",IF(VLOOKUP($N507,CODE!$K:$P,CODE!$O$1,FALSE)="",$M507,$M507&amp;"-"&amp;VLOOKUP($N507,CODE!$K:$P,CODE!$O$1,FALSE)))</f>
        <v>JIL</v>
      </c>
      <c r="P507" s="29" t="str">
        <f t="shared" si="95"/>
        <v>JILBEE5348</v>
      </c>
      <c r="Q507" s="1" t="s">
        <v>1295</v>
      </c>
      <c r="R507" s="1" t="s">
        <v>14</v>
      </c>
      <c r="S507" s="26">
        <v>1500</v>
      </c>
      <c r="T507" s="26">
        <v>58500000</v>
      </c>
      <c r="U507" s="26">
        <v>6677685</v>
      </c>
      <c r="V507" s="26">
        <v>7.9641100443968496</v>
      </c>
      <c r="W507" s="26">
        <v>0</v>
      </c>
      <c r="X507" s="26">
        <v>1500</v>
      </c>
    </row>
    <row r="508" spans="1:24">
      <c r="A508" s="24" t="str">
        <f t="shared" si="88"/>
        <v>신규</v>
      </c>
      <c r="B508" s="24" t="str">
        <f>IF(COUNTIF(Q$1:Q507,Q508)=0,"최초","리오더")</f>
        <v>최초</v>
      </c>
      <c r="C508" s="24" t="str">
        <f t="shared" si="89"/>
        <v>JILBEE5348</v>
      </c>
      <c r="D508" s="24">
        <f t="shared" si="84"/>
        <v>0.16666666666666666</v>
      </c>
      <c r="E508" s="24" t="str">
        <f t="shared" si="90"/>
        <v/>
      </c>
      <c r="F508" s="24">
        <f t="shared" si="85"/>
        <v>0</v>
      </c>
      <c r="G508" s="24" t="str">
        <f t="shared" si="91"/>
        <v>JILBEE5348BK</v>
      </c>
      <c r="H508" s="24">
        <f t="shared" si="86"/>
        <v>1</v>
      </c>
      <c r="I508" s="24" t="str">
        <f t="shared" si="92"/>
        <v/>
      </c>
      <c r="J508" s="24">
        <f t="shared" si="87"/>
        <v>0</v>
      </c>
      <c r="K508" s="24" t="str">
        <f t="shared" si="93"/>
        <v>E5</v>
      </c>
      <c r="L508" s="24" t="str">
        <f>VLOOKUP(N508,CODE!K:P,CODE!$P$1,FALSE)</f>
        <v>모자</v>
      </c>
      <c r="M508" s="24" t="str">
        <f>VLOOKUP(MID(Q508,1,3),CODE!$B:$G,CODE!D$1,FALSE)</f>
        <v>JIL</v>
      </c>
      <c r="N508" s="24" t="str">
        <f t="shared" si="94"/>
        <v>BE</v>
      </c>
      <c r="O508" s="29" t="str">
        <f>IF(ISERROR(IF(VLOOKUP($N508,CODE!$K:$P,CODE!$O$1,FALSE)="",$M508,$M508&amp;"-"&amp;VLOOKUP($N508,CODE!$K:$P,CODE!$O$1,FALSE)))=TRUE,"",IF(VLOOKUP($N508,CODE!$K:$P,CODE!$O$1,FALSE)="",$M508,$M508&amp;"-"&amp;VLOOKUP($N508,CODE!$K:$P,CODE!$O$1,FALSE)))</f>
        <v>JIL</v>
      </c>
      <c r="P508" s="29" t="str">
        <f t="shared" si="95"/>
        <v>JILBEE5348</v>
      </c>
      <c r="Q508" s="1" t="s">
        <v>1296</v>
      </c>
      <c r="R508" s="1" t="s">
        <v>14</v>
      </c>
      <c r="S508" s="26">
        <v>2000</v>
      </c>
      <c r="T508" s="26">
        <v>78000000</v>
      </c>
      <c r="U508" s="26">
        <v>8903580</v>
      </c>
      <c r="V508" s="26">
        <v>7.9641100443968504</v>
      </c>
      <c r="W508" s="26">
        <v>0</v>
      </c>
      <c r="X508" s="26">
        <v>2000</v>
      </c>
    </row>
    <row r="509" spans="1:24">
      <c r="A509" s="24" t="str">
        <f t="shared" si="88"/>
        <v>신규</v>
      </c>
      <c r="B509" s="24" t="str">
        <f>IF(COUNTIF(Q$1:Q508,Q509)=0,"최초","리오더")</f>
        <v>최초</v>
      </c>
      <c r="C509" s="24" t="str">
        <f t="shared" si="89"/>
        <v>JILBEE5348</v>
      </c>
      <c r="D509" s="24">
        <f t="shared" si="84"/>
        <v>0.16666666666666666</v>
      </c>
      <c r="E509" s="24" t="str">
        <f t="shared" si="90"/>
        <v/>
      </c>
      <c r="F509" s="24">
        <f t="shared" si="85"/>
        <v>0</v>
      </c>
      <c r="G509" s="24" t="str">
        <f t="shared" si="91"/>
        <v>JILBEE5348RE</v>
      </c>
      <c r="H509" s="24">
        <f t="shared" si="86"/>
        <v>1</v>
      </c>
      <c r="I509" s="24" t="str">
        <f t="shared" si="92"/>
        <v/>
      </c>
      <c r="J509" s="24">
        <f t="shared" si="87"/>
        <v>0</v>
      </c>
      <c r="K509" s="24" t="str">
        <f t="shared" si="93"/>
        <v>E5</v>
      </c>
      <c r="L509" s="24" t="str">
        <f>VLOOKUP(N509,CODE!K:P,CODE!$P$1,FALSE)</f>
        <v>모자</v>
      </c>
      <c r="M509" s="24" t="str">
        <f>VLOOKUP(MID(Q509,1,3),CODE!$B:$G,CODE!D$1,FALSE)</f>
        <v>JIL</v>
      </c>
      <c r="N509" s="24" t="str">
        <f t="shared" si="94"/>
        <v>BE</v>
      </c>
      <c r="O509" s="29" t="str">
        <f>IF(ISERROR(IF(VLOOKUP($N509,CODE!$K:$P,CODE!$O$1,FALSE)="",$M509,$M509&amp;"-"&amp;VLOOKUP($N509,CODE!$K:$P,CODE!$O$1,FALSE)))=TRUE,"",IF(VLOOKUP($N509,CODE!$K:$P,CODE!$O$1,FALSE)="",$M509,$M509&amp;"-"&amp;VLOOKUP($N509,CODE!$K:$P,CODE!$O$1,FALSE)))</f>
        <v>JIL</v>
      </c>
      <c r="P509" s="29" t="str">
        <f t="shared" si="95"/>
        <v>JILBEE5348</v>
      </c>
      <c r="Q509" s="1" t="s">
        <v>1297</v>
      </c>
      <c r="R509" s="1" t="s">
        <v>14</v>
      </c>
      <c r="S509" s="26">
        <v>2000</v>
      </c>
      <c r="T509" s="26">
        <v>78000000</v>
      </c>
      <c r="U509" s="26">
        <v>8903580</v>
      </c>
      <c r="V509" s="26">
        <v>7.9641100443968504</v>
      </c>
      <c r="W509" s="26">
        <v>0</v>
      </c>
      <c r="X509" s="26">
        <v>2000</v>
      </c>
    </row>
    <row r="510" spans="1:24">
      <c r="A510" s="24" t="str">
        <f t="shared" si="88"/>
        <v>신규</v>
      </c>
      <c r="B510" s="24" t="str">
        <f>IF(COUNTIF(Q$1:Q509,Q510)=0,"최초","리오더")</f>
        <v>최초</v>
      </c>
      <c r="C510" s="24" t="str">
        <f t="shared" si="89"/>
        <v>JILBEE5348</v>
      </c>
      <c r="D510" s="24">
        <f t="shared" si="84"/>
        <v>0.16666666666666666</v>
      </c>
      <c r="E510" s="24" t="str">
        <f t="shared" si="90"/>
        <v/>
      </c>
      <c r="F510" s="24">
        <f t="shared" si="85"/>
        <v>0</v>
      </c>
      <c r="G510" s="24" t="str">
        <f t="shared" si="91"/>
        <v>JILBEE5348CL</v>
      </c>
      <c r="H510" s="24">
        <f t="shared" si="86"/>
        <v>1</v>
      </c>
      <c r="I510" s="24" t="str">
        <f t="shared" si="92"/>
        <v/>
      </c>
      <c r="J510" s="24">
        <f t="shared" si="87"/>
        <v>0</v>
      </c>
      <c r="K510" s="24" t="str">
        <f t="shared" si="93"/>
        <v>E5</v>
      </c>
      <c r="L510" s="24" t="str">
        <f>VLOOKUP(N510,CODE!K:P,CODE!$P$1,FALSE)</f>
        <v>모자</v>
      </c>
      <c r="M510" s="24" t="str">
        <f>VLOOKUP(MID(Q510,1,3),CODE!$B:$G,CODE!D$1,FALSE)</f>
        <v>JIL</v>
      </c>
      <c r="N510" s="24" t="str">
        <f t="shared" si="94"/>
        <v>BE</v>
      </c>
      <c r="O510" s="29" t="str">
        <f>IF(ISERROR(IF(VLOOKUP($N510,CODE!$K:$P,CODE!$O$1,FALSE)="",$M510,$M510&amp;"-"&amp;VLOOKUP($N510,CODE!$K:$P,CODE!$O$1,FALSE)))=TRUE,"",IF(VLOOKUP($N510,CODE!$K:$P,CODE!$O$1,FALSE)="",$M510,$M510&amp;"-"&amp;VLOOKUP($N510,CODE!$K:$P,CODE!$O$1,FALSE)))</f>
        <v>JIL</v>
      </c>
      <c r="P510" s="29" t="str">
        <f t="shared" si="95"/>
        <v>JILBEE5348</v>
      </c>
      <c r="Q510" s="1" t="s">
        <v>1298</v>
      </c>
      <c r="R510" s="1" t="s">
        <v>14</v>
      </c>
      <c r="S510" s="26">
        <v>1000</v>
      </c>
      <c r="T510" s="26">
        <v>39000000</v>
      </c>
      <c r="U510" s="26">
        <v>4451790</v>
      </c>
      <c r="V510" s="26">
        <v>7.9641100443968504</v>
      </c>
      <c r="W510" s="26">
        <v>0</v>
      </c>
      <c r="X510" s="26">
        <v>1000</v>
      </c>
    </row>
    <row r="511" spans="1:24">
      <c r="A511" s="24" t="str">
        <f t="shared" si="88"/>
        <v>신규</v>
      </c>
      <c r="B511" s="24" t="str">
        <f>IF(COUNTIF(Q$1:Q510,Q511)=0,"최초","리오더")</f>
        <v>최초</v>
      </c>
      <c r="C511" s="24" t="str">
        <f t="shared" si="89"/>
        <v>JILBEE5349</v>
      </c>
      <c r="D511" s="24">
        <f t="shared" si="84"/>
        <v>1</v>
      </c>
      <c r="E511" s="24" t="str">
        <f t="shared" si="90"/>
        <v/>
      </c>
      <c r="F511" s="24">
        <f t="shared" si="85"/>
        <v>0</v>
      </c>
      <c r="G511" s="24" t="str">
        <f t="shared" si="91"/>
        <v>JILBEE5349BK</v>
      </c>
      <c r="H511" s="24">
        <f t="shared" si="86"/>
        <v>1</v>
      </c>
      <c r="I511" s="24" t="str">
        <f t="shared" si="92"/>
        <v/>
      </c>
      <c r="J511" s="24">
        <f t="shared" si="87"/>
        <v>0</v>
      </c>
      <c r="K511" s="24" t="str">
        <f t="shared" si="93"/>
        <v>E5</v>
      </c>
      <c r="L511" s="24" t="str">
        <f>VLOOKUP(N511,CODE!K:P,CODE!$P$1,FALSE)</f>
        <v>모자</v>
      </c>
      <c r="M511" s="24" t="str">
        <f>VLOOKUP(MID(Q511,1,3),CODE!$B:$G,CODE!D$1,FALSE)</f>
        <v>JIL</v>
      </c>
      <c r="N511" s="24" t="str">
        <f t="shared" si="94"/>
        <v>BE</v>
      </c>
      <c r="O511" s="29" t="str">
        <f>IF(ISERROR(IF(VLOOKUP($N511,CODE!$K:$P,CODE!$O$1,FALSE)="",$M511,$M511&amp;"-"&amp;VLOOKUP($N511,CODE!$K:$P,CODE!$O$1,FALSE)))=TRUE,"",IF(VLOOKUP($N511,CODE!$K:$P,CODE!$O$1,FALSE)="",$M511,$M511&amp;"-"&amp;VLOOKUP($N511,CODE!$K:$P,CODE!$O$1,FALSE)))</f>
        <v>JIL</v>
      </c>
      <c r="P511" s="29" t="str">
        <f t="shared" si="95"/>
        <v>JILBEE5349</v>
      </c>
      <c r="Q511" s="1" t="s">
        <v>1299</v>
      </c>
      <c r="R511" s="1" t="s">
        <v>14</v>
      </c>
      <c r="S511" s="26">
        <v>500</v>
      </c>
      <c r="T511" s="26">
        <v>21500000</v>
      </c>
      <c r="U511" s="26">
        <v>1785411.9999999998</v>
      </c>
      <c r="V511" s="26">
        <v>10.947307705702967</v>
      </c>
      <c r="W511" s="26">
        <v>0</v>
      </c>
      <c r="X511" s="26">
        <v>500</v>
      </c>
    </row>
    <row r="512" spans="1:24">
      <c r="A512" s="24" t="str">
        <f t="shared" si="88"/>
        <v>신규</v>
      </c>
      <c r="B512" s="24" t="str">
        <f>IF(COUNTIF(Q$1:Q511,Q512)=0,"최초","리오더")</f>
        <v>최초</v>
      </c>
      <c r="C512" s="24" t="str">
        <f t="shared" si="89"/>
        <v>JILBEE5849</v>
      </c>
      <c r="D512" s="24">
        <f t="shared" si="84"/>
        <v>1</v>
      </c>
      <c r="E512" s="24" t="str">
        <f t="shared" si="90"/>
        <v/>
      </c>
      <c r="F512" s="24">
        <f t="shared" si="85"/>
        <v>0</v>
      </c>
      <c r="G512" s="24" t="str">
        <f t="shared" si="91"/>
        <v>JILBEE5849BK</v>
      </c>
      <c r="H512" s="24">
        <f t="shared" si="86"/>
        <v>1</v>
      </c>
      <c r="I512" s="24" t="str">
        <f t="shared" si="92"/>
        <v/>
      </c>
      <c r="J512" s="24">
        <f t="shared" si="87"/>
        <v>0</v>
      </c>
      <c r="K512" s="24" t="str">
        <f t="shared" si="93"/>
        <v>E5</v>
      </c>
      <c r="L512" s="24" t="str">
        <f>VLOOKUP(N512,CODE!K:P,CODE!$P$1,FALSE)</f>
        <v>모자</v>
      </c>
      <c r="M512" s="24" t="str">
        <f>VLOOKUP(MID(Q512,1,3),CODE!$B:$G,CODE!D$1,FALSE)</f>
        <v>JIL</v>
      </c>
      <c r="N512" s="24" t="str">
        <f t="shared" si="94"/>
        <v>BE</v>
      </c>
      <c r="O512" s="29" t="str">
        <f>IF(ISERROR(IF(VLOOKUP($N512,CODE!$K:$P,CODE!$O$1,FALSE)="",$M512,$M512&amp;"-"&amp;VLOOKUP($N512,CODE!$K:$P,CODE!$O$1,FALSE)))=TRUE,"",IF(VLOOKUP($N512,CODE!$K:$P,CODE!$O$1,FALSE)="",$M512,$M512&amp;"-"&amp;VLOOKUP($N512,CODE!$K:$P,CODE!$O$1,FALSE)))</f>
        <v>JIL</v>
      </c>
      <c r="P512" s="29" t="str">
        <f t="shared" si="95"/>
        <v>JILBEE5849</v>
      </c>
      <c r="Q512" s="1" t="s">
        <v>1300</v>
      </c>
      <c r="R512" s="1" t="s">
        <v>14</v>
      </c>
      <c r="S512" s="26">
        <v>500</v>
      </c>
      <c r="T512" s="26">
        <v>19500000</v>
      </c>
      <c r="U512" s="26">
        <v>1787911.9999999998</v>
      </c>
      <c r="V512" s="26">
        <v>9.9150700522580131</v>
      </c>
      <c r="W512" s="26">
        <v>0</v>
      </c>
      <c r="X512" s="26">
        <v>500</v>
      </c>
    </row>
    <row r="513" spans="1:24">
      <c r="A513" s="24" t="str">
        <f t="shared" si="88"/>
        <v>신규</v>
      </c>
      <c r="B513" s="24" t="str">
        <f>IF(COUNTIF(Q$1:Q512,Q513)=0,"최초","리오더")</f>
        <v>최초</v>
      </c>
      <c r="C513" s="24" t="str">
        <f t="shared" si="89"/>
        <v>JILEBE5350</v>
      </c>
      <c r="D513" s="24">
        <f t="shared" si="84"/>
        <v>0.5</v>
      </c>
      <c r="E513" s="24" t="str">
        <f t="shared" si="90"/>
        <v/>
      </c>
      <c r="F513" s="24">
        <f t="shared" si="85"/>
        <v>0</v>
      </c>
      <c r="G513" s="24" t="str">
        <f t="shared" si="91"/>
        <v>JILEBE5350BW</v>
      </c>
      <c r="H513" s="24">
        <f t="shared" si="86"/>
        <v>1</v>
      </c>
      <c r="I513" s="24" t="str">
        <f t="shared" si="92"/>
        <v/>
      </c>
      <c r="J513" s="24">
        <f t="shared" si="87"/>
        <v>0</v>
      </c>
      <c r="K513" s="24" t="str">
        <f t="shared" si="93"/>
        <v>E5</v>
      </c>
      <c r="L513" s="24" t="str">
        <f>VLOOKUP(N513,CODE!K:P,CODE!$P$1,FALSE)</f>
        <v>모자</v>
      </c>
      <c r="M513" s="24" t="str">
        <f>VLOOKUP(MID(Q513,1,3),CODE!$B:$G,CODE!D$1,FALSE)</f>
        <v>JIL</v>
      </c>
      <c r="N513" s="24" t="str">
        <f t="shared" si="94"/>
        <v>EB</v>
      </c>
      <c r="O513" s="29" t="str">
        <f>IF(ISERROR(IF(VLOOKUP($N513,CODE!$K:$P,CODE!$O$1,FALSE)="",$M513,$M513&amp;"-"&amp;VLOOKUP($N513,CODE!$K:$P,CODE!$O$1,FALSE)))=TRUE,"",IF(VLOOKUP($N513,CODE!$K:$P,CODE!$O$1,FALSE)="",$M513,$M513&amp;"-"&amp;VLOOKUP($N513,CODE!$K:$P,CODE!$O$1,FALSE)))</f>
        <v>JIL</v>
      </c>
      <c r="P513" s="29" t="str">
        <f t="shared" si="95"/>
        <v>JILEBE5350</v>
      </c>
      <c r="Q513" s="1" t="s">
        <v>1301</v>
      </c>
      <c r="R513" s="1" t="s">
        <v>14</v>
      </c>
      <c r="S513" s="26">
        <v>1000</v>
      </c>
      <c r="T513" s="26">
        <v>43000000</v>
      </c>
      <c r="U513" s="26">
        <v>6237000</v>
      </c>
      <c r="V513" s="26">
        <v>6.2675820251577816</v>
      </c>
      <c r="W513" s="26">
        <v>0</v>
      </c>
      <c r="X513" s="26">
        <v>1000</v>
      </c>
    </row>
    <row r="514" spans="1:24">
      <c r="A514" s="24" t="str">
        <f t="shared" si="88"/>
        <v>신규</v>
      </c>
      <c r="B514" s="24" t="str">
        <f>IF(COUNTIF(Q$1:Q513,Q514)=0,"최초","리오더")</f>
        <v>최초</v>
      </c>
      <c r="C514" s="24" t="str">
        <f t="shared" si="89"/>
        <v>JILEBE5850</v>
      </c>
      <c r="D514" s="24">
        <f t="shared" ref="D514:D561" si="96">IF(C514="",0,1/COUNTIF(C:C,C514))</f>
        <v>0.5</v>
      </c>
      <c r="E514" s="24" t="str">
        <f t="shared" si="90"/>
        <v/>
      </c>
      <c r="F514" s="24">
        <f t="shared" ref="F514:F561" si="97">IF(E514="",0,1/COUNTIF(E:E,E514))</f>
        <v>0</v>
      </c>
      <c r="G514" s="24" t="str">
        <f t="shared" si="91"/>
        <v>JILEBE5850BW</v>
      </c>
      <c r="H514" s="24">
        <f t="shared" ref="H514:H561" si="98">IF(G514="",0,1/COUNTIF(G:G,G514))</f>
        <v>1</v>
      </c>
      <c r="I514" s="24" t="str">
        <f t="shared" si="92"/>
        <v/>
      </c>
      <c r="J514" s="24">
        <f t="shared" ref="J514:J561" si="99">IF(I514="",0,1/COUNTIF(I:I,I514))</f>
        <v>0</v>
      </c>
      <c r="K514" s="24" t="str">
        <f t="shared" si="93"/>
        <v>E5</v>
      </c>
      <c r="L514" s="24" t="str">
        <f>VLOOKUP(N514,CODE!K:P,CODE!$P$1,FALSE)</f>
        <v>모자</v>
      </c>
      <c r="M514" s="24" t="str">
        <f>VLOOKUP(MID(Q514,1,3),CODE!$B:$G,CODE!D$1,FALSE)</f>
        <v>JIL</v>
      </c>
      <c r="N514" s="24" t="str">
        <f t="shared" si="94"/>
        <v>EB</v>
      </c>
      <c r="O514" s="29" t="str">
        <f>IF(ISERROR(IF(VLOOKUP($N514,CODE!$K:$P,CODE!$O$1,FALSE)="",$M514,$M514&amp;"-"&amp;VLOOKUP($N514,CODE!$K:$P,CODE!$O$1,FALSE)))=TRUE,"",IF(VLOOKUP($N514,CODE!$K:$P,CODE!$O$1,FALSE)="",$M514,$M514&amp;"-"&amp;VLOOKUP($N514,CODE!$K:$P,CODE!$O$1,FALSE)))</f>
        <v>JIL</v>
      </c>
      <c r="P514" s="29" t="str">
        <f t="shared" si="95"/>
        <v>JILEBE5850</v>
      </c>
      <c r="Q514" s="1" t="s">
        <v>1302</v>
      </c>
      <c r="R514" s="1" t="s">
        <v>14</v>
      </c>
      <c r="S514" s="26">
        <v>800</v>
      </c>
      <c r="T514" s="26">
        <v>31200000</v>
      </c>
      <c r="U514" s="26">
        <v>4989600</v>
      </c>
      <c r="V514" s="26">
        <v>5.6845511390965937</v>
      </c>
      <c r="W514" s="26">
        <v>0</v>
      </c>
      <c r="X514" s="26">
        <v>800</v>
      </c>
    </row>
    <row r="515" spans="1:24">
      <c r="A515" s="24" t="str">
        <f t="shared" ref="A515:A578" si="100">IF(OR(MID(Q515,8,1)="3",MID(Q515,8,1)="8"),"신규","러닝")</f>
        <v>신규</v>
      </c>
      <c r="B515" s="24" t="str">
        <f>IF(COUNTIF(Q$1:Q514,Q515)=0,"최초","리오더")</f>
        <v>최초</v>
      </c>
      <c r="C515" s="24" t="str">
        <f t="shared" ref="C515:C561" si="101">IF($B515="리오더","",P515)</f>
        <v>JILEBE5350</v>
      </c>
      <c r="D515" s="24">
        <f t="shared" si="96"/>
        <v>0.5</v>
      </c>
      <c r="E515" s="24" t="str">
        <f t="shared" ref="E515:E561" si="102">IF($B515="리오더",P515,"")</f>
        <v/>
      </c>
      <c r="F515" s="24">
        <f t="shared" si="97"/>
        <v>0</v>
      </c>
      <c r="G515" s="24" t="str">
        <f t="shared" ref="G515:G561" si="103">IF($B515="리오더","",Q515)</f>
        <v>JILEBE5350NY</v>
      </c>
      <c r="H515" s="24">
        <f t="shared" si="98"/>
        <v>1</v>
      </c>
      <c r="I515" s="24" t="str">
        <f t="shared" ref="I515:I561" si="104">IF($B515="리오더",Q515,"")</f>
        <v/>
      </c>
      <c r="J515" s="24">
        <f t="shared" si="99"/>
        <v>0</v>
      </c>
      <c r="K515" s="24" t="str">
        <f t="shared" ref="K515:K561" si="105">MID(Q515,6,2)</f>
        <v>E5</v>
      </c>
      <c r="L515" s="24" t="str">
        <f>VLOOKUP(N515,CODE!K:P,CODE!$P$1,FALSE)</f>
        <v>모자</v>
      </c>
      <c r="M515" s="24" t="str">
        <f>VLOOKUP(MID(Q515,1,3),CODE!$B:$G,CODE!D$1,FALSE)</f>
        <v>JIL</v>
      </c>
      <c r="N515" s="24" t="str">
        <f t="shared" ref="N515:N561" si="106">MID(Q515,4,2)</f>
        <v>EB</v>
      </c>
      <c r="O515" s="29" t="str">
        <f>IF(ISERROR(IF(VLOOKUP($N515,CODE!$K:$P,CODE!$O$1,FALSE)="",$M515,$M515&amp;"-"&amp;VLOOKUP($N515,CODE!$K:$P,CODE!$O$1,FALSE)))=TRUE,"",IF(VLOOKUP($N515,CODE!$K:$P,CODE!$O$1,FALSE)="",$M515,$M515&amp;"-"&amp;VLOOKUP($N515,CODE!$K:$P,CODE!$O$1,FALSE)))</f>
        <v>JIL</v>
      </c>
      <c r="P515" s="29" t="str">
        <f t="shared" ref="P515:P561" si="107">MID(Q515,1,10)</f>
        <v>JILEBE5350</v>
      </c>
      <c r="Q515" s="1" t="s">
        <v>1303</v>
      </c>
      <c r="R515" s="1" t="s">
        <v>14</v>
      </c>
      <c r="S515" s="26">
        <v>800</v>
      </c>
      <c r="T515" s="26">
        <v>34400000</v>
      </c>
      <c r="U515" s="26">
        <v>4989600</v>
      </c>
      <c r="V515" s="26">
        <v>6.2675820251577825</v>
      </c>
      <c r="W515" s="26">
        <v>0</v>
      </c>
      <c r="X515" s="26">
        <v>800</v>
      </c>
    </row>
    <row r="516" spans="1:24">
      <c r="A516" s="24" t="str">
        <f t="shared" si="100"/>
        <v>신규</v>
      </c>
      <c r="B516" s="24" t="str">
        <f>IF(COUNTIF(Q$1:Q515,Q516)=0,"최초","리오더")</f>
        <v>최초</v>
      </c>
      <c r="C516" s="24" t="str">
        <f t="shared" si="101"/>
        <v>JILEBE5850</v>
      </c>
      <c r="D516" s="24">
        <f t="shared" si="96"/>
        <v>0.5</v>
      </c>
      <c r="E516" s="24" t="str">
        <f t="shared" si="102"/>
        <v/>
      </c>
      <c r="F516" s="24">
        <f t="shared" si="97"/>
        <v>0</v>
      </c>
      <c r="G516" s="24" t="str">
        <f t="shared" si="103"/>
        <v>JILEBE5850NY</v>
      </c>
      <c r="H516" s="24">
        <f t="shared" si="98"/>
        <v>1</v>
      </c>
      <c r="I516" s="24" t="str">
        <f t="shared" si="104"/>
        <v/>
      </c>
      <c r="J516" s="24">
        <f t="shared" si="99"/>
        <v>0</v>
      </c>
      <c r="K516" s="24" t="str">
        <f t="shared" si="105"/>
        <v>E5</v>
      </c>
      <c r="L516" s="24" t="str">
        <f>VLOOKUP(N516,CODE!K:P,CODE!$P$1,FALSE)</f>
        <v>모자</v>
      </c>
      <c r="M516" s="24" t="str">
        <f>VLOOKUP(MID(Q516,1,3),CODE!$B:$G,CODE!D$1,FALSE)</f>
        <v>JIL</v>
      </c>
      <c r="N516" s="24" t="str">
        <f t="shared" si="106"/>
        <v>EB</v>
      </c>
      <c r="O516" s="29" t="str">
        <f>IF(ISERROR(IF(VLOOKUP($N516,CODE!$K:$P,CODE!$O$1,FALSE)="",$M516,$M516&amp;"-"&amp;VLOOKUP($N516,CODE!$K:$P,CODE!$O$1,FALSE)))=TRUE,"",IF(VLOOKUP($N516,CODE!$K:$P,CODE!$O$1,FALSE)="",$M516,$M516&amp;"-"&amp;VLOOKUP($N516,CODE!$K:$P,CODE!$O$1,FALSE)))</f>
        <v>JIL</v>
      </c>
      <c r="P516" s="29" t="str">
        <f t="shared" si="107"/>
        <v>JILEBE5850</v>
      </c>
      <c r="Q516" s="1" t="s">
        <v>1304</v>
      </c>
      <c r="R516" s="1" t="s">
        <v>14</v>
      </c>
      <c r="S516" s="26">
        <v>600</v>
      </c>
      <c r="T516" s="26">
        <v>23400000</v>
      </c>
      <c r="U516" s="26">
        <v>3742200</v>
      </c>
      <c r="V516" s="26">
        <v>5.6845511390965928</v>
      </c>
      <c r="W516" s="26">
        <v>0</v>
      </c>
      <c r="X516" s="26">
        <v>600</v>
      </c>
    </row>
    <row r="517" spans="1:24">
      <c r="A517" s="24" t="str">
        <f t="shared" si="100"/>
        <v>신규</v>
      </c>
      <c r="B517" s="24" t="str">
        <f>IF(COUNTIF(Q$1:Q516,Q517)=0,"최초","리오더")</f>
        <v>최초</v>
      </c>
      <c r="C517" s="24" t="str">
        <f t="shared" si="101"/>
        <v>JILBEE5352</v>
      </c>
      <c r="D517" s="24">
        <f t="shared" si="96"/>
        <v>0.5</v>
      </c>
      <c r="E517" s="24" t="str">
        <f t="shared" si="102"/>
        <v/>
      </c>
      <c r="F517" s="24">
        <f t="shared" si="97"/>
        <v>0</v>
      </c>
      <c r="G517" s="24" t="str">
        <f t="shared" si="103"/>
        <v>JILBEE5352BK</v>
      </c>
      <c r="H517" s="24">
        <f t="shared" si="98"/>
        <v>1</v>
      </c>
      <c r="I517" s="24" t="str">
        <f t="shared" si="104"/>
        <v/>
      </c>
      <c r="J517" s="24">
        <f t="shared" si="99"/>
        <v>0</v>
      </c>
      <c r="K517" s="24" t="str">
        <f t="shared" si="105"/>
        <v>E5</v>
      </c>
      <c r="L517" s="24" t="str">
        <f>VLOOKUP(N517,CODE!K:P,CODE!$P$1,FALSE)</f>
        <v>모자</v>
      </c>
      <c r="M517" s="24" t="str">
        <f>VLOOKUP(MID(Q517,1,3),CODE!$B:$G,CODE!D$1,FALSE)</f>
        <v>JIL</v>
      </c>
      <c r="N517" s="24" t="str">
        <f t="shared" si="106"/>
        <v>BE</v>
      </c>
      <c r="O517" s="29" t="str">
        <f>IF(ISERROR(IF(VLOOKUP($N517,CODE!$K:$P,CODE!$O$1,FALSE)="",$M517,$M517&amp;"-"&amp;VLOOKUP($N517,CODE!$K:$P,CODE!$O$1,FALSE)))=TRUE,"",IF(VLOOKUP($N517,CODE!$K:$P,CODE!$O$1,FALSE)="",$M517,$M517&amp;"-"&amp;VLOOKUP($N517,CODE!$K:$P,CODE!$O$1,FALSE)))</f>
        <v>JIL</v>
      </c>
      <c r="P517" s="29" t="str">
        <f t="shared" si="107"/>
        <v>JILBEE5352</v>
      </c>
      <c r="Q517" s="1" t="s">
        <v>1305</v>
      </c>
      <c r="R517" s="1" t="s">
        <v>14</v>
      </c>
      <c r="S517" s="26">
        <v>500</v>
      </c>
      <c r="T517" s="26">
        <v>19500000</v>
      </c>
      <c r="U517" s="26">
        <v>2089395</v>
      </c>
      <c r="V517" s="26">
        <v>8.4844046852187969</v>
      </c>
      <c r="W517" s="26">
        <v>0</v>
      </c>
      <c r="X517" s="26">
        <v>500</v>
      </c>
    </row>
    <row r="518" spans="1:24">
      <c r="A518" s="24" t="str">
        <f t="shared" si="100"/>
        <v>신규</v>
      </c>
      <c r="B518" s="24" t="str">
        <f>IF(COUNTIF(Q$1:Q517,Q518)=0,"최초","리오더")</f>
        <v>최초</v>
      </c>
      <c r="C518" s="24" t="str">
        <f t="shared" si="101"/>
        <v>JILBEE5352</v>
      </c>
      <c r="D518" s="24">
        <f t="shared" si="96"/>
        <v>0.5</v>
      </c>
      <c r="E518" s="24" t="str">
        <f t="shared" si="102"/>
        <v/>
      </c>
      <c r="F518" s="24">
        <f t="shared" si="97"/>
        <v>0</v>
      </c>
      <c r="G518" s="24" t="str">
        <f t="shared" si="103"/>
        <v>JILBEE5352GY</v>
      </c>
      <c r="H518" s="24">
        <f t="shared" si="98"/>
        <v>1</v>
      </c>
      <c r="I518" s="24" t="str">
        <f t="shared" si="104"/>
        <v/>
      </c>
      <c r="J518" s="24">
        <f t="shared" si="99"/>
        <v>0</v>
      </c>
      <c r="K518" s="24" t="str">
        <f t="shared" si="105"/>
        <v>E5</v>
      </c>
      <c r="L518" s="24" t="str">
        <f>VLOOKUP(N518,CODE!K:P,CODE!$P$1,FALSE)</f>
        <v>모자</v>
      </c>
      <c r="M518" s="24" t="str">
        <f>VLOOKUP(MID(Q518,1,3),CODE!$B:$G,CODE!D$1,FALSE)</f>
        <v>JIL</v>
      </c>
      <c r="N518" s="24" t="str">
        <f t="shared" si="106"/>
        <v>BE</v>
      </c>
      <c r="O518" s="29" t="str">
        <f>IF(ISERROR(IF(VLOOKUP($N518,CODE!$K:$P,CODE!$O$1,FALSE)="",$M518,$M518&amp;"-"&amp;VLOOKUP($N518,CODE!$K:$P,CODE!$O$1,FALSE)))=TRUE,"",IF(VLOOKUP($N518,CODE!$K:$P,CODE!$O$1,FALSE)="",$M518,$M518&amp;"-"&amp;VLOOKUP($N518,CODE!$K:$P,CODE!$O$1,FALSE)))</f>
        <v>JIL</v>
      </c>
      <c r="P518" s="29" t="str">
        <f t="shared" si="107"/>
        <v>JILBEE5352</v>
      </c>
      <c r="Q518" s="1" t="s">
        <v>1306</v>
      </c>
      <c r="R518" s="1" t="s">
        <v>14</v>
      </c>
      <c r="S518" s="26">
        <v>500</v>
      </c>
      <c r="T518" s="26">
        <v>19500000</v>
      </c>
      <c r="U518" s="26">
        <v>2089395</v>
      </c>
      <c r="V518" s="26">
        <v>8.4844046852187969</v>
      </c>
      <c r="W518" s="26">
        <v>0</v>
      </c>
      <c r="X518" s="26">
        <v>500</v>
      </c>
    </row>
    <row r="519" spans="1:24">
      <c r="A519" s="24" t="str">
        <f t="shared" si="100"/>
        <v>신규</v>
      </c>
      <c r="B519" s="24" t="str">
        <f>IF(COUNTIF(Q$1:Q518,Q519)=0,"최초","리오더")</f>
        <v>최초</v>
      </c>
      <c r="C519" s="24" t="str">
        <f t="shared" si="101"/>
        <v>JILBEE5353</v>
      </c>
      <c r="D519" s="24">
        <f t="shared" si="96"/>
        <v>0.5</v>
      </c>
      <c r="E519" s="24" t="str">
        <f t="shared" si="102"/>
        <v/>
      </c>
      <c r="F519" s="24">
        <f t="shared" si="97"/>
        <v>0</v>
      </c>
      <c r="G519" s="24" t="str">
        <f t="shared" si="103"/>
        <v>JILBEE5353OR</v>
      </c>
      <c r="H519" s="24">
        <f t="shared" si="98"/>
        <v>1</v>
      </c>
      <c r="I519" s="24" t="str">
        <f t="shared" si="104"/>
        <v/>
      </c>
      <c r="J519" s="24">
        <f t="shared" si="99"/>
        <v>0</v>
      </c>
      <c r="K519" s="24" t="str">
        <f t="shared" si="105"/>
        <v>E5</v>
      </c>
      <c r="L519" s="24" t="str">
        <f>VLOOKUP(N519,CODE!K:P,CODE!$P$1,FALSE)</f>
        <v>모자</v>
      </c>
      <c r="M519" s="24" t="str">
        <f>VLOOKUP(MID(Q519,1,3),CODE!$B:$G,CODE!D$1,FALSE)</f>
        <v>JIL</v>
      </c>
      <c r="N519" s="24" t="str">
        <f t="shared" si="106"/>
        <v>BE</v>
      </c>
      <c r="O519" s="29" t="str">
        <f>IF(ISERROR(IF(VLOOKUP($N519,CODE!$K:$P,CODE!$O$1,FALSE)="",$M519,$M519&amp;"-"&amp;VLOOKUP($N519,CODE!$K:$P,CODE!$O$1,FALSE)))=TRUE,"",IF(VLOOKUP($N519,CODE!$K:$P,CODE!$O$1,FALSE)="",$M519,$M519&amp;"-"&amp;VLOOKUP($N519,CODE!$K:$P,CODE!$O$1,FALSE)))</f>
        <v>JIL</v>
      </c>
      <c r="P519" s="29" t="str">
        <f t="shared" si="107"/>
        <v>JILBEE5353</v>
      </c>
      <c r="Q519" s="1" t="s">
        <v>1307</v>
      </c>
      <c r="R519" s="1" t="s">
        <v>14</v>
      </c>
      <c r="S519" s="26">
        <v>500</v>
      </c>
      <c r="T519" s="26">
        <v>21500000</v>
      </c>
      <c r="U519" s="26">
        <v>2120580</v>
      </c>
      <c r="V519" s="26">
        <v>9.2170323899379163</v>
      </c>
      <c r="W519" s="26">
        <v>0</v>
      </c>
      <c r="X519" s="26">
        <v>500</v>
      </c>
    </row>
    <row r="520" spans="1:24">
      <c r="A520" s="24" t="str">
        <f t="shared" si="100"/>
        <v>신규</v>
      </c>
      <c r="B520" s="24" t="str">
        <f>IF(COUNTIF(Q$1:Q519,Q520)=0,"최초","리오더")</f>
        <v>최초</v>
      </c>
      <c r="C520" s="24" t="str">
        <f t="shared" si="101"/>
        <v>JILBEE5353</v>
      </c>
      <c r="D520" s="24">
        <f t="shared" si="96"/>
        <v>0.5</v>
      </c>
      <c r="E520" s="24" t="str">
        <f t="shared" si="102"/>
        <v/>
      </c>
      <c r="F520" s="24">
        <f t="shared" si="97"/>
        <v>0</v>
      </c>
      <c r="G520" s="24" t="str">
        <f t="shared" si="103"/>
        <v>JILBEE5353GR</v>
      </c>
      <c r="H520" s="24">
        <f t="shared" si="98"/>
        <v>1</v>
      </c>
      <c r="I520" s="24" t="str">
        <f t="shared" si="104"/>
        <v/>
      </c>
      <c r="J520" s="24">
        <f t="shared" si="99"/>
        <v>0</v>
      </c>
      <c r="K520" s="24" t="str">
        <f t="shared" si="105"/>
        <v>E5</v>
      </c>
      <c r="L520" s="24" t="str">
        <f>VLOOKUP(N520,CODE!K:P,CODE!$P$1,FALSE)</f>
        <v>모자</v>
      </c>
      <c r="M520" s="24" t="str">
        <f>VLOOKUP(MID(Q520,1,3),CODE!$B:$G,CODE!D$1,FALSE)</f>
        <v>JIL</v>
      </c>
      <c r="N520" s="24" t="str">
        <f t="shared" si="106"/>
        <v>BE</v>
      </c>
      <c r="O520" s="29" t="str">
        <f>IF(ISERROR(IF(VLOOKUP($N520,CODE!$K:$P,CODE!$O$1,FALSE)="",$M520,$M520&amp;"-"&amp;VLOOKUP($N520,CODE!$K:$P,CODE!$O$1,FALSE)))=TRUE,"",IF(VLOOKUP($N520,CODE!$K:$P,CODE!$O$1,FALSE)="",$M520,$M520&amp;"-"&amp;VLOOKUP($N520,CODE!$K:$P,CODE!$O$1,FALSE)))</f>
        <v>JIL</v>
      </c>
      <c r="P520" s="29" t="str">
        <f t="shared" si="107"/>
        <v>JILBEE5353</v>
      </c>
      <c r="Q520" s="1" t="s">
        <v>1308</v>
      </c>
      <c r="R520" s="1" t="s">
        <v>14</v>
      </c>
      <c r="S520" s="26">
        <v>500</v>
      </c>
      <c r="T520" s="26">
        <v>21500000</v>
      </c>
      <c r="U520" s="26">
        <v>2120580</v>
      </c>
      <c r="V520" s="26">
        <v>9.2170323899379163</v>
      </c>
      <c r="W520" s="26">
        <v>0</v>
      </c>
      <c r="X520" s="26">
        <v>500</v>
      </c>
    </row>
    <row r="521" spans="1:24">
      <c r="A521" s="24" t="str">
        <f t="shared" si="100"/>
        <v>신규</v>
      </c>
      <c r="B521" s="24" t="str">
        <f>IF(COUNTIF(Q$1:Q520,Q521)=0,"최초","리오더")</f>
        <v>최초</v>
      </c>
      <c r="C521" s="24" t="str">
        <f t="shared" si="101"/>
        <v>JILEBE5354</v>
      </c>
      <c r="D521" s="24">
        <f t="shared" si="96"/>
        <v>1</v>
      </c>
      <c r="E521" s="24" t="str">
        <f t="shared" si="102"/>
        <v/>
      </c>
      <c r="F521" s="24">
        <f t="shared" si="97"/>
        <v>0</v>
      </c>
      <c r="G521" s="24" t="str">
        <f t="shared" si="103"/>
        <v>JILEBE5354NY</v>
      </c>
      <c r="H521" s="24">
        <f t="shared" si="98"/>
        <v>1</v>
      </c>
      <c r="I521" s="24" t="str">
        <f t="shared" si="104"/>
        <v/>
      </c>
      <c r="J521" s="24">
        <f t="shared" si="99"/>
        <v>0</v>
      </c>
      <c r="K521" s="24" t="str">
        <f t="shared" si="105"/>
        <v>E5</v>
      </c>
      <c r="L521" s="24" t="str">
        <f>VLOOKUP(N521,CODE!K:P,CODE!$P$1,FALSE)</f>
        <v>모자</v>
      </c>
      <c r="M521" s="24" t="str">
        <f>VLOOKUP(MID(Q521,1,3),CODE!$B:$G,CODE!D$1,FALSE)</f>
        <v>JIL</v>
      </c>
      <c r="N521" s="24" t="str">
        <f t="shared" si="106"/>
        <v>EB</v>
      </c>
      <c r="O521" s="29" t="str">
        <f>IF(ISERROR(IF(VLOOKUP($N521,CODE!$K:$P,CODE!$O$1,FALSE)="",$M521,$M521&amp;"-"&amp;VLOOKUP($N521,CODE!$K:$P,CODE!$O$1,FALSE)))=TRUE,"",IF(VLOOKUP($N521,CODE!$K:$P,CODE!$O$1,FALSE)="",$M521,$M521&amp;"-"&amp;VLOOKUP($N521,CODE!$K:$P,CODE!$O$1,FALSE)))</f>
        <v>JIL</v>
      </c>
      <c r="P521" s="29" t="str">
        <f t="shared" si="107"/>
        <v>JILEBE5354</v>
      </c>
      <c r="Q521" s="1" t="s">
        <v>1309</v>
      </c>
      <c r="R521" s="1" t="s">
        <v>14</v>
      </c>
      <c r="S521" s="26">
        <v>500</v>
      </c>
      <c r="T521" s="26">
        <v>22500000</v>
      </c>
      <c r="U521" s="26">
        <v>2744280.0000000005</v>
      </c>
      <c r="V521" s="26">
        <v>7.4535198502140627</v>
      </c>
      <c r="W521" s="26">
        <v>0</v>
      </c>
      <c r="X521" s="26">
        <v>500</v>
      </c>
    </row>
    <row r="522" spans="1:24">
      <c r="A522" s="24" t="str">
        <f t="shared" si="100"/>
        <v>신규</v>
      </c>
      <c r="B522" s="24" t="str">
        <f>IF(COUNTIF(Q$1:Q521,Q522)=0,"최초","리오더")</f>
        <v>최초</v>
      </c>
      <c r="C522" s="24" t="str">
        <f t="shared" si="101"/>
        <v>JILBEE5355</v>
      </c>
      <c r="D522" s="24">
        <f t="shared" si="96"/>
        <v>0.5</v>
      </c>
      <c r="E522" s="24" t="str">
        <f t="shared" si="102"/>
        <v/>
      </c>
      <c r="F522" s="24">
        <f t="shared" si="97"/>
        <v>0</v>
      </c>
      <c r="G522" s="24" t="str">
        <f t="shared" si="103"/>
        <v>JILBEE5355RE</v>
      </c>
      <c r="H522" s="24">
        <f t="shared" si="98"/>
        <v>1</v>
      </c>
      <c r="I522" s="24" t="str">
        <f t="shared" si="104"/>
        <v/>
      </c>
      <c r="J522" s="24">
        <f t="shared" si="99"/>
        <v>0</v>
      </c>
      <c r="K522" s="24" t="str">
        <f t="shared" si="105"/>
        <v>E5</v>
      </c>
      <c r="L522" s="24" t="str">
        <f>VLOOKUP(N522,CODE!K:P,CODE!$P$1,FALSE)</f>
        <v>모자</v>
      </c>
      <c r="M522" s="24" t="str">
        <f>VLOOKUP(MID(Q522,1,3),CODE!$B:$G,CODE!D$1,FALSE)</f>
        <v>JIL</v>
      </c>
      <c r="N522" s="24" t="str">
        <f t="shared" si="106"/>
        <v>BE</v>
      </c>
      <c r="O522" s="29" t="str">
        <f>IF(ISERROR(IF(VLOOKUP($N522,CODE!$K:$P,CODE!$O$1,FALSE)="",$M522,$M522&amp;"-"&amp;VLOOKUP($N522,CODE!$K:$P,CODE!$O$1,FALSE)))=TRUE,"",IF(VLOOKUP($N522,CODE!$K:$P,CODE!$O$1,FALSE)="",$M522,$M522&amp;"-"&amp;VLOOKUP($N522,CODE!$K:$P,CODE!$O$1,FALSE)))</f>
        <v>JIL</v>
      </c>
      <c r="P522" s="29" t="str">
        <f t="shared" si="107"/>
        <v>JILBEE5355</v>
      </c>
      <c r="Q522" s="1" t="s">
        <v>1310</v>
      </c>
      <c r="R522" s="1" t="s">
        <v>14</v>
      </c>
      <c r="S522" s="26">
        <v>700</v>
      </c>
      <c r="T522" s="26">
        <v>27300000</v>
      </c>
      <c r="U522" s="26">
        <v>2794176</v>
      </c>
      <c r="V522" s="26">
        <v>8.8821111548384266</v>
      </c>
      <c r="W522" s="26">
        <v>0</v>
      </c>
      <c r="X522" s="26">
        <v>700</v>
      </c>
    </row>
    <row r="523" spans="1:24">
      <c r="A523" s="24" t="str">
        <f t="shared" si="100"/>
        <v>신규</v>
      </c>
      <c r="B523" s="24" t="str">
        <f>IF(COUNTIF(Q$1:Q522,Q523)=0,"최초","리오더")</f>
        <v>최초</v>
      </c>
      <c r="C523" s="24" t="str">
        <f t="shared" si="101"/>
        <v>JILBEE5855</v>
      </c>
      <c r="D523" s="24">
        <f t="shared" si="96"/>
        <v>0.5</v>
      </c>
      <c r="E523" s="24" t="str">
        <f t="shared" si="102"/>
        <v/>
      </c>
      <c r="F523" s="24">
        <f t="shared" si="97"/>
        <v>0</v>
      </c>
      <c r="G523" s="24" t="str">
        <f t="shared" si="103"/>
        <v>JILBEE5855RE</v>
      </c>
      <c r="H523" s="24">
        <f t="shared" si="98"/>
        <v>1</v>
      </c>
      <c r="I523" s="24" t="str">
        <f t="shared" si="104"/>
        <v/>
      </c>
      <c r="J523" s="24">
        <f t="shared" si="99"/>
        <v>0</v>
      </c>
      <c r="K523" s="24" t="str">
        <f t="shared" si="105"/>
        <v>E5</v>
      </c>
      <c r="L523" s="24" t="str">
        <f>VLOOKUP(N523,CODE!K:P,CODE!$P$1,FALSE)</f>
        <v>모자</v>
      </c>
      <c r="M523" s="24" t="str">
        <f>VLOOKUP(MID(Q523,1,3),CODE!$B:$G,CODE!D$1,FALSE)</f>
        <v>JIL</v>
      </c>
      <c r="N523" s="24" t="str">
        <f t="shared" si="106"/>
        <v>BE</v>
      </c>
      <c r="O523" s="29" t="str">
        <f>IF(ISERROR(IF(VLOOKUP($N523,CODE!$K:$P,CODE!$O$1,FALSE)="",$M523,$M523&amp;"-"&amp;VLOOKUP($N523,CODE!$K:$P,CODE!$O$1,FALSE)))=TRUE,"",IF(VLOOKUP($N523,CODE!$K:$P,CODE!$O$1,FALSE)="",$M523,$M523&amp;"-"&amp;VLOOKUP($N523,CODE!$K:$P,CODE!$O$1,FALSE)))</f>
        <v>JIL</v>
      </c>
      <c r="P523" s="29" t="str">
        <f t="shared" si="107"/>
        <v>JILBEE5855</v>
      </c>
      <c r="Q523" s="1" t="s">
        <v>1311</v>
      </c>
      <c r="R523" s="1" t="s">
        <v>14</v>
      </c>
      <c r="S523" s="26">
        <v>700</v>
      </c>
      <c r="T523" s="26">
        <v>24500000</v>
      </c>
      <c r="U523" s="26">
        <v>2794176</v>
      </c>
      <c r="V523" s="26">
        <v>7.9711253953678192</v>
      </c>
      <c r="W523" s="26">
        <v>0</v>
      </c>
      <c r="X523" s="26">
        <v>700</v>
      </c>
    </row>
    <row r="524" spans="1:24">
      <c r="A524" s="24" t="str">
        <f t="shared" si="100"/>
        <v>신규</v>
      </c>
      <c r="B524" s="24" t="str">
        <f>IF(COUNTIF(Q$1:Q523,Q524)=0,"최초","리오더")</f>
        <v>최초</v>
      </c>
      <c r="C524" s="24" t="str">
        <f t="shared" si="101"/>
        <v>JILBEE5355</v>
      </c>
      <c r="D524" s="24">
        <f t="shared" si="96"/>
        <v>0.5</v>
      </c>
      <c r="E524" s="24" t="str">
        <f t="shared" si="102"/>
        <v/>
      </c>
      <c r="F524" s="24">
        <f t="shared" si="97"/>
        <v>0</v>
      </c>
      <c r="G524" s="24" t="str">
        <f t="shared" si="103"/>
        <v>JILBEE5355KH</v>
      </c>
      <c r="H524" s="24">
        <f t="shared" si="98"/>
        <v>1</v>
      </c>
      <c r="I524" s="24" t="str">
        <f t="shared" si="104"/>
        <v/>
      </c>
      <c r="J524" s="24">
        <f t="shared" si="99"/>
        <v>0</v>
      </c>
      <c r="K524" s="24" t="str">
        <f t="shared" si="105"/>
        <v>E5</v>
      </c>
      <c r="L524" s="24" t="str">
        <f>VLOOKUP(N524,CODE!K:P,CODE!$P$1,FALSE)</f>
        <v>모자</v>
      </c>
      <c r="M524" s="24" t="str">
        <f>VLOOKUP(MID(Q524,1,3),CODE!$B:$G,CODE!D$1,FALSE)</f>
        <v>JIL</v>
      </c>
      <c r="N524" s="24" t="str">
        <f t="shared" si="106"/>
        <v>BE</v>
      </c>
      <c r="O524" s="29" t="str">
        <f>IF(ISERROR(IF(VLOOKUP($N524,CODE!$K:$P,CODE!$O$1,FALSE)="",$M524,$M524&amp;"-"&amp;VLOOKUP($N524,CODE!$K:$P,CODE!$O$1,FALSE)))=TRUE,"",IF(VLOOKUP($N524,CODE!$K:$P,CODE!$O$1,FALSE)="",$M524,$M524&amp;"-"&amp;VLOOKUP($N524,CODE!$K:$P,CODE!$O$1,FALSE)))</f>
        <v>JIL</v>
      </c>
      <c r="P524" s="29" t="str">
        <f t="shared" si="107"/>
        <v>JILBEE5355</v>
      </c>
      <c r="Q524" s="1" t="s">
        <v>1312</v>
      </c>
      <c r="R524" s="1" t="s">
        <v>14</v>
      </c>
      <c r="S524" s="26">
        <v>700</v>
      </c>
      <c r="T524" s="26">
        <v>27300000</v>
      </c>
      <c r="U524" s="26">
        <v>2794176</v>
      </c>
      <c r="V524" s="26">
        <v>8.8821111548384266</v>
      </c>
      <c r="W524" s="26">
        <v>0</v>
      </c>
      <c r="X524" s="26">
        <v>700</v>
      </c>
    </row>
    <row r="525" spans="1:24">
      <c r="A525" s="24" t="str">
        <f t="shared" si="100"/>
        <v>신규</v>
      </c>
      <c r="B525" s="24" t="str">
        <f>IF(COUNTIF(Q$1:Q524,Q525)=0,"최초","리오더")</f>
        <v>최초</v>
      </c>
      <c r="C525" s="24" t="str">
        <f t="shared" si="101"/>
        <v>JILBEE5855</v>
      </c>
      <c r="D525" s="24">
        <f t="shared" si="96"/>
        <v>0.5</v>
      </c>
      <c r="E525" s="24" t="str">
        <f t="shared" si="102"/>
        <v/>
      </c>
      <c r="F525" s="24">
        <f t="shared" si="97"/>
        <v>0</v>
      </c>
      <c r="G525" s="24" t="str">
        <f t="shared" si="103"/>
        <v>JILBEE5855KH</v>
      </c>
      <c r="H525" s="24">
        <f t="shared" si="98"/>
        <v>1</v>
      </c>
      <c r="I525" s="24" t="str">
        <f t="shared" si="104"/>
        <v/>
      </c>
      <c r="J525" s="24">
        <f t="shared" si="99"/>
        <v>0</v>
      </c>
      <c r="K525" s="24" t="str">
        <f t="shared" si="105"/>
        <v>E5</v>
      </c>
      <c r="L525" s="24" t="str">
        <f>VLOOKUP(N525,CODE!K:P,CODE!$P$1,FALSE)</f>
        <v>모자</v>
      </c>
      <c r="M525" s="24" t="str">
        <f>VLOOKUP(MID(Q525,1,3),CODE!$B:$G,CODE!D$1,FALSE)</f>
        <v>JIL</v>
      </c>
      <c r="N525" s="24" t="str">
        <f t="shared" si="106"/>
        <v>BE</v>
      </c>
      <c r="O525" s="29" t="str">
        <f>IF(ISERROR(IF(VLOOKUP($N525,CODE!$K:$P,CODE!$O$1,FALSE)="",$M525,$M525&amp;"-"&amp;VLOOKUP($N525,CODE!$K:$P,CODE!$O$1,FALSE)))=TRUE,"",IF(VLOOKUP($N525,CODE!$K:$P,CODE!$O$1,FALSE)="",$M525,$M525&amp;"-"&amp;VLOOKUP($N525,CODE!$K:$P,CODE!$O$1,FALSE)))</f>
        <v>JIL</v>
      </c>
      <c r="P525" s="29" t="str">
        <f t="shared" si="107"/>
        <v>JILBEE5855</v>
      </c>
      <c r="Q525" s="1" t="s">
        <v>1313</v>
      </c>
      <c r="R525" s="1" t="s">
        <v>14</v>
      </c>
      <c r="S525" s="26">
        <v>700</v>
      </c>
      <c r="T525" s="26">
        <v>24500000</v>
      </c>
      <c r="U525" s="26">
        <v>2794176</v>
      </c>
      <c r="V525" s="26">
        <v>7.9711253953678192</v>
      </c>
      <c r="W525" s="26">
        <v>0</v>
      </c>
      <c r="X525" s="26">
        <v>700</v>
      </c>
    </row>
    <row r="526" spans="1:24">
      <c r="A526" s="24" t="str">
        <f t="shared" si="100"/>
        <v>신규</v>
      </c>
      <c r="B526" s="24" t="str">
        <f>IF(COUNTIF(Q$1:Q525,Q526)=0,"최초","리오더")</f>
        <v>최초</v>
      </c>
      <c r="C526" s="24" t="str">
        <f t="shared" si="101"/>
        <v>JILBEE5356</v>
      </c>
      <c r="D526" s="24">
        <f t="shared" si="96"/>
        <v>0.33333333333333331</v>
      </c>
      <c r="E526" s="24" t="str">
        <f t="shared" si="102"/>
        <v/>
      </c>
      <c r="F526" s="24">
        <f t="shared" si="97"/>
        <v>0</v>
      </c>
      <c r="G526" s="24" t="str">
        <f t="shared" si="103"/>
        <v>JILBEE5356BK</v>
      </c>
      <c r="H526" s="24">
        <f t="shared" si="98"/>
        <v>1</v>
      </c>
      <c r="I526" s="24" t="str">
        <f t="shared" si="104"/>
        <v/>
      </c>
      <c r="J526" s="24">
        <f t="shared" si="99"/>
        <v>0</v>
      </c>
      <c r="K526" s="24" t="str">
        <f t="shared" si="105"/>
        <v>E5</v>
      </c>
      <c r="L526" s="24" t="str">
        <f>VLOOKUP(N526,CODE!K:P,CODE!$P$1,FALSE)</f>
        <v>모자</v>
      </c>
      <c r="M526" s="24" t="str">
        <f>VLOOKUP(MID(Q526,1,3),CODE!$B:$G,CODE!D$1,FALSE)</f>
        <v>JIL</v>
      </c>
      <c r="N526" s="24" t="str">
        <f t="shared" si="106"/>
        <v>BE</v>
      </c>
      <c r="O526" s="29" t="str">
        <f>IF(ISERROR(IF(VLOOKUP($N526,CODE!$K:$P,CODE!$O$1,FALSE)="",$M526,$M526&amp;"-"&amp;VLOOKUP($N526,CODE!$K:$P,CODE!$O$1,FALSE)))=TRUE,"",IF(VLOOKUP($N526,CODE!$K:$P,CODE!$O$1,FALSE)="",$M526,$M526&amp;"-"&amp;VLOOKUP($N526,CODE!$K:$P,CODE!$O$1,FALSE)))</f>
        <v>JIL</v>
      </c>
      <c r="P526" s="29" t="str">
        <f t="shared" si="107"/>
        <v>JILBEE5356</v>
      </c>
      <c r="Q526" s="1" t="s">
        <v>1314</v>
      </c>
      <c r="R526" s="1" t="s">
        <v>14</v>
      </c>
      <c r="S526" s="26">
        <v>800</v>
      </c>
      <c r="T526" s="26">
        <v>31200000</v>
      </c>
      <c r="U526" s="26">
        <v>4390848.0000000009</v>
      </c>
      <c r="V526" s="26">
        <v>6.4597172035188546</v>
      </c>
      <c r="W526" s="26">
        <v>0</v>
      </c>
      <c r="X526" s="26">
        <v>800</v>
      </c>
    </row>
    <row r="527" spans="1:24">
      <c r="A527" s="24" t="str">
        <f t="shared" si="100"/>
        <v>신규</v>
      </c>
      <c r="B527" s="24" t="str">
        <f>IF(COUNTIF(Q$1:Q526,Q527)=0,"최초","리오더")</f>
        <v>최초</v>
      </c>
      <c r="C527" s="24" t="str">
        <f t="shared" si="101"/>
        <v>JILBEE5856</v>
      </c>
      <c r="D527" s="24">
        <f t="shared" si="96"/>
        <v>0.33333333333333331</v>
      </c>
      <c r="E527" s="24" t="str">
        <f t="shared" si="102"/>
        <v/>
      </c>
      <c r="F527" s="24">
        <f t="shared" si="97"/>
        <v>0</v>
      </c>
      <c r="G527" s="24" t="str">
        <f t="shared" si="103"/>
        <v>JILBEE5856BK</v>
      </c>
      <c r="H527" s="24">
        <f t="shared" si="98"/>
        <v>1</v>
      </c>
      <c r="I527" s="24" t="str">
        <f t="shared" si="104"/>
        <v/>
      </c>
      <c r="J527" s="24">
        <f t="shared" si="99"/>
        <v>0</v>
      </c>
      <c r="K527" s="24" t="str">
        <f t="shared" si="105"/>
        <v>E5</v>
      </c>
      <c r="L527" s="24" t="str">
        <f>VLOOKUP(N527,CODE!K:P,CODE!$P$1,FALSE)</f>
        <v>모자</v>
      </c>
      <c r="M527" s="24" t="str">
        <f>VLOOKUP(MID(Q527,1,3),CODE!$B:$G,CODE!D$1,FALSE)</f>
        <v>JIL</v>
      </c>
      <c r="N527" s="24" t="str">
        <f t="shared" si="106"/>
        <v>BE</v>
      </c>
      <c r="O527" s="29" t="str">
        <f>IF(ISERROR(IF(VLOOKUP($N527,CODE!$K:$P,CODE!$O$1,FALSE)="",$M527,$M527&amp;"-"&amp;VLOOKUP($N527,CODE!$K:$P,CODE!$O$1,FALSE)))=TRUE,"",IF(VLOOKUP($N527,CODE!$K:$P,CODE!$O$1,FALSE)="",$M527,$M527&amp;"-"&amp;VLOOKUP($N527,CODE!$K:$P,CODE!$O$1,FALSE)))</f>
        <v>JIL</v>
      </c>
      <c r="P527" s="29" t="str">
        <f t="shared" si="107"/>
        <v>JILBEE5856</v>
      </c>
      <c r="Q527" s="1" t="s">
        <v>1315</v>
      </c>
      <c r="R527" s="1" t="s">
        <v>14</v>
      </c>
      <c r="S527" s="26">
        <v>800</v>
      </c>
      <c r="T527" s="26">
        <v>28000000</v>
      </c>
      <c r="U527" s="26">
        <v>4390848.0000000009</v>
      </c>
      <c r="V527" s="26">
        <v>5.7971821057220483</v>
      </c>
      <c r="W527" s="26">
        <v>0</v>
      </c>
      <c r="X527" s="26">
        <v>800</v>
      </c>
    </row>
    <row r="528" spans="1:24">
      <c r="A528" s="24" t="str">
        <f t="shared" si="100"/>
        <v>신규</v>
      </c>
      <c r="B528" s="24" t="str">
        <f>IF(COUNTIF(Q$1:Q527,Q528)=0,"최초","리오더")</f>
        <v>최초</v>
      </c>
      <c r="C528" s="24" t="str">
        <f t="shared" si="101"/>
        <v>JILBEE5356</v>
      </c>
      <c r="D528" s="24">
        <f t="shared" si="96"/>
        <v>0.33333333333333331</v>
      </c>
      <c r="E528" s="24" t="str">
        <f t="shared" si="102"/>
        <v/>
      </c>
      <c r="F528" s="24">
        <f t="shared" si="97"/>
        <v>0</v>
      </c>
      <c r="G528" s="24" t="str">
        <f t="shared" si="103"/>
        <v>JILBEE5356NY</v>
      </c>
      <c r="H528" s="24">
        <f t="shared" si="98"/>
        <v>1</v>
      </c>
      <c r="I528" s="24" t="str">
        <f t="shared" si="104"/>
        <v/>
      </c>
      <c r="J528" s="24">
        <f t="shared" si="99"/>
        <v>0</v>
      </c>
      <c r="K528" s="24" t="str">
        <f t="shared" si="105"/>
        <v>E5</v>
      </c>
      <c r="L528" s="24" t="str">
        <f>VLOOKUP(N528,CODE!K:P,CODE!$P$1,FALSE)</f>
        <v>모자</v>
      </c>
      <c r="M528" s="24" t="str">
        <f>VLOOKUP(MID(Q528,1,3),CODE!$B:$G,CODE!D$1,FALSE)</f>
        <v>JIL</v>
      </c>
      <c r="N528" s="24" t="str">
        <f t="shared" si="106"/>
        <v>BE</v>
      </c>
      <c r="O528" s="29" t="str">
        <f>IF(ISERROR(IF(VLOOKUP($N528,CODE!$K:$P,CODE!$O$1,FALSE)="",$M528,$M528&amp;"-"&amp;VLOOKUP($N528,CODE!$K:$P,CODE!$O$1,FALSE)))=TRUE,"",IF(VLOOKUP($N528,CODE!$K:$P,CODE!$O$1,FALSE)="",$M528,$M528&amp;"-"&amp;VLOOKUP($N528,CODE!$K:$P,CODE!$O$1,FALSE)))</f>
        <v>JIL</v>
      </c>
      <c r="P528" s="29" t="str">
        <f t="shared" si="107"/>
        <v>JILBEE5356</v>
      </c>
      <c r="Q528" s="1" t="s">
        <v>1316</v>
      </c>
      <c r="R528" s="1" t="s">
        <v>14</v>
      </c>
      <c r="S528" s="26">
        <v>1000</v>
      </c>
      <c r="T528" s="26">
        <v>39000000</v>
      </c>
      <c r="U528" s="26">
        <v>5488560.0000000009</v>
      </c>
      <c r="V528" s="26">
        <v>6.4597172035188546</v>
      </c>
      <c r="W528" s="26">
        <v>0</v>
      </c>
      <c r="X528" s="26">
        <v>1000</v>
      </c>
    </row>
    <row r="529" spans="1:24">
      <c r="A529" s="24" t="str">
        <f t="shared" si="100"/>
        <v>신규</v>
      </c>
      <c r="B529" s="24" t="str">
        <f>IF(COUNTIF(Q$1:Q528,Q529)=0,"최초","리오더")</f>
        <v>최초</v>
      </c>
      <c r="C529" s="24" t="str">
        <f t="shared" si="101"/>
        <v>JILBEE5856</v>
      </c>
      <c r="D529" s="24">
        <f t="shared" si="96"/>
        <v>0.33333333333333331</v>
      </c>
      <c r="E529" s="24" t="str">
        <f t="shared" si="102"/>
        <v/>
      </c>
      <c r="F529" s="24">
        <f t="shared" si="97"/>
        <v>0</v>
      </c>
      <c r="G529" s="24" t="str">
        <f t="shared" si="103"/>
        <v>JILBEE5856NY</v>
      </c>
      <c r="H529" s="24">
        <f t="shared" si="98"/>
        <v>1</v>
      </c>
      <c r="I529" s="24" t="str">
        <f t="shared" si="104"/>
        <v/>
      </c>
      <c r="J529" s="24">
        <f t="shared" si="99"/>
        <v>0</v>
      </c>
      <c r="K529" s="24" t="str">
        <f t="shared" si="105"/>
        <v>E5</v>
      </c>
      <c r="L529" s="24" t="str">
        <f>VLOOKUP(N529,CODE!K:P,CODE!$P$1,FALSE)</f>
        <v>모자</v>
      </c>
      <c r="M529" s="24" t="str">
        <f>VLOOKUP(MID(Q529,1,3),CODE!$B:$G,CODE!D$1,FALSE)</f>
        <v>JIL</v>
      </c>
      <c r="N529" s="24" t="str">
        <f t="shared" si="106"/>
        <v>BE</v>
      </c>
      <c r="O529" s="29" t="str">
        <f>IF(ISERROR(IF(VLOOKUP($N529,CODE!$K:$P,CODE!$O$1,FALSE)="",$M529,$M529&amp;"-"&amp;VLOOKUP($N529,CODE!$K:$P,CODE!$O$1,FALSE)))=TRUE,"",IF(VLOOKUP($N529,CODE!$K:$P,CODE!$O$1,FALSE)="",$M529,$M529&amp;"-"&amp;VLOOKUP($N529,CODE!$K:$P,CODE!$O$1,FALSE)))</f>
        <v>JIL</v>
      </c>
      <c r="P529" s="29" t="str">
        <f t="shared" si="107"/>
        <v>JILBEE5856</v>
      </c>
      <c r="Q529" s="1" t="s">
        <v>1317</v>
      </c>
      <c r="R529" s="1" t="s">
        <v>14</v>
      </c>
      <c r="S529" s="26">
        <v>1000</v>
      </c>
      <c r="T529" s="26">
        <v>35000000</v>
      </c>
      <c r="U529" s="26">
        <v>5488560.0000000009</v>
      </c>
      <c r="V529" s="26">
        <v>5.7971821057220492</v>
      </c>
      <c r="W529" s="26">
        <v>0</v>
      </c>
      <c r="X529" s="26">
        <v>1000</v>
      </c>
    </row>
    <row r="530" spans="1:24">
      <c r="A530" s="24" t="str">
        <f t="shared" si="100"/>
        <v>신규</v>
      </c>
      <c r="B530" s="24" t="str">
        <f>IF(COUNTIF(Q$1:Q529,Q530)=0,"최초","리오더")</f>
        <v>최초</v>
      </c>
      <c r="C530" s="24" t="str">
        <f t="shared" si="101"/>
        <v>JILBEE5356</v>
      </c>
      <c r="D530" s="24">
        <f t="shared" si="96"/>
        <v>0.33333333333333331</v>
      </c>
      <c r="E530" s="24" t="str">
        <f t="shared" si="102"/>
        <v/>
      </c>
      <c r="F530" s="24">
        <f t="shared" si="97"/>
        <v>0</v>
      </c>
      <c r="G530" s="24" t="str">
        <f t="shared" si="103"/>
        <v>JILBEE5356MT</v>
      </c>
      <c r="H530" s="24">
        <f t="shared" si="98"/>
        <v>1</v>
      </c>
      <c r="I530" s="24" t="str">
        <f t="shared" si="104"/>
        <v/>
      </c>
      <c r="J530" s="24">
        <f t="shared" si="99"/>
        <v>0</v>
      </c>
      <c r="K530" s="24" t="str">
        <f t="shared" si="105"/>
        <v>E5</v>
      </c>
      <c r="L530" s="24" t="str">
        <f>VLOOKUP(N530,CODE!K:P,CODE!$P$1,FALSE)</f>
        <v>모자</v>
      </c>
      <c r="M530" s="24" t="str">
        <f>VLOOKUP(MID(Q530,1,3),CODE!$B:$G,CODE!D$1,FALSE)</f>
        <v>JIL</v>
      </c>
      <c r="N530" s="24" t="str">
        <f t="shared" si="106"/>
        <v>BE</v>
      </c>
      <c r="O530" s="29" t="str">
        <f>IF(ISERROR(IF(VLOOKUP($N530,CODE!$K:$P,CODE!$O$1,FALSE)="",$M530,$M530&amp;"-"&amp;VLOOKUP($N530,CODE!$K:$P,CODE!$O$1,FALSE)))=TRUE,"",IF(VLOOKUP($N530,CODE!$K:$P,CODE!$O$1,FALSE)="",$M530,$M530&amp;"-"&amp;VLOOKUP($N530,CODE!$K:$P,CODE!$O$1,FALSE)))</f>
        <v>JIL</v>
      </c>
      <c r="P530" s="29" t="str">
        <f t="shared" si="107"/>
        <v>JILBEE5356</v>
      </c>
      <c r="Q530" s="1" t="s">
        <v>1318</v>
      </c>
      <c r="R530" s="1" t="s">
        <v>14</v>
      </c>
      <c r="S530" s="26">
        <v>1000</v>
      </c>
      <c r="T530" s="26">
        <v>39000000</v>
      </c>
      <c r="U530" s="26">
        <v>5488560.0000000009</v>
      </c>
      <c r="V530" s="26">
        <v>6.4597172035188546</v>
      </c>
      <c r="W530" s="26">
        <v>0</v>
      </c>
      <c r="X530" s="26">
        <v>1000</v>
      </c>
    </row>
    <row r="531" spans="1:24">
      <c r="A531" s="24" t="str">
        <f t="shared" si="100"/>
        <v>신규</v>
      </c>
      <c r="B531" s="24" t="str">
        <f>IF(COUNTIF(Q$1:Q530,Q531)=0,"최초","리오더")</f>
        <v>최초</v>
      </c>
      <c r="C531" s="24" t="str">
        <f t="shared" si="101"/>
        <v>JILBEE5856</v>
      </c>
      <c r="D531" s="24">
        <f t="shared" si="96"/>
        <v>0.33333333333333331</v>
      </c>
      <c r="E531" s="24" t="str">
        <f t="shared" si="102"/>
        <v/>
      </c>
      <c r="F531" s="24">
        <f t="shared" si="97"/>
        <v>0</v>
      </c>
      <c r="G531" s="24" t="str">
        <f t="shared" si="103"/>
        <v>JILBEE5856MT</v>
      </c>
      <c r="H531" s="24">
        <f t="shared" si="98"/>
        <v>1</v>
      </c>
      <c r="I531" s="24" t="str">
        <f t="shared" si="104"/>
        <v/>
      </c>
      <c r="J531" s="24">
        <f t="shared" si="99"/>
        <v>0</v>
      </c>
      <c r="K531" s="24" t="str">
        <f t="shared" si="105"/>
        <v>E5</v>
      </c>
      <c r="L531" s="24" t="str">
        <f>VLOOKUP(N531,CODE!K:P,CODE!$P$1,FALSE)</f>
        <v>모자</v>
      </c>
      <c r="M531" s="24" t="str">
        <f>VLOOKUP(MID(Q531,1,3),CODE!$B:$G,CODE!D$1,FALSE)</f>
        <v>JIL</v>
      </c>
      <c r="N531" s="24" t="str">
        <f t="shared" si="106"/>
        <v>BE</v>
      </c>
      <c r="O531" s="29" t="str">
        <f>IF(ISERROR(IF(VLOOKUP($N531,CODE!$K:$P,CODE!$O$1,FALSE)="",$M531,$M531&amp;"-"&amp;VLOOKUP($N531,CODE!$K:$P,CODE!$O$1,FALSE)))=TRUE,"",IF(VLOOKUP($N531,CODE!$K:$P,CODE!$O$1,FALSE)="",$M531,$M531&amp;"-"&amp;VLOOKUP($N531,CODE!$K:$P,CODE!$O$1,FALSE)))</f>
        <v>JIL</v>
      </c>
      <c r="P531" s="29" t="str">
        <f t="shared" si="107"/>
        <v>JILBEE5856</v>
      </c>
      <c r="Q531" s="1" t="s">
        <v>1319</v>
      </c>
      <c r="R531" s="1" t="s">
        <v>14</v>
      </c>
      <c r="S531" s="26">
        <v>1000</v>
      </c>
      <c r="T531" s="26">
        <v>35000000</v>
      </c>
      <c r="U531" s="26">
        <v>5488560.0000000009</v>
      </c>
      <c r="V531" s="26">
        <v>5.7971821057220492</v>
      </c>
      <c r="W531" s="26">
        <v>0</v>
      </c>
      <c r="X531" s="26">
        <v>1000</v>
      </c>
    </row>
    <row r="532" spans="1:24">
      <c r="A532" s="24" t="str">
        <f t="shared" si="100"/>
        <v>신규</v>
      </c>
      <c r="B532" s="24" t="str">
        <f>IF(COUNTIF(Q$1:Q531,Q532)=0,"최초","리오더")</f>
        <v>최초</v>
      </c>
      <c r="C532" s="24" t="str">
        <f t="shared" si="101"/>
        <v>JILVBE5357</v>
      </c>
      <c r="D532" s="24">
        <f t="shared" si="96"/>
        <v>0.5</v>
      </c>
      <c r="E532" s="24" t="str">
        <f t="shared" si="102"/>
        <v/>
      </c>
      <c r="F532" s="24">
        <f t="shared" si="97"/>
        <v>0</v>
      </c>
      <c r="G532" s="24" t="str">
        <f t="shared" si="103"/>
        <v>JILVBE5357YE</v>
      </c>
      <c r="H532" s="24">
        <f t="shared" si="98"/>
        <v>1</v>
      </c>
      <c r="I532" s="24" t="str">
        <f t="shared" si="104"/>
        <v/>
      </c>
      <c r="J532" s="24">
        <f t="shared" si="99"/>
        <v>0</v>
      </c>
      <c r="K532" s="24" t="str">
        <f t="shared" si="105"/>
        <v>E5</v>
      </c>
      <c r="L532" s="24" t="str">
        <f>VLOOKUP(N532,CODE!K:P,CODE!$P$1,FALSE)</f>
        <v>모자</v>
      </c>
      <c r="M532" s="24" t="str">
        <f>VLOOKUP(MID(Q532,1,3),CODE!$B:$G,CODE!D$1,FALSE)</f>
        <v>JIL</v>
      </c>
      <c r="N532" s="24" t="str">
        <f t="shared" si="106"/>
        <v>VB</v>
      </c>
      <c r="O532" s="29" t="str">
        <f>IF(ISERROR(IF(VLOOKUP($N532,CODE!$K:$P,CODE!$O$1,FALSE)="",$M532,$M532&amp;"-"&amp;VLOOKUP($N532,CODE!$K:$P,CODE!$O$1,FALSE)))=TRUE,"",IF(VLOOKUP($N532,CODE!$K:$P,CODE!$O$1,FALSE)="",$M532,$M532&amp;"-"&amp;VLOOKUP($N532,CODE!$K:$P,CODE!$O$1,FALSE)))</f>
        <v>JIL</v>
      </c>
      <c r="P532" s="29" t="str">
        <f t="shared" si="107"/>
        <v>JILVBE5357</v>
      </c>
      <c r="Q532" s="1" t="s">
        <v>1320</v>
      </c>
      <c r="R532" s="1" t="s">
        <v>14</v>
      </c>
      <c r="S532" s="26">
        <v>1000</v>
      </c>
      <c r="T532" s="26">
        <v>45000000</v>
      </c>
      <c r="U532" s="26">
        <v>5239080.0000000009</v>
      </c>
      <c r="V532" s="26">
        <v>7.8084493668909225</v>
      </c>
      <c r="W532" s="26">
        <v>0</v>
      </c>
      <c r="X532" s="26">
        <v>1000</v>
      </c>
    </row>
    <row r="533" spans="1:24">
      <c r="A533" s="24" t="str">
        <f t="shared" si="100"/>
        <v>신규</v>
      </c>
      <c r="B533" s="24" t="str">
        <f>IF(COUNTIF(Q$1:Q532,Q533)=0,"최초","리오더")</f>
        <v>최초</v>
      </c>
      <c r="C533" s="24" t="str">
        <f t="shared" si="101"/>
        <v>JILVBE5357</v>
      </c>
      <c r="D533" s="24">
        <f t="shared" si="96"/>
        <v>0.5</v>
      </c>
      <c r="E533" s="24" t="str">
        <f t="shared" si="102"/>
        <v/>
      </c>
      <c r="F533" s="24">
        <f t="shared" si="97"/>
        <v>0</v>
      </c>
      <c r="G533" s="24" t="str">
        <f t="shared" si="103"/>
        <v>JILVBE5357RE</v>
      </c>
      <c r="H533" s="24">
        <f t="shared" si="98"/>
        <v>1</v>
      </c>
      <c r="I533" s="24" t="str">
        <f t="shared" si="104"/>
        <v/>
      </c>
      <c r="J533" s="24">
        <f t="shared" si="99"/>
        <v>0</v>
      </c>
      <c r="K533" s="24" t="str">
        <f t="shared" si="105"/>
        <v>E5</v>
      </c>
      <c r="L533" s="24" t="str">
        <f>VLOOKUP(N533,CODE!K:P,CODE!$P$1,FALSE)</f>
        <v>모자</v>
      </c>
      <c r="M533" s="24" t="str">
        <f>VLOOKUP(MID(Q533,1,3),CODE!$B:$G,CODE!D$1,FALSE)</f>
        <v>JIL</v>
      </c>
      <c r="N533" s="24" t="str">
        <f t="shared" si="106"/>
        <v>VB</v>
      </c>
      <c r="O533" s="29" t="str">
        <f>IF(ISERROR(IF(VLOOKUP($N533,CODE!$K:$P,CODE!$O$1,FALSE)="",$M533,$M533&amp;"-"&amp;VLOOKUP($N533,CODE!$K:$P,CODE!$O$1,FALSE)))=TRUE,"",IF(VLOOKUP($N533,CODE!$K:$P,CODE!$O$1,FALSE)="",$M533,$M533&amp;"-"&amp;VLOOKUP($N533,CODE!$K:$P,CODE!$O$1,FALSE)))</f>
        <v>JIL</v>
      </c>
      <c r="P533" s="29" t="str">
        <f t="shared" si="107"/>
        <v>JILVBE5357</v>
      </c>
      <c r="Q533" s="1" t="s">
        <v>1321</v>
      </c>
      <c r="R533" s="1" t="s">
        <v>14</v>
      </c>
      <c r="S533" s="26">
        <v>1000</v>
      </c>
      <c r="T533" s="26">
        <v>45000000</v>
      </c>
      <c r="U533" s="26">
        <v>5239080.0000000009</v>
      </c>
      <c r="V533" s="26">
        <v>7.8084493668909225</v>
      </c>
      <c r="W533" s="26">
        <v>0</v>
      </c>
      <c r="X533" s="26">
        <v>1000</v>
      </c>
    </row>
    <row r="534" spans="1:24">
      <c r="A534" s="24" t="str">
        <f t="shared" si="100"/>
        <v>신규</v>
      </c>
      <c r="B534" s="24" t="str">
        <f>IF(COUNTIF(Q$1:Q533,Q534)=0,"최초","리오더")</f>
        <v>최초</v>
      </c>
      <c r="C534" s="24" t="str">
        <f t="shared" si="101"/>
        <v>JILEBE5358</v>
      </c>
      <c r="D534" s="24">
        <f t="shared" si="96"/>
        <v>1</v>
      </c>
      <c r="E534" s="24" t="str">
        <f t="shared" si="102"/>
        <v/>
      </c>
      <c r="F534" s="24">
        <f t="shared" si="97"/>
        <v>0</v>
      </c>
      <c r="G534" s="24" t="str">
        <f t="shared" si="103"/>
        <v>JILEBE5358BK</v>
      </c>
      <c r="H534" s="24">
        <f t="shared" si="98"/>
        <v>1</v>
      </c>
      <c r="I534" s="24" t="str">
        <f t="shared" si="104"/>
        <v/>
      </c>
      <c r="J534" s="24">
        <f t="shared" si="99"/>
        <v>0</v>
      </c>
      <c r="K534" s="24" t="str">
        <f t="shared" si="105"/>
        <v>E5</v>
      </c>
      <c r="L534" s="24" t="str">
        <f>VLOOKUP(N534,CODE!K:P,CODE!$P$1,FALSE)</f>
        <v>모자</v>
      </c>
      <c r="M534" s="24" t="str">
        <f>VLOOKUP(MID(Q534,1,3),CODE!$B:$G,CODE!D$1,FALSE)</f>
        <v>JIL</v>
      </c>
      <c r="N534" s="24" t="str">
        <f t="shared" si="106"/>
        <v>EB</v>
      </c>
      <c r="O534" s="29" t="str">
        <f>IF(ISERROR(IF(VLOOKUP($N534,CODE!$K:$P,CODE!$O$1,FALSE)="",$M534,$M534&amp;"-"&amp;VLOOKUP($N534,CODE!$K:$P,CODE!$O$1,FALSE)))=TRUE,"",IF(VLOOKUP($N534,CODE!$K:$P,CODE!$O$1,FALSE)="",$M534,$M534&amp;"-"&amp;VLOOKUP($N534,CODE!$K:$P,CODE!$O$1,FALSE)))</f>
        <v>JIL</v>
      </c>
      <c r="P534" s="29" t="str">
        <f t="shared" si="107"/>
        <v>JILEBE5358</v>
      </c>
      <c r="Q534" s="1" t="s">
        <v>1322</v>
      </c>
      <c r="R534" s="1" t="s">
        <v>14</v>
      </c>
      <c r="S534" s="26">
        <v>700</v>
      </c>
      <c r="T534" s="26">
        <v>38500000</v>
      </c>
      <c r="U534" s="26">
        <v>5239080.0000000009</v>
      </c>
      <c r="V534" s="26">
        <v>6.6805622361177894</v>
      </c>
      <c r="W534" s="26">
        <v>0</v>
      </c>
      <c r="X534" s="26">
        <v>700</v>
      </c>
    </row>
    <row r="535" spans="1:24">
      <c r="A535" s="24" t="str">
        <f t="shared" si="100"/>
        <v>신규</v>
      </c>
      <c r="B535" s="24" t="str">
        <f>IF(COUNTIF(Q$1:Q534,Q535)=0,"최초","리오더")</f>
        <v>최초</v>
      </c>
      <c r="C535" s="24" t="str">
        <f t="shared" si="101"/>
        <v>JILBEE5359</v>
      </c>
      <c r="D535" s="24">
        <f t="shared" si="96"/>
        <v>0.5</v>
      </c>
      <c r="E535" s="24" t="str">
        <f t="shared" si="102"/>
        <v/>
      </c>
      <c r="F535" s="24">
        <f t="shared" si="97"/>
        <v>0</v>
      </c>
      <c r="G535" s="24" t="str">
        <f t="shared" si="103"/>
        <v>JILBEE5359RE</v>
      </c>
      <c r="H535" s="24">
        <f t="shared" si="98"/>
        <v>1</v>
      </c>
      <c r="I535" s="24" t="str">
        <f t="shared" si="104"/>
        <v/>
      </c>
      <c r="J535" s="24">
        <f t="shared" si="99"/>
        <v>0</v>
      </c>
      <c r="K535" s="24" t="str">
        <f t="shared" si="105"/>
        <v>E5</v>
      </c>
      <c r="L535" s="24" t="str">
        <f>VLOOKUP(N535,CODE!K:P,CODE!$P$1,FALSE)</f>
        <v>모자</v>
      </c>
      <c r="M535" s="24" t="str">
        <f>VLOOKUP(MID(Q535,1,3),CODE!$B:$G,CODE!D$1,FALSE)</f>
        <v>JIL</v>
      </c>
      <c r="N535" s="24" t="str">
        <f t="shared" si="106"/>
        <v>BE</v>
      </c>
      <c r="O535" s="29" t="str">
        <f>IF(ISERROR(IF(VLOOKUP($N535,CODE!$K:$P,CODE!$O$1,FALSE)="",$M535,$M535&amp;"-"&amp;VLOOKUP($N535,CODE!$K:$P,CODE!$O$1,FALSE)))=TRUE,"",IF(VLOOKUP($N535,CODE!$K:$P,CODE!$O$1,FALSE)="",$M535,$M535&amp;"-"&amp;VLOOKUP($N535,CODE!$K:$P,CODE!$O$1,FALSE)))</f>
        <v>JIL</v>
      </c>
      <c r="P535" s="29" t="str">
        <f t="shared" si="107"/>
        <v>JILBEE5359</v>
      </c>
      <c r="Q535" s="1" t="s">
        <v>1323</v>
      </c>
      <c r="R535" s="1" t="s">
        <v>14</v>
      </c>
      <c r="S535" s="26">
        <v>1000</v>
      </c>
      <c r="T535" s="26">
        <v>39000000</v>
      </c>
      <c r="U535" s="26">
        <v>6486480.0000000009</v>
      </c>
      <c r="V535" s="26">
        <v>5.4659145568236465</v>
      </c>
      <c r="W535" s="26">
        <v>0</v>
      </c>
      <c r="X535" s="26">
        <v>1000</v>
      </c>
    </row>
    <row r="536" spans="1:24">
      <c r="A536" s="24" t="str">
        <f t="shared" si="100"/>
        <v>신규</v>
      </c>
      <c r="B536" s="24" t="str">
        <f>IF(COUNTIF(Q$1:Q535,Q536)=0,"최초","리오더")</f>
        <v>최초</v>
      </c>
      <c r="C536" s="24" t="str">
        <f t="shared" si="101"/>
        <v>JILBEE5359</v>
      </c>
      <c r="D536" s="24">
        <f t="shared" si="96"/>
        <v>0.5</v>
      </c>
      <c r="E536" s="24" t="str">
        <f t="shared" si="102"/>
        <v/>
      </c>
      <c r="F536" s="24">
        <f t="shared" si="97"/>
        <v>0</v>
      </c>
      <c r="G536" s="24" t="str">
        <f t="shared" si="103"/>
        <v>JILBEE5359BW</v>
      </c>
      <c r="H536" s="24">
        <f t="shared" si="98"/>
        <v>1</v>
      </c>
      <c r="I536" s="24" t="str">
        <f t="shared" si="104"/>
        <v/>
      </c>
      <c r="J536" s="24">
        <f t="shared" si="99"/>
        <v>0</v>
      </c>
      <c r="K536" s="24" t="str">
        <f t="shared" si="105"/>
        <v>E5</v>
      </c>
      <c r="L536" s="24" t="str">
        <f>VLOOKUP(N536,CODE!K:P,CODE!$P$1,FALSE)</f>
        <v>모자</v>
      </c>
      <c r="M536" s="24" t="str">
        <f>VLOOKUP(MID(Q536,1,3),CODE!$B:$G,CODE!D$1,FALSE)</f>
        <v>JIL</v>
      </c>
      <c r="N536" s="24" t="str">
        <f t="shared" si="106"/>
        <v>BE</v>
      </c>
      <c r="O536" s="29" t="str">
        <f>IF(ISERROR(IF(VLOOKUP($N536,CODE!$K:$P,CODE!$O$1,FALSE)="",$M536,$M536&amp;"-"&amp;VLOOKUP($N536,CODE!$K:$P,CODE!$O$1,FALSE)))=TRUE,"",IF(VLOOKUP($N536,CODE!$K:$P,CODE!$O$1,FALSE)="",$M536,$M536&amp;"-"&amp;VLOOKUP($N536,CODE!$K:$P,CODE!$O$1,FALSE)))</f>
        <v>JIL</v>
      </c>
      <c r="P536" s="29" t="str">
        <f t="shared" si="107"/>
        <v>JILBEE5359</v>
      </c>
      <c r="Q536" s="1" t="s">
        <v>1324</v>
      </c>
      <c r="R536" s="1" t="s">
        <v>14</v>
      </c>
      <c r="S536" s="26">
        <v>1000</v>
      </c>
      <c r="T536" s="26">
        <v>39000000</v>
      </c>
      <c r="U536" s="26">
        <v>6486480.0000000009</v>
      </c>
      <c r="V536" s="26">
        <v>5.4659145568236465</v>
      </c>
      <c r="W536" s="26">
        <v>0</v>
      </c>
      <c r="X536" s="26">
        <v>1000</v>
      </c>
    </row>
    <row r="537" spans="1:24">
      <c r="A537" s="24" t="str">
        <f t="shared" si="100"/>
        <v>신규</v>
      </c>
      <c r="B537" s="24" t="str">
        <f>IF(COUNTIF(Q$1:Q536,Q537)=0,"최초","리오더")</f>
        <v>최초</v>
      </c>
      <c r="C537" s="24" t="str">
        <f t="shared" si="101"/>
        <v>JILEBE5360</v>
      </c>
      <c r="D537" s="24">
        <f t="shared" si="96"/>
        <v>1</v>
      </c>
      <c r="E537" s="24" t="str">
        <f t="shared" si="102"/>
        <v/>
      </c>
      <c r="F537" s="24">
        <f t="shared" si="97"/>
        <v>0</v>
      </c>
      <c r="G537" s="24" t="str">
        <f t="shared" si="103"/>
        <v>JILEBE5360GY</v>
      </c>
      <c r="H537" s="24">
        <f t="shared" si="98"/>
        <v>1</v>
      </c>
      <c r="I537" s="24" t="str">
        <f t="shared" si="104"/>
        <v/>
      </c>
      <c r="J537" s="24">
        <f t="shared" si="99"/>
        <v>0</v>
      </c>
      <c r="K537" s="24" t="str">
        <f t="shared" si="105"/>
        <v>E5</v>
      </c>
      <c r="L537" s="24" t="str">
        <f>VLOOKUP(N537,CODE!K:P,CODE!$P$1,FALSE)</f>
        <v>모자</v>
      </c>
      <c r="M537" s="24" t="str">
        <f>VLOOKUP(MID(Q537,1,3),CODE!$B:$G,CODE!D$1,FALSE)</f>
        <v>JIL</v>
      </c>
      <c r="N537" s="24" t="str">
        <f t="shared" si="106"/>
        <v>EB</v>
      </c>
      <c r="O537" s="29" t="str">
        <f>IF(ISERROR(IF(VLOOKUP($N537,CODE!$K:$P,CODE!$O$1,FALSE)="",$M537,$M537&amp;"-"&amp;VLOOKUP($N537,CODE!$K:$P,CODE!$O$1,FALSE)))=TRUE,"",IF(VLOOKUP($N537,CODE!$K:$P,CODE!$O$1,FALSE)="",$M537,$M537&amp;"-"&amp;VLOOKUP($N537,CODE!$K:$P,CODE!$O$1,FALSE)))</f>
        <v>JIL</v>
      </c>
      <c r="P537" s="29" t="str">
        <f t="shared" si="107"/>
        <v>JILEBE5360</v>
      </c>
      <c r="Q537" s="1" t="s">
        <v>1325</v>
      </c>
      <c r="R537" s="1" t="s">
        <v>14</v>
      </c>
      <c r="S537" s="26">
        <v>700</v>
      </c>
      <c r="T537" s="26">
        <v>30100000</v>
      </c>
      <c r="U537" s="26">
        <v>4103946.0000000005</v>
      </c>
      <c r="V537" s="26">
        <v>6.6676404522955126</v>
      </c>
      <c r="W537" s="26">
        <v>0</v>
      </c>
      <c r="X537" s="26">
        <v>700</v>
      </c>
    </row>
    <row r="538" spans="1:24">
      <c r="A538" s="24" t="str">
        <f t="shared" si="100"/>
        <v>신규</v>
      </c>
      <c r="B538" s="24" t="str">
        <f>IF(COUNTIF(Q$1:Q537,Q538)=0,"최초","리오더")</f>
        <v>최초</v>
      </c>
      <c r="C538" s="24" t="str">
        <f t="shared" si="101"/>
        <v>URBFIE5301</v>
      </c>
      <c r="D538" s="24">
        <f t="shared" si="96"/>
        <v>1</v>
      </c>
      <c r="E538" s="24" t="str">
        <f t="shared" si="102"/>
        <v/>
      </c>
      <c r="F538" s="24">
        <f t="shared" si="97"/>
        <v>0</v>
      </c>
      <c r="G538" s="24" t="str">
        <f t="shared" si="103"/>
        <v>URBFIE5301BK</v>
      </c>
      <c r="H538" s="24">
        <f t="shared" si="98"/>
        <v>1</v>
      </c>
      <c r="I538" s="24" t="str">
        <f t="shared" si="104"/>
        <v/>
      </c>
      <c r="J538" s="24">
        <f t="shared" si="99"/>
        <v>0</v>
      </c>
      <c r="K538" s="24" t="str">
        <f t="shared" si="105"/>
        <v>E5</v>
      </c>
      <c r="L538" s="24" t="str">
        <f>VLOOKUP(N538,CODE!K:P,CODE!$P$1,FALSE)</f>
        <v>모자</v>
      </c>
      <c r="M538" s="24" t="str">
        <f>VLOOKUP(MID(Q538,1,3),CODE!$B:$G,CODE!D$1,FALSE)</f>
        <v>URB</v>
      </c>
      <c r="N538" s="24" t="str">
        <f t="shared" si="106"/>
        <v>FI</v>
      </c>
      <c r="O538" s="29" t="str">
        <f>IF(ISERROR(IF(VLOOKUP($N538,CODE!$K:$P,CODE!$O$1,FALSE)="",$M538,$M538&amp;"-"&amp;VLOOKUP($N538,CODE!$K:$P,CODE!$O$1,FALSE)))=TRUE,"",IF(VLOOKUP($N538,CODE!$K:$P,CODE!$O$1,FALSE)="",$M538,$M538&amp;"-"&amp;VLOOKUP($N538,CODE!$K:$P,CODE!$O$1,FALSE)))</f>
        <v>URB</v>
      </c>
      <c r="P538" s="29" t="str">
        <f t="shared" si="107"/>
        <v>URBFIE5301</v>
      </c>
      <c r="Q538" s="1" t="s">
        <v>1326</v>
      </c>
      <c r="R538" s="1" t="s">
        <v>14</v>
      </c>
      <c r="S538" s="26">
        <v>500</v>
      </c>
      <c r="T538" s="26">
        <v>24500000</v>
      </c>
      <c r="U538" s="26">
        <v>2264915</v>
      </c>
      <c r="V538" s="26">
        <v>9.8338027134472039</v>
      </c>
      <c r="W538" s="26">
        <v>0</v>
      </c>
      <c r="X538" s="26">
        <v>500</v>
      </c>
    </row>
    <row r="539" spans="1:24">
      <c r="A539" s="24" t="str">
        <f t="shared" si="100"/>
        <v>신규</v>
      </c>
      <c r="B539" s="24" t="str">
        <f>IF(COUNTIF(Q$1:Q538,Q539)=0,"최초","리오더")</f>
        <v>최초</v>
      </c>
      <c r="C539" s="24" t="str">
        <f t="shared" si="101"/>
        <v>URBFIE3303</v>
      </c>
      <c r="D539" s="24">
        <f t="shared" si="96"/>
        <v>1</v>
      </c>
      <c r="E539" s="24" t="str">
        <f t="shared" si="102"/>
        <v/>
      </c>
      <c r="F539" s="24">
        <f t="shared" si="97"/>
        <v>0</v>
      </c>
      <c r="G539" s="24" t="str">
        <f t="shared" si="103"/>
        <v>URBFIE3303NY</v>
      </c>
      <c r="H539" s="24">
        <f t="shared" si="98"/>
        <v>1</v>
      </c>
      <c r="I539" s="24" t="str">
        <f t="shared" si="104"/>
        <v/>
      </c>
      <c r="J539" s="24">
        <f t="shared" si="99"/>
        <v>0</v>
      </c>
      <c r="K539" s="24" t="str">
        <f t="shared" si="105"/>
        <v>E3</v>
      </c>
      <c r="L539" s="24" t="str">
        <f>VLOOKUP(N539,CODE!K:P,CODE!$P$1,FALSE)</f>
        <v>모자</v>
      </c>
      <c r="M539" s="24" t="str">
        <f>VLOOKUP(MID(Q539,1,3),CODE!$B:$G,CODE!D$1,FALSE)</f>
        <v>URB</v>
      </c>
      <c r="N539" s="24" t="str">
        <f t="shared" si="106"/>
        <v>FI</v>
      </c>
      <c r="O539" s="29" t="str">
        <f>IF(ISERROR(IF(VLOOKUP($N539,CODE!$K:$P,CODE!$O$1,FALSE)="",$M539,$M539&amp;"-"&amp;VLOOKUP($N539,CODE!$K:$P,CODE!$O$1,FALSE)))=TRUE,"",IF(VLOOKUP($N539,CODE!$K:$P,CODE!$O$1,FALSE)="",$M539,$M539&amp;"-"&amp;VLOOKUP($N539,CODE!$K:$P,CODE!$O$1,FALSE)))</f>
        <v>URB</v>
      </c>
      <c r="P539" s="29" t="str">
        <f t="shared" si="107"/>
        <v>URBFIE3303</v>
      </c>
      <c r="Q539" s="1" t="s">
        <v>1328</v>
      </c>
      <c r="R539" s="1" t="s">
        <v>14</v>
      </c>
      <c r="S539" s="26">
        <v>500</v>
      </c>
      <c r="T539" s="26">
        <v>24500000</v>
      </c>
      <c r="U539" s="26">
        <v>2190071.0000000005</v>
      </c>
      <c r="V539" s="26">
        <v>10.16986539373713</v>
      </c>
      <c r="W539" s="26">
        <v>0</v>
      </c>
      <c r="X539" s="26">
        <v>500</v>
      </c>
    </row>
    <row r="540" spans="1:24">
      <c r="A540" s="24" t="str">
        <f t="shared" si="100"/>
        <v>신규</v>
      </c>
      <c r="B540" s="24" t="str">
        <f>IF(COUNTIF(Q$1:Q539,Q540)=0,"최초","리오더")</f>
        <v>최초</v>
      </c>
      <c r="C540" s="24" t="str">
        <f t="shared" si="101"/>
        <v>URBFIE3304</v>
      </c>
      <c r="D540" s="24">
        <f t="shared" si="96"/>
        <v>0.5</v>
      </c>
      <c r="E540" s="24" t="str">
        <f t="shared" si="102"/>
        <v/>
      </c>
      <c r="F540" s="24">
        <f t="shared" si="97"/>
        <v>0</v>
      </c>
      <c r="G540" s="24" t="str">
        <f t="shared" si="103"/>
        <v>URBFIE3304RE</v>
      </c>
      <c r="H540" s="24">
        <f t="shared" si="98"/>
        <v>1</v>
      </c>
      <c r="I540" s="24" t="str">
        <f t="shared" si="104"/>
        <v/>
      </c>
      <c r="J540" s="24">
        <f t="shared" si="99"/>
        <v>0</v>
      </c>
      <c r="K540" s="24" t="str">
        <f t="shared" si="105"/>
        <v>E3</v>
      </c>
      <c r="L540" s="24" t="str">
        <f>VLOOKUP(N540,CODE!K:P,CODE!$P$1,FALSE)</f>
        <v>모자</v>
      </c>
      <c r="M540" s="24" t="str">
        <f>VLOOKUP(MID(Q540,1,3),CODE!$B:$G,CODE!D$1,FALSE)</f>
        <v>URB</v>
      </c>
      <c r="N540" s="24" t="str">
        <f t="shared" si="106"/>
        <v>FI</v>
      </c>
      <c r="O540" s="29" t="str">
        <f>IF(ISERROR(IF(VLOOKUP($N540,CODE!$K:$P,CODE!$O$1,FALSE)="",$M540,$M540&amp;"-"&amp;VLOOKUP($N540,CODE!$K:$P,CODE!$O$1,FALSE)))=TRUE,"",IF(VLOOKUP($N540,CODE!$K:$P,CODE!$O$1,FALSE)="",$M540,$M540&amp;"-"&amp;VLOOKUP($N540,CODE!$K:$P,CODE!$O$1,FALSE)))</f>
        <v>URB</v>
      </c>
      <c r="P540" s="29" t="str">
        <f t="shared" si="107"/>
        <v>URBFIE3304</v>
      </c>
      <c r="Q540" s="1" t="s">
        <v>1329</v>
      </c>
      <c r="R540" s="1" t="s">
        <v>14</v>
      </c>
      <c r="S540" s="26">
        <v>600</v>
      </c>
      <c r="T540" s="26">
        <v>29400000</v>
      </c>
      <c r="U540" s="26">
        <v>3077149.2</v>
      </c>
      <c r="V540" s="26">
        <v>8.6857253224096915</v>
      </c>
      <c r="W540" s="26">
        <v>0</v>
      </c>
      <c r="X540" s="26">
        <v>600</v>
      </c>
    </row>
    <row r="541" spans="1:24">
      <c r="A541" s="24" t="str">
        <f t="shared" si="100"/>
        <v>신규</v>
      </c>
      <c r="B541" s="24" t="str">
        <f>IF(COUNTIF(Q$1:Q540,Q541)=0,"최초","리오더")</f>
        <v>최초</v>
      </c>
      <c r="C541" s="24" t="str">
        <f t="shared" si="101"/>
        <v>URBFIE3305</v>
      </c>
      <c r="D541" s="24">
        <f t="shared" si="96"/>
        <v>1</v>
      </c>
      <c r="E541" s="24" t="str">
        <f t="shared" si="102"/>
        <v/>
      </c>
      <c r="F541" s="24">
        <f t="shared" si="97"/>
        <v>0</v>
      </c>
      <c r="G541" s="24" t="str">
        <f t="shared" si="103"/>
        <v>URBFIE3305RE</v>
      </c>
      <c r="H541" s="24">
        <f t="shared" si="98"/>
        <v>1</v>
      </c>
      <c r="I541" s="24" t="str">
        <f t="shared" si="104"/>
        <v/>
      </c>
      <c r="J541" s="24">
        <f t="shared" si="99"/>
        <v>0</v>
      </c>
      <c r="K541" s="24" t="str">
        <f t="shared" si="105"/>
        <v>E3</v>
      </c>
      <c r="L541" s="24" t="str">
        <f>VLOOKUP(N541,CODE!K:P,CODE!$P$1,FALSE)</f>
        <v>모자</v>
      </c>
      <c r="M541" s="24" t="str">
        <f>VLOOKUP(MID(Q541,1,3),CODE!$B:$G,CODE!D$1,FALSE)</f>
        <v>URB</v>
      </c>
      <c r="N541" s="24" t="str">
        <f t="shared" si="106"/>
        <v>FI</v>
      </c>
      <c r="O541" s="29" t="str">
        <f>IF(ISERROR(IF(VLOOKUP($N541,CODE!$K:$P,CODE!$O$1,FALSE)="",$M541,$M541&amp;"-"&amp;VLOOKUP($N541,CODE!$K:$P,CODE!$O$1,FALSE)))=TRUE,"",IF(VLOOKUP($N541,CODE!$K:$P,CODE!$O$1,FALSE)="",$M541,$M541&amp;"-"&amp;VLOOKUP($N541,CODE!$K:$P,CODE!$O$1,FALSE)))</f>
        <v>URB</v>
      </c>
      <c r="P541" s="29" t="str">
        <f t="shared" si="107"/>
        <v>URBFIE3305</v>
      </c>
      <c r="Q541" s="1" t="s">
        <v>1331</v>
      </c>
      <c r="R541" s="1" t="s">
        <v>14</v>
      </c>
      <c r="S541" s="26">
        <v>400</v>
      </c>
      <c r="T541" s="26">
        <v>18000000</v>
      </c>
      <c r="U541" s="26">
        <v>1392431.2000000002</v>
      </c>
      <c r="V541" s="26">
        <v>11.751845522878517</v>
      </c>
      <c r="W541" s="26">
        <v>0</v>
      </c>
      <c r="X541" s="26">
        <v>400</v>
      </c>
    </row>
    <row r="542" spans="1:24">
      <c r="A542" s="24" t="str">
        <f t="shared" si="100"/>
        <v>신규</v>
      </c>
      <c r="B542" s="24" t="str">
        <f>IF(COUNTIF(Q$1:Q541,Q542)=0,"최초","리오더")</f>
        <v>최초</v>
      </c>
      <c r="C542" s="24" t="str">
        <f t="shared" si="101"/>
        <v>URBFIE3306</v>
      </c>
      <c r="D542" s="24">
        <f t="shared" si="96"/>
        <v>1</v>
      </c>
      <c r="E542" s="24" t="str">
        <f t="shared" si="102"/>
        <v/>
      </c>
      <c r="F542" s="24">
        <f t="shared" si="97"/>
        <v>0</v>
      </c>
      <c r="G542" s="24" t="str">
        <f t="shared" si="103"/>
        <v>URBFIE3306BK</v>
      </c>
      <c r="H542" s="24">
        <f t="shared" si="98"/>
        <v>1</v>
      </c>
      <c r="I542" s="24" t="str">
        <f t="shared" si="104"/>
        <v/>
      </c>
      <c r="J542" s="24">
        <f t="shared" si="99"/>
        <v>0</v>
      </c>
      <c r="K542" s="24" t="str">
        <f t="shared" si="105"/>
        <v>E3</v>
      </c>
      <c r="L542" s="24" t="str">
        <f>VLOOKUP(N542,CODE!K:P,CODE!$P$1,FALSE)</f>
        <v>모자</v>
      </c>
      <c r="M542" s="24" t="str">
        <f>VLOOKUP(MID(Q542,1,3),CODE!$B:$G,CODE!D$1,FALSE)</f>
        <v>URB</v>
      </c>
      <c r="N542" s="24" t="str">
        <f t="shared" si="106"/>
        <v>FI</v>
      </c>
      <c r="O542" s="29" t="str">
        <f>IF(ISERROR(IF(VLOOKUP($N542,CODE!$K:$P,CODE!$O$1,FALSE)="",$M542,$M542&amp;"-"&amp;VLOOKUP($N542,CODE!$K:$P,CODE!$O$1,FALSE)))=TRUE,"",IF(VLOOKUP($N542,CODE!$K:$P,CODE!$O$1,FALSE)="",$M542,$M542&amp;"-"&amp;VLOOKUP($N542,CODE!$K:$P,CODE!$O$1,FALSE)))</f>
        <v>URB</v>
      </c>
      <c r="P542" s="29" t="str">
        <f t="shared" si="107"/>
        <v>URBFIE3306</v>
      </c>
      <c r="Q542" s="1" t="s">
        <v>1332</v>
      </c>
      <c r="R542" s="1" t="s">
        <v>14</v>
      </c>
      <c r="S542" s="26">
        <v>800</v>
      </c>
      <c r="T542" s="26">
        <v>39200000</v>
      </c>
      <c r="U542" s="26">
        <v>3962408</v>
      </c>
      <c r="V542" s="26">
        <v>8.9936128829650119</v>
      </c>
      <c r="W542" s="26">
        <v>0</v>
      </c>
      <c r="X542" s="26">
        <v>800</v>
      </c>
    </row>
    <row r="543" spans="1:24">
      <c r="A543" s="24" t="str">
        <f t="shared" si="100"/>
        <v>신규</v>
      </c>
      <c r="B543" s="24" t="str">
        <f>IF(COUNTIF(Q$1:Q542,Q543)=0,"최초","리오더")</f>
        <v>최초</v>
      </c>
      <c r="C543" s="24" t="str">
        <f t="shared" si="101"/>
        <v>URBFIE3307</v>
      </c>
      <c r="D543" s="24">
        <f t="shared" si="96"/>
        <v>0.33333333333333331</v>
      </c>
      <c r="E543" s="24" t="str">
        <f t="shared" si="102"/>
        <v/>
      </c>
      <c r="F543" s="24">
        <f t="shared" si="97"/>
        <v>0</v>
      </c>
      <c r="G543" s="24" t="str">
        <f t="shared" si="103"/>
        <v>URBFIE3307RE</v>
      </c>
      <c r="H543" s="24">
        <f t="shared" si="98"/>
        <v>1</v>
      </c>
      <c r="I543" s="24" t="str">
        <f t="shared" si="104"/>
        <v/>
      </c>
      <c r="J543" s="24">
        <f t="shared" si="99"/>
        <v>0</v>
      </c>
      <c r="K543" s="24" t="str">
        <f t="shared" si="105"/>
        <v>E3</v>
      </c>
      <c r="L543" s="24" t="str">
        <f>VLOOKUP(N543,CODE!K:P,CODE!$P$1,FALSE)</f>
        <v>모자</v>
      </c>
      <c r="M543" s="24" t="str">
        <f>VLOOKUP(MID(Q543,1,3),CODE!$B:$G,CODE!D$1,FALSE)</f>
        <v>URB</v>
      </c>
      <c r="N543" s="24" t="str">
        <f t="shared" si="106"/>
        <v>FI</v>
      </c>
      <c r="O543" s="29" t="str">
        <f>IF(ISERROR(IF(VLOOKUP($N543,CODE!$K:$P,CODE!$O$1,FALSE)="",$M543,$M543&amp;"-"&amp;VLOOKUP($N543,CODE!$K:$P,CODE!$O$1,FALSE)))=TRUE,"",IF(VLOOKUP($N543,CODE!$K:$P,CODE!$O$1,FALSE)="",$M543,$M543&amp;"-"&amp;VLOOKUP($N543,CODE!$K:$P,CODE!$O$1,FALSE)))</f>
        <v>URB</v>
      </c>
      <c r="P543" s="29" t="str">
        <f t="shared" si="107"/>
        <v>URBFIE3307</v>
      </c>
      <c r="Q543" s="1" t="s">
        <v>1333</v>
      </c>
      <c r="R543" s="1" t="s">
        <v>14</v>
      </c>
      <c r="S543" s="26">
        <v>600</v>
      </c>
      <c r="T543" s="26">
        <v>29400000</v>
      </c>
      <c r="U543" s="26">
        <v>2447898</v>
      </c>
      <c r="V543" s="26">
        <v>10.918458500833255</v>
      </c>
      <c r="W543" s="26">
        <v>0</v>
      </c>
      <c r="X543" s="26">
        <v>600</v>
      </c>
    </row>
    <row r="544" spans="1:24">
      <c r="A544" s="24" t="str">
        <f t="shared" si="100"/>
        <v>신규</v>
      </c>
      <c r="B544" s="24" t="str">
        <f>IF(COUNTIF(Q$1:Q543,Q544)=0,"최초","리오더")</f>
        <v>최초</v>
      </c>
      <c r="C544" s="24" t="str">
        <f t="shared" si="101"/>
        <v>URBFIE3307</v>
      </c>
      <c r="D544" s="24">
        <f t="shared" si="96"/>
        <v>0.33333333333333331</v>
      </c>
      <c r="E544" s="24" t="str">
        <f t="shared" si="102"/>
        <v/>
      </c>
      <c r="F544" s="24">
        <f t="shared" si="97"/>
        <v>0</v>
      </c>
      <c r="G544" s="24" t="str">
        <f t="shared" si="103"/>
        <v>URBFIE3307BL</v>
      </c>
      <c r="H544" s="24">
        <f t="shared" si="98"/>
        <v>1</v>
      </c>
      <c r="I544" s="24" t="str">
        <f t="shared" si="104"/>
        <v/>
      </c>
      <c r="J544" s="24">
        <f t="shared" si="99"/>
        <v>0</v>
      </c>
      <c r="K544" s="24" t="str">
        <f t="shared" si="105"/>
        <v>E3</v>
      </c>
      <c r="L544" s="24" t="str">
        <f>VLOOKUP(N544,CODE!K:P,CODE!$P$1,FALSE)</f>
        <v>모자</v>
      </c>
      <c r="M544" s="24" t="str">
        <f>VLOOKUP(MID(Q544,1,3),CODE!$B:$G,CODE!D$1,FALSE)</f>
        <v>URB</v>
      </c>
      <c r="N544" s="24" t="str">
        <f t="shared" si="106"/>
        <v>FI</v>
      </c>
      <c r="O544" s="29" t="str">
        <f>IF(ISERROR(IF(VLOOKUP($N544,CODE!$K:$P,CODE!$O$1,FALSE)="",$M544,$M544&amp;"-"&amp;VLOOKUP($N544,CODE!$K:$P,CODE!$O$1,FALSE)))=TRUE,"",IF(VLOOKUP($N544,CODE!$K:$P,CODE!$O$1,FALSE)="",$M544,$M544&amp;"-"&amp;VLOOKUP($N544,CODE!$K:$P,CODE!$O$1,FALSE)))</f>
        <v>URB</v>
      </c>
      <c r="P544" s="29" t="str">
        <f t="shared" si="107"/>
        <v>URBFIE3307</v>
      </c>
      <c r="Q544" s="1" t="s">
        <v>1334</v>
      </c>
      <c r="R544" s="1" t="s">
        <v>14</v>
      </c>
      <c r="S544" s="26">
        <v>600</v>
      </c>
      <c r="T544" s="26">
        <v>29400000</v>
      </c>
      <c r="U544" s="26">
        <v>2358085.2000000007</v>
      </c>
      <c r="V544" s="26">
        <v>11.334311723457963</v>
      </c>
      <c r="W544" s="26">
        <v>0</v>
      </c>
      <c r="X544" s="26">
        <v>600</v>
      </c>
    </row>
    <row r="545" spans="1:24">
      <c r="A545" s="24" t="str">
        <f t="shared" si="100"/>
        <v>신규</v>
      </c>
      <c r="B545" s="24" t="str">
        <f>IF(COUNTIF(Q$1:Q544,Q545)=0,"최초","리오더")</f>
        <v>최초</v>
      </c>
      <c r="C545" s="24" t="str">
        <f t="shared" si="101"/>
        <v>URBFIE5308</v>
      </c>
      <c r="D545" s="24">
        <f t="shared" si="96"/>
        <v>1</v>
      </c>
      <c r="E545" s="24" t="str">
        <f t="shared" si="102"/>
        <v/>
      </c>
      <c r="F545" s="24">
        <f t="shared" si="97"/>
        <v>0</v>
      </c>
      <c r="G545" s="24" t="str">
        <f t="shared" si="103"/>
        <v>URBFIE5308GY</v>
      </c>
      <c r="H545" s="24">
        <f t="shared" si="98"/>
        <v>1</v>
      </c>
      <c r="I545" s="24" t="str">
        <f t="shared" si="104"/>
        <v/>
      </c>
      <c r="J545" s="24">
        <f t="shared" si="99"/>
        <v>0</v>
      </c>
      <c r="K545" s="24" t="str">
        <f t="shared" si="105"/>
        <v>E5</v>
      </c>
      <c r="L545" s="24" t="str">
        <f>VLOOKUP(N545,CODE!K:P,CODE!$P$1,FALSE)</f>
        <v>모자</v>
      </c>
      <c r="M545" s="24" t="str">
        <f>VLOOKUP(MID(Q545,1,3),CODE!$B:$G,CODE!D$1,FALSE)</f>
        <v>URB</v>
      </c>
      <c r="N545" s="24" t="str">
        <f t="shared" si="106"/>
        <v>FI</v>
      </c>
      <c r="O545" s="29" t="str">
        <f>IF(ISERROR(IF(VLOOKUP($N545,CODE!$K:$P,CODE!$O$1,FALSE)="",$M545,$M545&amp;"-"&amp;VLOOKUP($N545,CODE!$K:$P,CODE!$O$1,FALSE)))=TRUE,"",IF(VLOOKUP($N545,CODE!$K:$P,CODE!$O$1,FALSE)="",$M545,$M545&amp;"-"&amp;VLOOKUP($N545,CODE!$K:$P,CODE!$O$1,FALSE)))</f>
        <v>URB</v>
      </c>
      <c r="P545" s="29" t="str">
        <f t="shared" si="107"/>
        <v>URBFIE5308</v>
      </c>
      <c r="Q545" s="1" t="s">
        <v>1336</v>
      </c>
      <c r="R545" s="1" t="s">
        <v>14</v>
      </c>
      <c r="S545" s="26">
        <v>500</v>
      </c>
      <c r="T545" s="26">
        <v>24500000</v>
      </c>
      <c r="U545" s="26">
        <v>1890695.0000000002</v>
      </c>
      <c r="V545" s="26">
        <v>11.780179919409141</v>
      </c>
      <c r="W545" s="26">
        <v>0</v>
      </c>
      <c r="X545" s="26">
        <v>500</v>
      </c>
    </row>
    <row r="546" spans="1:24">
      <c r="A546" s="24" t="str">
        <f t="shared" si="100"/>
        <v>신규</v>
      </c>
      <c r="B546" s="24" t="str">
        <f>IF(COUNTIF(Q$1:Q545,Q546)=0,"최초","리오더")</f>
        <v>최초</v>
      </c>
      <c r="C546" s="24" t="str">
        <f t="shared" si="101"/>
        <v>URBFIE3309</v>
      </c>
      <c r="D546" s="24">
        <f t="shared" si="96"/>
        <v>1</v>
      </c>
      <c r="E546" s="24" t="str">
        <f t="shared" si="102"/>
        <v/>
      </c>
      <c r="F546" s="24">
        <f t="shared" si="97"/>
        <v>0</v>
      </c>
      <c r="G546" s="24" t="str">
        <f t="shared" si="103"/>
        <v>URBFIE3309GY</v>
      </c>
      <c r="H546" s="24">
        <f t="shared" si="98"/>
        <v>1</v>
      </c>
      <c r="I546" s="24" t="str">
        <f t="shared" si="104"/>
        <v/>
      </c>
      <c r="J546" s="24">
        <f t="shared" si="99"/>
        <v>0</v>
      </c>
      <c r="K546" s="24" t="str">
        <f t="shared" si="105"/>
        <v>E3</v>
      </c>
      <c r="L546" s="24" t="str">
        <f>VLOOKUP(N546,CODE!K:P,CODE!$P$1,FALSE)</f>
        <v>모자</v>
      </c>
      <c r="M546" s="24" t="str">
        <f>VLOOKUP(MID(Q546,1,3),CODE!$B:$G,CODE!D$1,FALSE)</f>
        <v>URB</v>
      </c>
      <c r="N546" s="24" t="str">
        <f t="shared" si="106"/>
        <v>FI</v>
      </c>
      <c r="O546" s="29" t="str">
        <f>IF(ISERROR(IF(VLOOKUP($N546,CODE!$K:$P,CODE!$O$1,FALSE)="",$M546,$M546&amp;"-"&amp;VLOOKUP($N546,CODE!$K:$P,CODE!$O$1,FALSE)))=TRUE,"",IF(VLOOKUP($N546,CODE!$K:$P,CODE!$O$1,FALSE)="",$M546,$M546&amp;"-"&amp;VLOOKUP($N546,CODE!$K:$P,CODE!$O$1,FALSE)))</f>
        <v>URB</v>
      </c>
      <c r="P546" s="29" t="str">
        <f t="shared" si="107"/>
        <v>URBFIE3309</v>
      </c>
      <c r="Q546" s="1" t="s">
        <v>1337</v>
      </c>
      <c r="R546" s="1" t="s">
        <v>14</v>
      </c>
      <c r="S546" s="26">
        <v>400</v>
      </c>
      <c r="T546" s="26">
        <v>18000000</v>
      </c>
      <c r="U546" s="26">
        <v>1691807.2</v>
      </c>
      <c r="V546" s="26">
        <v>9.6722820210461116</v>
      </c>
      <c r="W546" s="26">
        <v>0</v>
      </c>
      <c r="X546" s="26">
        <v>400</v>
      </c>
    </row>
    <row r="547" spans="1:24">
      <c r="A547" s="24" t="str">
        <f t="shared" si="100"/>
        <v>신규</v>
      </c>
      <c r="B547" s="24" t="str">
        <f>IF(COUNTIF(Q$1:Q546,Q547)=0,"최초","리오더")</f>
        <v>최초</v>
      </c>
      <c r="C547" s="24" t="str">
        <f t="shared" si="101"/>
        <v>URBFIE3311</v>
      </c>
      <c r="D547" s="24">
        <f t="shared" si="96"/>
        <v>1</v>
      </c>
      <c r="E547" s="24" t="str">
        <f t="shared" si="102"/>
        <v/>
      </c>
      <c r="F547" s="24">
        <f t="shared" si="97"/>
        <v>0</v>
      </c>
      <c r="G547" s="24" t="str">
        <f t="shared" si="103"/>
        <v>URBFIE3311OR</v>
      </c>
      <c r="H547" s="24">
        <f t="shared" si="98"/>
        <v>1</v>
      </c>
      <c r="I547" s="24" t="str">
        <f t="shared" si="104"/>
        <v/>
      </c>
      <c r="J547" s="24">
        <f t="shared" si="99"/>
        <v>0</v>
      </c>
      <c r="K547" s="24" t="str">
        <f t="shared" si="105"/>
        <v>E3</v>
      </c>
      <c r="L547" s="24" t="str">
        <f>VLOOKUP(N547,CODE!K:P,CODE!$P$1,FALSE)</f>
        <v>모자</v>
      </c>
      <c r="M547" s="24" t="str">
        <f>VLOOKUP(MID(Q547,1,3),CODE!$B:$G,CODE!D$1,FALSE)</f>
        <v>URB</v>
      </c>
      <c r="N547" s="24" t="str">
        <f t="shared" si="106"/>
        <v>FI</v>
      </c>
      <c r="O547" s="29" t="str">
        <f>IF(ISERROR(IF(VLOOKUP($N547,CODE!$K:$P,CODE!$O$1,FALSE)="",$M547,$M547&amp;"-"&amp;VLOOKUP($N547,CODE!$K:$P,CODE!$O$1,FALSE)))=TRUE,"",IF(VLOOKUP($N547,CODE!$K:$P,CODE!$O$1,FALSE)="",$M547,$M547&amp;"-"&amp;VLOOKUP($N547,CODE!$K:$P,CODE!$O$1,FALSE)))</f>
        <v>URB</v>
      </c>
      <c r="P547" s="29" t="str">
        <f t="shared" si="107"/>
        <v>URBFIE3311</v>
      </c>
      <c r="Q547" s="1" t="s">
        <v>1339</v>
      </c>
      <c r="R547" s="1" t="s">
        <v>14</v>
      </c>
      <c r="S547" s="26">
        <v>600</v>
      </c>
      <c r="T547" s="26">
        <v>29400000</v>
      </c>
      <c r="U547" s="26">
        <v>2447898</v>
      </c>
      <c r="V547" s="26">
        <v>10.918458500833255</v>
      </c>
      <c r="W547" s="26">
        <v>0</v>
      </c>
      <c r="X547" s="26">
        <v>600</v>
      </c>
    </row>
    <row r="548" spans="1:24">
      <c r="A548" s="24" t="str">
        <f t="shared" si="100"/>
        <v>신규</v>
      </c>
      <c r="B548" s="24" t="str">
        <f>IF(COUNTIF(Q$1:Q547,Q548)=0,"최초","리오더")</f>
        <v>최초</v>
      </c>
      <c r="C548" s="24" t="str">
        <f t="shared" si="101"/>
        <v>URBFIE3302</v>
      </c>
      <c r="D548" s="24">
        <f t="shared" si="96"/>
        <v>1</v>
      </c>
      <c r="E548" s="24" t="str">
        <f t="shared" si="102"/>
        <v/>
      </c>
      <c r="F548" s="24">
        <f t="shared" si="97"/>
        <v>0</v>
      </c>
      <c r="G548" s="24" t="str">
        <f t="shared" si="103"/>
        <v>URBFIE3302NY</v>
      </c>
      <c r="H548" s="24">
        <f t="shared" si="98"/>
        <v>1</v>
      </c>
      <c r="I548" s="24" t="str">
        <f t="shared" si="104"/>
        <v/>
      </c>
      <c r="J548" s="24">
        <f t="shared" si="99"/>
        <v>0</v>
      </c>
      <c r="K548" s="24" t="str">
        <f t="shared" si="105"/>
        <v>E3</v>
      </c>
      <c r="L548" s="24" t="str">
        <f>VLOOKUP(N548,CODE!K:P,CODE!$P$1,FALSE)</f>
        <v>모자</v>
      </c>
      <c r="M548" s="24" t="str">
        <f>VLOOKUP(MID(Q548,1,3),CODE!$B:$G,CODE!D$1,FALSE)</f>
        <v>URB</v>
      </c>
      <c r="N548" s="24" t="str">
        <f t="shared" si="106"/>
        <v>FI</v>
      </c>
      <c r="O548" s="29" t="str">
        <f>IF(ISERROR(IF(VLOOKUP($N548,CODE!$K:$P,CODE!$O$1,FALSE)="",$M548,$M548&amp;"-"&amp;VLOOKUP($N548,CODE!$K:$P,CODE!$O$1,FALSE)))=TRUE,"",IF(VLOOKUP($N548,CODE!$K:$P,CODE!$O$1,FALSE)="",$M548,$M548&amp;"-"&amp;VLOOKUP($N548,CODE!$K:$P,CODE!$O$1,FALSE)))</f>
        <v>URB</v>
      </c>
      <c r="P548" s="29" t="str">
        <f t="shared" si="107"/>
        <v>URBFIE3302</v>
      </c>
      <c r="Q548" s="1" t="s">
        <v>1327</v>
      </c>
      <c r="R548" s="1" t="s">
        <v>14</v>
      </c>
      <c r="S548" s="26">
        <v>500</v>
      </c>
      <c r="T548" s="26">
        <v>24500000</v>
      </c>
      <c r="U548" s="26">
        <v>2546100.0000000005</v>
      </c>
      <c r="V548" s="26">
        <v>8.747781812468979</v>
      </c>
      <c r="W548" s="26">
        <v>0</v>
      </c>
      <c r="X548" s="26">
        <v>500</v>
      </c>
    </row>
    <row r="549" spans="1:24">
      <c r="A549" s="24" t="str">
        <f t="shared" si="100"/>
        <v>신규</v>
      </c>
      <c r="B549" s="24" t="str">
        <f>IF(COUNTIF(Q$1:Q548,Q549)=0,"최초","리오더")</f>
        <v>최초</v>
      </c>
      <c r="C549" s="24" t="str">
        <f t="shared" si="101"/>
        <v>URBFIE3304</v>
      </c>
      <c r="D549" s="24">
        <f t="shared" si="96"/>
        <v>0.5</v>
      </c>
      <c r="E549" s="24" t="str">
        <f t="shared" si="102"/>
        <v/>
      </c>
      <c r="F549" s="24">
        <f t="shared" si="97"/>
        <v>0</v>
      </c>
      <c r="G549" s="24" t="str">
        <f t="shared" si="103"/>
        <v>URBFIE3304BK</v>
      </c>
      <c r="H549" s="24">
        <f t="shared" si="98"/>
        <v>1</v>
      </c>
      <c r="I549" s="24" t="str">
        <f t="shared" si="104"/>
        <v/>
      </c>
      <c r="J549" s="24">
        <f t="shared" si="99"/>
        <v>0</v>
      </c>
      <c r="K549" s="24" t="str">
        <f t="shared" si="105"/>
        <v>E3</v>
      </c>
      <c r="L549" s="24" t="str">
        <f>VLOOKUP(N549,CODE!K:P,CODE!$P$1,FALSE)</f>
        <v>모자</v>
      </c>
      <c r="M549" s="24" t="str">
        <f>VLOOKUP(MID(Q549,1,3),CODE!$B:$G,CODE!D$1,FALSE)</f>
        <v>URB</v>
      </c>
      <c r="N549" s="24" t="str">
        <f t="shared" si="106"/>
        <v>FI</v>
      </c>
      <c r="O549" s="29" t="str">
        <f>IF(ISERROR(IF(VLOOKUP($N549,CODE!$K:$P,CODE!$O$1,FALSE)="",$M549,$M549&amp;"-"&amp;VLOOKUP($N549,CODE!$K:$P,CODE!$O$1,FALSE)))=TRUE,"",IF(VLOOKUP($N549,CODE!$K:$P,CODE!$O$1,FALSE)="",$M549,$M549&amp;"-"&amp;VLOOKUP($N549,CODE!$K:$P,CODE!$O$1,FALSE)))</f>
        <v>URB</v>
      </c>
      <c r="P549" s="29" t="str">
        <f t="shared" si="107"/>
        <v>URBFIE3304</v>
      </c>
      <c r="Q549" s="1" t="s">
        <v>1330</v>
      </c>
      <c r="R549" s="1" t="s">
        <v>14</v>
      </c>
      <c r="S549" s="26">
        <v>600</v>
      </c>
      <c r="T549" s="26">
        <v>29400000</v>
      </c>
      <c r="U549" s="26">
        <v>3055320.0000000005</v>
      </c>
      <c r="V549" s="26">
        <v>8.747781812468979</v>
      </c>
      <c r="W549" s="26">
        <v>0</v>
      </c>
      <c r="X549" s="26">
        <v>600</v>
      </c>
    </row>
    <row r="550" spans="1:24">
      <c r="A550" s="24" t="str">
        <f t="shared" si="100"/>
        <v>신규</v>
      </c>
      <c r="B550" s="24" t="str">
        <f>IF(COUNTIF(Q$1:Q549,Q550)=0,"최초","리오더")</f>
        <v>최초</v>
      </c>
      <c r="C550" s="24" t="str">
        <f t="shared" si="101"/>
        <v>URBFIE3307</v>
      </c>
      <c r="D550" s="24">
        <f t="shared" si="96"/>
        <v>0.33333333333333331</v>
      </c>
      <c r="E550" s="24" t="str">
        <f t="shared" si="102"/>
        <v/>
      </c>
      <c r="F550" s="24">
        <f t="shared" si="97"/>
        <v>0</v>
      </c>
      <c r="G550" s="24" t="str">
        <f t="shared" si="103"/>
        <v>URBFIE3307BK</v>
      </c>
      <c r="H550" s="24">
        <f t="shared" si="98"/>
        <v>1</v>
      </c>
      <c r="I550" s="24" t="str">
        <f t="shared" si="104"/>
        <v/>
      </c>
      <c r="J550" s="24">
        <f t="shared" si="99"/>
        <v>0</v>
      </c>
      <c r="K550" s="24" t="str">
        <f t="shared" si="105"/>
        <v>E3</v>
      </c>
      <c r="L550" s="24" t="str">
        <f>VLOOKUP(N550,CODE!K:P,CODE!$P$1,FALSE)</f>
        <v>모자</v>
      </c>
      <c r="M550" s="24" t="str">
        <f>VLOOKUP(MID(Q550,1,3),CODE!$B:$G,CODE!D$1,FALSE)</f>
        <v>URB</v>
      </c>
      <c r="N550" s="24" t="str">
        <f t="shared" si="106"/>
        <v>FI</v>
      </c>
      <c r="O550" s="29" t="str">
        <f>IF(ISERROR(IF(VLOOKUP($N550,CODE!$K:$P,CODE!$O$1,FALSE)="",$M550,$M550&amp;"-"&amp;VLOOKUP($N550,CODE!$K:$P,CODE!$O$1,FALSE)))=TRUE,"",IF(VLOOKUP($N550,CODE!$K:$P,CODE!$O$1,FALSE)="",$M550,$M550&amp;"-"&amp;VLOOKUP($N550,CODE!$K:$P,CODE!$O$1,FALSE)))</f>
        <v>URB</v>
      </c>
      <c r="P550" s="29" t="str">
        <f t="shared" si="107"/>
        <v>URBFIE3307</v>
      </c>
      <c r="Q550" s="1" t="s">
        <v>1335</v>
      </c>
      <c r="R550" s="1" t="s">
        <v>14</v>
      </c>
      <c r="S550" s="26">
        <v>600</v>
      </c>
      <c r="T550" s="26">
        <v>29400000</v>
      </c>
      <c r="U550" s="26">
        <v>2845320.0000000005</v>
      </c>
      <c r="V550" s="26">
        <v>9.3934154075016938</v>
      </c>
      <c r="W550" s="26">
        <v>0</v>
      </c>
      <c r="X550" s="26">
        <v>600</v>
      </c>
    </row>
    <row r="551" spans="1:24">
      <c r="A551" s="24" t="str">
        <f t="shared" si="100"/>
        <v>신규</v>
      </c>
      <c r="B551" s="24" t="str">
        <f>IF(COUNTIF(Q$1:Q550,Q551)=0,"최초","리오더")</f>
        <v>최초</v>
      </c>
      <c r="C551" s="24" t="str">
        <f t="shared" si="101"/>
        <v>URBFIE3310</v>
      </c>
      <c r="D551" s="24">
        <f t="shared" si="96"/>
        <v>1</v>
      </c>
      <c r="E551" s="24" t="str">
        <f t="shared" si="102"/>
        <v/>
      </c>
      <c r="F551" s="24">
        <f t="shared" si="97"/>
        <v>0</v>
      </c>
      <c r="G551" s="24" t="str">
        <f t="shared" si="103"/>
        <v>URBFIE3310BL</v>
      </c>
      <c r="H551" s="24">
        <f t="shared" si="98"/>
        <v>1</v>
      </c>
      <c r="I551" s="24" t="str">
        <f t="shared" si="104"/>
        <v/>
      </c>
      <c r="J551" s="24">
        <f t="shared" si="99"/>
        <v>0</v>
      </c>
      <c r="K551" s="24" t="str">
        <f t="shared" si="105"/>
        <v>E3</v>
      </c>
      <c r="L551" s="24" t="str">
        <f>VLOOKUP(N551,CODE!K:P,CODE!$P$1,FALSE)</f>
        <v>모자</v>
      </c>
      <c r="M551" s="24" t="str">
        <f>VLOOKUP(MID(Q551,1,3),CODE!$B:$G,CODE!D$1,FALSE)</f>
        <v>URB</v>
      </c>
      <c r="N551" s="24" t="str">
        <f t="shared" si="106"/>
        <v>FI</v>
      </c>
      <c r="O551" s="29" t="str">
        <f>IF(ISERROR(IF(VLOOKUP($N551,CODE!$K:$P,CODE!$O$1,FALSE)="",$M551,$M551&amp;"-"&amp;VLOOKUP($N551,CODE!$K:$P,CODE!$O$1,FALSE)))=TRUE,"",IF(VLOOKUP($N551,CODE!$K:$P,CODE!$O$1,FALSE)="",$M551,$M551&amp;"-"&amp;VLOOKUP($N551,CODE!$K:$P,CODE!$O$1,FALSE)))</f>
        <v>URB</v>
      </c>
      <c r="P551" s="29" t="str">
        <f t="shared" si="107"/>
        <v>URBFIE3310</v>
      </c>
      <c r="Q551" s="1" t="s">
        <v>1338</v>
      </c>
      <c r="R551" s="1" t="s">
        <v>14</v>
      </c>
      <c r="S551" s="26">
        <v>400</v>
      </c>
      <c r="T551" s="26">
        <v>18000000</v>
      </c>
      <c r="U551" s="26">
        <v>1896880.0000000002</v>
      </c>
      <c r="V551" s="26">
        <v>8.6266059864811488</v>
      </c>
      <c r="W551" s="26">
        <v>0</v>
      </c>
      <c r="X551" s="26">
        <v>400</v>
      </c>
    </row>
    <row r="552" spans="1:24">
      <c r="A552" s="24" t="str">
        <f t="shared" si="100"/>
        <v>신규</v>
      </c>
      <c r="B552" s="24" t="str">
        <f>IF(COUNTIF(Q$1:Q551,Q552)=0,"최초","리오더")</f>
        <v>최초</v>
      </c>
      <c r="C552" s="24" t="str">
        <f t="shared" si="101"/>
        <v>URBFIE3312</v>
      </c>
      <c r="D552" s="24">
        <f t="shared" si="96"/>
        <v>1</v>
      </c>
      <c r="E552" s="24" t="str">
        <f t="shared" si="102"/>
        <v/>
      </c>
      <c r="F552" s="24">
        <f t="shared" si="97"/>
        <v>0</v>
      </c>
      <c r="G552" s="24" t="str">
        <f t="shared" si="103"/>
        <v>URBFIE3312PP</v>
      </c>
      <c r="H552" s="24">
        <f t="shared" si="98"/>
        <v>1</v>
      </c>
      <c r="I552" s="24" t="str">
        <f t="shared" si="104"/>
        <v/>
      </c>
      <c r="J552" s="24">
        <f t="shared" si="99"/>
        <v>0</v>
      </c>
      <c r="K552" s="24" t="str">
        <f t="shared" si="105"/>
        <v>E3</v>
      </c>
      <c r="L552" s="24" t="str">
        <f>VLOOKUP(N552,CODE!K:P,CODE!$P$1,FALSE)</f>
        <v>모자</v>
      </c>
      <c r="M552" s="24" t="str">
        <f>VLOOKUP(MID(Q552,1,3),CODE!$B:$G,CODE!D$1,FALSE)</f>
        <v>URB</v>
      </c>
      <c r="N552" s="24" t="str">
        <f t="shared" si="106"/>
        <v>FI</v>
      </c>
      <c r="O552" s="29" t="str">
        <f>IF(ISERROR(IF(VLOOKUP($N552,CODE!$K:$P,CODE!$O$1,FALSE)="",$M552,$M552&amp;"-"&amp;VLOOKUP($N552,CODE!$K:$P,CODE!$O$1,FALSE)))=TRUE,"",IF(VLOOKUP($N552,CODE!$K:$P,CODE!$O$1,FALSE)="",$M552,$M552&amp;"-"&amp;VLOOKUP($N552,CODE!$K:$P,CODE!$O$1,FALSE)))</f>
        <v>URB</v>
      </c>
      <c r="P552" s="29" t="str">
        <f t="shared" si="107"/>
        <v>URBFIE3312</v>
      </c>
      <c r="Q552" s="1" t="s">
        <v>1340</v>
      </c>
      <c r="R552" s="1" t="s">
        <v>14</v>
      </c>
      <c r="S552" s="26">
        <v>400</v>
      </c>
      <c r="T552" s="26">
        <v>19600000</v>
      </c>
      <c r="U552" s="26">
        <v>1896880.0000000002</v>
      </c>
      <c r="V552" s="26">
        <v>9.3934154075016938</v>
      </c>
      <c r="W552" s="26">
        <v>0</v>
      </c>
      <c r="X552" s="26">
        <v>400</v>
      </c>
    </row>
    <row r="553" spans="1:24">
      <c r="A553" s="24" t="str">
        <f t="shared" si="100"/>
        <v>신규</v>
      </c>
      <c r="B553" s="24" t="str">
        <f>IF(COUNTIF(Q$1:Q552,Q553)=0,"최초","리오더")</f>
        <v>최초</v>
      </c>
      <c r="C553" s="24" t="str">
        <f t="shared" si="101"/>
        <v>URBFIE3313</v>
      </c>
      <c r="D553" s="24">
        <f t="shared" si="96"/>
        <v>1</v>
      </c>
      <c r="E553" s="24" t="str">
        <f t="shared" si="102"/>
        <v/>
      </c>
      <c r="F553" s="24">
        <f t="shared" si="97"/>
        <v>0</v>
      </c>
      <c r="G553" s="24" t="str">
        <f t="shared" si="103"/>
        <v>URBFIE3313BW</v>
      </c>
      <c r="H553" s="24">
        <f t="shared" si="98"/>
        <v>1</v>
      </c>
      <c r="I553" s="24" t="str">
        <f t="shared" si="104"/>
        <v/>
      </c>
      <c r="J553" s="24">
        <f t="shared" si="99"/>
        <v>0</v>
      </c>
      <c r="K553" s="24" t="str">
        <f t="shared" si="105"/>
        <v>E3</v>
      </c>
      <c r="L553" s="24" t="str">
        <f>VLOOKUP(N553,CODE!K:P,CODE!$P$1,FALSE)</f>
        <v>모자</v>
      </c>
      <c r="M553" s="24" t="str">
        <f>VLOOKUP(MID(Q553,1,3),CODE!$B:$G,CODE!D$1,FALSE)</f>
        <v>URB</v>
      </c>
      <c r="N553" s="24" t="str">
        <f t="shared" si="106"/>
        <v>FI</v>
      </c>
      <c r="O553" s="29" t="str">
        <f>IF(ISERROR(IF(VLOOKUP($N553,CODE!$K:$P,CODE!$O$1,FALSE)="",$M553,$M553&amp;"-"&amp;VLOOKUP($N553,CODE!$K:$P,CODE!$O$1,FALSE)))=TRUE,"",IF(VLOOKUP($N553,CODE!$K:$P,CODE!$O$1,FALSE)="",$M553,$M553&amp;"-"&amp;VLOOKUP($N553,CODE!$K:$P,CODE!$O$1,FALSE)))</f>
        <v>URB</v>
      </c>
      <c r="P553" s="29" t="str">
        <f t="shared" si="107"/>
        <v>URBFIE3313</v>
      </c>
      <c r="Q553" s="1" t="s">
        <v>1341</v>
      </c>
      <c r="R553" s="1" t="s">
        <v>14</v>
      </c>
      <c r="S553" s="26">
        <v>600</v>
      </c>
      <c r="T553" s="26">
        <v>29400000</v>
      </c>
      <c r="U553" s="26">
        <v>2845320.0000000005</v>
      </c>
      <c r="V553" s="26">
        <v>9.3934154075016938</v>
      </c>
      <c r="W553" s="26">
        <v>0</v>
      </c>
      <c r="X553" s="26">
        <v>600</v>
      </c>
    </row>
    <row r="554" spans="1:24">
      <c r="A554" s="24" t="str">
        <f t="shared" si="100"/>
        <v>신규</v>
      </c>
      <c r="B554" s="24" t="str">
        <f>IF(COUNTIF(Q$1:Q553,Q554)=0,"최초","리오더")</f>
        <v>최초</v>
      </c>
      <c r="C554" s="24" t="str">
        <f t="shared" si="101"/>
        <v>URBFIE3314</v>
      </c>
      <c r="D554" s="24">
        <f t="shared" si="96"/>
        <v>1</v>
      </c>
      <c r="E554" s="24" t="str">
        <f t="shared" si="102"/>
        <v/>
      </c>
      <c r="F554" s="24">
        <f t="shared" si="97"/>
        <v>0</v>
      </c>
      <c r="G554" s="24" t="str">
        <f t="shared" si="103"/>
        <v>URBFIE3314BK</v>
      </c>
      <c r="H554" s="24">
        <f t="shared" si="98"/>
        <v>1</v>
      </c>
      <c r="I554" s="24" t="str">
        <f t="shared" si="104"/>
        <v/>
      </c>
      <c r="J554" s="24">
        <f t="shared" si="99"/>
        <v>0</v>
      </c>
      <c r="K554" s="24" t="str">
        <f t="shared" si="105"/>
        <v>E3</v>
      </c>
      <c r="L554" s="24" t="str">
        <f>VLOOKUP(N554,CODE!K:P,CODE!$P$1,FALSE)</f>
        <v>모자</v>
      </c>
      <c r="M554" s="24" t="str">
        <f>VLOOKUP(MID(Q554,1,3),CODE!$B:$G,CODE!D$1,FALSE)</f>
        <v>URB</v>
      </c>
      <c r="N554" s="24" t="str">
        <f t="shared" si="106"/>
        <v>FI</v>
      </c>
      <c r="O554" s="29" t="str">
        <f>IF(ISERROR(IF(VLOOKUP($N554,CODE!$K:$P,CODE!$O$1,FALSE)="",$M554,$M554&amp;"-"&amp;VLOOKUP($N554,CODE!$K:$P,CODE!$O$1,FALSE)))=TRUE,"",IF(VLOOKUP($N554,CODE!$K:$P,CODE!$O$1,FALSE)="",$M554,$M554&amp;"-"&amp;VLOOKUP($N554,CODE!$K:$P,CODE!$O$1,FALSE)))</f>
        <v>URB</v>
      </c>
      <c r="P554" s="29" t="str">
        <f t="shared" si="107"/>
        <v>URBFIE3314</v>
      </c>
      <c r="Q554" s="1" t="s">
        <v>1342</v>
      </c>
      <c r="R554" s="1" t="s">
        <v>14</v>
      </c>
      <c r="S554" s="26">
        <v>800</v>
      </c>
      <c r="T554" s="26">
        <v>39200000</v>
      </c>
      <c r="U554" s="26">
        <v>4073760.0000000005</v>
      </c>
      <c r="V554" s="26">
        <v>8.747781812468979</v>
      </c>
      <c r="W554" s="26">
        <v>0</v>
      </c>
      <c r="X554" s="26">
        <v>800</v>
      </c>
    </row>
    <row r="555" spans="1:24">
      <c r="A555" s="24" t="str">
        <f t="shared" si="100"/>
        <v>신규</v>
      </c>
      <c r="B555" s="24" t="str">
        <f>IF(COUNTIF(Q$1:Q554,Q555)=0,"최초","리오더")</f>
        <v>최초</v>
      </c>
      <c r="C555" s="24" t="str">
        <f t="shared" si="101"/>
        <v>URBFIE3315</v>
      </c>
      <c r="D555" s="24">
        <f t="shared" si="96"/>
        <v>1</v>
      </c>
      <c r="E555" s="24" t="str">
        <f t="shared" si="102"/>
        <v/>
      </c>
      <c r="F555" s="24">
        <f t="shared" si="97"/>
        <v>0</v>
      </c>
      <c r="G555" s="24" t="str">
        <f t="shared" si="103"/>
        <v>URBFIE3315BK</v>
      </c>
      <c r="H555" s="24">
        <f t="shared" si="98"/>
        <v>1</v>
      </c>
      <c r="I555" s="24" t="str">
        <f t="shared" si="104"/>
        <v/>
      </c>
      <c r="J555" s="24">
        <f t="shared" si="99"/>
        <v>0</v>
      </c>
      <c r="K555" s="24" t="str">
        <f t="shared" si="105"/>
        <v>E3</v>
      </c>
      <c r="L555" s="24" t="str">
        <f>VLOOKUP(N555,CODE!K:P,CODE!$P$1,FALSE)</f>
        <v>모자</v>
      </c>
      <c r="M555" s="24" t="str">
        <f>VLOOKUP(MID(Q555,1,3),CODE!$B:$G,CODE!D$1,FALSE)</f>
        <v>URB</v>
      </c>
      <c r="N555" s="24" t="str">
        <f t="shared" si="106"/>
        <v>FI</v>
      </c>
      <c r="O555" s="29" t="str">
        <f>IF(ISERROR(IF(VLOOKUP($N555,CODE!$K:$P,CODE!$O$1,FALSE)="",$M555,$M555&amp;"-"&amp;VLOOKUP($N555,CODE!$K:$P,CODE!$O$1,FALSE)))=TRUE,"",IF(VLOOKUP($N555,CODE!$K:$P,CODE!$O$1,FALSE)="",$M555,$M555&amp;"-"&amp;VLOOKUP($N555,CODE!$K:$P,CODE!$O$1,FALSE)))</f>
        <v>URB</v>
      </c>
      <c r="P555" s="29" t="str">
        <f t="shared" si="107"/>
        <v>URBFIE3315</v>
      </c>
      <c r="Q555" s="1" t="s">
        <v>1343</v>
      </c>
      <c r="R555" s="1" t="s">
        <v>14</v>
      </c>
      <c r="S555" s="26">
        <v>600</v>
      </c>
      <c r="T555" s="26">
        <v>29400000</v>
      </c>
      <c r="U555" s="26">
        <v>3055320.0000000005</v>
      </c>
      <c r="V555" s="26">
        <v>8.747781812468979</v>
      </c>
      <c r="W555" s="26">
        <v>0</v>
      </c>
      <c r="X555" s="26">
        <v>600</v>
      </c>
    </row>
    <row r="556" spans="1:24">
      <c r="A556" s="24" t="str">
        <f t="shared" si="100"/>
        <v>신규</v>
      </c>
      <c r="B556" s="24" t="str">
        <f>IF(COUNTIF(Q$1:Q555,Q556)=0,"최초","리오더")</f>
        <v>최초</v>
      </c>
      <c r="C556" s="24" t="str">
        <f t="shared" si="101"/>
        <v>URBFIE3322</v>
      </c>
      <c r="D556" s="24">
        <f t="shared" si="96"/>
        <v>1</v>
      </c>
      <c r="E556" s="24" t="str">
        <f t="shared" si="102"/>
        <v/>
      </c>
      <c r="F556" s="24">
        <f t="shared" si="97"/>
        <v>0</v>
      </c>
      <c r="G556" s="24" t="str">
        <f t="shared" si="103"/>
        <v>URBFIE3322NY</v>
      </c>
      <c r="H556" s="24">
        <f t="shared" si="98"/>
        <v>1</v>
      </c>
      <c r="I556" s="24" t="str">
        <f t="shared" si="104"/>
        <v/>
      </c>
      <c r="J556" s="24">
        <f t="shared" si="99"/>
        <v>0</v>
      </c>
      <c r="K556" s="24" t="str">
        <f t="shared" si="105"/>
        <v>E3</v>
      </c>
      <c r="L556" s="24" t="str">
        <f>VLOOKUP(N556,CODE!K:P,CODE!$P$1,FALSE)</f>
        <v>모자</v>
      </c>
      <c r="M556" s="24" t="str">
        <f>VLOOKUP(MID(Q556,1,3),CODE!$B:$G,CODE!D$1,FALSE)</f>
        <v>URB</v>
      </c>
      <c r="N556" s="24" t="str">
        <f t="shared" si="106"/>
        <v>FI</v>
      </c>
      <c r="O556" s="29" t="str">
        <f>IF(ISERROR(IF(VLOOKUP($N556,CODE!$K:$P,CODE!$O$1,FALSE)="",$M556,$M556&amp;"-"&amp;VLOOKUP($N556,CODE!$K:$P,CODE!$O$1,FALSE)))=TRUE,"",IF(VLOOKUP($N556,CODE!$K:$P,CODE!$O$1,FALSE)="",$M556,$M556&amp;"-"&amp;VLOOKUP($N556,CODE!$K:$P,CODE!$O$1,FALSE)))</f>
        <v>URB</v>
      </c>
      <c r="P556" s="29" t="str">
        <f t="shared" si="107"/>
        <v>URBFIE3322</v>
      </c>
      <c r="Q556" s="1" t="s">
        <v>1350</v>
      </c>
      <c r="R556" s="1" t="s">
        <v>14</v>
      </c>
      <c r="S556" s="26">
        <v>600</v>
      </c>
      <c r="T556" s="26">
        <v>29400000</v>
      </c>
      <c r="U556" s="26">
        <v>3055320.0000000005</v>
      </c>
      <c r="V556" s="26">
        <v>8.747781812468979</v>
      </c>
      <c r="W556" s="26">
        <v>0</v>
      </c>
      <c r="X556" s="26">
        <v>600</v>
      </c>
    </row>
    <row r="557" spans="1:24">
      <c r="A557" s="24" t="str">
        <f t="shared" si="100"/>
        <v>신규</v>
      </c>
      <c r="B557" s="24" t="str">
        <f>IF(COUNTIF(Q$1:Q556,Q557)=0,"최초","리오더")</f>
        <v>최초</v>
      </c>
      <c r="C557" s="24" t="str">
        <f t="shared" si="101"/>
        <v>URBFIE3316</v>
      </c>
      <c r="D557" s="24">
        <f t="shared" si="96"/>
        <v>1</v>
      </c>
      <c r="E557" s="24" t="str">
        <f t="shared" si="102"/>
        <v/>
      </c>
      <c r="F557" s="24">
        <f t="shared" si="97"/>
        <v>0</v>
      </c>
      <c r="G557" s="24" t="str">
        <f t="shared" si="103"/>
        <v>URBFIE3316BK</v>
      </c>
      <c r="H557" s="24">
        <f t="shared" si="98"/>
        <v>1</v>
      </c>
      <c r="I557" s="24" t="str">
        <f t="shared" si="104"/>
        <v/>
      </c>
      <c r="J557" s="24">
        <f t="shared" si="99"/>
        <v>0</v>
      </c>
      <c r="K557" s="24" t="str">
        <f t="shared" si="105"/>
        <v>E3</v>
      </c>
      <c r="L557" s="24" t="str">
        <f>VLOOKUP(N557,CODE!K:P,CODE!$P$1,FALSE)</f>
        <v>모자</v>
      </c>
      <c r="M557" s="24" t="str">
        <f>VLOOKUP(MID(Q557,1,3),CODE!$B:$G,CODE!D$1,FALSE)</f>
        <v>URB</v>
      </c>
      <c r="N557" s="24" t="str">
        <f t="shared" si="106"/>
        <v>FI</v>
      </c>
      <c r="O557" s="29" t="str">
        <f>IF(ISERROR(IF(VLOOKUP($N557,CODE!$K:$P,CODE!$O$1,FALSE)="",$M557,$M557&amp;"-"&amp;VLOOKUP($N557,CODE!$K:$P,CODE!$O$1,FALSE)))=TRUE,"",IF(VLOOKUP($N557,CODE!$K:$P,CODE!$O$1,FALSE)="",$M557,$M557&amp;"-"&amp;VLOOKUP($N557,CODE!$K:$P,CODE!$O$1,FALSE)))</f>
        <v>URB</v>
      </c>
      <c r="P557" s="29" t="str">
        <f t="shared" si="107"/>
        <v>URBFIE3316</v>
      </c>
      <c r="Q557" s="1" t="s">
        <v>1344</v>
      </c>
      <c r="R557" s="1" t="s">
        <v>14</v>
      </c>
      <c r="S557" s="26">
        <v>600</v>
      </c>
      <c r="T557" s="26">
        <v>27000000</v>
      </c>
      <c r="U557" s="26">
        <v>5387369.3527500005</v>
      </c>
      <c r="V557" s="26">
        <v>4.5561113297207356</v>
      </c>
      <c r="W557" s="26">
        <v>0</v>
      </c>
      <c r="X557" s="26">
        <v>600</v>
      </c>
    </row>
    <row r="558" spans="1:24">
      <c r="A558" s="24" t="str">
        <f t="shared" si="100"/>
        <v>신규</v>
      </c>
      <c r="B558" s="24" t="str">
        <f>IF(COUNTIF(Q$1:Q557,Q558)=0,"최초","리오더")</f>
        <v>최초</v>
      </c>
      <c r="C558" s="24" t="str">
        <f t="shared" si="101"/>
        <v>URBFIE3317</v>
      </c>
      <c r="D558" s="24">
        <f t="shared" si="96"/>
        <v>1</v>
      </c>
      <c r="E558" s="24" t="str">
        <f t="shared" si="102"/>
        <v/>
      </c>
      <c r="F558" s="24">
        <f t="shared" si="97"/>
        <v>0</v>
      </c>
      <c r="G558" s="24" t="str">
        <f t="shared" si="103"/>
        <v>URBFIE3317BK</v>
      </c>
      <c r="H558" s="24">
        <f t="shared" si="98"/>
        <v>1</v>
      </c>
      <c r="I558" s="24" t="str">
        <f t="shared" si="104"/>
        <v/>
      </c>
      <c r="J558" s="24">
        <f t="shared" si="99"/>
        <v>0</v>
      </c>
      <c r="K558" s="24" t="str">
        <f t="shared" si="105"/>
        <v>E3</v>
      </c>
      <c r="L558" s="24" t="str">
        <f>VLOOKUP(N558,CODE!K:P,CODE!$P$1,FALSE)</f>
        <v>모자</v>
      </c>
      <c r="M558" s="24" t="str">
        <f>VLOOKUP(MID(Q558,1,3),CODE!$B:$G,CODE!D$1,FALSE)</f>
        <v>URB</v>
      </c>
      <c r="N558" s="24" t="str">
        <f t="shared" si="106"/>
        <v>FI</v>
      </c>
      <c r="O558" s="29" t="str">
        <f>IF(ISERROR(IF(VLOOKUP($N558,CODE!$K:$P,CODE!$O$1,FALSE)="",$M558,$M558&amp;"-"&amp;VLOOKUP($N558,CODE!$K:$P,CODE!$O$1,FALSE)))=TRUE,"",IF(VLOOKUP($N558,CODE!$K:$P,CODE!$O$1,FALSE)="",$M558,$M558&amp;"-"&amp;VLOOKUP($N558,CODE!$K:$P,CODE!$O$1,FALSE)))</f>
        <v>URB</v>
      </c>
      <c r="P558" s="29" t="str">
        <f t="shared" si="107"/>
        <v>URBFIE3317</v>
      </c>
      <c r="Q558" s="1" t="s">
        <v>1345</v>
      </c>
      <c r="R558" s="1" t="s">
        <v>14</v>
      </c>
      <c r="S558" s="26">
        <v>600</v>
      </c>
      <c r="T558" s="26">
        <v>27000000</v>
      </c>
      <c r="U558" s="26">
        <v>5252977.5952500002</v>
      </c>
      <c r="V558" s="26">
        <v>4.6726745165731804</v>
      </c>
      <c r="W558" s="26">
        <v>0</v>
      </c>
      <c r="X558" s="26">
        <v>600</v>
      </c>
    </row>
    <row r="559" spans="1:24">
      <c r="A559" s="24" t="str">
        <f t="shared" si="100"/>
        <v>신규</v>
      </c>
      <c r="B559" s="24" t="str">
        <f>IF(COUNTIF(Q$1:Q558,Q559)=0,"최초","리오더")</f>
        <v>최초</v>
      </c>
      <c r="C559" s="24" t="str">
        <f t="shared" si="101"/>
        <v>URBFIE3318</v>
      </c>
      <c r="D559" s="24">
        <f t="shared" si="96"/>
        <v>1</v>
      </c>
      <c r="E559" s="24" t="str">
        <f t="shared" si="102"/>
        <v/>
      </c>
      <c r="F559" s="24">
        <f t="shared" si="97"/>
        <v>0</v>
      </c>
      <c r="G559" s="24" t="str">
        <f t="shared" si="103"/>
        <v>URBFIE3318BK</v>
      </c>
      <c r="H559" s="24">
        <f t="shared" si="98"/>
        <v>1</v>
      </c>
      <c r="I559" s="24" t="str">
        <f t="shared" si="104"/>
        <v/>
      </c>
      <c r="J559" s="24">
        <f t="shared" si="99"/>
        <v>0</v>
      </c>
      <c r="K559" s="24" t="str">
        <f t="shared" si="105"/>
        <v>E3</v>
      </c>
      <c r="L559" s="24" t="str">
        <f>VLOOKUP(N559,CODE!K:P,CODE!$P$1,FALSE)</f>
        <v>모자</v>
      </c>
      <c r="M559" s="24" t="str">
        <f>VLOOKUP(MID(Q559,1,3),CODE!$B:$G,CODE!D$1,FALSE)</f>
        <v>URB</v>
      </c>
      <c r="N559" s="24" t="str">
        <f t="shared" si="106"/>
        <v>FI</v>
      </c>
      <c r="O559" s="29" t="str">
        <f>IF(ISERROR(IF(VLOOKUP($N559,CODE!$K:$P,CODE!$O$1,FALSE)="",$M559,$M559&amp;"-"&amp;VLOOKUP($N559,CODE!$K:$P,CODE!$O$1,FALSE)))=TRUE,"",IF(VLOOKUP($N559,CODE!$K:$P,CODE!$O$1,FALSE)="",$M559,$M559&amp;"-"&amp;VLOOKUP($N559,CODE!$K:$P,CODE!$O$1,FALSE)))</f>
        <v>URB</v>
      </c>
      <c r="P559" s="29" t="str">
        <f t="shared" si="107"/>
        <v>URBFIE3318</v>
      </c>
      <c r="Q559" s="1" t="s">
        <v>1346</v>
      </c>
      <c r="R559" s="1" t="s">
        <v>14</v>
      </c>
      <c r="S559" s="26">
        <v>800</v>
      </c>
      <c r="T559" s="26">
        <v>36000000</v>
      </c>
      <c r="U559" s="26">
        <v>6809512.9410000006</v>
      </c>
      <c r="V559" s="26">
        <v>4.8061106588434814</v>
      </c>
      <c r="W559" s="26">
        <v>0</v>
      </c>
      <c r="X559" s="26">
        <v>800</v>
      </c>
    </row>
    <row r="560" spans="1:24">
      <c r="A560" s="24" t="str">
        <f t="shared" si="100"/>
        <v>신규</v>
      </c>
      <c r="B560" s="24" t="str">
        <f>IF(COUNTIF(Q$1:Q559,Q560)=0,"최초","리오더")</f>
        <v>최초</v>
      </c>
      <c r="C560" s="24" t="str">
        <f t="shared" si="101"/>
        <v>URBFIE3319</v>
      </c>
      <c r="D560" s="24">
        <f t="shared" si="96"/>
        <v>1</v>
      </c>
      <c r="E560" s="24" t="str">
        <f t="shared" si="102"/>
        <v/>
      </c>
      <c r="F560" s="24">
        <f t="shared" si="97"/>
        <v>0</v>
      </c>
      <c r="G560" s="24" t="str">
        <f t="shared" si="103"/>
        <v>URBFIE3319YE</v>
      </c>
      <c r="H560" s="24">
        <f t="shared" si="98"/>
        <v>1</v>
      </c>
      <c r="I560" s="24" t="str">
        <f t="shared" si="104"/>
        <v/>
      </c>
      <c r="J560" s="24">
        <f t="shared" si="99"/>
        <v>0</v>
      </c>
      <c r="K560" s="24" t="str">
        <f t="shared" si="105"/>
        <v>E3</v>
      </c>
      <c r="L560" s="24" t="str">
        <f>VLOOKUP(N560,CODE!K:P,CODE!$P$1,FALSE)</f>
        <v>모자</v>
      </c>
      <c r="M560" s="24" t="str">
        <f>VLOOKUP(MID(Q560,1,3),CODE!$B:$G,CODE!D$1,FALSE)</f>
        <v>URB</v>
      </c>
      <c r="N560" s="24" t="str">
        <f t="shared" si="106"/>
        <v>FI</v>
      </c>
      <c r="O560" s="29" t="str">
        <f>IF(ISERROR(IF(VLOOKUP($N560,CODE!$K:$P,CODE!$O$1,FALSE)="",$M560,$M560&amp;"-"&amp;VLOOKUP($N560,CODE!$K:$P,CODE!$O$1,FALSE)))=TRUE,"",IF(VLOOKUP($N560,CODE!$K:$P,CODE!$O$1,FALSE)="",$M560,$M560&amp;"-"&amp;VLOOKUP($N560,CODE!$K:$P,CODE!$O$1,FALSE)))</f>
        <v>URB</v>
      </c>
      <c r="P560" s="29" t="str">
        <f t="shared" si="107"/>
        <v>URBFIE3319</v>
      </c>
      <c r="Q560" s="1" t="s">
        <v>1347</v>
      </c>
      <c r="R560" s="1" t="s">
        <v>14</v>
      </c>
      <c r="S560" s="26">
        <v>600</v>
      </c>
      <c r="T560" s="26">
        <v>27000000</v>
      </c>
      <c r="U560" s="26">
        <v>5107134.7057500007</v>
      </c>
      <c r="V560" s="26">
        <v>4.8061106588434814</v>
      </c>
      <c r="W560" s="26">
        <v>0</v>
      </c>
      <c r="X560" s="26">
        <v>600</v>
      </c>
    </row>
    <row r="561" spans="1:24">
      <c r="A561" s="24" t="str">
        <f t="shared" si="100"/>
        <v>신규</v>
      </c>
      <c r="B561" s="24" t="str">
        <f>IF(COUNTIF(Q$1:Q560,Q561)=0,"최초","리오더")</f>
        <v>최초</v>
      </c>
      <c r="C561" s="24" t="str">
        <f t="shared" si="101"/>
        <v>URBFIE3320</v>
      </c>
      <c r="D561" s="24">
        <f t="shared" si="96"/>
        <v>1</v>
      </c>
      <c r="E561" s="24" t="str">
        <f t="shared" si="102"/>
        <v/>
      </c>
      <c r="F561" s="24">
        <f t="shared" si="97"/>
        <v>0</v>
      </c>
      <c r="G561" s="24" t="str">
        <f t="shared" si="103"/>
        <v>URBFIE3320YE</v>
      </c>
      <c r="H561" s="24">
        <f t="shared" si="98"/>
        <v>1</v>
      </c>
      <c r="I561" s="24" t="str">
        <f t="shared" si="104"/>
        <v/>
      </c>
      <c r="J561" s="24">
        <f t="shared" si="99"/>
        <v>0</v>
      </c>
      <c r="K561" s="24" t="str">
        <f t="shared" si="105"/>
        <v>E3</v>
      </c>
      <c r="L561" s="24" t="str">
        <f>VLOOKUP(N561,CODE!K:P,CODE!$P$1,FALSE)</f>
        <v>모자</v>
      </c>
      <c r="M561" s="24" t="str">
        <f>VLOOKUP(MID(Q561,1,3),CODE!$B:$G,CODE!D$1,FALSE)</f>
        <v>URB</v>
      </c>
      <c r="N561" s="24" t="str">
        <f t="shared" si="106"/>
        <v>FI</v>
      </c>
      <c r="O561" s="29" t="str">
        <f>IF(ISERROR(IF(VLOOKUP($N561,CODE!$K:$P,CODE!$O$1,FALSE)="",$M561,$M561&amp;"-"&amp;VLOOKUP($N561,CODE!$K:$P,CODE!$O$1,FALSE)))=TRUE,"",IF(VLOOKUP($N561,CODE!$K:$P,CODE!$O$1,FALSE)="",$M561,$M561&amp;"-"&amp;VLOOKUP($N561,CODE!$K:$P,CODE!$O$1,FALSE)))</f>
        <v>URB</v>
      </c>
      <c r="P561" s="29" t="str">
        <f t="shared" si="107"/>
        <v>URBFIE3320</v>
      </c>
      <c r="Q561" s="1" t="s">
        <v>1348</v>
      </c>
      <c r="R561" s="1" t="s">
        <v>14</v>
      </c>
      <c r="S561" s="26">
        <v>600</v>
      </c>
      <c r="T561" s="26">
        <v>29400000</v>
      </c>
      <c r="U561" s="26">
        <v>5512124.9452499999</v>
      </c>
      <c r="V561" s="26">
        <v>4.8488147479865447</v>
      </c>
      <c r="W561" s="26">
        <v>0</v>
      </c>
      <c r="X561" s="26">
        <v>600</v>
      </c>
    </row>
    <row r="562" spans="1:24">
      <c r="A562" s="24" t="str">
        <f t="shared" si="100"/>
        <v>신규</v>
      </c>
      <c r="B562" s="24" t="str">
        <f>IF(COUNTIF(Q$1:Q561,Q562)=0,"최초","리오더")</f>
        <v>최초</v>
      </c>
      <c r="C562" s="24" t="str">
        <f t="shared" ref="C562:C596" si="108">IF($B562="리오더","",P562)</f>
        <v>URBFIE3321</v>
      </c>
      <c r="D562" s="24">
        <f t="shared" ref="D562:D596" si="109">IF(C562="",0,1/COUNTIF(C:C,C562))</f>
        <v>1</v>
      </c>
      <c r="E562" s="24" t="str">
        <f t="shared" ref="E562:E596" si="110">IF($B562="리오더",P562,"")</f>
        <v/>
      </c>
      <c r="F562" s="24">
        <f t="shared" ref="F562:F596" si="111">IF(E562="",0,1/COUNTIF(E:E,E562))</f>
        <v>0</v>
      </c>
      <c r="G562" s="24" t="str">
        <f t="shared" ref="G562:G596" si="112">IF($B562="리오더","",Q562)</f>
        <v>URBFIE3321BK</v>
      </c>
      <c r="H562" s="24">
        <f t="shared" ref="H562:H596" si="113">IF(G562="",0,1/COUNTIF(G:G,G562))</f>
        <v>1</v>
      </c>
      <c r="I562" s="24" t="str">
        <f t="shared" ref="I562:I596" si="114">IF($B562="리오더",Q562,"")</f>
        <v/>
      </c>
      <c r="J562" s="24">
        <f t="shared" ref="J562:J596" si="115">IF(I562="",0,1/COUNTIF(I:I,I562))</f>
        <v>0</v>
      </c>
      <c r="K562" s="24" t="str">
        <f t="shared" ref="K562:K596" si="116">MID(Q562,6,2)</f>
        <v>E3</v>
      </c>
      <c r="L562" s="24" t="str">
        <f>VLOOKUP(N562,CODE!K:P,CODE!$P$1,FALSE)</f>
        <v>모자</v>
      </c>
      <c r="M562" s="24" t="str">
        <f>VLOOKUP(MID(Q562,1,3),CODE!$B:$G,CODE!D$1,FALSE)</f>
        <v>URB</v>
      </c>
      <c r="N562" s="24" t="str">
        <f t="shared" ref="N562:N596" si="117">MID(Q562,4,2)</f>
        <v>FI</v>
      </c>
      <c r="O562" s="29" t="str">
        <f>IF(ISERROR(IF(VLOOKUP($N562,CODE!$K:$P,CODE!$O$1,FALSE)="",$M562,$M562&amp;"-"&amp;VLOOKUP($N562,CODE!$K:$P,CODE!$O$1,FALSE)))=TRUE,"",IF(VLOOKUP($N562,CODE!$K:$P,CODE!$O$1,FALSE)="",$M562,$M562&amp;"-"&amp;VLOOKUP($N562,CODE!$K:$P,CODE!$O$1,FALSE)))</f>
        <v>URB</v>
      </c>
      <c r="P562" s="29" t="str">
        <f t="shared" ref="P562:P596" si="118">MID(Q562,1,10)</f>
        <v>URBFIE3321</v>
      </c>
      <c r="Q562" s="1" t="s">
        <v>1349</v>
      </c>
      <c r="R562" s="1" t="s">
        <v>14</v>
      </c>
      <c r="S562" s="26">
        <v>600</v>
      </c>
      <c r="T562" s="26">
        <v>29400000</v>
      </c>
      <c r="U562" s="26">
        <v>5957630.5140000032</v>
      </c>
      <c r="V562" s="26">
        <v>4.4862252978706136</v>
      </c>
      <c r="W562" s="26">
        <v>0</v>
      </c>
      <c r="X562" s="26">
        <v>600</v>
      </c>
    </row>
    <row r="563" spans="1:24">
      <c r="A563" s="24" t="str">
        <f t="shared" si="100"/>
        <v>러닝</v>
      </c>
      <c r="B563" s="24" t="str">
        <f>IF(COUNTIF(Q$1:Q562,Q563)=0,"최초","리오더")</f>
        <v>최초</v>
      </c>
      <c r="C563" s="24" t="str">
        <f t="shared" si="108"/>
        <v>ELSERE5645</v>
      </c>
      <c r="D563" s="24">
        <f t="shared" si="109"/>
        <v>1</v>
      </c>
      <c r="E563" s="24" t="str">
        <f t="shared" si="110"/>
        <v/>
      </c>
      <c r="F563" s="24">
        <f t="shared" si="111"/>
        <v>0</v>
      </c>
      <c r="G563" s="24" t="str">
        <f t="shared" si="112"/>
        <v>ELSERE5645BK</v>
      </c>
      <c r="H563" s="24">
        <f t="shared" si="113"/>
        <v>1</v>
      </c>
      <c r="I563" s="24" t="str">
        <f t="shared" si="114"/>
        <v/>
      </c>
      <c r="J563" s="24">
        <f t="shared" si="115"/>
        <v>0</v>
      </c>
      <c r="K563" s="24" t="str">
        <f t="shared" si="116"/>
        <v>E5</v>
      </c>
      <c r="L563" s="24" t="str">
        <f>VLOOKUP(N563,CODE!K:P,CODE!$P$1,FALSE)</f>
        <v>모자</v>
      </c>
      <c r="M563" s="24" t="str">
        <f>VLOOKUP(MID(Q563,1,3),CODE!$B:$G,CODE!D$1,FALSE)</f>
        <v>ELS</v>
      </c>
      <c r="N563" s="24" t="str">
        <f t="shared" si="117"/>
        <v>ER</v>
      </c>
      <c r="O563" s="29" t="str">
        <f>IF(ISERROR(IF(VLOOKUP($N563,CODE!$K:$P,CODE!$O$1,FALSE)="",$M563,$M563&amp;"-"&amp;VLOOKUP($N563,CODE!$K:$P,CODE!$O$1,FALSE)))=TRUE,"",IF(VLOOKUP($N563,CODE!$K:$P,CODE!$O$1,FALSE)="",$M563,$M563&amp;"-"&amp;VLOOKUP($N563,CODE!$K:$P,CODE!$O$1,FALSE)))</f>
        <v>ELS</v>
      </c>
      <c r="P563" s="29" t="str">
        <f t="shared" si="118"/>
        <v>ELSERE5645</v>
      </c>
      <c r="Q563" s="1" t="s">
        <v>1364</v>
      </c>
      <c r="R563" s="1" t="s">
        <v>14</v>
      </c>
      <c r="S563" s="26">
        <v>1200</v>
      </c>
      <c r="T563" s="26">
        <v>75600000</v>
      </c>
      <c r="U563" s="26">
        <v>12037033.999999998</v>
      </c>
      <c r="V563" s="26">
        <v>5.709651790239417</v>
      </c>
      <c r="W563" s="26">
        <v>0</v>
      </c>
      <c r="X563" s="26">
        <v>1200</v>
      </c>
    </row>
    <row r="564" spans="1:24">
      <c r="A564" s="24" t="str">
        <f t="shared" si="100"/>
        <v>신규</v>
      </c>
      <c r="B564" s="85" t="s">
        <v>1596</v>
      </c>
      <c r="C564" s="24" t="str">
        <f t="shared" si="108"/>
        <v>ELSTPE5301</v>
      </c>
      <c r="D564" s="24">
        <f t="shared" si="109"/>
        <v>0.5</v>
      </c>
      <c r="E564" s="24" t="str">
        <f t="shared" si="110"/>
        <v/>
      </c>
      <c r="F564" s="24">
        <f t="shared" si="111"/>
        <v>0</v>
      </c>
      <c r="G564" s="24" t="str">
        <f t="shared" si="112"/>
        <v>ELSTPE5301NY</v>
      </c>
      <c r="H564" s="24">
        <f t="shared" si="113"/>
        <v>0.5</v>
      </c>
      <c r="I564" s="24" t="str">
        <f t="shared" si="114"/>
        <v/>
      </c>
      <c r="J564" s="24">
        <f t="shared" si="115"/>
        <v>0</v>
      </c>
      <c r="K564" s="24" t="str">
        <f t="shared" si="116"/>
        <v>E5</v>
      </c>
      <c r="L564" s="24" t="str">
        <f>VLOOKUP(N564,CODE!K:P,CODE!$P$1,FALSE)</f>
        <v>모자</v>
      </c>
      <c r="M564" s="24" t="str">
        <f>VLOOKUP(MID(Q564,1,3),CODE!$B:$G,CODE!D$1,FALSE)</f>
        <v>ELS</v>
      </c>
      <c r="N564" s="24" t="str">
        <f t="shared" si="117"/>
        <v>TP</v>
      </c>
      <c r="O564" s="29" t="str">
        <f>IF(ISERROR(IF(VLOOKUP($N564,CODE!$K:$P,CODE!$O$1,FALSE)="",$M564,$M564&amp;"-"&amp;VLOOKUP($N564,CODE!$K:$P,CODE!$O$1,FALSE)))=TRUE,"",IF(VLOOKUP($N564,CODE!$K:$P,CODE!$O$1,FALSE)="",$M564,$M564&amp;"-"&amp;VLOOKUP($N564,CODE!$K:$P,CODE!$O$1,FALSE)))</f>
        <v>ELS</v>
      </c>
      <c r="P564" s="29" t="str">
        <f t="shared" si="118"/>
        <v>ELSTPE5301</v>
      </c>
      <c r="Q564" s="1" t="s">
        <v>1012</v>
      </c>
      <c r="R564" s="1" t="s">
        <v>14</v>
      </c>
      <c r="S564" s="26">
        <v>200</v>
      </c>
      <c r="T564" s="26">
        <v>11800000</v>
      </c>
      <c r="U564" s="26">
        <v>1970896.0000000002</v>
      </c>
      <c r="V564" s="26">
        <v>5.4428405797529269</v>
      </c>
      <c r="W564" s="26">
        <v>0</v>
      </c>
      <c r="X564" s="26">
        <v>200</v>
      </c>
    </row>
    <row r="565" spans="1:24">
      <c r="A565" s="24" t="str">
        <f t="shared" si="100"/>
        <v>신규</v>
      </c>
      <c r="B565" s="85" t="s">
        <v>1596</v>
      </c>
      <c r="C565" s="24" t="str">
        <f t="shared" si="108"/>
        <v>ELSTPE5801</v>
      </c>
      <c r="D565" s="24">
        <f t="shared" si="109"/>
        <v>0.5</v>
      </c>
      <c r="E565" s="24" t="str">
        <f t="shared" si="110"/>
        <v/>
      </c>
      <c r="F565" s="24">
        <f t="shared" si="111"/>
        <v>0</v>
      </c>
      <c r="G565" s="24" t="str">
        <f t="shared" si="112"/>
        <v>ELSTPE5801NY</v>
      </c>
      <c r="H565" s="24">
        <f t="shared" si="113"/>
        <v>0.5</v>
      </c>
      <c r="I565" s="24" t="str">
        <f t="shared" si="114"/>
        <v/>
      </c>
      <c r="J565" s="24">
        <f t="shared" si="115"/>
        <v>0</v>
      </c>
      <c r="K565" s="24" t="str">
        <f t="shared" si="116"/>
        <v>E5</v>
      </c>
      <c r="L565" s="24" t="str">
        <f>VLOOKUP(N565,CODE!K:P,CODE!$P$1,FALSE)</f>
        <v>모자</v>
      </c>
      <c r="M565" s="24" t="str">
        <f>VLOOKUP(MID(Q565,1,3),CODE!$B:$G,CODE!D$1,FALSE)</f>
        <v>ELS</v>
      </c>
      <c r="N565" s="24" t="str">
        <f t="shared" si="117"/>
        <v>TP</v>
      </c>
      <c r="O565" s="29" t="str">
        <f>IF(ISERROR(IF(VLOOKUP($N565,CODE!$K:$P,CODE!$O$1,FALSE)="",$M565,$M565&amp;"-"&amp;VLOOKUP($N565,CODE!$K:$P,CODE!$O$1,FALSE)))=TRUE,"",IF(VLOOKUP($N565,CODE!$K:$P,CODE!$O$1,FALSE)="",$M565,$M565&amp;"-"&amp;VLOOKUP($N565,CODE!$K:$P,CODE!$O$1,FALSE)))</f>
        <v>ELS</v>
      </c>
      <c r="P565" s="29" t="str">
        <f t="shared" si="118"/>
        <v>ELSTPE5801</v>
      </c>
      <c r="Q565" s="1" t="s">
        <v>1013</v>
      </c>
      <c r="R565" s="1" t="s">
        <v>14</v>
      </c>
      <c r="S565" s="26">
        <v>200</v>
      </c>
      <c r="T565" s="26">
        <v>11000000</v>
      </c>
      <c r="U565" s="26">
        <v>1958896.0000000002</v>
      </c>
      <c r="V565" s="26">
        <v>5.1049162385343569</v>
      </c>
      <c r="W565" s="26">
        <v>0</v>
      </c>
      <c r="X565" s="26">
        <v>200</v>
      </c>
    </row>
    <row r="566" spans="1:24">
      <c r="A566" s="24" t="str">
        <f t="shared" si="100"/>
        <v>신규</v>
      </c>
      <c r="B566" s="85" t="s">
        <v>1596</v>
      </c>
      <c r="C566" s="24" t="str">
        <f t="shared" si="108"/>
        <v>ELSBAE3311</v>
      </c>
      <c r="D566" s="24">
        <f t="shared" si="109"/>
        <v>0.25</v>
      </c>
      <c r="E566" s="24" t="str">
        <f t="shared" si="110"/>
        <v/>
      </c>
      <c r="F566" s="24">
        <f t="shared" si="111"/>
        <v>0</v>
      </c>
      <c r="G566" s="24" t="str">
        <f t="shared" si="112"/>
        <v>ELSBAE3311LI</v>
      </c>
      <c r="H566" s="24">
        <f t="shared" si="113"/>
        <v>0.5</v>
      </c>
      <c r="I566" s="24" t="str">
        <f t="shared" si="114"/>
        <v/>
      </c>
      <c r="J566" s="24">
        <f t="shared" si="115"/>
        <v>0</v>
      </c>
      <c r="K566" s="24" t="str">
        <f t="shared" si="116"/>
        <v>E3</v>
      </c>
      <c r="L566" s="24" t="str">
        <f>VLOOKUP(N566,CODE!K:P,CODE!$P$1,FALSE)</f>
        <v>모자</v>
      </c>
      <c r="M566" s="24" t="str">
        <f>VLOOKUP(MID(Q566,1,3),CODE!$B:$G,CODE!D$1,FALSE)</f>
        <v>ELS</v>
      </c>
      <c r="N566" s="24" t="str">
        <f t="shared" si="117"/>
        <v>BA</v>
      </c>
      <c r="O566" s="29" t="str">
        <f>IF(ISERROR(IF(VLOOKUP($N566,CODE!$K:$P,CODE!$O$1,FALSE)="",$M566,$M566&amp;"-"&amp;VLOOKUP($N566,CODE!$K:$P,CODE!$O$1,FALSE)))=TRUE,"",IF(VLOOKUP($N566,CODE!$K:$P,CODE!$O$1,FALSE)="",$M566,$M566&amp;"-"&amp;VLOOKUP($N566,CODE!$K:$P,CODE!$O$1,FALSE)))</f>
        <v>ELS</v>
      </c>
      <c r="P566" s="29" t="str">
        <f t="shared" si="118"/>
        <v>ELSBAE3311</v>
      </c>
      <c r="Q566" s="1" t="s">
        <v>1046</v>
      </c>
      <c r="R566" s="1" t="s">
        <v>14</v>
      </c>
      <c r="S566" s="26">
        <v>400</v>
      </c>
      <c r="T566" s="26">
        <v>19600000</v>
      </c>
      <c r="U566" s="26">
        <v>3051656</v>
      </c>
      <c r="V566" s="26">
        <v>5.8388566136490541</v>
      </c>
      <c r="W566" s="26">
        <v>0</v>
      </c>
      <c r="X566" s="26">
        <v>400</v>
      </c>
    </row>
    <row r="567" spans="1:24">
      <c r="A567" s="24" t="str">
        <f t="shared" si="100"/>
        <v>신규</v>
      </c>
      <c r="B567" s="85" t="s">
        <v>1596</v>
      </c>
      <c r="C567" s="24" t="str">
        <f t="shared" si="108"/>
        <v>ELSBAE3811</v>
      </c>
      <c r="D567" s="24">
        <f t="shared" si="109"/>
        <v>0.25</v>
      </c>
      <c r="E567" s="24" t="str">
        <f t="shared" si="110"/>
        <v/>
      </c>
      <c r="F567" s="24">
        <f t="shared" si="111"/>
        <v>0</v>
      </c>
      <c r="G567" s="24" t="str">
        <f t="shared" si="112"/>
        <v>ELSBAE3811LI</v>
      </c>
      <c r="H567" s="24">
        <f t="shared" si="113"/>
        <v>0.5</v>
      </c>
      <c r="I567" s="24" t="str">
        <f t="shared" si="114"/>
        <v/>
      </c>
      <c r="J567" s="24">
        <f t="shared" si="115"/>
        <v>0</v>
      </c>
      <c r="K567" s="24" t="str">
        <f t="shared" si="116"/>
        <v>E3</v>
      </c>
      <c r="L567" s="24" t="str">
        <f>VLOOKUP(N567,CODE!K:P,CODE!$P$1,FALSE)</f>
        <v>모자</v>
      </c>
      <c r="M567" s="24" t="str">
        <f>VLOOKUP(MID(Q567,1,3),CODE!$B:$G,CODE!D$1,FALSE)</f>
        <v>ELS</v>
      </c>
      <c r="N567" s="24" t="str">
        <f t="shared" si="117"/>
        <v>BA</v>
      </c>
      <c r="O567" s="29" t="str">
        <f>IF(ISERROR(IF(VLOOKUP($N567,CODE!$K:$P,CODE!$O$1,FALSE)="",$M567,$M567&amp;"-"&amp;VLOOKUP($N567,CODE!$K:$P,CODE!$O$1,FALSE)))=TRUE,"",IF(VLOOKUP($N567,CODE!$K:$P,CODE!$O$1,FALSE)="",$M567,$M567&amp;"-"&amp;VLOOKUP($N567,CODE!$K:$P,CODE!$O$1,FALSE)))</f>
        <v>ELS</v>
      </c>
      <c r="P567" s="29" t="str">
        <f t="shared" si="118"/>
        <v>ELSBAE3811</v>
      </c>
      <c r="Q567" s="1" t="s">
        <v>1047</v>
      </c>
      <c r="R567" s="1" t="s">
        <v>14</v>
      </c>
      <c r="S567" s="26">
        <v>400</v>
      </c>
      <c r="T567" s="26">
        <v>17200000</v>
      </c>
      <c r="U567" s="26">
        <v>3001760.0000000005</v>
      </c>
      <c r="V567" s="26">
        <v>5.209065227187927</v>
      </c>
      <c r="W567" s="26">
        <v>0</v>
      </c>
      <c r="X567" s="26">
        <v>400</v>
      </c>
    </row>
    <row r="568" spans="1:24">
      <c r="A568" s="24" t="str">
        <f t="shared" si="100"/>
        <v>신규</v>
      </c>
      <c r="B568" s="85" t="s">
        <v>1596</v>
      </c>
      <c r="C568" s="24" t="str">
        <f t="shared" si="108"/>
        <v>ELSBAE3311</v>
      </c>
      <c r="D568" s="24">
        <f t="shared" si="109"/>
        <v>0.25</v>
      </c>
      <c r="E568" s="24" t="str">
        <f t="shared" si="110"/>
        <v/>
      </c>
      <c r="F568" s="24">
        <f t="shared" si="111"/>
        <v>0</v>
      </c>
      <c r="G568" s="24" t="str">
        <f t="shared" si="112"/>
        <v>ELSBAE3311PK</v>
      </c>
      <c r="H568" s="24">
        <f t="shared" si="113"/>
        <v>0.5</v>
      </c>
      <c r="I568" s="24" t="str">
        <f t="shared" si="114"/>
        <v/>
      </c>
      <c r="J568" s="24">
        <f t="shared" si="115"/>
        <v>0</v>
      </c>
      <c r="K568" s="24" t="str">
        <f t="shared" si="116"/>
        <v>E3</v>
      </c>
      <c r="L568" s="24" t="str">
        <f>VLOOKUP(N568,CODE!K:P,CODE!$P$1,FALSE)</f>
        <v>모자</v>
      </c>
      <c r="M568" s="24" t="str">
        <f>VLOOKUP(MID(Q568,1,3),CODE!$B:$G,CODE!D$1,FALSE)</f>
        <v>ELS</v>
      </c>
      <c r="N568" s="24" t="str">
        <f t="shared" si="117"/>
        <v>BA</v>
      </c>
      <c r="O568" s="29" t="str">
        <f>IF(ISERROR(IF(VLOOKUP($N568,CODE!$K:$P,CODE!$O$1,FALSE)="",$M568,$M568&amp;"-"&amp;VLOOKUP($N568,CODE!$K:$P,CODE!$O$1,FALSE)))=TRUE,"",IF(VLOOKUP($N568,CODE!$K:$P,CODE!$O$1,FALSE)="",$M568,$M568&amp;"-"&amp;VLOOKUP($N568,CODE!$K:$P,CODE!$O$1,FALSE)))</f>
        <v>ELS</v>
      </c>
      <c r="P568" s="29" t="str">
        <f t="shared" si="118"/>
        <v>ELSBAE3311</v>
      </c>
      <c r="Q568" s="1" t="s">
        <v>1048</v>
      </c>
      <c r="R568" s="1" t="s">
        <v>14</v>
      </c>
      <c r="S568" s="26">
        <v>400</v>
      </c>
      <c r="T568" s="26">
        <v>19600000</v>
      </c>
      <c r="U568" s="26">
        <v>3051656</v>
      </c>
      <c r="V568" s="26">
        <v>5.8388566136490541</v>
      </c>
      <c r="W568" s="26">
        <v>0</v>
      </c>
      <c r="X568" s="26">
        <v>400</v>
      </c>
    </row>
    <row r="569" spans="1:24">
      <c r="A569" s="24" t="str">
        <f t="shared" si="100"/>
        <v>신규</v>
      </c>
      <c r="B569" s="85" t="s">
        <v>1596</v>
      </c>
      <c r="C569" s="24" t="str">
        <f t="shared" si="108"/>
        <v>ELSBAE3811</v>
      </c>
      <c r="D569" s="24">
        <f t="shared" si="109"/>
        <v>0.25</v>
      </c>
      <c r="E569" s="24" t="str">
        <f t="shared" si="110"/>
        <v/>
      </c>
      <c r="F569" s="24">
        <f t="shared" si="111"/>
        <v>0</v>
      </c>
      <c r="G569" s="24" t="str">
        <f t="shared" si="112"/>
        <v>ELSBAE3811PK</v>
      </c>
      <c r="H569" s="24">
        <f t="shared" si="113"/>
        <v>0.5</v>
      </c>
      <c r="I569" s="24" t="str">
        <f t="shared" si="114"/>
        <v/>
      </c>
      <c r="J569" s="24">
        <f t="shared" si="115"/>
        <v>0</v>
      </c>
      <c r="K569" s="24" t="str">
        <f t="shared" si="116"/>
        <v>E3</v>
      </c>
      <c r="L569" s="24" t="str">
        <f>VLOOKUP(N569,CODE!K:P,CODE!$P$1,FALSE)</f>
        <v>모자</v>
      </c>
      <c r="M569" s="24" t="str">
        <f>VLOOKUP(MID(Q569,1,3),CODE!$B:$G,CODE!D$1,FALSE)</f>
        <v>ELS</v>
      </c>
      <c r="N569" s="24" t="str">
        <f t="shared" si="117"/>
        <v>BA</v>
      </c>
      <c r="O569" s="29" t="str">
        <f>IF(ISERROR(IF(VLOOKUP($N569,CODE!$K:$P,CODE!$O$1,FALSE)="",$M569,$M569&amp;"-"&amp;VLOOKUP($N569,CODE!$K:$P,CODE!$O$1,FALSE)))=TRUE,"",IF(VLOOKUP($N569,CODE!$K:$P,CODE!$O$1,FALSE)="",$M569,$M569&amp;"-"&amp;VLOOKUP($N569,CODE!$K:$P,CODE!$O$1,FALSE)))</f>
        <v>ELS</v>
      </c>
      <c r="P569" s="29" t="str">
        <f t="shared" si="118"/>
        <v>ELSBAE3811</v>
      </c>
      <c r="Q569" s="1" t="s">
        <v>1049</v>
      </c>
      <c r="R569" s="1" t="s">
        <v>14</v>
      </c>
      <c r="S569" s="26">
        <v>400</v>
      </c>
      <c r="T569" s="26">
        <v>17200000</v>
      </c>
      <c r="U569" s="26">
        <v>3001760.0000000005</v>
      </c>
      <c r="V569" s="26">
        <v>5.209065227187927</v>
      </c>
      <c r="W569" s="26">
        <v>0</v>
      </c>
      <c r="X569" s="26">
        <v>400</v>
      </c>
    </row>
    <row r="570" spans="1:24">
      <c r="A570" s="24" t="str">
        <f t="shared" si="100"/>
        <v>신규</v>
      </c>
      <c r="B570" s="85" t="s">
        <v>1596</v>
      </c>
      <c r="C570" s="24" t="str">
        <f t="shared" si="108"/>
        <v>ELSBAE3312</v>
      </c>
      <c r="D570" s="24">
        <f t="shared" si="109"/>
        <v>0.5</v>
      </c>
      <c r="E570" s="24" t="str">
        <f t="shared" si="110"/>
        <v/>
      </c>
      <c r="F570" s="24">
        <f t="shared" si="111"/>
        <v>0</v>
      </c>
      <c r="G570" s="24" t="str">
        <f t="shared" si="112"/>
        <v>ELSBAE3312NY</v>
      </c>
      <c r="H570" s="24">
        <f t="shared" si="113"/>
        <v>0.5</v>
      </c>
      <c r="I570" s="24" t="str">
        <f t="shared" si="114"/>
        <v/>
      </c>
      <c r="J570" s="24">
        <f t="shared" si="115"/>
        <v>0</v>
      </c>
      <c r="K570" s="24" t="str">
        <f t="shared" si="116"/>
        <v>E3</v>
      </c>
      <c r="L570" s="24" t="str">
        <f>VLOOKUP(N570,CODE!K:P,CODE!$P$1,FALSE)</f>
        <v>모자</v>
      </c>
      <c r="M570" s="24" t="str">
        <f>VLOOKUP(MID(Q570,1,3),CODE!$B:$G,CODE!D$1,FALSE)</f>
        <v>ELS</v>
      </c>
      <c r="N570" s="24" t="str">
        <f t="shared" si="117"/>
        <v>BA</v>
      </c>
      <c r="O570" s="29" t="str">
        <f>IF(ISERROR(IF(VLOOKUP($N570,CODE!$K:$P,CODE!$O$1,FALSE)="",$M570,$M570&amp;"-"&amp;VLOOKUP($N570,CODE!$K:$P,CODE!$O$1,FALSE)))=TRUE,"",IF(VLOOKUP($N570,CODE!$K:$P,CODE!$O$1,FALSE)="",$M570,$M570&amp;"-"&amp;VLOOKUP($N570,CODE!$K:$P,CODE!$O$1,FALSE)))</f>
        <v>ELS</v>
      </c>
      <c r="P570" s="29" t="str">
        <f t="shared" si="118"/>
        <v>ELSBAE3312</v>
      </c>
      <c r="Q570" s="1" t="s">
        <v>1050</v>
      </c>
      <c r="R570" s="1" t="s">
        <v>14</v>
      </c>
      <c r="S570" s="26">
        <v>400</v>
      </c>
      <c r="T570" s="26">
        <v>19600000</v>
      </c>
      <c r="U570" s="26">
        <v>3151448.0000000005</v>
      </c>
      <c r="V570" s="26">
        <v>5.653966626827355</v>
      </c>
      <c r="W570" s="26">
        <v>0</v>
      </c>
      <c r="X570" s="26">
        <v>400</v>
      </c>
    </row>
    <row r="571" spans="1:24">
      <c r="A571" s="24" t="str">
        <f t="shared" si="100"/>
        <v>신규</v>
      </c>
      <c r="B571" s="85" t="s">
        <v>1596</v>
      </c>
      <c r="C571" s="24" t="str">
        <f t="shared" si="108"/>
        <v>ELSBAE3812</v>
      </c>
      <c r="D571" s="24">
        <f t="shared" si="109"/>
        <v>0.5</v>
      </c>
      <c r="E571" s="24" t="str">
        <f t="shared" si="110"/>
        <v/>
      </c>
      <c r="F571" s="24">
        <f t="shared" si="111"/>
        <v>0</v>
      </c>
      <c r="G571" s="24" t="str">
        <f t="shared" si="112"/>
        <v>ELSBAE3812NY</v>
      </c>
      <c r="H571" s="24">
        <f t="shared" si="113"/>
        <v>0.5</v>
      </c>
      <c r="I571" s="24" t="str">
        <f t="shared" si="114"/>
        <v/>
      </c>
      <c r="J571" s="24">
        <f t="shared" si="115"/>
        <v>0</v>
      </c>
      <c r="K571" s="24" t="str">
        <f t="shared" si="116"/>
        <v>E3</v>
      </c>
      <c r="L571" s="24" t="str">
        <f>VLOOKUP(N571,CODE!K:P,CODE!$P$1,FALSE)</f>
        <v>모자</v>
      </c>
      <c r="M571" s="24" t="str">
        <f>VLOOKUP(MID(Q571,1,3),CODE!$B:$G,CODE!D$1,FALSE)</f>
        <v>ELS</v>
      </c>
      <c r="N571" s="24" t="str">
        <f t="shared" si="117"/>
        <v>BA</v>
      </c>
      <c r="O571" s="29" t="str">
        <f>IF(ISERROR(IF(VLOOKUP($N571,CODE!$K:$P,CODE!$O$1,FALSE)="",$M571,$M571&amp;"-"&amp;VLOOKUP($N571,CODE!$K:$P,CODE!$O$1,FALSE)))=TRUE,"",IF(VLOOKUP($N571,CODE!$K:$P,CODE!$O$1,FALSE)="",$M571,$M571&amp;"-"&amp;VLOOKUP($N571,CODE!$K:$P,CODE!$O$1,FALSE)))</f>
        <v>ELS</v>
      </c>
      <c r="P571" s="29" t="str">
        <f t="shared" si="118"/>
        <v>ELSBAE3812</v>
      </c>
      <c r="Q571" s="1" t="s">
        <v>1051</v>
      </c>
      <c r="R571" s="1" t="s">
        <v>14</v>
      </c>
      <c r="S571" s="26">
        <v>400</v>
      </c>
      <c r="T571" s="26">
        <v>17200000</v>
      </c>
      <c r="U571" s="26">
        <v>3101552.0000000005</v>
      </c>
      <c r="V571" s="26">
        <v>5.0414642850945697</v>
      </c>
      <c r="W571" s="26">
        <v>0</v>
      </c>
      <c r="X571" s="26">
        <v>400</v>
      </c>
    </row>
    <row r="572" spans="1:24">
      <c r="A572" s="24" t="str">
        <f t="shared" si="100"/>
        <v>신규</v>
      </c>
      <c r="B572" s="85" t="s">
        <v>1596</v>
      </c>
      <c r="C572" s="24" t="str">
        <f t="shared" si="108"/>
        <v>ELSBAE3307</v>
      </c>
      <c r="D572" s="24">
        <f t="shared" si="109"/>
        <v>0.5</v>
      </c>
      <c r="E572" s="24" t="str">
        <f t="shared" si="110"/>
        <v/>
      </c>
      <c r="F572" s="24">
        <f t="shared" si="111"/>
        <v>0</v>
      </c>
      <c r="G572" s="24" t="str">
        <f t="shared" si="112"/>
        <v>ELSBAE3307OR</v>
      </c>
      <c r="H572" s="24">
        <f t="shared" si="113"/>
        <v>0.5</v>
      </c>
      <c r="I572" s="24" t="str">
        <f t="shared" si="114"/>
        <v/>
      </c>
      <c r="J572" s="24">
        <f t="shared" si="115"/>
        <v>0</v>
      </c>
      <c r="K572" s="24" t="str">
        <f t="shared" si="116"/>
        <v>E3</v>
      </c>
      <c r="L572" s="24" t="str">
        <f>VLOOKUP(N572,CODE!K:P,CODE!$P$1,FALSE)</f>
        <v>모자</v>
      </c>
      <c r="M572" s="24" t="str">
        <f>VLOOKUP(MID(Q572,1,3),CODE!$B:$G,CODE!D$1,FALSE)</f>
        <v>ELS</v>
      </c>
      <c r="N572" s="24" t="str">
        <f t="shared" si="117"/>
        <v>BA</v>
      </c>
      <c r="O572" s="29" t="str">
        <f>IF(ISERROR(IF(VLOOKUP($N572,CODE!$K:$P,CODE!$O$1,FALSE)="",$M572,$M572&amp;"-"&amp;VLOOKUP($N572,CODE!$K:$P,CODE!$O$1,FALSE)))=TRUE,"",IF(VLOOKUP($N572,CODE!$K:$P,CODE!$O$1,FALSE)="",$M572,$M572&amp;"-"&amp;VLOOKUP($N572,CODE!$K:$P,CODE!$O$1,FALSE)))</f>
        <v>ELS</v>
      </c>
      <c r="P572" s="29" t="str">
        <f t="shared" si="118"/>
        <v>ELSBAE3307</v>
      </c>
      <c r="Q572" s="1" t="s">
        <v>1052</v>
      </c>
      <c r="R572" s="1" t="s">
        <v>14</v>
      </c>
      <c r="S572" s="26">
        <v>200</v>
      </c>
      <c r="T572" s="26">
        <v>9800000</v>
      </c>
      <c r="U572" s="26">
        <v>1900048</v>
      </c>
      <c r="V572" s="26">
        <v>4.6888767594770808</v>
      </c>
      <c r="W572" s="26">
        <v>0</v>
      </c>
      <c r="X572" s="26">
        <v>200</v>
      </c>
    </row>
    <row r="573" spans="1:24">
      <c r="A573" s="24" t="str">
        <f t="shared" si="100"/>
        <v>신규</v>
      </c>
      <c r="B573" s="85" t="s">
        <v>1596</v>
      </c>
      <c r="C573" s="24" t="str">
        <f t="shared" si="108"/>
        <v>VBLBAE3312</v>
      </c>
      <c r="D573" s="24">
        <f t="shared" si="109"/>
        <v>0.5</v>
      </c>
      <c r="E573" s="24" t="str">
        <f t="shared" si="110"/>
        <v/>
      </c>
      <c r="F573" s="24">
        <f t="shared" si="111"/>
        <v>0</v>
      </c>
      <c r="G573" s="24" t="str">
        <f t="shared" si="112"/>
        <v>VBLBAE3312BK</v>
      </c>
      <c r="H573" s="24">
        <f t="shared" si="113"/>
        <v>0.5</v>
      </c>
      <c r="I573" s="24" t="str">
        <f t="shared" si="114"/>
        <v/>
      </c>
      <c r="J573" s="24">
        <f t="shared" si="115"/>
        <v>0</v>
      </c>
      <c r="K573" s="24" t="str">
        <f t="shared" si="116"/>
        <v>E3</v>
      </c>
      <c r="L573" s="24" t="str">
        <f>VLOOKUP(N573,CODE!K:P,CODE!$P$1,FALSE)</f>
        <v>모자</v>
      </c>
      <c r="M573" s="24" t="str">
        <f>VLOOKUP(MID(Q573,1,3),CODE!$B:$G,CODE!D$1,FALSE)</f>
        <v>VBL</v>
      </c>
      <c r="N573" s="24" t="str">
        <f t="shared" si="117"/>
        <v>BA</v>
      </c>
      <c r="O573" s="29" t="str">
        <f>IF(ISERROR(IF(VLOOKUP($N573,CODE!$K:$P,CODE!$O$1,FALSE)="",$M573,$M573&amp;"-"&amp;VLOOKUP($N573,CODE!$K:$P,CODE!$O$1,FALSE)))=TRUE,"",IF(VLOOKUP($N573,CODE!$K:$P,CODE!$O$1,FALSE)="",$M573,$M573&amp;"-"&amp;VLOOKUP($N573,CODE!$K:$P,CODE!$O$1,FALSE)))</f>
        <v>VBL</v>
      </c>
      <c r="P573" s="29" t="str">
        <f t="shared" si="118"/>
        <v>VBLBAE3312</v>
      </c>
      <c r="Q573" s="1" t="s">
        <v>1083</v>
      </c>
      <c r="R573" s="1" t="s">
        <v>14</v>
      </c>
      <c r="S573" s="26">
        <v>500</v>
      </c>
      <c r="T573" s="26">
        <v>27500000</v>
      </c>
      <c r="U573" s="26">
        <v>4166666.666666666</v>
      </c>
      <c r="V573" s="26">
        <v>6</v>
      </c>
      <c r="W573" s="26">
        <v>0</v>
      </c>
      <c r="X573" s="26">
        <v>500</v>
      </c>
    </row>
    <row r="574" spans="1:24">
      <c r="A574" s="24" t="str">
        <f t="shared" si="100"/>
        <v>신규</v>
      </c>
      <c r="B574" s="85" t="s">
        <v>1596</v>
      </c>
      <c r="C574" s="24" t="str">
        <f t="shared" si="108"/>
        <v>VBLBAE3812</v>
      </c>
      <c r="D574" s="24">
        <f t="shared" si="109"/>
        <v>0.5</v>
      </c>
      <c r="E574" s="24" t="str">
        <f t="shared" si="110"/>
        <v/>
      </c>
      <c r="F574" s="24">
        <f t="shared" si="111"/>
        <v>0</v>
      </c>
      <c r="G574" s="24" t="str">
        <f t="shared" si="112"/>
        <v>VBLBAE3812BK</v>
      </c>
      <c r="H574" s="24">
        <f t="shared" si="113"/>
        <v>0.5</v>
      </c>
      <c r="I574" s="24" t="str">
        <f t="shared" si="114"/>
        <v/>
      </c>
      <c r="J574" s="24">
        <f t="shared" si="115"/>
        <v>0</v>
      </c>
      <c r="K574" s="24" t="str">
        <f t="shared" si="116"/>
        <v>E3</v>
      </c>
      <c r="L574" s="24" t="str">
        <f>VLOOKUP(N574,CODE!K:P,CODE!$P$1,FALSE)</f>
        <v>모자</v>
      </c>
      <c r="M574" s="24" t="str">
        <f>VLOOKUP(MID(Q574,1,3),CODE!$B:$G,CODE!D$1,FALSE)</f>
        <v>VBL</v>
      </c>
      <c r="N574" s="24" t="str">
        <f t="shared" si="117"/>
        <v>BA</v>
      </c>
      <c r="O574" s="29" t="str">
        <f>IF(ISERROR(IF(VLOOKUP($N574,CODE!$K:$P,CODE!$O$1,FALSE)="",$M574,$M574&amp;"-"&amp;VLOOKUP($N574,CODE!$K:$P,CODE!$O$1,FALSE)))=TRUE,"",IF(VLOOKUP($N574,CODE!$K:$P,CODE!$O$1,FALSE)="",$M574,$M574&amp;"-"&amp;VLOOKUP($N574,CODE!$K:$P,CODE!$O$1,FALSE)))</f>
        <v>VBL</v>
      </c>
      <c r="P574" s="29" t="str">
        <f t="shared" si="118"/>
        <v>VBLBAE3812</v>
      </c>
      <c r="Q574" s="1" t="s">
        <v>1084</v>
      </c>
      <c r="R574" s="1" t="s">
        <v>14</v>
      </c>
      <c r="S574" s="26">
        <v>300</v>
      </c>
      <c r="T574" s="26">
        <v>15900000</v>
      </c>
      <c r="U574" s="26">
        <v>2409090.9090909087</v>
      </c>
      <c r="V574" s="26">
        <v>6</v>
      </c>
      <c r="W574" s="26">
        <v>0</v>
      </c>
      <c r="X574" s="26">
        <v>300</v>
      </c>
    </row>
    <row r="575" spans="1:24">
      <c r="A575" s="24" t="str">
        <f t="shared" si="100"/>
        <v>신규</v>
      </c>
      <c r="B575" s="85" t="s">
        <v>1596</v>
      </c>
      <c r="C575" s="24" t="str">
        <f t="shared" si="108"/>
        <v>VBLERE5315</v>
      </c>
      <c r="D575" s="24">
        <f t="shared" si="109"/>
        <v>0.5</v>
      </c>
      <c r="E575" s="24" t="str">
        <f t="shared" si="110"/>
        <v/>
      </c>
      <c r="F575" s="24">
        <f t="shared" si="111"/>
        <v>0</v>
      </c>
      <c r="G575" s="24" t="str">
        <f t="shared" si="112"/>
        <v>VBLERE5315GY</v>
      </c>
      <c r="H575" s="24">
        <f t="shared" si="113"/>
        <v>0.5</v>
      </c>
      <c r="I575" s="24" t="str">
        <f t="shared" si="114"/>
        <v/>
      </c>
      <c r="J575" s="24">
        <f t="shared" si="115"/>
        <v>0</v>
      </c>
      <c r="K575" s="24" t="str">
        <f t="shared" si="116"/>
        <v>E5</v>
      </c>
      <c r="L575" s="24" t="str">
        <f>VLOOKUP(N575,CODE!K:P,CODE!$P$1,FALSE)</f>
        <v>모자</v>
      </c>
      <c r="M575" s="24" t="str">
        <f>VLOOKUP(MID(Q575,1,3),CODE!$B:$G,CODE!D$1,FALSE)</f>
        <v>VBL</v>
      </c>
      <c r="N575" s="24" t="str">
        <f t="shared" si="117"/>
        <v>ER</v>
      </c>
      <c r="O575" s="29" t="str">
        <f>IF(ISERROR(IF(VLOOKUP($N575,CODE!$K:$P,CODE!$O$1,FALSE)="",$M575,$M575&amp;"-"&amp;VLOOKUP($N575,CODE!$K:$P,CODE!$O$1,FALSE)))=TRUE,"",IF(VLOOKUP($N575,CODE!$K:$P,CODE!$O$1,FALSE)="",$M575,$M575&amp;"-"&amp;VLOOKUP($N575,CODE!$K:$P,CODE!$O$1,FALSE)))</f>
        <v>VBL</v>
      </c>
      <c r="P575" s="29" t="str">
        <f t="shared" si="118"/>
        <v>VBLERE5315</v>
      </c>
      <c r="Q575" s="1" t="s">
        <v>1092</v>
      </c>
      <c r="R575" s="1" t="s">
        <v>14</v>
      </c>
      <c r="S575" s="26">
        <v>300</v>
      </c>
      <c r="T575" s="26">
        <v>19500000</v>
      </c>
      <c r="U575" s="26">
        <v>2954545.4545454546</v>
      </c>
      <c r="V575" s="26">
        <v>5.9999999999999991</v>
      </c>
      <c r="W575" s="26">
        <v>0</v>
      </c>
      <c r="X575" s="26">
        <v>300</v>
      </c>
    </row>
    <row r="576" spans="1:24">
      <c r="A576" s="24" t="str">
        <f t="shared" si="100"/>
        <v>신규</v>
      </c>
      <c r="B576" s="85" t="s">
        <v>1596</v>
      </c>
      <c r="C576" s="24" t="str">
        <f t="shared" si="108"/>
        <v>VBLERE5301</v>
      </c>
      <c r="D576" s="24">
        <f t="shared" si="109"/>
        <v>0.5</v>
      </c>
      <c r="E576" s="24" t="str">
        <f t="shared" si="110"/>
        <v/>
      </c>
      <c r="F576" s="24">
        <f t="shared" si="111"/>
        <v>0</v>
      </c>
      <c r="G576" s="24" t="str">
        <f t="shared" si="112"/>
        <v>VBLERE5301OR</v>
      </c>
      <c r="H576" s="24">
        <f t="shared" si="113"/>
        <v>0.5</v>
      </c>
      <c r="I576" s="24" t="str">
        <f t="shared" si="114"/>
        <v/>
      </c>
      <c r="J576" s="24">
        <f t="shared" si="115"/>
        <v>0</v>
      </c>
      <c r="K576" s="24" t="str">
        <f t="shared" si="116"/>
        <v>E5</v>
      </c>
      <c r="L576" s="24" t="str">
        <f>VLOOKUP(N576,CODE!K:P,CODE!$P$1,FALSE)</f>
        <v>모자</v>
      </c>
      <c r="M576" s="24" t="str">
        <f>VLOOKUP(MID(Q576,1,3),CODE!$B:$G,CODE!D$1,FALSE)</f>
        <v>VBL</v>
      </c>
      <c r="N576" s="24" t="str">
        <f t="shared" si="117"/>
        <v>ER</v>
      </c>
      <c r="O576" s="29" t="str">
        <f>IF(ISERROR(IF(VLOOKUP($N576,CODE!$K:$P,CODE!$O$1,FALSE)="",$M576,$M576&amp;"-"&amp;VLOOKUP($N576,CODE!$K:$P,CODE!$O$1,FALSE)))=TRUE,"",IF(VLOOKUP($N576,CODE!$K:$P,CODE!$O$1,FALSE)="",$M576,$M576&amp;"-"&amp;VLOOKUP($N576,CODE!$K:$P,CODE!$O$1,FALSE)))</f>
        <v>VBL</v>
      </c>
      <c r="P576" s="29" t="str">
        <f t="shared" si="118"/>
        <v>VBLERE5301</v>
      </c>
      <c r="Q576" s="1" t="s">
        <v>1381</v>
      </c>
      <c r="R576" s="1" t="s">
        <v>14</v>
      </c>
      <c r="S576" s="26">
        <v>300</v>
      </c>
      <c r="T576" s="26">
        <v>17700000</v>
      </c>
      <c r="U576" s="26">
        <v>4022727.2727272725</v>
      </c>
      <c r="V576" s="26">
        <v>4</v>
      </c>
      <c r="W576" s="26">
        <v>0</v>
      </c>
      <c r="X576" s="26">
        <v>300</v>
      </c>
    </row>
    <row r="577" spans="1:24">
      <c r="A577" s="24" t="str">
        <f t="shared" si="100"/>
        <v>신규</v>
      </c>
      <c r="B577" s="85" t="s">
        <v>1596</v>
      </c>
      <c r="C577" s="24" t="str">
        <f t="shared" si="108"/>
        <v>VBLERE5801</v>
      </c>
      <c r="D577" s="24">
        <f t="shared" si="109"/>
        <v>0.5</v>
      </c>
      <c r="E577" s="24" t="str">
        <f t="shared" si="110"/>
        <v/>
      </c>
      <c r="F577" s="24">
        <f t="shared" si="111"/>
        <v>0</v>
      </c>
      <c r="G577" s="24" t="str">
        <f t="shared" si="112"/>
        <v>VBLERE5801OR</v>
      </c>
      <c r="H577" s="24">
        <f t="shared" si="113"/>
        <v>0.5</v>
      </c>
      <c r="I577" s="24" t="str">
        <f t="shared" si="114"/>
        <v/>
      </c>
      <c r="J577" s="24">
        <f t="shared" si="115"/>
        <v>0</v>
      </c>
      <c r="K577" s="24" t="str">
        <f t="shared" si="116"/>
        <v>E5</v>
      </c>
      <c r="L577" s="24" t="str">
        <f>VLOOKUP(N577,CODE!K:P,CODE!$P$1,FALSE)</f>
        <v>모자</v>
      </c>
      <c r="M577" s="24" t="str">
        <f>VLOOKUP(MID(Q577,1,3),CODE!$B:$G,CODE!D$1,FALSE)</f>
        <v>VBL</v>
      </c>
      <c r="N577" s="24" t="str">
        <f t="shared" si="117"/>
        <v>ER</v>
      </c>
      <c r="O577" s="29" t="str">
        <f>IF(ISERROR(IF(VLOOKUP($N577,CODE!$K:$P,CODE!$O$1,FALSE)="",$M577,$M577&amp;"-"&amp;VLOOKUP($N577,CODE!$K:$P,CODE!$O$1,FALSE)))=TRUE,"",IF(VLOOKUP($N577,CODE!$K:$P,CODE!$O$1,FALSE)="",$M577,$M577&amp;"-"&amp;VLOOKUP($N577,CODE!$K:$P,CODE!$O$1,FALSE)))</f>
        <v>VBL</v>
      </c>
      <c r="P577" s="29" t="str">
        <f t="shared" si="118"/>
        <v>VBLERE5801</v>
      </c>
      <c r="Q577" s="1" t="s">
        <v>1382</v>
      </c>
      <c r="R577" s="1" t="s">
        <v>14</v>
      </c>
      <c r="S577" s="26">
        <v>200</v>
      </c>
      <c r="T577" s="26">
        <v>11000000</v>
      </c>
      <c r="U577" s="26">
        <v>2499999.9999999995</v>
      </c>
      <c r="V577" s="26">
        <v>4.0000000000000009</v>
      </c>
      <c r="W577" s="26">
        <v>0</v>
      </c>
      <c r="X577" s="26">
        <v>200</v>
      </c>
    </row>
    <row r="578" spans="1:24">
      <c r="A578" s="24" t="str">
        <f t="shared" si="100"/>
        <v>러닝</v>
      </c>
      <c r="B578" s="85" t="s">
        <v>1811</v>
      </c>
      <c r="C578" s="24" t="str">
        <f t="shared" si="108"/>
        <v>JILEBE5036</v>
      </c>
      <c r="D578" s="24">
        <f t="shared" si="109"/>
        <v>0.2</v>
      </c>
      <c r="E578" s="24" t="str">
        <f t="shared" si="110"/>
        <v/>
      </c>
      <c r="F578" s="24">
        <f t="shared" si="111"/>
        <v>0</v>
      </c>
      <c r="G578" s="24" t="str">
        <f t="shared" si="112"/>
        <v>JILEBE5036GY</v>
      </c>
      <c r="H578" s="24">
        <f t="shared" si="113"/>
        <v>0.5</v>
      </c>
      <c r="I578" s="24" t="str">
        <f t="shared" si="114"/>
        <v/>
      </c>
      <c r="J578" s="24">
        <f t="shared" si="115"/>
        <v>0</v>
      </c>
      <c r="K578" s="24" t="str">
        <f t="shared" si="116"/>
        <v>E5</v>
      </c>
      <c r="L578" s="24" t="str">
        <f>VLOOKUP(N578,CODE!K:P,CODE!$P$1,FALSE)</f>
        <v>모자</v>
      </c>
      <c r="M578" s="24" t="str">
        <f>VLOOKUP(MID(Q578,1,3),CODE!$B:$G,CODE!D$1,FALSE)</f>
        <v>JIL</v>
      </c>
      <c r="N578" s="24" t="str">
        <f t="shared" si="117"/>
        <v>EB</v>
      </c>
      <c r="O578" s="29" t="str">
        <f>IF(ISERROR(IF(VLOOKUP($N578,CODE!$K:$P,CODE!$O$1,FALSE)="",$M578,$M578&amp;"-"&amp;VLOOKUP($N578,CODE!$K:$P,CODE!$O$1,FALSE)))=TRUE,"",IF(VLOOKUP($N578,CODE!$K:$P,CODE!$O$1,FALSE)="",$M578,$M578&amp;"-"&amp;VLOOKUP($N578,CODE!$K:$P,CODE!$O$1,FALSE)))</f>
        <v>JIL</v>
      </c>
      <c r="P578" s="29" t="str">
        <f t="shared" si="118"/>
        <v>JILEBE5036</v>
      </c>
      <c r="Q578" s="1" t="s">
        <v>827</v>
      </c>
      <c r="R578" s="1" t="s">
        <v>14</v>
      </c>
      <c r="S578" s="26">
        <v>500</v>
      </c>
      <c r="T578" s="26">
        <v>21500000</v>
      </c>
      <c r="U578" s="26">
        <v>3399165.0000000005</v>
      </c>
      <c r="V578" s="26">
        <v>5.7500752524383314</v>
      </c>
      <c r="W578" s="26">
        <v>0</v>
      </c>
      <c r="X578" s="26">
        <v>500</v>
      </c>
    </row>
    <row r="579" spans="1:24">
      <c r="A579" s="24" t="str">
        <f t="shared" ref="A579:A642" si="119">IF(OR(MID(Q579,8,1)="3",MID(Q579,8,1)="8"),"신규","러닝")</f>
        <v>러닝</v>
      </c>
      <c r="B579" s="85" t="s">
        <v>1811</v>
      </c>
      <c r="C579" s="24" t="str">
        <f t="shared" si="108"/>
        <v>JILEBE5036</v>
      </c>
      <c r="D579" s="24">
        <f t="shared" si="109"/>
        <v>0.2</v>
      </c>
      <c r="E579" s="24" t="str">
        <f t="shared" si="110"/>
        <v/>
      </c>
      <c r="F579" s="24">
        <f t="shared" si="111"/>
        <v>0</v>
      </c>
      <c r="G579" s="24" t="str">
        <f t="shared" si="112"/>
        <v>JILEBE5036RE</v>
      </c>
      <c r="H579" s="24">
        <f t="shared" si="113"/>
        <v>0.5</v>
      </c>
      <c r="I579" s="24" t="str">
        <f t="shared" si="114"/>
        <v/>
      </c>
      <c r="J579" s="24">
        <f t="shared" si="115"/>
        <v>0</v>
      </c>
      <c r="K579" s="24" t="str">
        <f t="shared" si="116"/>
        <v>E5</v>
      </c>
      <c r="L579" s="24" t="str">
        <f>VLOOKUP(N579,CODE!K:P,CODE!$P$1,FALSE)</f>
        <v>모자</v>
      </c>
      <c r="M579" s="24" t="str">
        <f>VLOOKUP(MID(Q579,1,3),CODE!$B:$G,CODE!D$1,FALSE)</f>
        <v>JIL</v>
      </c>
      <c r="N579" s="24" t="str">
        <f t="shared" si="117"/>
        <v>EB</v>
      </c>
      <c r="O579" s="29" t="str">
        <f>IF(ISERROR(IF(VLOOKUP($N579,CODE!$K:$P,CODE!$O$1,FALSE)="",$M579,$M579&amp;"-"&amp;VLOOKUP($N579,CODE!$K:$P,CODE!$O$1,FALSE)))=TRUE,"",IF(VLOOKUP($N579,CODE!$K:$P,CODE!$O$1,FALSE)="",$M579,$M579&amp;"-"&amp;VLOOKUP($N579,CODE!$K:$P,CODE!$O$1,FALSE)))</f>
        <v>JIL</v>
      </c>
      <c r="P579" s="29" t="str">
        <f t="shared" si="118"/>
        <v>JILEBE5036</v>
      </c>
      <c r="Q579" s="1" t="s">
        <v>828</v>
      </c>
      <c r="R579" s="1" t="s">
        <v>14</v>
      </c>
      <c r="S579" s="26">
        <v>500</v>
      </c>
      <c r="T579" s="26">
        <v>21500000</v>
      </c>
      <c r="U579" s="26">
        <v>3399165.0000000005</v>
      </c>
      <c r="V579" s="26">
        <v>5.7500752524383314</v>
      </c>
      <c r="W579" s="26">
        <v>0</v>
      </c>
      <c r="X579" s="26">
        <v>500</v>
      </c>
    </row>
    <row r="580" spans="1:24">
      <c r="A580" s="24" t="str">
        <f t="shared" si="119"/>
        <v>러닝</v>
      </c>
      <c r="B580" s="24" t="str">
        <f>IF(COUNTIF(Q$1:Q579,Q580)=0,"최초","리오더")</f>
        <v>최초</v>
      </c>
      <c r="C580" s="24" t="str">
        <f t="shared" si="108"/>
        <v>JILMIE3215</v>
      </c>
      <c r="D580" s="24">
        <f t="shared" si="109"/>
        <v>1</v>
      </c>
      <c r="E580" s="24" t="str">
        <f t="shared" si="110"/>
        <v/>
      </c>
      <c r="F580" s="24">
        <f t="shared" si="111"/>
        <v>0</v>
      </c>
      <c r="G580" s="24" t="str">
        <f t="shared" si="112"/>
        <v>JILMIE3215NY</v>
      </c>
      <c r="H580" s="24">
        <f t="shared" si="113"/>
        <v>1</v>
      </c>
      <c r="I580" s="24" t="str">
        <f t="shared" si="114"/>
        <v/>
      </c>
      <c r="J580" s="24">
        <f t="shared" si="115"/>
        <v>0</v>
      </c>
      <c r="K580" s="24" t="str">
        <f t="shared" si="116"/>
        <v>E3</v>
      </c>
      <c r="L580" s="24" t="str">
        <f>VLOOKUP(N580,CODE!K:P,CODE!$P$1,FALSE)</f>
        <v>모자</v>
      </c>
      <c r="M580" s="24" t="str">
        <f>VLOOKUP(MID(Q580,1,3),CODE!$B:$G,CODE!D$1,FALSE)</f>
        <v>JIL</v>
      </c>
      <c r="N580" s="24" t="str">
        <f t="shared" si="117"/>
        <v>MI</v>
      </c>
      <c r="O580" s="29" t="str">
        <f>IF(ISERROR(IF(VLOOKUP($N580,CODE!$K:$P,CODE!$O$1,FALSE)="",$M580,$M580&amp;"-"&amp;VLOOKUP($N580,CODE!$K:$P,CODE!$O$1,FALSE)))=TRUE,"",IF(VLOOKUP($N580,CODE!$K:$P,CODE!$O$1,FALSE)="",$M580,$M580&amp;"-"&amp;VLOOKUP($N580,CODE!$K:$P,CODE!$O$1,FALSE)))</f>
        <v>JIL</v>
      </c>
      <c r="P580" s="29" t="str">
        <f t="shared" si="118"/>
        <v>JILMIE3215</v>
      </c>
      <c r="Q580" s="1" t="s">
        <v>1365</v>
      </c>
      <c r="R580" s="1" t="s">
        <v>14</v>
      </c>
      <c r="S580" s="26">
        <v>700</v>
      </c>
      <c r="T580" s="26">
        <v>30100000</v>
      </c>
      <c r="U580" s="26">
        <v>4307799.0000000009</v>
      </c>
      <c r="V580" s="26">
        <v>6.3521153989859682</v>
      </c>
      <c r="W580" s="26">
        <v>0</v>
      </c>
      <c r="X580" s="26">
        <v>700</v>
      </c>
    </row>
    <row r="581" spans="1:24">
      <c r="A581" s="24" t="str">
        <f t="shared" si="119"/>
        <v>러닝</v>
      </c>
      <c r="B581" s="24" t="str">
        <f>IF(COUNTIF(Q$1:Q580,Q581)=0,"최초","리오더")</f>
        <v>최초</v>
      </c>
      <c r="C581" s="24" t="str">
        <f t="shared" si="108"/>
        <v>JILMIE3218</v>
      </c>
      <c r="D581" s="24">
        <f t="shared" si="109"/>
        <v>1</v>
      </c>
      <c r="E581" s="24" t="str">
        <f t="shared" si="110"/>
        <v/>
      </c>
      <c r="F581" s="24">
        <f t="shared" si="111"/>
        <v>0</v>
      </c>
      <c r="G581" s="24" t="str">
        <f t="shared" si="112"/>
        <v>JILMIE3218BW</v>
      </c>
      <c r="H581" s="24">
        <f t="shared" si="113"/>
        <v>1</v>
      </c>
      <c r="I581" s="24" t="str">
        <f t="shared" si="114"/>
        <v/>
      </c>
      <c r="J581" s="24">
        <f t="shared" si="115"/>
        <v>0</v>
      </c>
      <c r="K581" s="24" t="str">
        <f t="shared" si="116"/>
        <v>E3</v>
      </c>
      <c r="L581" s="24" t="str">
        <f>VLOOKUP(N581,CODE!K:P,CODE!$P$1,FALSE)</f>
        <v>모자</v>
      </c>
      <c r="M581" s="24" t="str">
        <f>VLOOKUP(MID(Q581,1,3),CODE!$B:$G,CODE!D$1,FALSE)</f>
        <v>JIL</v>
      </c>
      <c r="N581" s="24" t="str">
        <f t="shared" si="117"/>
        <v>MI</v>
      </c>
      <c r="O581" s="29" t="str">
        <f>IF(ISERROR(IF(VLOOKUP($N581,CODE!$K:$P,CODE!$O$1,FALSE)="",$M581,$M581&amp;"-"&amp;VLOOKUP($N581,CODE!$K:$P,CODE!$O$1,FALSE)))=TRUE,"",IF(VLOOKUP($N581,CODE!$K:$P,CODE!$O$1,FALSE)="",$M581,$M581&amp;"-"&amp;VLOOKUP($N581,CODE!$K:$P,CODE!$O$1,FALSE)))</f>
        <v>JIL</v>
      </c>
      <c r="P581" s="29" t="str">
        <f t="shared" si="118"/>
        <v>JILMIE3218</v>
      </c>
      <c r="Q581" s="1" t="s">
        <v>1366</v>
      </c>
      <c r="R581" s="1" t="s">
        <v>14</v>
      </c>
      <c r="S581" s="26">
        <v>700</v>
      </c>
      <c r="T581" s="26">
        <v>30100000</v>
      </c>
      <c r="U581" s="26">
        <v>3723799.0000000005</v>
      </c>
      <c r="V581" s="26">
        <v>7.3483118620624683</v>
      </c>
      <c r="W581" s="26">
        <v>0</v>
      </c>
      <c r="X581" s="26">
        <v>700</v>
      </c>
    </row>
    <row r="582" spans="1:24">
      <c r="A582" s="24" t="str">
        <f t="shared" si="119"/>
        <v>러닝</v>
      </c>
      <c r="B582" s="24" t="str">
        <f>IF(COUNTIF(Q$1:Q581,Q582)=0,"최초","리오더")</f>
        <v>최초</v>
      </c>
      <c r="C582" s="24" t="str">
        <f t="shared" si="108"/>
        <v>JILMIE3219</v>
      </c>
      <c r="D582" s="24">
        <f t="shared" si="109"/>
        <v>1</v>
      </c>
      <c r="E582" s="24" t="str">
        <f t="shared" si="110"/>
        <v/>
      </c>
      <c r="F582" s="24">
        <f t="shared" si="111"/>
        <v>0</v>
      </c>
      <c r="G582" s="24" t="str">
        <f t="shared" si="112"/>
        <v>JILMIE3219IV</v>
      </c>
      <c r="H582" s="24">
        <f t="shared" si="113"/>
        <v>1</v>
      </c>
      <c r="I582" s="24" t="str">
        <f t="shared" si="114"/>
        <v/>
      </c>
      <c r="J582" s="24">
        <f t="shared" si="115"/>
        <v>0</v>
      </c>
      <c r="K582" s="24" t="str">
        <f t="shared" si="116"/>
        <v>E3</v>
      </c>
      <c r="L582" s="24" t="str">
        <f>VLOOKUP(N582,CODE!K:P,CODE!$P$1,FALSE)</f>
        <v>모자</v>
      </c>
      <c r="M582" s="24" t="str">
        <f>VLOOKUP(MID(Q582,1,3),CODE!$B:$G,CODE!D$1,FALSE)</f>
        <v>JIL</v>
      </c>
      <c r="N582" s="24" t="str">
        <f t="shared" si="117"/>
        <v>MI</v>
      </c>
      <c r="O582" s="29" t="str">
        <f>IF(ISERROR(IF(VLOOKUP($N582,CODE!$K:$P,CODE!$O$1,FALSE)="",$M582,$M582&amp;"-"&amp;VLOOKUP($N582,CODE!$K:$P,CODE!$O$1,FALSE)))=TRUE,"",IF(VLOOKUP($N582,CODE!$K:$P,CODE!$O$1,FALSE)="",$M582,$M582&amp;"-"&amp;VLOOKUP($N582,CODE!$K:$P,CODE!$O$1,FALSE)))</f>
        <v>JIL</v>
      </c>
      <c r="P582" s="29" t="str">
        <f t="shared" si="118"/>
        <v>JILMIE3219</v>
      </c>
      <c r="Q582" s="1" t="s">
        <v>1367</v>
      </c>
      <c r="R582" s="1" t="s">
        <v>14</v>
      </c>
      <c r="S582" s="26">
        <v>500</v>
      </c>
      <c r="T582" s="26">
        <v>22500000</v>
      </c>
      <c r="U582" s="26">
        <v>3234915</v>
      </c>
      <c r="V582" s="26">
        <v>6.3230549966677492</v>
      </c>
      <c r="W582" s="26">
        <v>0</v>
      </c>
      <c r="X582" s="26">
        <v>500</v>
      </c>
    </row>
    <row r="583" spans="1:24">
      <c r="A583" s="24" t="str">
        <f t="shared" si="119"/>
        <v>신규</v>
      </c>
      <c r="B583" s="24" t="str">
        <f>IF(COUNTIF(Q$1:Q582,Q583)=0,"최초","리오더")</f>
        <v>최초</v>
      </c>
      <c r="C583" s="24" t="str">
        <f t="shared" si="108"/>
        <v>ELSTPE5831</v>
      </c>
      <c r="D583" s="24">
        <f t="shared" si="109"/>
        <v>0.5</v>
      </c>
      <c r="E583" s="24" t="str">
        <f t="shared" si="110"/>
        <v/>
      </c>
      <c r="F583" s="24">
        <f t="shared" si="111"/>
        <v>0</v>
      </c>
      <c r="G583" s="24" t="str">
        <f t="shared" si="112"/>
        <v>ELSTPE5831NY</v>
      </c>
      <c r="H583" s="24">
        <f t="shared" si="113"/>
        <v>1</v>
      </c>
      <c r="I583" s="24" t="str">
        <f t="shared" si="114"/>
        <v/>
      </c>
      <c r="J583" s="24">
        <f t="shared" si="115"/>
        <v>0</v>
      </c>
      <c r="K583" s="24" t="str">
        <f t="shared" si="116"/>
        <v>E5</v>
      </c>
      <c r="L583" s="24" t="str">
        <f>VLOOKUP(N583,CODE!K:P,CODE!$P$1,FALSE)</f>
        <v>모자</v>
      </c>
      <c r="M583" s="24" t="str">
        <f>VLOOKUP(MID(Q583,1,3),CODE!$B:$G,CODE!D$1,FALSE)</f>
        <v>ELS</v>
      </c>
      <c r="N583" s="24" t="str">
        <f t="shared" si="117"/>
        <v>TP</v>
      </c>
      <c r="O583" s="29" t="str">
        <f>IF(ISERROR(IF(VLOOKUP($N583,CODE!$K:$P,CODE!$O$1,FALSE)="",$M583,$M583&amp;"-"&amp;VLOOKUP($N583,CODE!$K:$P,CODE!$O$1,FALSE)))=TRUE,"",IF(VLOOKUP($N583,CODE!$K:$P,CODE!$O$1,FALSE)="",$M583,$M583&amp;"-"&amp;VLOOKUP($N583,CODE!$K:$P,CODE!$O$1,FALSE)))</f>
        <v>ELS</v>
      </c>
      <c r="P583" s="29" t="str">
        <f t="shared" si="118"/>
        <v>ELSTPE5831</v>
      </c>
      <c r="Q583" s="1" t="s">
        <v>1368</v>
      </c>
      <c r="R583" s="1" t="s">
        <v>14</v>
      </c>
      <c r="S583" s="26">
        <v>800</v>
      </c>
      <c r="T583" s="26">
        <v>39200000</v>
      </c>
      <c r="U583" s="26">
        <v>6381588.0000000009</v>
      </c>
      <c r="V583" s="26">
        <v>5.5842469987663925</v>
      </c>
      <c r="W583" s="26">
        <v>0</v>
      </c>
      <c r="X583" s="26">
        <v>800</v>
      </c>
    </row>
    <row r="584" spans="1:24">
      <c r="A584" s="24" t="str">
        <f t="shared" si="119"/>
        <v>신규</v>
      </c>
      <c r="B584" s="24" t="str">
        <f>IF(COUNTIF(Q$1:Q583,Q584)=0,"최초","리오더")</f>
        <v>최초</v>
      </c>
      <c r="C584" s="24" t="str">
        <f t="shared" si="108"/>
        <v>ELSTPE5831</v>
      </c>
      <c r="D584" s="24">
        <f t="shared" si="109"/>
        <v>0.5</v>
      </c>
      <c r="E584" s="24" t="str">
        <f t="shared" si="110"/>
        <v/>
      </c>
      <c r="F584" s="24">
        <f t="shared" si="111"/>
        <v>0</v>
      </c>
      <c r="G584" s="24" t="str">
        <f t="shared" si="112"/>
        <v>ELSTPE5831OR</v>
      </c>
      <c r="H584" s="24">
        <f t="shared" si="113"/>
        <v>1</v>
      </c>
      <c r="I584" s="24" t="str">
        <f t="shared" si="114"/>
        <v/>
      </c>
      <c r="J584" s="24">
        <f t="shared" si="115"/>
        <v>0</v>
      </c>
      <c r="K584" s="24" t="str">
        <f t="shared" si="116"/>
        <v>E5</v>
      </c>
      <c r="L584" s="24" t="str">
        <f>VLOOKUP(N584,CODE!K:P,CODE!$P$1,FALSE)</f>
        <v>모자</v>
      </c>
      <c r="M584" s="24" t="str">
        <f>VLOOKUP(MID(Q584,1,3),CODE!$B:$G,CODE!D$1,FALSE)</f>
        <v>ELS</v>
      </c>
      <c r="N584" s="24" t="str">
        <f t="shared" si="117"/>
        <v>TP</v>
      </c>
      <c r="O584" s="29" t="str">
        <f>IF(ISERROR(IF(VLOOKUP($N584,CODE!$K:$P,CODE!$O$1,FALSE)="",$M584,$M584&amp;"-"&amp;VLOOKUP($N584,CODE!$K:$P,CODE!$O$1,FALSE)))=TRUE,"",IF(VLOOKUP($N584,CODE!$K:$P,CODE!$O$1,FALSE)="",$M584,$M584&amp;"-"&amp;VLOOKUP($N584,CODE!$K:$P,CODE!$O$1,FALSE)))</f>
        <v>ELS</v>
      </c>
      <c r="P584" s="29" t="str">
        <f t="shared" si="118"/>
        <v>ELSTPE5831</v>
      </c>
      <c r="Q584" s="1" t="s">
        <v>1369</v>
      </c>
      <c r="R584" s="1" t="s">
        <v>14</v>
      </c>
      <c r="S584" s="26">
        <v>800</v>
      </c>
      <c r="T584" s="26">
        <v>39200000</v>
      </c>
      <c r="U584" s="26">
        <v>6380188.0000000009</v>
      </c>
      <c r="V584" s="26">
        <v>5.585472346012943</v>
      </c>
      <c r="W584" s="26">
        <v>0</v>
      </c>
      <c r="X584" s="26">
        <v>800</v>
      </c>
    </row>
    <row r="585" spans="1:24">
      <c r="A585" s="24" t="str">
        <f t="shared" si="119"/>
        <v>신규</v>
      </c>
      <c r="B585" s="24" t="str">
        <f>IF(COUNTIF(Q$1:Q584,Q585)=0,"최초","리오더")</f>
        <v>최초</v>
      </c>
      <c r="C585" s="24" t="str">
        <f t="shared" si="108"/>
        <v>ELSERE5332</v>
      </c>
      <c r="D585" s="24">
        <f t="shared" si="109"/>
        <v>1</v>
      </c>
      <c r="E585" s="24" t="str">
        <f t="shared" si="110"/>
        <v/>
      </c>
      <c r="F585" s="24">
        <f t="shared" si="111"/>
        <v>0</v>
      </c>
      <c r="G585" s="24" t="str">
        <f t="shared" si="112"/>
        <v>ELSERE5332GY</v>
      </c>
      <c r="H585" s="24">
        <f t="shared" si="113"/>
        <v>1</v>
      </c>
      <c r="I585" s="24" t="str">
        <f t="shared" si="114"/>
        <v/>
      </c>
      <c r="J585" s="24">
        <f t="shared" si="115"/>
        <v>0</v>
      </c>
      <c r="K585" s="24" t="str">
        <f t="shared" si="116"/>
        <v>E5</v>
      </c>
      <c r="L585" s="24" t="str">
        <f>VLOOKUP(N585,CODE!K:P,CODE!$P$1,FALSE)</f>
        <v>모자</v>
      </c>
      <c r="M585" s="24" t="str">
        <f>VLOOKUP(MID(Q585,1,3),CODE!$B:$G,CODE!D$1,FALSE)</f>
        <v>ELS</v>
      </c>
      <c r="N585" s="24" t="str">
        <f t="shared" si="117"/>
        <v>ER</v>
      </c>
      <c r="O585" s="29" t="str">
        <f>IF(ISERROR(IF(VLOOKUP($N585,CODE!$K:$P,CODE!$O$1,FALSE)="",$M585,$M585&amp;"-"&amp;VLOOKUP($N585,CODE!$K:$P,CODE!$O$1,FALSE)))=TRUE,"",IF(VLOOKUP($N585,CODE!$K:$P,CODE!$O$1,FALSE)="",$M585,$M585&amp;"-"&amp;VLOOKUP($N585,CODE!$K:$P,CODE!$O$1,FALSE)))</f>
        <v>ELS</v>
      </c>
      <c r="P585" s="29" t="str">
        <f t="shared" si="118"/>
        <v>ELSERE5332</v>
      </c>
      <c r="Q585" s="1" t="s">
        <v>1370</v>
      </c>
      <c r="R585" s="1" t="s">
        <v>14</v>
      </c>
      <c r="S585" s="26">
        <v>1000</v>
      </c>
      <c r="T585" s="26">
        <v>69000000</v>
      </c>
      <c r="U585" s="26">
        <v>11598260</v>
      </c>
      <c r="V585" s="26">
        <v>5.408334761185964</v>
      </c>
      <c r="W585" s="26">
        <v>0</v>
      </c>
      <c r="X585" s="26">
        <v>1000</v>
      </c>
    </row>
    <row r="586" spans="1:24">
      <c r="A586" s="24" t="str">
        <f t="shared" si="119"/>
        <v>신규</v>
      </c>
      <c r="B586" s="24" t="str">
        <f>IF(COUNTIF(Q$1:Q585,Q586)=0,"최초","리오더")</f>
        <v>최초</v>
      </c>
      <c r="C586" s="24" t="str">
        <f t="shared" si="108"/>
        <v>ELSERE5832</v>
      </c>
      <c r="D586" s="24">
        <f t="shared" si="109"/>
        <v>1</v>
      </c>
      <c r="E586" s="24" t="str">
        <f t="shared" si="110"/>
        <v/>
      </c>
      <c r="F586" s="24">
        <f t="shared" si="111"/>
        <v>0</v>
      </c>
      <c r="G586" s="24" t="str">
        <f t="shared" si="112"/>
        <v>ELSERE5832GY</v>
      </c>
      <c r="H586" s="24">
        <f t="shared" si="113"/>
        <v>1</v>
      </c>
      <c r="I586" s="24" t="str">
        <f t="shared" si="114"/>
        <v/>
      </c>
      <c r="J586" s="24">
        <f t="shared" si="115"/>
        <v>0</v>
      </c>
      <c r="K586" s="24" t="str">
        <f t="shared" si="116"/>
        <v>E5</v>
      </c>
      <c r="L586" s="24" t="str">
        <f>VLOOKUP(N586,CODE!K:P,CODE!$P$1,FALSE)</f>
        <v>모자</v>
      </c>
      <c r="M586" s="24" t="str">
        <f>VLOOKUP(MID(Q586,1,3),CODE!$B:$G,CODE!D$1,FALSE)</f>
        <v>ELS</v>
      </c>
      <c r="N586" s="24" t="str">
        <f t="shared" si="117"/>
        <v>ER</v>
      </c>
      <c r="O586" s="29" t="str">
        <f>IF(ISERROR(IF(VLOOKUP($N586,CODE!$K:$P,CODE!$O$1,FALSE)="",$M586,$M586&amp;"-"&amp;VLOOKUP($N586,CODE!$K:$P,CODE!$O$1,FALSE)))=TRUE,"",IF(VLOOKUP($N586,CODE!$K:$P,CODE!$O$1,FALSE)="",$M586,$M586&amp;"-"&amp;VLOOKUP($N586,CODE!$K:$P,CODE!$O$1,FALSE)))</f>
        <v>ELS</v>
      </c>
      <c r="P586" s="29" t="str">
        <f t="shared" si="118"/>
        <v>ELSERE5832</v>
      </c>
      <c r="Q586" s="1" t="s">
        <v>1371</v>
      </c>
      <c r="R586" s="1" t="s">
        <v>14</v>
      </c>
      <c r="S586" s="26">
        <v>1000</v>
      </c>
      <c r="T586" s="26">
        <v>65000000</v>
      </c>
      <c r="U586" s="26">
        <v>11182780</v>
      </c>
      <c r="V586" s="26">
        <v>5.2840983271520212</v>
      </c>
      <c r="W586" s="26">
        <v>0</v>
      </c>
      <c r="X586" s="26">
        <v>1000</v>
      </c>
    </row>
    <row r="587" spans="1:24">
      <c r="A587" s="24" t="str">
        <f t="shared" si="119"/>
        <v>신규</v>
      </c>
      <c r="B587" s="24" t="str">
        <f>IF(COUNTIF(Q$1:Q586,Q587)=0,"최초","리오더")</f>
        <v>최초</v>
      </c>
      <c r="C587" s="24" t="str">
        <f t="shared" si="108"/>
        <v>ELSERE5333</v>
      </c>
      <c r="D587" s="24">
        <f t="shared" si="109"/>
        <v>1</v>
      </c>
      <c r="E587" s="24" t="str">
        <f t="shared" si="110"/>
        <v/>
      </c>
      <c r="F587" s="24">
        <f t="shared" si="111"/>
        <v>0</v>
      </c>
      <c r="G587" s="24" t="str">
        <f t="shared" si="112"/>
        <v>ELSERE5333NY</v>
      </c>
      <c r="H587" s="24">
        <f t="shared" si="113"/>
        <v>1</v>
      </c>
      <c r="I587" s="24" t="str">
        <f t="shared" si="114"/>
        <v/>
      </c>
      <c r="J587" s="24">
        <f t="shared" si="115"/>
        <v>0</v>
      </c>
      <c r="K587" s="24" t="str">
        <f t="shared" si="116"/>
        <v>E5</v>
      </c>
      <c r="L587" s="24" t="str">
        <f>VLOOKUP(N587,CODE!K:P,CODE!$P$1,FALSE)</f>
        <v>모자</v>
      </c>
      <c r="M587" s="24" t="str">
        <f>VLOOKUP(MID(Q587,1,3),CODE!$B:$G,CODE!D$1,FALSE)</f>
        <v>ELS</v>
      </c>
      <c r="N587" s="24" t="str">
        <f t="shared" si="117"/>
        <v>ER</v>
      </c>
      <c r="O587" s="29" t="str">
        <f>IF(ISERROR(IF(VLOOKUP($N587,CODE!$K:$P,CODE!$O$1,FALSE)="",$M587,$M587&amp;"-"&amp;VLOOKUP($N587,CODE!$K:$P,CODE!$O$1,FALSE)))=TRUE,"",IF(VLOOKUP($N587,CODE!$K:$P,CODE!$O$1,FALSE)="",$M587,$M587&amp;"-"&amp;VLOOKUP($N587,CODE!$K:$P,CODE!$O$1,FALSE)))</f>
        <v>ELS</v>
      </c>
      <c r="P587" s="29" t="str">
        <f t="shared" si="118"/>
        <v>ELSERE5333</v>
      </c>
      <c r="Q587" s="1" t="s">
        <v>1372</v>
      </c>
      <c r="R587" s="1" t="s">
        <v>14</v>
      </c>
      <c r="S587" s="26">
        <v>1500</v>
      </c>
      <c r="T587" s="26">
        <v>88500000</v>
      </c>
      <c r="U587" s="26">
        <v>16401170.000000002</v>
      </c>
      <c r="V587" s="26">
        <v>4.9054150072553018</v>
      </c>
      <c r="W587" s="26">
        <v>0</v>
      </c>
      <c r="X587" s="26">
        <v>1500</v>
      </c>
    </row>
    <row r="588" spans="1:24">
      <c r="A588" s="24" t="str">
        <f t="shared" si="119"/>
        <v>신규</v>
      </c>
      <c r="B588" s="24" t="str">
        <f>IF(COUNTIF(Q$1:Q587,Q588)=0,"최초","리오더")</f>
        <v>최초</v>
      </c>
      <c r="C588" s="24" t="str">
        <f t="shared" si="108"/>
        <v>ELSERE5833</v>
      </c>
      <c r="D588" s="24">
        <f t="shared" si="109"/>
        <v>1</v>
      </c>
      <c r="E588" s="24" t="str">
        <f t="shared" si="110"/>
        <v/>
      </c>
      <c r="F588" s="24">
        <f t="shared" si="111"/>
        <v>0</v>
      </c>
      <c r="G588" s="24" t="str">
        <f t="shared" si="112"/>
        <v>ELSERE5833NY</v>
      </c>
      <c r="H588" s="24">
        <f t="shared" si="113"/>
        <v>1</v>
      </c>
      <c r="I588" s="24" t="str">
        <f t="shared" si="114"/>
        <v/>
      </c>
      <c r="J588" s="24">
        <f t="shared" si="115"/>
        <v>0</v>
      </c>
      <c r="K588" s="24" t="str">
        <f t="shared" si="116"/>
        <v>E5</v>
      </c>
      <c r="L588" s="24" t="str">
        <f>VLOOKUP(N588,CODE!K:P,CODE!$P$1,FALSE)</f>
        <v>모자</v>
      </c>
      <c r="M588" s="24" t="str">
        <f>VLOOKUP(MID(Q588,1,3),CODE!$B:$G,CODE!D$1,FALSE)</f>
        <v>ELS</v>
      </c>
      <c r="N588" s="24" t="str">
        <f t="shared" si="117"/>
        <v>ER</v>
      </c>
      <c r="O588" s="29" t="str">
        <f>IF(ISERROR(IF(VLOOKUP($N588,CODE!$K:$P,CODE!$O$1,FALSE)="",$M588,$M588&amp;"-"&amp;VLOOKUP($N588,CODE!$K:$P,CODE!$O$1,FALSE)))=TRUE,"",IF(VLOOKUP($N588,CODE!$K:$P,CODE!$O$1,FALSE)="",$M588,$M588&amp;"-"&amp;VLOOKUP($N588,CODE!$K:$P,CODE!$O$1,FALSE)))</f>
        <v>ELS</v>
      </c>
      <c r="P588" s="29" t="str">
        <f t="shared" si="118"/>
        <v>ELSERE5833</v>
      </c>
      <c r="Q588" s="1" t="s">
        <v>1373</v>
      </c>
      <c r="R588" s="1" t="s">
        <v>14</v>
      </c>
      <c r="S588" s="26">
        <v>1500</v>
      </c>
      <c r="T588" s="26">
        <v>82500000</v>
      </c>
      <c r="U588" s="26">
        <v>15473140.000000002</v>
      </c>
      <c r="V588" s="26">
        <v>4.847109248672214</v>
      </c>
      <c r="W588" s="26">
        <v>0</v>
      </c>
      <c r="X588" s="26">
        <v>1500</v>
      </c>
    </row>
    <row r="589" spans="1:24">
      <c r="A589" s="24" t="str">
        <f t="shared" si="119"/>
        <v>신규</v>
      </c>
      <c r="B589" s="24" t="str">
        <f>IF(COUNTIF(Q$1:Q588,Q589)=0,"최초","리오더")</f>
        <v>최초</v>
      </c>
      <c r="C589" s="24" t="str">
        <f t="shared" si="108"/>
        <v>ELSERE5334</v>
      </c>
      <c r="D589" s="24">
        <f t="shared" si="109"/>
        <v>1</v>
      </c>
      <c r="E589" s="24" t="str">
        <f t="shared" si="110"/>
        <v/>
      </c>
      <c r="F589" s="24">
        <f t="shared" si="111"/>
        <v>0</v>
      </c>
      <c r="G589" s="24" t="str">
        <f t="shared" si="112"/>
        <v>ELSERE5334YE</v>
      </c>
      <c r="H589" s="24">
        <f t="shared" si="113"/>
        <v>1</v>
      </c>
      <c r="I589" s="24" t="str">
        <f t="shared" si="114"/>
        <v/>
      </c>
      <c r="J589" s="24">
        <f t="shared" si="115"/>
        <v>0</v>
      </c>
      <c r="K589" s="24" t="str">
        <f t="shared" si="116"/>
        <v>E5</v>
      </c>
      <c r="L589" s="24" t="str">
        <f>VLOOKUP(N589,CODE!K:P,CODE!$P$1,FALSE)</f>
        <v>모자</v>
      </c>
      <c r="M589" s="24" t="str">
        <f>VLOOKUP(MID(Q589,1,3),CODE!$B:$G,CODE!D$1,FALSE)</f>
        <v>ELS</v>
      </c>
      <c r="N589" s="24" t="str">
        <f t="shared" si="117"/>
        <v>ER</v>
      </c>
      <c r="O589" s="29" t="str">
        <f>IF(ISERROR(IF(VLOOKUP($N589,CODE!$K:$P,CODE!$O$1,FALSE)="",$M589,$M589&amp;"-"&amp;VLOOKUP($N589,CODE!$K:$P,CODE!$O$1,FALSE)))=TRUE,"",IF(VLOOKUP($N589,CODE!$K:$P,CODE!$O$1,FALSE)="",$M589,$M589&amp;"-"&amp;VLOOKUP($N589,CODE!$K:$P,CODE!$O$1,FALSE)))</f>
        <v>ELS</v>
      </c>
      <c r="P589" s="29" t="str">
        <f t="shared" si="118"/>
        <v>ELSERE5334</v>
      </c>
      <c r="Q589" s="1" t="s">
        <v>1374</v>
      </c>
      <c r="R589" s="1" t="s">
        <v>14</v>
      </c>
      <c r="S589" s="26">
        <v>800</v>
      </c>
      <c r="T589" s="26">
        <v>47200000</v>
      </c>
      <c r="U589" s="26">
        <v>8870646</v>
      </c>
      <c r="V589" s="26">
        <v>4.8372002342434701</v>
      </c>
      <c r="W589" s="26">
        <v>0</v>
      </c>
      <c r="X589" s="26">
        <v>800</v>
      </c>
    </row>
    <row r="590" spans="1:24">
      <c r="A590" s="24" t="str">
        <f t="shared" si="119"/>
        <v>신규</v>
      </c>
      <c r="B590" s="24" t="str">
        <f>IF(COUNTIF(Q$1:Q589,Q590)=0,"최초","리오더")</f>
        <v>최초</v>
      </c>
      <c r="C590" s="24" t="str">
        <f t="shared" si="108"/>
        <v>ELSERE5834</v>
      </c>
      <c r="D590" s="24">
        <f t="shared" si="109"/>
        <v>1</v>
      </c>
      <c r="E590" s="24" t="str">
        <f t="shared" si="110"/>
        <v/>
      </c>
      <c r="F590" s="24">
        <f t="shared" si="111"/>
        <v>0</v>
      </c>
      <c r="G590" s="24" t="str">
        <f t="shared" si="112"/>
        <v>ELSERE5834YE</v>
      </c>
      <c r="H590" s="24">
        <f t="shared" si="113"/>
        <v>1</v>
      </c>
      <c r="I590" s="24" t="str">
        <f t="shared" si="114"/>
        <v/>
      </c>
      <c r="J590" s="24">
        <f t="shared" si="115"/>
        <v>0</v>
      </c>
      <c r="K590" s="24" t="str">
        <f t="shared" si="116"/>
        <v>E5</v>
      </c>
      <c r="L590" s="24" t="str">
        <f>VLOOKUP(N590,CODE!K:P,CODE!$P$1,FALSE)</f>
        <v>모자</v>
      </c>
      <c r="M590" s="24" t="str">
        <f>VLOOKUP(MID(Q590,1,3),CODE!$B:$G,CODE!D$1,FALSE)</f>
        <v>ELS</v>
      </c>
      <c r="N590" s="24" t="str">
        <f t="shared" si="117"/>
        <v>ER</v>
      </c>
      <c r="O590" s="29" t="str">
        <f>IF(ISERROR(IF(VLOOKUP($N590,CODE!$K:$P,CODE!$O$1,FALSE)="",$M590,$M590&amp;"-"&amp;VLOOKUP($N590,CODE!$K:$P,CODE!$O$1,FALSE)))=TRUE,"",IF(VLOOKUP($N590,CODE!$K:$P,CODE!$O$1,FALSE)="",$M590,$M590&amp;"-"&amp;VLOOKUP($N590,CODE!$K:$P,CODE!$O$1,FALSE)))</f>
        <v>ELS</v>
      </c>
      <c r="P590" s="29" t="str">
        <f t="shared" si="118"/>
        <v>ELSERE5834</v>
      </c>
      <c r="Q590" s="1" t="s">
        <v>1375</v>
      </c>
      <c r="R590" s="1" t="s">
        <v>14</v>
      </c>
      <c r="S590" s="26">
        <v>800</v>
      </c>
      <c r="T590" s="26">
        <v>44000000</v>
      </c>
      <c r="U590" s="26">
        <v>8440758</v>
      </c>
      <c r="V590" s="26">
        <v>4.7389108892826917</v>
      </c>
      <c r="W590" s="26">
        <v>0</v>
      </c>
      <c r="X590" s="26">
        <v>800</v>
      </c>
    </row>
    <row r="591" spans="1:24">
      <c r="A591" s="24" t="str">
        <f t="shared" si="119"/>
        <v>신규</v>
      </c>
      <c r="B591" s="24" t="str">
        <f>IF(COUNTIF(Q$1:Q590,Q591)=0,"최초","리오더")</f>
        <v>최초</v>
      </c>
      <c r="C591" s="24" t="str">
        <f t="shared" si="108"/>
        <v>ELSFIE3335</v>
      </c>
      <c r="D591" s="24">
        <f t="shared" si="109"/>
        <v>1</v>
      </c>
      <c r="E591" s="24" t="str">
        <f t="shared" si="110"/>
        <v/>
      </c>
      <c r="F591" s="24">
        <f t="shared" si="111"/>
        <v>0</v>
      </c>
      <c r="G591" s="24" t="str">
        <f t="shared" si="112"/>
        <v>ELSFIE3335BL</v>
      </c>
      <c r="H591" s="24">
        <f t="shared" si="113"/>
        <v>1</v>
      </c>
      <c r="I591" s="24" t="str">
        <f t="shared" si="114"/>
        <v/>
      </c>
      <c r="J591" s="24">
        <f t="shared" si="115"/>
        <v>0</v>
      </c>
      <c r="K591" s="24" t="str">
        <f t="shared" si="116"/>
        <v>E3</v>
      </c>
      <c r="L591" s="24" t="str">
        <f>VLOOKUP(N591,CODE!K:P,CODE!$P$1,FALSE)</f>
        <v>모자</v>
      </c>
      <c r="M591" s="24" t="str">
        <f>VLOOKUP(MID(Q591,1,3),CODE!$B:$G,CODE!D$1,FALSE)</f>
        <v>ELS</v>
      </c>
      <c r="N591" s="24" t="str">
        <f t="shared" si="117"/>
        <v>FI</v>
      </c>
      <c r="O591" s="29" t="str">
        <f>IF(ISERROR(IF(VLOOKUP($N591,CODE!$K:$P,CODE!$O$1,FALSE)="",$M591,$M591&amp;"-"&amp;VLOOKUP($N591,CODE!$K:$P,CODE!$O$1,FALSE)))=TRUE,"",IF(VLOOKUP($N591,CODE!$K:$P,CODE!$O$1,FALSE)="",$M591,$M591&amp;"-"&amp;VLOOKUP($N591,CODE!$K:$P,CODE!$O$1,FALSE)))</f>
        <v>ELS</v>
      </c>
      <c r="P591" s="29" t="str">
        <f t="shared" si="118"/>
        <v>ELSFIE3335</v>
      </c>
      <c r="Q591" s="1" t="s">
        <v>1376</v>
      </c>
      <c r="R591" s="1" t="s">
        <v>14</v>
      </c>
      <c r="S591" s="26">
        <v>1000</v>
      </c>
      <c r="T591" s="26">
        <v>49000000</v>
      </c>
      <c r="U591" s="26">
        <v>9001280</v>
      </c>
      <c r="V591" s="26">
        <v>4.948791121424347</v>
      </c>
      <c r="W591" s="26">
        <v>0</v>
      </c>
      <c r="X591" s="26">
        <v>1000</v>
      </c>
    </row>
    <row r="592" spans="1:24">
      <c r="A592" s="24" t="str">
        <f t="shared" si="119"/>
        <v>신규</v>
      </c>
      <c r="B592" s="24" t="str">
        <f>IF(COUNTIF(Q$1:Q591,Q592)=0,"최초","리오더")</f>
        <v>최초</v>
      </c>
      <c r="C592" s="24" t="str">
        <f t="shared" si="108"/>
        <v>ELSFIE3835</v>
      </c>
      <c r="D592" s="24">
        <f t="shared" si="109"/>
        <v>1</v>
      </c>
      <c r="E592" s="24" t="str">
        <f t="shared" si="110"/>
        <v/>
      </c>
      <c r="F592" s="24">
        <f t="shared" si="111"/>
        <v>0</v>
      </c>
      <c r="G592" s="24" t="str">
        <f t="shared" si="112"/>
        <v>ELSFIE3835BL</v>
      </c>
      <c r="H592" s="24">
        <f t="shared" si="113"/>
        <v>1</v>
      </c>
      <c r="I592" s="24" t="str">
        <f t="shared" si="114"/>
        <v/>
      </c>
      <c r="J592" s="24">
        <f t="shared" si="115"/>
        <v>0</v>
      </c>
      <c r="K592" s="24" t="str">
        <f t="shared" si="116"/>
        <v>E3</v>
      </c>
      <c r="L592" s="24" t="str">
        <f>VLOOKUP(N592,CODE!K:P,CODE!$P$1,FALSE)</f>
        <v>모자</v>
      </c>
      <c r="M592" s="24" t="str">
        <f>VLOOKUP(MID(Q592,1,3),CODE!$B:$G,CODE!D$1,FALSE)</f>
        <v>ELS</v>
      </c>
      <c r="N592" s="24" t="str">
        <f t="shared" si="117"/>
        <v>FI</v>
      </c>
      <c r="O592" s="29" t="str">
        <f>IF(ISERROR(IF(VLOOKUP($N592,CODE!$K:$P,CODE!$O$1,FALSE)="",$M592,$M592&amp;"-"&amp;VLOOKUP($N592,CODE!$K:$P,CODE!$O$1,FALSE)))=TRUE,"",IF(VLOOKUP($N592,CODE!$K:$P,CODE!$O$1,FALSE)="",$M592,$M592&amp;"-"&amp;VLOOKUP($N592,CODE!$K:$P,CODE!$O$1,FALSE)))</f>
        <v>ELS</v>
      </c>
      <c r="P592" s="29" t="str">
        <f t="shared" si="118"/>
        <v>ELSFIE3835</v>
      </c>
      <c r="Q592" s="1" t="s">
        <v>1377</v>
      </c>
      <c r="R592" s="1" t="s">
        <v>14</v>
      </c>
      <c r="S592" s="26">
        <v>1000</v>
      </c>
      <c r="T592" s="26">
        <v>43000000</v>
      </c>
      <c r="U592" s="26">
        <v>9001280</v>
      </c>
      <c r="V592" s="26">
        <v>4.3428166983927943</v>
      </c>
      <c r="W592" s="26">
        <v>0</v>
      </c>
      <c r="X592" s="26">
        <v>1000</v>
      </c>
    </row>
    <row r="593" spans="1:24" hidden="1">
      <c r="A593" s="24" t="str">
        <f t="shared" si="119"/>
        <v>러닝</v>
      </c>
      <c r="B593" s="24" t="str">
        <f>IF(COUNTIF(Q$1:Q592,Q593)=0,"최초","리오더")</f>
        <v>리오더</v>
      </c>
      <c r="C593" s="24" t="str">
        <f t="shared" si="108"/>
        <v/>
      </c>
      <c r="D593" s="24">
        <f t="shared" si="109"/>
        <v>0</v>
      </c>
      <c r="E593" s="24" t="str">
        <f t="shared" si="110"/>
        <v>ELSBAE3007</v>
      </c>
      <c r="F593" s="24">
        <f t="shared" si="111"/>
        <v>1</v>
      </c>
      <c r="G593" s="24" t="str">
        <f t="shared" si="112"/>
        <v/>
      </c>
      <c r="H593" s="24">
        <f t="shared" si="113"/>
        <v>0</v>
      </c>
      <c r="I593" s="24" t="str">
        <f t="shared" si="114"/>
        <v>ELSBAE3007PK</v>
      </c>
      <c r="J593" s="24">
        <f t="shared" si="115"/>
        <v>1</v>
      </c>
      <c r="K593" s="24" t="str">
        <f t="shared" si="116"/>
        <v>E3</v>
      </c>
      <c r="L593" s="24" t="str">
        <f>VLOOKUP(N593,CODE!K:P,CODE!$P$1,FALSE)</f>
        <v>모자</v>
      </c>
      <c r="M593" s="24" t="str">
        <f>VLOOKUP(MID(Q593,1,3),CODE!$B:$G,CODE!D$1,FALSE)</f>
        <v>ELS</v>
      </c>
      <c r="N593" s="24" t="str">
        <f t="shared" si="117"/>
        <v>BA</v>
      </c>
      <c r="O593" s="29" t="str">
        <f>IF(ISERROR(IF(VLOOKUP($N593,CODE!$K:$P,CODE!$O$1,FALSE)="",$M593,$M593&amp;"-"&amp;VLOOKUP($N593,CODE!$K:$P,CODE!$O$1,FALSE)))=TRUE,"",IF(VLOOKUP($N593,CODE!$K:$P,CODE!$O$1,FALSE)="",$M593,$M593&amp;"-"&amp;VLOOKUP($N593,CODE!$K:$P,CODE!$O$1,FALSE)))</f>
        <v>ELS</v>
      </c>
      <c r="P593" s="29" t="str">
        <f t="shared" si="118"/>
        <v>ELSBAE3007</v>
      </c>
      <c r="Q593" s="1" t="s">
        <v>974</v>
      </c>
      <c r="R593" s="1" t="s">
        <v>14</v>
      </c>
      <c r="S593" s="26">
        <v>2000</v>
      </c>
      <c r="T593" s="26">
        <v>98000000</v>
      </c>
      <c r="U593" s="26">
        <v>12518380.000000002</v>
      </c>
      <c r="V593" s="26">
        <v>7.116808172535829</v>
      </c>
      <c r="W593" s="26">
        <v>0</v>
      </c>
      <c r="X593" s="26">
        <v>2000</v>
      </c>
    </row>
    <row r="594" spans="1:24">
      <c r="A594" s="24" t="str">
        <f t="shared" si="119"/>
        <v>러닝</v>
      </c>
      <c r="B594" s="24" t="str">
        <f>IF(COUNTIF(Q$1:Q593,Q594)=0,"최초","리오더")</f>
        <v>최초</v>
      </c>
      <c r="C594" s="24" t="str">
        <f t="shared" si="108"/>
        <v>ELSBAE3649</v>
      </c>
      <c r="D594" s="24">
        <f t="shared" si="109"/>
        <v>1</v>
      </c>
      <c r="E594" s="24" t="str">
        <f t="shared" si="110"/>
        <v/>
      </c>
      <c r="F594" s="24">
        <f t="shared" si="111"/>
        <v>0</v>
      </c>
      <c r="G594" s="24" t="str">
        <f t="shared" si="112"/>
        <v>ELSBAE3649PK</v>
      </c>
      <c r="H594" s="24">
        <f t="shared" si="113"/>
        <v>1</v>
      </c>
      <c r="I594" s="24" t="str">
        <f t="shared" si="114"/>
        <v/>
      </c>
      <c r="J594" s="24">
        <f t="shared" si="115"/>
        <v>0</v>
      </c>
      <c r="K594" s="24" t="str">
        <f t="shared" si="116"/>
        <v>E3</v>
      </c>
      <c r="L594" s="24" t="str">
        <f>VLOOKUP(N594,CODE!K:P,CODE!$P$1,FALSE)</f>
        <v>모자</v>
      </c>
      <c r="M594" s="24" t="str">
        <f>VLOOKUP(MID(Q594,1,3),CODE!$B:$G,CODE!D$1,FALSE)</f>
        <v>ELS</v>
      </c>
      <c r="N594" s="24" t="str">
        <f t="shared" si="117"/>
        <v>BA</v>
      </c>
      <c r="O594" s="29" t="str">
        <f>IF(ISERROR(IF(VLOOKUP($N594,CODE!$K:$P,CODE!$O$1,FALSE)="",$M594,$M594&amp;"-"&amp;VLOOKUP($N594,CODE!$K:$P,CODE!$O$1,FALSE)))=TRUE,"",IF(VLOOKUP($N594,CODE!$K:$P,CODE!$O$1,FALSE)="",$M594,$M594&amp;"-"&amp;VLOOKUP($N594,CODE!$K:$P,CODE!$O$1,FALSE)))</f>
        <v>ELS</v>
      </c>
      <c r="P594" s="29" t="str">
        <f t="shared" si="118"/>
        <v>ELSBAE3649</v>
      </c>
      <c r="Q594" s="1" t="s">
        <v>1378</v>
      </c>
      <c r="R594" s="1" t="s">
        <v>14</v>
      </c>
      <c r="S594" s="26">
        <v>2000</v>
      </c>
      <c r="T594" s="26">
        <v>86000000</v>
      </c>
      <c r="U594" s="26">
        <v>12144160.000000002</v>
      </c>
      <c r="V594" s="26">
        <v>6.4378119344457057</v>
      </c>
      <c r="W594" s="26">
        <v>0</v>
      </c>
      <c r="X594" s="26">
        <v>2000</v>
      </c>
    </row>
    <row r="595" spans="1:24">
      <c r="A595" s="24" t="str">
        <f t="shared" si="119"/>
        <v>러닝</v>
      </c>
      <c r="B595" s="24" t="str">
        <f>IF(COUNTIF(Q$1:Q594,Q595)=0,"최초","리오더")</f>
        <v>최초</v>
      </c>
      <c r="C595" s="24" t="str">
        <f t="shared" si="108"/>
        <v>JILMIE3152</v>
      </c>
      <c r="D595" s="24">
        <f t="shared" si="109"/>
        <v>0.2</v>
      </c>
      <c r="E595" s="24" t="str">
        <f t="shared" si="110"/>
        <v/>
      </c>
      <c r="F595" s="24">
        <f t="shared" si="111"/>
        <v>0</v>
      </c>
      <c r="G595" s="24" t="str">
        <f t="shared" si="112"/>
        <v>JILMIE3152PK</v>
      </c>
      <c r="H595" s="24">
        <f t="shared" si="113"/>
        <v>1</v>
      </c>
      <c r="I595" s="24" t="str">
        <f t="shared" si="114"/>
        <v/>
      </c>
      <c r="J595" s="24">
        <f t="shared" si="115"/>
        <v>0</v>
      </c>
      <c r="K595" s="24" t="str">
        <f t="shared" si="116"/>
        <v>E3</v>
      </c>
      <c r="L595" s="24" t="str">
        <f>VLOOKUP(N595,CODE!K:P,CODE!$P$1,FALSE)</f>
        <v>모자</v>
      </c>
      <c r="M595" s="24" t="str">
        <f>VLOOKUP(MID(Q595,1,3),CODE!$B:$G,CODE!D$1,FALSE)</f>
        <v>JIL</v>
      </c>
      <c r="N595" s="24" t="str">
        <f t="shared" si="117"/>
        <v>MI</v>
      </c>
      <c r="O595" s="29" t="str">
        <f>IF(ISERROR(IF(VLOOKUP($N595,CODE!$K:$P,CODE!$O$1,FALSE)="",$M595,$M595&amp;"-"&amp;VLOOKUP($N595,CODE!$K:$P,CODE!$O$1,FALSE)))=TRUE,"",IF(VLOOKUP($N595,CODE!$K:$P,CODE!$O$1,FALSE)="",$M595,$M595&amp;"-"&amp;VLOOKUP($N595,CODE!$K:$P,CODE!$O$1,FALSE)))</f>
        <v>JIL</v>
      </c>
      <c r="P595" s="29" t="str">
        <f t="shared" si="118"/>
        <v>JILMIE3152</v>
      </c>
      <c r="Q595" s="1" t="s">
        <v>1379</v>
      </c>
      <c r="R595" s="1" t="s">
        <v>14</v>
      </c>
      <c r="S595" s="26">
        <v>1000</v>
      </c>
      <c r="T595" s="26">
        <v>45000000</v>
      </c>
      <c r="U595" s="26">
        <v>6673590</v>
      </c>
      <c r="V595" s="26">
        <v>6.1299976338209126</v>
      </c>
      <c r="W595" s="26">
        <v>0</v>
      </c>
      <c r="X595" s="26">
        <v>1000</v>
      </c>
    </row>
    <row r="596" spans="1:24">
      <c r="A596" s="24" t="str">
        <f t="shared" si="119"/>
        <v>러닝</v>
      </c>
      <c r="B596" s="24" t="str">
        <f>IF(COUNTIF(Q$1:Q595,Q596)=0,"최초","리오더")</f>
        <v>최초</v>
      </c>
      <c r="C596" s="24" t="str">
        <f t="shared" si="108"/>
        <v>WTRBAE3603</v>
      </c>
      <c r="D596" s="24">
        <f t="shared" si="109"/>
        <v>1</v>
      </c>
      <c r="E596" s="24" t="str">
        <f t="shared" si="110"/>
        <v/>
      </c>
      <c r="F596" s="24">
        <f t="shared" si="111"/>
        <v>0</v>
      </c>
      <c r="G596" s="24" t="str">
        <f t="shared" si="112"/>
        <v>WTRBAE3603RE</v>
      </c>
      <c r="H596" s="24">
        <f t="shared" si="113"/>
        <v>1</v>
      </c>
      <c r="I596" s="24" t="str">
        <f t="shared" si="114"/>
        <v/>
      </c>
      <c r="J596" s="24">
        <f t="shared" si="115"/>
        <v>0</v>
      </c>
      <c r="K596" s="24" t="str">
        <f t="shared" si="116"/>
        <v>E3</v>
      </c>
      <c r="L596" s="24" t="str">
        <f>VLOOKUP(N596,CODE!K:P,CODE!$P$1,FALSE)</f>
        <v>모자</v>
      </c>
      <c r="M596" s="24" t="str">
        <f>VLOOKUP(MID(Q596,1,3),CODE!$B:$G,CODE!D$1,FALSE)</f>
        <v>WTR</v>
      </c>
      <c r="N596" s="24" t="str">
        <f t="shared" si="117"/>
        <v>BA</v>
      </c>
      <c r="O596" s="29" t="str">
        <f>IF(ISERROR(IF(VLOOKUP($N596,CODE!$K:$P,CODE!$O$1,FALSE)="",$M596,$M596&amp;"-"&amp;VLOOKUP($N596,CODE!$K:$P,CODE!$O$1,FALSE)))=TRUE,"",IF(VLOOKUP($N596,CODE!$K:$P,CODE!$O$1,FALSE)="",$M596,$M596&amp;"-"&amp;VLOOKUP($N596,CODE!$K:$P,CODE!$O$1,FALSE)))</f>
        <v>WTR</v>
      </c>
      <c r="P596" s="29" t="str">
        <f t="shared" si="118"/>
        <v>WTRBAE3603</v>
      </c>
      <c r="Q596" s="1" t="s">
        <v>1380</v>
      </c>
      <c r="R596" s="1" t="s">
        <v>14</v>
      </c>
      <c r="S596" s="26">
        <v>700</v>
      </c>
      <c r="T596" s="26">
        <v>34300000</v>
      </c>
      <c r="U596" s="26">
        <v>7795454.5454545449</v>
      </c>
      <c r="V596" s="26">
        <v>4</v>
      </c>
      <c r="W596" s="26">
        <v>0</v>
      </c>
      <c r="X596" s="26">
        <v>700</v>
      </c>
    </row>
    <row r="597" spans="1:24">
      <c r="A597" s="24" t="str">
        <f t="shared" si="119"/>
        <v>신규</v>
      </c>
      <c r="B597" s="24" t="str">
        <f>IF(COUNTIF(Q$1:Q596,Q597)=0,"최초","리오더")</f>
        <v>최초</v>
      </c>
      <c r="C597" s="24" t="str">
        <f t="shared" ref="C597:C660" si="120">IF($B597="리오더","",P597)</f>
        <v>ELSJSE5327</v>
      </c>
      <c r="D597" s="24">
        <f t="shared" ref="D597:D660" si="121">IF(C597="",0,1/COUNTIF(C:C,C597))</f>
        <v>1</v>
      </c>
      <c r="E597" s="24" t="str">
        <f t="shared" ref="E597:E660" si="122">IF($B597="리오더",P597,"")</f>
        <v/>
      </c>
      <c r="F597" s="24">
        <f t="shared" ref="F597:F660" si="123">IF(E597="",0,1/COUNTIF(E:E,E597))</f>
        <v>0</v>
      </c>
      <c r="G597" s="24" t="str">
        <f t="shared" ref="G597:G660" si="124">IF($B597="리오더","",Q597)</f>
        <v>ELSJSE5327BW</v>
      </c>
      <c r="H597" s="24">
        <f t="shared" ref="H597:H660" si="125">IF(G597="",0,1/COUNTIF(G:G,G597))</f>
        <v>1</v>
      </c>
      <c r="I597" s="24" t="str">
        <f t="shared" ref="I597:I660" si="126">IF($B597="리오더",Q597,"")</f>
        <v/>
      </c>
      <c r="J597" s="24">
        <f t="shared" ref="J597:J660" si="127">IF(I597="",0,1/COUNTIF(I:I,I597))</f>
        <v>0</v>
      </c>
      <c r="K597" s="24" t="str">
        <f t="shared" ref="K597:K660" si="128">MID(Q597,6,2)</f>
        <v>E5</v>
      </c>
      <c r="L597" s="24" t="str">
        <f>VLOOKUP(N597,CODE!K:P,CODE!$P$1,FALSE)</f>
        <v>의류</v>
      </c>
      <c r="M597" s="24" t="str">
        <f>VLOOKUP(MID(Q597,1,3),CODE!$B:$G,CODE!D$1,FALSE)</f>
        <v>ELS</v>
      </c>
      <c r="N597" s="24" t="str">
        <f t="shared" ref="N597:N660" si="129">MID(Q597,4,2)</f>
        <v>JS</v>
      </c>
      <c r="O597" s="29" t="str">
        <f>IF(ISERROR(IF(VLOOKUP($N597,CODE!$K:$P,CODE!$O$1,FALSE)="",$M597,$M597&amp;"-"&amp;VLOOKUP($N597,CODE!$K:$P,CODE!$O$1,FALSE)))=TRUE,"",IF(VLOOKUP($N597,CODE!$K:$P,CODE!$O$1,FALSE)="",$M597,$M597&amp;"-"&amp;VLOOKUP($N597,CODE!$K:$P,CODE!$O$1,FALSE)))</f>
        <v>ELS-의류</v>
      </c>
      <c r="P597" s="29" t="str">
        <f t="shared" ref="P597:P660" si="130">MID(Q597,1,10)</f>
        <v>ELSJSE5327</v>
      </c>
      <c r="Q597" s="1" t="s">
        <v>1480</v>
      </c>
      <c r="R597" s="1" t="s">
        <v>14</v>
      </c>
      <c r="S597" s="26">
        <v>800</v>
      </c>
      <c r="T597" s="26">
        <v>127200000</v>
      </c>
      <c r="U597" s="26">
        <v>27251800</v>
      </c>
      <c r="V597" s="26">
        <v>4.2432559917643466</v>
      </c>
      <c r="W597" s="26">
        <v>0</v>
      </c>
      <c r="X597" s="26">
        <v>800</v>
      </c>
    </row>
    <row r="598" spans="1:24">
      <c r="A598" s="24" t="str">
        <f t="shared" si="119"/>
        <v>신규</v>
      </c>
      <c r="B598" s="24" t="str">
        <f>IF(COUNTIF(Q$1:Q597,Q598)=0,"최초","리오더")</f>
        <v>최초</v>
      </c>
      <c r="C598" s="24" t="str">
        <f t="shared" si="120"/>
        <v>ELSJSE5827</v>
      </c>
      <c r="D598" s="24">
        <f t="shared" si="121"/>
        <v>1</v>
      </c>
      <c r="E598" s="24" t="str">
        <f t="shared" si="122"/>
        <v/>
      </c>
      <c r="F598" s="24">
        <f t="shared" si="123"/>
        <v>0</v>
      </c>
      <c r="G598" s="24" t="str">
        <f t="shared" si="124"/>
        <v>ELSJSE5827BW</v>
      </c>
      <c r="H598" s="24">
        <f t="shared" si="125"/>
        <v>1</v>
      </c>
      <c r="I598" s="24" t="str">
        <f t="shared" si="126"/>
        <v/>
      </c>
      <c r="J598" s="24">
        <f t="shared" si="127"/>
        <v>0</v>
      </c>
      <c r="K598" s="24" t="str">
        <f t="shared" si="128"/>
        <v>E5</v>
      </c>
      <c r="L598" s="24" t="str">
        <f>VLOOKUP(N598,CODE!K:P,CODE!$P$1,FALSE)</f>
        <v>의류</v>
      </c>
      <c r="M598" s="24" t="str">
        <f>VLOOKUP(MID(Q598,1,3),CODE!$B:$G,CODE!D$1,FALSE)</f>
        <v>ELS</v>
      </c>
      <c r="N598" s="24" t="str">
        <f t="shared" si="129"/>
        <v>JS</v>
      </c>
      <c r="O598" s="29" t="str">
        <f>IF(ISERROR(IF(VLOOKUP($N598,CODE!$K:$P,CODE!$O$1,FALSE)="",$M598,$M598&amp;"-"&amp;VLOOKUP($N598,CODE!$K:$P,CODE!$O$1,FALSE)))=TRUE,"",IF(VLOOKUP($N598,CODE!$K:$P,CODE!$O$1,FALSE)="",$M598,$M598&amp;"-"&amp;VLOOKUP($N598,CODE!$K:$P,CODE!$O$1,FALSE)))</f>
        <v>ELS-의류</v>
      </c>
      <c r="P598" s="29" t="str">
        <f t="shared" si="130"/>
        <v>ELSJSE5827</v>
      </c>
      <c r="Q598" s="1" t="s">
        <v>1385</v>
      </c>
      <c r="R598" s="1" t="s">
        <v>14</v>
      </c>
      <c r="S598" s="26">
        <v>800</v>
      </c>
      <c r="T598" s="26">
        <v>111200000</v>
      </c>
      <c r="U598" s="26">
        <v>21754000</v>
      </c>
      <c r="V598" s="26">
        <v>4.6470032679465421</v>
      </c>
      <c r="W598" s="26">
        <v>0</v>
      </c>
      <c r="X598" s="26">
        <v>800</v>
      </c>
    </row>
    <row r="599" spans="1:24">
      <c r="A599" s="24" t="str">
        <f t="shared" si="119"/>
        <v>신규</v>
      </c>
      <c r="B599" s="24" t="str">
        <f>IF(COUNTIF(Q$1:Q598,Q599)=0,"최초","리오더")</f>
        <v>최초</v>
      </c>
      <c r="C599" s="24" t="str">
        <f t="shared" si="120"/>
        <v>ELSPTE5330</v>
      </c>
      <c r="D599" s="24">
        <f t="shared" si="121"/>
        <v>1</v>
      </c>
      <c r="E599" s="24" t="str">
        <f t="shared" si="122"/>
        <v/>
      </c>
      <c r="F599" s="24">
        <f t="shared" si="123"/>
        <v>0</v>
      </c>
      <c r="G599" s="24" t="str">
        <f t="shared" si="124"/>
        <v>ELSPTE5330BK</v>
      </c>
      <c r="H599" s="24">
        <f t="shared" si="125"/>
        <v>1</v>
      </c>
      <c r="I599" s="24" t="str">
        <f t="shared" si="126"/>
        <v/>
      </c>
      <c r="J599" s="24">
        <f t="shared" si="127"/>
        <v>0</v>
      </c>
      <c r="K599" s="24" t="str">
        <f t="shared" si="128"/>
        <v>E5</v>
      </c>
      <c r="L599" s="24" t="str">
        <f>VLOOKUP(N599,CODE!K:P,CODE!$P$1,FALSE)</f>
        <v>의류</v>
      </c>
      <c r="M599" s="24" t="str">
        <f>VLOOKUP(MID(Q599,1,3),CODE!$B:$G,CODE!D$1,FALSE)</f>
        <v>ELS</v>
      </c>
      <c r="N599" s="24" t="str">
        <f t="shared" si="129"/>
        <v>PT</v>
      </c>
      <c r="O599" s="29" t="str">
        <f>IF(ISERROR(IF(VLOOKUP($N599,CODE!$K:$P,CODE!$O$1,FALSE)="",$M599,$M599&amp;"-"&amp;VLOOKUP($N599,CODE!$K:$P,CODE!$O$1,FALSE)))=TRUE,"",IF(VLOOKUP($N599,CODE!$K:$P,CODE!$O$1,FALSE)="",$M599,$M599&amp;"-"&amp;VLOOKUP($N599,CODE!$K:$P,CODE!$O$1,FALSE)))</f>
        <v>ELS-의류</v>
      </c>
      <c r="P599" s="29" t="str">
        <f t="shared" si="130"/>
        <v>ELSPTE5330</v>
      </c>
      <c r="Q599" s="1" t="s">
        <v>1386</v>
      </c>
      <c r="R599" s="1" t="s">
        <v>14</v>
      </c>
      <c r="S599" s="26">
        <v>1000</v>
      </c>
      <c r="T599" s="26">
        <v>89000000</v>
      </c>
      <c r="U599" s="26">
        <v>22020000</v>
      </c>
      <c r="V599" s="26">
        <v>3.6743456361984967</v>
      </c>
      <c r="W599" s="26">
        <v>0</v>
      </c>
      <c r="X599" s="26">
        <v>1000</v>
      </c>
    </row>
    <row r="600" spans="1:24">
      <c r="A600" s="24" t="str">
        <f t="shared" si="119"/>
        <v>신규</v>
      </c>
      <c r="B600" s="24" t="str">
        <f>IF(COUNTIF(Q$1:Q599,Q600)=0,"최초","리오더")</f>
        <v>최초</v>
      </c>
      <c r="C600" s="24" t="str">
        <f t="shared" si="120"/>
        <v>ELSPTE5830</v>
      </c>
      <c r="D600" s="24">
        <f t="shared" si="121"/>
        <v>1</v>
      </c>
      <c r="E600" s="24" t="str">
        <f t="shared" si="122"/>
        <v/>
      </c>
      <c r="F600" s="24">
        <f t="shared" si="123"/>
        <v>0</v>
      </c>
      <c r="G600" s="24" t="str">
        <f t="shared" si="124"/>
        <v>ELSPTE5830BK</v>
      </c>
      <c r="H600" s="24">
        <f t="shared" si="125"/>
        <v>1</v>
      </c>
      <c r="I600" s="24" t="str">
        <f t="shared" si="126"/>
        <v/>
      </c>
      <c r="J600" s="24">
        <f t="shared" si="127"/>
        <v>0</v>
      </c>
      <c r="K600" s="24" t="str">
        <f t="shared" si="128"/>
        <v>E5</v>
      </c>
      <c r="L600" s="24" t="str">
        <f>VLOOKUP(N600,CODE!K:P,CODE!$P$1,FALSE)</f>
        <v>의류</v>
      </c>
      <c r="M600" s="24" t="str">
        <f>VLOOKUP(MID(Q600,1,3),CODE!$B:$G,CODE!D$1,FALSE)</f>
        <v>ELS</v>
      </c>
      <c r="N600" s="24" t="str">
        <f t="shared" si="129"/>
        <v>PT</v>
      </c>
      <c r="O600" s="29" t="str">
        <f>IF(ISERROR(IF(VLOOKUP($N600,CODE!$K:$P,CODE!$O$1,FALSE)="",$M600,$M600&amp;"-"&amp;VLOOKUP($N600,CODE!$K:$P,CODE!$O$1,FALSE)))=TRUE,"",IF(VLOOKUP($N600,CODE!$K:$P,CODE!$O$1,FALSE)="",$M600,$M600&amp;"-"&amp;VLOOKUP($N600,CODE!$K:$P,CODE!$O$1,FALSE)))</f>
        <v>ELS-의류</v>
      </c>
      <c r="P600" s="29" t="str">
        <f t="shared" si="130"/>
        <v>ELSPTE5830</v>
      </c>
      <c r="Q600" s="1" t="s">
        <v>1387</v>
      </c>
      <c r="R600" s="1" t="s">
        <v>14</v>
      </c>
      <c r="S600" s="26">
        <v>1000</v>
      </c>
      <c r="T600" s="26">
        <v>79000000</v>
      </c>
      <c r="U600" s="26">
        <v>19120000</v>
      </c>
      <c r="V600" s="26">
        <v>3.7561810574362875</v>
      </c>
      <c r="W600" s="26">
        <v>0</v>
      </c>
      <c r="X600" s="26">
        <v>1000</v>
      </c>
    </row>
    <row r="601" spans="1:24">
      <c r="A601" s="24" t="str">
        <f t="shared" si="119"/>
        <v>신규</v>
      </c>
      <c r="B601" s="24" t="str">
        <f>IF(COUNTIF(Q$1:Q600,Q601)=0,"최초","리오더")</f>
        <v>최초</v>
      </c>
      <c r="C601" s="24" t="str">
        <f t="shared" si="120"/>
        <v>ELSPTE5331</v>
      </c>
      <c r="D601" s="24">
        <f t="shared" si="121"/>
        <v>1</v>
      </c>
      <c r="E601" s="24" t="str">
        <f t="shared" si="122"/>
        <v/>
      </c>
      <c r="F601" s="24">
        <f t="shared" si="123"/>
        <v>0</v>
      </c>
      <c r="G601" s="24" t="str">
        <f t="shared" si="124"/>
        <v>ELSPTE5331BW</v>
      </c>
      <c r="H601" s="24">
        <f t="shared" si="125"/>
        <v>1</v>
      </c>
      <c r="I601" s="24" t="str">
        <f t="shared" si="126"/>
        <v/>
      </c>
      <c r="J601" s="24">
        <f t="shared" si="127"/>
        <v>0</v>
      </c>
      <c r="K601" s="24" t="str">
        <f t="shared" si="128"/>
        <v>E5</v>
      </c>
      <c r="L601" s="24" t="str">
        <f>VLOOKUP(N601,CODE!K:P,CODE!$P$1,FALSE)</f>
        <v>의류</v>
      </c>
      <c r="M601" s="24" t="str">
        <f>VLOOKUP(MID(Q601,1,3),CODE!$B:$G,CODE!D$1,FALSE)</f>
        <v>ELS</v>
      </c>
      <c r="N601" s="24" t="str">
        <f t="shared" si="129"/>
        <v>PT</v>
      </c>
      <c r="O601" s="29" t="str">
        <f>IF(ISERROR(IF(VLOOKUP($N601,CODE!$K:$P,CODE!$O$1,FALSE)="",$M601,$M601&amp;"-"&amp;VLOOKUP($N601,CODE!$K:$P,CODE!$O$1,FALSE)))=TRUE,"",IF(VLOOKUP($N601,CODE!$K:$P,CODE!$O$1,FALSE)="",$M601,$M601&amp;"-"&amp;VLOOKUP($N601,CODE!$K:$P,CODE!$O$1,FALSE)))</f>
        <v>ELS-의류</v>
      </c>
      <c r="P601" s="29" t="str">
        <f t="shared" si="130"/>
        <v>ELSPTE5331</v>
      </c>
      <c r="Q601" s="1" t="s">
        <v>1388</v>
      </c>
      <c r="R601" s="1" t="s">
        <v>14</v>
      </c>
      <c r="S601" s="26">
        <v>1000</v>
      </c>
      <c r="T601" s="26">
        <v>89000000</v>
      </c>
      <c r="U601" s="26">
        <v>23020000</v>
      </c>
      <c r="V601" s="26">
        <v>3.514730274069978</v>
      </c>
      <c r="W601" s="26">
        <v>0</v>
      </c>
      <c r="X601" s="26">
        <v>1000</v>
      </c>
    </row>
    <row r="602" spans="1:24">
      <c r="A602" s="24" t="str">
        <f t="shared" si="119"/>
        <v>신규</v>
      </c>
      <c r="B602" s="24" t="str">
        <f>IF(COUNTIF(Q$1:Q601,Q602)=0,"최초","리오더")</f>
        <v>최초</v>
      </c>
      <c r="C602" s="24" t="str">
        <f t="shared" si="120"/>
        <v>ELSPTE5831</v>
      </c>
      <c r="D602" s="24">
        <f t="shared" si="121"/>
        <v>1</v>
      </c>
      <c r="E602" s="24" t="str">
        <f t="shared" si="122"/>
        <v/>
      </c>
      <c r="F602" s="24">
        <f t="shared" si="123"/>
        <v>0</v>
      </c>
      <c r="G602" s="24" t="str">
        <f t="shared" si="124"/>
        <v>ELSPTE5831BW</v>
      </c>
      <c r="H602" s="24">
        <f t="shared" si="125"/>
        <v>1</v>
      </c>
      <c r="I602" s="24" t="str">
        <f t="shared" si="126"/>
        <v/>
      </c>
      <c r="J602" s="24">
        <f t="shared" si="127"/>
        <v>0</v>
      </c>
      <c r="K602" s="24" t="str">
        <f t="shared" si="128"/>
        <v>E5</v>
      </c>
      <c r="L602" s="24" t="str">
        <f>VLOOKUP(N602,CODE!K:P,CODE!$P$1,FALSE)</f>
        <v>의류</v>
      </c>
      <c r="M602" s="24" t="str">
        <f>VLOOKUP(MID(Q602,1,3),CODE!$B:$G,CODE!D$1,FALSE)</f>
        <v>ELS</v>
      </c>
      <c r="N602" s="24" t="str">
        <f t="shared" si="129"/>
        <v>PT</v>
      </c>
      <c r="O602" s="29" t="str">
        <f>IF(ISERROR(IF(VLOOKUP($N602,CODE!$K:$P,CODE!$O$1,FALSE)="",$M602,$M602&amp;"-"&amp;VLOOKUP($N602,CODE!$K:$P,CODE!$O$1,FALSE)))=TRUE,"",IF(VLOOKUP($N602,CODE!$K:$P,CODE!$O$1,FALSE)="",$M602,$M602&amp;"-"&amp;VLOOKUP($N602,CODE!$K:$P,CODE!$O$1,FALSE)))</f>
        <v>ELS-의류</v>
      </c>
      <c r="P602" s="29" t="str">
        <f t="shared" si="130"/>
        <v>ELSPTE5831</v>
      </c>
      <c r="Q602" s="1" t="s">
        <v>1389</v>
      </c>
      <c r="R602" s="1" t="s">
        <v>14</v>
      </c>
      <c r="S602" s="26">
        <v>1000</v>
      </c>
      <c r="T602" s="26">
        <v>79000000</v>
      </c>
      <c r="U602" s="26">
        <v>20020000</v>
      </c>
      <c r="V602" s="26">
        <v>3.587321769139951</v>
      </c>
      <c r="W602" s="26">
        <v>0</v>
      </c>
      <c r="X602" s="26">
        <v>1000</v>
      </c>
    </row>
    <row r="603" spans="1:24">
      <c r="A603" s="24" t="str">
        <f t="shared" si="119"/>
        <v>신규</v>
      </c>
      <c r="B603" s="24" t="str">
        <f>IF(COUNTIF(Q$1:Q602,Q603)=0,"최초","리오더")</f>
        <v>최초</v>
      </c>
      <c r="C603" s="24" t="str">
        <f t="shared" si="120"/>
        <v>VBLBAE5316</v>
      </c>
      <c r="D603" s="24">
        <f t="shared" si="121"/>
        <v>1</v>
      </c>
      <c r="E603" s="24" t="str">
        <f t="shared" si="122"/>
        <v/>
      </c>
      <c r="F603" s="24">
        <f t="shared" si="123"/>
        <v>0</v>
      </c>
      <c r="G603" s="24" t="str">
        <f t="shared" si="124"/>
        <v>VBLBAE5316GY</v>
      </c>
      <c r="H603" s="24">
        <f t="shared" si="125"/>
        <v>1</v>
      </c>
      <c r="I603" s="24" t="str">
        <f t="shared" si="126"/>
        <v/>
      </c>
      <c r="J603" s="24">
        <f t="shared" si="127"/>
        <v>0</v>
      </c>
      <c r="K603" s="24" t="str">
        <f t="shared" si="128"/>
        <v>E5</v>
      </c>
      <c r="L603" s="24" t="str">
        <f>VLOOKUP(N603,CODE!K:P,CODE!$P$1,FALSE)</f>
        <v>모자</v>
      </c>
      <c r="M603" s="24" t="str">
        <f>VLOOKUP(MID(Q603,1,3),CODE!$B:$G,CODE!D$1,FALSE)</f>
        <v>VBL</v>
      </c>
      <c r="N603" s="24" t="str">
        <f t="shared" si="129"/>
        <v>BA</v>
      </c>
      <c r="O603" s="29" t="str">
        <f>IF(ISERROR(IF(VLOOKUP($N603,CODE!$K:$P,CODE!$O$1,FALSE)="",$M603,$M603&amp;"-"&amp;VLOOKUP($N603,CODE!$K:$P,CODE!$O$1,FALSE)))=TRUE,"",IF(VLOOKUP($N603,CODE!$K:$P,CODE!$O$1,FALSE)="",$M603,$M603&amp;"-"&amp;VLOOKUP($N603,CODE!$K:$P,CODE!$O$1,FALSE)))</f>
        <v>VBL</v>
      </c>
      <c r="P603" s="29" t="str">
        <f t="shared" si="130"/>
        <v>VBLBAE5316</v>
      </c>
      <c r="Q603" s="1" t="s">
        <v>1390</v>
      </c>
      <c r="R603" s="1" t="s">
        <v>14</v>
      </c>
      <c r="S603" s="26">
        <v>1000</v>
      </c>
      <c r="T603" s="26">
        <v>59000000</v>
      </c>
      <c r="U603" s="26">
        <v>13409090.909090908</v>
      </c>
      <c r="V603" s="26">
        <v>4</v>
      </c>
      <c r="W603" s="26">
        <v>0</v>
      </c>
      <c r="X603" s="26">
        <v>1000</v>
      </c>
    </row>
    <row r="604" spans="1:24">
      <c r="A604" s="24" t="str">
        <f t="shared" si="119"/>
        <v>러닝</v>
      </c>
      <c r="B604" s="24" t="str">
        <f>IF(COUNTIF(Q$1:Q603,Q604)=0,"최초","리오더")</f>
        <v>최초</v>
      </c>
      <c r="C604" s="24" t="str">
        <f t="shared" si="120"/>
        <v>ELSBAE3008</v>
      </c>
      <c r="D604" s="24">
        <f t="shared" si="121"/>
        <v>0.33333333333333331</v>
      </c>
      <c r="E604" s="24" t="str">
        <f t="shared" si="122"/>
        <v/>
      </c>
      <c r="F604" s="24">
        <f t="shared" si="123"/>
        <v>0</v>
      </c>
      <c r="G604" s="24" t="str">
        <f t="shared" si="124"/>
        <v>ELSBAE3008NY</v>
      </c>
      <c r="H604" s="24">
        <f t="shared" si="125"/>
        <v>1</v>
      </c>
      <c r="I604" s="24" t="str">
        <f t="shared" si="126"/>
        <v/>
      </c>
      <c r="J604" s="24">
        <f t="shared" si="127"/>
        <v>0</v>
      </c>
      <c r="K604" s="24" t="str">
        <f t="shared" si="128"/>
        <v>E3</v>
      </c>
      <c r="L604" s="24" t="str">
        <f>VLOOKUP(N604,CODE!K:P,CODE!$P$1,FALSE)</f>
        <v>모자</v>
      </c>
      <c r="M604" s="24" t="str">
        <f>VLOOKUP(MID(Q604,1,3),CODE!$B:$G,CODE!D$1,FALSE)</f>
        <v>ELS</v>
      </c>
      <c r="N604" s="24" t="str">
        <f t="shared" si="129"/>
        <v>BA</v>
      </c>
      <c r="O604" s="29" t="str">
        <f>IF(ISERROR(IF(VLOOKUP($N604,CODE!$K:$P,CODE!$O$1,FALSE)="",$M604,$M604&amp;"-"&amp;VLOOKUP($N604,CODE!$K:$P,CODE!$O$1,FALSE)))=TRUE,"",IF(VLOOKUP($N604,CODE!$K:$P,CODE!$O$1,FALSE)="",$M604,$M604&amp;"-"&amp;VLOOKUP($N604,CODE!$K:$P,CODE!$O$1,FALSE)))</f>
        <v>ELS</v>
      </c>
      <c r="P604" s="29" t="str">
        <f t="shared" si="130"/>
        <v>ELSBAE3008</v>
      </c>
      <c r="Q604" s="1" t="s">
        <v>1391</v>
      </c>
      <c r="R604" s="1" t="s">
        <v>14</v>
      </c>
      <c r="S604" s="26">
        <v>3000</v>
      </c>
      <c r="T604" s="26">
        <v>147000000</v>
      </c>
      <c r="U604" s="26">
        <v>12215040</v>
      </c>
      <c r="V604" s="26">
        <v>10.940313223400301</v>
      </c>
      <c r="W604" s="26">
        <v>0</v>
      </c>
      <c r="X604" s="26">
        <v>3000</v>
      </c>
    </row>
    <row r="605" spans="1:24">
      <c r="A605" s="24" t="str">
        <f t="shared" si="119"/>
        <v>러닝</v>
      </c>
      <c r="B605" s="24" t="str">
        <f>IF(COUNTIF(Q$1:Q604,Q605)=0,"최초","리오더")</f>
        <v>최초</v>
      </c>
      <c r="C605" s="24" t="str">
        <f t="shared" si="120"/>
        <v>ELSFIE3013</v>
      </c>
      <c r="D605" s="24">
        <f t="shared" si="121"/>
        <v>0.33333333333333331</v>
      </c>
      <c r="E605" s="24" t="str">
        <f t="shared" si="122"/>
        <v/>
      </c>
      <c r="F605" s="24">
        <f t="shared" si="123"/>
        <v>0</v>
      </c>
      <c r="G605" s="24" t="str">
        <f t="shared" si="124"/>
        <v>ELSFIE3013RE</v>
      </c>
      <c r="H605" s="24">
        <f t="shared" si="125"/>
        <v>1</v>
      </c>
      <c r="I605" s="24" t="str">
        <f t="shared" si="126"/>
        <v/>
      </c>
      <c r="J605" s="24">
        <f t="shared" si="127"/>
        <v>0</v>
      </c>
      <c r="K605" s="24" t="str">
        <f t="shared" si="128"/>
        <v>E3</v>
      </c>
      <c r="L605" s="24" t="str">
        <f>VLOOKUP(N605,CODE!K:P,CODE!$P$1,FALSE)</f>
        <v>모자</v>
      </c>
      <c r="M605" s="24" t="str">
        <f>VLOOKUP(MID(Q605,1,3),CODE!$B:$G,CODE!D$1,FALSE)</f>
        <v>ELS</v>
      </c>
      <c r="N605" s="24" t="str">
        <f t="shared" si="129"/>
        <v>FI</v>
      </c>
      <c r="O605" s="29" t="str">
        <f>IF(ISERROR(IF(VLOOKUP($N605,CODE!$K:$P,CODE!$O$1,FALSE)="",$M605,$M605&amp;"-"&amp;VLOOKUP($N605,CODE!$K:$P,CODE!$O$1,FALSE)))=TRUE,"",IF(VLOOKUP($N605,CODE!$K:$P,CODE!$O$1,FALSE)="",$M605,$M605&amp;"-"&amp;VLOOKUP($N605,CODE!$K:$P,CODE!$O$1,FALSE)))</f>
        <v>ELS</v>
      </c>
      <c r="P605" s="29" t="str">
        <f t="shared" si="130"/>
        <v>ELSFIE3013</v>
      </c>
      <c r="Q605" s="1" t="s">
        <v>1392</v>
      </c>
      <c r="R605" s="1" t="s">
        <v>14</v>
      </c>
      <c r="S605" s="26">
        <v>3500</v>
      </c>
      <c r="T605" s="26">
        <v>171500000</v>
      </c>
      <c r="U605" s="26">
        <v>13237700.000000002</v>
      </c>
      <c r="V605" s="26">
        <v>11.777657063469551</v>
      </c>
      <c r="W605" s="26">
        <v>0</v>
      </c>
      <c r="X605" s="26">
        <v>3500</v>
      </c>
    </row>
    <row r="606" spans="1:24">
      <c r="A606" s="24" t="str">
        <f t="shared" si="119"/>
        <v>러닝</v>
      </c>
      <c r="B606" s="24" t="str">
        <f>IF(COUNTIF(Q$1:Q605,Q606)=0,"최초","리오더")</f>
        <v>최초</v>
      </c>
      <c r="C606" s="24" t="str">
        <f t="shared" si="120"/>
        <v>ELSFIE3013</v>
      </c>
      <c r="D606" s="24">
        <f t="shared" si="121"/>
        <v>0.33333333333333331</v>
      </c>
      <c r="E606" s="24" t="str">
        <f t="shared" si="122"/>
        <v/>
      </c>
      <c r="F606" s="24">
        <f t="shared" si="123"/>
        <v>0</v>
      </c>
      <c r="G606" s="24" t="str">
        <f t="shared" si="124"/>
        <v>ELSFIE3013BK</v>
      </c>
      <c r="H606" s="24">
        <f t="shared" si="125"/>
        <v>1</v>
      </c>
      <c r="I606" s="24" t="str">
        <f t="shared" si="126"/>
        <v/>
      </c>
      <c r="J606" s="24">
        <f t="shared" si="127"/>
        <v>0</v>
      </c>
      <c r="K606" s="24" t="str">
        <f t="shared" si="128"/>
        <v>E3</v>
      </c>
      <c r="L606" s="24" t="str">
        <f>VLOOKUP(N606,CODE!K:P,CODE!$P$1,FALSE)</f>
        <v>모자</v>
      </c>
      <c r="M606" s="24" t="str">
        <f>VLOOKUP(MID(Q606,1,3),CODE!$B:$G,CODE!D$1,FALSE)</f>
        <v>ELS</v>
      </c>
      <c r="N606" s="24" t="str">
        <f t="shared" si="129"/>
        <v>FI</v>
      </c>
      <c r="O606" s="29" t="str">
        <f>IF(ISERROR(IF(VLOOKUP($N606,CODE!$K:$P,CODE!$O$1,FALSE)="",$M606,$M606&amp;"-"&amp;VLOOKUP($N606,CODE!$K:$P,CODE!$O$1,FALSE)))=TRUE,"",IF(VLOOKUP($N606,CODE!$K:$P,CODE!$O$1,FALSE)="",$M606,$M606&amp;"-"&amp;VLOOKUP($N606,CODE!$K:$P,CODE!$O$1,FALSE)))</f>
        <v>ELS</v>
      </c>
      <c r="P606" s="29" t="str">
        <f t="shared" si="130"/>
        <v>ELSFIE3013</v>
      </c>
      <c r="Q606" s="1" t="s">
        <v>1393</v>
      </c>
      <c r="R606" s="1" t="s">
        <v>14</v>
      </c>
      <c r="S606" s="26">
        <v>1500</v>
      </c>
      <c r="T606" s="26">
        <v>73500000</v>
      </c>
      <c r="U606" s="26">
        <v>5673300.0000000009</v>
      </c>
      <c r="V606" s="26">
        <v>11.777657063469549</v>
      </c>
      <c r="W606" s="26">
        <v>0</v>
      </c>
      <c r="X606" s="26">
        <v>1500</v>
      </c>
    </row>
    <row r="607" spans="1:24">
      <c r="A607" s="24" t="str">
        <f t="shared" si="119"/>
        <v>러닝</v>
      </c>
      <c r="B607" s="24" t="str">
        <f>IF(COUNTIF(Q$1:Q606,Q607)=0,"최초","리오더")</f>
        <v>최초</v>
      </c>
      <c r="C607" s="24" t="str">
        <f t="shared" si="120"/>
        <v>ELSFIE3013</v>
      </c>
      <c r="D607" s="24">
        <f t="shared" si="121"/>
        <v>0.33333333333333331</v>
      </c>
      <c r="E607" s="24" t="str">
        <f t="shared" si="122"/>
        <v/>
      </c>
      <c r="F607" s="24">
        <f t="shared" si="123"/>
        <v>0</v>
      </c>
      <c r="G607" s="24" t="str">
        <f t="shared" si="124"/>
        <v>ELSFIE3013YE</v>
      </c>
      <c r="H607" s="24">
        <f t="shared" si="125"/>
        <v>1</v>
      </c>
      <c r="I607" s="24" t="str">
        <f t="shared" si="126"/>
        <v/>
      </c>
      <c r="J607" s="24">
        <f t="shared" si="127"/>
        <v>0</v>
      </c>
      <c r="K607" s="24" t="str">
        <f t="shared" si="128"/>
        <v>E3</v>
      </c>
      <c r="L607" s="24" t="str">
        <f>VLOOKUP(N607,CODE!K:P,CODE!$P$1,FALSE)</f>
        <v>모자</v>
      </c>
      <c r="M607" s="24" t="str">
        <f>VLOOKUP(MID(Q607,1,3),CODE!$B:$G,CODE!D$1,FALSE)</f>
        <v>ELS</v>
      </c>
      <c r="N607" s="24" t="str">
        <f t="shared" si="129"/>
        <v>FI</v>
      </c>
      <c r="O607" s="29" t="str">
        <f>IF(ISERROR(IF(VLOOKUP($N607,CODE!$K:$P,CODE!$O$1,FALSE)="",$M607,$M607&amp;"-"&amp;VLOOKUP($N607,CODE!$K:$P,CODE!$O$1,FALSE)))=TRUE,"",IF(VLOOKUP($N607,CODE!$K:$P,CODE!$O$1,FALSE)="",$M607,$M607&amp;"-"&amp;VLOOKUP($N607,CODE!$K:$P,CODE!$O$1,FALSE)))</f>
        <v>ELS</v>
      </c>
      <c r="P607" s="29" t="str">
        <f t="shared" si="130"/>
        <v>ELSFIE3013</v>
      </c>
      <c r="Q607" s="1" t="s">
        <v>1394</v>
      </c>
      <c r="R607" s="1" t="s">
        <v>14</v>
      </c>
      <c r="S607" s="26">
        <v>1800</v>
      </c>
      <c r="T607" s="26">
        <v>88200000</v>
      </c>
      <c r="U607" s="26">
        <v>6807960.0000000019</v>
      </c>
      <c r="V607" s="26">
        <v>11.777657063469549</v>
      </c>
      <c r="W607" s="26">
        <v>0</v>
      </c>
      <c r="X607" s="26">
        <v>1800</v>
      </c>
    </row>
    <row r="608" spans="1:24">
      <c r="A608" s="24" t="str">
        <f t="shared" si="119"/>
        <v>러닝</v>
      </c>
      <c r="B608" s="24" t="str">
        <f>IF(COUNTIF(Q$1:Q607,Q608)=0,"최초","리오더")</f>
        <v>최초</v>
      </c>
      <c r="C608" s="24" t="str">
        <f t="shared" si="120"/>
        <v>ELSFIE3031</v>
      </c>
      <c r="D608" s="24">
        <f t="shared" si="121"/>
        <v>1</v>
      </c>
      <c r="E608" s="24" t="str">
        <f t="shared" si="122"/>
        <v/>
      </c>
      <c r="F608" s="24">
        <f t="shared" si="123"/>
        <v>0</v>
      </c>
      <c r="G608" s="24" t="str">
        <f t="shared" si="124"/>
        <v>ELSFIE3031GR</v>
      </c>
      <c r="H608" s="24">
        <f t="shared" si="125"/>
        <v>1</v>
      </c>
      <c r="I608" s="24" t="str">
        <f t="shared" si="126"/>
        <v/>
      </c>
      <c r="J608" s="24">
        <f t="shared" si="127"/>
        <v>0</v>
      </c>
      <c r="K608" s="24" t="str">
        <f t="shared" si="128"/>
        <v>E3</v>
      </c>
      <c r="L608" s="24" t="str">
        <f>VLOOKUP(N608,CODE!K:P,CODE!$P$1,FALSE)</f>
        <v>모자</v>
      </c>
      <c r="M608" s="24" t="str">
        <f>VLOOKUP(MID(Q608,1,3),CODE!$B:$G,CODE!D$1,FALSE)</f>
        <v>ELS</v>
      </c>
      <c r="N608" s="24" t="str">
        <f t="shared" si="129"/>
        <v>FI</v>
      </c>
      <c r="O608" s="29" t="str">
        <f>IF(ISERROR(IF(VLOOKUP($N608,CODE!$K:$P,CODE!$O$1,FALSE)="",$M608,$M608&amp;"-"&amp;VLOOKUP($N608,CODE!$K:$P,CODE!$O$1,FALSE)))=TRUE,"",IF(VLOOKUP($N608,CODE!$K:$P,CODE!$O$1,FALSE)="",$M608,$M608&amp;"-"&amp;VLOOKUP($N608,CODE!$K:$P,CODE!$O$1,FALSE)))</f>
        <v>ELS</v>
      </c>
      <c r="P608" s="29" t="str">
        <f t="shared" si="130"/>
        <v>ELSFIE3031</v>
      </c>
      <c r="Q608" s="1" t="s">
        <v>1395</v>
      </c>
      <c r="R608" s="1" t="s">
        <v>14</v>
      </c>
      <c r="S608" s="26">
        <v>1500</v>
      </c>
      <c r="T608" s="26">
        <v>73500000</v>
      </c>
      <c r="U608" s="26">
        <v>4984860.0000000009</v>
      </c>
      <c r="V608" s="26">
        <v>13.404224354983249</v>
      </c>
      <c r="W608" s="26">
        <v>0</v>
      </c>
      <c r="X608" s="26">
        <v>1500</v>
      </c>
    </row>
    <row r="609" spans="1:24">
      <c r="A609" s="24" t="str">
        <f t="shared" si="119"/>
        <v>러닝</v>
      </c>
      <c r="B609" s="24" t="str">
        <f>IF(COUNTIF(Q$1:Q608,Q609)=0,"최초","리오더")</f>
        <v>최초</v>
      </c>
      <c r="C609" s="24" t="str">
        <f t="shared" si="120"/>
        <v>ELSFIE3210</v>
      </c>
      <c r="D609" s="24">
        <f t="shared" si="121"/>
        <v>1</v>
      </c>
      <c r="E609" s="24" t="str">
        <f t="shared" si="122"/>
        <v/>
      </c>
      <c r="F609" s="24">
        <f t="shared" si="123"/>
        <v>0</v>
      </c>
      <c r="G609" s="24" t="str">
        <f t="shared" si="124"/>
        <v>ELSFIE3210GY</v>
      </c>
      <c r="H609" s="24">
        <f t="shared" si="125"/>
        <v>1</v>
      </c>
      <c r="I609" s="24" t="str">
        <f t="shared" si="126"/>
        <v/>
      </c>
      <c r="J609" s="24">
        <f t="shared" si="127"/>
        <v>0</v>
      </c>
      <c r="K609" s="24" t="str">
        <f t="shared" si="128"/>
        <v>E3</v>
      </c>
      <c r="L609" s="24" t="str">
        <f>VLOOKUP(N609,CODE!K:P,CODE!$P$1,FALSE)</f>
        <v>모자</v>
      </c>
      <c r="M609" s="24" t="str">
        <f>VLOOKUP(MID(Q609,1,3),CODE!$B:$G,CODE!D$1,FALSE)</f>
        <v>ELS</v>
      </c>
      <c r="N609" s="24" t="str">
        <f t="shared" si="129"/>
        <v>FI</v>
      </c>
      <c r="O609" s="29" t="str">
        <f>IF(ISERROR(IF(VLOOKUP($N609,CODE!$K:$P,CODE!$O$1,FALSE)="",$M609,$M609&amp;"-"&amp;VLOOKUP($N609,CODE!$K:$P,CODE!$O$1,FALSE)))=TRUE,"",IF(VLOOKUP($N609,CODE!$K:$P,CODE!$O$1,FALSE)="",$M609,$M609&amp;"-"&amp;VLOOKUP($N609,CODE!$K:$P,CODE!$O$1,FALSE)))</f>
        <v>ELS</v>
      </c>
      <c r="P609" s="29" t="str">
        <f t="shared" si="130"/>
        <v>ELSFIE3210</v>
      </c>
      <c r="Q609" s="1" t="s">
        <v>1396</v>
      </c>
      <c r="R609" s="1" t="s">
        <v>14</v>
      </c>
      <c r="S609" s="26">
        <v>3000</v>
      </c>
      <c r="T609" s="26">
        <v>147000000</v>
      </c>
      <c r="U609" s="26">
        <v>18944250</v>
      </c>
      <c r="V609" s="26">
        <v>7.0541913053493088</v>
      </c>
      <c r="W609" s="26">
        <v>0</v>
      </c>
      <c r="X609" s="26">
        <v>3000</v>
      </c>
    </row>
    <row r="610" spans="1:24">
      <c r="A610" s="24" t="str">
        <f t="shared" si="119"/>
        <v>러닝</v>
      </c>
      <c r="B610" s="24" t="str">
        <f>IF(COUNTIF(Q$1:Q609,Q610)=0,"최초","리오더")</f>
        <v>최초</v>
      </c>
      <c r="C610" s="24" t="str">
        <f t="shared" si="120"/>
        <v>ELSFIE3710</v>
      </c>
      <c r="D610" s="24">
        <f t="shared" si="121"/>
        <v>1</v>
      </c>
      <c r="E610" s="24" t="str">
        <f t="shared" si="122"/>
        <v/>
      </c>
      <c r="F610" s="24">
        <f t="shared" si="123"/>
        <v>0</v>
      </c>
      <c r="G610" s="24" t="str">
        <f t="shared" si="124"/>
        <v>ELSFIE3710GY</v>
      </c>
      <c r="H610" s="24">
        <f t="shared" si="125"/>
        <v>1</v>
      </c>
      <c r="I610" s="24" t="str">
        <f t="shared" si="126"/>
        <v/>
      </c>
      <c r="J610" s="24">
        <f t="shared" si="127"/>
        <v>0</v>
      </c>
      <c r="K610" s="24" t="str">
        <f t="shared" si="128"/>
        <v>E3</v>
      </c>
      <c r="L610" s="24" t="str">
        <f>VLOOKUP(N610,CODE!K:P,CODE!$P$1,FALSE)</f>
        <v>모자</v>
      </c>
      <c r="M610" s="24" t="str">
        <f>VLOOKUP(MID(Q610,1,3),CODE!$B:$G,CODE!D$1,FALSE)</f>
        <v>ELS</v>
      </c>
      <c r="N610" s="24" t="str">
        <f t="shared" si="129"/>
        <v>FI</v>
      </c>
      <c r="O610" s="29" t="str">
        <f>IF(ISERROR(IF(VLOOKUP($N610,CODE!$K:$P,CODE!$O$1,FALSE)="",$M610,$M610&amp;"-"&amp;VLOOKUP($N610,CODE!$K:$P,CODE!$O$1,FALSE)))=TRUE,"",IF(VLOOKUP($N610,CODE!$K:$P,CODE!$O$1,FALSE)="",$M610,$M610&amp;"-"&amp;VLOOKUP($N610,CODE!$K:$P,CODE!$O$1,FALSE)))</f>
        <v>ELS</v>
      </c>
      <c r="P610" s="29" t="str">
        <f t="shared" si="130"/>
        <v>ELSFIE3710</v>
      </c>
      <c r="Q610" s="1" t="s">
        <v>1397</v>
      </c>
      <c r="R610" s="1" t="s">
        <v>14</v>
      </c>
      <c r="S610" s="26">
        <v>3000</v>
      </c>
      <c r="T610" s="26">
        <v>129000000</v>
      </c>
      <c r="U610" s="26">
        <v>18597750</v>
      </c>
      <c r="V610" s="26">
        <v>6.3057481293558242</v>
      </c>
      <c r="W610" s="26">
        <v>0</v>
      </c>
      <c r="X610" s="26">
        <v>3000</v>
      </c>
    </row>
    <row r="611" spans="1:24">
      <c r="A611" s="24" t="str">
        <f t="shared" si="119"/>
        <v>러닝</v>
      </c>
      <c r="B611" s="24" t="str">
        <f>IF(COUNTIF(Q$1:Q610,Q611)=0,"최초","리오더")</f>
        <v>최초</v>
      </c>
      <c r="C611" s="24" t="str">
        <f t="shared" si="120"/>
        <v>ELSFIE3714</v>
      </c>
      <c r="D611" s="24">
        <f t="shared" si="121"/>
        <v>1</v>
      </c>
      <c r="E611" s="24" t="str">
        <f t="shared" si="122"/>
        <v/>
      </c>
      <c r="F611" s="24">
        <f t="shared" si="123"/>
        <v>0</v>
      </c>
      <c r="G611" s="24" t="str">
        <f t="shared" si="124"/>
        <v>ELSFIE3714GR</v>
      </c>
      <c r="H611" s="24">
        <f t="shared" si="125"/>
        <v>1</v>
      </c>
      <c r="I611" s="24" t="str">
        <f t="shared" si="126"/>
        <v/>
      </c>
      <c r="J611" s="24">
        <f t="shared" si="127"/>
        <v>0</v>
      </c>
      <c r="K611" s="24" t="str">
        <f t="shared" si="128"/>
        <v>E3</v>
      </c>
      <c r="L611" s="24" t="str">
        <f>VLOOKUP(N611,CODE!K:P,CODE!$P$1,FALSE)</f>
        <v>모자</v>
      </c>
      <c r="M611" s="24" t="str">
        <f>VLOOKUP(MID(Q611,1,3),CODE!$B:$G,CODE!D$1,FALSE)</f>
        <v>ELS</v>
      </c>
      <c r="N611" s="24" t="str">
        <f t="shared" si="129"/>
        <v>FI</v>
      </c>
      <c r="O611" s="29" t="str">
        <f>IF(ISERROR(IF(VLOOKUP($N611,CODE!$K:$P,CODE!$O$1,FALSE)="",$M611,$M611&amp;"-"&amp;VLOOKUP($N611,CODE!$K:$P,CODE!$O$1,FALSE)))=TRUE,"",IF(VLOOKUP($N611,CODE!$K:$P,CODE!$O$1,FALSE)="",$M611,$M611&amp;"-"&amp;VLOOKUP($N611,CODE!$K:$P,CODE!$O$1,FALSE)))</f>
        <v>ELS</v>
      </c>
      <c r="P611" s="29" t="str">
        <f t="shared" si="130"/>
        <v>ELSFIE3714</v>
      </c>
      <c r="Q611" s="1" t="s">
        <v>1398</v>
      </c>
      <c r="R611" s="1" t="s">
        <v>14</v>
      </c>
      <c r="S611" s="26">
        <v>3000</v>
      </c>
      <c r="T611" s="26">
        <v>129000000</v>
      </c>
      <c r="U611" s="26">
        <v>16518750</v>
      </c>
      <c r="V611" s="26">
        <v>7.0993705499948403</v>
      </c>
      <c r="W611" s="26">
        <v>0</v>
      </c>
      <c r="X611" s="26">
        <v>3000</v>
      </c>
    </row>
    <row r="612" spans="1:24" hidden="1">
      <c r="A612" s="24" t="str">
        <f t="shared" si="119"/>
        <v>러닝</v>
      </c>
      <c r="B612" s="24" t="str">
        <f>IF(COUNTIF(Q$1:Q611,Q612)=0,"최초","리오더")</f>
        <v>리오더</v>
      </c>
      <c r="C612" s="24" t="str">
        <f t="shared" si="120"/>
        <v/>
      </c>
      <c r="D612" s="24">
        <f t="shared" si="121"/>
        <v>0</v>
      </c>
      <c r="E612" s="24" t="str">
        <f t="shared" si="122"/>
        <v>ELSFIE3211</v>
      </c>
      <c r="F612" s="24">
        <f t="shared" si="123"/>
        <v>1</v>
      </c>
      <c r="G612" s="24" t="str">
        <f t="shared" si="124"/>
        <v/>
      </c>
      <c r="H612" s="24">
        <f t="shared" si="125"/>
        <v>0</v>
      </c>
      <c r="I612" s="24" t="str">
        <f t="shared" si="126"/>
        <v>ELSFIE3211PK</v>
      </c>
      <c r="J612" s="24">
        <f t="shared" si="127"/>
        <v>1</v>
      </c>
      <c r="K612" s="24" t="str">
        <f t="shared" si="128"/>
        <v>E3</v>
      </c>
      <c r="L612" s="24" t="str">
        <f>VLOOKUP(N612,CODE!K:P,CODE!$P$1,FALSE)</f>
        <v>모자</v>
      </c>
      <c r="M612" s="24" t="str">
        <f>VLOOKUP(MID(Q612,1,3),CODE!$B:$G,CODE!D$1,FALSE)</f>
        <v>ELS</v>
      </c>
      <c r="N612" s="24" t="str">
        <f t="shared" si="129"/>
        <v>FI</v>
      </c>
      <c r="O612" s="29" t="str">
        <f>IF(ISERROR(IF(VLOOKUP($N612,CODE!$K:$P,CODE!$O$1,FALSE)="",$M612,$M612&amp;"-"&amp;VLOOKUP($N612,CODE!$K:$P,CODE!$O$1,FALSE)))=TRUE,"",IF(VLOOKUP($N612,CODE!$K:$P,CODE!$O$1,FALSE)="",$M612,$M612&amp;"-"&amp;VLOOKUP($N612,CODE!$K:$P,CODE!$O$1,FALSE)))</f>
        <v>ELS</v>
      </c>
      <c r="P612" s="29" t="str">
        <f t="shared" si="130"/>
        <v>ELSFIE3211</v>
      </c>
      <c r="Q612" s="1" t="s">
        <v>1035</v>
      </c>
      <c r="R612" s="1" t="s">
        <v>14</v>
      </c>
      <c r="S612" s="26">
        <v>1200</v>
      </c>
      <c r="T612" s="26">
        <v>66000000</v>
      </c>
      <c r="U612" s="26">
        <v>7854900.0000000009</v>
      </c>
      <c r="V612" s="26">
        <v>7.6385440934957778</v>
      </c>
      <c r="W612" s="26">
        <v>0</v>
      </c>
      <c r="X612" s="26">
        <v>1200</v>
      </c>
    </row>
    <row r="613" spans="1:24">
      <c r="A613" s="24" t="str">
        <f t="shared" si="119"/>
        <v>러닝</v>
      </c>
      <c r="B613" s="24" t="str">
        <f>IF(COUNTIF(Q$1:Q612,Q613)=0,"최초","리오더")</f>
        <v>최초</v>
      </c>
      <c r="C613" s="24" t="str">
        <f t="shared" si="120"/>
        <v>ELSFIE3226</v>
      </c>
      <c r="D613" s="24">
        <f t="shared" si="121"/>
        <v>1</v>
      </c>
      <c r="E613" s="24" t="str">
        <f t="shared" si="122"/>
        <v/>
      </c>
      <c r="F613" s="24">
        <f t="shared" si="123"/>
        <v>0</v>
      </c>
      <c r="G613" s="24" t="str">
        <f t="shared" si="124"/>
        <v>ELSFIE3226BL</v>
      </c>
      <c r="H613" s="24">
        <f t="shared" si="125"/>
        <v>1</v>
      </c>
      <c r="I613" s="24" t="str">
        <f t="shared" si="126"/>
        <v/>
      </c>
      <c r="J613" s="24">
        <f t="shared" si="127"/>
        <v>0</v>
      </c>
      <c r="K613" s="24" t="str">
        <f t="shared" si="128"/>
        <v>E3</v>
      </c>
      <c r="L613" s="24" t="str">
        <f>VLOOKUP(N613,CODE!K:P,CODE!$P$1,FALSE)</f>
        <v>모자</v>
      </c>
      <c r="M613" s="24" t="str">
        <f>VLOOKUP(MID(Q613,1,3),CODE!$B:$G,CODE!D$1,FALSE)</f>
        <v>ELS</v>
      </c>
      <c r="N613" s="24" t="str">
        <f t="shared" si="129"/>
        <v>FI</v>
      </c>
      <c r="O613" s="29" t="str">
        <f>IF(ISERROR(IF(VLOOKUP($N613,CODE!$K:$P,CODE!$O$1,FALSE)="",$M613,$M613&amp;"-"&amp;VLOOKUP($N613,CODE!$K:$P,CODE!$O$1,FALSE)))=TRUE,"",IF(VLOOKUP($N613,CODE!$K:$P,CODE!$O$1,FALSE)="",$M613,$M613&amp;"-"&amp;VLOOKUP($N613,CODE!$K:$P,CODE!$O$1,FALSE)))</f>
        <v>ELS</v>
      </c>
      <c r="P613" s="29" t="str">
        <f t="shared" si="130"/>
        <v>ELSFIE3226</v>
      </c>
      <c r="Q613" s="1" t="s">
        <v>1399</v>
      </c>
      <c r="R613" s="1" t="s">
        <v>14</v>
      </c>
      <c r="S613" s="26">
        <v>1600</v>
      </c>
      <c r="T613" s="26">
        <v>94400000</v>
      </c>
      <c r="U613" s="26">
        <v>20800000</v>
      </c>
      <c r="V613" s="26">
        <v>4.1258741258741258</v>
      </c>
      <c r="W613" s="26">
        <v>0</v>
      </c>
      <c r="X613" s="26">
        <v>1600</v>
      </c>
    </row>
    <row r="614" spans="1:24">
      <c r="A614" s="24" t="str">
        <f t="shared" si="119"/>
        <v>러닝</v>
      </c>
      <c r="B614" s="24" t="str">
        <f>IF(COUNTIF(Q$1:Q613,Q614)=0,"최초","리오더")</f>
        <v>최초</v>
      </c>
      <c r="C614" s="24" t="str">
        <f t="shared" si="120"/>
        <v>ELSFIE3721</v>
      </c>
      <c r="D614" s="24">
        <f t="shared" si="121"/>
        <v>0.5</v>
      </c>
      <c r="E614" s="24" t="str">
        <f t="shared" si="122"/>
        <v/>
      </c>
      <c r="F614" s="24">
        <f t="shared" si="123"/>
        <v>0</v>
      </c>
      <c r="G614" s="24" t="str">
        <f t="shared" si="124"/>
        <v>ELSFIE3721OR</v>
      </c>
      <c r="H614" s="24">
        <f t="shared" si="125"/>
        <v>1</v>
      </c>
      <c r="I614" s="24" t="str">
        <f t="shared" si="126"/>
        <v/>
      </c>
      <c r="J614" s="24">
        <f t="shared" si="127"/>
        <v>0</v>
      </c>
      <c r="K614" s="24" t="str">
        <f t="shared" si="128"/>
        <v>E3</v>
      </c>
      <c r="L614" s="24" t="str">
        <f>VLOOKUP(N614,CODE!K:P,CODE!$P$1,FALSE)</f>
        <v>모자</v>
      </c>
      <c r="M614" s="24" t="str">
        <f>VLOOKUP(MID(Q614,1,3),CODE!$B:$G,CODE!D$1,FALSE)</f>
        <v>ELS</v>
      </c>
      <c r="N614" s="24" t="str">
        <f t="shared" si="129"/>
        <v>FI</v>
      </c>
      <c r="O614" s="29" t="str">
        <f>IF(ISERROR(IF(VLOOKUP($N614,CODE!$K:$P,CODE!$O$1,FALSE)="",$M614,$M614&amp;"-"&amp;VLOOKUP($N614,CODE!$K:$P,CODE!$O$1,FALSE)))=TRUE,"",IF(VLOOKUP($N614,CODE!$K:$P,CODE!$O$1,FALSE)="",$M614,$M614&amp;"-"&amp;VLOOKUP($N614,CODE!$K:$P,CODE!$O$1,FALSE)))</f>
        <v>ELS</v>
      </c>
      <c r="P614" s="29" t="str">
        <f t="shared" si="130"/>
        <v>ELSFIE3721</v>
      </c>
      <c r="Q614" s="1" t="s">
        <v>1400</v>
      </c>
      <c r="R614" s="1" t="s">
        <v>14</v>
      </c>
      <c r="S614" s="26">
        <v>1000</v>
      </c>
      <c r="T614" s="26">
        <v>55000000</v>
      </c>
      <c r="U614" s="26">
        <v>12500000</v>
      </c>
      <c r="V614" s="26">
        <v>3.9999999999999996</v>
      </c>
      <c r="W614" s="26">
        <v>0</v>
      </c>
      <c r="X614" s="26">
        <v>1000</v>
      </c>
    </row>
    <row r="615" spans="1:24">
      <c r="A615" s="24" t="str">
        <f t="shared" si="119"/>
        <v>러닝</v>
      </c>
      <c r="B615" s="24" t="str">
        <f>IF(COUNTIF(Q$1:Q614,Q615)=0,"최초","리오더")</f>
        <v>최초</v>
      </c>
      <c r="C615" s="24" t="str">
        <f t="shared" si="120"/>
        <v>ELSFIE3721</v>
      </c>
      <c r="D615" s="24">
        <f t="shared" si="121"/>
        <v>0.5</v>
      </c>
      <c r="E615" s="24" t="str">
        <f t="shared" si="122"/>
        <v/>
      </c>
      <c r="F615" s="24">
        <f t="shared" si="123"/>
        <v>0</v>
      </c>
      <c r="G615" s="24" t="str">
        <f t="shared" si="124"/>
        <v>ELSFIE3721MT</v>
      </c>
      <c r="H615" s="24">
        <f t="shared" si="125"/>
        <v>1</v>
      </c>
      <c r="I615" s="24" t="str">
        <f t="shared" si="126"/>
        <v/>
      </c>
      <c r="J615" s="24">
        <f t="shared" si="127"/>
        <v>0</v>
      </c>
      <c r="K615" s="24" t="str">
        <f t="shared" si="128"/>
        <v>E3</v>
      </c>
      <c r="L615" s="24" t="str">
        <f>VLOOKUP(N615,CODE!K:P,CODE!$P$1,FALSE)</f>
        <v>모자</v>
      </c>
      <c r="M615" s="24" t="str">
        <f>VLOOKUP(MID(Q615,1,3),CODE!$B:$G,CODE!D$1,FALSE)</f>
        <v>ELS</v>
      </c>
      <c r="N615" s="24" t="str">
        <f t="shared" si="129"/>
        <v>FI</v>
      </c>
      <c r="O615" s="29" t="str">
        <f>IF(ISERROR(IF(VLOOKUP($N615,CODE!$K:$P,CODE!$O$1,FALSE)="",$M615,$M615&amp;"-"&amp;VLOOKUP($N615,CODE!$K:$P,CODE!$O$1,FALSE)))=TRUE,"",IF(VLOOKUP($N615,CODE!$K:$P,CODE!$O$1,FALSE)="",$M615,$M615&amp;"-"&amp;VLOOKUP($N615,CODE!$K:$P,CODE!$O$1,FALSE)))</f>
        <v>ELS</v>
      </c>
      <c r="P615" s="29" t="str">
        <f t="shared" si="130"/>
        <v>ELSFIE3721</v>
      </c>
      <c r="Q615" s="1" t="s">
        <v>1401</v>
      </c>
      <c r="R615" s="1" t="s">
        <v>14</v>
      </c>
      <c r="S615" s="26">
        <v>1000</v>
      </c>
      <c r="T615" s="26">
        <v>55000000</v>
      </c>
      <c r="U615" s="26">
        <v>12500000</v>
      </c>
      <c r="V615" s="26">
        <v>3.9999999999999996</v>
      </c>
      <c r="W615" s="26">
        <v>0</v>
      </c>
      <c r="X615" s="26">
        <v>1000</v>
      </c>
    </row>
    <row r="616" spans="1:24">
      <c r="A616" s="24" t="str">
        <f t="shared" si="119"/>
        <v>러닝</v>
      </c>
      <c r="B616" s="24" t="str">
        <f>IF(COUNTIF(Q$1:Q615,Q616)=0,"최초","리오더")</f>
        <v>최초</v>
      </c>
      <c r="C616" s="24" t="str">
        <f t="shared" si="120"/>
        <v>ELSFIE3221</v>
      </c>
      <c r="D616" s="24">
        <f t="shared" si="121"/>
        <v>0.5</v>
      </c>
      <c r="E616" s="24" t="str">
        <f t="shared" si="122"/>
        <v/>
      </c>
      <c r="F616" s="24">
        <f t="shared" si="123"/>
        <v>0</v>
      </c>
      <c r="G616" s="24" t="str">
        <f t="shared" si="124"/>
        <v>ELSFIE3221OR</v>
      </c>
      <c r="H616" s="24">
        <f t="shared" si="125"/>
        <v>1</v>
      </c>
      <c r="I616" s="24" t="str">
        <f t="shared" si="126"/>
        <v/>
      </c>
      <c r="J616" s="24">
        <f t="shared" si="127"/>
        <v>0</v>
      </c>
      <c r="K616" s="24" t="str">
        <f t="shared" si="128"/>
        <v>E3</v>
      </c>
      <c r="L616" s="24" t="str">
        <f>VLOOKUP(N616,CODE!K:P,CODE!$P$1,FALSE)</f>
        <v>모자</v>
      </c>
      <c r="M616" s="24" t="str">
        <f>VLOOKUP(MID(Q616,1,3),CODE!$B:$G,CODE!D$1,FALSE)</f>
        <v>ELS</v>
      </c>
      <c r="N616" s="24" t="str">
        <f t="shared" si="129"/>
        <v>FI</v>
      </c>
      <c r="O616" s="29" t="str">
        <f>IF(ISERROR(IF(VLOOKUP($N616,CODE!$K:$P,CODE!$O$1,FALSE)="",$M616,$M616&amp;"-"&amp;VLOOKUP($N616,CODE!$K:$P,CODE!$O$1,FALSE)))=TRUE,"",IF(VLOOKUP($N616,CODE!$K:$P,CODE!$O$1,FALSE)="",$M616,$M616&amp;"-"&amp;VLOOKUP($N616,CODE!$K:$P,CODE!$O$1,FALSE)))</f>
        <v>ELS</v>
      </c>
      <c r="P616" s="29" t="str">
        <f t="shared" si="130"/>
        <v>ELSFIE3221</v>
      </c>
      <c r="Q616" s="1" t="s">
        <v>1402</v>
      </c>
      <c r="R616" s="1" t="s">
        <v>14</v>
      </c>
      <c r="S616" s="26">
        <v>1000</v>
      </c>
      <c r="T616" s="26">
        <v>59000000</v>
      </c>
      <c r="U616" s="26">
        <v>12500000</v>
      </c>
      <c r="V616" s="26">
        <v>4.2909090909090901</v>
      </c>
      <c r="W616" s="26">
        <v>0</v>
      </c>
      <c r="X616" s="26">
        <v>1000</v>
      </c>
    </row>
    <row r="617" spans="1:24">
      <c r="A617" s="24" t="str">
        <f t="shared" si="119"/>
        <v>러닝</v>
      </c>
      <c r="B617" s="24" t="str">
        <f>IF(COUNTIF(Q$1:Q616,Q617)=0,"최초","리오더")</f>
        <v>최초</v>
      </c>
      <c r="C617" s="24" t="str">
        <f t="shared" si="120"/>
        <v>ELSFIE3726</v>
      </c>
      <c r="D617" s="24">
        <f t="shared" si="121"/>
        <v>1</v>
      </c>
      <c r="E617" s="24" t="str">
        <f t="shared" si="122"/>
        <v/>
      </c>
      <c r="F617" s="24">
        <f t="shared" si="123"/>
        <v>0</v>
      </c>
      <c r="G617" s="24" t="str">
        <f t="shared" si="124"/>
        <v>ELSFIE3726BL</v>
      </c>
      <c r="H617" s="24">
        <f t="shared" si="125"/>
        <v>1</v>
      </c>
      <c r="I617" s="24" t="str">
        <f t="shared" si="126"/>
        <v/>
      </c>
      <c r="J617" s="24">
        <f t="shared" si="127"/>
        <v>0</v>
      </c>
      <c r="K617" s="24" t="str">
        <f t="shared" si="128"/>
        <v>E3</v>
      </c>
      <c r="L617" s="24" t="str">
        <f>VLOOKUP(N617,CODE!K:P,CODE!$P$1,FALSE)</f>
        <v>모자</v>
      </c>
      <c r="M617" s="24" t="str">
        <f>VLOOKUP(MID(Q617,1,3),CODE!$B:$G,CODE!D$1,FALSE)</f>
        <v>ELS</v>
      </c>
      <c r="N617" s="24" t="str">
        <f t="shared" si="129"/>
        <v>FI</v>
      </c>
      <c r="O617" s="29" t="str">
        <f>IF(ISERROR(IF(VLOOKUP($N617,CODE!$K:$P,CODE!$O$1,FALSE)="",$M617,$M617&amp;"-"&amp;VLOOKUP($N617,CODE!$K:$P,CODE!$O$1,FALSE)))=TRUE,"",IF(VLOOKUP($N617,CODE!$K:$P,CODE!$O$1,FALSE)="",$M617,$M617&amp;"-"&amp;VLOOKUP($N617,CODE!$K:$P,CODE!$O$1,FALSE)))</f>
        <v>ELS</v>
      </c>
      <c r="P617" s="29" t="str">
        <f t="shared" si="130"/>
        <v>ELSFIE3726</v>
      </c>
      <c r="Q617" s="1" t="s">
        <v>1403</v>
      </c>
      <c r="R617" s="1" t="s">
        <v>14</v>
      </c>
      <c r="S617" s="26">
        <v>1000</v>
      </c>
      <c r="T617" s="26">
        <v>55000000</v>
      </c>
      <c r="U617" s="26">
        <v>13000000</v>
      </c>
      <c r="V617" s="26">
        <v>3.8461538461538458</v>
      </c>
      <c r="W617" s="26">
        <v>0</v>
      </c>
      <c r="X617" s="26">
        <v>1000</v>
      </c>
    </row>
    <row r="618" spans="1:24">
      <c r="A618" s="24" t="str">
        <f t="shared" si="119"/>
        <v>러닝</v>
      </c>
      <c r="B618" s="24" t="str">
        <f>IF(COUNTIF(Q$1:Q617,Q618)=0,"최초","리오더")</f>
        <v>최초</v>
      </c>
      <c r="C618" s="24" t="str">
        <f t="shared" si="120"/>
        <v>SMBBAE3223</v>
      </c>
      <c r="D618" s="24">
        <f t="shared" si="121"/>
        <v>1</v>
      </c>
      <c r="E618" s="24" t="str">
        <f t="shared" si="122"/>
        <v/>
      </c>
      <c r="F618" s="24">
        <f t="shared" si="123"/>
        <v>0</v>
      </c>
      <c r="G618" s="24" t="str">
        <f t="shared" si="124"/>
        <v>SMBBAE3223GY</v>
      </c>
      <c r="H618" s="24">
        <f t="shared" si="125"/>
        <v>1</v>
      </c>
      <c r="I618" s="24" t="str">
        <f t="shared" si="126"/>
        <v/>
      </c>
      <c r="J618" s="24">
        <f t="shared" si="127"/>
        <v>0</v>
      </c>
      <c r="K618" s="24" t="str">
        <f t="shared" si="128"/>
        <v>E3</v>
      </c>
      <c r="L618" s="24" t="str">
        <f>VLOOKUP(N618,CODE!K:P,CODE!$P$1,FALSE)</f>
        <v>모자</v>
      </c>
      <c r="M618" s="24" t="str">
        <f>VLOOKUP(MID(Q618,1,3),CODE!$B:$G,CODE!D$1,FALSE)</f>
        <v>SMB</v>
      </c>
      <c r="N618" s="24" t="str">
        <f t="shared" si="129"/>
        <v>BA</v>
      </c>
      <c r="O618" s="29" t="str">
        <f>IF(ISERROR(IF(VLOOKUP($N618,CODE!$K:$P,CODE!$O$1,FALSE)="",$M618,$M618&amp;"-"&amp;VLOOKUP($N618,CODE!$K:$P,CODE!$O$1,FALSE)))=TRUE,"",IF(VLOOKUP($N618,CODE!$K:$P,CODE!$O$1,FALSE)="",$M618,$M618&amp;"-"&amp;VLOOKUP($N618,CODE!$K:$P,CODE!$O$1,FALSE)))</f>
        <v>SMB</v>
      </c>
      <c r="P618" s="29" t="str">
        <f t="shared" si="130"/>
        <v>SMBBAE3223</v>
      </c>
      <c r="Q618" s="1" t="s">
        <v>1404</v>
      </c>
      <c r="R618" s="1" t="s">
        <v>14</v>
      </c>
      <c r="S618" s="26">
        <v>1000</v>
      </c>
      <c r="T618" s="26">
        <v>45000000</v>
      </c>
      <c r="U618" s="26">
        <v>6314750</v>
      </c>
      <c r="V618" s="26">
        <v>6.4783389538922211</v>
      </c>
      <c r="W618" s="26">
        <v>0</v>
      </c>
      <c r="X618" s="26">
        <v>1000</v>
      </c>
    </row>
    <row r="619" spans="1:24">
      <c r="A619" s="24" t="str">
        <f t="shared" si="119"/>
        <v>러닝</v>
      </c>
      <c r="B619" s="24" t="str">
        <f>IF(COUNTIF(Q$1:Q618,Q619)=0,"최초","리오더")</f>
        <v>최초</v>
      </c>
      <c r="C619" s="24" t="str">
        <f t="shared" si="120"/>
        <v>SMBBAE3226</v>
      </c>
      <c r="D619" s="24">
        <f t="shared" si="121"/>
        <v>1</v>
      </c>
      <c r="E619" s="24" t="str">
        <f t="shared" si="122"/>
        <v/>
      </c>
      <c r="F619" s="24">
        <f t="shared" si="123"/>
        <v>0</v>
      </c>
      <c r="G619" s="24" t="str">
        <f t="shared" si="124"/>
        <v>SMBBAE3226PK</v>
      </c>
      <c r="H619" s="24">
        <f t="shared" si="125"/>
        <v>1</v>
      </c>
      <c r="I619" s="24" t="str">
        <f t="shared" si="126"/>
        <v/>
      </c>
      <c r="J619" s="24">
        <f t="shared" si="127"/>
        <v>0</v>
      </c>
      <c r="K619" s="24" t="str">
        <f t="shared" si="128"/>
        <v>E3</v>
      </c>
      <c r="L619" s="24" t="str">
        <f>VLOOKUP(N619,CODE!K:P,CODE!$P$1,FALSE)</f>
        <v>모자</v>
      </c>
      <c r="M619" s="24" t="str">
        <f>VLOOKUP(MID(Q619,1,3),CODE!$B:$G,CODE!D$1,FALSE)</f>
        <v>SMB</v>
      </c>
      <c r="N619" s="24" t="str">
        <f t="shared" si="129"/>
        <v>BA</v>
      </c>
      <c r="O619" s="29" t="str">
        <f>IF(ISERROR(IF(VLOOKUP($N619,CODE!$K:$P,CODE!$O$1,FALSE)="",$M619,$M619&amp;"-"&amp;VLOOKUP($N619,CODE!$K:$P,CODE!$O$1,FALSE)))=TRUE,"",IF(VLOOKUP($N619,CODE!$K:$P,CODE!$O$1,FALSE)="",$M619,$M619&amp;"-"&amp;VLOOKUP($N619,CODE!$K:$P,CODE!$O$1,FALSE)))</f>
        <v>SMB</v>
      </c>
      <c r="P619" s="29" t="str">
        <f t="shared" si="130"/>
        <v>SMBBAE3226</v>
      </c>
      <c r="Q619" s="1" t="s">
        <v>1405</v>
      </c>
      <c r="R619" s="1" t="s">
        <v>14</v>
      </c>
      <c r="S619" s="26">
        <v>700</v>
      </c>
      <c r="T619" s="26">
        <v>34300000</v>
      </c>
      <c r="U619" s="26">
        <v>4904199.9999999991</v>
      </c>
      <c r="V619" s="26">
        <v>6.3581864895025051</v>
      </c>
      <c r="W619" s="26">
        <v>0</v>
      </c>
      <c r="X619" s="26">
        <v>700</v>
      </c>
    </row>
    <row r="620" spans="1:24">
      <c r="A620" s="24" t="str">
        <f t="shared" si="119"/>
        <v>러닝</v>
      </c>
      <c r="B620" s="24" t="str">
        <f>IF(COUNTIF(Q$1:Q619,Q620)=0,"최초","리오더")</f>
        <v>최초</v>
      </c>
      <c r="C620" s="24" t="str">
        <f t="shared" si="120"/>
        <v>SMBBAE3235</v>
      </c>
      <c r="D620" s="24">
        <f t="shared" si="121"/>
        <v>1</v>
      </c>
      <c r="E620" s="24" t="str">
        <f t="shared" si="122"/>
        <v/>
      </c>
      <c r="F620" s="24">
        <f t="shared" si="123"/>
        <v>0</v>
      </c>
      <c r="G620" s="24" t="str">
        <f t="shared" si="124"/>
        <v>SMBBAE3235BK</v>
      </c>
      <c r="H620" s="24">
        <f t="shared" si="125"/>
        <v>1</v>
      </c>
      <c r="I620" s="24" t="str">
        <f t="shared" si="126"/>
        <v/>
      </c>
      <c r="J620" s="24">
        <f t="shared" si="127"/>
        <v>0</v>
      </c>
      <c r="K620" s="24" t="str">
        <f t="shared" si="128"/>
        <v>E3</v>
      </c>
      <c r="L620" s="24" t="str">
        <f>VLOOKUP(N620,CODE!K:P,CODE!$P$1,FALSE)</f>
        <v>모자</v>
      </c>
      <c r="M620" s="24" t="str">
        <f>VLOOKUP(MID(Q620,1,3),CODE!$B:$G,CODE!D$1,FALSE)</f>
        <v>SMB</v>
      </c>
      <c r="N620" s="24" t="str">
        <f t="shared" si="129"/>
        <v>BA</v>
      </c>
      <c r="O620" s="29" t="str">
        <f>IF(ISERROR(IF(VLOOKUP($N620,CODE!$K:$P,CODE!$O$1,FALSE)="",$M620,$M620&amp;"-"&amp;VLOOKUP($N620,CODE!$K:$P,CODE!$O$1,FALSE)))=TRUE,"",IF(VLOOKUP($N620,CODE!$K:$P,CODE!$O$1,FALSE)="",$M620,$M620&amp;"-"&amp;VLOOKUP($N620,CODE!$K:$P,CODE!$O$1,FALSE)))</f>
        <v>SMB</v>
      </c>
      <c r="P620" s="29" t="str">
        <f t="shared" si="130"/>
        <v>SMBBAE3235</v>
      </c>
      <c r="Q620" s="1" t="s">
        <v>1406</v>
      </c>
      <c r="R620" s="1" t="s">
        <v>14</v>
      </c>
      <c r="S620" s="26">
        <v>500</v>
      </c>
      <c r="T620" s="26">
        <v>24500000</v>
      </c>
      <c r="U620" s="26">
        <v>3300875</v>
      </c>
      <c r="V620" s="26">
        <v>6.7475221790365492</v>
      </c>
      <c r="W620" s="26">
        <v>0</v>
      </c>
      <c r="X620" s="26">
        <v>500</v>
      </c>
    </row>
    <row r="621" spans="1:24">
      <c r="A621" s="24" t="str">
        <f t="shared" si="119"/>
        <v>러닝</v>
      </c>
      <c r="B621" s="24" t="str">
        <f>IF(COUNTIF(Q$1:Q620,Q621)=0,"최초","리오더")</f>
        <v>최초</v>
      </c>
      <c r="C621" s="24" t="str">
        <f t="shared" si="120"/>
        <v>SMBFIE3203</v>
      </c>
      <c r="D621" s="24">
        <f t="shared" si="121"/>
        <v>1</v>
      </c>
      <c r="E621" s="24" t="str">
        <f t="shared" si="122"/>
        <v/>
      </c>
      <c r="F621" s="24">
        <f t="shared" si="123"/>
        <v>0</v>
      </c>
      <c r="G621" s="24" t="str">
        <f t="shared" si="124"/>
        <v>SMBFIE3203BL</v>
      </c>
      <c r="H621" s="24">
        <f t="shared" si="125"/>
        <v>1</v>
      </c>
      <c r="I621" s="24" t="str">
        <f t="shared" si="126"/>
        <v/>
      </c>
      <c r="J621" s="24">
        <f t="shared" si="127"/>
        <v>0</v>
      </c>
      <c r="K621" s="24" t="str">
        <f t="shared" si="128"/>
        <v>E3</v>
      </c>
      <c r="L621" s="24" t="str">
        <f>VLOOKUP(N621,CODE!K:P,CODE!$P$1,FALSE)</f>
        <v>모자</v>
      </c>
      <c r="M621" s="24" t="str">
        <f>VLOOKUP(MID(Q621,1,3),CODE!$B:$G,CODE!D$1,FALSE)</f>
        <v>SMB</v>
      </c>
      <c r="N621" s="24" t="str">
        <f t="shared" si="129"/>
        <v>FI</v>
      </c>
      <c r="O621" s="29" t="str">
        <f>IF(ISERROR(IF(VLOOKUP($N621,CODE!$K:$P,CODE!$O$1,FALSE)="",$M621,$M621&amp;"-"&amp;VLOOKUP($N621,CODE!$K:$P,CODE!$O$1,FALSE)))=TRUE,"",IF(VLOOKUP($N621,CODE!$K:$P,CODE!$O$1,FALSE)="",$M621,$M621&amp;"-"&amp;VLOOKUP($N621,CODE!$K:$P,CODE!$O$1,FALSE)))</f>
        <v>SMB</v>
      </c>
      <c r="P621" s="29" t="str">
        <f t="shared" si="130"/>
        <v>SMBFIE3203</v>
      </c>
      <c r="Q621" s="1" t="s">
        <v>1407</v>
      </c>
      <c r="R621" s="1" t="s">
        <v>14</v>
      </c>
      <c r="S621" s="26">
        <v>1500</v>
      </c>
      <c r="T621" s="26">
        <v>73500000</v>
      </c>
      <c r="U621" s="26">
        <v>8692500</v>
      </c>
      <c r="V621" s="26">
        <v>7.6868774021491886</v>
      </c>
      <c r="W621" s="26">
        <v>0</v>
      </c>
      <c r="X621" s="26">
        <v>1500</v>
      </c>
    </row>
    <row r="622" spans="1:24">
      <c r="A622" s="24" t="str">
        <f t="shared" si="119"/>
        <v>러닝</v>
      </c>
      <c r="B622" s="24" t="str">
        <f>IF(COUNTIF(Q$1:Q621,Q622)=0,"최초","리오더")</f>
        <v>최초</v>
      </c>
      <c r="C622" s="24" t="str">
        <f t="shared" si="120"/>
        <v>SMBFIE3703</v>
      </c>
      <c r="D622" s="24">
        <f t="shared" si="121"/>
        <v>1</v>
      </c>
      <c r="E622" s="24" t="str">
        <f t="shared" si="122"/>
        <v/>
      </c>
      <c r="F622" s="24">
        <f t="shared" si="123"/>
        <v>0</v>
      </c>
      <c r="G622" s="24" t="str">
        <f t="shared" si="124"/>
        <v>SMBFIE3703BL</v>
      </c>
      <c r="H622" s="24">
        <f t="shared" si="125"/>
        <v>1</v>
      </c>
      <c r="I622" s="24" t="str">
        <f t="shared" si="126"/>
        <v/>
      </c>
      <c r="J622" s="24">
        <f t="shared" si="127"/>
        <v>0</v>
      </c>
      <c r="K622" s="24" t="str">
        <f t="shared" si="128"/>
        <v>E3</v>
      </c>
      <c r="L622" s="24" t="str">
        <f>VLOOKUP(N622,CODE!K:P,CODE!$P$1,FALSE)</f>
        <v>모자</v>
      </c>
      <c r="M622" s="24" t="str">
        <f>VLOOKUP(MID(Q622,1,3),CODE!$B:$G,CODE!D$1,FALSE)</f>
        <v>SMB</v>
      </c>
      <c r="N622" s="24" t="str">
        <f t="shared" si="129"/>
        <v>FI</v>
      </c>
      <c r="O622" s="29" t="str">
        <f>IF(ISERROR(IF(VLOOKUP($N622,CODE!$K:$P,CODE!$O$1,FALSE)="",$M622,$M622&amp;"-"&amp;VLOOKUP($N622,CODE!$K:$P,CODE!$O$1,FALSE)))=TRUE,"",IF(VLOOKUP($N622,CODE!$K:$P,CODE!$O$1,FALSE)="",$M622,$M622&amp;"-"&amp;VLOOKUP($N622,CODE!$K:$P,CODE!$O$1,FALSE)))</f>
        <v>SMB</v>
      </c>
      <c r="P622" s="29" t="str">
        <f t="shared" si="130"/>
        <v>SMBFIE3703</v>
      </c>
      <c r="Q622" s="1" t="s">
        <v>1408</v>
      </c>
      <c r="R622" s="1" t="s">
        <v>14</v>
      </c>
      <c r="S622" s="26">
        <v>1500</v>
      </c>
      <c r="T622" s="26">
        <v>64500000</v>
      </c>
      <c r="U622" s="26">
        <v>9902625</v>
      </c>
      <c r="V622" s="26">
        <v>5.9212949734402383</v>
      </c>
      <c r="W622" s="26">
        <v>0</v>
      </c>
      <c r="X622" s="26">
        <v>1500</v>
      </c>
    </row>
    <row r="623" spans="1:24">
      <c r="A623" s="24" t="str">
        <f t="shared" si="119"/>
        <v>러닝</v>
      </c>
      <c r="B623" s="24" t="str">
        <f>IF(COUNTIF(Q$1:Q622,Q623)=0,"최초","리오더")</f>
        <v>최초</v>
      </c>
      <c r="C623" s="24" t="str">
        <f t="shared" si="120"/>
        <v>SMBFIE3213</v>
      </c>
      <c r="D623" s="24">
        <f t="shared" si="121"/>
        <v>1</v>
      </c>
      <c r="E623" s="24" t="str">
        <f t="shared" si="122"/>
        <v/>
      </c>
      <c r="F623" s="24">
        <f t="shared" si="123"/>
        <v>0</v>
      </c>
      <c r="G623" s="24" t="str">
        <f t="shared" si="124"/>
        <v>SMBFIE3213BK</v>
      </c>
      <c r="H623" s="24">
        <f t="shared" si="125"/>
        <v>1</v>
      </c>
      <c r="I623" s="24" t="str">
        <f t="shared" si="126"/>
        <v/>
      </c>
      <c r="J623" s="24">
        <f t="shared" si="127"/>
        <v>0</v>
      </c>
      <c r="K623" s="24" t="str">
        <f t="shared" si="128"/>
        <v>E3</v>
      </c>
      <c r="L623" s="24" t="str">
        <f>VLOOKUP(N623,CODE!K:P,CODE!$P$1,FALSE)</f>
        <v>모자</v>
      </c>
      <c r="M623" s="24" t="str">
        <f>VLOOKUP(MID(Q623,1,3),CODE!$B:$G,CODE!D$1,FALSE)</f>
        <v>SMB</v>
      </c>
      <c r="N623" s="24" t="str">
        <f t="shared" si="129"/>
        <v>FI</v>
      </c>
      <c r="O623" s="29" t="str">
        <f>IF(ISERROR(IF(VLOOKUP($N623,CODE!$K:$P,CODE!$O$1,FALSE)="",$M623,$M623&amp;"-"&amp;VLOOKUP($N623,CODE!$K:$P,CODE!$O$1,FALSE)))=TRUE,"",IF(VLOOKUP($N623,CODE!$K:$P,CODE!$O$1,FALSE)="",$M623,$M623&amp;"-"&amp;VLOOKUP($N623,CODE!$K:$P,CODE!$O$1,FALSE)))</f>
        <v>SMB</v>
      </c>
      <c r="P623" s="29" t="str">
        <f t="shared" si="130"/>
        <v>SMBFIE3213</v>
      </c>
      <c r="Q623" s="1" t="s">
        <v>1409</v>
      </c>
      <c r="R623" s="1" t="s">
        <v>14</v>
      </c>
      <c r="S623" s="26">
        <v>1500</v>
      </c>
      <c r="T623" s="26">
        <v>67500000</v>
      </c>
      <c r="U623" s="26">
        <v>6960000</v>
      </c>
      <c r="V623" s="26">
        <v>8.8166144200626952</v>
      </c>
      <c r="W623" s="26">
        <v>0</v>
      </c>
      <c r="X623" s="26">
        <v>1500</v>
      </c>
    </row>
    <row r="624" spans="1:24">
      <c r="A624" s="24" t="str">
        <f t="shared" si="119"/>
        <v>러닝</v>
      </c>
      <c r="B624" s="24" t="str">
        <f>IF(COUNTIF(Q$1:Q623,Q624)=0,"최초","리오더")</f>
        <v>최초</v>
      </c>
      <c r="C624" s="24" t="str">
        <f t="shared" si="120"/>
        <v>SMBFIE3218</v>
      </c>
      <c r="D624" s="24">
        <f t="shared" si="121"/>
        <v>1</v>
      </c>
      <c r="E624" s="24" t="str">
        <f t="shared" si="122"/>
        <v/>
      </c>
      <c r="F624" s="24">
        <f t="shared" si="123"/>
        <v>0</v>
      </c>
      <c r="G624" s="24" t="str">
        <f t="shared" si="124"/>
        <v>SMBFIE3218NY</v>
      </c>
      <c r="H624" s="24">
        <f t="shared" si="125"/>
        <v>1</v>
      </c>
      <c r="I624" s="24" t="str">
        <f t="shared" si="126"/>
        <v/>
      </c>
      <c r="J624" s="24">
        <f t="shared" si="127"/>
        <v>0</v>
      </c>
      <c r="K624" s="24" t="str">
        <f t="shared" si="128"/>
        <v>E3</v>
      </c>
      <c r="L624" s="24" t="str">
        <f>VLOOKUP(N624,CODE!K:P,CODE!$P$1,FALSE)</f>
        <v>모자</v>
      </c>
      <c r="M624" s="24" t="str">
        <f>VLOOKUP(MID(Q624,1,3),CODE!$B:$G,CODE!D$1,FALSE)</f>
        <v>SMB</v>
      </c>
      <c r="N624" s="24" t="str">
        <f t="shared" si="129"/>
        <v>FI</v>
      </c>
      <c r="O624" s="29" t="str">
        <f>IF(ISERROR(IF(VLOOKUP($N624,CODE!$K:$P,CODE!$O$1,FALSE)="",$M624,$M624&amp;"-"&amp;VLOOKUP($N624,CODE!$K:$P,CODE!$O$1,FALSE)))=TRUE,"",IF(VLOOKUP($N624,CODE!$K:$P,CODE!$O$1,FALSE)="",$M624,$M624&amp;"-"&amp;VLOOKUP($N624,CODE!$K:$P,CODE!$O$1,FALSE)))</f>
        <v>SMB</v>
      </c>
      <c r="P624" s="29" t="str">
        <f t="shared" si="130"/>
        <v>SMBFIE3218</v>
      </c>
      <c r="Q624" s="1" t="s">
        <v>1410</v>
      </c>
      <c r="R624" s="1" t="s">
        <v>14</v>
      </c>
      <c r="S624" s="26">
        <v>1500</v>
      </c>
      <c r="T624" s="26">
        <v>73500000</v>
      </c>
      <c r="U624" s="26">
        <v>9296250.0000000019</v>
      </c>
      <c r="V624" s="26">
        <v>7.1876489786937521</v>
      </c>
      <c r="W624" s="26">
        <v>0</v>
      </c>
      <c r="X624" s="26">
        <v>1500</v>
      </c>
    </row>
    <row r="625" spans="1:24">
      <c r="A625" s="24" t="str">
        <f t="shared" si="119"/>
        <v>러닝</v>
      </c>
      <c r="B625" s="24" t="str">
        <f>IF(COUNTIF(Q$1:Q624,Q625)=0,"최초","리오더")</f>
        <v>최초</v>
      </c>
      <c r="C625" s="24" t="str">
        <f t="shared" si="120"/>
        <v>SMBFLE3744</v>
      </c>
      <c r="D625" s="24">
        <f t="shared" si="121"/>
        <v>0.5</v>
      </c>
      <c r="E625" s="24" t="str">
        <f t="shared" si="122"/>
        <v/>
      </c>
      <c r="F625" s="24">
        <f t="shared" si="123"/>
        <v>0</v>
      </c>
      <c r="G625" s="24" t="str">
        <f t="shared" si="124"/>
        <v>SMBFLE3744RE</v>
      </c>
      <c r="H625" s="24">
        <f t="shared" si="125"/>
        <v>1</v>
      </c>
      <c r="I625" s="24" t="str">
        <f t="shared" si="126"/>
        <v/>
      </c>
      <c r="J625" s="24">
        <f t="shared" si="127"/>
        <v>0</v>
      </c>
      <c r="K625" s="24" t="str">
        <f t="shared" si="128"/>
        <v>E3</v>
      </c>
      <c r="L625" s="24" t="str">
        <f>VLOOKUP(N625,CODE!K:P,CODE!$P$1,FALSE)</f>
        <v>모자</v>
      </c>
      <c r="M625" s="24" t="str">
        <f>VLOOKUP(MID(Q625,1,3),CODE!$B:$G,CODE!D$1,FALSE)</f>
        <v>SMB</v>
      </c>
      <c r="N625" s="24" t="str">
        <f t="shared" si="129"/>
        <v>FL</v>
      </c>
      <c r="O625" s="29" t="str">
        <f>IF(ISERROR(IF(VLOOKUP($N625,CODE!$K:$P,CODE!$O$1,FALSE)="",$M625,$M625&amp;"-"&amp;VLOOKUP($N625,CODE!$K:$P,CODE!$O$1,FALSE)))=TRUE,"",IF(VLOOKUP($N625,CODE!$K:$P,CODE!$O$1,FALSE)="",$M625,$M625&amp;"-"&amp;VLOOKUP($N625,CODE!$K:$P,CODE!$O$1,FALSE)))</f>
        <v>SMB</v>
      </c>
      <c r="P625" s="29" t="str">
        <f t="shared" si="130"/>
        <v>SMBFLE3744</v>
      </c>
      <c r="Q625" s="1" t="s">
        <v>1411</v>
      </c>
      <c r="R625" s="1" t="s">
        <v>14</v>
      </c>
      <c r="S625" s="26">
        <v>500</v>
      </c>
      <c r="T625" s="26">
        <v>21500000</v>
      </c>
      <c r="U625" s="26">
        <v>3271999.9999999995</v>
      </c>
      <c r="V625" s="26">
        <v>5.9735496777061572</v>
      </c>
      <c r="W625" s="26">
        <v>0</v>
      </c>
      <c r="X625" s="26">
        <v>500</v>
      </c>
    </row>
    <row r="626" spans="1:24">
      <c r="A626" s="24" t="str">
        <f t="shared" si="119"/>
        <v>러닝</v>
      </c>
      <c r="B626" s="24" t="str">
        <f>IF(COUNTIF(Q$1:Q625,Q626)=0,"최초","리오더")</f>
        <v>최초</v>
      </c>
      <c r="C626" s="24" t="str">
        <f t="shared" si="120"/>
        <v>BMDBAE3202</v>
      </c>
      <c r="D626" s="24">
        <f t="shared" si="121"/>
        <v>0.25</v>
      </c>
      <c r="E626" s="24" t="str">
        <f t="shared" si="122"/>
        <v/>
      </c>
      <c r="F626" s="24">
        <f t="shared" si="123"/>
        <v>0</v>
      </c>
      <c r="G626" s="24" t="str">
        <f t="shared" si="124"/>
        <v>BMDBAE3202RE</v>
      </c>
      <c r="H626" s="24">
        <f t="shared" si="125"/>
        <v>1</v>
      </c>
      <c r="I626" s="24" t="str">
        <f t="shared" si="126"/>
        <v/>
      </c>
      <c r="J626" s="24">
        <f t="shared" si="127"/>
        <v>0</v>
      </c>
      <c r="K626" s="24" t="str">
        <f t="shared" si="128"/>
        <v>E3</v>
      </c>
      <c r="L626" s="24" t="str">
        <f>VLOOKUP(N626,CODE!K:P,CODE!$P$1,FALSE)</f>
        <v>모자</v>
      </c>
      <c r="M626" s="24" t="str">
        <f>VLOOKUP(MID(Q626,1,3),CODE!$B:$G,CODE!D$1,FALSE)</f>
        <v>BMD</v>
      </c>
      <c r="N626" s="24" t="str">
        <f t="shared" si="129"/>
        <v>BA</v>
      </c>
      <c r="O626" s="29" t="str">
        <f>IF(ISERROR(IF(VLOOKUP($N626,CODE!$K:$P,CODE!$O$1,FALSE)="",$M626,$M626&amp;"-"&amp;VLOOKUP($N626,CODE!$K:$P,CODE!$O$1,FALSE)))=TRUE,"",IF(VLOOKUP($N626,CODE!$K:$P,CODE!$O$1,FALSE)="",$M626,$M626&amp;"-"&amp;VLOOKUP($N626,CODE!$K:$P,CODE!$O$1,FALSE)))</f>
        <v>BMD</v>
      </c>
      <c r="P626" s="29" t="str">
        <f t="shared" si="130"/>
        <v>BMDBAE3202</v>
      </c>
      <c r="Q626" s="1" t="s">
        <v>1412</v>
      </c>
      <c r="R626" s="1" t="s">
        <v>14</v>
      </c>
      <c r="S626" s="26">
        <v>1000</v>
      </c>
      <c r="T626" s="26">
        <v>55000000</v>
      </c>
      <c r="U626" s="26">
        <v>9020000</v>
      </c>
      <c r="V626" s="26">
        <v>5.5432372505543235</v>
      </c>
      <c r="W626" s="26">
        <v>0</v>
      </c>
      <c r="X626" s="26">
        <v>1000</v>
      </c>
    </row>
    <row r="627" spans="1:24">
      <c r="A627" s="24" t="str">
        <f t="shared" si="119"/>
        <v>러닝</v>
      </c>
      <c r="B627" s="24" t="str">
        <f>IF(COUNTIF(Q$1:Q626,Q627)=0,"최초","리오더")</f>
        <v>최초</v>
      </c>
      <c r="C627" s="24" t="str">
        <f t="shared" si="120"/>
        <v>BMDMIE3201</v>
      </c>
      <c r="D627" s="24">
        <f t="shared" si="121"/>
        <v>0.5</v>
      </c>
      <c r="E627" s="24" t="str">
        <f t="shared" si="122"/>
        <v/>
      </c>
      <c r="F627" s="24">
        <f t="shared" si="123"/>
        <v>0</v>
      </c>
      <c r="G627" s="24" t="str">
        <f t="shared" si="124"/>
        <v>BMDMIE3201BL</v>
      </c>
      <c r="H627" s="24">
        <f t="shared" si="125"/>
        <v>1</v>
      </c>
      <c r="I627" s="24" t="str">
        <f t="shared" si="126"/>
        <v/>
      </c>
      <c r="J627" s="24">
        <f t="shared" si="127"/>
        <v>0</v>
      </c>
      <c r="K627" s="24" t="str">
        <f t="shared" si="128"/>
        <v>E3</v>
      </c>
      <c r="L627" s="24" t="str">
        <f>VLOOKUP(N627,CODE!K:P,CODE!$P$1,FALSE)</f>
        <v>모자</v>
      </c>
      <c r="M627" s="24" t="str">
        <f>VLOOKUP(MID(Q627,1,3),CODE!$B:$G,CODE!D$1,FALSE)</f>
        <v>BMD</v>
      </c>
      <c r="N627" s="24" t="str">
        <f t="shared" si="129"/>
        <v>MI</v>
      </c>
      <c r="O627" s="29" t="str">
        <f>IF(ISERROR(IF(VLOOKUP($N627,CODE!$K:$P,CODE!$O$1,FALSE)="",$M627,$M627&amp;"-"&amp;VLOOKUP($N627,CODE!$K:$P,CODE!$O$1,FALSE)))=TRUE,"",IF(VLOOKUP($N627,CODE!$K:$P,CODE!$O$1,FALSE)="",$M627,$M627&amp;"-"&amp;VLOOKUP($N627,CODE!$K:$P,CODE!$O$1,FALSE)))</f>
        <v>BMD</v>
      </c>
      <c r="P627" s="29" t="str">
        <f t="shared" si="130"/>
        <v>BMDMIE3201</v>
      </c>
      <c r="Q627" s="1" t="s">
        <v>1413</v>
      </c>
      <c r="R627" s="1" t="s">
        <v>14</v>
      </c>
      <c r="S627" s="26">
        <v>500</v>
      </c>
      <c r="T627" s="26">
        <v>24500000</v>
      </c>
      <c r="U627" s="26">
        <v>4910000</v>
      </c>
      <c r="V627" s="26">
        <v>4.5361970005554531</v>
      </c>
      <c r="W627" s="26">
        <v>0</v>
      </c>
      <c r="X627" s="26">
        <v>500</v>
      </c>
    </row>
    <row r="628" spans="1:24">
      <c r="A628" s="24" t="str">
        <f t="shared" si="119"/>
        <v>러닝</v>
      </c>
      <c r="B628" s="24" t="str">
        <f>IF(COUNTIF(Q$1:Q627,Q628)=0,"최초","리오더")</f>
        <v>최초</v>
      </c>
      <c r="C628" s="24" t="str">
        <f t="shared" si="120"/>
        <v>BMDMIE3201</v>
      </c>
      <c r="D628" s="24">
        <f t="shared" si="121"/>
        <v>0.5</v>
      </c>
      <c r="E628" s="24" t="str">
        <f t="shared" si="122"/>
        <v/>
      </c>
      <c r="F628" s="24">
        <f t="shared" si="123"/>
        <v>0</v>
      </c>
      <c r="G628" s="24" t="str">
        <f t="shared" si="124"/>
        <v>BMDMIE3201BK</v>
      </c>
      <c r="H628" s="24">
        <f t="shared" si="125"/>
        <v>1</v>
      </c>
      <c r="I628" s="24" t="str">
        <f t="shared" si="126"/>
        <v/>
      </c>
      <c r="J628" s="24">
        <f t="shared" si="127"/>
        <v>0</v>
      </c>
      <c r="K628" s="24" t="str">
        <f t="shared" si="128"/>
        <v>E3</v>
      </c>
      <c r="L628" s="24" t="str">
        <f>VLOOKUP(N628,CODE!K:P,CODE!$P$1,FALSE)</f>
        <v>모자</v>
      </c>
      <c r="M628" s="24" t="str">
        <f>VLOOKUP(MID(Q628,1,3),CODE!$B:$G,CODE!D$1,FALSE)</f>
        <v>BMD</v>
      </c>
      <c r="N628" s="24" t="str">
        <f t="shared" si="129"/>
        <v>MI</v>
      </c>
      <c r="O628" s="29" t="str">
        <f>IF(ISERROR(IF(VLOOKUP($N628,CODE!$K:$P,CODE!$O$1,FALSE)="",$M628,$M628&amp;"-"&amp;VLOOKUP($N628,CODE!$K:$P,CODE!$O$1,FALSE)))=TRUE,"",IF(VLOOKUP($N628,CODE!$K:$P,CODE!$O$1,FALSE)="",$M628,$M628&amp;"-"&amp;VLOOKUP($N628,CODE!$K:$P,CODE!$O$1,FALSE)))</f>
        <v>BMD</v>
      </c>
      <c r="P628" s="29" t="str">
        <f t="shared" si="130"/>
        <v>BMDMIE3201</v>
      </c>
      <c r="Q628" s="1" t="s">
        <v>1414</v>
      </c>
      <c r="R628" s="1" t="s">
        <v>14</v>
      </c>
      <c r="S628" s="26">
        <v>500</v>
      </c>
      <c r="T628" s="26">
        <v>24500000</v>
      </c>
      <c r="U628" s="26">
        <v>4910000</v>
      </c>
      <c r="V628" s="26">
        <v>4.5361970005554531</v>
      </c>
      <c r="W628" s="26">
        <v>0</v>
      </c>
      <c r="X628" s="26">
        <v>500</v>
      </c>
    </row>
    <row r="629" spans="1:24">
      <c r="A629" s="24" t="str">
        <f t="shared" si="119"/>
        <v>신규</v>
      </c>
      <c r="B629" s="24" t="str">
        <f>IF(COUNTIF(Q$1:Q628,Q629)=0,"최초","리오더")</f>
        <v>최초</v>
      </c>
      <c r="C629" s="24" t="str">
        <f t="shared" si="120"/>
        <v>NAABAE3301</v>
      </c>
      <c r="D629" s="24">
        <f t="shared" si="121"/>
        <v>1</v>
      </c>
      <c r="E629" s="24" t="str">
        <f t="shared" si="122"/>
        <v/>
      </c>
      <c r="F629" s="24">
        <f t="shared" si="123"/>
        <v>0</v>
      </c>
      <c r="G629" s="24" t="str">
        <f t="shared" si="124"/>
        <v>NAABAE3301NY</v>
      </c>
      <c r="H629" s="24">
        <f t="shared" si="125"/>
        <v>1</v>
      </c>
      <c r="I629" s="24" t="str">
        <f t="shared" si="126"/>
        <v/>
      </c>
      <c r="J629" s="24">
        <f t="shared" si="127"/>
        <v>0</v>
      </c>
      <c r="K629" s="24" t="str">
        <f t="shared" si="128"/>
        <v>E3</v>
      </c>
      <c r="L629" s="24" t="str">
        <f>VLOOKUP(N629,CODE!K:P,CODE!$P$1,FALSE)</f>
        <v>모자</v>
      </c>
      <c r="M629" s="24" t="str">
        <f>VLOOKUP(MID(Q629,1,3),CODE!$B:$G,CODE!D$1,FALSE)</f>
        <v>NAA</v>
      </c>
      <c r="N629" s="24" t="str">
        <f t="shared" si="129"/>
        <v>BA</v>
      </c>
      <c r="O629" s="29" t="str">
        <f>IF(ISERROR(IF(VLOOKUP($N629,CODE!$K:$P,CODE!$O$1,FALSE)="",$M629,$M629&amp;"-"&amp;VLOOKUP($N629,CODE!$K:$P,CODE!$O$1,FALSE)))=TRUE,"",IF(VLOOKUP($N629,CODE!$K:$P,CODE!$O$1,FALSE)="",$M629,$M629&amp;"-"&amp;VLOOKUP($N629,CODE!$K:$P,CODE!$O$1,FALSE)))</f>
        <v>NAA</v>
      </c>
      <c r="P629" s="29" t="str">
        <f t="shared" si="130"/>
        <v>NAABAE3301</v>
      </c>
      <c r="Q629" s="1" t="s">
        <v>1415</v>
      </c>
      <c r="R629" s="1" t="s">
        <v>14</v>
      </c>
      <c r="S629" s="26">
        <v>700</v>
      </c>
      <c r="T629" s="26">
        <v>30100000</v>
      </c>
      <c r="U629" s="26">
        <v>4810575.0000000009</v>
      </c>
      <c r="V629" s="26">
        <v>5.68822570350454</v>
      </c>
      <c r="W629" s="26">
        <v>0</v>
      </c>
      <c r="X629" s="26">
        <v>700</v>
      </c>
    </row>
    <row r="630" spans="1:24">
      <c r="A630" s="24" t="str">
        <f t="shared" si="119"/>
        <v>신규</v>
      </c>
      <c r="B630" s="24" t="str">
        <f>IF(COUNTIF(Q$1:Q629,Q630)=0,"최초","리오더")</f>
        <v>최초</v>
      </c>
      <c r="C630" s="24" t="str">
        <f t="shared" si="120"/>
        <v>NAABAE3302</v>
      </c>
      <c r="D630" s="24">
        <f t="shared" si="121"/>
        <v>1</v>
      </c>
      <c r="E630" s="24" t="str">
        <f t="shared" si="122"/>
        <v/>
      </c>
      <c r="F630" s="24">
        <f t="shared" si="123"/>
        <v>0</v>
      </c>
      <c r="G630" s="24" t="str">
        <f t="shared" si="124"/>
        <v>NAABAE3302BU</v>
      </c>
      <c r="H630" s="24">
        <f t="shared" si="125"/>
        <v>1</v>
      </c>
      <c r="I630" s="24" t="str">
        <f t="shared" si="126"/>
        <v/>
      </c>
      <c r="J630" s="24">
        <f t="shared" si="127"/>
        <v>0</v>
      </c>
      <c r="K630" s="24" t="str">
        <f t="shared" si="128"/>
        <v>E3</v>
      </c>
      <c r="L630" s="24" t="str">
        <f>VLOOKUP(N630,CODE!K:P,CODE!$P$1,FALSE)</f>
        <v>모자</v>
      </c>
      <c r="M630" s="24" t="str">
        <f>VLOOKUP(MID(Q630,1,3),CODE!$B:$G,CODE!D$1,FALSE)</f>
        <v>NAA</v>
      </c>
      <c r="N630" s="24" t="str">
        <f t="shared" si="129"/>
        <v>BA</v>
      </c>
      <c r="O630" s="29" t="str">
        <f>IF(ISERROR(IF(VLOOKUP($N630,CODE!$K:$P,CODE!$O$1,FALSE)="",$M630,$M630&amp;"-"&amp;VLOOKUP($N630,CODE!$K:$P,CODE!$O$1,FALSE)))=TRUE,"",IF(VLOOKUP($N630,CODE!$K:$P,CODE!$O$1,FALSE)="",$M630,$M630&amp;"-"&amp;VLOOKUP($N630,CODE!$K:$P,CODE!$O$1,FALSE)))</f>
        <v>NAA</v>
      </c>
      <c r="P630" s="29" t="str">
        <f t="shared" si="130"/>
        <v>NAABAE3302</v>
      </c>
      <c r="Q630" s="1" t="s">
        <v>1416</v>
      </c>
      <c r="R630" s="1" t="s">
        <v>14</v>
      </c>
      <c r="S630" s="26">
        <v>700</v>
      </c>
      <c r="T630" s="26">
        <v>30100000</v>
      </c>
      <c r="U630" s="26">
        <v>4931850.0000000009</v>
      </c>
      <c r="V630" s="26">
        <v>5.5483513009593466</v>
      </c>
      <c r="W630" s="26">
        <v>0</v>
      </c>
      <c r="X630" s="26">
        <v>700</v>
      </c>
    </row>
    <row r="631" spans="1:24">
      <c r="A631" s="24" t="str">
        <f t="shared" si="119"/>
        <v>신규</v>
      </c>
      <c r="B631" s="24" t="str">
        <f>IF(COUNTIF(Q$1:Q630,Q631)=0,"최초","리오더")</f>
        <v>최초</v>
      </c>
      <c r="C631" s="24" t="str">
        <f t="shared" si="120"/>
        <v>NAABAE3303</v>
      </c>
      <c r="D631" s="24">
        <f t="shared" si="121"/>
        <v>1</v>
      </c>
      <c r="E631" s="24" t="str">
        <f t="shared" si="122"/>
        <v/>
      </c>
      <c r="F631" s="24">
        <f t="shared" si="123"/>
        <v>0</v>
      </c>
      <c r="G631" s="24" t="str">
        <f t="shared" si="124"/>
        <v>NAABAE3303PK</v>
      </c>
      <c r="H631" s="24">
        <f t="shared" si="125"/>
        <v>1</v>
      </c>
      <c r="I631" s="24" t="str">
        <f t="shared" si="126"/>
        <v/>
      </c>
      <c r="J631" s="24">
        <f t="shared" si="127"/>
        <v>0</v>
      </c>
      <c r="K631" s="24" t="str">
        <f t="shared" si="128"/>
        <v>E3</v>
      </c>
      <c r="L631" s="24" t="str">
        <f>VLOOKUP(N631,CODE!K:P,CODE!$P$1,FALSE)</f>
        <v>모자</v>
      </c>
      <c r="M631" s="24" t="str">
        <f>VLOOKUP(MID(Q631,1,3),CODE!$B:$G,CODE!D$1,FALSE)</f>
        <v>NAA</v>
      </c>
      <c r="N631" s="24" t="str">
        <f t="shared" si="129"/>
        <v>BA</v>
      </c>
      <c r="O631" s="29" t="str">
        <f>IF(ISERROR(IF(VLOOKUP($N631,CODE!$K:$P,CODE!$O$1,FALSE)="",$M631,$M631&amp;"-"&amp;VLOOKUP($N631,CODE!$K:$P,CODE!$O$1,FALSE)))=TRUE,"",IF(VLOOKUP($N631,CODE!$K:$P,CODE!$O$1,FALSE)="",$M631,$M631&amp;"-"&amp;VLOOKUP($N631,CODE!$K:$P,CODE!$O$1,FALSE)))</f>
        <v>NAA</v>
      </c>
      <c r="P631" s="29" t="str">
        <f t="shared" si="130"/>
        <v>NAABAE3303</v>
      </c>
      <c r="Q631" s="1" t="s">
        <v>1417</v>
      </c>
      <c r="R631" s="1" t="s">
        <v>14</v>
      </c>
      <c r="S631" s="26">
        <v>500</v>
      </c>
      <c r="T631" s="26">
        <v>21500000</v>
      </c>
      <c r="U631" s="26">
        <v>3436125.0000000005</v>
      </c>
      <c r="V631" s="26">
        <v>5.6882257035045409</v>
      </c>
      <c r="W631" s="26">
        <v>0</v>
      </c>
      <c r="X631" s="26">
        <v>500</v>
      </c>
    </row>
    <row r="632" spans="1:24">
      <c r="A632" s="24" t="str">
        <f t="shared" si="119"/>
        <v>신규</v>
      </c>
      <c r="B632" s="24" t="str">
        <f>IF(COUNTIF(Q$1:Q631,Q632)=0,"최초","리오더")</f>
        <v>최초</v>
      </c>
      <c r="C632" s="24" t="str">
        <f t="shared" si="120"/>
        <v>NAABAE3304</v>
      </c>
      <c r="D632" s="24">
        <f t="shared" si="121"/>
        <v>1</v>
      </c>
      <c r="E632" s="24" t="str">
        <f t="shared" si="122"/>
        <v/>
      </c>
      <c r="F632" s="24">
        <f t="shared" si="123"/>
        <v>0</v>
      </c>
      <c r="G632" s="24" t="str">
        <f t="shared" si="124"/>
        <v>NAABAE3304GY</v>
      </c>
      <c r="H632" s="24">
        <f t="shared" si="125"/>
        <v>1</v>
      </c>
      <c r="I632" s="24" t="str">
        <f t="shared" si="126"/>
        <v/>
      </c>
      <c r="J632" s="24">
        <f t="shared" si="127"/>
        <v>0</v>
      </c>
      <c r="K632" s="24" t="str">
        <f t="shared" si="128"/>
        <v>E3</v>
      </c>
      <c r="L632" s="24" t="str">
        <f>VLOOKUP(N632,CODE!K:P,CODE!$P$1,FALSE)</f>
        <v>모자</v>
      </c>
      <c r="M632" s="24" t="str">
        <f>VLOOKUP(MID(Q632,1,3),CODE!$B:$G,CODE!D$1,FALSE)</f>
        <v>NAA</v>
      </c>
      <c r="N632" s="24" t="str">
        <f t="shared" si="129"/>
        <v>BA</v>
      </c>
      <c r="O632" s="29" t="str">
        <f>IF(ISERROR(IF(VLOOKUP($N632,CODE!$K:$P,CODE!$O$1,FALSE)="",$M632,$M632&amp;"-"&amp;VLOOKUP($N632,CODE!$K:$P,CODE!$O$1,FALSE)))=TRUE,"",IF(VLOOKUP($N632,CODE!$K:$P,CODE!$O$1,FALSE)="",$M632,$M632&amp;"-"&amp;VLOOKUP($N632,CODE!$K:$P,CODE!$O$1,FALSE)))</f>
        <v>NAA</v>
      </c>
      <c r="P632" s="29" t="str">
        <f t="shared" si="130"/>
        <v>NAABAE3304</v>
      </c>
      <c r="Q632" s="1" t="s">
        <v>1418</v>
      </c>
      <c r="R632" s="1" t="s">
        <v>14</v>
      </c>
      <c r="S632" s="26">
        <v>500</v>
      </c>
      <c r="T632" s="26">
        <v>21500000</v>
      </c>
      <c r="U632" s="26">
        <v>3436125.0000000005</v>
      </c>
      <c r="V632" s="26">
        <v>5.6882257035045409</v>
      </c>
      <c r="W632" s="26">
        <v>0</v>
      </c>
      <c r="X632" s="26">
        <v>500</v>
      </c>
    </row>
    <row r="633" spans="1:24">
      <c r="A633" s="24" t="str">
        <f t="shared" si="119"/>
        <v>신규</v>
      </c>
      <c r="B633" s="24" t="str">
        <f>IF(COUNTIF(Q$1:Q632,Q633)=0,"최초","리오더")</f>
        <v>최초</v>
      </c>
      <c r="C633" s="24" t="str">
        <f t="shared" si="120"/>
        <v>NAABAE3305</v>
      </c>
      <c r="D633" s="24">
        <f t="shared" si="121"/>
        <v>1</v>
      </c>
      <c r="E633" s="24" t="str">
        <f t="shared" si="122"/>
        <v/>
      </c>
      <c r="F633" s="24">
        <f t="shared" si="123"/>
        <v>0</v>
      </c>
      <c r="G633" s="24" t="str">
        <f t="shared" si="124"/>
        <v>NAABAE3305GR</v>
      </c>
      <c r="H633" s="24">
        <f t="shared" si="125"/>
        <v>1</v>
      </c>
      <c r="I633" s="24" t="str">
        <f t="shared" si="126"/>
        <v/>
      </c>
      <c r="J633" s="24">
        <f t="shared" si="127"/>
        <v>0</v>
      </c>
      <c r="K633" s="24" t="str">
        <f t="shared" si="128"/>
        <v>E3</v>
      </c>
      <c r="L633" s="24" t="str">
        <f>VLOOKUP(N633,CODE!K:P,CODE!$P$1,FALSE)</f>
        <v>모자</v>
      </c>
      <c r="M633" s="24" t="str">
        <f>VLOOKUP(MID(Q633,1,3),CODE!$B:$G,CODE!D$1,FALSE)</f>
        <v>NAA</v>
      </c>
      <c r="N633" s="24" t="str">
        <f t="shared" si="129"/>
        <v>BA</v>
      </c>
      <c r="O633" s="29" t="str">
        <f>IF(ISERROR(IF(VLOOKUP($N633,CODE!$K:$P,CODE!$O$1,FALSE)="",$M633,$M633&amp;"-"&amp;VLOOKUP($N633,CODE!$K:$P,CODE!$O$1,FALSE)))=TRUE,"",IF(VLOOKUP($N633,CODE!$K:$P,CODE!$O$1,FALSE)="",$M633,$M633&amp;"-"&amp;VLOOKUP($N633,CODE!$K:$P,CODE!$O$1,FALSE)))</f>
        <v>NAA</v>
      </c>
      <c r="P633" s="29" t="str">
        <f t="shared" si="130"/>
        <v>NAABAE3305</v>
      </c>
      <c r="Q633" s="1" t="s">
        <v>1419</v>
      </c>
      <c r="R633" s="1" t="s">
        <v>14</v>
      </c>
      <c r="S633" s="26">
        <v>500</v>
      </c>
      <c r="T633" s="26">
        <v>21500000</v>
      </c>
      <c r="U633" s="26">
        <v>3436125.0000000005</v>
      </c>
      <c r="V633" s="26">
        <v>5.6882257035045409</v>
      </c>
      <c r="W633" s="26">
        <v>0</v>
      </c>
      <c r="X633" s="26">
        <v>500</v>
      </c>
    </row>
    <row r="634" spans="1:24">
      <c r="A634" s="24" t="str">
        <f t="shared" si="119"/>
        <v>신규</v>
      </c>
      <c r="B634" s="24" t="str">
        <f>IF(COUNTIF(Q$1:Q633,Q634)=0,"최초","리오더")</f>
        <v>최초</v>
      </c>
      <c r="C634" s="24" t="str">
        <f t="shared" si="120"/>
        <v>NAABAE3306</v>
      </c>
      <c r="D634" s="24">
        <f t="shared" si="121"/>
        <v>1</v>
      </c>
      <c r="E634" s="24" t="str">
        <f t="shared" si="122"/>
        <v/>
      </c>
      <c r="F634" s="24">
        <f t="shared" si="123"/>
        <v>0</v>
      </c>
      <c r="G634" s="24" t="str">
        <f t="shared" si="124"/>
        <v>NAABAE3306NY</v>
      </c>
      <c r="H634" s="24">
        <f t="shared" si="125"/>
        <v>1</v>
      </c>
      <c r="I634" s="24" t="str">
        <f t="shared" si="126"/>
        <v/>
      </c>
      <c r="J634" s="24">
        <f t="shared" si="127"/>
        <v>0</v>
      </c>
      <c r="K634" s="24" t="str">
        <f t="shared" si="128"/>
        <v>E3</v>
      </c>
      <c r="L634" s="24" t="str">
        <f>VLOOKUP(N634,CODE!K:P,CODE!$P$1,FALSE)</f>
        <v>모자</v>
      </c>
      <c r="M634" s="24" t="str">
        <f>VLOOKUP(MID(Q634,1,3),CODE!$B:$G,CODE!D$1,FALSE)</f>
        <v>NAA</v>
      </c>
      <c r="N634" s="24" t="str">
        <f t="shared" si="129"/>
        <v>BA</v>
      </c>
      <c r="O634" s="29" t="str">
        <f>IF(ISERROR(IF(VLOOKUP($N634,CODE!$K:$P,CODE!$O$1,FALSE)="",$M634,$M634&amp;"-"&amp;VLOOKUP($N634,CODE!$K:$P,CODE!$O$1,FALSE)))=TRUE,"",IF(VLOOKUP($N634,CODE!$K:$P,CODE!$O$1,FALSE)="",$M634,$M634&amp;"-"&amp;VLOOKUP($N634,CODE!$K:$P,CODE!$O$1,FALSE)))</f>
        <v>NAA</v>
      </c>
      <c r="P634" s="29" t="str">
        <f t="shared" si="130"/>
        <v>NAABAE3306</v>
      </c>
      <c r="Q634" s="1" t="s">
        <v>1420</v>
      </c>
      <c r="R634" s="1" t="s">
        <v>14</v>
      </c>
      <c r="S634" s="26">
        <v>700</v>
      </c>
      <c r="T634" s="26">
        <v>31500000</v>
      </c>
      <c r="U634" s="26">
        <v>5619075</v>
      </c>
      <c r="V634" s="26">
        <v>5.0962771695276592</v>
      </c>
      <c r="W634" s="26">
        <v>0</v>
      </c>
      <c r="X634" s="26">
        <v>700</v>
      </c>
    </row>
    <row r="635" spans="1:24">
      <c r="A635" s="24" t="str">
        <f t="shared" si="119"/>
        <v>신규</v>
      </c>
      <c r="B635" s="24" t="str">
        <f>IF(COUNTIF(Q$1:Q634,Q635)=0,"최초","리오더")</f>
        <v>최초</v>
      </c>
      <c r="C635" s="24" t="str">
        <f t="shared" si="120"/>
        <v>NAABAE3307</v>
      </c>
      <c r="D635" s="24">
        <f t="shared" si="121"/>
        <v>1</v>
      </c>
      <c r="E635" s="24" t="str">
        <f t="shared" si="122"/>
        <v/>
      </c>
      <c r="F635" s="24">
        <f t="shared" si="123"/>
        <v>0</v>
      </c>
      <c r="G635" s="24" t="str">
        <f t="shared" si="124"/>
        <v>NAABAE3307NY</v>
      </c>
      <c r="H635" s="24">
        <f t="shared" si="125"/>
        <v>1</v>
      </c>
      <c r="I635" s="24" t="str">
        <f t="shared" si="126"/>
        <v/>
      </c>
      <c r="J635" s="24">
        <f t="shared" si="127"/>
        <v>0</v>
      </c>
      <c r="K635" s="24" t="str">
        <f t="shared" si="128"/>
        <v>E3</v>
      </c>
      <c r="L635" s="24" t="str">
        <f>VLOOKUP(N635,CODE!K:P,CODE!$P$1,FALSE)</f>
        <v>모자</v>
      </c>
      <c r="M635" s="24" t="str">
        <f>VLOOKUP(MID(Q635,1,3),CODE!$B:$G,CODE!D$1,FALSE)</f>
        <v>NAA</v>
      </c>
      <c r="N635" s="24" t="str">
        <f t="shared" si="129"/>
        <v>BA</v>
      </c>
      <c r="O635" s="29" t="str">
        <f>IF(ISERROR(IF(VLOOKUP($N635,CODE!$K:$P,CODE!$O$1,FALSE)="",$M635,$M635&amp;"-"&amp;VLOOKUP($N635,CODE!$K:$P,CODE!$O$1,FALSE)))=TRUE,"",IF(VLOOKUP($N635,CODE!$K:$P,CODE!$O$1,FALSE)="",$M635,$M635&amp;"-"&amp;VLOOKUP($N635,CODE!$K:$P,CODE!$O$1,FALSE)))</f>
        <v>NAA</v>
      </c>
      <c r="P635" s="29" t="str">
        <f t="shared" si="130"/>
        <v>NAABAE3307</v>
      </c>
      <c r="Q635" s="1" t="s">
        <v>1421</v>
      </c>
      <c r="R635" s="1" t="s">
        <v>14</v>
      </c>
      <c r="S635" s="26">
        <v>700</v>
      </c>
      <c r="T635" s="26">
        <v>31500000</v>
      </c>
      <c r="U635" s="26">
        <v>5174400.0000000009</v>
      </c>
      <c r="V635" s="26">
        <v>5.5342384887839415</v>
      </c>
      <c r="W635" s="26">
        <v>0</v>
      </c>
      <c r="X635" s="26">
        <v>700</v>
      </c>
    </row>
    <row r="636" spans="1:24">
      <c r="A636" s="24" t="str">
        <f t="shared" si="119"/>
        <v>신규</v>
      </c>
      <c r="B636" s="24" t="str">
        <f>IF(COUNTIF(Q$1:Q635,Q636)=0,"최초","리오더")</f>
        <v>최초</v>
      </c>
      <c r="C636" s="24" t="str">
        <f t="shared" si="120"/>
        <v>NAABAE3308</v>
      </c>
      <c r="D636" s="24">
        <f t="shared" si="121"/>
        <v>1</v>
      </c>
      <c r="E636" s="24" t="str">
        <f t="shared" si="122"/>
        <v/>
      </c>
      <c r="F636" s="24">
        <f t="shared" si="123"/>
        <v>0</v>
      </c>
      <c r="G636" s="24" t="str">
        <f t="shared" si="124"/>
        <v>NAABAE3308GR</v>
      </c>
      <c r="H636" s="24">
        <f t="shared" si="125"/>
        <v>1</v>
      </c>
      <c r="I636" s="24" t="str">
        <f t="shared" si="126"/>
        <v/>
      </c>
      <c r="J636" s="24">
        <f t="shared" si="127"/>
        <v>0</v>
      </c>
      <c r="K636" s="24" t="str">
        <f t="shared" si="128"/>
        <v>E3</v>
      </c>
      <c r="L636" s="24" t="str">
        <f>VLOOKUP(N636,CODE!K:P,CODE!$P$1,FALSE)</f>
        <v>모자</v>
      </c>
      <c r="M636" s="24" t="str">
        <f>VLOOKUP(MID(Q636,1,3),CODE!$B:$G,CODE!D$1,FALSE)</f>
        <v>NAA</v>
      </c>
      <c r="N636" s="24" t="str">
        <f t="shared" si="129"/>
        <v>BA</v>
      </c>
      <c r="O636" s="29" t="str">
        <f>IF(ISERROR(IF(VLOOKUP($N636,CODE!$K:$P,CODE!$O$1,FALSE)="",$M636,$M636&amp;"-"&amp;VLOOKUP($N636,CODE!$K:$P,CODE!$O$1,FALSE)))=TRUE,"",IF(VLOOKUP($N636,CODE!$K:$P,CODE!$O$1,FALSE)="",$M636,$M636&amp;"-"&amp;VLOOKUP($N636,CODE!$K:$P,CODE!$O$1,FALSE)))</f>
        <v>NAA</v>
      </c>
      <c r="P636" s="29" t="str">
        <f t="shared" si="130"/>
        <v>NAABAE3308</v>
      </c>
      <c r="Q636" s="1" t="s">
        <v>1422</v>
      </c>
      <c r="R636" s="1" t="s">
        <v>14</v>
      </c>
      <c r="S636" s="26">
        <v>700</v>
      </c>
      <c r="T636" s="26">
        <v>31500000</v>
      </c>
      <c r="U636" s="26">
        <v>5012700.0000000009</v>
      </c>
      <c r="V636" s="26">
        <v>5.7127623110027779</v>
      </c>
      <c r="W636" s="26">
        <v>0</v>
      </c>
      <c r="X636" s="26">
        <v>700</v>
      </c>
    </row>
    <row r="637" spans="1:24">
      <c r="A637" s="24" t="str">
        <f t="shared" si="119"/>
        <v>신규</v>
      </c>
      <c r="B637" s="24" t="str">
        <f>IF(COUNTIF(Q$1:Q636,Q637)=0,"최초","리오더")</f>
        <v>최초</v>
      </c>
      <c r="C637" s="24" t="str">
        <f t="shared" si="120"/>
        <v>NAAFLE3309</v>
      </c>
      <c r="D637" s="24">
        <f t="shared" si="121"/>
        <v>1</v>
      </c>
      <c r="E637" s="24" t="str">
        <f t="shared" si="122"/>
        <v/>
      </c>
      <c r="F637" s="24">
        <f t="shared" si="123"/>
        <v>0</v>
      </c>
      <c r="G637" s="24" t="str">
        <f t="shared" si="124"/>
        <v>NAAFLE3309NY</v>
      </c>
      <c r="H637" s="24">
        <f t="shared" si="125"/>
        <v>1</v>
      </c>
      <c r="I637" s="24" t="str">
        <f t="shared" si="126"/>
        <v/>
      </c>
      <c r="J637" s="24">
        <f t="shared" si="127"/>
        <v>0</v>
      </c>
      <c r="K637" s="24" t="str">
        <f t="shared" si="128"/>
        <v>E3</v>
      </c>
      <c r="L637" s="24" t="str">
        <f>VLOOKUP(N637,CODE!K:P,CODE!$P$1,FALSE)</f>
        <v>모자</v>
      </c>
      <c r="M637" s="24" t="str">
        <f>VLOOKUP(MID(Q637,1,3),CODE!$B:$G,CODE!D$1,FALSE)</f>
        <v>NAA</v>
      </c>
      <c r="N637" s="24" t="str">
        <f t="shared" si="129"/>
        <v>FL</v>
      </c>
      <c r="O637" s="29" t="str">
        <f>IF(ISERROR(IF(VLOOKUP($N637,CODE!$K:$P,CODE!$O$1,FALSE)="",$M637,$M637&amp;"-"&amp;VLOOKUP($N637,CODE!$K:$P,CODE!$O$1,FALSE)))=TRUE,"",IF(VLOOKUP($N637,CODE!$K:$P,CODE!$O$1,FALSE)="",$M637,$M637&amp;"-"&amp;VLOOKUP($N637,CODE!$K:$P,CODE!$O$1,FALSE)))</f>
        <v>NAA</v>
      </c>
      <c r="P637" s="29" t="str">
        <f t="shared" si="130"/>
        <v>NAAFLE3309</v>
      </c>
      <c r="Q637" s="1" t="s">
        <v>1423</v>
      </c>
      <c r="R637" s="1" t="s">
        <v>14</v>
      </c>
      <c r="S637" s="26">
        <v>500</v>
      </c>
      <c r="T637" s="26">
        <v>22500000</v>
      </c>
      <c r="U637" s="26">
        <v>3407250</v>
      </c>
      <c r="V637" s="26">
        <v>6.0032417505452935</v>
      </c>
      <c r="W637" s="26">
        <v>0</v>
      </c>
      <c r="X637" s="26">
        <v>500</v>
      </c>
    </row>
    <row r="638" spans="1:24">
      <c r="A638" s="24" t="str">
        <f t="shared" si="119"/>
        <v>신규</v>
      </c>
      <c r="B638" s="24" t="str">
        <f>IF(COUNTIF(Q$1:Q637,Q638)=0,"최초","리오더")</f>
        <v>최초</v>
      </c>
      <c r="C638" s="24" t="str">
        <f t="shared" si="120"/>
        <v>NAAFLE3310</v>
      </c>
      <c r="D638" s="24">
        <f t="shared" si="121"/>
        <v>1</v>
      </c>
      <c r="E638" s="24" t="str">
        <f t="shared" si="122"/>
        <v/>
      </c>
      <c r="F638" s="24">
        <f t="shared" si="123"/>
        <v>0</v>
      </c>
      <c r="G638" s="24" t="str">
        <f t="shared" si="124"/>
        <v>NAAFLE3310PP</v>
      </c>
      <c r="H638" s="24">
        <f t="shared" si="125"/>
        <v>1</v>
      </c>
      <c r="I638" s="24" t="str">
        <f t="shared" si="126"/>
        <v/>
      </c>
      <c r="J638" s="24">
        <f t="shared" si="127"/>
        <v>0</v>
      </c>
      <c r="K638" s="24" t="str">
        <f t="shared" si="128"/>
        <v>E3</v>
      </c>
      <c r="L638" s="24" t="str">
        <f>VLOOKUP(N638,CODE!K:P,CODE!$P$1,FALSE)</f>
        <v>모자</v>
      </c>
      <c r="M638" s="24" t="str">
        <f>VLOOKUP(MID(Q638,1,3),CODE!$B:$G,CODE!D$1,FALSE)</f>
        <v>NAA</v>
      </c>
      <c r="N638" s="24" t="str">
        <f t="shared" si="129"/>
        <v>FL</v>
      </c>
      <c r="O638" s="29" t="str">
        <f>IF(ISERROR(IF(VLOOKUP($N638,CODE!$K:$P,CODE!$O$1,FALSE)="",$M638,$M638&amp;"-"&amp;VLOOKUP($N638,CODE!$K:$P,CODE!$O$1,FALSE)))=TRUE,"",IF(VLOOKUP($N638,CODE!$K:$P,CODE!$O$1,FALSE)="",$M638,$M638&amp;"-"&amp;VLOOKUP($N638,CODE!$K:$P,CODE!$O$1,FALSE)))</f>
        <v>NAA</v>
      </c>
      <c r="P638" s="29" t="str">
        <f t="shared" si="130"/>
        <v>NAAFLE3310</v>
      </c>
      <c r="Q638" s="1" t="s">
        <v>1424</v>
      </c>
      <c r="R638" s="1" t="s">
        <v>14</v>
      </c>
      <c r="S638" s="26">
        <v>500</v>
      </c>
      <c r="T638" s="26">
        <v>22500000</v>
      </c>
      <c r="U638" s="26">
        <v>3436125.0000000005</v>
      </c>
      <c r="V638" s="26">
        <v>5.9527943408768449</v>
      </c>
      <c r="W638" s="26">
        <v>0</v>
      </c>
      <c r="X638" s="26">
        <v>500</v>
      </c>
    </row>
    <row r="639" spans="1:24">
      <c r="A639" s="24" t="str">
        <f t="shared" si="119"/>
        <v>신규</v>
      </c>
      <c r="B639" s="24" t="str">
        <f>IF(COUNTIF(Q$1:Q638,Q639)=0,"최초","리오더")</f>
        <v>최초</v>
      </c>
      <c r="C639" s="24" t="str">
        <f t="shared" si="120"/>
        <v>NAAFIE3311</v>
      </c>
      <c r="D639" s="24">
        <f t="shared" si="121"/>
        <v>1</v>
      </c>
      <c r="E639" s="24" t="str">
        <f t="shared" si="122"/>
        <v/>
      </c>
      <c r="F639" s="24">
        <f t="shared" si="123"/>
        <v>0</v>
      </c>
      <c r="G639" s="24" t="str">
        <f t="shared" si="124"/>
        <v>NAAFIE3311PP</v>
      </c>
      <c r="H639" s="24">
        <f t="shared" si="125"/>
        <v>1</v>
      </c>
      <c r="I639" s="24" t="str">
        <f t="shared" si="126"/>
        <v/>
      </c>
      <c r="J639" s="24">
        <f t="shared" si="127"/>
        <v>0</v>
      </c>
      <c r="K639" s="24" t="str">
        <f t="shared" si="128"/>
        <v>E3</v>
      </c>
      <c r="L639" s="24" t="str">
        <f>VLOOKUP(N639,CODE!K:P,CODE!$P$1,FALSE)</f>
        <v>모자</v>
      </c>
      <c r="M639" s="24" t="str">
        <f>VLOOKUP(MID(Q639,1,3),CODE!$B:$G,CODE!D$1,FALSE)</f>
        <v>NAA</v>
      </c>
      <c r="N639" s="24" t="str">
        <f t="shared" si="129"/>
        <v>FI</v>
      </c>
      <c r="O639" s="29" t="str">
        <f>IF(ISERROR(IF(VLOOKUP($N639,CODE!$K:$P,CODE!$O$1,FALSE)="",$M639,$M639&amp;"-"&amp;VLOOKUP($N639,CODE!$K:$P,CODE!$O$1,FALSE)))=TRUE,"",IF(VLOOKUP($N639,CODE!$K:$P,CODE!$O$1,FALSE)="",$M639,$M639&amp;"-"&amp;VLOOKUP($N639,CODE!$K:$P,CODE!$O$1,FALSE)))</f>
        <v>NAA</v>
      </c>
      <c r="P639" s="29" t="str">
        <f t="shared" si="130"/>
        <v>NAAFIE3311</v>
      </c>
      <c r="Q639" s="1" t="s">
        <v>1425</v>
      </c>
      <c r="R639" s="1" t="s">
        <v>14</v>
      </c>
      <c r="S639" s="26">
        <v>700</v>
      </c>
      <c r="T639" s="26">
        <v>34300000</v>
      </c>
      <c r="U639" s="26">
        <v>4689300</v>
      </c>
      <c r="V639" s="26">
        <v>6.6495677780944238</v>
      </c>
      <c r="W639" s="26">
        <v>0</v>
      </c>
      <c r="X639" s="26">
        <v>700</v>
      </c>
    </row>
    <row r="640" spans="1:24">
      <c r="A640" s="24" t="str">
        <f t="shared" si="119"/>
        <v>신규</v>
      </c>
      <c r="B640" s="24" t="str">
        <f>IF(COUNTIF(Q$1:Q639,Q640)=0,"최초","리오더")</f>
        <v>최초</v>
      </c>
      <c r="C640" s="24" t="str">
        <f t="shared" si="120"/>
        <v>NAAFIE3312</v>
      </c>
      <c r="D640" s="24">
        <f t="shared" si="121"/>
        <v>1</v>
      </c>
      <c r="E640" s="24" t="str">
        <f t="shared" si="122"/>
        <v/>
      </c>
      <c r="F640" s="24">
        <f t="shared" si="123"/>
        <v>0</v>
      </c>
      <c r="G640" s="24" t="str">
        <f t="shared" si="124"/>
        <v>NAAFIE3312KH</v>
      </c>
      <c r="H640" s="24">
        <f t="shared" si="125"/>
        <v>1</v>
      </c>
      <c r="I640" s="24" t="str">
        <f t="shared" si="126"/>
        <v/>
      </c>
      <c r="J640" s="24">
        <f t="shared" si="127"/>
        <v>0</v>
      </c>
      <c r="K640" s="24" t="str">
        <f t="shared" si="128"/>
        <v>E3</v>
      </c>
      <c r="L640" s="24" t="str">
        <f>VLOOKUP(N640,CODE!K:P,CODE!$P$1,FALSE)</f>
        <v>모자</v>
      </c>
      <c r="M640" s="24" t="str">
        <f>VLOOKUP(MID(Q640,1,3),CODE!$B:$G,CODE!D$1,FALSE)</f>
        <v>NAA</v>
      </c>
      <c r="N640" s="24" t="str">
        <f t="shared" si="129"/>
        <v>FI</v>
      </c>
      <c r="O640" s="29" t="str">
        <f>IF(ISERROR(IF(VLOOKUP($N640,CODE!$K:$P,CODE!$O$1,FALSE)="",$M640,$M640&amp;"-"&amp;VLOOKUP($N640,CODE!$K:$P,CODE!$O$1,FALSE)))=TRUE,"",IF(VLOOKUP($N640,CODE!$K:$P,CODE!$O$1,FALSE)="",$M640,$M640&amp;"-"&amp;VLOOKUP($N640,CODE!$K:$P,CODE!$O$1,FALSE)))</f>
        <v>NAA</v>
      </c>
      <c r="P640" s="29" t="str">
        <f t="shared" si="130"/>
        <v>NAAFIE3312</v>
      </c>
      <c r="Q640" s="1" t="s">
        <v>1426</v>
      </c>
      <c r="R640" s="1" t="s">
        <v>14</v>
      </c>
      <c r="S640" s="26">
        <v>700</v>
      </c>
      <c r="T640" s="26">
        <v>34300000</v>
      </c>
      <c r="U640" s="26">
        <v>5174400.0000000009</v>
      </c>
      <c r="V640" s="26">
        <v>6.0261707988980699</v>
      </c>
      <c r="W640" s="26">
        <v>0</v>
      </c>
      <c r="X640" s="26">
        <v>700</v>
      </c>
    </row>
    <row r="641" spans="1:24">
      <c r="A641" s="24" t="str">
        <f t="shared" si="119"/>
        <v>신규</v>
      </c>
      <c r="B641" s="24" t="str">
        <f>IF(COUNTIF(Q$1:Q640,Q641)=0,"최초","리오더")</f>
        <v>최초</v>
      </c>
      <c r="C641" s="24" t="str">
        <f t="shared" si="120"/>
        <v>NAAFIE3313</v>
      </c>
      <c r="D641" s="24">
        <f t="shared" si="121"/>
        <v>1</v>
      </c>
      <c r="E641" s="24" t="str">
        <f t="shared" si="122"/>
        <v/>
      </c>
      <c r="F641" s="24">
        <f t="shared" si="123"/>
        <v>0</v>
      </c>
      <c r="G641" s="24" t="str">
        <f t="shared" si="124"/>
        <v>NAAFIE3313BU</v>
      </c>
      <c r="H641" s="24">
        <f t="shared" si="125"/>
        <v>1</v>
      </c>
      <c r="I641" s="24" t="str">
        <f t="shared" si="126"/>
        <v/>
      </c>
      <c r="J641" s="24">
        <f t="shared" si="127"/>
        <v>0</v>
      </c>
      <c r="K641" s="24" t="str">
        <f t="shared" si="128"/>
        <v>E3</v>
      </c>
      <c r="L641" s="24" t="str">
        <f>VLOOKUP(N641,CODE!K:P,CODE!$P$1,FALSE)</f>
        <v>모자</v>
      </c>
      <c r="M641" s="24" t="str">
        <f>VLOOKUP(MID(Q641,1,3),CODE!$B:$G,CODE!D$1,FALSE)</f>
        <v>NAA</v>
      </c>
      <c r="N641" s="24" t="str">
        <f t="shared" si="129"/>
        <v>FI</v>
      </c>
      <c r="O641" s="29" t="str">
        <f>IF(ISERROR(IF(VLOOKUP($N641,CODE!$K:$P,CODE!$O$1,FALSE)="",$M641,$M641&amp;"-"&amp;VLOOKUP($N641,CODE!$K:$P,CODE!$O$1,FALSE)))=TRUE,"",IF(VLOOKUP($N641,CODE!$K:$P,CODE!$O$1,FALSE)="",$M641,$M641&amp;"-"&amp;VLOOKUP($N641,CODE!$K:$P,CODE!$O$1,FALSE)))</f>
        <v>NAA</v>
      </c>
      <c r="P641" s="29" t="str">
        <f t="shared" si="130"/>
        <v>NAAFIE3313</v>
      </c>
      <c r="Q641" s="1" t="s">
        <v>1427</v>
      </c>
      <c r="R641" s="1" t="s">
        <v>14</v>
      </c>
      <c r="S641" s="26">
        <v>700</v>
      </c>
      <c r="T641" s="26">
        <v>34300000</v>
      </c>
      <c r="U641" s="26">
        <v>4851000.0000000009</v>
      </c>
      <c r="V641" s="26">
        <v>6.4279155188246078</v>
      </c>
      <c r="W641" s="26">
        <v>0</v>
      </c>
      <c r="X641" s="26">
        <v>700</v>
      </c>
    </row>
    <row r="642" spans="1:24">
      <c r="A642" s="24" t="str">
        <f t="shared" si="119"/>
        <v>신규</v>
      </c>
      <c r="B642" s="24" t="str">
        <f>IF(COUNTIF(Q$1:Q641,Q642)=0,"최초","리오더")</f>
        <v>최초</v>
      </c>
      <c r="C642" s="24" t="str">
        <f t="shared" si="120"/>
        <v>NAAFIE3314</v>
      </c>
      <c r="D642" s="24">
        <f t="shared" si="121"/>
        <v>1</v>
      </c>
      <c r="E642" s="24" t="str">
        <f t="shared" si="122"/>
        <v/>
      </c>
      <c r="F642" s="24">
        <f t="shared" si="123"/>
        <v>0</v>
      </c>
      <c r="G642" s="24" t="str">
        <f t="shared" si="124"/>
        <v>NAAFIE3314BG</v>
      </c>
      <c r="H642" s="24">
        <f t="shared" si="125"/>
        <v>1</v>
      </c>
      <c r="I642" s="24" t="str">
        <f t="shared" si="126"/>
        <v/>
      </c>
      <c r="J642" s="24">
        <f t="shared" si="127"/>
        <v>0</v>
      </c>
      <c r="K642" s="24" t="str">
        <f t="shared" si="128"/>
        <v>E3</v>
      </c>
      <c r="L642" s="24" t="str">
        <f>VLOOKUP(N642,CODE!K:P,CODE!$P$1,FALSE)</f>
        <v>모자</v>
      </c>
      <c r="M642" s="24" t="str">
        <f>VLOOKUP(MID(Q642,1,3),CODE!$B:$G,CODE!D$1,FALSE)</f>
        <v>NAA</v>
      </c>
      <c r="N642" s="24" t="str">
        <f t="shared" si="129"/>
        <v>FI</v>
      </c>
      <c r="O642" s="29" t="str">
        <f>IF(ISERROR(IF(VLOOKUP($N642,CODE!$K:$P,CODE!$O$1,FALSE)="",$M642,$M642&amp;"-"&amp;VLOOKUP($N642,CODE!$K:$P,CODE!$O$1,FALSE)))=TRUE,"",IF(VLOOKUP($N642,CODE!$K:$P,CODE!$O$1,FALSE)="",$M642,$M642&amp;"-"&amp;VLOOKUP($N642,CODE!$K:$P,CODE!$O$1,FALSE)))</f>
        <v>NAA</v>
      </c>
      <c r="P642" s="29" t="str">
        <f t="shared" si="130"/>
        <v>NAAFIE3314</v>
      </c>
      <c r="Q642" s="1" t="s">
        <v>1428</v>
      </c>
      <c r="R642" s="1" t="s">
        <v>14</v>
      </c>
      <c r="S642" s="26">
        <v>700</v>
      </c>
      <c r="T642" s="26">
        <v>34300000</v>
      </c>
      <c r="U642" s="26">
        <v>4851000.0000000009</v>
      </c>
      <c r="V642" s="26">
        <v>6.4279155188246078</v>
      </c>
      <c r="W642" s="26">
        <v>0</v>
      </c>
      <c r="X642" s="26">
        <v>700</v>
      </c>
    </row>
    <row r="643" spans="1:24">
      <c r="A643" s="24" t="str">
        <f t="shared" ref="A643:A691" si="131">IF(OR(MID(Q643,8,1)="3",MID(Q643,8,1)="8"),"신규","러닝")</f>
        <v>신규</v>
      </c>
      <c r="B643" s="24" t="str">
        <f>IF(COUNTIF(Q$1:Q642,Q643)=0,"최초","리오더")</f>
        <v>최초</v>
      </c>
      <c r="C643" s="24" t="str">
        <f t="shared" si="120"/>
        <v>NAAFIE3315</v>
      </c>
      <c r="D643" s="24">
        <f t="shared" si="121"/>
        <v>1</v>
      </c>
      <c r="E643" s="24" t="str">
        <f t="shared" si="122"/>
        <v/>
      </c>
      <c r="F643" s="24">
        <f t="shared" si="123"/>
        <v>0</v>
      </c>
      <c r="G643" s="24" t="str">
        <f t="shared" si="124"/>
        <v>NAAFIE3315BK</v>
      </c>
      <c r="H643" s="24">
        <f t="shared" si="125"/>
        <v>1</v>
      </c>
      <c r="I643" s="24" t="str">
        <f t="shared" si="126"/>
        <v/>
      </c>
      <c r="J643" s="24">
        <f t="shared" si="127"/>
        <v>0</v>
      </c>
      <c r="K643" s="24" t="str">
        <f t="shared" si="128"/>
        <v>E3</v>
      </c>
      <c r="L643" s="24" t="str">
        <f>VLOOKUP(N643,CODE!K:P,CODE!$P$1,FALSE)</f>
        <v>모자</v>
      </c>
      <c r="M643" s="24" t="str">
        <f>VLOOKUP(MID(Q643,1,3),CODE!$B:$G,CODE!D$1,FALSE)</f>
        <v>NAA</v>
      </c>
      <c r="N643" s="24" t="str">
        <f t="shared" si="129"/>
        <v>FI</v>
      </c>
      <c r="O643" s="29" t="str">
        <f>IF(ISERROR(IF(VLOOKUP($N643,CODE!$K:$P,CODE!$O$1,FALSE)="",$M643,$M643&amp;"-"&amp;VLOOKUP($N643,CODE!$K:$P,CODE!$O$1,FALSE)))=TRUE,"",IF(VLOOKUP($N643,CODE!$K:$P,CODE!$O$1,FALSE)="",$M643,$M643&amp;"-"&amp;VLOOKUP($N643,CODE!$K:$P,CODE!$O$1,FALSE)))</f>
        <v>NAA</v>
      </c>
      <c r="P643" s="29" t="str">
        <f t="shared" si="130"/>
        <v>NAAFIE3315</v>
      </c>
      <c r="Q643" s="1" t="s">
        <v>1429</v>
      </c>
      <c r="R643" s="1" t="s">
        <v>14</v>
      </c>
      <c r="S643" s="26">
        <v>700</v>
      </c>
      <c r="T643" s="26">
        <v>34300000</v>
      </c>
      <c r="U643" s="26">
        <v>5012700.0000000009</v>
      </c>
      <c r="V643" s="26">
        <v>6.2205634053141363</v>
      </c>
      <c r="W643" s="26">
        <v>0</v>
      </c>
      <c r="X643" s="26">
        <v>700</v>
      </c>
    </row>
    <row r="644" spans="1:24">
      <c r="A644" s="24" t="str">
        <f t="shared" si="131"/>
        <v>신규</v>
      </c>
      <c r="B644" s="24" t="str">
        <f>IF(COUNTIF(Q$1:Q643,Q644)=0,"최초","리오더")</f>
        <v>최초</v>
      </c>
      <c r="C644" s="24" t="str">
        <f t="shared" si="120"/>
        <v>NAAFIE3316</v>
      </c>
      <c r="D644" s="24">
        <f t="shared" si="121"/>
        <v>1</v>
      </c>
      <c r="E644" s="24" t="str">
        <f t="shared" si="122"/>
        <v/>
      </c>
      <c r="F644" s="24">
        <f t="shared" si="123"/>
        <v>0</v>
      </c>
      <c r="G644" s="24" t="str">
        <f t="shared" si="124"/>
        <v>NAAFIE3316NY</v>
      </c>
      <c r="H644" s="24">
        <f t="shared" si="125"/>
        <v>1</v>
      </c>
      <c r="I644" s="24" t="str">
        <f t="shared" si="126"/>
        <v/>
      </c>
      <c r="J644" s="24">
        <f t="shared" si="127"/>
        <v>0</v>
      </c>
      <c r="K644" s="24" t="str">
        <f t="shared" si="128"/>
        <v>E3</v>
      </c>
      <c r="L644" s="24" t="str">
        <f>VLOOKUP(N644,CODE!K:P,CODE!$P$1,FALSE)</f>
        <v>모자</v>
      </c>
      <c r="M644" s="24" t="str">
        <f>VLOOKUP(MID(Q644,1,3),CODE!$B:$G,CODE!D$1,FALSE)</f>
        <v>NAA</v>
      </c>
      <c r="N644" s="24" t="str">
        <f t="shared" si="129"/>
        <v>FI</v>
      </c>
      <c r="O644" s="29" t="str">
        <f>IF(ISERROR(IF(VLOOKUP($N644,CODE!$K:$P,CODE!$O$1,FALSE)="",$M644,$M644&amp;"-"&amp;VLOOKUP($N644,CODE!$K:$P,CODE!$O$1,FALSE)))=TRUE,"",IF(VLOOKUP($N644,CODE!$K:$P,CODE!$O$1,FALSE)="",$M644,$M644&amp;"-"&amp;VLOOKUP($N644,CODE!$K:$P,CODE!$O$1,FALSE)))</f>
        <v>NAA</v>
      </c>
      <c r="P644" s="29" t="str">
        <f t="shared" si="130"/>
        <v>NAAFIE3316</v>
      </c>
      <c r="Q644" s="1" t="s">
        <v>1430</v>
      </c>
      <c r="R644" s="1" t="s">
        <v>14</v>
      </c>
      <c r="S644" s="26">
        <v>700</v>
      </c>
      <c r="T644" s="26">
        <v>34300000</v>
      </c>
      <c r="U644" s="26">
        <v>4972275.0000000009</v>
      </c>
      <c r="V644" s="26">
        <v>6.2711370915362021</v>
      </c>
      <c r="W644" s="26">
        <v>0</v>
      </c>
      <c r="X644" s="26">
        <v>700</v>
      </c>
    </row>
    <row r="645" spans="1:24">
      <c r="A645" s="24" t="str">
        <f t="shared" si="131"/>
        <v>신규</v>
      </c>
      <c r="B645" s="24" t="str">
        <f>IF(COUNTIF(Q$1:Q644,Q645)=0,"최초","리오더")</f>
        <v>최초</v>
      </c>
      <c r="C645" s="24" t="str">
        <f t="shared" si="120"/>
        <v>NAAFIE3317</v>
      </c>
      <c r="D645" s="24">
        <f t="shared" si="121"/>
        <v>1</v>
      </c>
      <c r="E645" s="24" t="str">
        <f t="shared" si="122"/>
        <v/>
      </c>
      <c r="F645" s="24">
        <f t="shared" si="123"/>
        <v>0</v>
      </c>
      <c r="G645" s="24" t="str">
        <f t="shared" si="124"/>
        <v>NAAFIE3317GR</v>
      </c>
      <c r="H645" s="24">
        <f t="shared" si="125"/>
        <v>1</v>
      </c>
      <c r="I645" s="24" t="str">
        <f t="shared" si="126"/>
        <v/>
      </c>
      <c r="J645" s="24">
        <f t="shared" si="127"/>
        <v>0</v>
      </c>
      <c r="K645" s="24" t="str">
        <f t="shared" si="128"/>
        <v>E3</v>
      </c>
      <c r="L645" s="24" t="str">
        <f>VLOOKUP(N645,CODE!K:P,CODE!$P$1,FALSE)</f>
        <v>모자</v>
      </c>
      <c r="M645" s="24" t="str">
        <f>VLOOKUP(MID(Q645,1,3),CODE!$B:$G,CODE!D$1,FALSE)</f>
        <v>NAA</v>
      </c>
      <c r="N645" s="24" t="str">
        <f t="shared" si="129"/>
        <v>FI</v>
      </c>
      <c r="O645" s="29" t="str">
        <f>IF(ISERROR(IF(VLOOKUP($N645,CODE!$K:$P,CODE!$O$1,FALSE)="",$M645,$M645&amp;"-"&amp;VLOOKUP($N645,CODE!$K:$P,CODE!$O$1,FALSE)))=TRUE,"",IF(VLOOKUP($N645,CODE!$K:$P,CODE!$O$1,FALSE)="",$M645,$M645&amp;"-"&amp;VLOOKUP($N645,CODE!$K:$P,CODE!$O$1,FALSE)))</f>
        <v>NAA</v>
      </c>
      <c r="P645" s="29" t="str">
        <f t="shared" si="130"/>
        <v>NAAFIE3317</v>
      </c>
      <c r="Q645" s="1" t="s">
        <v>1431</v>
      </c>
      <c r="R645" s="1" t="s">
        <v>14</v>
      </c>
      <c r="S645" s="26">
        <v>700</v>
      </c>
      <c r="T645" s="26">
        <v>34300000</v>
      </c>
      <c r="U645" s="26">
        <v>4851000.0000000009</v>
      </c>
      <c r="V645" s="26">
        <v>6.4279155188246078</v>
      </c>
      <c r="W645" s="26">
        <v>0</v>
      </c>
      <c r="X645" s="26">
        <v>700</v>
      </c>
    </row>
    <row r="646" spans="1:24">
      <c r="A646" s="24" t="str">
        <f t="shared" si="131"/>
        <v>신규</v>
      </c>
      <c r="B646" s="24" t="str">
        <f>IF(COUNTIF(Q$1:Q645,Q646)=0,"최초","리오더")</f>
        <v>최초</v>
      </c>
      <c r="C646" s="24" t="str">
        <f t="shared" si="120"/>
        <v>NAAFIE3318</v>
      </c>
      <c r="D646" s="24">
        <f t="shared" si="121"/>
        <v>1</v>
      </c>
      <c r="E646" s="24" t="str">
        <f t="shared" si="122"/>
        <v/>
      </c>
      <c r="F646" s="24">
        <f t="shared" si="123"/>
        <v>0</v>
      </c>
      <c r="G646" s="24" t="str">
        <f t="shared" si="124"/>
        <v>NAAFIE3318GY</v>
      </c>
      <c r="H646" s="24">
        <f t="shared" si="125"/>
        <v>1</v>
      </c>
      <c r="I646" s="24" t="str">
        <f t="shared" si="126"/>
        <v/>
      </c>
      <c r="J646" s="24">
        <f t="shared" si="127"/>
        <v>0</v>
      </c>
      <c r="K646" s="24" t="str">
        <f t="shared" si="128"/>
        <v>E3</v>
      </c>
      <c r="L646" s="24" t="str">
        <f>VLOOKUP(N646,CODE!K:P,CODE!$P$1,FALSE)</f>
        <v>모자</v>
      </c>
      <c r="M646" s="24" t="str">
        <f>VLOOKUP(MID(Q646,1,3),CODE!$B:$G,CODE!D$1,FALSE)</f>
        <v>NAA</v>
      </c>
      <c r="N646" s="24" t="str">
        <f t="shared" si="129"/>
        <v>FI</v>
      </c>
      <c r="O646" s="29" t="str">
        <f>IF(ISERROR(IF(VLOOKUP($N646,CODE!$K:$P,CODE!$O$1,FALSE)="",$M646,$M646&amp;"-"&amp;VLOOKUP($N646,CODE!$K:$P,CODE!$O$1,FALSE)))=TRUE,"",IF(VLOOKUP($N646,CODE!$K:$P,CODE!$O$1,FALSE)="",$M646,$M646&amp;"-"&amp;VLOOKUP($N646,CODE!$K:$P,CODE!$O$1,FALSE)))</f>
        <v>NAA</v>
      </c>
      <c r="P646" s="29" t="str">
        <f t="shared" si="130"/>
        <v>NAAFIE3318</v>
      </c>
      <c r="Q646" s="1" t="s">
        <v>1432</v>
      </c>
      <c r="R646" s="1" t="s">
        <v>14</v>
      </c>
      <c r="S646" s="26">
        <v>700</v>
      </c>
      <c r="T646" s="26">
        <v>34300000</v>
      </c>
      <c r="U646" s="26">
        <v>4972275.0000000009</v>
      </c>
      <c r="V646" s="26">
        <v>6.2711370915362021</v>
      </c>
      <c r="W646" s="26">
        <v>0</v>
      </c>
      <c r="X646" s="26">
        <v>700</v>
      </c>
    </row>
    <row r="647" spans="1:24">
      <c r="A647" s="24" t="str">
        <f t="shared" si="131"/>
        <v>신규</v>
      </c>
      <c r="B647" s="24" t="str">
        <f>IF(COUNTIF(Q$1:Q646,Q647)=0,"최초","리오더")</f>
        <v>최초</v>
      </c>
      <c r="C647" s="24" t="str">
        <f t="shared" si="120"/>
        <v>GOOFAE3301</v>
      </c>
      <c r="D647" s="24">
        <f t="shared" si="121"/>
        <v>0.5</v>
      </c>
      <c r="E647" s="24" t="str">
        <f t="shared" si="122"/>
        <v/>
      </c>
      <c r="F647" s="24">
        <f t="shared" si="123"/>
        <v>0</v>
      </c>
      <c r="G647" s="24" t="str">
        <f t="shared" si="124"/>
        <v>GOOFAE3301BK</v>
      </c>
      <c r="H647" s="24">
        <f t="shared" si="125"/>
        <v>1</v>
      </c>
      <c r="I647" s="24" t="str">
        <f t="shared" si="126"/>
        <v/>
      </c>
      <c r="J647" s="24">
        <f t="shared" si="127"/>
        <v>0</v>
      </c>
      <c r="K647" s="24" t="str">
        <f t="shared" si="128"/>
        <v>E3</v>
      </c>
      <c r="L647" s="24" t="str">
        <f>VLOOKUP(N647,CODE!K:P,CODE!$P$1,FALSE)</f>
        <v>모자</v>
      </c>
      <c r="M647" s="24" t="str">
        <f>VLOOKUP(MID(Q647,1,3),CODE!$B:$G,CODE!D$1,FALSE)</f>
        <v>GOO</v>
      </c>
      <c r="N647" s="24" t="str">
        <f t="shared" si="129"/>
        <v>FA</v>
      </c>
      <c r="O647" s="29" t="str">
        <f>IF(ISERROR(IF(VLOOKUP($N647,CODE!$K:$P,CODE!$O$1,FALSE)="",$M647,$M647&amp;"-"&amp;VLOOKUP($N647,CODE!$K:$P,CODE!$O$1,FALSE)))=TRUE,"",IF(VLOOKUP($N647,CODE!$K:$P,CODE!$O$1,FALSE)="",$M647,$M647&amp;"-"&amp;VLOOKUP($N647,CODE!$K:$P,CODE!$O$1,FALSE)))</f>
        <v>GOO</v>
      </c>
      <c r="P647" s="29" t="str">
        <f t="shared" si="130"/>
        <v>GOOFAE3301</v>
      </c>
      <c r="Q647" s="1" t="s">
        <v>1433</v>
      </c>
      <c r="R647" s="1" t="s">
        <v>15</v>
      </c>
      <c r="S647" s="26">
        <v>96</v>
      </c>
      <c r="T647" s="26">
        <v>6624000</v>
      </c>
      <c r="U647" s="26">
        <v>1672727.2727272725</v>
      </c>
      <c r="V647" s="26">
        <v>3.6000000000000005</v>
      </c>
      <c r="W647" s="26">
        <v>0</v>
      </c>
      <c r="X647" s="26">
        <v>96</v>
      </c>
    </row>
    <row r="648" spans="1:24">
      <c r="A648" s="24" t="str">
        <f t="shared" si="131"/>
        <v>신규</v>
      </c>
      <c r="B648" s="24" t="str">
        <f>IF(COUNTIF(Q$1:Q647,Q648)=0,"최초","리오더")</f>
        <v>최초</v>
      </c>
      <c r="C648" s="24" t="str">
        <f t="shared" si="120"/>
        <v>GOOFAE3301</v>
      </c>
      <c r="D648" s="24">
        <f t="shared" si="121"/>
        <v>0.5</v>
      </c>
      <c r="E648" s="24" t="str">
        <f t="shared" si="122"/>
        <v/>
      </c>
      <c r="F648" s="24">
        <f t="shared" si="123"/>
        <v>0</v>
      </c>
      <c r="G648" s="24" t="str">
        <f t="shared" si="124"/>
        <v>GOOFAE3301BU</v>
      </c>
      <c r="H648" s="24">
        <f t="shared" si="125"/>
        <v>1</v>
      </c>
      <c r="I648" s="24" t="str">
        <f t="shared" si="126"/>
        <v/>
      </c>
      <c r="J648" s="24">
        <f t="shared" si="127"/>
        <v>0</v>
      </c>
      <c r="K648" s="24" t="str">
        <f t="shared" si="128"/>
        <v>E3</v>
      </c>
      <c r="L648" s="24" t="str">
        <f>VLOOKUP(N648,CODE!K:P,CODE!$P$1,FALSE)</f>
        <v>모자</v>
      </c>
      <c r="M648" s="24" t="str">
        <f>VLOOKUP(MID(Q648,1,3),CODE!$B:$G,CODE!D$1,FALSE)</f>
        <v>GOO</v>
      </c>
      <c r="N648" s="24" t="str">
        <f t="shared" si="129"/>
        <v>FA</v>
      </c>
      <c r="O648" s="29" t="str">
        <f>IF(ISERROR(IF(VLOOKUP($N648,CODE!$K:$P,CODE!$O$1,FALSE)="",$M648,$M648&amp;"-"&amp;VLOOKUP($N648,CODE!$K:$P,CODE!$O$1,FALSE)))=TRUE,"",IF(VLOOKUP($N648,CODE!$K:$P,CODE!$O$1,FALSE)="",$M648,$M648&amp;"-"&amp;VLOOKUP($N648,CODE!$K:$P,CODE!$O$1,FALSE)))</f>
        <v>GOO</v>
      </c>
      <c r="P648" s="29" t="str">
        <f t="shared" si="130"/>
        <v>GOOFAE3301</v>
      </c>
      <c r="Q648" s="1" t="s">
        <v>1434</v>
      </c>
      <c r="R648" s="1" t="s">
        <v>15</v>
      </c>
      <c r="S648" s="26">
        <v>72</v>
      </c>
      <c r="T648" s="26">
        <v>4968000</v>
      </c>
      <c r="U648" s="26">
        <v>1254545.4545454541</v>
      </c>
      <c r="V648" s="26">
        <v>3.6000000000000014</v>
      </c>
      <c r="W648" s="26">
        <v>0</v>
      </c>
      <c r="X648" s="26">
        <v>72</v>
      </c>
    </row>
    <row r="649" spans="1:24">
      <c r="A649" s="24" t="str">
        <f t="shared" si="131"/>
        <v>신규</v>
      </c>
      <c r="B649" s="24" t="str">
        <f>IF(COUNTIF(Q$1:Q648,Q649)=0,"최초","리오더")</f>
        <v>최초</v>
      </c>
      <c r="C649" s="24" t="str">
        <f t="shared" si="120"/>
        <v>GOOFEE3302</v>
      </c>
      <c r="D649" s="24">
        <f t="shared" si="121"/>
        <v>1</v>
      </c>
      <c r="E649" s="24" t="str">
        <f t="shared" si="122"/>
        <v/>
      </c>
      <c r="F649" s="24">
        <f t="shared" si="123"/>
        <v>0</v>
      </c>
      <c r="G649" s="24" t="str">
        <f t="shared" si="124"/>
        <v>GOOFEE3302BK</v>
      </c>
      <c r="H649" s="24">
        <f t="shared" si="125"/>
        <v>1</v>
      </c>
      <c r="I649" s="24" t="str">
        <f t="shared" si="126"/>
        <v/>
      </c>
      <c r="J649" s="24">
        <f t="shared" si="127"/>
        <v>0</v>
      </c>
      <c r="K649" s="24" t="str">
        <f t="shared" si="128"/>
        <v>E3</v>
      </c>
      <c r="L649" s="24" t="str">
        <f>VLOOKUP(N649,CODE!K:P,CODE!$P$1,FALSE)</f>
        <v>모자</v>
      </c>
      <c r="M649" s="24" t="str">
        <f>VLOOKUP(MID(Q649,1,3),CODE!$B:$G,CODE!D$1,FALSE)</f>
        <v>GOO</v>
      </c>
      <c r="N649" s="24" t="str">
        <f t="shared" si="129"/>
        <v>FE</v>
      </c>
      <c r="O649" s="29" t="str">
        <f>IF(ISERROR(IF(VLOOKUP($N649,CODE!$K:$P,CODE!$O$1,FALSE)="",$M649,$M649&amp;"-"&amp;VLOOKUP($N649,CODE!$K:$P,CODE!$O$1,FALSE)))=TRUE,"",IF(VLOOKUP($N649,CODE!$K:$P,CODE!$O$1,FALSE)="",$M649,$M649&amp;"-"&amp;VLOOKUP($N649,CODE!$K:$P,CODE!$O$1,FALSE)))</f>
        <v>GOO</v>
      </c>
      <c r="P649" s="29" t="str">
        <f t="shared" si="130"/>
        <v>GOOFEE3302</v>
      </c>
      <c r="Q649" s="1" t="s">
        <v>1435</v>
      </c>
      <c r="R649" s="1" t="s">
        <v>15</v>
      </c>
      <c r="S649" s="26">
        <v>144</v>
      </c>
      <c r="T649" s="26">
        <v>9360000</v>
      </c>
      <c r="U649" s="26">
        <v>2363636.3636363633</v>
      </c>
      <c r="V649" s="26">
        <v>3.6</v>
      </c>
      <c r="W649" s="26">
        <v>0</v>
      </c>
      <c r="X649" s="26">
        <v>144</v>
      </c>
    </row>
    <row r="650" spans="1:24">
      <c r="A650" s="24" t="str">
        <f t="shared" si="131"/>
        <v>신규</v>
      </c>
      <c r="B650" s="24" t="str">
        <f>IF(COUNTIF(Q$1:Q649,Q650)=0,"최초","리오더")</f>
        <v>최초</v>
      </c>
      <c r="C650" s="24" t="str">
        <f t="shared" si="120"/>
        <v>GOOFEE3303</v>
      </c>
      <c r="D650" s="24">
        <f t="shared" si="121"/>
        <v>1</v>
      </c>
      <c r="E650" s="24" t="str">
        <f t="shared" si="122"/>
        <v/>
      </c>
      <c r="F650" s="24">
        <f t="shared" si="123"/>
        <v>0</v>
      </c>
      <c r="G650" s="24" t="str">
        <f t="shared" si="124"/>
        <v>GOOFEE3303BK</v>
      </c>
      <c r="H650" s="24">
        <f t="shared" si="125"/>
        <v>1</v>
      </c>
      <c r="I650" s="24" t="str">
        <f t="shared" si="126"/>
        <v/>
      </c>
      <c r="J650" s="24">
        <f t="shared" si="127"/>
        <v>0</v>
      </c>
      <c r="K650" s="24" t="str">
        <f t="shared" si="128"/>
        <v>E3</v>
      </c>
      <c r="L650" s="24" t="str">
        <f>VLOOKUP(N650,CODE!K:P,CODE!$P$1,FALSE)</f>
        <v>모자</v>
      </c>
      <c r="M650" s="24" t="str">
        <f>VLOOKUP(MID(Q650,1,3),CODE!$B:$G,CODE!D$1,FALSE)</f>
        <v>GOO</v>
      </c>
      <c r="N650" s="24" t="str">
        <f t="shared" si="129"/>
        <v>FE</v>
      </c>
      <c r="O650" s="29" t="str">
        <f>IF(ISERROR(IF(VLOOKUP($N650,CODE!$K:$P,CODE!$O$1,FALSE)="",$M650,$M650&amp;"-"&amp;VLOOKUP($N650,CODE!$K:$P,CODE!$O$1,FALSE)))=TRUE,"",IF(VLOOKUP($N650,CODE!$K:$P,CODE!$O$1,FALSE)="",$M650,$M650&amp;"-"&amp;VLOOKUP($N650,CODE!$K:$P,CODE!$O$1,FALSE)))</f>
        <v>GOO</v>
      </c>
      <c r="P650" s="29" t="str">
        <f t="shared" si="130"/>
        <v>GOOFEE3303</v>
      </c>
      <c r="Q650" s="1" t="s">
        <v>1436</v>
      </c>
      <c r="R650" s="1" t="s">
        <v>15</v>
      </c>
      <c r="S650" s="26">
        <v>144</v>
      </c>
      <c r="T650" s="26">
        <v>9360000</v>
      </c>
      <c r="U650" s="26">
        <v>2363636.3636363633</v>
      </c>
      <c r="V650" s="26">
        <v>3.6</v>
      </c>
      <c r="W650" s="26">
        <v>0</v>
      </c>
      <c r="X650" s="26">
        <v>144</v>
      </c>
    </row>
    <row r="651" spans="1:24">
      <c r="A651" s="24" t="str">
        <f t="shared" si="131"/>
        <v>신규</v>
      </c>
      <c r="B651" s="24" t="str">
        <f>IF(COUNTIF(Q$1:Q650,Q651)=0,"최초","리오더")</f>
        <v>최초</v>
      </c>
      <c r="C651" s="24" t="str">
        <f t="shared" si="120"/>
        <v>GOOFAE3304</v>
      </c>
      <c r="D651" s="24">
        <f t="shared" si="121"/>
        <v>0.5</v>
      </c>
      <c r="E651" s="24" t="str">
        <f t="shared" si="122"/>
        <v/>
      </c>
      <c r="F651" s="24">
        <f t="shared" si="123"/>
        <v>0</v>
      </c>
      <c r="G651" s="24" t="str">
        <f t="shared" si="124"/>
        <v>GOOFAE3304BK</v>
      </c>
      <c r="H651" s="24">
        <f t="shared" si="125"/>
        <v>1</v>
      </c>
      <c r="I651" s="24" t="str">
        <f t="shared" si="126"/>
        <v/>
      </c>
      <c r="J651" s="24">
        <f t="shared" si="127"/>
        <v>0</v>
      </c>
      <c r="K651" s="24" t="str">
        <f t="shared" si="128"/>
        <v>E3</v>
      </c>
      <c r="L651" s="24" t="str">
        <f>VLOOKUP(N651,CODE!K:P,CODE!$P$1,FALSE)</f>
        <v>모자</v>
      </c>
      <c r="M651" s="24" t="str">
        <f>VLOOKUP(MID(Q651,1,3),CODE!$B:$G,CODE!D$1,FALSE)</f>
        <v>GOO</v>
      </c>
      <c r="N651" s="24" t="str">
        <f t="shared" si="129"/>
        <v>FA</v>
      </c>
      <c r="O651" s="29" t="str">
        <f>IF(ISERROR(IF(VLOOKUP($N651,CODE!$K:$P,CODE!$O$1,FALSE)="",$M651,$M651&amp;"-"&amp;VLOOKUP($N651,CODE!$K:$P,CODE!$O$1,FALSE)))=TRUE,"",IF(VLOOKUP($N651,CODE!$K:$P,CODE!$O$1,FALSE)="",$M651,$M651&amp;"-"&amp;VLOOKUP($N651,CODE!$K:$P,CODE!$O$1,FALSE)))</f>
        <v>GOO</v>
      </c>
      <c r="P651" s="29" t="str">
        <f t="shared" si="130"/>
        <v>GOOFAE3304</v>
      </c>
      <c r="Q651" s="1" t="s">
        <v>1437</v>
      </c>
      <c r="R651" s="1" t="s">
        <v>15</v>
      </c>
      <c r="S651" s="26">
        <v>144</v>
      </c>
      <c r="T651" s="26">
        <v>7920000</v>
      </c>
      <c r="U651" s="26">
        <v>1999999.9999999998</v>
      </c>
      <c r="V651" s="26">
        <v>3.6</v>
      </c>
      <c r="W651" s="26">
        <v>0</v>
      </c>
      <c r="X651" s="26">
        <v>144</v>
      </c>
    </row>
    <row r="652" spans="1:24">
      <c r="A652" s="24" t="str">
        <f t="shared" si="131"/>
        <v>신규</v>
      </c>
      <c r="B652" s="24" t="str">
        <f>IF(COUNTIF(Q$1:Q651,Q652)=0,"최초","리오더")</f>
        <v>최초</v>
      </c>
      <c r="C652" s="24" t="str">
        <f t="shared" si="120"/>
        <v>GOOFAE3304</v>
      </c>
      <c r="D652" s="24">
        <f t="shared" si="121"/>
        <v>0.5</v>
      </c>
      <c r="E652" s="24" t="str">
        <f t="shared" si="122"/>
        <v/>
      </c>
      <c r="F652" s="24">
        <f t="shared" si="123"/>
        <v>0</v>
      </c>
      <c r="G652" s="24" t="str">
        <f t="shared" si="124"/>
        <v>GOOFAE3304CL</v>
      </c>
      <c r="H652" s="24">
        <f t="shared" si="125"/>
        <v>1</v>
      </c>
      <c r="I652" s="24" t="str">
        <f t="shared" si="126"/>
        <v/>
      </c>
      <c r="J652" s="24">
        <f t="shared" si="127"/>
        <v>0</v>
      </c>
      <c r="K652" s="24" t="str">
        <f t="shared" si="128"/>
        <v>E3</v>
      </c>
      <c r="L652" s="24" t="str">
        <f>VLOOKUP(N652,CODE!K:P,CODE!$P$1,FALSE)</f>
        <v>모자</v>
      </c>
      <c r="M652" s="24" t="str">
        <f>VLOOKUP(MID(Q652,1,3),CODE!$B:$G,CODE!D$1,FALSE)</f>
        <v>GOO</v>
      </c>
      <c r="N652" s="24" t="str">
        <f t="shared" si="129"/>
        <v>FA</v>
      </c>
      <c r="O652" s="29" t="str">
        <f>IF(ISERROR(IF(VLOOKUP($N652,CODE!$K:$P,CODE!$O$1,FALSE)="",$M652,$M652&amp;"-"&amp;VLOOKUP($N652,CODE!$K:$P,CODE!$O$1,FALSE)))=TRUE,"",IF(VLOOKUP($N652,CODE!$K:$P,CODE!$O$1,FALSE)="",$M652,$M652&amp;"-"&amp;VLOOKUP($N652,CODE!$K:$P,CODE!$O$1,FALSE)))</f>
        <v>GOO</v>
      </c>
      <c r="P652" s="29" t="str">
        <f t="shared" si="130"/>
        <v>GOOFAE3304</v>
      </c>
      <c r="Q652" s="1" t="s">
        <v>1438</v>
      </c>
      <c r="R652" s="1" t="s">
        <v>15</v>
      </c>
      <c r="S652" s="26">
        <v>144</v>
      </c>
      <c r="T652" s="26">
        <v>7920000</v>
      </c>
      <c r="U652" s="26">
        <v>1999999.9999999998</v>
      </c>
      <c r="V652" s="26">
        <v>3.6</v>
      </c>
      <c r="W652" s="26">
        <v>0</v>
      </c>
      <c r="X652" s="26">
        <v>144</v>
      </c>
    </row>
    <row r="653" spans="1:24">
      <c r="A653" s="24" t="str">
        <f t="shared" si="131"/>
        <v>신규</v>
      </c>
      <c r="B653" s="24" t="str">
        <f>IF(COUNTIF(Q$1:Q652,Q653)=0,"최초","리오더")</f>
        <v>최초</v>
      </c>
      <c r="C653" s="24" t="str">
        <f t="shared" si="120"/>
        <v>GOOMIE3305</v>
      </c>
      <c r="D653" s="24">
        <f t="shared" si="121"/>
        <v>0.33333333333333331</v>
      </c>
      <c r="E653" s="24" t="str">
        <f t="shared" si="122"/>
        <v/>
      </c>
      <c r="F653" s="24">
        <f t="shared" si="123"/>
        <v>0</v>
      </c>
      <c r="G653" s="24" t="str">
        <f t="shared" si="124"/>
        <v>GOOMIE3305BK</v>
      </c>
      <c r="H653" s="24">
        <f t="shared" si="125"/>
        <v>1</v>
      </c>
      <c r="I653" s="24" t="str">
        <f t="shared" si="126"/>
        <v/>
      </c>
      <c r="J653" s="24">
        <f t="shared" si="127"/>
        <v>0</v>
      </c>
      <c r="K653" s="24" t="str">
        <f t="shared" si="128"/>
        <v>E3</v>
      </c>
      <c r="L653" s="24" t="str">
        <f>VLOOKUP(N653,CODE!K:P,CODE!$P$1,FALSE)</f>
        <v>모자</v>
      </c>
      <c r="M653" s="24" t="str">
        <f>VLOOKUP(MID(Q653,1,3),CODE!$B:$G,CODE!D$1,FALSE)</f>
        <v>GOO</v>
      </c>
      <c r="N653" s="24" t="str">
        <f t="shared" si="129"/>
        <v>MI</v>
      </c>
      <c r="O653" s="29" t="str">
        <f>IF(ISERROR(IF(VLOOKUP($N653,CODE!$K:$P,CODE!$O$1,FALSE)="",$M653,$M653&amp;"-"&amp;VLOOKUP($N653,CODE!$K:$P,CODE!$O$1,FALSE)))=TRUE,"",IF(VLOOKUP($N653,CODE!$K:$P,CODE!$O$1,FALSE)="",$M653,$M653&amp;"-"&amp;VLOOKUP($N653,CODE!$K:$P,CODE!$O$1,FALSE)))</f>
        <v>GOO</v>
      </c>
      <c r="P653" s="29" t="str">
        <f t="shared" si="130"/>
        <v>GOOMIE3305</v>
      </c>
      <c r="Q653" s="1" t="s">
        <v>1439</v>
      </c>
      <c r="R653" s="1" t="s">
        <v>15</v>
      </c>
      <c r="S653" s="26">
        <v>360</v>
      </c>
      <c r="T653" s="26">
        <v>19800000</v>
      </c>
      <c r="U653" s="26">
        <v>4999999.9999999991</v>
      </c>
      <c r="V653" s="26">
        <v>3.6000000000000005</v>
      </c>
      <c r="W653" s="26">
        <v>0</v>
      </c>
      <c r="X653" s="26">
        <v>360</v>
      </c>
    </row>
    <row r="654" spans="1:24">
      <c r="A654" s="24" t="str">
        <f t="shared" si="131"/>
        <v>신규</v>
      </c>
      <c r="B654" s="24" t="str">
        <f>IF(COUNTIF(Q$1:Q653,Q654)=0,"최초","리오더")</f>
        <v>최초</v>
      </c>
      <c r="C654" s="24" t="str">
        <f t="shared" si="120"/>
        <v>GOOMIE3305</v>
      </c>
      <c r="D654" s="24">
        <f t="shared" si="121"/>
        <v>0.33333333333333331</v>
      </c>
      <c r="E654" s="24" t="str">
        <f t="shared" si="122"/>
        <v/>
      </c>
      <c r="F654" s="24">
        <f t="shared" si="123"/>
        <v>0</v>
      </c>
      <c r="G654" s="24" t="str">
        <f t="shared" si="124"/>
        <v>GOOMIE3305GY</v>
      </c>
      <c r="H654" s="24">
        <f t="shared" si="125"/>
        <v>1</v>
      </c>
      <c r="I654" s="24" t="str">
        <f t="shared" si="126"/>
        <v/>
      </c>
      <c r="J654" s="24">
        <f t="shared" si="127"/>
        <v>0</v>
      </c>
      <c r="K654" s="24" t="str">
        <f t="shared" si="128"/>
        <v>E3</v>
      </c>
      <c r="L654" s="24" t="str">
        <f>VLOOKUP(N654,CODE!K:P,CODE!$P$1,FALSE)</f>
        <v>모자</v>
      </c>
      <c r="M654" s="24" t="str">
        <f>VLOOKUP(MID(Q654,1,3),CODE!$B:$G,CODE!D$1,FALSE)</f>
        <v>GOO</v>
      </c>
      <c r="N654" s="24" t="str">
        <f t="shared" si="129"/>
        <v>MI</v>
      </c>
      <c r="O654" s="29" t="str">
        <f>IF(ISERROR(IF(VLOOKUP($N654,CODE!$K:$P,CODE!$O$1,FALSE)="",$M654,$M654&amp;"-"&amp;VLOOKUP($N654,CODE!$K:$P,CODE!$O$1,FALSE)))=TRUE,"",IF(VLOOKUP($N654,CODE!$K:$P,CODE!$O$1,FALSE)="",$M654,$M654&amp;"-"&amp;VLOOKUP($N654,CODE!$K:$P,CODE!$O$1,FALSE)))</f>
        <v>GOO</v>
      </c>
      <c r="P654" s="29" t="str">
        <f t="shared" si="130"/>
        <v>GOOMIE3305</v>
      </c>
      <c r="Q654" s="1" t="s">
        <v>1440</v>
      </c>
      <c r="R654" s="1" t="s">
        <v>15</v>
      </c>
      <c r="S654" s="26">
        <v>240</v>
      </c>
      <c r="T654" s="26">
        <v>13200000</v>
      </c>
      <c r="U654" s="26">
        <v>3333333.333333333</v>
      </c>
      <c r="V654" s="26">
        <v>3.6</v>
      </c>
      <c r="W654" s="26">
        <v>0</v>
      </c>
      <c r="X654" s="26">
        <v>240</v>
      </c>
    </row>
    <row r="655" spans="1:24">
      <c r="A655" s="24" t="str">
        <f t="shared" si="131"/>
        <v>신규</v>
      </c>
      <c r="B655" s="24" t="str">
        <f>IF(COUNTIF(Q$1:Q654,Q655)=0,"최초","리오더")</f>
        <v>최초</v>
      </c>
      <c r="C655" s="24" t="str">
        <f t="shared" si="120"/>
        <v>GOOMIE3305</v>
      </c>
      <c r="D655" s="24">
        <f t="shared" si="121"/>
        <v>0.33333333333333331</v>
      </c>
      <c r="E655" s="24" t="str">
        <f t="shared" si="122"/>
        <v/>
      </c>
      <c r="F655" s="24">
        <f t="shared" si="123"/>
        <v>0</v>
      </c>
      <c r="G655" s="24" t="str">
        <f t="shared" si="124"/>
        <v>GOOMIE3305KH</v>
      </c>
      <c r="H655" s="24">
        <f t="shared" si="125"/>
        <v>1</v>
      </c>
      <c r="I655" s="24" t="str">
        <f t="shared" si="126"/>
        <v/>
      </c>
      <c r="J655" s="24">
        <f t="shared" si="127"/>
        <v>0</v>
      </c>
      <c r="K655" s="24" t="str">
        <f t="shared" si="128"/>
        <v>E3</v>
      </c>
      <c r="L655" s="24" t="str">
        <f>VLOOKUP(N655,CODE!K:P,CODE!$P$1,FALSE)</f>
        <v>모자</v>
      </c>
      <c r="M655" s="24" t="str">
        <f>VLOOKUP(MID(Q655,1,3),CODE!$B:$G,CODE!D$1,FALSE)</f>
        <v>GOO</v>
      </c>
      <c r="N655" s="24" t="str">
        <f t="shared" si="129"/>
        <v>MI</v>
      </c>
      <c r="O655" s="29" t="str">
        <f>IF(ISERROR(IF(VLOOKUP($N655,CODE!$K:$P,CODE!$O$1,FALSE)="",$M655,$M655&amp;"-"&amp;VLOOKUP($N655,CODE!$K:$P,CODE!$O$1,FALSE)))=TRUE,"",IF(VLOOKUP($N655,CODE!$K:$P,CODE!$O$1,FALSE)="",$M655,$M655&amp;"-"&amp;VLOOKUP($N655,CODE!$K:$P,CODE!$O$1,FALSE)))</f>
        <v>GOO</v>
      </c>
      <c r="P655" s="29" t="str">
        <f t="shared" si="130"/>
        <v>GOOMIE3305</v>
      </c>
      <c r="Q655" s="1" t="s">
        <v>1441</v>
      </c>
      <c r="R655" s="1" t="s">
        <v>15</v>
      </c>
      <c r="S655" s="26">
        <v>240</v>
      </c>
      <c r="T655" s="26">
        <v>13200000</v>
      </c>
      <c r="U655" s="26">
        <v>3333333.333333333</v>
      </c>
      <c r="V655" s="26">
        <v>3.6</v>
      </c>
      <c r="W655" s="26">
        <v>0</v>
      </c>
      <c r="X655" s="26">
        <v>240</v>
      </c>
    </row>
    <row r="656" spans="1:24">
      <c r="A656" s="24" t="str">
        <f t="shared" si="131"/>
        <v>신규</v>
      </c>
      <c r="B656" s="24" t="str">
        <f>IF(COUNTIF(Q$1:Q655,Q656)=0,"최초","리오더")</f>
        <v>최초</v>
      </c>
      <c r="C656" s="24" t="str">
        <f t="shared" si="120"/>
        <v>GOOMIE3306</v>
      </c>
      <c r="D656" s="24">
        <f t="shared" si="121"/>
        <v>1</v>
      </c>
      <c r="E656" s="24" t="str">
        <f t="shared" si="122"/>
        <v/>
      </c>
      <c r="F656" s="24">
        <f t="shared" si="123"/>
        <v>0</v>
      </c>
      <c r="G656" s="24" t="str">
        <f t="shared" si="124"/>
        <v>GOOMIE3306BK</v>
      </c>
      <c r="H656" s="24">
        <f t="shared" si="125"/>
        <v>1</v>
      </c>
      <c r="I656" s="24" t="str">
        <f t="shared" si="126"/>
        <v/>
      </c>
      <c r="J656" s="24">
        <f t="shared" si="127"/>
        <v>0</v>
      </c>
      <c r="K656" s="24" t="str">
        <f t="shared" si="128"/>
        <v>E3</v>
      </c>
      <c r="L656" s="24" t="str">
        <f>VLOOKUP(N656,CODE!K:P,CODE!$P$1,FALSE)</f>
        <v>모자</v>
      </c>
      <c r="M656" s="24" t="str">
        <f>VLOOKUP(MID(Q656,1,3),CODE!$B:$G,CODE!D$1,FALSE)</f>
        <v>GOO</v>
      </c>
      <c r="N656" s="24" t="str">
        <f t="shared" si="129"/>
        <v>MI</v>
      </c>
      <c r="O656" s="29" t="str">
        <f>IF(ISERROR(IF(VLOOKUP($N656,CODE!$K:$P,CODE!$O$1,FALSE)="",$M656,$M656&amp;"-"&amp;VLOOKUP($N656,CODE!$K:$P,CODE!$O$1,FALSE)))=TRUE,"",IF(VLOOKUP($N656,CODE!$K:$P,CODE!$O$1,FALSE)="",$M656,$M656&amp;"-"&amp;VLOOKUP($N656,CODE!$K:$P,CODE!$O$1,FALSE)))</f>
        <v>GOO</v>
      </c>
      <c r="P656" s="29" t="str">
        <f t="shared" si="130"/>
        <v>GOOMIE3306</v>
      </c>
      <c r="Q656" s="1" t="s">
        <v>1442</v>
      </c>
      <c r="R656" s="1" t="s">
        <v>15</v>
      </c>
      <c r="S656" s="26">
        <v>240</v>
      </c>
      <c r="T656" s="26">
        <v>14160000</v>
      </c>
      <c r="U656" s="26">
        <v>3575757.5757575752</v>
      </c>
      <c r="V656" s="26">
        <v>3.6</v>
      </c>
      <c r="W656" s="26">
        <v>0</v>
      </c>
      <c r="X656" s="26">
        <v>240</v>
      </c>
    </row>
    <row r="657" spans="1:24">
      <c r="A657" s="24" t="str">
        <f t="shared" si="131"/>
        <v>신규</v>
      </c>
      <c r="B657" s="24" t="str">
        <f>IF(COUNTIF(Q$1:Q656,Q657)=0,"최초","리오더")</f>
        <v>최초</v>
      </c>
      <c r="C657" s="24" t="str">
        <f t="shared" si="120"/>
        <v>GOOFEE5307</v>
      </c>
      <c r="D657" s="24">
        <f t="shared" si="121"/>
        <v>1</v>
      </c>
      <c r="E657" s="24" t="str">
        <f t="shared" si="122"/>
        <v/>
      </c>
      <c r="F657" s="24">
        <f t="shared" si="123"/>
        <v>0</v>
      </c>
      <c r="G657" s="24" t="str">
        <f t="shared" si="124"/>
        <v>GOOFEE5307BK</v>
      </c>
      <c r="H657" s="24">
        <f t="shared" si="125"/>
        <v>1</v>
      </c>
      <c r="I657" s="24" t="str">
        <f t="shared" si="126"/>
        <v/>
      </c>
      <c r="J657" s="24">
        <f t="shared" si="127"/>
        <v>0</v>
      </c>
      <c r="K657" s="24" t="str">
        <f t="shared" si="128"/>
        <v>E5</v>
      </c>
      <c r="L657" s="24" t="str">
        <f>VLOOKUP(N657,CODE!K:P,CODE!$P$1,FALSE)</f>
        <v>모자</v>
      </c>
      <c r="M657" s="24" t="str">
        <f>VLOOKUP(MID(Q657,1,3),CODE!$B:$G,CODE!D$1,FALSE)</f>
        <v>GOO</v>
      </c>
      <c r="N657" s="24" t="str">
        <f t="shared" si="129"/>
        <v>FE</v>
      </c>
      <c r="O657" s="29" t="str">
        <f>IF(ISERROR(IF(VLOOKUP($N657,CODE!$K:$P,CODE!$O$1,FALSE)="",$M657,$M657&amp;"-"&amp;VLOOKUP($N657,CODE!$K:$P,CODE!$O$1,FALSE)))=TRUE,"",IF(VLOOKUP($N657,CODE!$K:$P,CODE!$O$1,FALSE)="",$M657,$M657&amp;"-"&amp;VLOOKUP($N657,CODE!$K:$P,CODE!$O$1,FALSE)))</f>
        <v>GOO</v>
      </c>
      <c r="P657" s="29" t="str">
        <f t="shared" si="130"/>
        <v>GOOFEE5307</v>
      </c>
      <c r="Q657" s="1" t="s">
        <v>1443</v>
      </c>
      <c r="R657" s="1" t="s">
        <v>15</v>
      </c>
      <c r="S657" s="26">
        <v>144</v>
      </c>
      <c r="T657" s="26">
        <v>9360000</v>
      </c>
      <c r="U657" s="26">
        <v>2363636.3636363633</v>
      </c>
      <c r="V657" s="26">
        <v>3.6</v>
      </c>
      <c r="W657" s="26">
        <v>0</v>
      </c>
      <c r="X657" s="26">
        <v>144</v>
      </c>
    </row>
    <row r="658" spans="1:24">
      <c r="A658" s="24" t="str">
        <f t="shared" si="131"/>
        <v>신규</v>
      </c>
      <c r="B658" s="24" t="str">
        <f>IF(COUNTIF(Q$1:Q657,Q658)=0,"최초","리오더")</f>
        <v>최초</v>
      </c>
      <c r="C658" s="24" t="str">
        <f t="shared" si="120"/>
        <v>GOOMIE5308</v>
      </c>
      <c r="D658" s="24">
        <f t="shared" si="121"/>
        <v>1</v>
      </c>
      <c r="E658" s="24" t="str">
        <f t="shared" si="122"/>
        <v/>
      </c>
      <c r="F658" s="24">
        <f t="shared" si="123"/>
        <v>0</v>
      </c>
      <c r="G658" s="24" t="str">
        <f t="shared" si="124"/>
        <v>GOOMIE5308GY</v>
      </c>
      <c r="H658" s="24">
        <f t="shared" si="125"/>
        <v>1</v>
      </c>
      <c r="I658" s="24" t="str">
        <f t="shared" si="126"/>
        <v/>
      </c>
      <c r="J658" s="24">
        <f t="shared" si="127"/>
        <v>0</v>
      </c>
      <c r="K658" s="24" t="str">
        <f t="shared" si="128"/>
        <v>E5</v>
      </c>
      <c r="L658" s="24" t="str">
        <f>VLOOKUP(N658,CODE!K:P,CODE!$P$1,FALSE)</f>
        <v>모자</v>
      </c>
      <c r="M658" s="24" t="str">
        <f>VLOOKUP(MID(Q658,1,3),CODE!$B:$G,CODE!D$1,FALSE)</f>
        <v>GOO</v>
      </c>
      <c r="N658" s="24" t="str">
        <f t="shared" si="129"/>
        <v>MI</v>
      </c>
      <c r="O658" s="29" t="str">
        <f>IF(ISERROR(IF(VLOOKUP($N658,CODE!$K:$P,CODE!$O$1,FALSE)="",$M658,$M658&amp;"-"&amp;VLOOKUP($N658,CODE!$K:$P,CODE!$O$1,FALSE)))=TRUE,"",IF(VLOOKUP($N658,CODE!$K:$P,CODE!$O$1,FALSE)="",$M658,$M658&amp;"-"&amp;VLOOKUP($N658,CODE!$K:$P,CODE!$O$1,FALSE)))</f>
        <v>GOO</v>
      </c>
      <c r="P658" s="29" t="str">
        <f t="shared" si="130"/>
        <v>GOOMIE5308</v>
      </c>
      <c r="Q658" s="1" t="s">
        <v>1444</v>
      </c>
      <c r="R658" s="1" t="s">
        <v>15</v>
      </c>
      <c r="S658" s="26">
        <v>240</v>
      </c>
      <c r="T658" s="26">
        <v>14160000</v>
      </c>
      <c r="U658" s="26">
        <v>3575757.5757575752</v>
      </c>
      <c r="V658" s="26">
        <v>3.6</v>
      </c>
      <c r="W658" s="26">
        <v>0</v>
      </c>
      <c r="X658" s="26">
        <v>240</v>
      </c>
    </row>
    <row r="659" spans="1:24">
      <c r="A659" s="24" t="str">
        <f t="shared" si="131"/>
        <v>신규</v>
      </c>
      <c r="B659" s="24" t="str">
        <f>IF(COUNTIF(Q$1:Q658,Q659)=0,"최초","리오더")</f>
        <v>최초</v>
      </c>
      <c r="C659" s="24" t="str">
        <f t="shared" si="120"/>
        <v>GOOMIE5309</v>
      </c>
      <c r="D659" s="24">
        <f t="shared" si="121"/>
        <v>0.5</v>
      </c>
      <c r="E659" s="24" t="str">
        <f t="shared" si="122"/>
        <v/>
      </c>
      <c r="F659" s="24">
        <f t="shared" si="123"/>
        <v>0</v>
      </c>
      <c r="G659" s="24" t="str">
        <f t="shared" si="124"/>
        <v>GOOMIE5309BK</v>
      </c>
      <c r="H659" s="24">
        <f t="shared" si="125"/>
        <v>1</v>
      </c>
      <c r="I659" s="24" t="str">
        <f t="shared" si="126"/>
        <v/>
      </c>
      <c r="J659" s="24">
        <f t="shared" si="127"/>
        <v>0</v>
      </c>
      <c r="K659" s="24" t="str">
        <f t="shared" si="128"/>
        <v>E5</v>
      </c>
      <c r="L659" s="24" t="str">
        <f>VLOOKUP(N659,CODE!K:P,CODE!$P$1,FALSE)</f>
        <v>모자</v>
      </c>
      <c r="M659" s="24" t="str">
        <f>VLOOKUP(MID(Q659,1,3),CODE!$B:$G,CODE!D$1,FALSE)</f>
        <v>GOO</v>
      </c>
      <c r="N659" s="24" t="str">
        <f t="shared" si="129"/>
        <v>MI</v>
      </c>
      <c r="O659" s="29" t="str">
        <f>IF(ISERROR(IF(VLOOKUP($N659,CODE!$K:$P,CODE!$O$1,FALSE)="",$M659,$M659&amp;"-"&amp;VLOOKUP($N659,CODE!$K:$P,CODE!$O$1,FALSE)))=TRUE,"",IF(VLOOKUP($N659,CODE!$K:$P,CODE!$O$1,FALSE)="",$M659,$M659&amp;"-"&amp;VLOOKUP($N659,CODE!$K:$P,CODE!$O$1,FALSE)))</f>
        <v>GOO</v>
      </c>
      <c r="P659" s="29" t="str">
        <f t="shared" si="130"/>
        <v>GOOMIE5309</v>
      </c>
      <c r="Q659" s="1" t="s">
        <v>1445</v>
      </c>
      <c r="R659" s="1" t="s">
        <v>15</v>
      </c>
      <c r="S659" s="26">
        <v>360</v>
      </c>
      <c r="T659" s="26">
        <v>19800000</v>
      </c>
      <c r="U659" s="26">
        <v>4999999.9999999991</v>
      </c>
      <c r="V659" s="26">
        <v>3.6000000000000005</v>
      </c>
      <c r="W659" s="26">
        <v>0</v>
      </c>
      <c r="X659" s="26">
        <v>360</v>
      </c>
    </row>
    <row r="660" spans="1:24">
      <c r="A660" s="24" t="str">
        <f t="shared" si="131"/>
        <v>신규</v>
      </c>
      <c r="B660" s="24" t="str">
        <f>IF(COUNTIF(Q$1:Q659,Q660)=0,"최초","리오더")</f>
        <v>최초</v>
      </c>
      <c r="C660" s="24" t="str">
        <f t="shared" si="120"/>
        <v>GOOMIE5309</v>
      </c>
      <c r="D660" s="24">
        <f t="shared" si="121"/>
        <v>0.5</v>
      </c>
      <c r="E660" s="24" t="str">
        <f t="shared" si="122"/>
        <v/>
      </c>
      <c r="F660" s="24">
        <f t="shared" si="123"/>
        <v>0</v>
      </c>
      <c r="G660" s="24" t="str">
        <f t="shared" si="124"/>
        <v>GOOMIE5309BW</v>
      </c>
      <c r="H660" s="24">
        <f t="shared" si="125"/>
        <v>1</v>
      </c>
      <c r="I660" s="24" t="str">
        <f t="shared" si="126"/>
        <v/>
      </c>
      <c r="J660" s="24">
        <f t="shared" si="127"/>
        <v>0</v>
      </c>
      <c r="K660" s="24" t="str">
        <f t="shared" si="128"/>
        <v>E5</v>
      </c>
      <c r="L660" s="24" t="str">
        <f>VLOOKUP(N660,CODE!K:P,CODE!$P$1,FALSE)</f>
        <v>모자</v>
      </c>
      <c r="M660" s="24" t="str">
        <f>VLOOKUP(MID(Q660,1,3),CODE!$B:$G,CODE!D$1,FALSE)</f>
        <v>GOO</v>
      </c>
      <c r="N660" s="24" t="str">
        <f t="shared" si="129"/>
        <v>MI</v>
      </c>
      <c r="O660" s="29" t="str">
        <f>IF(ISERROR(IF(VLOOKUP($N660,CODE!$K:$P,CODE!$O$1,FALSE)="",$M660,$M660&amp;"-"&amp;VLOOKUP($N660,CODE!$K:$P,CODE!$O$1,FALSE)))=TRUE,"",IF(VLOOKUP($N660,CODE!$K:$P,CODE!$O$1,FALSE)="",$M660,$M660&amp;"-"&amp;VLOOKUP($N660,CODE!$K:$P,CODE!$O$1,FALSE)))</f>
        <v>GOO</v>
      </c>
      <c r="P660" s="29" t="str">
        <f t="shared" si="130"/>
        <v>GOOMIE5309</v>
      </c>
      <c r="Q660" s="1" t="s">
        <v>1446</v>
      </c>
      <c r="R660" s="1" t="s">
        <v>15</v>
      </c>
      <c r="S660" s="26">
        <v>360</v>
      </c>
      <c r="T660" s="26">
        <v>19800000</v>
      </c>
      <c r="U660" s="26">
        <v>4999999.9999999991</v>
      </c>
      <c r="V660" s="26">
        <v>3.6000000000000005</v>
      </c>
      <c r="W660" s="26">
        <v>0</v>
      </c>
      <c r="X660" s="26">
        <v>360</v>
      </c>
    </row>
    <row r="661" spans="1:24">
      <c r="A661" s="24" t="str">
        <f t="shared" si="131"/>
        <v>러닝</v>
      </c>
      <c r="B661" s="24" t="str">
        <f>IF(COUNTIF(Q$1:Q660,Q661)=0,"최초","리오더")</f>
        <v>최초</v>
      </c>
      <c r="C661" s="24" t="str">
        <f t="shared" ref="C661:C691" si="132">IF($B661="리오더","",P661)</f>
        <v>GOOMIE3043</v>
      </c>
      <c r="D661" s="24">
        <f t="shared" ref="D661:D691" si="133">IF(C661="",0,1/COUNTIF(C:C,C661))</f>
        <v>0.25</v>
      </c>
      <c r="E661" s="24" t="str">
        <f t="shared" ref="E661:E691" si="134">IF($B661="리오더",P661,"")</f>
        <v/>
      </c>
      <c r="F661" s="24">
        <f t="shared" ref="F661:F691" si="135">IF(E661="",0,1/COUNTIF(E:E,E661))</f>
        <v>0</v>
      </c>
      <c r="G661" s="24" t="str">
        <f t="shared" ref="G661:G691" si="136">IF($B661="리오더","",Q661)</f>
        <v>GOOMIE3043BK</v>
      </c>
      <c r="H661" s="24">
        <f t="shared" ref="H661:H691" si="137">IF(G661="",0,1/COUNTIF(G:G,G661))</f>
        <v>1</v>
      </c>
      <c r="I661" s="24" t="str">
        <f t="shared" ref="I661:I691" si="138">IF($B661="리오더",Q661,"")</f>
        <v/>
      </c>
      <c r="J661" s="24">
        <f t="shared" ref="J661:J691" si="139">IF(I661="",0,1/COUNTIF(I:I,I661))</f>
        <v>0</v>
      </c>
      <c r="K661" s="24" t="str">
        <f t="shared" ref="K661:K691" si="140">MID(Q661,6,2)</f>
        <v>E3</v>
      </c>
      <c r="L661" s="24" t="str">
        <f>VLOOKUP(N661,CODE!K:P,CODE!$P$1,FALSE)</f>
        <v>모자</v>
      </c>
      <c r="M661" s="24" t="str">
        <f>VLOOKUP(MID(Q661,1,3),CODE!$B:$G,CODE!D$1,FALSE)</f>
        <v>GOO</v>
      </c>
      <c r="N661" s="24" t="str">
        <f t="shared" ref="N661:N691" si="141">MID(Q661,4,2)</f>
        <v>MI</v>
      </c>
      <c r="O661" s="29" t="str">
        <f>IF(ISERROR(IF(VLOOKUP($N661,CODE!$K:$P,CODE!$O$1,FALSE)="",$M661,$M661&amp;"-"&amp;VLOOKUP($N661,CODE!$K:$P,CODE!$O$1,FALSE)))=TRUE,"",IF(VLOOKUP($N661,CODE!$K:$P,CODE!$O$1,FALSE)="",$M661,$M661&amp;"-"&amp;VLOOKUP($N661,CODE!$K:$P,CODE!$O$1,FALSE)))</f>
        <v>GOO</v>
      </c>
      <c r="P661" s="29" t="str">
        <f t="shared" ref="P661:P691" si="142">MID(Q661,1,10)</f>
        <v>GOOMIE3043</v>
      </c>
      <c r="Q661" s="1" t="s">
        <v>1447</v>
      </c>
      <c r="R661" s="1" t="s">
        <v>15</v>
      </c>
      <c r="S661" s="26">
        <v>360</v>
      </c>
      <c r="T661" s="26">
        <v>17640000</v>
      </c>
      <c r="U661" s="26">
        <v>4454545.4545454541</v>
      </c>
      <c r="V661" s="26">
        <v>3.6</v>
      </c>
      <c r="W661" s="26">
        <v>0</v>
      </c>
      <c r="X661" s="26">
        <v>360</v>
      </c>
    </row>
    <row r="662" spans="1:24">
      <c r="A662" s="24" t="str">
        <f t="shared" si="131"/>
        <v>러닝</v>
      </c>
      <c r="B662" s="24" t="str">
        <f>IF(COUNTIF(Q$1:Q661,Q662)=0,"최초","리오더")</f>
        <v>최초</v>
      </c>
      <c r="C662" s="24" t="str">
        <f t="shared" si="132"/>
        <v>GOOMIE3043</v>
      </c>
      <c r="D662" s="24">
        <f t="shared" si="133"/>
        <v>0.25</v>
      </c>
      <c r="E662" s="24" t="str">
        <f t="shared" si="134"/>
        <v/>
      </c>
      <c r="F662" s="24">
        <f t="shared" si="135"/>
        <v>0</v>
      </c>
      <c r="G662" s="24" t="str">
        <f t="shared" si="136"/>
        <v>GOOMIE3043NY</v>
      </c>
      <c r="H662" s="24">
        <f t="shared" si="137"/>
        <v>1</v>
      </c>
      <c r="I662" s="24" t="str">
        <f t="shared" si="138"/>
        <v/>
      </c>
      <c r="J662" s="24">
        <f t="shared" si="139"/>
        <v>0</v>
      </c>
      <c r="K662" s="24" t="str">
        <f t="shared" si="140"/>
        <v>E3</v>
      </c>
      <c r="L662" s="24" t="str">
        <f>VLOOKUP(N662,CODE!K:P,CODE!$P$1,FALSE)</f>
        <v>모자</v>
      </c>
      <c r="M662" s="24" t="str">
        <f>VLOOKUP(MID(Q662,1,3),CODE!$B:$G,CODE!D$1,FALSE)</f>
        <v>GOO</v>
      </c>
      <c r="N662" s="24" t="str">
        <f t="shared" si="141"/>
        <v>MI</v>
      </c>
      <c r="O662" s="29" t="str">
        <f>IF(ISERROR(IF(VLOOKUP($N662,CODE!$K:$P,CODE!$O$1,FALSE)="",$M662,$M662&amp;"-"&amp;VLOOKUP($N662,CODE!$K:$P,CODE!$O$1,FALSE)))=TRUE,"",IF(VLOOKUP($N662,CODE!$K:$P,CODE!$O$1,FALSE)="",$M662,$M662&amp;"-"&amp;VLOOKUP($N662,CODE!$K:$P,CODE!$O$1,FALSE)))</f>
        <v>GOO</v>
      </c>
      <c r="P662" s="29" t="str">
        <f t="shared" si="142"/>
        <v>GOOMIE3043</v>
      </c>
      <c r="Q662" s="1" t="s">
        <v>1448</v>
      </c>
      <c r="R662" s="1" t="s">
        <v>15</v>
      </c>
      <c r="S662" s="26">
        <v>360</v>
      </c>
      <c r="T662" s="26">
        <v>17640000</v>
      </c>
      <c r="U662" s="26">
        <v>4454545.4545454541</v>
      </c>
      <c r="V662" s="26">
        <v>3.6</v>
      </c>
      <c r="W662" s="26">
        <v>0</v>
      </c>
      <c r="X662" s="26">
        <v>360</v>
      </c>
    </row>
    <row r="663" spans="1:24">
      <c r="A663" s="24" t="str">
        <f t="shared" si="131"/>
        <v>러닝</v>
      </c>
      <c r="B663" s="24" t="str">
        <f>IF(COUNTIF(Q$1:Q662,Q663)=0,"최초","리오더")</f>
        <v>최초</v>
      </c>
      <c r="C663" s="24" t="str">
        <f t="shared" si="132"/>
        <v>GOOMIE3043</v>
      </c>
      <c r="D663" s="24">
        <f t="shared" si="133"/>
        <v>0.25</v>
      </c>
      <c r="E663" s="24" t="str">
        <f t="shared" si="134"/>
        <v/>
      </c>
      <c r="F663" s="24">
        <f t="shared" si="135"/>
        <v>0</v>
      </c>
      <c r="G663" s="24" t="str">
        <f t="shared" si="136"/>
        <v>GOOMIE3043KH</v>
      </c>
      <c r="H663" s="24">
        <f t="shared" si="137"/>
        <v>1</v>
      </c>
      <c r="I663" s="24" t="str">
        <f t="shared" si="138"/>
        <v/>
      </c>
      <c r="J663" s="24">
        <f t="shared" si="139"/>
        <v>0</v>
      </c>
      <c r="K663" s="24" t="str">
        <f t="shared" si="140"/>
        <v>E3</v>
      </c>
      <c r="L663" s="24" t="str">
        <f>VLOOKUP(N663,CODE!K:P,CODE!$P$1,FALSE)</f>
        <v>모자</v>
      </c>
      <c r="M663" s="24" t="str">
        <f>VLOOKUP(MID(Q663,1,3),CODE!$B:$G,CODE!D$1,FALSE)</f>
        <v>GOO</v>
      </c>
      <c r="N663" s="24" t="str">
        <f t="shared" si="141"/>
        <v>MI</v>
      </c>
      <c r="O663" s="29" t="str">
        <f>IF(ISERROR(IF(VLOOKUP($N663,CODE!$K:$P,CODE!$O$1,FALSE)="",$M663,$M663&amp;"-"&amp;VLOOKUP($N663,CODE!$K:$P,CODE!$O$1,FALSE)))=TRUE,"",IF(VLOOKUP($N663,CODE!$K:$P,CODE!$O$1,FALSE)="",$M663,$M663&amp;"-"&amp;VLOOKUP($N663,CODE!$K:$P,CODE!$O$1,FALSE)))</f>
        <v>GOO</v>
      </c>
      <c r="P663" s="29" t="str">
        <f t="shared" si="142"/>
        <v>GOOMIE3043</v>
      </c>
      <c r="Q663" s="1" t="s">
        <v>1449</v>
      </c>
      <c r="R663" s="1" t="s">
        <v>15</v>
      </c>
      <c r="S663" s="26">
        <v>360</v>
      </c>
      <c r="T663" s="26">
        <v>17640000</v>
      </c>
      <c r="U663" s="26">
        <v>4454545.4545454541</v>
      </c>
      <c r="V663" s="26">
        <v>3.6</v>
      </c>
      <c r="W663" s="26">
        <v>0</v>
      </c>
      <c r="X663" s="26">
        <v>360</v>
      </c>
    </row>
    <row r="664" spans="1:24">
      <c r="A664" s="24" t="str">
        <f t="shared" si="131"/>
        <v>러닝</v>
      </c>
      <c r="B664" s="24" t="str">
        <f>IF(COUNTIF(Q$1:Q663,Q664)=0,"최초","리오더")</f>
        <v>최초</v>
      </c>
      <c r="C664" s="24" t="str">
        <f t="shared" si="132"/>
        <v>GOOMIE3043</v>
      </c>
      <c r="D664" s="24">
        <f t="shared" si="133"/>
        <v>0.25</v>
      </c>
      <c r="E664" s="24" t="str">
        <f t="shared" si="134"/>
        <v/>
      </c>
      <c r="F664" s="24">
        <f t="shared" si="135"/>
        <v>0</v>
      </c>
      <c r="G664" s="24" t="str">
        <f t="shared" si="136"/>
        <v>GOOMIE3043GY</v>
      </c>
      <c r="H664" s="24">
        <f t="shared" si="137"/>
        <v>1</v>
      </c>
      <c r="I664" s="24" t="str">
        <f t="shared" si="138"/>
        <v/>
      </c>
      <c r="J664" s="24">
        <f t="shared" si="139"/>
        <v>0</v>
      </c>
      <c r="K664" s="24" t="str">
        <f t="shared" si="140"/>
        <v>E3</v>
      </c>
      <c r="L664" s="24" t="str">
        <f>VLOOKUP(N664,CODE!K:P,CODE!$P$1,FALSE)</f>
        <v>모자</v>
      </c>
      <c r="M664" s="24" t="str">
        <f>VLOOKUP(MID(Q664,1,3),CODE!$B:$G,CODE!D$1,FALSE)</f>
        <v>GOO</v>
      </c>
      <c r="N664" s="24" t="str">
        <f t="shared" si="141"/>
        <v>MI</v>
      </c>
      <c r="O664" s="29" t="str">
        <f>IF(ISERROR(IF(VLOOKUP($N664,CODE!$K:$P,CODE!$O$1,FALSE)="",$M664,$M664&amp;"-"&amp;VLOOKUP($N664,CODE!$K:$P,CODE!$O$1,FALSE)))=TRUE,"",IF(VLOOKUP($N664,CODE!$K:$P,CODE!$O$1,FALSE)="",$M664,$M664&amp;"-"&amp;VLOOKUP($N664,CODE!$K:$P,CODE!$O$1,FALSE)))</f>
        <v>GOO</v>
      </c>
      <c r="P664" s="29" t="str">
        <f t="shared" si="142"/>
        <v>GOOMIE3043</v>
      </c>
      <c r="Q664" s="1" t="s">
        <v>1450</v>
      </c>
      <c r="R664" s="1" t="s">
        <v>15</v>
      </c>
      <c r="S664" s="26">
        <v>240</v>
      </c>
      <c r="T664" s="26">
        <v>11760000</v>
      </c>
      <c r="U664" s="26">
        <v>2969696.9696969697</v>
      </c>
      <c r="V664" s="26">
        <v>3.5999999999999996</v>
      </c>
      <c r="W664" s="26">
        <v>0</v>
      </c>
      <c r="X664" s="26">
        <v>240</v>
      </c>
    </row>
    <row r="665" spans="1:24">
      <c r="A665" s="24" t="str">
        <f t="shared" si="131"/>
        <v>신규</v>
      </c>
      <c r="B665" s="24" t="str">
        <f>IF(COUNTIF(Q$1:Q664,Q665)=0,"최초","리오더")</f>
        <v>최초</v>
      </c>
      <c r="C665" s="24" t="str">
        <f t="shared" si="132"/>
        <v>JILBEE5361</v>
      </c>
      <c r="D665" s="24">
        <f t="shared" si="133"/>
        <v>0.33333333333333331</v>
      </c>
      <c r="E665" s="24" t="str">
        <f t="shared" si="134"/>
        <v/>
      </c>
      <c r="F665" s="24">
        <f t="shared" si="135"/>
        <v>0</v>
      </c>
      <c r="G665" s="24" t="str">
        <f t="shared" si="136"/>
        <v>JILBEE5361YE</v>
      </c>
      <c r="H665" s="24">
        <f t="shared" si="137"/>
        <v>1</v>
      </c>
      <c r="I665" s="24" t="str">
        <f t="shared" si="138"/>
        <v/>
      </c>
      <c r="J665" s="24">
        <f t="shared" si="139"/>
        <v>0</v>
      </c>
      <c r="K665" s="24" t="str">
        <f t="shared" si="140"/>
        <v>E5</v>
      </c>
      <c r="L665" s="24" t="str">
        <f>VLOOKUP(N665,CODE!K:P,CODE!$P$1,FALSE)</f>
        <v>모자</v>
      </c>
      <c r="M665" s="24" t="str">
        <f>VLOOKUP(MID(Q665,1,3),CODE!$B:$G,CODE!D$1,FALSE)</f>
        <v>JIL</v>
      </c>
      <c r="N665" s="24" t="str">
        <f t="shared" si="141"/>
        <v>BE</v>
      </c>
      <c r="O665" s="29" t="str">
        <f>IF(ISERROR(IF(VLOOKUP($N665,CODE!$K:$P,CODE!$O$1,FALSE)="",$M665,$M665&amp;"-"&amp;VLOOKUP($N665,CODE!$K:$P,CODE!$O$1,FALSE)))=TRUE,"",IF(VLOOKUP($N665,CODE!$K:$P,CODE!$O$1,FALSE)="",$M665,$M665&amp;"-"&amp;VLOOKUP($N665,CODE!$K:$P,CODE!$O$1,FALSE)))</f>
        <v>JIL</v>
      </c>
      <c r="P665" s="29" t="str">
        <f t="shared" si="142"/>
        <v>JILBEE5361</v>
      </c>
      <c r="Q665" s="1" t="s">
        <v>1451</v>
      </c>
      <c r="R665" s="1" t="s">
        <v>14</v>
      </c>
      <c r="S665" s="26">
        <v>700</v>
      </c>
      <c r="T665" s="26">
        <v>27300000</v>
      </c>
      <c r="U665" s="26">
        <v>3388448</v>
      </c>
      <c r="V665" s="26">
        <v>7.3243507995937422</v>
      </c>
      <c r="W665" s="26">
        <v>0</v>
      </c>
      <c r="X665" s="26">
        <v>700</v>
      </c>
    </row>
    <row r="666" spans="1:24">
      <c r="A666" s="24" t="str">
        <f t="shared" si="131"/>
        <v>신규</v>
      </c>
      <c r="B666" s="24" t="str">
        <f>IF(COUNTIF(Q$1:Q665,Q666)=0,"최초","리오더")</f>
        <v>최초</v>
      </c>
      <c r="C666" s="24" t="str">
        <f t="shared" si="132"/>
        <v>JILBEE5361</v>
      </c>
      <c r="D666" s="24">
        <f t="shared" si="133"/>
        <v>0.33333333333333331</v>
      </c>
      <c r="E666" s="24" t="str">
        <f t="shared" si="134"/>
        <v/>
      </c>
      <c r="F666" s="24">
        <f t="shared" si="135"/>
        <v>0</v>
      </c>
      <c r="G666" s="24" t="str">
        <f t="shared" si="136"/>
        <v>JILBEE5361PK</v>
      </c>
      <c r="H666" s="24">
        <f t="shared" si="137"/>
        <v>1</v>
      </c>
      <c r="I666" s="24" t="str">
        <f t="shared" si="138"/>
        <v/>
      </c>
      <c r="J666" s="24">
        <f t="shared" si="139"/>
        <v>0</v>
      </c>
      <c r="K666" s="24" t="str">
        <f t="shared" si="140"/>
        <v>E5</v>
      </c>
      <c r="L666" s="24" t="str">
        <f>VLOOKUP(N666,CODE!K:P,CODE!$P$1,FALSE)</f>
        <v>모자</v>
      </c>
      <c r="M666" s="24" t="str">
        <f>VLOOKUP(MID(Q666,1,3),CODE!$B:$G,CODE!D$1,FALSE)</f>
        <v>JIL</v>
      </c>
      <c r="N666" s="24" t="str">
        <f t="shared" si="141"/>
        <v>BE</v>
      </c>
      <c r="O666" s="29" t="str">
        <f>IF(ISERROR(IF(VLOOKUP($N666,CODE!$K:$P,CODE!$O$1,FALSE)="",$M666,$M666&amp;"-"&amp;VLOOKUP($N666,CODE!$K:$P,CODE!$O$1,FALSE)))=TRUE,"",IF(VLOOKUP($N666,CODE!$K:$P,CODE!$O$1,FALSE)="",$M666,$M666&amp;"-"&amp;VLOOKUP($N666,CODE!$K:$P,CODE!$O$1,FALSE)))</f>
        <v>JIL</v>
      </c>
      <c r="P666" s="29" t="str">
        <f t="shared" si="142"/>
        <v>JILBEE5361</v>
      </c>
      <c r="Q666" s="1" t="s">
        <v>1452</v>
      </c>
      <c r="R666" s="1" t="s">
        <v>14</v>
      </c>
      <c r="S666" s="26">
        <v>700</v>
      </c>
      <c r="T666" s="26">
        <v>27300000</v>
      </c>
      <c r="U666" s="26">
        <v>3388448</v>
      </c>
      <c r="V666" s="26">
        <v>7.3243507995937422</v>
      </c>
      <c r="W666" s="26">
        <v>0</v>
      </c>
      <c r="X666" s="26">
        <v>700</v>
      </c>
    </row>
    <row r="667" spans="1:24">
      <c r="A667" s="24" t="str">
        <f t="shared" si="131"/>
        <v>신규</v>
      </c>
      <c r="B667" s="24" t="str">
        <f>IF(COUNTIF(Q$1:Q666,Q667)=0,"최초","리오더")</f>
        <v>최초</v>
      </c>
      <c r="C667" s="24" t="str">
        <f t="shared" si="132"/>
        <v>JILBEE5361</v>
      </c>
      <c r="D667" s="24">
        <f t="shared" si="133"/>
        <v>0.33333333333333331</v>
      </c>
      <c r="E667" s="24" t="str">
        <f t="shared" si="134"/>
        <v/>
      </c>
      <c r="F667" s="24">
        <f t="shared" si="135"/>
        <v>0</v>
      </c>
      <c r="G667" s="24" t="str">
        <f t="shared" si="136"/>
        <v>JILBEE5361BW</v>
      </c>
      <c r="H667" s="24">
        <f t="shared" si="137"/>
        <v>1</v>
      </c>
      <c r="I667" s="24" t="str">
        <f t="shared" si="138"/>
        <v/>
      </c>
      <c r="J667" s="24">
        <f t="shared" si="139"/>
        <v>0</v>
      </c>
      <c r="K667" s="24" t="str">
        <f t="shared" si="140"/>
        <v>E5</v>
      </c>
      <c r="L667" s="24" t="str">
        <f>VLOOKUP(N667,CODE!K:P,CODE!$P$1,FALSE)</f>
        <v>모자</v>
      </c>
      <c r="M667" s="24" t="str">
        <f>VLOOKUP(MID(Q667,1,3),CODE!$B:$G,CODE!D$1,FALSE)</f>
        <v>JIL</v>
      </c>
      <c r="N667" s="24" t="str">
        <f t="shared" si="141"/>
        <v>BE</v>
      </c>
      <c r="O667" s="29" t="str">
        <f>IF(ISERROR(IF(VLOOKUP($N667,CODE!$K:$P,CODE!$O$1,FALSE)="",$M667,$M667&amp;"-"&amp;VLOOKUP($N667,CODE!$K:$P,CODE!$O$1,FALSE)))=TRUE,"",IF(VLOOKUP($N667,CODE!$K:$P,CODE!$O$1,FALSE)="",$M667,$M667&amp;"-"&amp;VLOOKUP($N667,CODE!$K:$P,CODE!$O$1,FALSE)))</f>
        <v>JIL</v>
      </c>
      <c r="P667" s="29" t="str">
        <f t="shared" si="142"/>
        <v>JILBEE5361</v>
      </c>
      <c r="Q667" s="1" t="s">
        <v>1453</v>
      </c>
      <c r="R667" s="1" t="s">
        <v>14</v>
      </c>
      <c r="S667" s="26">
        <v>700</v>
      </c>
      <c r="T667" s="26">
        <v>27300000</v>
      </c>
      <c r="U667" s="26">
        <v>3388448</v>
      </c>
      <c r="V667" s="26">
        <v>7.3243507995937422</v>
      </c>
      <c r="W667" s="26">
        <v>0</v>
      </c>
      <c r="X667" s="26">
        <v>700</v>
      </c>
    </row>
    <row r="668" spans="1:24">
      <c r="A668" s="24" t="str">
        <f t="shared" si="131"/>
        <v>신규</v>
      </c>
      <c r="B668" s="24" t="str">
        <f>IF(COUNTIF(Q$1:Q667,Q668)=0,"최초","리오더")</f>
        <v>최초</v>
      </c>
      <c r="C668" s="24" t="str">
        <f t="shared" si="132"/>
        <v>JILWAE5362</v>
      </c>
      <c r="D668" s="24">
        <f t="shared" si="133"/>
        <v>1</v>
      </c>
      <c r="E668" s="24" t="str">
        <f t="shared" si="134"/>
        <v/>
      </c>
      <c r="F668" s="24">
        <f t="shared" si="135"/>
        <v>0</v>
      </c>
      <c r="G668" s="24" t="str">
        <f t="shared" si="136"/>
        <v>JILWAE5362MT</v>
      </c>
      <c r="H668" s="24">
        <f t="shared" si="137"/>
        <v>1</v>
      </c>
      <c r="I668" s="24" t="str">
        <f t="shared" si="138"/>
        <v/>
      </c>
      <c r="J668" s="24">
        <f t="shared" si="139"/>
        <v>0</v>
      </c>
      <c r="K668" s="24" t="str">
        <f t="shared" si="140"/>
        <v>E5</v>
      </c>
      <c r="L668" s="24" t="str">
        <f>VLOOKUP(N668,CODE!K:P,CODE!$P$1,FALSE)</f>
        <v>ACC</v>
      </c>
      <c r="M668" s="24" t="str">
        <f>VLOOKUP(MID(Q668,1,3),CODE!$B:$G,CODE!D$1,FALSE)</f>
        <v>JIL</v>
      </c>
      <c r="N668" s="24" t="str">
        <f t="shared" si="141"/>
        <v>WA</v>
      </c>
      <c r="O668" s="29" t="str">
        <f>IF(ISERROR(IF(VLOOKUP($N668,CODE!$K:$P,CODE!$O$1,FALSE)="",$M668,$M668&amp;"-"&amp;VLOOKUP($N668,CODE!$K:$P,CODE!$O$1,FALSE)))=TRUE,"",IF(VLOOKUP($N668,CODE!$K:$P,CODE!$O$1,FALSE)="",$M668,$M668&amp;"-"&amp;VLOOKUP($N668,CODE!$K:$P,CODE!$O$1,FALSE)))</f>
        <v>JIL-ACC</v>
      </c>
      <c r="P668" s="29" t="str">
        <f t="shared" si="142"/>
        <v>JILWAE5362</v>
      </c>
      <c r="Q668" s="1" t="s">
        <v>1454</v>
      </c>
      <c r="R668" s="1" t="s">
        <v>14</v>
      </c>
      <c r="S668" s="26">
        <v>400</v>
      </c>
      <c r="T668" s="26">
        <v>26000000</v>
      </c>
      <c r="U668" s="26">
        <v>5135808</v>
      </c>
      <c r="V668" s="26">
        <v>4.6022677709843576</v>
      </c>
      <c r="W668" s="26">
        <v>0</v>
      </c>
      <c r="X668" s="26">
        <v>400</v>
      </c>
    </row>
    <row r="669" spans="1:24">
      <c r="A669" s="24" t="str">
        <f t="shared" si="131"/>
        <v>신규</v>
      </c>
      <c r="B669" s="24" t="str">
        <f>IF(COUNTIF(Q$1:Q668,Q669)=0,"최초","리오더")</f>
        <v>최초</v>
      </c>
      <c r="C669" s="24" t="str">
        <f t="shared" si="132"/>
        <v>JILWAE5363</v>
      </c>
      <c r="D669" s="24">
        <f t="shared" si="133"/>
        <v>1</v>
      </c>
      <c r="E669" s="24" t="str">
        <f t="shared" si="134"/>
        <v/>
      </c>
      <c r="F669" s="24">
        <f t="shared" si="135"/>
        <v>0</v>
      </c>
      <c r="G669" s="24" t="str">
        <f t="shared" si="136"/>
        <v>JILWAE5363BK</v>
      </c>
      <c r="H669" s="24">
        <f t="shared" si="137"/>
        <v>1</v>
      </c>
      <c r="I669" s="24" t="str">
        <f t="shared" si="138"/>
        <v/>
      </c>
      <c r="J669" s="24">
        <f t="shared" si="139"/>
        <v>0</v>
      </c>
      <c r="K669" s="24" t="str">
        <f t="shared" si="140"/>
        <v>E5</v>
      </c>
      <c r="L669" s="24" t="str">
        <f>VLOOKUP(N669,CODE!K:P,CODE!$P$1,FALSE)</f>
        <v>ACC</v>
      </c>
      <c r="M669" s="24" t="str">
        <f>VLOOKUP(MID(Q669,1,3),CODE!$B:$G,CODE!D$1,FALSE)</f>
        <v>JIL</v>
      </c>
      <c r="N669" s="24" t="str">
        <f t="shared" si="141"/>
        <v>WA</v>
      </c>
      <c r="O669" s="29" t="str">
        <f>IF(ISERROR(IF(VLOOKUP($N669,CODE!$K:$P,CODE!$O$1,FALSE)="",$M669,$M669&amp;"-"&amp;VLOOKUP($N669,CODE!$K:$P,CODE!$O$1,FALSE)))=TRUE,"",IF(VLOOKUP($N669,CODE!$K:$P,CODE!$O$1,FALSE)="",$M669,$M669&amp;"-"&amp;VLOOKUP($N669,CODE!$K:$P,CODE!$O$1,FALSE)))</f>
        <v>JIL-ACC</v>
      </c>
      <c r="P669" s="29" t="str">
        <f t="shared" si="142"/>
        <v>JILWAE5363</v>
      </c>
      <c r="Q669" s="1" t="s">
        <v>1455</v>
      </c>
      <c r="R669" s="1" t="s">
        <v>14</v>
      </c>
      <c r="S669" s="26">
        <v>400</v>
      </c>
      <c r="T669" s="26">
        <v>26000000</v>
      </c>
      <c r="U669" s="26">
        <v>5135808</v>
      </c>
      <c r="V669" s="26">
        <v>4.6022677709843576</v>
      </c>
      <c r="W669" s="26">
        <v>0</v>
      </c>
      <c r="X669" s="26">
        <v>400</v>
      </c>
    </row>
    <row r="670" spans="1:24">
      <c r="A670" s="24" t="str">
        <f t="shared" si="131"/>
        <v>신규</v>
      </c>
      <c r="B670" s="24" t="str">
        <f>IF(COUNTIF(Q$1:Q669,Q670)=0,"최초","리오더")</f>
        <v>최초</v>
      </c>
      <c r="C670" s="24" t="str">
        <f t="shared" si="132"/>
        <v>JILCME5364</v>
      </c>
      <c r="D670" s="24">
        <f t="shared" si="133"/>
        <v>0.5</v>
      </c>
      <c r="E670" s="24" t="str">
        <f t="shared" si="134"/>
        <v/>
      </c>
      <c r="F670" s="24">
        <f t="shared" si="135"/>
        <v>0</v>
      </c>
      <c r="G670" s="24" t="str">
        <f t="shared" si="136"/>
        <v>JILCME5364PK</v>
      </c>
      <c r="H670" s="24">
        <f t="shared" si="137"/>
        <v>1</v>
      </c>
      <c r="I670" s="24" t="str">
        <f t="shared" si="138"/>
        <v/>
      </c>
      <c r="J670" s="24">
        <f t="shared" si="139"/>
        <v>0</v>
      </c>
      <c r="K670" s="24" t="str">
        <f t="shared" si="140"/>
        <v>E5</v>
      </c>
      <c r="L670" s="24" t="str">
        <f>VLOOKUP(N670,CODE!K:P,CODE!$P$1,FALSE)</f>
        <v>모자</v>
      </c>
      <c r="M670" s="24" t="str">
        <f>VLOOKUP(MID(Q670,1,3),CODE!$B:$G,CODE!D$1,FALSE)</f>
        <v>JIL</v>
      </c>
      <c r="N670" s="24" t="str">
        <f t="shared" si="141"/>
        <v>CM</v>
      </c>
      <c r="O670" s="29" t="str">
        <f>IF(ISERROR(IF(VLOOKUP($N670,CODE!$K:$P,CODE!$O$1,FALSE)="",$M670,$M670&amp;"-"&amp;VLOOKUP($N670,CODE!$K:$P,CODE!$O$1,FALSE)))=TRUE,"",IF(VLOOKUP($N670,CODE!$K:$P,CODE!$O$1,FALSE)="",$M670,$M670&amp;"-"&amp;VLOOKUP($N670,CODE!$K:$P,CODE!$O$1,FALSE)))</f>
        <v>JIL</v>
      </c>
      <c r="P670" s="29" t="str">
        <f t="shared" si="142"/>
        <v>JILCME5364</v>
      </c>
      <c r="Q670" s="1" t="s">
        <v>1456</v>
      </c>
      <c r="R670" s="1" t="s">
        <v>14</v>
      </c>
      <c r="S670" s="26">
        <v>700</v>
      </c>
      <c r="T670" s="26">
        <v>31500000</v>
      </c>
      <c r="U670" s="26">
        <v>4434827.6000000015</v>
      </c>
      <c r="V670" s="26">
        <v>6.4571537428791199</v>
      </c>
      <c r="W670" s="26">
        <v>0</v>
      </c>
      <c r="X670" s="26">
        <v>700</v>
      </c>
    </row>
    <row r="671" spans="1:24">
      <c r="A671" s="24" t="str">
        <f t="shared" si="131"/>
        <v>신규</v>
      </c>
      <c r="B671" s="24" t="str">
        <f>IF(COUNTIF(Q$1:Q670,Q671)=0,"최초","리오더")</f>
        <v>최초</v>
      </c>
      <c r="C671" s="24" t="str">
        <f t="shared" si="132"/>
        <v>JILCME5364</v>
      </c>
      <c r="D671" s="24">
        <f t="shared" si="133"/>
        <v>0.5</v>
      </c>
      <c r="E671" s="24" t="str">
        <f t="shared" si="134"/>
        <v/>
      </c>
      <c r="F671" s="24">
        <f t="shared" si="135"/>
        <v>0</v>
      </c>
      <c r="G671" s="24" t="str">
        <f t="shared" si="136"/>
        <v>JILCME5364BK</v>
      </c>
      <c r="H671" s="24">
        <f t="shared" si="137"/>
        <v>1</v>
      </c>
      <c r="I671" s="24" t="str">
        <f t="shared" si="138"/>
        <v/>
      </c>
      <c r="J671" s="24">
        <f t="shared" si="139"/>
        <v>0</v>
      </c>
      <c r="K671" s="24" t="str">
        <f t="shared" si="140"/>
        <v>E5</v>
      </c>
      <c r="L671" s="24" t="str">
        <f>VLOOKUP(N671,CODE!K:P,CODE!$P$1,FALSE)</f>
        <v>모자</v>
      </c>
      <c r="M671" s="24" t="str">
        <f>VLOOKUP(MID(Q671,1,3),CODE!$B:$G,CODE!D$1,FALSE)</f>
        <v>JIL</v>
      </c>
      <c r="N671" s="24" t="str">
        <f t="shared" si="141"/>
        <v>CM</v>
      </c>
      <c r="O671" s="29" t="str">
        <f>IF(ISERROR(IF(VLOOKUP($N671,CODE!$K:$P,CODE!$O$1,FALSE)="",$M671,$M671&amp;"-"&amp;VLOOKUP($N671,CODE!$K:$P,CODE!$O$1,FALSE)))=TRUE,"",IF(VLOOKUP($N671,CODE!$K:$P,CODE!$O$1,FALSE)="",$M671,$M671&amp;"-"&amp;VLOOKUP($N671,CODE!$K:$P,CODE!$O$1,FALSE)))</f>
        <v>JIL</v>
      </c>
      <c r="P671" s="29" t="str">
        <f t="shared" si="142"/>
        <v>JILCME5364</v>
      </c>
      <c r="Q671" s="1" t="s">
        <v>1457</v>
      </c>
      <c r="R671" s="1" t="s">
        <v>14</v>
      </c>
      <c r="S671" s="26">
        <v>700</v>
      </c>
      <c r="T671" s="26">
        <v>31500000</v>
      </c>
      <c r="U671" s="26">
        <v>4434827.6000000015</v>
      </c>
      <c r="V671" s="26">
        <v>6.4571537428791199</v>
      </c>
      <c r="W671" s="26">
        <v>0</v>
      </c>
      <c r="X671" s="26">
        <v>700</v>
      </c>
    </row>
    <row r="672" spans="1:24">
      <c r="A672" s="24" t="str">
        <f t="shared" si="131"/>
        <v>신규</v>
      </c>
      <c r="B672" s="24" t="str">
        <f>IF(COUNTIF(Q$1:Q671,Q672)=0,"최초","리오더")</f>
        <v>최초</v>
      </c>
      <c r="C672" s="24" t="str">
        <f t="shared" si="132"/>
        <v>JILEBE5365</v>
      </c>
      <c r="D672" s="24">
        <f t="shared" si="133"/>
        <v>1</v>
      </c>
      <c r="E672" s="24" t="str">
        <f t="shared" si="134"/>
        <v/>
      </c>
      <c r="F672" s="24">
        <f t="shared" si="135"/>
        <v>0</v>
      </c>
      <c r="G672" s="24" t="str">
        <f t="shared" si="136"/>
        <v>JILEBE5365IV</v>
      </c>
      <c r="H672" s="24">
        <f t="shared" si="137"/>
        <v>1</v>
      </c>
      <c r="I672" s="24" t="str">
        <f t="shared" si="138"/>
        <v/>
      </c>
      <c r="J672" s="24">
        <f t="shared" si="139"/>
        <v>0</v>
      </c>
      <c r="K672" s="24" t="str">
        <f t="shared" si="140"/>
        <v>E5</v>
      </c>
      <c r="L672" s="24" t="str">
        <f>VLOOKUP(N672,CODE!K:P,CODE!$P$1,FALSE)</f>
        <v>모자</v>
      </c>
      <c r="M672" s="24" t="str">
        <f>VLOOKUP(MID(Q672,1,3),CODE!$B:$G,CODE!D$1,FALSE)</f>
        <v>JIL</v>
      </c>
      <c r="N672" s="24" t="str">
        <f t="shared" si="141"/>
        <v>EB</v>
      </c>
      <c r="O672" s="29" t="str">
        <f>IF(ISERROR(IF(VLOOKUP($N672,CODE!$K:$P,CODE!$O$1,FALSE)="",$M672,$M672&amp;"-"&amp;VLOOKUP($N672,CODE!$K:$P,CODE!$O$1,FALSE)))=TRUE,"",IF(VLOOKUP($N672,CODE!$K:$P,CODE!$O$1,FALSE)="",$M672,$M672&amp;"-"&amp;VLOOKUP($N672,CODE!$K:$P,CODE!$O$1,FALSE)))</f>
        <v>JIL</v>
      </c>
      <c r="P672" s="29" t="str">
        <f t="shared" si="142"/>
        <v>JILEBE5365</v>
      </c>
      <c r="Q672" s="1" t="s">
        <v>1458</v>
      </c>
      <c r="R672" s="1" t="s">
        <v>14</v>
      </c>
      <c r="S672" s="26">
        <v>700</v>
      </c>
      <c r="T672" s="26">
        <v>31500000</v>
      </c>
      <c r="U672" s="26">
        <v>3006021.2000000007</v>
      </c>
      <c r="V672" s="26">
        <v>9.5263345569098554</v>
      </c>
      <c r="W672" s="26">
        <v>0</v>
      </c>
      <c r="X672" s="26">
        <v>700</v>
      </c>
    </row>
    <row r="673" spans="1:24">
      <c r="A673" s="24" t="str">
        <f t="shared" si="131"/>
        <v>신규</v>
      </c>
      <c r="B673" s="24" t="str">
        <f>IF(COUNTIF(Q$1:Q672,Q673)=0,"최초","리오더")</f>
        <v>최초</v>
      </c>
      <c r="C673" s="24" t="str">
        <f t="shared" si="132"/>
        <v>JOIEDE5313</v>
      </c>
      <c r="D673" s="24">
        <f t="shared" si="133"/>
        <v>1</v>
      </c>
      <c r="E673" s="24" t="str">
        <f t="shared" si="134"/>
        <v/>
      </c>
      <c r="F673" s="24">
        <f t="shared" si="135"/>
        <v>0</v>
      </c>
      <c r="G673" s="24" t="str">
        <f t="shared" si="136"/>
        <v>JOIEDE5313MT</v>
      </c>
      <c r="H673" s="24">
        <f t="shared" si="137"/>
        <v>1</v>
      </c>
      <c r="I673" s="24" t="str">
        <f t="shared" si="138"/>
        <v/>
      </c>
      <c r="J673" s="24">
        <f t="shared" si="139"/>
        <v>0</v>
      </c>
      <c r="K673" s="24" t="str">
        <f t="shared" si="140"/>
        <v>E5</v>
      </c>
      <c r="L673" s="24" t="str">
        <f>VLOOKUP(N673,CODE!K:P,CODE!$P$1,FALSE)</f>
        <v>ACC</v>
      </c>
      <c r="M673" s="24" t="str">
        <f>VLOOKUP(MID(Q673,1,3),CODE!$B:$G,CODE!D$1,FALSE)</f>
        <v>JOI</v>
      </c>
      <c r="N673" s="24" t="str">
        <f t="shared" si="141"/>
        <v>ED</v>
      </c>
      <c r="O673" s="29" t="str">
        <f>IF(ISERROR(IF(VLOOKUP($N673,CODE!$K:$P,CODE!$O$1,FALSE)="",$M673,$M673&amp;"-"&amp;VLOOKUP($N673,CODE!$K:$P,CODE!$O$1,FALSE)))=TRUE,"",IF(VLOOKUP($N673,CODE!$K:$P,CODE!$O$1,FALSE)="",$M673,$M673&amp;"-"&amp;VLOOKUP($N673,CODE!$K:$P,CODE!$O$1,FALSE)))</f>
        <v>JOI-ACC</v>
      </c>
      <c r="P673" s="29" t="str">
        <f t="shared" si="142"/>
        <v>JOIEDE5313</v>
      </c>
      <c r="Q673" s="1" t="s">
        <v>1459</v>
      </c>
      <c r="R673" s="1" t="s">
        <v>14</v>
      </c>
      <c r="S673" s="26">
        <v>500</v>
      </c>
      <c r="T673" s="26">
        <v>22500000</v>
      </c>
      <c r="U673" s="26">
        <v>3970495</v>
      </c>
      <c r="V673" s="26">
        <v>5.1516361195632925</v>
      </c>
      <c r="W673" s="26">
        <v>0</v>
      </c>
      <c r="X673" s="26">
        <v>500</v>
      </c>
    </row>
    <row r="674" spans="1:24">
      <c r="A674" s="24" t="str">
        <f t="shared" si="131"/>
        <v>신규</v>
      </c>
      <c r="B674" s="24" t="str">
        <f>IF(COUNTIF(Q$1:Q673,Q674)=0,"최초","리오더")</f>
        <v>최초</v>
      </c>
      <c r="C674" s="24" t="str">
        <f t="shared" si="132"/>
        <v>JOIMUE5814</v>
      </c>
      <c r="D674" s="24">
        <f t="shared" si="133"/>
        <v>1</v>
      </c>
      <c r="E674" s="24" t="str">
        <f t="shared" si="134"/>
        <v/>
      </c>
      <c r="F674" s="24">
        <f t="shared" si="135"/>
        <v>0</v>
      </c>
      <c r="G674" s="24" t="str">
        <f t="shared" si="136"/>
        <v>JOIMUE5814KH</v>
      </c>
      <c r="H674" s="24">
        <f t="shared" si="137"/>
        <v>1</v>
      </c>
      <c r="I674" s="24" t="str">
        <f t="shared" si="138"/>
        <v/>
      </c>
      <c r="J674" s="24">
        <f t="shared" si="139"/>
        <v>0</v>
      </c>
      <c r="K674" s="24" t="str">
        <f t="shared" si="140"/>
        <v>E5</v>
      </c>
      <c r="L674" s="24" t="str">
        <f>VLOOKUP(N674,CODE!K:P,CODE!$P$1,FALSE)</f>
        <v>ACC</v>
      </c>
      <c r="M674" s="24" t="str">
        <f>VLOOKUP(MID(Q674,1,3),CODE!$B:$G,CODE!D$1,FALSE)</f>
        <v>JOI</v>
      </c>
      <c r="N674" s="24" t="str">
        <f t="shared" si="141"/>
        <v>MU</v>
      </c>
      <c r="O674" s="29" t="str">
        <f>IF(ISERROR(IF(VLOOKUP($N674,CODE!$K:$P,CODE!$O$1,FALSE)="",$M674,$M674&amp;"-"&amp;VLOOKUP($N674,CODE!$K:$P,CODE!$O$1,FALSE)))=TRUE,"",IF(VLOOKUP($N674,CODE!$K:$P,CODE!$O$1,FALSE)="",$M674,$M674&amp;"-"&amp;VLOOKUP($N674,CODE!$K:$P,CODE!$O$1,FALSE)))</f>
        <v>JOI-ACC</v>
      </c>
      <c r="P674" s="29" t="str">
        <f t="shared" si="142"/>
        <v>JOIMUE5814</v>
      </c>
      <c r="Q674" s="1" t="s">
        <v>1460</v>
      </c>
      <c r="R674" s="1" t="s">
        <v>14</v>
      </c>
      <c r="S674" s="26">
        <v>300</v>
      </c>
      <c r="T674" s="26">
        <v>14700000</v>
      </c>
      <c r="U674" s="26">
        <v>2384913.0000000005</v>
      </c>
      <c r="V674" s="26">
        <v>5.6034062305989192</v>
      </c>
      <c r="W674" s="26">
        <v>0</v>
      </c>
      <c r="X674" s="26">
        <v>300</v>
      </c>
    </row>
    <row r="675" spans="1:24">
      <c r="A675" s="24" t="str">
        <f t="shared" si="131"/>
        <v>러닝</v>
      </c>
      <c r="B675" s="24" t="str">
        <f>IF(COUNTIF(Q$1:Q674,Q675)=0,"최초","리오더")</f>
        <v>최초</v>
      </c>
      <c r="C675" s="24" t="str">
        <f t="shared" si="132"/>
        <v>FFTFIE3213</v>
      </c>
      <c r="D675" s="24">
        <f t="shared" si="133"/>
        <v>1</v>
      </c>
      <c r="E675" s="24" t="str">
        <f t="shared" si="134"/>
        <v/>
      </c>
      <c r="F675" s="24">
        <f t="shared" si="135"/>
        <v>0</v>
      </c>
      <c r="G675" s="24" t="str">
        <f t="shared" si="136"/>
        <v>FFTFIE3213BK</v>
      </c>
      <c r="H675" s="24">
        <f t="shared" si="137"/>
        <v>1</v>
      </c>
      <c r="I675" s="24" t="str">
        <f t="shared" si="138"/>
        <v/>
      </c>
      <c r="J675" s="24">
        <f t="shared" si="139"/>
        <v>0</v>
      </c>
      <c r="K675" s="24" t="str">
        <f t="shared" si="140"/>
        <v>E3</v>
      </c>
      <c r="L675" s="24" t="str">
        <f>VLOOKUP(N675,CODE!K:P,CODE!$P$1,FALSE)</f>
        <v>모자</v>
      </c>
      <c r="M675" s="24" t="str">
        <f>VLOOKUP(MID(Q675,1,3),CODE!$B:$G,CODE!D$1,FALSE)</f>
        <v>FFT</v>
      </c>
      <c r="N675" s="24" t="str">
        <f t="shared" si="141"/>
        <v>FI</v>
      </c>
      <c r="O675" s="29" t="str">
        <f>IF(ISERROR(IF(VLOOKUP($N675,CODE!$K:$P,CODE!$O$1,FALSE)="",$M675,$M675&amp;"-"&amp;VLOOKUP($N675,CODE!$K:$P,CODE!$O$1,FALSE)))=TRUE,"",IF(VLOOKUP($N675,CODE!$K:$P,CODE!$O$1,FALSE)="",$M675,$M675&amp;"-"&amp;VLOOKUP($N675,CODE!$K:$P,CODE!$O$1,FALSE)))</f>
        <v>FFT</v>
      </c>
      <c r="P675" s="29" t="str">
        <f t="shared" si="142"/>
        <v>FFTFIE3213</v>
      </c>
      <c r="Q675" s="1" t="s">
        <v>1461</v>
      </c>
      <c r="R675" s="1" t="s">
        <v>15</v>
      </c>
      <c r="S675" s="26">
        <v>70</v>
      </c>
      <c r="T675" s="26">
        <v>3430000</v>
      </c>
      <c r="U675" s="26">
        <v>1403181.8181818181</v>
      </c>
      <c r="V675" s="26">
        <v>2.2222222222222223</v>
      </c>
      <c r="W675" s="26">
        <v>70</v>
      </c>
      <c r="X675" s="26">
        <v>0</v>
      </c>
    </row>
    <row r="676" spans="1:24">
      <c r="A676" s="24" t="str">
        <f t="shared" si="131"/>
        <v>신규</v>
      </c>
      <c r="B676" s="24" t="str">
        <f>IF(COUNTIF(Q$1:Q675,Q676)=0,"최초","리오더")</f>
        <v>최초</v>
      </c>
      <c r="C676" s="24" t="str">
        <f t="shared" si="132"/>
        <v>FFTFIE3313</v>
      </c>
      <c r="D676" s="24">
        <f t="shared" si="133"/>
        <v>1</v>
      </c>
      <c r="E676" s="24" t="str">
        <f t="shared" si="134"/>
        <v/>
      </c>
      <c r="F676" s="24">
        <f t="shared" si="135"/>
        <v>0</v>
      </c>
      <c r="G676" s="24" t="str">
        <f t="shared" si="136"/>
        <v>FFTFIE3313WH</v>
      </c>
      <c r="H676" s="24">
        <f t="shared" si="137"/>
        <v>1</v>
      </c>
      <c r="I676" s="24" t="str">
        <f t="shared" si="138"/>
        <v/>
      </c>
      <c r="J676" s="24">
        <f t="shared" si="139"/>
        <v>0</v>
      </c>
      <c r="K676" s="24" t="str">
        <f t="shared" si="140"/>
        <v>E3</v>
      </c>
      <c r="L676" s="24" t="str">
        <f>VLOOKUP(N676,CODE!K:P,CODE!$P$1,FALSE)</f>
        <v>모자</v>
      </c>
      <c r="M676" s="24" t="str">
        <f>VLOOKUP(MID(Q676,1,3),CODE!$B:$G,CODE!D$1,FALSE)</f>
        <v>FFT</v>
      </c>
      <c r="N676" s="24" t="str">
        <f t="shared" si="141"/>
        <v>FI</v>
      </c>
      <c r="O676" s="29" t="str">
        <f>IF(ISERROR(IF(VLOOKUP($N676,CODE!$K:$P,CODE!$O$1,FALSE)="",$M676,$M676&amp;"-"&amp;VLOOKUP($N676,CODE!$K:$P,CODE!$O$1,FALSE)))=TRUE,"",IF(VLOOKUP($N676,CODE!$K:$P,CODE!$O$1,FALSE)="",$M676,$M676&amp;"-"&amp;VLOOKUP($N676,CODE!$K:$P,CODE!$O$1,FALSE)))</f>
        <v>FFT</v>
      </c>
      <c r="P676" s="29" t="str">
        <f t="shared" si="142"/>
        <v>FFTFIE3313</v>
      </c>
      <c r="Q676" s="1" t="s">
        <v>1462</v>
      </c>
      <c r="R676" s="1" t="s">
        <v>15</v>
      </c>
      <c r="S676" s="26">
        <v>20</v>
      </c>
      <c r="T676" s="26">
        <v>980000</v>
      </c>
      <c r="U676" s="26">
        <v>400909.09090909088</v>
      </c>
      <c r="V676" s="26">
        <v>2.2222222222222223</v>
      </c>
      <c r="W676" s="26">
        <v>20</v>
      </c>
      <c r="X676" s="26">
        <v>0</v>
      </c>
    </row>
    <row r="677" spans="1:24">
      <c r="A677" s="24" t="str">
        <f t="shared" si="131"/>
        <v>러닝</v>
      </c>
      <c r="B677" s="24" t="str">
        <f>IF(COUNTIF(Q$1:Q676,Q677)=0,"최초","리오더")</f>
        <v>최초</v>
      </c>
      <c r="C677" s="24" t="str">
        <f t="shared" si="132"/>
        <v>FFTFIE3208</v>
      </c>
      <c r="D677" s="24">
        <f t="shared" si="133"/>
        <v>0.33333333333333331</v>
      </c>
      <c r="E677" s="24" t="str">
        <f t="shared" si="134"/>
        <v/>
      </c>
      <c r="F677" s="24">
        <f t="shared" si="135"/>
        <v>0</v>
      </c>
      <c r="G677" s="24" t="str">
        <f t="shared" si="136"/>
        <v>FFTFIE3208WH</v>
      </c>
      <c r="H677" s="24">
        <f t="shared" si="137"/>
        <v>1</v>
      </c>
      <c r="I677" s="24" t="str">
        <f t="shared" si="138"/>
        <v/>
      </c>
      <c r="J677" s="24">
        <f t="shared" si="139"/>
        <v>0</v>
      </c>
      <c r="K677" s="24" t="str">
        <f t="shared" si="140"/>
        <v>E3</v>
      </c>
      <c r="L677" s="24" t="str">
        <f>VLOOKUP(N677,CODE!K:P,CODE!$P$1,FALSE)</f>
        <v>모자</v>
      </c>
      <c r="M677" s="24" t="str">
        <f>VLOOKUP(MID(Q677,1,3),CODE!$B:$G,CODE!D$1,FALSE)</f>
        <v>FFT</v>
      </c>
      <c r="N677" s="24" t="str">
        <f t="shared" si="141"/>
        <v>FI</v>
      </c>
      <c r="O677" s="29" t="str">
        <f>IF(ISERROR(IF(VLOOKUP($N677,CODE!$K:$P,CODE!$O$1,FALSE)="",$M677,$M677&amp;"-"&amp;VLOOKUP($N677,CODE!$K:$P,CODE!$O$1,FALSE)))=TRUE,"",IF(VLOOKUP($N677,CODE!$K:$P,CODE!$O$1,FALSE)="",$M677,$M677&amp;"-"&amp;VLOOKUP($N677,CODE!$K:$P,CODE!$O$1,FALSE)))</f>
        <v>FFT</v>
      </c>
      <c r="P677" s="29" t="str">
        <f t="shared" si="142"/>
        <v>FFTFIE3208</v>
      </c>
      <c r="Q677" s="1" t="s">
        <v>1463</v>
      </c>
      <c r="R677" s="1" t="s">
        <v>15</v>
      </c>
      <c r="S677" s="26">
        <v>50</v>
      </c>
      <c r="T677" s="26">
        <v>2450000</v>
      </c>
      <c r="U677" s="26">
        <v>1002272.7272727272</v>
      </c>
      <c r="V677" s="26">
        <v>2.2222222222222223</v>
      </c>
      <c r="W677" s="26">
        <v>50</v>
      </c>
      <c r="X677" s="26">
        <v>0</v>
      </c>
    </row>
    <row r="678" spans="1:24">
      <c r="A678" s="24" t="str">
        <f t="shared" si="131"/>
        <v>러닝</v>
      </c>
      <c r="B678" s="24" t="str">
        <f>IF(COUNTIF(Q$1:Q677,Q678)=0,"최초","리오더")</f>
        <v>최초</v>
      </c>
      <c r="C678" s="24" t="str">
        <f t="shared" si="132"/>
        <v>FFTFIE3208</v>
      </c>
      <c r="D678" s="24">
        <f t="shared" si="133"/>
        <v>0.33333333333333331</v>
      </c>
      <c r="E678" s="24" t="str">
        <f t="shared" si="134"/>
        <v/>
      </c>
      <c r="F678" s="24">
        <f t="shared" si="135"/>
        <v>0</v>
      </c>
      <c r="G678" s="24" t="str">
        <f t="shared" si="136"/>
        <v>FFTFIE3208BK</v>
      </c>
      <c r="H678" s="24">
        <f t="shared" si="137"/>
        <v>1</v>
      </c>
      <c r="I678" s="24" t="str">
        <f t="shared" si="138"/>
        <v/>
      </c>
      <c r="J678" s="24">
        <f t="shared" si="139"/>
        <v>0</v>
      </c>
      <c r="K678" s="24" t="str">
        <f t="shared" si="140"/>
        <v>E3</v>
      </c>
      <c r="L678" s="24" t="str">
        <f>VLOOKUP(N678,CODE!K:P,CODE!$P$1,FALSE)</f>
        <v>모자</v>
      </c>
      <c r="M678" s="24" t="str">
        <f>VLOOKUP(MID(Q678,1,3),CODE!$B:$G,CODE!D$1,FALSE)</f>
        <v>FFT</v>
      </c>
      <c r="N678" s="24" t="str">
        <f t="shared" si="141"/>
        <v>FI</v>
      </c>
      <c r="O678" s="29" t="str">
        <f>IF(ISERROR(IF(VLOOKUP($N678,CODE!$K:$P,CODE!$O$1,FALSE)="",$M678,$M678&amp;"-"&amp;VLOOKUP($N678,CODE!$K:$P,CODE!$O$1,FALSE)))=TRUE,"",IF(VLOOKUP($N678,CODE!$K:$P,CODE!$O$1,FALSE)="",$M678,$M678&amp;"-"&amp;VLOOKUP($N678,CODE!$K:$P,CODE!$O$1,FALSE)))</f>
        <v>FFT</v>
      </c>
      <c r="P678" s="29" t="str">
        <f t="shared" si="142"/>
        <v>FFTFIE3208</v>
      </c>
      <c r="Q678" s="1" t="s">
        <v>1464</v>
      </c>
      <c r="R678" s="1" t="s">
        <v>15</v>
      </c>
      <c r="S678" s="26">
        <v>35</v>
      </c>
      <c r="T678" s="26">
        <v>1715000</v>
      </c>
      <c r="U678" s="26">
        <v>701590.90909090906</v>
      </c>
      <c r="V678" s="26">
        <v>2.2222222222222223</v>
      </c>
      <c r="W678" s="26">
        <v>35</v>
      </c>
      <c r="X678" s="26">
        <v>0</v>
      </c>
    </row>
    <row r="679" spans="1:24">
      <c r="A679" s="24" t="str">
        <f t="shared" si="131"/>
        <v>러닝</v>
      </c>
      <c r="B679" s="24" t="str">
        <f>IF(COUNTIF(Q$1:Q678,Q679)=0,"최초","리오더")</f>
        <v>최초</v>
      </c>
      <c r="C679" s="24" t="str">
        <f t="shared" si="132"/>
        <v>FFTFIE3208</v>
      </c>
      <c r="D679" s="24">
        <f t="shared" si="133"/>
        <v>0.33333333333333331</v>
      </c>
      <c r="E679" s="24" t="str">
        <f t="shared" si="134"/>
        <v/>
      </c>
      <c r="F679" s="24">
        <f t="shared" si="135"/>
        <v>0</v>
      </c>
      <c r="G679" s="24" t="str">
        <f t="shared" si="136"/>
        <v>FFTFIE3208KH</v>
      </c>
      <c r="H679" s="24">
        <f t="shared" si="137"/>
        <v>1</v>
      </c>
      <c r="I679" s="24" t="str">
        <f t="shared" si="138"/>
        <v/>
      </c>
      <c r="J679" s="24">
        <f t="shared" si="139"/>
        <v>0</v>
      </c>
      <c r="K679" s="24" t="str">
        <f t="shared" si="140"/>
        <v>E3</v>
      </c>
      <c r="L679" s="24" t="str">
        <f>VLOOKUP(N679,CODE!K:P,CODE!$P$1,FALSE)</f>
        <v>모자</v>
      </c>
      <c r="M679" s="24" t="str">
        <f>VLOOKUP(MID(Q679,1,3),CODE!$B:$G,CODE!D$1,FALSE)</f>
        <v>FFT</v>
      </c>
      <c r="N679" s="24" t="str">
        <f t="shared" si="141"/>
        <v>FI</v>
      </c>
      <c r="O679" s="29" t="str">
        <f>IF(ISERROR(IF(VLOOKUP($N679,CODE!$K:$P,CODE!$O$1,FALSE)="",$M679,$M679&amp;"-"&amp;VLOOKUP($N679,CODE!$K:$P,CODE!$O$1,FALSE)))=TRUE,"",IF(VLOOKUP($N679,CODE!$K:$P,CODE!$O$1,FALSE)="",$M679,$M679&amp;"-"&amp;VLOOKUP($N679,CODE!$K:$P,CODE!$O$1,FALSE)))</f>
        <v>FFT</v>
      </c>
      <c r="P679" s="29" t="str">
        <f t="shared" si="142"/>
        <v>FFTFIE3208</v>
      </c>
      <c r="Q679" s="1" t="s">
        <v>1465</v>
      </c>
      <c r="R679" s="1" t="s">
        <v>15</v>
      </c>
      <c r="S679" s="26">
        <v>37</v>
      </c>
      <c r="T679" s="26">
        <v>1813000</v>
      </c>
      <c r="U679" s="26">
        <v>741681.81818181812</v>
      </c>
      <c r="V679" s="26">
        <v>2.2222222222222223</v>
      </c>
      <c r="W679" s="26">
        <v>37</v>
      </c>
      <c r="X679" s="26">
        <v>0</v>
      </c>
    </row>
    <row r="680" spans="1:24">
      <c r="A680" s="24" t="str">
        <f t="shared" si="131"/>
        <v>러닝</v>
      </c>
      <c r="B680" s="24" t="str">
        <f>IF(COUNTIF(Q$1:Q679,Q680)=0,"최초","리오더")</f>
        <v>최초</v>
      </c>
      <c r="C680" s="24" t="str">
        <f t="shared" si="132"/>
        <v>FFTFIE3209</v>
      </c>
      <c r="D680" s="24">
        <f t="shared" si="133"/>
        <v>0.5</v>
      </c>
      <c r="E680" s="24" t="str">
        <f t="shared" si="134"/>
        <v/>
      </c>
      <c r="F680" s="24">
        <f t="shared" si="135"/>
        <v>0</v>
      </c>
      <c r="G680" s="24" t="str">
        <f t="shared" si="136"/>
        <v>FFTFIE3209WH</v>
      </c>
      <c r="H680" s="24">
        <f t="shared" si="137"/>
        <v>1</v>
      </c>
      <c r="I680" s="24" t="str">
        <f t="shared" si="138"/>
        <v/>
      </c>
      <c r="J680" s="24">
        <f t="shared" si="139"/>
        <v>0</v>
      </c>
      <c r="K680" s="24" t="str">
        <f t="shared" si="140"/>
        <v>E3</v>
      </c>
      <c r="L680" s="24" t="str">
        <f>VLOOKUP(N680,CODE!K:P,CODE!$P$1,FALSE)</f>
        <v>모자</v>
      </c>
      <c r="M680" s="24" t="str">
        <f>VLOOKUP(MID(Q680,1,3),CODE!$B:$G,CODE!D$1,FALSE)</f>
        <v>FFT</v>
      </c>
      <c r="N680" s="24" t="str">
        <f t="shared" si="141"/>
        <v>FI</v>
      </c>
      <c r="O680" s="29" t="str">
        <f>IF(ISERROR(IF(VLOOKUP($N680,CODE!$K:$P,CODE!$O$1,FALSE)="",$M680,$M680&amp;"-"&amp;VLOOKUP($N680,CODE!$K:$P,CODE!$O$1,FALSE)))=TRUE,"",IF(VLOOKUP($N680,CODE!$K:$P,CODE!$O$1,FALSE)="",$M680,$M680&amp;"-"&amp;VLOOKUP($N680,CODE!$K:$P,CODE!$O$1,FALSE)))</f>
        <v>FFT</v>
      </c>
      <c r="P680" s="29" t="str">
        <f t="shared" si="142"/>
        <v>FFTFIE3209</v>
      </c>
      <c r="Q680" s="1" t="s">
        <v>1466</v>
      </c>
      <c r="R680" s="1" t="s">
        <v>15</v>
      </c>
      <c r="S680" s="26">
        <v>10</v>
      </c>
      <c r="T680" s="26">
        <v>490000</v>
      </c>
      <c r="U680" s="26">
        <v>200454.54545454544</v>
      </c>
      <c r="V680" s="26">
        <v>2.2222222222222223</v>
      </c>
      <c r="W680" s="26">
        <v>10</v>
      </c>
      <c r="X680" s="26">
        <v>0</v>
      </c>
    </row>
    <row r="681" spans="1:24">
      <c r="A681" s="24" t="str">
        <f t="shared" si="131"/>
        <v>러닝</v>
      </c>
      <c r="B681" s="24" t="str">
        <f>IF(COUNTIF(Q$1:Q680,Q681)=0,"최초","리오더")</f>
        <v>최초</v>
      </c>
      <c r="C681" s="24" t="str">
        <f t="shared" si="132"/>
        <v>FFTFIE3209</v>
      </c>
      <c r="D681" s="24">
        <f t="shared" si="133"/>
        <v>0.5</v>
      </c>
      <c r="E681" s="24" t="str">
        <f t="shared" si="134"/>
        <v/>
      </c>
      <c r="F681" s="24">
        <f t="shared" si="135"/>
        <v>0</v>
      </c>
      <c r="G681" s="24" t="str">
        <f t="shared" si="136"/>
        <v>FFTFIE3209BK</v>
      </c>
      <c r="H681" s="24">
        <f t="shared" si="137"/>
        <v>1</v>
      </c>
      <c r="I681" s="24" t="str">
        <f t="shared" si="138"/>
        <v/>
      </c>
      <c r="J681" s="24">
        <f t="shared" si="139"/>
        <v>0</v>
      </c>
      <c r="K681" s="24" t="str">
        <f t="shared" si="140"/>
        <v>E3</v>
      </c>
      <c r="L681" s="24" t="str">
        <f>VLOOKUP(N681,CODE!K:P,CODE!$P$1,FALSE)</f>
        <v>모자</v>
      </c>
      <c r="M681" s="24" t="str">
        <f>VLOOKUP(MID(Q681,1,3),CODE!$B:$G,CODE!D$1,FALSE)</f>
        <v>FFT</v>
      </c>
      <c r="N681" s="24" t="str">
        <f t="shared" si="141"/>
        <v>FI</v>
      </c>
      <c r="O681" s="29" t="str">
        <f>IF(ISERROR(IF(VLOOKUP($N681,CODE!$K:$P,CODE!$O$1,FALSE)="",$M681,$M681&amp;"-"&amp;VLOOKUP($N681,CODE!$K:$P,CODE!$O$1,FALSE)))=TRUE,"",IF(VLOOKUP($N681,CODE!$K:$P,CODE!$O$1,FALSE)="",$M681,$M681&amp;"-"&amp;VLOOKUP($N681,CODE!$K:$P,CODE!$O$1,FALSE)))</f>
        <v>FFT</v>
      </c>
      <c r="P681" s="29" t="str">
        <f t="shared" si="142"/>
        <v>FFTFIE3209</v>
      </c>
      <c r="Q681" s="1" t="s">
        <v>1467</v>
      </c>
      <c r="R681" s="1" t="s">
        <v>15</v>
      </c>
      <c r="S681" s="26">
        <v>62</v>
      </c>
      <c r="T681" s="26">
        <v>3038000</v>
      </c>
      <c r="U681" s="26">
        <v>1242818.1818181816</v>
      </c>
      <c r="V681" s="26">
        <v>2.2222222222222223</v>
      </c>
      <c r="W681" s="26">
        <v>62</v>
      </c>
      <c r="X681" s="26">
        <v>0</v>
      </c>
    </row>
    <row r="682" spans="1:24">
      <c r="A682" s="24" t="str">
        <f t="shared" si="131"/>
        <v>러닝</v>
      </c>
      <c r="B682" s="24" t="str">
        <f>IF(COUNTIF(Q$1:Q681,Q682)=0,"최초","리오더")</f>
        <v>최초</v>
      </c>
      <c r="C682" s="24" t="str">
        <f t="shared" si="132"/>
        <v>FFTFIE3211</v>
      </c>
      <c r="D682" s="24">
        <f t="shared" si="133"/>
        <v>1</v>
      </c>
      <c r="E682" s="24" t="str">
        <f t="shared" si="134"/>
        <v/>
      </c>
      <c r="F682" s="24">
        <f t="shared" si="135"/>
        <v>0</v>
      </c>
      <c r="G682" s="24" t="str">
        <f t="shared" si="136"/>
        <v>FFTFIE3211RE</v>
      </c>
      <c r="H682" s="24">
        <f t="shared" si="137"/>
        <v>1</v>
      </c>
      <c r="I682" s="24" t="str">
        <f t="shared" si="138"/>
        <v/>
      </c>
      <c r="J682" s="24">
        <f t="shared" si="139"/>
        <v>0</v>
      </c>
      <c r="K682" s="24" t="str">
        <f t="shared" si="140"/>
        <v>E3</v>
      </c>
      <c r="L682" s="24" t="str">
        <f>VLOOKUP(N682,CODE!K:P,CODE!$P$1,FALSE)</f>
        <v>모자</v>
      </c>
      <c r="M682" s="24" t="str">
        <f>VLOOKUP(MID(Q682,1,3),CODE!$B:$G,CODE!D$1,FALSE)</f>
        <v>FFT</v>
      </c>
      <c r="N682" s="24" t="str">
        <f t="shared" si="141"/>
        <v>FI</v>
      </c>
      <c r="O682" s="29" t="str">
        <f>IF(ISERROR(IF(VLOOKUP($N682,CODE!$K:$P,CODE!$O$1,FALSE)="",$M682,$M682&amp;"-"&amp;VLOOKUP($N682,CODE!$K:$P,CODE!$O$1,FALSE)))=TRUE,"",IF(VLOOKUP($N682,CODE!$K:$P,CODE!$O$1,FALSE)="",$M682,$M682&amp;"-"&amp;VLOOKUP($N682,CODE!$K:$P,CODE!$O$1,FALSE)))</f>
        <v>FFT</v>
      </c>
      <c r="P682" s="29" t="str">
        <f t="shared" si="142"/>
        <v>FFTFIE3211</v>
      </c>
      <c r="Q682" s="1" t="s">
        <v>1468</v>
      </c>
      <c r="R682" s="1" t="s">
        <v>15</v>
      </c>
      <c r="S682" s="26">
        <v>13</v>
      </c>
      <c r="T682" s="26">
        <v>637000</v>
      </c>
      <c r="U682" s="26">
        <v>260590.90909090906</v>
      </c>
      <c r="V682" s="26">
        <v>2.2222222222222223</v>
      </c>
      <c r="W682" s="26">
        <v>13</v>
      </c>
      <c r="X682" s="26">
        <v>0</v>
      </c>
    </row>
    <row r="683" spans="1:24">
      <c r="A683" s="24" t="str">
        <f t="shared" si="131"/>
        <v>신규</v>
      </c>
      <c r="B683" s="24" t="str">
        <f>IF(COUNTIF(Q$1:Q682,Q683)=0,"최초","리오더")</f>
        <v>최초</v>
      </c>
      <c r="C683" s="24" t="str">
        <f t="shared" si="132"/>
        <v>FFTFIE3311</v>
      </c>
      <c r="D683" s="24">
        <f t="shared" si="133"/>
        <v>1</v>
      </c>
      <c r="E683" s="24" t="str">
        <f t="shared" si="134"/>
        <v/>
      </c>
      <c r="F683" s="24">
        <f t="shared" si="135"/>
        <v>0</v>
      </c>
      <c r="G683" s="24" t="str">
        <f t="shared" si="136"/>
        <v>FFTFIE3311BL</v>
      </c>
      <c r="H683" s="24">
        <f t="shared" si="137"/>
        <v>1</v>
      </c>
      <c r="I683" s="24" t="str">
        <f t="shared" si="138"/>
        <v/>
      </c>
      <c r="J683" s="24">
        <f t="shared" si="139"/>
        <v>0</v>
      </c>
      <c r="K683" s="24" t="str">
        <f t="shared" si="140"/>
        <v>E3</v>
      </c>
      <c r="L683" s="24" t="str">
        <f>VLOOKUP(N683,CODE!K:P,CODE!$P$1,FALSE)</f>
        <v>모자</v>
      </c>
      <c r="M683" s="24" t="str">
        <f>VLOOKUP(MID(Q683,1,3),CODE!$B:$G,CODE!D$1,FALSE)</f>
        <v>FFT</v>
      </c>
      <c r="N683" s="24" t="str">
        <f t="shared" si="141"/>
        <v>FI</v>
      </c>
      <c r="O683" s="29" t="str">
        <f>IF(ISERROR(IF(VLOOKUP($N683,CODE!$K:$P,CODE!$O$1,FALSE)="",$M683,$M683&amp;"-"&amp;VLOOKUP($N683,CODE!$K:$P,CODE!$O$1,FALSE)))=TRUE,"",IF(VLOOKUP($N683,CODE!$K:$P,CODE!$O$1,FALSE)="",$M683,$M683&amp;"-"&amp;VLOOKUP($N683,CODE!$K:$P,CODE!$O$1,FALSE)))</f>
        <v>FFT</v>
      </c>
      <c r="P683" s="29" t="str">
        <f t="shared" si="142"/>
        <v>FFTFIE3311</v>
      </c>
      <c r="Q683" s="1" t="s">
        <v>1469</v>
      </c>
      <c r="R683" s="1" t="s">
        <v>15</v>
      </c>
      <c r="S683" s="26">
        <v>10</v>
      </c>
      <c r="T683" s="26">
        <v>490000</v>
      </c>
      <c r="U683" s="26">
        <v>200454.54545454544</v>
      </c>
      <c r="V683" s="26">
        <v>2.2222222222222223</v>
      </c>
      <c r="W683" s="26">
        <v>10</v>
      </c>
      <c r="X683" s="26">
        <v>0</v>
      </c>
    </row>
    <row r="684" spans="1:24">
      <c r="A684" s="24" t="str">
        <f t="shared" si="131"/>
        <v>신규</v>
      </c>
      <c r="B684" s="24" t="str">
        <f>IF(COUNTIF(Q$1:Q683,Q684)=0,"최초","리오더")</f>
        <v>최초</v>
      </c>
      <c r="C684" s="24" t="str">
        <f t="shared" si="132"/>
        <v>FFTFIE3301</v>
      </c>
      <c r="D684" s="24">
        <f t="shared" si="133"/>
        <v>1</v>
      </c>
      <c r="E684" s="24" t="str">
        <f t="shared" si="134"/>
        <v/>
      </c>
      <c r="F684" s="24">
        <f t="shared" si="135"/>
        <v>0</v>
      </c>
      <c r="G684" s="24" t="str">
        <f t="shared" si="136"/>
        <v>FFTFIE3301BK</v>
      </c>
      <c r="H684" s="24">
        <f t="shared" si="137"/>
        <v>1</v>
      </c>
      <c r="I684" s="24" t="str">
        <f t="shared" si="138"/>
        <v/>
      </c>
      <c r="J684" s="24">
        <f t="shared" si="139"/>
        <v>0</v>
      </c>
      <c r="K684" s="24" t="str">
        <f t="shared" si="140"/>
        <v>E3</v>
      </c>
      <c r="L684" s="24" t="str">
        <f>VLOOKUP(N684,CODE!K:P,CODE!$P$1,FALSE)</f>
        <v>모자</v>
      </c>
      <c r="M684" s="24" t="str">
        <f>VLOOKUP(MID(Q684,1,3),CODE!$B:$G,CODE!D$1,FALSE)</f>
        <v>FFT</v>
      </c>
      <c r="N684" s="24" t="str">
        <f t="shared" si="141"/>
        <v>FI</v>
      </c>
      <c r="O684" s="29" t="str">
        <f>IF(ISERROR(IF(VLOOKUP($N684,CODE!$K:$P,CODE!$O$1,FALSE)="",$M684,$M684&amp;"-"&amp;VLOOKUP($N684,CODE!$K:$P,CODE!$O$1,FALSE)))=TRUE,"",IF(VLOOKUP($N684,CODE!$K:$P,CODE!$O$1,FALSE)="",$M684,$M684&amp;"-"&amp;VLOOKUP($N684,CODE!$K:$P,CODE!$O$1,FALSE)))</f>
        <v>FFT</v>
      </c>
      <c r="P684" s="29" t="str">
        <f t="shared" si="142"/>
        <v>FFTFIE3301</v>
      </c>
      <c r="Q684" s="1" t="s">
        <v>1470</v>
      </c>
      <c r="R684" s="1" t="s">
        <v>15</v>
      </c>
      <c r="S684" s="26">
        <v>14</v>
      </c>
      <c r="T684" s="26">
        <v>686000</v>
      </c>
      <c r="U684" s="26">
        <v>280636.36363636365</v>
      </c>
      <c r="V684" s="26">
        <v>2.2222222222222219</v>
      </c>
      <c r="W684" s="26">
        <v>14</v>
      </c>
      <c r="X684" s="26">
        <v>0</v>
      </c>
    </row>
    <row r="685" spans="1:24">
      <c r="A685" s="24" t="str">
        <f t="shared" si="131"/>
        <v>러닝</v>
      </c>
      <c r="B685" s="24" t="str">
        <f>IF(COUNTIF(Q$1:Q684,Q685)=0,"최초","리오더")</f>
        <v>최초</v>
      </c>
      <c r="C685" s="24" t="str">
        <f t="shared" si="132"/>
        <v>FFTFIE3235</v>
      </c>
      <c r="D685" s="24">
        <f t="shared" si="133"/>
        <v>1</v>
      </c>
      <c r="E685" s="24" t="str">
        <f t="shared" si="134"/>
        <v/>
      </c>
      <c r="F685" s="24">
        <f t="shared" si="135"/>
        <v>0</v>
      </c>
      <c r="G685" s="24" t="str">
        <f t="shared" si="136"/>
        <v>FFTFIE3235NY</v>
      </c>
      <c r="H685" s="24">
        <f t="shared" si="137"/>
        <v>1</v>
      </c>
      <c r="I685" s="24" t="str">
        <f t="shared" si="138"/>
        <v/>
      </c>
      <c r="J685" s="24">
        <f t="shared" si="139"/>
        <v>0</v>
      </c>
      <c r="K685" s="24" t="str">
        <f t="shared" si="140"/>
        <v>E3</v>
      </c>
      <c r="L685" s="24" t="str">
        <f>VLOOKUP(N685,CODE!K:P,CODE!$P$1,FALSE)</f>
        <v>모자</v>
      </c>
      <c r="M685" s="24" t="str">
        <f>VLOOKUP(MID(Q685,1,3),CODE!$B:$G,CODE!D$1,FALSE)</f>
        <v>FFT</v>
      </c>
      <c r="N685" s="24" t="str">
        <f t="shared" si="141"/>
        <v>FI</v>
      </c>
      <c r="O685" s="29" t="str">
        <f>IF(ISERROR(IF(VLOOKUP($N685,CODE!$K:$P,CODE!$O$1,FALSE)="",$M685,$M685&amp;"-"&amp;VLOOKUP($N685,CODE!$K:$P,CODE!$O$1,FALSE)))=TRUE,"",IF(VLOOKUP($N685,CODE!$K:$P,CODE!$O$1,FALSE)="",$M685,$M685&amp;"-"&amp;VLOOKUP($N685,CODE!$K:$P,CODE!$O$1,FALSE)))</f>
        <v>FFT</v>
      </c>
      <c r="P685" s="29" t="str">
        <f t="shared" si="142"/>
        <v>FFTFIE3235</v>
      </c>
      <c r="Q685" s="1" t="s">
        <v>1471</v>
      </c>
      <c r="R685" s="1" t="s">
        <v>15</v>
      </c>
      <c r="S685" s="26">
        <v>70</v>
      </c>
      <c r="T685" s="26">
        <v>3430000</v>
      </c>
      <c r="U685" s="26">
        <v>1403181.8181818181</v>
      </c>
      <c r="V685" s="26">
        <v>2.2222222222222223</v>
      </c>
      <c r="W685" s="26">
        <v>70</v>
      </c>
      <c r="X685" s="26">
        <v>0</v>
      </c>
    </row>
    <row r="686" spans="1:24">
      <c r="A686" s="24" t="str">
        <f t="shared" si="131"/>
        <v>러닝</v>
      </c>
      <c r="B686" s="24" t="str">
        <f>IF(COUNTIF(Q$1:Q685,Q686)=0,"최초","리오더")</f>
        <v>최초</v>
      </c>
      <c r="C686" s="24" t="str">
        <f t="shared" si="132"/>
        <v>FFTFIE3234</v>
      </c>
      <c r="D686" s="24">
        <f t="shared" si="133"/>
        <v>1</v>
      </c>
      <c r="E686" s="24" t="str">
        <f t="shared" si="134"/>
        <v/>
      </c>
      <c r="F686" s="24">
        <f t="shared" si="135"/>
        <v>0</v>
      </c>
      <c r="G686" s="24" t="str">
        <f t="shared" si="136"/>
        <v>FFTFIE3234RE</v>
      </c>
      <c r="H686" s="24">
        <f t="shared" si="137"/>
        <v>1</v>
      </c>
      <c r="I686" s="24" t="str">
        <f t="shared" si="138"/>
        <v/>
      </c>
      <c r="J686" s="24">
        <f t="shared" si="139"/>
        <v>0</v>
      </c>
      <c r="K686" s="24" t="str">
        <f t="shared" si="140"/>
        <v>E3</v>
      </c>
      <c r="L686" s="24" t="str">
        <f>VLOOKUP(N686,CODE!K:P,CODE!$P$1,FALSE)</f>
        <v>모자</v>
      </c>
      <c r="M686" s="24" t="str">
        <f>VLOOKUP(MID(Q686,1,3),CODE!$B:$G,CODE!D$1,FALSE)</f>
        <v>FFT</v>
      </c>
      <c r="N686" s="24" t="str">
        <f t="shared" si="141"/>
        <v>FI</v>
      </c>
      <c r="O686" s="29" t="str">
        <f>IF(ISERROR(IF(VLOOKUP($N686,CODE!$K:$P,CODE!$O$1,FALSE)="",$M686,$M686&amp;"-"&amp;VLOOKUP($N686,CODE!$K:$P,CODE!$O$1,FALSE)))=TRUE,"",IF(VLOOKUP($N686,CODE!$K:$P,CODE!$O$1,FALSE)="",$M686,$M686&amp;"-"&amp;VLOOKUP($N686,CODE!$K:$P,CODE!$O$1,FALSE)))</f>
        <v>FFT</v>
      </c>
      <c r="P686" s="29" t="str">
        <f t="shared" si="142"/>
        <v>FFTFIE3234</v>
      </c>
      <c r="Q686" s="1" t="s">
        <v>1472</v>
      </c>
      <c r="R686" s="1" t="s">
        <v>15</v>
      </c>
      <c r="S686" s="26">
        <v>50</v>
      </c>
      <c r="T686" s="26">
        <v>2450000</v>
      </c>
      <c r="U686" s="26">
        <v>1002272.7272727272</v>
      </c>
      <c r="V686" s="26">
        <v>2.2222222222222223</v>
      </c>
      <c r="W686" s="26">
        <v>50</v>
      </c>
      <c r="X686" s="26">
        <v>0</v>
      </c>
    </row>
    <row r="687" spans="1:24">
      <c r="A687" s="24" t="str">
        <f t="shared" si="131"/>
        <v>러닝</v>
      </c>
      <c r="B687" s="24" t="str">
        <f>IF(COUNTIF(Q$1:Q686,Q687)=0,"최초","리오더")</f>
        <v>최초</v>
      </c>
      <c r="C687" s="24" t="str">
        <f t="shared" si="132"/>
        <v>FFTFIE3243</v>
      </c>
      <c r="D687" s="24">
        <f t="shared" si="133"/>
        <v>1</v>
      </c>
      <c r="E687" s="24" t="str">
        <f t="shared" si="134"/>
        <v/>
      </c>
      <c r="F687" s="24">
        <f t="shared" si="135"/>
        <v>0</v>
      </c>
      <c r="G687" s="24" t="str">
        <f t="shared" si="136"/>
        <v>FFTFIE3243BK</v>
      </c>
      <c r="H687" s="24">
        <f t="shared" si="137"/>
        <v>1</v>
      </c>
      <c r="I687" s="24" t="str">
        <f t="shared" si="138"/>
        <v/>
      </c>
      <c r="J687" s="24">
        <f t="shared" si="139"/>
        <v>0</v>
      </c>
      <c r="K687" s="24" t="str">
        <f t="shared" si="140"/>
        <v>E3</v>
      </c>
      <c r="L687" s="24" t="str">
        <f>VLOOKUP(N687,CODE!K:P,CODE!$P$1,FALSE)</f>
        <v>모자</v>
      </c>
      <c r="M687" s="24" t="str">
        <f>VLOOKUP(MID(Q687,1,3),CODE!$B:$G,CODE!D$1,FALSE)</f>
        <v>FFT</v>
      </c>
      <c r="N687" s="24" t="str">
        <f t="shared" si="141"/>
        <v>FI</v>
      </c>
      <c r="O687" s="29" t="str">
        <f>IF(ISERROR(IF(VLOOKUP($N687,CODE!$K:$P,CODE!$O$1,FALSE)="",$M687,$M687&amp;"-"&amp;VLOOKUP($N687,CODE!$K:$P,CODE!$O$1,FALSE)))=TRUE,"",IF(VLOOKUP($N687,CODE!$K:$P,CODE!$O$1,FALSE)="",$M687,$M687&amp;"-"&amp;VLOOKUP($N687,CODE!$K:$P,CODE!$O$1,FALSE)))</f>
        <v>FFT</v>
      </c>
      <c r="P687" s="29" t="str">
        <f t="shared" si="142"/>
        <v>FFTFIE3243</v>
      </c>
      <c r="Q687" s="1" t="s">
        <v>1473</v>
      </c>
      <c r="R687" s="1" t="s">
        <v>15</v>
      </c>
      <c r="S687" s="26">
        <v>50</v>
      </c>
      <c r="T687" s="26">
        <v>2950000</v>
      </c>
      <c r="U687" s="26">
        <v>1206818.1818181819</v>
      </c>
      <c r="V687" s="26">
        <v>2.2222222222222219</v>
      </c>
      <c r="W687" s="26">
        <v>50</v>
      </c>
      <c r="X687" s="26">
        <v>0</v>
      </c>
    </row>
    <row r="688" spans="1:24">
      <c r="A688" s="24" t="str">
        <f t="shared" si="131"/>
        <v>신규</v>
      </c>
      <c r="B688" s="24" t="str">
        <f>IF(COUNTIF(Q$1:Q687,Q688)=0,"최초","리오더")</f>
        <v>최초</v>
      </c>
      <c r="C688" s="24" t="str">
        <f t="shared" si="132"/>
        <v>FFTFIE3302</v>
      </c>
      <c r="D688" s="24">
        <f t="shared" si="133"/>
        <v>1</v>
      </c>
      <c r="E688" s="24" t="str">
        <f t="shared" si="134"/>
        <v/>
      </c>
      <c r="F688" s="24">
        <f t="shared" si="135"/>
        <v>0</v>
      </c>
      <c r="G688" s="24" t="str">
        <f t="shared" si="136"/>
        <v>FFTFIE3302BK</v>
      </c>
      <c r="H688" s="24">
        <f t="shared" si="137"/>
        <v>1</v>
      </c>
      <c r="I688" s="24" t="str">
        <f t="shared" si="138"/>
        <v/>
      </c>
      <c r="J688" s="24">
        <f t="shared" si="139"/>
        <v>0</v>
      </c>
      <c r="K688" s="24" t="str">
        <f t="shared" si="140"/>
        <v>E3</v>
      </c>
      <c r="L688" s="24" t="str">
        <f>VLOOKUP(N688,CODE!K:P,CODE!$P$1,FALSE)</f>
        <v>모자</v>
      </c>
      <c r="M688" s="24" t="str">
        <f>VLOOKUP(MID(Q688,1,3),CODE!$B:$G,CODE!D$1,FALSE)</f>
        <v>FFT</v>
      </c>
      <c r="N688" s="24" t="str">
        <f t="shared" si="141"/>
        <v>FI</v>
      </c>
      <c r="O688" s="29" t="str">
        <f>IF(ISERROR(IF(VLOOKUP($N688,CODE!$K:$P,CODE!$O$1,FALSE)="",$M688,$M688&amp;"-"&amp;VLOOKUP($N688,CODE!$K:$P,CODE!$O$1,FALSE)))=TRUE,"",IF(VLOOKUP($N688,CODE!$K:$P,CODE!$O$1,FALSE)="",$M688,$M688&amp;"-"&amp;VLOOKUP($N688,CODE!$K:$P,CODE!$O$1,FALSE)))</f>
        <v>FFT</v>
      </c>
      <c r="P688" s="29" t="str">
        <f t="shared" si="142"/>
        <v>FFTFIE3302</v>
      </c>
      <c r="Q688" s="1" t="s">
        <v>1474</v>
      </c>
      <c r="R688" s="1" t="s">
        <v>15</v>
      </c>
      <c r="S688" s="26">
        <v>12</v>
      </c>
      <c r="T688" s="26">
        <v>588000</v>
      </c>
      <c r="U688" s="26">
        <v>240545.45454545453</v>
      </c>
      <c r="V688" s="26">
        <v>2.2222222222222223</v>
      </c>
      <c r="W688" s="26">
        <v>12</v>
      </c>
      <c r="X688" s="26">
        <v>0</v>
      </c>
    </row>
    <row r="689" spans="1:24">
      <c r="A689" s="24" t="str">
        <f t="shared" si="131"/>
        <v>신규</v>
      </c>
      <c r="B689" s="24" t="str">
        <f>IF(COUNTIF(Q$1:Q688,Q689)=0,"최초","리오더")</f>
        <v>최초</v>
      </c>
      <c r="C689" s="24" t="str">
        <f t="shared" si="132"/>
        <v>ELSBEE5336</v>
      </c>
      <c r="D689" s="24">
        <f t="shared" si="133"/>
        <v>1</v>
      </c>
      <c r="E689" s="24" t="str">
        <f t="shared" si="134"/>
        <v/>
      </c>
      <c r="F689" s="24">
        <f t="shared" si="135"/>
        <v>0</v>
      </c>
      <c r="G689" s="24" t="str">
        <f t="shared" si="136"/>
        <v>ELSBEE5336BK</v>
      </c>
      <c r="H689" s="24">
        <f t="shared" si="137"/>
        <v>1</v>
      </c>
      <c r="I689" s="24" t="str">
        <f t="shared" si="138"/>
        <v/>
      </c>
      <c r="J689" s="24">
        <f t="shared" si="139"/>
        <v>0</v>
      </c>
      <c r="K689" s="24" t="str">
        <f t="shared" si="140"/>
        <v>E5</v>
      </c>
      <c r="L689" s="24" t="str">
        <f>VLOOKUP(N689,CODE!K:P,CODE!$P$1,FALSE)</f>
        <v>모자</v>
      </c>
      <c r="M689" s="24" t="str">
        <f>VLOOKUP(MID(Q689,1,3),CODE!$B:$G,CODE!D$1,FALSE)</f>
        <v>ELS</v>
      </c>
      <c r="N689" s="24" t="str">
        <f t="shared" si="141"/>
        <v>BE</v>
      </c>
      <c r="O689" s="29" t="str">
        <f>IF(ISERROR(IF(VLOOKUP($N689,CODE!$K:$P,CODE!$O$1,FALSE)="",$M689,$M689&amp;"-"&amp;VLOOKUP($N689,CODE!$K:$P,CODE!$O$1,FALSE)))=TRUE,"",IF(VLOOKUP($N689,CODE!$K:$P,CODE!$O$1,FALSE)="",$M689,$M689&amp;"-"&amp;VLOOKUP($N689,CODE!$K:$P,CODE!$O$1,FALSE)))</f>
        <v>ELS</v>
      </c>
      <c r="P689" s="29" t="str">
        <f t="shared" si="142"/>
        <v>ELSBEE5336</v>
      </c>
      <c r="Q689" s="1" t="s">
        <v>1475</v>
      </c>
      <c r="R689" s="1" t="s">
        <v>14</v>
      </c>
      <c r="S689" s="26">
        <v>700</v>
      </c>
      <c r="T689" s="26">
        <v>27300000</v>
      </c>
      <c r="U689" s="26">
        <v>3332084</v>
      </c>
      <c r="V689" s="26">
        <v>7.4482461481108571</v>
      </c>
      <c r="W689" s="26">
        <v>0</v>
      </c>
      <c r="X689" s="26">
        <v>700</v>
      </c>
    </row>
    <row r="690" spans="1:24">
      <c r="A690" s="24" t="str">
        <f t="shared" si="131"/>
        <v>신규</v>
      </c>
      <c r="B690" s="24" t="str">
        <f>IF(COUNTIF(Q$1:Q689,Q690)=0,"최초","리오더")</f>
        <v>최초</v>
      </c>
      <c r="C690" s="24" t="str">
        <f t="shared" si="132"/>
        <v>ELSBEE5337</v>
      </c>
      <c r="D690" s="24">
        <f t="shared" si="133"/>
        <v>1</v>
      </c>
      <c r="E690" s="24" t="str">
        <f t="shared" si="134"/>
        <v/>
      </c>
      <c r="F690" s="24">
        <f t="shared" si="135"/>
        <v>0</v>
      </c>
      <c r="G690" s="24" t="str">
        <f t="shared" si="136"/>
        <v>ELSBEE5337BL</v>
      </c>
      <c r="H690" s="24">
        <f t="shared" si="137"/>
        <v>1</v>
      </c>
      <c r="I690" s="24" t="str">
        <f t="shared" si="138"/>
        <v/>
      </c>
      <c r="J690" s="24">
        <f t="shared" si="139"/>
        <v>0</v>
      </c>
      <c r="K690" s="24" t="str">
        <f t="shared" si="140"/>
        <v>E5</v>
      </c>
      <c r="L690" s="24" t="str">
        <f>VLOOKUP(N690,CODE!K:P,CODE!$P$1,FALSE)</f>
        <v>모자</v>
      </c>
      <c r="M690" s="24" t="str">
        <f>VLOOKUP(MID(Q690,1,3),CODE!$B:$G,CODE!D$1,FALSE)</f>
        <v>ELS</v>
      </c>
      <c r="N690" s="24" t="str">
        <f t="shared" si="141"/>
        <v>BE</v>
      </c>
      <c r="O690" s="29" t="str">
        <f>IF(ISERROR(IF(VLOOKUP($N690,CODE!$K:$P,CODE!$O$1,FALSE)="",$M690,$M690&amp;"-"&amp;VLOOKUP($N690,CODE!$K:$P,CODE!$O$1,FALSE)))=TRUE,"",IF(VLOOKUP($N690,CODE!$K:$P,CODE!$O$1,FALSE)="",$M690,$M690&amp;"-"&amp;VLOOKUP($N690,CODE!$K:$P,CODE!$O$1,FALSE)))</f>
        <v>ELS</v>
      </c>
      <c r="P690" s="29" t="str">
        <f t="shared" si="142"/>
        <v>ELSBEE5337</v>
      </c>
      <c r="Q690" s="1" t="s">
        <v>1476</v>
      </c>
      <c r="R690" s="1" t="s">
        <v>14</v>
      </c>
      <c r="S690" s="26">
        <v>700</v>
      </c>
      <c r="T690" s="26">
        <v>27300000</v>
      </c>
      <c r="U690" s="26">
        <v>3332084</v>
      </c>
      <c r="V690" s="26">
        <v>7.4482461481108571</v>
      </c>
      <c r="W690" s="26">
        <v>0</v>
      </c>
      <c r="X690" s="26">
        <v>700</v>
      </c>
    </row>
    <row r="691" spans="1:24">
      <c r="A691" s="24" t="str">
        <f t="shared" si="131"/>
        <v>신규</v>
      </c>
      <c r="B691" s="24" t="str">
        <f>IF(COUNTIF(Q$1:Q690,Q691)=0,"최초","리오더")</f>
        <v>최초</v>
      </c>
      <c r="C691" s="24" t="str">
        <f t="shared" si="132"/>
        <v>PLAUME3303</v>
      </c>
      <c r="D691" s="24">
        <f t="shared" si="133"/>
        <v>1</v>
      </c>
      <c r="E691" s="24" t="str">
        <f t="shared" si="134"/>
        <v/>
      </c>
      <c r="F691" s="24">
        <f t="shared" si="135"/>
        <v>0</v>
      </c>
      <c r="G691" s="24" t="str">
        <f t="shared" si="136"/>
        <v>PLAUME3303BK</v>
      </c>
      <c r="H691" s="24">
        <f t="shared" si="137"/>
        <v>1</v>
      </c>
      <c r="I691" s="24" t="str">
        <f t="shared" si="138"/>
        <v/>
      </c>
      <c r="J691" s="24">
        <f t="shared" si="139"/>
        <v>0</v>
      </c>
      <c r="K691" s="24" t="str">
        <f t="shared" si="140"/>
        <v>E3</v>
      </c>
      <c r="L691" s="24" t="str">
        <f>VLOOKUP(N691,CODE!K:P,CODE!$P$1,FALSE)</f>
        <v>모자</v>
      </c>
      <c r="M691" s="24" t="str">
        <f>VLOOKUP(MID(Q691,1,3),CODE!$B:$G,CODE!D$1,FALSE)</f>
        <v>PLA</v>
      </c>
      <c r="N691" s="24" t="str">
        <f t="shared" si="141"/>
        <v>UM</v>
      </c>
      <c r="O691" s="29" t="str">
        <f>IF(ISERROR(IF(VLOOKUP($N691,CODE!$K:$P,CODE!$O$1,FALSE)="",$M691,$M691&amp;"-"&amp;VLOOKUP($N691,CODE!$K:$P,CODE!$O$1,FALSE)))=TRUE,"",IF(VLOOKUP($N691,CODE!$K:$P,CODE!$O$1,FALSE)="",$M691,$M691&amp;"-"&amp;VLOOKUP($N691,CODE!$K:$P,CODE!$O$1,FALSE)))</f>
        <v>PLA</v>
      </c>
      <c r="P691" s="29" t="str">
        <f t="shared" si="142"/>
        <v>PLAUME3303</v>
      </c>
      <c r="Q691" s="1" t="s">
        <v>1481</v>
      </c>
      <c r="R691" s="1" t="s">
        <v>14</v>
      </c>
      <c r="S691" s="26">
        <v>1000</v>
      </c>
      <c r="T691" s="26">
        <v>59000000</v>
      </c>
      <c r="U691" s="26">
        <v>7733880.0000000009</v>
      </c>
      <c r="V691" s="26">
        <v>6.93524642693753</v>
      </c>
      <c r="W691" s="26">
        <v>0</v>
      </c>
      <c r="X691" s="26">
        <v>1000</v>
      </c>
    </row>
    <row r="692" spans="1:24">
      <c r="A692" s="24" t="str">
        <f t="shared" ref="A692:A755" si="143">IF(OR(MID(Q692,8,1)="3",MID(Q692,8,1)="8"),"신규","러닝")</f>
        <v>신규</v>
      </c>
      <c r="B692" s="24" t="str">
        <f>IF(COUNTIF(Q$1:Q691,Q692)=0,"최초","리오더")</f>
        <v>최초</v>
      </c>
      <c r="C692" s="24" t="str">
        <f t="shared" ref="C692:C755" si="144">IF($B692="리오더","",P692)</f>
        <v>PLAUME3304</v>
      </c>
      <c r="D692" s="24">
        <f t="shared" ref="D692:D755" si="145">IF(C692="",0,1/COUNTIF(C:C,C692))</f>
        <v>1</v>
      </c>
      <c r="E692" s="24" t="str">
        <f t="shared" ref="E692:E755" si="146">IF($B692="리오더",P692,"")</f>
        <v/>
      </c>
      <c r="F692" s="24">
        <f t="shared" ref="F692:F755" si="147">IF(E692="",0,1/COUNTIF(E:E,E692))</f>
        <v>0</v>
      </c>
      <c r="G692" s="24" t="str">
        <f t="shared" ref="G692:G755" si="148">IF($B692="리오더","",Q692)</f>
        <v>PLAUME3304OR</v>
      </c>
      <c r="H692" s="24">
        <f t="shared" ref="H692:H755" si="149">IF(G692="",0,1/COUNTIF(G:G,G692))</f>
        <v>1</v>
      </c>
      <c r="I692" s="24" t="str">
        <f t="shared" ref="I692:I755" si="150">IF($B692="리오더",Q692,"")</f>
        <v/>
      </c>
      <c r="J692" s="24">
        <f t="shared" ref="J692:J755" si="151">IF(I692="",0,1/COUNTIF(I:I,I692))</f>
        <v>0</v>
      </c>
      <c r="K692" s="24" t="str">
        <f t="shared" ref="K692:K755" si="152">MID(Q692,6,2)</f>
        <v>E3</v>
      </c>
      <c r="L692" s="24" t="str">
        <f>VLOOKUP(N692,CODE!K:P,CODE!$P$1,FALSE)</f>
        <v>모자</v>
      </c>
      <c r="M692" s="24" t="str">
        <f>VLOOKUP(MID(Q692,1,3),CODE!$B:$G,CODE!D$1,FALSE)</f>
        <v>PLA</v>
      </c>
      <c r="N692" s="24" t="str">
        <f t="shared" ref="N692:N755" si="153">MID(Q692,4,2)</f>
        <v>UM</v>
      </c>
      <c r="O692" s="29" t="str">
        <f>IF(ISERROR(IF(VLOOKUP($N692,CODE!$K:$P,CODE!$O$1,FALSE)="",$M692,$M692&amp;"-"&amp;VLOOKUP($N692,CODE!$K:$P,CODE!$O$1,FALSE)))=TRUE,"",IF(VLOOKUP($N692,CODE!$K:$P,CODE!$O$1,FALSE)="",$M692,$M692&amp;"-"&amp;VLOOKUP($N692,CODE!$K:$P,CODE!$O$1,FALSE)))</f>
        <v>PLA</v>
      </c>
      <c r="P692" s="29" t="str">
        <f t="shared" ref="P692:P755" si="154">MID(Q692,1,10)</f>
        <v>PLAUME3304</v>
      </c>
      <c r="Q692" s="1" t="s">
        <v>1482</v>
      </c>
      <c r="R692" s="1" t="s">
        <v>14</v>
      </c>
      <c r="S692" s="26">
        <v>500</v>
      </c>
      <c r="T692" s="26">
        <v>29500000</v>
      </c>
      <c r="U692" s="26">
        <v>3866940.0000000005</v>
      </c>
      <c r="V692" s="26">
        <v>6.93524642693753</v>
      </c>
      <c r="W692" s="26">
        <v>0</v>
      </c>
      <c r="X692" s="26">
        <v>500</v>
      </c>
    </row>
    <row r="693" spans="1:24">
      <c r="A693" s="24" t="str">
        <f t="shared" si="143"/>
        <v>신규</v>
      </c>
      <c r="B693" s="24" t="str">
        <f>IF(COUNTIF(Q$1:Q692,Q693)=0,"최초","리오더")</f>
        <v>최초</v>
      </c>
      <c r="C693" s="24" t="str">
        <f t="shared" si="144"/>
        <v>PLAUME3305</v>
      </c>
      <c r="D693" s="24">
        <f t="shared" si="145"/>
        <v>1</v>
      </c>
      <c r="E693" s="24" t="str">
        <f t="shared" si="146"/>
        <v/>
      </c>
      <c r="F693" s="24">
        <f t="shared" si="147"/>
        <v>0</v>
      </c>
      <c r="G693" s="24" t="str">
        <f t="shared" si="148"/>
        <v>PLAUME3305BW</v>
      </c>
      <c r="H693" s="24">
        <f t="shared" si="149"/>
        <v>1</v>
      </c>
      <c r="I693" s="24" t="str">
        <f t="shared" si="150"/>
        <v/>
      </c>
      <c r="J693" s="24">
        <f t="shared" si="151"/>
        <v>0</v>
      </c>
      <c r="K693" s="24" t="str">
        <f t="shared" si="152"/>
        <v>E3</v>
      </c>
      <c r="L693" s="24" t="str">
        <f>VLOOKUP(N693,CODE!K:P,CODE!$P$1,FALSE)</f>
        <v>모자</v>
      </c>
      <c r="M693" s="24" t="str">
        <f>VLOOKUP(MID(Q693,1,3),CODE!$B:$G,CODE!D$1,FALSE)</f>
        <v>PLA</v>
      </c>
      <c r="N693" s="24" t="str">
        <f t="shared" si="153"/>
        <v>UM</v>
      </c>
      <c r="O693" s="29" t="str">
        <f>IF(ISERROR(IF(VLOOKUP($N693,CODE!$K:$P,CODE!$O$1,FALSE)="",$M693,$M693&amp;"-"&amp;VLOOKUP($N693,CODE!$K:$P,CODE!$O$1,FALSE)))=TRUE,"",IF(VLOOKUP($N693,CODE!$K:$P,CODE!$O$1,FALSE)="",$M693,$M693&amp;"-"&amp;VLOOKUP($N693,CODE!$K:$P,CODE!$O$1,FALSE)))</f>
        <v>PLA</v>
      </c>
      <c r="P693" s="29" t="str">
        <f t="shared" si="154"/>
        <v>PLAUME3305</v>
      </c>
      <c r="Q693" s="1" t="s">
        <v>1483</v>
      </c>
      <c r="R693" s="1" t="s">
        <v>14</v>
      </c>
      <c r="S693" s="26">
        <v>1000</v>
      </c>
      <c r="T693" s="26">
        <v>59000000</v>
      </c>
      <c r="U693" s="26">
        <v>7733880.0000000009</v>
      </c>
      <c r="V693" s="26">
        <v>6.93524642693753</v>
      </c>
      <c r="W693" s="26">
        <v>0</v>
      </c>
      <c r="X693" s="26">
        <v>1000</v>
      </c>
    </row>
    <row r="694" spans="1:24">
      <c r="A694" s="24" t="str">
        <f t="shared" si="143"/>
        <v>신규</v>
      </c>
      <c r="B694" s="24" t="str">
        <f>IF(COUNTIF(Q$1:Q693,Q694)=0,"최초","리오더")</f>
        <v>최초</v>
      </c>
      <c r="C694" s="24" t="str">
        <f t="shared" si="144"/>
        <v>PLAUME3306</v>
      </c>
      <c r="D694" s="24">
        <f t="shared" si="145"/>
        <v>0.5</v>
      </c>
      <c r="E694" s="24" t="str">
        <f t="shared" si="146"/>
        <v/>
      </c>
      <c r="F694" s="24">
        <f t="shared" si="147"/>
        <v>0</v>
      </c>
      <c r="G694" s="24" t="str">
        <f t="shared" si="148"/>
        <v>PLAUME3306WH</v>
      </c>
      <c r="H694" s="24">
        <f t="shared" si="149"/>
        <v>1</v>
      </c>
      <c r="I694" s="24" t="str">
        <f t="shared" si="150"/>
        <v/>
      </c>
      <c r="J694" s="24">
        <f t="shared" si="151"/>
        <v>0</v>
      </c>
      <c r="K694" s="24" t="str">
        <f t="shared" si="152"/>
        <v>E3</v>
      </c>
      <c r="L694" s="24" t="str">
        <f>VLOOKUP(N694,CODE!K:P,CODE!$P$1,FALSE)</f>
        <v>모자</v>
      </c>
      <c r="M694" s="24" t="str">
        <f>VLOOKUP(MID(Q694,1,3),CODE!$B:$G,CODE!D$1,FALSE)</f>
        <v>PLA</v>
      </c>
      <c r="N694" s="24" t="str">
        <f t="shared" si="153"/>
        <v>UM</v>
      </c>
      <c r="O694" s="29" t="str">
        <f>IF(ISERROR(IF(VLOOKUP($N694,CODE!$K:$P,CODE!$O$1,FALSE)="",$M694,$M694&amp;"-"&amp;VLOOKUP($N694,CODE!$K:$P,CODE!$O$1,FALSE)))=TRUE,"",IF(VLOOKUP($N694,CODE!$K:$P,CODE!$O$1,FALSE)="",$M694,$M694&amp;"-"&amp;VLOOKUP($N694,CODE!$K:$P,CODE!$O$1,FALSE)))</f>
        <v>PLA</v>
      </c>
      <c r="P694" s="29" t="str">
        <f t="shared" si="154"/>
        <v>PLAUME3306</v>
      </c>
      <c r="Q694" s="1" t="s">
        <v>1484</v>
      </c>
      <c r="R694" s="1" t="s">
        <v>14</v>
      </c>
      <c r="S694" s="26">
        <v>500</v>
      </c>
      <c r="T694" s="26">
        <v>29500000</v>
      </c>
      <c r="U694" s="26">
        <v>3866940.0000000005</v>
      </c>
      <c r="V694" s="26">
        <v>6.93524642693753</v>
      </c>
      <c r="W694" s="26">
        <v>0</v>
      </c>
      <c r="X694" s="26">
        <v>500</v>
      </c>
    </row>
    <row r="695" spans="1:24">
      <c r="A695" s="24" t="str">
        <f t="shared" si="143"/>
        <v>신규</v>
      </c>
      <c r="B695" s="24" t="str">
        <f>IF(COUNTIF(Q$1:Q694,Q695)=0,"최초","리오더")</f>
        <v>최초</v>
      </c>
      <c r="C695" s="24" t="str">
        <f t="shared" si="144"/>
        <v>PLAUME3306</v>
      </c>
      <c r="D695" s="24">
        <f t="shared" si="145"/>
        <v>0.5</v>
      </c>
      <c r="E695" s="24" t="str">
        <f t="shared" si="146"/>
        <v/>
      </c>
      <c r="F695" s="24">
        <f t="shared" si="147"/>
        <v>0</v>
      </c>
      <c r="G695" s="24" t="str">
        <f t="shared" si="148"/>
        <v>PLAUME3306BK</v>
      </c>
      <c r="H695" s="24">
        <f t="shared" si="149"/>
        <v>1</v>
      </c>
      <c r="I695" s="24" t="str">
        <f t="shared" si="150"/>
        <v/>
      </c>
      <c r="J695" s="24">
        <f t="shared" si="151"/>
        <v>0</v>
      </c>
      <c r="K695" s="24" t="str">
        <f t="shared" si="152"/>
        <v>E3</v>
      </c>
      <c r="L695" s="24" t="str">
        <f>VLOOKUP(N695,CODE!K:P,CODE!$P$1,FALSE)</f>
        <v>모자</v>
      </c>
      <c r="M695" s="24" t="str">
        <f>VLOOKUP(MID(Q695,1,3),CODE!$B:$G,CODE!D$1,FALSE)</f>
        <v>PLA</v>
      </c>
      <c r="N695" s="24" t="str">
        <f t="shared" si="153"/>
        <v>UM</v>
      </c>
      <c r="O695" s="29" t="str">
        <f>IF(ISERROR(IF(VLOOKUP($N695,CODE!$K:$P,CODE!$O$1,FALSE)="",$M695,$M695&amp;"-"&amp;VLOOKUP($N695,CODE!$K:$P,CODE!$O$1,FALSE)))=TRUE,"",IF(VLOOKUP($N695,CODE!$K:$P,CODE!$O$1,FALSE)="",$M695,$M695&amp;"-"&amp;VLOOKUP($N695,CODE!$K:$P,CODE!$O$1,FALSE)))</f>
        <v>PLA</v>
      </c>
      <c r="P695" s="29" t="str">
        <f t="shared" si="154"/>
        <v>PLAUME3306</v>
      </c>
      <c r="Q695" s="1" t="s">
        <v>1485</v>
      </c>
      <c r="R695" s="1" t="s">
        <v>14</v>
      </c>
      <c r="S695" s="26">
        <v>700</v>
      </c>
      <c r="T695" s="26">
        <v>41300000</v>
      </c>
      <c r="U695" s="26">
        <v>5413716.0000000009</v>
      </c>
      <c r="V695" s="26">
        <v>6.93524642693753</v>
      </c>
      <c r="W695" s="26">
        <v>0</v>
      </c>
      <c r="X695" s="26">
        <v>700</v>
      </c>
    </row>
    <row r="696" spans="1:24">
      <c r="A696" s="24" t="str">
        <f t="shared" si="143"/>
        <v>신규</v>
      </c>
      <c r="B696" s="24" t="str">
        <f>IF(COUNTIF(Q$1:Q695,Q696)=0,"최초","리오더")</f>
        <v>최초</v>
      </c>
      <c r="C696" s="24" t="str">
        <f t="shared" si="144"/>
        <v>ELSJPE4328</v>
      </c>
      <c r="D696" s="24">
        <f t="shared" si="145"/>
        <v>0.25</v>
      </c>
      <c r="E696" s="24" t="str">
        <f t="shared" si="146"/>
        <v/>
      </c>
      <c r="F696" s="24">
        <f t="shared" si="147"/>
        <v>0</v>
      </c>
      <c r="G696" s="24" t="str">
        <f t="shared" si="148"/>
        <v>ELSJPE4328PK</v>
      </c>
      <c r="H696" s="24">
        <f t="shared" si="149"/>
        <v>1</v>
      </c>
      <c r="I696" s="24" t="str">
        <f t="shared" si="150"/>
        <v/>
      </c>
      <c r="J696" s="24">
        <f t="shared" si="151"/>
        <v>0</v>
      </c>
      <c r="K696" s="24" t="str">
        <f t="shared" si="152"/>
        <v>E4</v>
      </c>
      <c r="L696" s="24" t="str">
        <f>VLOOKUP(N696,CODE!K:P,CODE!$P$1,FALSE)</f>
        <v>의류</v>
      </c>
      <c r="M696" s="24" t="str">
        <f>VLOOKUP(MID(Q696,1,3),CODE!$B:$G,CODE!D$1,FALSE)</f>
        <v>ELS</v>
      </c>
      <c r="N696" s="24" t="str">
        <f t="shared" si="153"/>
        <v>JP</v>
      </c>
      <c r="O696" s="29" t="str">
        <f>IF(ISERROR(IF(VLOOKUP($N696,CODE!$K:$P,CODE!$O$1,FALSE)="",$M696,$M696&amp;"-"&amp;VLOOKUP($N696,CODE!$K:$P,CODE!$O$1,FALSE)))=TRUE,"",IF(VLOOKUP($N696,CODE!$K:$P,CODE!$O$1,FALSE)="",$M696,$M696&amp;"-"&amp;VLOOKUP($N696,CODE!$K:$P,CODE!$O$1,FALSE)))</f>
        <v>ELS-의류</v>
      </c>
      <c r="P696" s="29" t="str">
        <f t="shared" si="154"/>
        <v>ELSJPE4328</v>
      </c>
      <c r="Q696" s="1" t="s">
        <v>1486</v>
      </c>
      <c r="R696" s="1" t="s">
        <v>14</v>
      </c>
      <c r="S696" s="26">
        <v>1000</v>
      </c>
      <c r="T696" s="26">
        <v>99000000</v>
      </c>
      <c r="U696" s="26">
        <v>24000000</v>
      </c>
      <c r="V696" s="26">
        <v>3.7499999999999996</v>
      </c>
      <c r="W696" s="26">
        <v>0</v>
      </c>
      <c r="X696" s="26">
        <v>1000</v>
      </c>
    </row>
    <row r="697" spans="1:24">
      <c r="A697" s="24" t="str">
        <f t="shared" si="143"/>
        <v>신규</v>
      </c>
      <c r="B697" s="24" t="str">
        <f>IF(COUNTIF(Q$1:Q696,Q697)=0,"최초","리오더")</f>
        <v>최초</v>
      </c>
      <c r="C697" s="24" t="str">
        <f t="shared" si="144"/>
        <v>ELSPTE4329</v>
      </c>
      <c r="D697" s="24">
        <f t="shared" si="145"/>
        <v>0.25</v>
      </c>
      <c r="E697" s="24" t="str">
        <f t="shared" si="146"/>
        <v/>
      </c>
      <c r="F697" s="24">
        <f t="shared" si="147"/>
        <v>0</v>
      </c>
      <c r="G697" s="24" t="str">
        <f t="shared" si="148"/>
        <v>ELSPTE4329PK</v>
      </c>
      <c r="H697" s="24">
        <f t="shared" si="149"/>
        <v>1</v>
      </c>
      <c r="I697" s="24" t="str">
        <f t="shared" si="150"/>
        <v/>
      </c>
      <c r="J697" s="24">
        <f t="shared" si="151"/>
        <v>0</v>
      </c>
      <c r="K697" s="24" t="str">
        <f t="shared" si="152"/>
        <v>E4</v>
      </c>
      <c r="L697" s="24" t="str">
        <f>VLOOKUP(N697,CODE!K:P,CODE!$P$1,FALSE)</f>
        <v>의류</v>
      </c>
      <c r="M697" s="24" t="str">
        <f>VLOOKUP(MID(Q697,1,3),CODE!$B:$G,CODE!D$1,FALSE)</f>
        <v>ELS</v>
      </c>
      <c r="N697" s="24" t="str">
        <f t="shared" si="153"/>
        <v>PT</v>
      </c>
      <c r="O697" s="29" t="str">
        <f>IF(ISERROR(IF(VLOOKUP($N697,CODE!$K:$P,CODE!$O$1,FALSE)="",$M697,$M697&amp;"-"&amp;VLOOKUP($N697,CODE!$K:$P,CODE!$O$1,FALSE)))=TRUE,"",IF(VLOOKUP($N697,CODE!$K:$P,CODE!$O$1,FALSE)="",$M697,$M697&amp;"-"&amp;VLOOKUP($N697,CODE!$K:$P,CODE!$O$1,FALSE)))</f>
        <v>ELS-의류</v>
      </c>
      <c r="P697" s="29" t="str">
        <f t="shared" si="154"/>
        <v>ELSPTE4329</v>
      </c>
      <c r="Q697" s="1" t="s">
        <v>1487</v>
      </c>
      <c r="R697" s="1" t="s">
        <v>14</v>
      </c>
      <c r="S697" s="26">
        <v>800</v>
      </c>
      <c r="T697" s="26">
        <v>55200000</v>
      </c>
      <c r="U697" s="26">
        <v>12480000</v>
      </c>
      <c r="V697" s="26">
        <v>4.0209790209790208</v>
      </c>
      <c r="W697" s="26">
        <v>0</v>
      </c>
      <c r="X697" s="26">
        <v>800</v>
      </c>
    </row>
    <row r="698" spans="1:24">
      <c r="A698" s="24" t="str">
        <f t="shared" si="143"/>
        <v>신규</v>
      </c>
      <c r="B698" s="24" t="str">
        <f>IF(COUNTIF(Q$1:Q697,Q698)=0,"최초","리오더")</f>
        <v>최초</v>
      </c>
      <c r="C698" s="24" t="str">
        <f t="shared" si="144"/>
        <v>ELSJPE4328</v>
      </c>
      <c r="D698" s="24">
        <f t="shared" si="145"/>
        <v>0.25</v>
      </c>
      <c r="E698" s="24" t="str">
        <f t="shared" si="146"/>
        <v/>
      </c>
      <c r="F698" s="24">
        <f t="shared" si="147"/>
        <v>0</v>
      </c>
      <c r="G698" s="24" t="str">
        <f t="shared" si="148"/>
        <v>ELSJPE4328BL</v>
      </c>
      <c r="H698" s="24">
        <f t="shared" si="149"/>
        <v>1</v>
      </c>
      <c r="I698" s="24" t="str">
        <f t="shared" si="150"/>
        <v/>
      </c>
      <c r="J698" s="24">
        <f t="shared" si="151"/>
        <v>0</v>
      </c>
      <c r="K698" s="24" t="str">
        <f t="shared" si="152"/>
        <v>E4</v>
      </c>
      <c r="L698" s="24" t="str">
        <f>VLOOKUP(N698,CODE!K:P,CODE!$P$1,FALSE)</f>
        <v>의류</v>
      </c>
      <c r="M698" s="24" t="str">
        <f>VLOOKUP(MID(Q698,1,3),CODE!$B:$G,CODE!D$1,FALSE)</f>
        <v>ELS</v>
      </c>
      <c r="N698" s="24" t="str">
        <f t="shared" si="153"/>
        <v>JP</v>
      </c>
      <c r="O698" s="29" t="str">
        <f>IF(ISERROR(IF(VLOOKUP($N698,CODE!$K:$P,CODE!$O$1,FALSE)="",$M698,$M698&amp;"-"&amp;VLOOKUP($N698,CODE!$K:$P,CODE!$O$1,FALSE)))=TRUE,"",IF(VLOOKUP($N698,CODE!$K:$P,CODE!$O$1,FALSE)="",$M698,$M698&amp;"-"&amp;VLOOKUP($N698,CODE!$K:$P,CODE!$O$1,FALSE)))</f>
        <v>ELS-의류</v>
      </c>
      <c r="P698" s="29" t="str">
        <f t="shared" si="154"/>
        <v>ELSJPE4328</v>
      </c>
      <c r="Q698" s="1" t="s">
        <v>1488</v>
      </c>
      <c r="R698" s="1" t="s">
        <v>14</v>
      </c>
      <c r="S698" s="26">
        <v>1500</v>
      </c>
      <c r="T698" s="26">
        <v>148500000</v>
      </c>
      <c r="U698" s="26">
        <v>36000000</v>
      </c>
      <c r="V698" s="26">
        <v>3.75</v>
      </c>
      <c r="W698" s="26">
        <v>0</v>
      </c>
      <c r="X698" s="26">
        <v>1500</v>
      </c>
    </row>
    <row r="699" spans="1:24">
      <c r="A699" s="24" t="str">
        <f t="shared" si="143"/>
        <v>신규</v>
      </c>
      <c r="B699" s="24" t="str">
        <f>IF(COUNTIF(Q$1:Q698,Q699)=0,"최초","리오더")</f>
        <v>최초</v>
      </c>
      <c r="C699" s="24" t="str">
        <f t="shared" si="144"/>
        <v>ELSPTE4329</v>
      </c>
      <c r="D699" s="24">
        <f t="shared" si="145"/>
        <v>0.25</v>
      </c>
      <c r="E699" s="24" t="str">
        <f t="shared" si="146"/>
        <v/>
      </c>
      <c r="F699" s="24">
        <f t="shared" si="147"/>
        <v>0</v>
      </c>
      <c r="G699" s="24" t="str">
        <f t="shared" si="148"/>
        <v>ELSPTE4329BL</v>
      </c>
      <c r="H699" s="24">
        <f t="shared" si="149"/>
        <v>1</v>
      </c>
      <c r="I699" s="24" t="str">
        <f t="shared" si="150"/>
        <v/>
      </c>
      <c r="J699" s="24">
        <f t="shared" si="151"/>
        <v>0</v>
      </c>
      <c r="K699" s="24" t="str">
        <f t="shared" si="152"/>
        <v>E4</v>
      </c>
      <c r="L699" s="24" t="str">
        <f>VLOOKUP(N699,CODE!K:P,CODE!$P$1,FALSE)</f>
        <v>의류</v>
      </c>
      <c r="M699" s="24" t="str">
        <f>VLOOKUP(MID(Q699,1,3),CODE!$B:$G,CODE!D$1,FALSE)</f>
        <v>ELS</v>
      </c>
      <c r="N699" s="24" t="str">
        <f t="shared" si="153"/>
        <v>PT</v>
      </c>
      <c r="O699" s="29" t="str">
        <f>IF(ISERROR(IF(VLOOKUP($N699,CODE!$K:$P,CODE!$O$1,FALSE)="",$M699,$M699&amp;"-"&amp;VLOOKUP($N699,CODE!$K:$P,CODE!$O$1,FALSE)))=TRUE,"",IF(VLOOKUP($N699,CODE!$K:$P,CODE!$O$1,FALSE)="",$M699,$M699&amp;"-"&amp;VLOOKUP($N699,CODE!$K:$P,CODE!$O$1,FALSE)))</f>
        <v>ELS-의류</v>
      </c>
      <c r="P699" s="29" t="str">
        <f t="shared" si="154"/>
        <v>ELSPTE4329</v>
      </c>
      <c r="Q699" s="1" t="s">
        <v>1489</v>
      </c>
      <c r="R699" s="1" t="s">
        <v>14</v>
      </c>
      <c r="S699" s="26">
        <v>1200</v>
      </c>
      <c r="T699" s="26">
        <v>82800000</v>
      </c>
      <c r="U699" s="26">
        <v>18720000</v>
      </c>
      <c r="V699" s="26">
        <v>4.0209790209790208</v>
      </c>
      <c r="W699" s="26">
        <v>0</v>
      </c>
      <c r="X699" s="26">
        <v>1200</v>
      </c>
    </row>
    <row r="700" spans="1:24">
      <c r="A700" s="24" t="str">
        <f t="shared" si="143"/>
        <v>신규</v>
      </c>
      <c r="B700" s="24" t="str">
        <f>IF(COUNTIF(Q$1:Q699,Q700)=0,"최초","리오더")</f>
        <v>최초</v>
      </c>
      <c r="C700" s="24" t="str">
        <f t="shared" si="144"/>
        <v>ELSJPE4328</v>
      </c>
      <c r="D700" s="24">
        <f t="shared" si="145"/>
        <v>0.25</v>
      </c>
      <c r="E700" s="24" t="str">
        <f t="shared" si="146"/>
        <v/>
      </c>
      <c r="F700" s="24">
        <f t="shared" si="147"/>
        <v>0</v>
      </c>
      <c r="G700" s="24" t="str">
        <f t="shared" si="148"/>
        <v>ELSJPE4328RE</v>
      </c>
      <c r="H700" s="24">
        <f t="shared" si="149"/>
        <v>1</v>
      </c>
      <c r="I700" s="24" t="str">
        <f t="shared" si="150"/>
        <v/>
      </c>
      <c r="J700" s="24">
        <f t="shared" si="151"/>
        <v>0</v>
      </c>
      <c r="K700" s="24" t="str">
        <f t="shared" si="152"/>
        <v>E4</v>
      </c>
      <c r="L700" s="24" t="str">
        <f>VLOOKUP(N700,CODE!K:P,CODE!$P$1,FALSE)</f>
        <v>의류</v>
      </c>
      <c r="M700" s="24" t="str">
        <f>VLOOKUP(MID(Q700,1,3),CODE!$B:$G,CODE!D$1,FALSE)</f>
        <v>ELS</v>
      </c>
      <c r="N700" s="24" t="str">
        <f t="shared" si="153"/>
        <v>JP</v>
      </c>
      <c r="O700" s="29" t="str">
        <f>IF(ISERROR(IF(VLOOKUP($N700,CODE!$K:$P,CODE!$O$1,FALSE)="",$M700,$M700&amp;"-"&amp;VLOOKUP($N700,CODE!$K:$P,CODE!$O$1,FALSE)))=TRUE,"",IF(VLOOKUP($N700,CODE!$K:$P,CODE!$O$1,FALSE)="",$M700,$M700&amp;"-"&amp;VLOOKUP($N700,CODE!$K:$P,CODE!$O$1,FALSE)))</f>
        <v>ELS-의류</v>
      </c>
      <c r="P700" s="29" t="str">
        <f t="shared" si="154"/>
        <v>ELSJPE4328</v>
      </c>
      <c r="Q700" s="1" t="s">
        <v>1490</v>
      </c>
      <c r="R700" s="1" t="s">
        <v>14</v>
      </c>
      <c r="S700" s="26">
        <v>1500</v>
      </c>
      <c r="T700" s="26">
        <v>148500000</v>
      </c>
      <c r="U700" s="26">
        <v>36000000</v>
      </c>
      <c r="V700" s="26">
        <v>3.75</v>
      </c>
      <c r="W700" s="26">
        <v>0</v>
      </c>
      <c r="X700" s="26">
        <v>1500</v>
      </c>
    </row>
    <row r="701" spans="1:24">
      <c r="A701" s="24" t="str">
        <f t="shared" si="143"/>
        <v>신규</v>
      </c>
      <c r="B701" s="24" t="str">
        <f>IF(COUNTIF(Q$1:Q700,Q701)=0,"최초","리오더")</f>
        <v>최초</v>
      </c>
      <c r="C701" s="24" t="str">
        <f t="shared" si="144"/>
        <v>ELSPTE4329</v>
      </c>
      <c r="D701" s="24">
        <f t="shared" si="145"/>
        <v>0.25</v>
      </c>
      <c r="E701" s="24" t="str">
        <f t="shared" si="146"/>
        <v/>
      </c>
      <c r="F701" s="24">
        <f t="shared" si="147"/>
        <v>0</v>
      </c>
      <c r="G701" s="24" t="str">
        <f t="shared" si="148"/>
        <v>ELSPTE4329RE</v>
      </c>
      <c r="H701" s="24">
        <f t="shared" si="149"/>
        <v>1</v>
      </c>
      <c r="I701" s="24" t="str">
        <f t="shared" si="150"/>
        <v/>
      </c>
      <c r="J701" s="24">
        <f t="shared" si="151"/>
        <v>0</v>
      </c>
      <c r="K701" s="24" t="str">
        <f t="shared" si="152"/>
        <v>E4</v>
      </c>
      <c r="L701" s="24" t="str">
        <f>VLOOKUP(N701,CODE!K:P,CODE!$P$1,FALSE)</f>
        <v>의류</v>
      </c>
      <c r="M701" s="24" t="str">
        <f>VLOOKUP(MID(Q701,1,3),CODE!$B:$G,CODE!D$1,FALSE)</f>
        <v>ELS</v>
      </c>
      <c r="N701" s="24" t="str">
        <f t="shared" si="153"/>
        <v>PT</v>
      </c>
      <c r="O701" s="29" t="str">
        <f>IF(ISERROR(IF(VLOOKUP($N701,CODE!$K:$P,CODE!$O$1,FALSE)="",$M701,$M701&amp;"-"&amp;VLOOKUP($N701,CODE!$K:$P,CODE!$O$1,FALSE)))=TRUE,"",IF(VLOOKUP($N701,CODE!$K:$P,CODE!$O$1,FALSE)="",$M701,$M701&amp;"-"&amp;VLOOKUP($N701,CODE!$K:$P,CODE!$O$1,FALSE)))</f>
        <v>ELS-의류</v>
      </c>
      <c r="P701" s="29" t="str">
        <f t="shared" si="154"/>
        <v>ELSPTE4329</v>
      </c>
      <c r="Q701" s="1" t="s">
        <v>1491</v>
      </c>
      <c r="R701" s="1" t="s">
        <v>14</v>
      </c>
      <c r="S701" s="26">
        <v>1200</v>
      </c>
      <c r="T701" s="26">
        <v>82800000</v>
      </c>
      <c r="U701" s="26">
        <v>18720000</v>
      </c>
      <c r="V701" s="26">
        <v>4.0209790209790208</v>
      </c>
      <c r="W701" s="26">
        <v>0</v>
      </c>
      <c r="X701" s="26">
        <v>1200</v>
      </c>
    </row>
    <row r="702" spans="1:24">
      <c r="A702" s="24" t="str">
        <f t="shared" si="143"/>
        <v>신규</v>
      </c>
      <c r="B702" s="24" t="str">
        <f>IF(COUNTIF(Q$1:Q701,Q702)=0,"최초","리오더")</f>
        <v>최초</v>
      </c>
      <c r="C702" s="24" t="str">
        <f t="shared" si="144"/>
        <v>ELSJPE4328</v>
      </c>
      <c r="D702" s="24">
        <f t="shared" si="145"/>
        <v>0.25</v>
      </c>
      <c r="E702" s="24" t="str">
        <f t="shared" si="146"/>
        <v/>
      </c>
      <c r="F702" s="24">
        <f t="shared" si="147"/>
        <v>0</v>
      </c>
      <c r="G702" s="24" t="str">
        <f t="shared" si="148"/>
        <v>ELSJPE4328BK</v>
      </c>
      <c r="H702" s="24">
        <f t="shared" si="149"/>
        <v>1</v>
      </c>
      <c r="I702" s="24" t="str">
        <f t="shared" si="150"/>
        <v/>
      </c>
      <c r="J702" s="24">
        <f t="shared" si="151"/>
        <v>0</v>
      </c>
      <c r="K702" s="24" t="str">
        <f t="shared" si="152"/>
        <v>E4</v>
      </c>
      <c r="L702" s="24" t="str">
        <f>VLOOKUP(N702,CODE!K:P,CODE!$P$1,FALSE)</f>
        <v>의류</v>
      </c>
      <c r="M702" s="24" t="str">
        <f>VLOOKUP(MID(Q702,1,3),CODE!$B:$G,CODE!D$1,FALSE)</f>
        <v>ELS</v>
      </c>
      <c r="N702" s="24" t="str">
        <f t="shared" si="153"/>
        <v>JP</v>
      </c>
      <c r="O702" s="29" t="str">
        <f>IF(ISERROR(IF(VLOOKUP($N702,CODE!$K:$P,CODE!$O$1,FALSE)="",$M702,$M702&amp;"-"&amp;VLOOKUP($N702,CODE!$K:$P,CODE!$O$1,FALSE)))=TRUE,"",IF(VLOOKUP($N702,CODE!$K:$P,CODE!$O$1,FALSE)="",$M702,$M702&amp;"-"&amp;VLOOKUP($N702,CODE!$K:$P,CODE!$O$1,FALSE)))</f>
        <v>ELS-의류</v>
      </c>
      <c r="P702" s="29" t="str">
        <f t="shared" si="154"/>
        <v>ELSJPE4328</v>
      </c>
      <c r="Q702" s="1" t="s">
        <v>1492</v>
      </c>
      <c r="R702" s="1" t="s">
        <v>14</v>
      </c>
      <c r="S702" s="26">
        <v>2000</v>
      </c>
      <c r="T702" s="26">
        <v>198000000</v>
      </c>
      <c r="U702" s="26">
        <v>48000000</v>
      </c>
      <c r="V702" s="26">
        <v>3.7499999999999996</v>
      </c>
      <c r="W702" s="26">
        <v>0</v>
      </c>
      <c r="X702" s="26">
        <v>2000</v>
      </c>
    </row>
    <row r="703" spans="1:24">
      <c r="A703" s="24" t="str">
        <f t="shared" si="143"/>
        <v>신규</v>
      </c>
      <c r="B703" s="24" t="str">
        <f>IF(COUNTIF(Q$1:Q702,Q703)=0,"최초","리오더")</f>
        <v>최초</v>
      </c>
      <c r="C703" s="24" t="str">
        <f t="shared" si="144"/>
        <v>ELSPTE4329</v>
      </c>
      <c r="D703" s="24">
        <f t="shared" si="145"/>
        <v>0.25</v>
      </c>
      <c r="E703" s="24" t="str">
        <f t="shared" si="146"/>
        <v/>
      </c>
      <c r="F703" s="24">
        <f t="shared" si="147"/>
        <v>0</v>
      </c>
      <c r="G703" s="24" t="str">
        <f t="shared" si="148"/>
        <v>ELSPTE4329BK</v>
      </c>
      <c r="H703" s="24">
        <f t="shared" si="149"/>
        <v>1</v>
      </c>
      <c r="I703" s="24" t="str">
        <f t="shared" si="150"/>
        <v/>
      </c>
      <c r="J703" s="24">
        <f t="shared" si="151"/>
        <v>0</v>
      </c>
      <c r="K703" s="24" t="str">
        <f t="shared" si="152"/>
        <v>E4</v>
      </c>
      <c r="L703" s="24" t="str">
        <f>VLOOKUP(N703,CODE!K:P,CODE!$P$1,FALSE)</f>
        <v>의류</v>
      </c>
      <c r="M703" s="24" t="str">
        <f>VLOOKUP(MID(Q703,1,3),CODE!$B:$G,CODE!D$1,FALSE)</f>
        <v>ELS</v>
      </c>
      <c r="N703" s="24" t="str">
        <f t="shared" si="153"/>
        <v>PT</v>
      </c>
      <c r="O703" s="29" t="str">
        <f>IF(ISERROR(IF(VLOOKUP($N703,CODE!$K:$P,CODE!$O$1,FALSE)="",$M703,$M703&amp;"-"&amp;VLOOKUP($N703,CODE!$K:$P,CODE!$O$1,FALSE)))=TRUE,"",IF(VLOOKUP($N703,CODE!$K:$P,CODE!$O$1,FALSE)="",$M703,$M703&amp;"-"&amp;VLOOKUP($N703,CODE!$K:$P,CODE!$O$1,FALSE)))</f>
        <v>ELS-의류</v>
      </c>
      <c r="P703" s="29" t="str">
        <f t="shared" si="154"/>
        <v>ELSPTE4329</v>
      </c>
      <c r="Q703" s="1" t="s">
        <v>1493</v>
      </c>
      <c r="R703" s="1" t="s">
        <v>14</v>
      </c>
      <c r="S703" s="26">
        <v>1500</v>
      </c>
      <c r="T703" s="26">
        <v>103500000</v>
      </c>
      <c r="U703" s="26">
        <v>23400000</v>
      </c>
      <c r="V703" s="26">
        <v>4.0209790209790208</v>
      </c>
      <c r="W703" s="26">
        <v>0</v>
      </c>
      <c r="X703" s="26">
        <v>1500</v>
      </c>
    </row>
    <row r="704" spans="1:24">
      <c r="A704" s="24" t="str">
        <f t="shared" si="143"/>
        <v>신규</v>
      </c>
      <c r="B704" s="24" t="str">
        <f>IF(COUNTIF(Q$1:Q703,Q704)=0,"최초","리오더")</f>
        <v>최초</v>
      </c>
      <c r="C704" s="24" t="str">
        <f t="shared" si="144"/>
        <v>ELSJPE4832</v>
      </c>
      <c r="D704" s="24">
        <f t="shared" si="145"/>
        <v>0.33333333333333331</v>
      </c>
      <c r="E704" s="24" t="str">
        <f t="shared" si="146"/>
        <v/>
      </c>
      <c r="F704" s="24">
        <f t="shared" si="147"/>
        <v>0</v>
      </c>
      <c r="G704" s="24" t="str">
        <f t="shared" si="148"/>
        <v>ELSJPE4832RE</v>
      </c>
      <c r="H704" s="24">
        <f t="shared" si="149"/>
        <v>1</v>
      </c>
      <c r="I704" s="24" t="str">
        <f t="shared" si="150"/>
        <v/>
      </c>
      <c r="J704" s="24">
        <f t="shared" si="151"/>
        <v>0</v>
      </c>
      <c r="K704" s="24" t="str">
        <f t="shared" si="152"/>
        <v>E4</v>
      </c>
      <c r="L704" s="24" t="str">
        <f>VLOOKUP(N704,CODE!K:P,CODE!$P$1,FALSE)</f>
        <v>의류</v>
      </c>
      <c r="M704" s="24" t="str">
        <f>VLOOKUP(MID(Q704,1,3),CODE!$B:$G,CODE!D$1,FALSE)</f>
        <v>ELS</v>
      </c>
      <c r="N704" s="24" t="str">
        <f t="shared" si="153"/>
        <v>JP</v>
      </c>
      <c r="O704" s="29" t="str">
        <f>IF(ISERROR(IF(VLOOKUP($N704,CODE!$K:$P,CODE!$O$1,FALSE)="",$M704,$M704&amp;"-"&amp;VLOOKUP($N704,CODE!$K:$P,CODE!$O$1,FALSE)))=TRUE,"",IF(VLOOKUP($N704,CODE!$K:$P,CODE!$O$1,FALSE)="",$M704,$M704&amp;"-"&amp;VLOOKUP($N704,CODE!$K:$P,CODE!$O$1,FALSE)))</f>
        <v>ELS-의류</v>
      </c>
      <c r="P704" s="29" t="str">
        <f t="shared" si="154"/>
        <v>ELSJPE4832</v>
      </c>
      <c r="Q704" s="1" t="s">
        <v>1494</v>
      </c>
      <c r="R704" s="1" t="s">
        <v>14</v>
      </c>
      <c r="S704" s="26">
        <v>1500</v>
      </c>
      <c r="T704" s="26">
        <v>133500000</v>
      </c>
      <c r="U704" s="26">
        <v>30000000</v>
      </c>
      <c r="V704" s="26">
        <v>4.045454545454545</v>
      </c>
      <c r="W704" s="26">
        <v>0</v>
      </c>
      <c r="X704" s="26">
        <v>1500</v>
      </c>
    </row>
    <row r="705" spans="1:24">
      <c r="A705" s="24" t="str">
        <f t="shared" si="143"/>
        <v>신규</v>
      </c>
      <c r="B705" s="24" t="str">
        <f>IF(COUNTIF(Q$1:Q704,Q705)=0,"최초","리오더")</f>
        <v>최초</v>
      </c>
      <c r="C705" s="24" t="str">
        <f t="shared" si="144"/>
        <v>ELSPTE4833</v>
      </c>
      <c r="D705" s="24">
        <f t="shared" si="145"/>
        <v>0.33333333333333331</v>
      </c>
      <c r="E705" s="24" t="str">
        <f t="shared" si="146"/>
        <v/>
      </c>
      <c r="F705" s="24">
        <f t="shared" si="147"/>
        <v>0</v>
      </c>
      <c r="G705" s="24" t="str">
        <f t="shared" si="148"/>
        <v>ELSPTE4833RE</v>
      </c>
      <c r="H705" s="24">
        <f t="shared" si="149"/>
        <v>1</v>
      </c>
      <c r="I705" s="24" t="str">
        <f t="shared" si="150"/>
        <v/>
      </c>
      <c r="J705" s="24">
        <f t="shared" si="151"/>
        <v>0</v>
      </c>
      <c r="K705" s="24" t="str">
        <f t="shared" si="152"/>
        <v>E4</v>
      </c>
      <c r="L705" s="24" t="str">
        <f>VLOOKUP(N705,CODE!K:P,CODE!$P$1,FALSE)</f>
        <v>의류</v>
      </c>
      <c r="M705" s="24" t="str">
        <f>VLOOKUP(MID(Q705,1,3),CODE!$B:$G,CODE!D$1,FALSE)</f>
        <v>ELS</v>
      </c>
      <c r="N705" s="24" t="str">
        <f t="shared" si="153"/>
        <v>PT</v>
      </c>
      <c r="O705" s="29" t="str">
        <f>IF(ISERROR(IF(VLOOKUP($N705,CODE!$K:$P,CODE!$O$1,FALSE)="",$M705,$M705&amp;"-"&amp;VLOOKUP($N705,CODE!$K:$P,CODE!$O$1,FALSE)))=TRUE,"",IF(VLOOKUP($N705,CODE!$K:$P,CODE!$O$1,FALSE)="",$M705,$M705&amp;"-"&amp;VLOOKUP($N705,CODE!$K:$P,CODE!$O$1,FALSE)))</f>
        <v>ELS-의류</v>
      </c>
      <c r="P705" s="29" t="str">
        <f t="shared" si="154"/>
        <v>ELSPTE4833</v>
      </c>
      <c r="Q705" s="1" t="s">
        <v>1495</v>
      </c>
      <c r="R705" s="1" t="s">
        <v>14</v>
      </c>
      <c r="S705" s="26">
        <v>1200</v>
      </c>
      <c r="T705" s="26">
        <v>70800000</v>
      </c>
      <c r="U705" s="26">
        <v>14640000</v>
      </c>
      <c r="V705" s="26">
        <v>4.3964232488822645</v>
      </c>
      <c r="W705" s="26">
        <v>0</v>
      </c>
      <c r="X705" s="26">
        <v>1200</v>
      </c>
    </row>
    <row r="706" spans="1:24">
      <c r="A706" s="24" t="str">
        <f t="shared" si="143"/>
        <v>신규</v>
      </c>
      <c r="B706" s="24" t="str">
        <f>IF(COUNTIF(Q$1:Q705,Q706)=0,"최초","리오더")</f>
        <v>최초</v>
      </c>
      <c r="C706" s="24" t="str">
        <f t="shared" si="144"/>
        <v>ELSJPE4832</v>
      </c>
      <c r="D706" s="24">
        <f t="shared" si="145"/>
        <v>0.33333333333333331</v>
      </c>
      <c r="E706" s="24" t="str">
        <f t="shared" si="146"/>
        <v/>
      </c>
      <c r="F706" s="24">
        <f t="shared" si="147"/>
        <v>0</v>
      </c>
      <c r="G706" s="24" t="str">
        <f t="shared" si="148"/>
        <v>ELSJPE4832BK</v>
      </c>
      <c r="H706" s="24">
        <f t="shared" si="149"/>
        <v>1</v>
      </c>
      <c r="I706" s="24" t="str">
        <f t="shared" si="150"/>
        <v/>
      </c>
      <c r="J706" s="24">
        <f t="shared" si="151"/>
        <v>0</v>
      </c>
      <c r="K706" s="24" t="str">
        <f t="shared" si="152"/>
        <v>E4</v>
      </c>
      <c r="L706" s="24" t="str">
        <f>VLOOKUP(N706,CODE!K:P,CODE!$P$1,FALSE)</f>
        <v>의류</v>
      </c>
      <c r="M706" s="24" t="str">
        <f>VLOOKUP(MID(Q706,1,3),CODE!$B:$G,CODE!D$1,FALSE)</f>
        <v>ELS</v>
      </c>
      <c r="N706" s="24" t="str">
        <f t="shared" si="153"/>
        <v>JP</v>
      </c>
      <c r="O706" s="29" t="str">
        <f>IF(ISERROR(IF(VLOOKUP($N706,CODE!$K:$P,CODE!$O$1,FALSE)="",$M706,$M706&amp;"-"&amp;VLOOKUP($N706,CODE!$K:$P,CODE!$O$1,FALSE)))=TRUE,"",IF(VLOOKUP($N706,CODE!$K:$P,CODE!$O$1,FALSE)="",$M706,$M706&amp;"-"&amp;VLOOKUP($N706,CODE!$K:$P,CODE!$O$1,FALSE)))</f>
        <v>ELS-의류</v>
      </c>
      <c r="P706" s="29" t="str">
        <f t="shared" si="154"/>
        <v>ELSJPE4832</v>
      </c>
      <c r="Q706" s="1" t="s">
        <v>1496</v>
      </c>
      <c r="R706" s="1" t="s">
        <v>14</v>
      </c>
      <c r="S706" s="26">
        <v>1500</v>
      </c>
      <c r="T706" s="26">
        <v>133500000</v>
      </c>
      <c r="U706" s="26">
        <v>31500000</v>
      </c>
      <c r="V706" s="26">
        <v>3.8528138528138527</v>
      </c>
      <c r="W706" s="26">
        <v>0</v>
      </c>
      <c r="X706" s="26">
        <v>1500</v>
      </c>
    </row>
    <row r="707" spans="1:24">
      <c r="A707" s="24" t="str">
        <f t="shared" si="143"/>
        <v>신규</v>
      </c>
      <c r="B707" s="24" t="str">
        <f>IF(COUNTIF(Q$1:Q706,Q707)=0,"최초","리오더")</f>
        <v>최초</v>
      </c>
      <c r="C707" s="24" t="str">
        <f t="shared" si="144"/>
        <v>ELSPTE4833</v>
      </c>
      <c r="D707" s="24">
        <f t="shared" si="145"/>
        <v>0.33333333333333331</v>
      </c>
      <c r="E707" s="24" t="str">
        <f t="shared" si="146"/>
        <v/>
      </c>
      <c r="F707" s="24">
        <f t="shared" si="147"/>
        <v>0</v>
      </c>
      <c r="G707" s="24" t="str">
        <f t="shared" si="148"/>
        <v>ELSPTE4833BK</v>
      </c>
      <c r="H707" s="24">
        <f t="shared" si="149"/>
        <v>1</v>
      </c>
      <c r="I707" s="24" t="str">
        <f t="shared" si="150"/>
        <v/>
      </c>
      <c r="J707" s="24">
        <f t="shared" si="151"/>
        <v>0</v>
      </c>
      <c r="K707" s="24" t="str">
        <f t="shared" si="152"/>
        <v>E4</v>
      </c>
      <c r="L707" s="24" t="str">
        <f>VLOOKUP(N707,CODE!K:P,CODE!$P$1,FALSE)</f>
        <v>의류</v>
      </c>
      <c r="M707" s="24" t="str">
        <f>VLOOKUP(MID(Q707,1,3),CODE!$B:$G,CODE!D$1,FALSE)</f>
        <v>ELS</v>
      </c>
      <c r="N707" s="24" t="str">
        <f t="shared" si="153"/>
        <v>PT</v>
      </c>
      <c r="O707" s="29" t="str">
        <f>IF(ISERROR(IF(VLOOKUP($N707,CODE!$K:$P,CODE!$O$1,FALSE)="",$M707,$M707&amp;"-"&amp;VLOOKUP($N707,CODE!$K:$P,CODE!$O$1,FALSE)))=TRUE,"",IF(VLOOKUP($N707,CODE!$K:$P,CODE!$O$1,FALSE)="",$M707,$M707&amp;"-"&amp;VLOOKUP($N707,CODE!$K:$P,CODE!$O$1,FALSE)))</f>
        <v>ELS-의류</v>
      </c>
      <c r="P707" s="29" t="str">
        <f t="shared" si="154"/>
        <v>ELSPTE4833</v>
      </c>
      <c r="Q707" s="1" t="s">
        <v>1497</v>
      </c>
      <c r="R707" s="1" t="s">
        <v>14</v>
      </c>
      <c r="S707" s="26">
        <v>1200</v>
      </c>
      <c r="T707" s="26">
        <v>70800000</v>
      </c>
      <c r="U707" s="26">
        <v>15000000</v>
      </c>
      <c r="V707" s="26">
        <v>4.2909090909090901</v>
      </c>
      <c r="W707" s="26">
        <v>0</v>
      </c>
      <c r="X707" s="26">
        <v>1200</v>
      </c>
    </row>
    <row r="708" spans="1:24">
      <c r="A708" s="24" t="str">
        <f t="shared" si="143"/>
        <v>신규</v>
      </c>
      <c r="B708" s="24" t="str">
        <f>IF(COUNTIF(Q$1:Q707,Q708)=0,"최초","리오더")</f>
        <v>최초</v>
      </c>
      <c r="C708" s="24" t="str">
        <f t="shared" si="144"/>
        <v>ELSJPE4832</v>
      </c>
      <c r="D708" s="24">
        <f t="shared" si="145"/>
        <v>0.33333333333333331</v>
      </c>
      <c r="E708" s="24" t="str">
        <f t="shared" si="146"/>
        <v/>
      </c>
      <c r="F708" s="24">
        <f t="shared" si="147"/>
        <v>0</v>
      </c>
      <c r="G708" s="24" t="str">
        <f t="shared" si="148"/>
        <v>ELSJPE4832BW</v>
      </c>
      <c r="H708" s="24">
        <f t="shared" si="149"/>
        <v>1</v>
      </c>
      <c r="I708" s="24" t="str">
        <f t="shared" si="150"/>
        <v/>
      </c>
      <c r="J708" s="24">
        <f t="shared" si="151"/>
        <v>0</v>
      </c>
      <c r="K708" s="24" t="str">
        <f t="shared" si="152"/>
        <v>E4</v>
      </c>
      <c r="L708" s="24" t="str">
        <f>VLOOKUP(N708,CODE!K:P,CODE!$P$1,FALSE)</f>
        <v>의류</v>
      </c>
      <c r="M708" s="24" t="str">
        <f>VLOOKUP(MID(Q708,1,3),CODE!$B:$G,CODE!D$1,FALSE)</f>
        <v>ELS</v>
      </c>
      <c r="N708" s="24" t="str">
        <f t="shared" si="153"/>
        <v>JP</v>
      </c>
      <c r="O708" s="29" t="str">
        <f>IF(ISERROR(IF(VLOOKUP($N708,CODE!$K:$P,CODE!$O$1,FALSE)="",$M708,$M708&amp;"-"&amp;VLOOKUP($N708,CODE!$K:$P,CODE!$O$1,FALSE)))=TRUE,"",IF(VLOOKUP($N708,CODE!$K:$P,CODE!$O$1,FALSE)="",$M708,$M708&amp;"-"&amp;VLOOKUP($N708,CODE!$K:$P,CODE!$O$1,FALSE)))</f>
        <v>ELS-의류</v>
      </c>
      <c r="P708" s="29" t="str">
        <f t="shared" si="154"/>
        <v>ELSJPE4832</v>
      </c>
      <c r="Q708" s="1" t="s">
        <v>1498</v>
      </c>
      <c r="R708" s="1" t="s">
        <v>14</v>
      </c>
      <c r="S708" s="26">
        <v>1500</v>
      </c>
      <c r="T708" s="26">
        <v>133500000</v>
      </c>
      <c r="U708" s="26">
        <v>31500000</v>
      </c>
      <c r="V708" s="26">
        <v>3.8528138528138527</v>
      </c>
      <c r="W708" s="26">
        <v>0</v>
      </c>
      <c r="X708" s="26">
        <v>1500</v>
      </c>
    </row>
    <row r="709" spans="1:24">
      <c r="A709" s="24" t="str">
        <f t="shared" si="143"/>
        <v>신규</v>
      </c>
      <c r="B709" s="24" t="str">
        <f>IF(COUNTIF(Q$1:Q708,Q709)=0,"최초","리오더")</f>
        <v>최초</v>
      </c>
      <c r="C709" s="24" t="str">
        <f t="shared" si="144"/>
        <v>ELSPTE4833</v>
      </c>
      <c r="D709" s="24">
        <f t="shared" si="145"/>
        <v>0.33333333333333331</v>
      </c>
      <c r="E709" s="24" t="str">
        <f t="shared" si="146"/>
        <v/>
      </c>
      <c r="F709" s="24">
        <f t="shared" si="147"/>
        <v>0</v>
      </c>
      <c r="G709" s="24" t="str">
        <f t="shared" si="148"/>
        <v>ELSPTE4833BW</v>
      </c>
      <c r="H709" s="24">
        <f t="shared" si="149"/>
        <v>1</v>
      </c>
      <c r="I709" s="24" t="str">
        <f t="shared" si="150"/>
        <v/>
      </c>
      <c r="J709" s="24">
        <f t="shared" si="151"/>
        <v>0</v>
      </c>
      <c r="K709" s="24" t="str">
        <f t="shared" si="152"/>
        <v>E4</v>
      </c>
      <c r="L709" s="24" t="str">
        <f>VLOOKUP(N709,CODE!K:P,CODE!$P$1,FALSE)</f>
        <v>의류</v>
      </c>
      <c r="M709" s="24" t="str">
        <f>VLOOKUP(MID(Q709,1,3),CODE!$B:$G,CODE!D$1,FALSE)</f>
        <v>ELS</v>
      </c>
      <c r="N709" s="24" t="str">
        <f t="shared" si="153"/>
        <v>PT</v>
      </c>
      <c r="O709" s="29" t="str">
        <f>IF(ISERROR(IF(VLOOKUP($N709,CODE!$K:$P,CODE!$O$1,FALSE)="",$M709,$M709&amp;"-"&amp;VLOOKUP($N709,CODE!$K:$P,CODE!$O$1,FALSE)))=TRUE,"",IF(VLOOKUP($N709,CODE!$K:$P,CODE!$O$1,FALSE)="",$M709,$M709&amp;"-"&amp;VLOOKUP($N709,CODE!$K:$P,CODE!$O$1,FALSE)))</f>
        <v>ELS-의류</v>
      </c>
      <c r="P709" s="29" t="str">
        <f t="shared" si="154"/>
        <v>ELSPTE4833</v>
      </c>
      <c r="Q709" s="1" t="s">
        <v>1499</v>
      </c>
      <c r="R709" s="1" t="s">
        <v>14</v>
      </c>
      <c r="S709" s="26">
        <v>1200</v>
      </c>
      <c r="T709" s="26">
        <v>70800000</v>
      </c>
      <c r="U709" s="26">
        <v>15000000</v>
      </c>
      <c r="V709" s="26">
        <v>4.2909090909090901</v>
      </c>
      <c r="W709" s="26">
        <v>0</v>
      </c>
      <c r="X709" s="26">
        <v>1200</v>
      </c>
    </row>
    <row r="710" spans="1:24">
      <c r="A710" s="24" t="str">
        <f t="shared" si="143"/>
        <v>러닝</v>
      </c>
      <c r="B710" s="24" t="str">
        <f>IF(COUNTIF(Q$1:Q709,Q710)=0,"최초","리오더")</f>
        <v>최초</v>
      </c>
      <c r="C710" s="24" t="str">
        <f t="shared" si="144"/>
        <v>SMBFIE3134</v>
      </c>
      <c r="D710" s="24">
        <f t="shared" si="145"/>
        <v>1</v>
      </c>
      <c r="E710" s="24" t="str">
        <f t="shared" si="146"/>
        <v/>
      </c>
      <c r="F710" s="24">
        <f t="shared" si="147"/>
        <v>0</v>
      </c>
      <c r="G710" s="24" t="str">
        <f t="shared" si="148"/>
        <v>SMBFIE3134RE</v>
      </c>
      <c r="H710" s="24">
        <f t="shared" si="149"/>
        <v>1</v>
      </c>
      <c r="I710" s="24" t="str">
        <f t="shared" si="150"/>
        <v/>
      </c>
      <c r="J710" s="24">
        <f t="shared" si="151"/>
        <v>0</v>
      </c>
      <c r="K710" s="24" t="str">
        <f t="shared" si="152"/>
        <v>E3</v>
      </c>
      <c r="L710" s="24" t="str">
        <f>VLOOKUP(N710,CODE!K:P,CODE!$P$1,FALSE)</f>
        <v>모자</v>
      </c>
      <c r="M710" s="24" t="str">
        <f>VLOOKUP(MID(Q710,1,3),CODE!$B:$G,CODE!D$1,FALSE)</f>
        <v>SMB</v>
      </c>
      <c r="N710" s="24" t="str">
        <f t="shared" si="153"/>
        <v>FI</v>
      </c>
      <c r="O710" s="29" t="str">
        <f>IF(ISERROR(IF(VLOOKUP($N710,CODE!$K:$P,CODE!$O$1,FALSE)="",$M710,$M710&amp;"-"&amp;VLOOKUP($N710,CODE!$K:$P,CODE!$O$1,FALSE)))=TRUE,"",IF(VLOOKUP($N710,CODE!$K:$P,CODE!$O$1,FALSE)="",$M710,$M710&amp;"-"&amp;VLOOKUP($N710,CODE!$K:$P,CODE!$O$1,FALSE)))</f>
        <v>SMB</v>
      </c>
      <c r="P710" s="29" t="str">
        <f t="shared" si="154"/>
        <v>SMBFIE3134</v>
      </c>
      <c r="Q710" s="1" t="s">
        <v>1500</v>
      </c>
      <c r="R710" s="1" t="s">
        <v>14</v>
      </c>
      <c r="S710" s="26">
        <v>2000</v>
      </c>
      <c r="T710" s="26">
        <v>118000000</v>
      </c>
      <c r="U710" s="26">
        <v>18220000</v>
      </c>
      <c r="V710" s="26">
        <v>5.8876359644746037</v>
      </c>
      <c r="W710" s="26">
        <v>0</v>
      </c>
      <c r="X710" s="26">
        <v>2000</v>
      </c>
    </row>
    <row r="711" spans="1:24">
      <c r="A711" s="24" t="str">
        <f t="shared" si="143"/>
        <v>러닝</v>
      </c>
      <c r="B711" s="24" t="str">
        <f>IF(COUNTIF(Q$1:Q710,Q711)=0,"최초","리오더")</f>
        <v>최초</v>
      </c>
      <c r="C711" s="24" t="str">
        <f t="shared" si="144"/>
        <v>SMBFIE3634</v>
      </c>
      <c r="D711" s="24">
        <f t="shared" si="145"/>
        <v>1</v>
      </c>
      <c r="E711" s="24" t="str">
        <f t="shared" si="146"/>
        <v/>
      </c>
      <c r="F711" s="24">
        <f t="shared" si="147"/>
        <v>0</v>
      </c>
      <c r="G711" s="24" t="str">
        <f t="shared" si="148"/>
        <v>SMBFIE3634RE</v>
      </c>
      <c r="H711" s="24">
        <f t="shared" si="149"/>
        <v>1</v>
      </c>
      <c r="I711" s="24" t="str">
        <f t="shared" si="150"/>
        <v/>
      </c>
      <c r="J711" s="24">
        <f t="shared" si="151"/>
        <v>0</v>
      </c>
      <c r="K711" s="24" t="str">
        <f t="shared" si="152"/>
        <v>E3</v>
      </c>
      <c r="L711" s="24" t="str">
        <f>VLOOKUP(N711,CODE!K:P,CODE!$P$1,FALSE)</f>
        <v>모자</v>
      </c>
      <c r="M711" s="24" t="str">
        <f>VLOOKUP(MID(Q711,1,3),CODE!$B:$G,CODE!D$1,FALSE)</f>
        <v>SMB</v>
      </c>
      <c r="N711" s="24" t="str">
        <f t="shared" si="153"/>
        <v>FI</v>
      </c>
      <c r="O711" s="29" t="str">
        <f>IF(ISERROR(IF(VLOOKUP($N711,CODE!$K:$P,CODE!$O$1,FALSE)="",$M711,$M711&amp;"-"&amp;VLOOKUP($N711,CODE!$K:$P,CODE!$O$1,FALSE)))=TRUE,"",IF(VLOOKUP($N711,CODE!$K:$P,CODE!$O$1,FALSE)="",$M711,$M711&amp;"-"&amp;VLOOKUP($N711,CODE!$K:$P,CODE!$O$1,FALSE)))</f>
        <v>SMB</v>
      </c>
      <c r="P711" s="29" t="str">
        <f t="shared" si="154"/>
        <v>SMBFIE3634</v>
      </c>
      <c r="Q711" s="1" t="s">
        <v>1501</v>
      </c>
      <c r="R711" s="1" t="s">
        <v>14</v>
      </c>
      <c r="S711" s="26">
        <v>2000</v>
      </c>
      <c r="T711" s="26">
        <v>110000000</v>
      </c>
      <c r="U711" s="26">
        <v>17873500</v>
      </c>
      <c r="V711" s="26">
        <v>5.594875094413517</v>
      </c>
      <c r="W711" s="26">
        <v>0</v>
      </c>
      <c r="X711" s="26">
        <v>2000</v>
      </c>
    </row>
    <row r="712" spans="1:24">
      <c r="A712" s="24" t="str">
        <f t="shared" si="143"/>
        <v>러닝</v>
      </c>
      <c r="B712" s="24" t="str">
        <f>IF(COUNTIF(Q$1:Q711,Q712)=0,"최초","리오더")</f>
        <v>최초</v>
      </c>
      <c r="C712" s="24" t="str">
        <f t="shared" si="144"/>
        <v>SMBFIE3135</v>
      </c>
      <c r="D712" s="24">
        <f t="shared" si="145"/>
        <v>1</v>
      </c>
      <c r="E712" s="24" t="str">
        <f t="shared" si="146"/>
        <v/>
      </c>
      <c r="F712" s="24">
        <f t="shared" si="147"/>
        <v>0</v>
      </c>
      <c r="G712" s="24" t="str">
        <f t="shared" si="148"/>
        <v>SMBFIE3135BK</v>
      </c>
      <c r="H712" s="24">
        <f t="shared" si="149"/>
        <v>1</v>
      </c>
      <c r="I712" s="24" t="str">
        <f t="shared" si="150"/>
        <v/>
      </c>
      <c r="J712" s="24">
        <f t="shared" si="151"/>
        <v>0</v>
      </c>
      <c r="K712" s="24" t="str">
        <f t="shared" si="152"/>
        <v>E3</v>
      </c>
      <c r="L712" s="24" t="str">
        <f>VLOOKUP(N712,CODE!K:P,CODE!$P$1,FALSE)</f>
        <v>모자</v>
      </c>
      <c r="M712" s="24" t="str">
        <f>VLOOKUP(MID(Q712,1,3),CODE!$B:$G,CODE!D$1,FALSE)</f>
        <v>SMB</v>
      </c>
      <c r="N712" s="24" t="str">
        <f t="shared" si="153"/>
        <v>FI</v>
      </c>
      <c r="O712" s="29" t="str">
        <f>IF(ISERROR(IF(VLOOKUP($N712,CODE!$K:$P,CODE!$O$1,FALSE)="",$M712,$M712&amp;"-"&amp;VLOOKUP($N712,CODE!$K:$P,CODE!$O$1,FALSE)))=TRUE,"",IF(VLOOKUP($N712,CODE!$K:$P,CODE!$O$1,FALSE)="",$M712,$M712&amp;"-"&amp;VLOOKUP($N712,CODE!$K:$P,CODE!$O$1,FALSE)))</f>
        <v>SMB</v>
      </c>
      <c r="P712" s="29" t="str">
        <f t="shared" si="154"/>
        <v>SMBFIE3135</v>
      </c>
      <c r="Q712" s="1" t="s">
        <v>1502</v>
      </c>
      <c r="R712" s="1" t="s">
        <v>14</v>
      </c>
      <c r="S712" s="26">
        <v>1200</v>
      </c>
      <c r="T712" s="26">
        <v>70800000</v>
      </c>
      <c r="U712" s="26">
        <v>9583200.0000000019</v>
      </c>
      <c r="V712" s="26">
        <v>6.7162989777565265</v>
      </c>
      <c r="W712" s="26">
        <v>0</v>
      </c>
      <c r="X712" s="26">
        <v>1200</v>
      </c>
    </row>
    <row r="713" spans="1:24">
      <c r="A713" s="24" t="str">
        <f t="shared" si="143"/>
        <v>러닝</v>
      </c>
      <c r="B713" s="24" t="str">
        <f>IF(COUNTIF(Q$1:Q712,Q713)=0,"최초","리오더")</f>
        <v>최초</v>
      </c>
      <c r="C713" s="24" t="str">
        <f t="shared" si="144"/>
        <v>SMBFIE3635</v>
      </c>
      <c r="D713" s="24">
        <f t="shared" si="145"/>
        <v>1</v>
      </c>
      <c r="E713" s="24" t="str">
        <f t="shared" si="146"/>
        <v/>
      </c>
      <c r="F713" s="24">
        <f t="shared" si="147"/>
        <v>0</v>
      </c>
      <c r="G713" s="24" t="str">
        <f t="shared" si="148"/>
        <v>SMBFIE3635BK</v>
      </c>
      <c r="H713" s="24">
        <f t="shared" si="149"/>
        <v>1</v>
      </c>
      <c r="I713" s="24" t="str">
        <f t="shared" si="150"/>
        <v/>
      </c>
      <c r="J713" s="24">
        <f t="shared" si="151"/>
        <v>0</v>
      </c>
      <c r="K713" s="24" t="str">
        <f t="shared" si="152"/>
        <v>E3</v>
      </c>
      <c r="L713" s="24" t="str">
        <f>VLOOKUP(N713,CODE!K:P,CODE!$P$1,FALSE)</f>
        <v>모자</v>
      </c>
      <c r="M713" s="24" t="str">
        <f>VLOOKUP(MID(Q713,1,3),CODE!$B:$G,CODE!D$1,FALSE)</f>
        <v>SMB</v>
      </c>
      <c r="N713" s="24" t="str">
        <f t="shared" si="153"/>
        <v>FI</v>
      </c>
      <c r="O713" s="29" t="str">
        <f>IF(ISERROR(IF(VLOOKUP($N713,CODE!$K:$P,CODE!$O$1,FALSE)="",$M713,$M713&amp;"-"&amp;VLOOKUP($N713,CODE!$K:$P,CODE!$O$1,FALSE)))=TRUE,"",IF(VLOOKUP($N713,CODE!$K:$P,CODE!$O$1,FALSE)="",$M713,$M713&amp;"-"&amp;VLOOKUP($N713,CODE!$K:$P,CODE!$O$1,FALSE)))</f>
        <v>SMB</v>
      </c>
      <c r="P713" s="29" t="str">
        <f t="shared" si="154"/>
        <v>SMBFIE3635</v>
      </c>
      <c r="Q713" s="1" t="s">
        <v>1503</v>
      </c>
      <c r="R713" s="1" t="s">
        <v>14</v>
      </c>
      <c r="S713" s="26">
        <v>800</v>
      </c>
      <c r="T713" s="26">
        <v>44000000</v>
      </c>
      <c r="U713" s="26">
        <v>6250200</v>
      </c>
      <c r="V713" s="26">
        <v>6.3997952065533896</v>
      </c>
      <c r="W713" s="26">
        <v>0</v>
      </c>
      <c r="X713" s="26">
        <v>800</v>
      </c>
    </row>
    <row r="714" spans="1:24">
      <c r="A714" s="24" t="str">
        <f t="shared" si="143"/>
        <v>러닝</v>
      </c>
      <c r="B714" s="24" t="str">
        <f>IF(COUNTIF(Q$1:Q713,Q714)=0,"최초","리오더")</f>
        <v>최초</v>
      </c>
      <c r="C714" s="24" t="str">
        <f t="shared" si="144"/>
        <v>SMBFIE3206</v>
      </c>
      <c r="D714" s="24">
        <f t="shared" si="145"/>
        <v>1</v>
      </c>
      <c r="E714" s="24" t="str">
        <f t="shared" si="146"/>
        <v/>
      </c>
      <c r="F714" s="24">
        <f t="shared" si="147"/>
        <v>0</v>
      </c>
      <c r="G714" s="24" t="str">
        <f t="shared" si="148"/>
        <v>SMBFIE3206BK</v>
      </c>
      <c r="H714" s="24">
        <f t="shared" si="149"/>
        <v>1</v>
      </c>
      <c r="I714" s="24" t="str">
        <f t="shared" si="150"/>
        <v/>
      </c>
      <c r="J714" s="24">
        <f t="shared" si="151"/>
        <v>0</v>
      </c>
      <c r="K714" s="24" t="str">
        <f t="shared" si="152"/>
        <v>E3</v>
      </c>
      <c r="L714" s="24" t="str">
        <f>VLOOKUP(N714,CODE!K:P,CODE!$P$1,FALSE)</f>
        <v>모자</v>
      </c>
      <c r="M714" s="24" t="str">
        <f>VLOOKUP(MID(Q714,1,3),CODE!$B:$G,CODE!D$1,FALSE)</f>
        <v>SMB</v>
      </c>
      <c r="N714" s="24" t="str">
        <f t="shared" si="153"/>
        <v>FI</v>
      </c>
      <c r="O714" s="29" t="str">
        <f>IF(ISERROR(IF(VLOOKUP($N714,CODE!$K:$P,CODE!$O$1,FALSE)="",$M714,$M714&amp;"-"&amp;VLOOKUP($N714,CODE!$K:$P,CODE!$O$1,FALSE)))=TRUE,"",IF(VLOOKUP($N714,CODE!$K:$P,CODE!$O$1,FALSE)="",$M714,$M714&amp;"-"&amp;VLOOKUP($N714,CODE!$K:$P,CODE!$O$1,FALSE)))</f>
        <v>SMB</v>
      </c>
      <c r="P714" s="29" t="str">
        <f t="shared" si="154"/>
        <v>SMBFIE3206</v>
      </c>
      <c r="Q714" s="1" t="s">
        <v>1504</v>
      </c>
      <c r="R714" s="1" t="s">
        <v>14</v>
      </c>
      <c r="S714" s="26">
        <v>1000</v>
      </c>
      <c r="T714" s="26">
        <v>45000000</v>
      </c>
      <c r="U714" s="26">
        <v>6199250</v>
      </c>
      <c r="V714" s="26">
        <v>6.599038740023536</v>
      </c>
      <c r="W714" s="26">
        <v>0</v>
      </c>
      <c r="X714" s="26">
        <v>1000</v>
      </c>
    </row>
    <row r="715" spans="1:24">
      <c r="A715" s="24" t="str">
        <f t="shared" si="143"/>
        <v>러닝</v>
      </c>
      <c r="B715" s="24" t="str">
        <f>IF(COUNTIF(Q$1:Q714,Q715)=0,"최초","리오더")</f>
        <v>최초</v>
      </c>
      <c r="C715" s="24" t="str">
        <f t="shared" si="144"/>
        <v>SMBFIE3215</v>
      </c>
      <c r="D715" s="24">
        <f t="shared" si="145"/>
        <v>1</v>
      </c>
      <c r="E715" s="24" t="str">
        <f t="shared" si="146"/>
        <v/>
      </c>
      <c r="F715" s="24">
        <f t="shared" si="147"/>
        <v>0</v>
      </c>
      <c r="G715" s="24" t="str">
        <f t="shared" si="148"/>
        <v>SMBFIE3215BK</v>
      </c>
      <c r="H715" s="24">
        <f t="shared" si="149"/>
        <v>1</v>
      </c>
      <c r="I715" s="24" t="str">
        <f t="shared" si="150"/>
        <v/>
      </c>
      <c r="J715" s="24">
        <f t="shared" si="151"/>
        <v>0</v>
      </c>
      <c r="K715" s="24" t="str">
        <f t="shared" si="152"/>
        <v>E3</v>
      </c>
      <c r="L715" s="24" t="str">
        <f>VLOOKUP(N715,CODE!K:P,CODE!$P$1,FALSE)</f>
        <v>모자</v>
      </c>
      <c r="M715" s="24" t="str">
        <f>VLOOKUP(MID(Q715,1,3),CODE!$B:$G,CODE!D$1,FALSE)</f>
        <v>SMB</v>
      </c>
      <c r="N715" s="24" t="str">
        <f t="shared" si="153"/>
        <v>FI</v>
      </c>
      <c r="O715" s="29" t="str">
        <f>IF(ISERROR(IF(VLOOKUP($N715,CODE!$K:$P,CODE!$O$1,FALSE)="",$M715,$M715&amp;"-"&amp;VLOOKUP($N715,CODE!$K:$P,CODE!$O$1,FALSE)))=TRUE,"",IF(VLOOKUP($N715,CODE!$K:$P,CODE!$O$1,FALSE)="",$M715,$M715&amp;"-"&amp;VLOOKUP($N715,CODE!$K:$P,CODE!$O$1,FALSE)))</f>
        <v>SMB</v>
      </c>
      <c r="P715" s="29" t="str">
        <f t="shared" si="154"/>
        <v>SMBFIE3215</v>
      </c>
      <c r="Q715" s="1" t="s">
        <v>1505</v>
      </c>
      <c r="R715" s="1" t="s">
        <v>14</v>
      </c>
      <c r="S715" s="26">
        <v>1200</v>
      </c>
      <c r="T715" s="26">
        <v>54000000</v>
      </c>
      <c r="U715" s="26">
        <v>5568000</v>
      </c>
      <c r="V715" s="26">
        <v>8.8166144200626952</v>
      </c>
      <c r="W715" s="26">
        <v>0</v>
      </c>
      <c r="X715" s="26">
        <v>1200</v>
      </c>
    </row>
    <row r="716" spans="1:24" hidden="1">
      <c r="A716" s="24" t="str">
        <f t="shared" si="143"/>
        <v>러닝</v>
      </c>
      <c r="B716" s="24" t="str">
        <f>IF(COUNTIF(Q$1:Q715,Q716)=0,"최초","리오더")</f>
        <v>리오더</v>
      </c>
      <c r="C716" s="24" t="str">
        <f t="shared" si="144"/>
        <v/>
      </c>
      <c r="D716" s="24">
        <f t="shared" si="145"/>
        <v>0</v>
      </c>
      <c r="E716" s="24" t="str">
        <f t="shared" si="146"/>
        <v>VBLBAE3103</v>
      </c>
      <c r="F716" s="24">
        <f t="shared" si="147"/>
        <v>0.5</v>
      </c>
      <c r="G716" s="24" t="str">
        <f t="shared" si="148"/>
        <v/>
      </c>
      <c r="H716" s="24">
        <f t="shared" si="149"/>
        <v>0</v>
      </c>
      <c r="I716" s="24" t="str">
        <f t="shared" si="150"/>
        <v>VBLBAE3103RE</v>
      </c>
      <c r="J716" s="24">
        <f t="shared" si="151"/>
        <v>1</v>
      </c>
      <c r="K716" s="24" t="str">
        <f t="shared" si="152"/>
        <v>E3</v>
      </c>
      <c r="L716" s="24" t="str">
        <f>VLOOKUP(N716,CODE!K:P,CODE!$P$1,FALSE)</f>
        <v>모자</v>
      </c>
      <c r="M716" s="24" t="str">
        <f>VLOOKUP(MID(Q716,1,3),CODE!$B:$G,CODE!D$1,FALSE)</f>
        <v>VBL</v>
      </c>
      <c r="N716" s="24" t="str">
        <f t="shared" si="153"/>
        <v>BA</v>
      </c>
      <c r="O716" s="29" t="str">
        <f>IF(ISERROR(IF(VLOOKUP($N716,CODE!$K:$P,CODE!$O$1,FALSE)="",$M716,$M716&amp;"-"&amp;VLOOKUP($N716,CODE!$K:$P,CODE!$O$1,FALSE)))=TRUE,"",IF(VLOOKUP($N716,CODE!$K:$P,CODE!$O$1,FALSE)="",$M716,$M716&amp;"-"&amp;VLOOKUP($N716,CODE!$K:$P,CODE!$O$1,FALSE)))</f>
        <v>VBL</v>
      </c>
      <c r="P716" s="29" t="str">
        <f t="shared" si="154"/>
        <v>VBLBAE3103</v>
      </c>
      <c r="Q716" s="1" t="s">
        <v>996</v>
      </c>
      <c r="R716" s="1" t="s">
        <v>14</v>
      </c>
      <c r="S716" s="26">
        <v>6000</v>
      </c>
      <c r="T716" s="26">
        <v>330000000</v>
      </c>
      <c r="U716" s="26">
        <v>25120080</v>
      </c>
      <c r="V716" s="26">
        <v>11.942637125359472</v>
      </c>
      <c r="W716" s="26">
        <v>0</v>
      </c>
      <c r="X716" s="26">
        <v>6000</v>
      </c>
    </row>
    <row r="717" spans="1:24" hidden="1">
      <c r="A717" s="24" t="str">
        <f t="shared" si="143"/>
        <v>러닝</v>
      </c>
      <c r="B717" s="24" t="str">
        <f>IF(COUNTIF(Q$1:Q716,Q717)=0,"최초","리오더")</f>
        <v>리오더</v>
      </c>
      <c r="C717" s="24" t="str">
        <f t="shared" si="144"/>
        <v/>
      </c>
      <c r="D717" s="24">
        <f t="shared" si="145"/>
        <v>0</v>
      </c>
      <c r="E717" s="24" t="str">
        <f t="shared" si="146"/>
        <v>VBLBAE3103</v>
      </c>
      <c r="F717" s="24">
        <f t="shared" si="147"/>
        <v>0.5</v>
      </c>
      <c r="G717" s="24" t="str">
        <f t="shared" si="148"/>
        <v/>
      </c>
      <c r="H717" s="24">
        <f t="shared" si="149"/>
        <v>0</v>
      </c>
      <c r="I717" s="24" t="str">
        <f t="shared" si="150"/>
        <v>VBLBAE3103GR</v>
      </c>
      <c r="J717" s="24">
        <f t="shared" si="151"/>
        <v>1</v>
      </c>
      <c r="K717" s="24" t="str">
        <f t="shared" si="152"/>
        <v>E3</v>
      </c>
      <c r="L717" s="24" t="str">
        <f>VLOOKUP(N717,CODE!K:P,CODE!$P$1,FALSE)</f>
        <v>모자</v>
      </c>
      <c r="M717" s="24" t="str">
        <f>VLOOKUP(MID(Q717,1,3),CODE!$B:$G,CODE!D$1,FALSE)</f>
        <v>VBL</v>
      </c>
      <c r="N717" s="24" t="str">
        <f t="shared" si="153"/>
        <v>BA</v>
      </c>
      <c r="O717" s="29" t="str">
        <f>IF(ISERROR(IF(VLOOKUP($N717,CODE!$K:$P,CODE!$O$1,FALSE)="",$M717,$M717&amp;"-"&amp;VLOOKUP($N717,CODE!$K:$P,CODE!$O$1,FALSE)))=TRUE,"",IF(VLOOKUP($N717,CODE!$K:$P,CODE!$O$1,FALSE)="",$M717,$M717&amp;"-"&amp;VLOOKUP($N717,CODE!$K:$P,CODE!$O$1,FALSE)))</f>
        <v>VBL</v>
      </c>
      <c r="P717" s="29" t="str">
        <f t="shared" si="154"/>
        <v>VBLBAE3103</v>
      </c>
      <c r="Q717" s="1" t="s">
        <v>997</v>
      </c>
      <c r="R717" s="1" t="s">
        <v>14</v>
      </c>
      <c r="S717" s="26">
        <v>3000</v>
      </c>
      <c r="T717" s="26">
        <v>165000000</v>
      </c>
      <c r="U717" s="26">
        <v>13635090.000000002</v>
      </c>
      <c r="V717" s="26">
        <v>11.00102749596812</v>
      </c>
      <c r="W717" s="26">
        <v>0</v>
      </c>
      <c r="X717" s="26">
        <v>3000</v>
      </c>
    </row>
    <row r="718" spans="1:24" hidden="1">
      <c r="A718" s="24" t="str">
        <f t="shared" si="143"/>
        <v>러닝</v>
      </c>
      <c r="B718" s="24" t="str">
        <f>IF(COUNTIF(Q$1:Q717,Q718)=0,"최초","리오더")</f>
        <v>리오더</v>
      </c>
      <c r="C718" s="24" t="str">
        <f t="shared" si="144"/>
        <v/>
      </c>
      <c r="D718" s="24">
        <f t="shared" si="145"/>
        <v>0</v>
      </c>
      <c r="E718" s="24" t="str">
        <f t="shared" si="146"/>
        <v>VBLBAE3201</v>
      </c>
      <c r="F718" s="24">
        <f t="shared" si="147"/>
        <v>1</v>
      </c>
      <c r="G718" s="24" t="str">
        <f t="shared" si="148"/>
        <v/>
      </c>
      <c r="H718" s="24">
        <f t="shared" si="149"/>
        <v>0</v>
      </c>
      <c r="I718" s="24" t="str">
        <f t="shared" si="150"/>
        <v>VBLBAE3201GY</v>
      </c>
      <c r="J718" s="24">
        <f t="shared" si="151"/>
        <v>1</v>
      </c>
      <c r="K718" s="24" t="str">
        <f t="shared" si="152"/>
        <v>E3</v>
      </c>
      <c r="L718" s="24" t="str">
        <f>VLOOKUP(N718,CODE!K:P,CODE!$P$1,FALSE)</f>
        <v>모자</v>
      </c>
      <c r="M718" s="24" t="str">
        <f>VLOOKUP(MID(Q718,1,3),CODE!$B:$G,CODE!D$1,FALSE)</f>
        <v>VBL</v>
      </c>
      <c r="N718" s="24" t="str">
        <f t="shared" si="153"/>
        <v>BA</v>
      </c>
      <c r="O718" s="29" t="str">
        <f>IF(ISERROR(IF(VLOOKUP($N718,CODE!$K:$P,CODE!$O$1,FALSE)="",$M718,$M718&amp;"-"&amp;VLOOKUP($N718,CODE!$K:$P,CODE!$O$1,FALSE)))=TRUE,"",IF(VLOOKUP($N718,CODE!$K:$P,CODE!$O$1,FALSE)="",$M718,$M718&amp;"-"&amp;VLOOKUP($N718,CODE!$K:$P,CODE!$O$1,FALSE)))</f>
        <v>VBL</v>
      </c>
      <c r="P718" s="29" t="str">
        <f t="shared" si="154"/>
        <v>VBLBAE3201</v>
      </c>
      <c r="Q718" s="1" t="s">
        <v>998</v>
      </c>
      <c r="R718" s="1" t="s">
        <v>14</v>
      </c>
      <c r="S718" s="26">
        <v>3000</v>
      </c>
      <c r="T718" s="26">
        <v>135000000</v>
      </c>
      <c r="U718" s="26">
        <v>30681818.18181818</v>
      </c>
      <c r="V718" s="26">
        <v>4</v>
      </c>
      <c r="W718" s="26">
        <v>0</v>
      </c>
      <c r="X718" s="26">
        <v>3000</v>
      </c>
    </row>
    <row r="719" spans="1:24" hidden="1">
      <c r="A719" s="24" t="str">
        <f t="shared" si="143"/>
        <v>러닝</v>
      </c>
      <c r="B719" s="24" t="str">
        <f>IF(COUNTIF(Q$1:Q718,Q719)=0,"최초","리오더")</f>
        <v>리오더</v>
      </c>
      <c r="C719" s="24" t="str">
        <f t="shared" si="144"/>
        <v/>
      </c>
      <c r="D719" s="24">
        <f t="shared" si="145"/>
        <v>0</v>
      </c>
      <c r="E719" s="24" t="str">
        <f t="shared" si="146"/>
        <v>PLAUME3204</v>
      </c>
      <c r="F719" s="24">
        <f t="shared" si="147"/>
        <v>0.5</v>
      </c>
      <c r="G719" s="24" t="str">
        <f t="shared" si="148"/>
        <v/>
      </c>
      <c r="H719" s="24">
        <f t="shared" si="149"/>
        <v>0</v>
      </c>
      <c r="I719" s="24" t="str">
        <f t="shared" si="150"/>
        <v>PLAUME3204YE</v>
      </c>
      <c r="J719" s="24">
        <f t="shared" si="151"/>
        <v>0.5</v>
      </c>
      <c r="K719" s="24" t="str">
        <f t="shared" si="152"/>
        <v>E3</v>
      </c>
      <c r="L719" s="24" t="str">
        <f>VLOOKUP(N719,CODE!K:P,CODE!$P$1,FALSE)</f>
        <v>모자</v>
      </c>
      <c r="M719" s="24" t="str">
        <f>VLOOKUP(MID(Q719,1,3),CODE!$B:$G,CODE!D$1,FALSE)</f>
        <v>PLA</v>
      </c>
      <c r="N719" s="24" t="str">
        <f t="shared" si="153"/>
        <v>UM</v>
      </c>
      <c r="O719" s="29" t="str">
        <f>IF(ISERROR(IF(VLOOKUP($N719,CODE!$K:$P,CODE!$O$1,FALSE)="",$M719,$M719&amp;"-"&amp;VLOOKUP($N719,CODE!$K:$P,CODE!$O$1,FALSE)))=TRUE,"",IF(VLOOKUP($N719,CODE!$K:$P,CODE!$O$1,FALSE)="",$M719,$M719&amp;"-"&amp;VLOOKUP($N719,CODE!$K:$P,CODE!$O$1,FALSE)))</f>
        <v>PLA</v>
      </c>
      <c r="P719" s="29" t="str">
        <f t="shared" si="154"/>
        <v>PLAUME3204</v>
      </c>
      <c r="Q719" s="1" t="s">
        <v>999</v>
      </c>
      <c r="R719" s="1" t="s">
        <v>14</v>
      </c>
      <c r="S719" s="26">
        <v>1200</v>
      </c>
      <c r="T719" s="26">
        <v>70800000</v>
      </c>
      <c r="U719" s="26">
        <v>9729720</v>
      </c>
      <c r="V719" s="26">
        <v>6.6151581303096458</v>
      </c>
      <c r="W719" s="26">
        <v>0</v>
      </c>
      <c r="X719" s="26">
        <v>1200</v>
      </c>
    </row>
    <row r="720" spans="1:24" hidden="1">
      <c r="A720" s="24" t="str">
        <f t="shared" si="143"/>
        <v>러닝</v>
      </c>
      <c r="B720" s="24" t="str">
        <f>IF(COUNTIF(Q$1:Q719,Q720)=0,"최초","리오더")</f>
        <v>리오더</v>
      </c>
      <c r="C720" s="24" t="str">
        <f t="shared" si="144"/>
        <v/>
      </c>
      <c r="D720" s="24">
        <f t="shared" si="145"/>
        <v>0</v>
      </c>
      <c r="E720" s="24" t="str">
        <f t="shared" si="146"/>
        <v>SMBFIE3134</v>
      </c>
      <c r="F720" s="24">
        <f t="shared" si="147"/>
        <v>1</v>
      </c>
      <c r="G720" s="24" t="str">
        <f t="shared" si="148"/>
        <v/>
      </c>
      <c r="H720" s="24">
        <f t="shared" si="149"/>
        <v>0</v>
      </c>
      <c r="I720" s="24" t="str">
        <f t="shared" si="150"/>
        <v>SMBFIE3134RE</v>
      </c>
      <c r="J720" s="24">
        <f t="shared" si="151"/>
        <v>1</v>
      </c>
      <c r="K720" s="24" t="str">
        <f t="shared" si="152"/>
        <v>E3</v>
      </c>
      <c r="L720" s="24" t="str">
        <f>VLOOKUP(N720,CODE!K:P,CODE!$P$1,FALSE)</f>
        <v>모자</v>
      </c>
      <c r="M720" s="24" t="str">
        <f>VLOOKUP(MID(Q720,1,3),CODE!$B:$G,CODE!D$1,FALSE)</f>
        <v>SMB</v>
      </c>
      <c r="N720" s="24" t="str">
        <f t="shared" si="153"/>
        <v>FI</v>
      </c>
      <c r="O720" s="29" t="str">
        <f>IF(ISERROR(IF(VLOOKUP($N720,CODE!$K:$P,CODE!$O$1,FALSE)="",$M720,$M720&amp;"-"&amp;VLOOKUP($N720,CODE!$K:$P,CODE!$O$1,FALSE)))=TRUE,"",IF(VLOOKUP($N720,CODE!$K:$P,CODE!$O$1,FALSE)="",$M720,$M720&amp;"-"&amp;VLOOKUP($N720,CODE!$K:$P,CODE!$O$1,FALSE)))</f>
        <v>SMB</v>
      </c>
      <c r="P720" s="29" t="str">
        <f t="shared" si="154"/>
        <v>SMBFIE3134</v>
      </c>
      <c r="Q720" s="1" t="s">
        <v>1500</v>
      </c>
      <c r="R720" s="1" t="s">
        <v>14</v>
      </c>
      <c r="S720" s="26">
        <v>3000</v>
      </c>
      <c r="T720" s="26">
        <v>177000000</v>
      </c>
      <c r="U720" s="26">
        <v>22987012.987012986</v>
      </c>
      <c r="V720" s="26">
        <v>7</v>
      </c>
      <c r="W720" s="26">
        <v>0</v>
      </c>
      <c r="X720" s="26">
        <v>3000</v>
      </c>
    </row>
    <row r="721" spans="1:24" hidden="1">
      <c r="A721" s="24" t="str">
        <f t="shared" si="143"/>
        <v>러닝</v>
      </c>
      <c r="B721" s="24" t="str">
        <f>IF(COUNTIF(Q$1:Q720,Q721)=0,"최초","리오더")</f>
        <v>리오더</v>
      </c>
      <c r="C721" s="24" t="str">
        <f t="shared" si="144"/>
        <v/>
      </c>
      <c r="D721" s="24">
        <f t="shared" si="145"/>
        <v>0</v>
      </c>
      <c r="E721" s="24" t="str">
        <f t="shared" si="146"/>
        <v>SMBFIE3634</v>
      </c>
      <c r="F721" s="24">
        <f t="shared" si="147"/>
        <v>1</v>
      </c>
      <c r="G721" s="24" t="str">
        <f t="shared" si="148"/>
        <v/>
      </c>
      <c r="H721" s="24">
        <f t="shared" si="149"/>
        <v>0</v>
      </c>
      <c r="I721" s="24" t="str">
        <f t="shared" si="150"/>
        <v>SMBFIE3634RE</v>
      </c>
      <c r="J721" s="24">
        <f t="shared" si="151"/>
        <v>1</v>
      </c>
      <c r="K721" s="24" t="str">
        <f t="shared" si="152"/>
        <v>E3</v>
      </c>
      <c r="L721" s="24" t="str">
        <f>VLOOKUP(N721,CODE!K:P,CODE!$P$1,FALSE)</f>
        <v>모자</v>
      </c>
      <c r="M721" s="24" t="str">
        <f>VLOOKUP(MID(Q721,1,3),CODE!$B:$G,CODE!D$1,FALSE)</f>
        <v>SMB</v>
      </c>
      <c r="N721" s="24" t="str">
        <f t="shared" si="153"/>
        <v>FI</v>
      </c>
      <c r="O721" s="29" t="str">
        <f>IF(ISERROR(IF(VLOOKUP($N721,CODE!$K:$P,CODE!$O$1,FALSE)="",$M721,$M721&amp;"-"&amp;VLOOKUP($N721,CODE!$K:$P,CODE!$O$1,FALSE)))=TRUE,"",IF(VLOOKUP($N721,CODE!$K:$P,CODE!$O$1,FALSE)="",$M721,$M721&amp;"-"&amp;VLOOKUP($N721,CODE!$K:$P,CODE!$O$1,FALSE)))</f>
        <v>SMB</v>
      </c>
      <c r="P721" s="29" t="str">
        <f t="shared" si="154"/>
        <v>SMBFIE3634</v>
      </c>
      <c r="Q721" s="1" t="s">
        <v>1501</v>
      </c>
      <c r="R721" s="1" t="s">
        <v>14</v>
      </c>
      <c r="S721" s="26">
        <v>3000</v>
      </c>
      <c r="T721" s="26">
        <v>165000000</v>
      </c>
      <c r="U721" s="26">
        <v>21428571.428571425</v>
      </c>
      <c r="V721" s="26">
        <v>7</v>
      </c>
      <c r="W721" s="26">
        <v>0</v>
      </c>
      <c r="X721" s="26">
        <v>3000</v>
      </c>
    </row>
    <row r="722" spans="1:24" hidden="1">
      <c r="A722" s="24" t="str">
        <f t="shared" si="143"/>
        <v>러닝</v>
      </c>
      <c r="B722" s="24" t="str">
        <f>IF(COUNTIF(Q$1:Q721,Q722)=0,"최초","리오더")</f>
        <v>리오더</v>
      </c>
      <c r="C722" s="24" t="str">
        <f t="shared" si="144"/>
        <v/>
      </c>
      <c r="D722" s="24">
        <f t="shared" si="145"/>
        <v>0</v>
      </c>
      <c r="E722" s="24" t="str">
        <f t="shared" si="146"/>
        <v>SMBFIE3135</v>
      </c>
      <c r="F722" s="24">
        <f t="shared" si="147"/>
        <v>1</v>
      </c>
      <c r="G722" s="24" t="str">
        <f t="shared" si="148"/>
        <v/>
      </c>
      <c r="H722" s="24">
        <f t="shared" si="149"/>
        <v>0</v>
      </c>
      <c r="I722" s="24" t="str">
        <f t="shared" si="150"/>
        <v>SMBFIE3135BK</v>
      </c>
      <c r="J722" s="24">
        <f t="shared" si="151"/>
        <v>1</v>
      </c>
      <c r="K722" s="24" t="str">
        <f t="shared" si="152"/>
        <v>E3</v>
      </c>
      <c r="L722" s="24" t="str">
        <f>VLOOKUP(N722,CODE!K:P,CODE!$P$1,FALSE)</f>
        <v>모자</v>
      </c>
      <c r="M722" s="24" t="str">
        <f>VLOOKUP(MID(Q722,1,3),CODE!$B:$G,CODE!D$1,FALSE)</f>
        <v>SMB</v>
      </c>
      <c r="N722" s="24" t="str">
        <f t="shared" si="153"/>
        <v>FI</v>
      </c>
      <c r="O722" s="29" t="str">
        <f>IF(ISERROR(IF(VLOOKUP($N722,CODE!$K:$P,CODE!$O$1,FALSE)="",$M722,$M722&amp;"-"&amp;VLOOKUP($N722,CODE!$K:$P,CODE!$O$1,FALSE)))=TRUE,"",IF(VLOOKUP($N722,CODE!$K:$P,CODE!$O$1,FALSE)="",$M722,$M722&amp;"-"&amp;VLOOKUP($N722,CODE!$K:$P,CODE!$O$1,FALSE)))</f>
        <v>SMB</v>
      </c>
      <c r="P722" s="29" t="str">
        <f t="shared" si="154"/>
        <v>SMBFIE3135</v>
      </c>
      <c r="Q722" s="1" t="s">
        <v>1502</v>
      </c>
      <c r="R722" s="1" t="s">
        <v>14</v>
      </c>
      <c r="S722" s="26">
        <v>1800</v>
      </c>
      <c r="T722" s="26">
        <v>106200000</v>
      </c>
      <c r="U722" s="26">
        <v>13792207.792207791</v>
      </c>
      <c r="V722" s="26">
        <v>7</v>
      </c>
      <c r="W722" s="26">
        <v>0</v>
      </c>
      <c r="X722" s="26">
        <v>1800</v>
      </c>
    </row>
    <row r="723" spans="1:24" hidden="1">
      <c r="A723" s="24" t="str">
        <f t="shared" si="143"/>
        <v>러닝</v>
      </c>
      <c r="B723" s="24" t="str">
        <f>IF(COUNTIF(Q$1:Q722,Q723)=0,"최초","리오더")</f>
        <v>리오더</v>
      </c>
      <c r="C723" s="24" t="str">
        <f t="shared" si="144"/>
        <v/>
      </c>
      <c r="D723" s="24">
        <f t="shared" si="145"/>
        <v>0</v>
      </c>
      <c r="E723" s="24" t="str">
        <f t="shared" si="146"/>
        <v>SMBFIE3635</v>
      </c>
      <c r="F723" s="24">
        <f t="shared" si="147"/>
        <v>1</v>
      </c>
      <c r="G723" s="24" t="str">
        <f t="shared" si="148"/>
        <v/>
      </c>
      <c r="H723" s="24">
        <f t="shared" si="149"/>
        <v>0</v>
      </c>
      <c r="I723" s="24" t="str">
        <f t="shared" si="150"/>
        <v>SMBFIE3635BK</v>
      </c>
      <c r="J723" s="24">
        <f t="shared" si="151"/>
        <v>1</v>
      </c>
      <c r="K723" s="24" t="str">
        <f t="shared" si="152"/>
        <v>E3</v>
      </c>
      <c r="L723" s="24" t="str">
        <f>VLOOKUP(N723,CODE!K:P,CODE!$P$1,FALSE)</f>
        <v>모자</v>
      </c>
      <c r="M723" s="24" t="str">
        <f>VLOOKUP(MID(Q723,1,3),CODE!$B:$G,CODE!D$1,FALSE)</f>
        <v>SMB</v>
      </c>
      <c r="N723" s="24" t="str">
        <f t="shared" si="153"/>
        <v>FI</v>
      </c>
      <c r="O723" s="29" t="str">
        <f>IF(ISERROR(IF(VLOOKUP($N723,CODE!$K:$P,CODE!$O$1,FALSE)="",$M723,$M723&amp;"-"&amp;VLOOKUP($N723,CODE!$K:$P,CODE!$O$1,FALSE)))=TRUE,"",IF(VLOOKUP($N723,CODE!$K:$P,CODE!$O$1,FALSE)="",$M723,$M723&amp;"-"&amp;VLOOKUP($N723,CODE!$K:$P,CODE!$O$1,FALSE)))</f>
        <v>SMB</v>
      </c>
      <c r="P723" s="29" t="str">
        <f t="shared" si="154"/>
        <v>SMBFIE3635</v>
      </c>
      <c r="Q723" s="1" t="s">
        <v>1503</v>
      </c>
      <c r="R723" s="1" t="s">
        <v>14</v>
      </c>
      <c r="S723" s="26">
        <v>1200</v>
      </c>
      <c r="T723" s="26">
        <v>66000000</v>
      </c>
      <c r="U723" s="26">
        <v>8571428.5714285709</v>
      </c>
      <c r="V723" s="26">
        <v>7</v>
      </c>
      <c r="W723" s="26">
        <v>0</v>
      </c>
      <c r="X723" s="26">
        <v>1200</v>
      </c>
    </row>
    <row r="724" spans="1:24" hidden="1">
      <c r="A724" s="24" t="str">
        <f t="shared" si="143"/>
        <v>러닝</v>
      </c>
      <c r="B724" s="24" t="str">
        <f>IF(COUNTIF(Q$1:Q723,Q724)=0,"최초","리오더")</f>
        <v>리오더</v>
      </c>
      <c r="C724" s="24" t="str">
        <f t="shared" si="144"/>
        <v/>
      </c>
      <c r="D724" s="24">
        <f t="shared" si="145"/>
        <v>0</v>
      </c>
      <c r="E724" s="24" t="str">
        <f t="shared" si="146"/>
        <v>SMBFIE3206</v>
      </c>
      <c r="F724" s="24">
        <f t="shared" si="147"/>
        <v>1</v>
      </c>
      <c r="G724" s="24" t="str">
        <f t="shared" si="148"/>
        <v/>
      </c>
      <c r="H724" s="24">
        <f t="shared" si="149"/>
        <v>0</v>
      </c>
      <c r="I724" s="24" t="str">
        <f t="shared" si="150"/>
        <v>SMBFIE3206BK</v>
      </c>
      <c r="J724" s="24">
        <f t="shared" si="151"/>
        <v>1</v>
      </c>
      <c r="K724" s="24" t="str">
        <f t="shared" si="152"/>
        <v>E3</v>
      </c>
      <c r="L724" s="24" t="str">
        <f>VLOOKUP(N724,CODE!K:P,CODE!$P$1,FALSE)</f>
        <v>모자</v>
      </c>
      <c r="M724" s="24" t="str">
        <f>VLOOKUP(MID(Q724,1,3),CODE!$B:$G,CODE!D$1,FALSE)</f>
        <v>SMB</v>
      </c>
      <c r="N724" s="24" t="str">
        <f t="shared" si="153"/>
        <v>FI</v>
      </c>
      <c r="O724" s="29" t="str">
        <f>IF(ISERROR(IF(VLOOKUP($N724,CODE!$K:$P,CODE!$O$1,FALSE)="",$M724,$M724&amp;"-"&amp;VLOOKUP($N724,CODE!$K:$P,CODE!$O$1,FALSE)))=TRUE,"",IF(VLOOKUP($N724,CODE!$K:$P,CODE!$O$1,FALSE)="",$M724,$M724&amp;"-"&amp;VLOOKUP($N724,CODE!$K:$P,CODE!$O$1,FALSE)))</f>
        <v>SMB</v>
      </c>
      <c r="P724" s="29" t="str">
        <f t="shared" si="154"/>
        <v>SMBFIE3206</v>
      </c>
      <c r="Q724" s="1" t="s">
        <v>1504</v>
      </c>
      <c r="R724" s="1" t="s">
        <v>14</v>
      </c>
      <c r="S724" s="26">
        <v>1500</v>
      </c>
      <c r="T724" s="26">
        <v>67500000</v>
      </c>
      <c r="U724" s="26">
        <v>8766233.7662337646</v>
      </c>
      <c r="V724" s="26">
        <v>7.0000000000000009</v>
      </c>
      <c r="W724" s="26">
        <v>0</v>
      </c>
      <c r="X724" s="26">
        <v>1500</v>
      </c>
    </row>
    <row r="725" spans="1:24" hidden="1">
      <c r="A725" s="24" t="str">
        <f t="shared" si="143"/>
        <v>러닝</v>
      </c>
      <c r="B725" s="24" t="str">
        <f>IF(COUNTIF(Q$1:Q724,Q725)=0,"최초","리오더")</f>
        <v>리오더</v>
      </c>
      <c r="C725" s="24" t="str">
        <f t="shared" si="144"/>
        <v/>
      </c>
      <c r="D725" s="24">
        <f t="shared" si="145"/>
        <v>0</v>
      </c>
      <c r="E725" s="24" t="str">
        <f t="shared" si="146"/>
        <v>SMBFIE3215</v>
      </c>
      <c r="F725" s="24">
        <f t="shared" si="147"/>
        <v>1</v>
      </c>
      <c r="G725" s="24" t="str">
        <f t="shared" si="148"/>
        <v/>
      </c>
      <c r="H725" s="24">
        <f t="shared" si="149"/>
        <v>0</v>
      </c>
      <c r="I725" s="24" t="str">
        <f t="shared" si="150"/>
        <v>SMBFIE3215BK</v>
      </c>
      <c r="J725" s="24">
        <f t="shared" si="151"/>
        <v>1</v>
      </c>
      <c r="K725" s="24" t="str">
        <f t="shared" si="152"/>
        <v>E3</v>
      </c>
      <c r="L725" s="24" t="str">
        <f>VLOOKUP(N725,CODE!K:P,CODE!$P$1,FALSE)</f>
        <v>모자</v>
      </c>
      <c r="M725" s="24" t="str">
        <f>VLOOKUP(MID(Q725,1,3),CODE!$B:$G,CODE!D$1,FALSE)</f>
        <v>SMB</v>
      </c>
      <c r="N725" s="24" t="str">
        <f t="shared" si="153"/>
        <v>FI</v>
      </c>
      <c r="O725" s="29" t="str">
        <f>IF(ISERROR(IF(VLOOKUP($N725,CODE!$K:$P,CODE!$O$1,FALSE)="",$M725,$M725&amp;"-"&amp;VLOOKUP($N725,CODE!$K:$P,CODE!$O$1,FALSE)))=TRUE,"",IF(VLOOKUP($N725,CODE!$K:$P,CODE!$O$1,FALSE)="",$M725,$M725&amp;"-"&amp;VLOOKUP($N725,CODE!$K:$P,CODE!$O$1,FALSE)))</f>
        <v>SMB</v>
      </c>
      <c r="P725" s="29" t="str">
        <f t="shared" si="154"/>
        <v>SMBFIE3215</v>
      </c>
      <c r="Q725" s="1" t="s">
        <v>1505</v>
      </c>
      <c r="R725" s="1" t="s">
        <v>14</v>
      </c>
      <c r="S725" s="26">
        <v>1800</v>
      </c>
      <c r="T725" s="26">
        <v>81000000</v>
      </c>
      <c r="U725" s="26">
        <v>10519480.519480519</v>
      </c>
      <c r="V725" s="26">
        <v>6.9999999999999991</v>
      </c>
      <c r="W725" s="26">
        <v>0</v>
      </c>
      <c r="X725" s="26">
        <v>1800</v>
      </c>
    </row>
    <row r="726" spans="1:24" hidden="1">
      <c r="A726" s="24" t="str">
        <f t="shared" si="143"/>
        <v>러닝</v>
      </c>
      <c r="B726" s="24" t="str">
        <f>IF(COUNTIF(Q$1:Q725,Q726)=0,"최초","리오더")</f>
        <v>리오더</v>
      </c>
      <c r="C726" s="24" t="str">
        <f t="shared" si="144"/>
        <v/>
      </c>
      <c r="D726" s="24">
        <f t="shared" si="145"/>
        <v>0</v>
      </c>
      <c r="E726" s="24" t="str">
        <f t="shared" si="146"/>
        <v>PLAUME3204</v>
      </c>
      <c r="F726" s="24">
        <f t="shared" si="147"/>
        <v>0.5</v>
      </c>
      <c r="G726" s="24" t="str">
        <f t="shared" si="148"/>
        <v/>
      </c>
      <c r="H726" s="24">
        <f t="shared" si="149"/>
        <v>0</v>
      </c>
      <c r="I726" s="24" t="str">
        <f t="shared" si="150"/>
        <v>PLAUME3204YE</v>
      </c>
      <c r="J726" s="24">
        <f t="shared" si="151"/>
        <v>0.5</v>
      </c>
      <c r="K726" s="24" t="str">
        <f t="shared" si="152"/>
        <v>E3</v>
      </c>
      <c r="L726" s="24" t="str">
        <f>VLOOKUP(N726,CODE!K:P,CODE!$P$1,FALSE)</f>
        <v>모자</v>
      </c>
      <c r="M726" s="24" t="str">
        <f>VLOOKUP(MID(Q726,1,3),CODE!$B:$G,CODE!D$1,FALSE)</f>
        <v>PLA</v>
      </c>
      <c r="N726" s="24" t="str">
        <f t="shared" si="153"/>
        <v>UM</v>
      </c>
      <c r="O726" s="29" t="str">
        <f>IF(ISERROR(IF(VLOOKUP($N726,CODE!$K:$P,CODE!$O$1,FALSE)="",$M726,$M726&amp;"-"&amp;VLOOKUP($N726,CODE!$K:$P,CODE!$O$1,FALSE)))=TRUE,"",IF(VLOOKUP($N726,CODE!$K:$P,CODE!$O$1,FALSE)="",$M726,$M726&amp;"-"&amp;VLOOKUP($N726,CODE!$K:$P,CODE!$O$1,FALSE)))</f>
        <v>PLA</v>
      </c>
      <c r="P726" s="29" t="str">
        <f t="shared" si="154"/>
        <v>PLAUME3204</v>
      </c>
      <c r="Q726" s="1" t="s">
        <v>999</v>
      </c>
      <c r="R726" s="1" t="s">
        <v>14</v>
      </c>
      <c r="S726" s="26">
        <v>1800</v>
      </c>
      <c r="T726" s="26">
        <v>106200000</v>
      </c>
      <c r="U726" s="26">
        <v>14594580</v>
      </c>
      <c r="V726" s="26">
        <v>6.6151581303096449</v>
      </c>
      <c r="W726" s="26">
        <v>0</v>
      </c>
      <c r="X726" s="26">
        <v>1800</v>
      </c>
    </row>
    <row r="727" spans="1:24">
      <c r="A727" s="24" t="str">
        <f t="shared" si="143"/>
        <v>신규</v>
      </c>
      <c r="B727" s="24" t="str">
        <f>IF(COUNTIF(Q$1:Q726,Q727)=0,"최초","리오더")</f>
        <v>최초</v>
      </c>
      <c r="C727" s="24" t="str">
        <f t="shared" si="144"/>
        <v>SMBBEE5301</v>
      </c>
      <c r="D727" s="24">
        <f t="shared" si="145"/>
        <v>0.5</v>
      </c>
      <c r="E727" s="24" t="str">
        <f t="shared" si="146"/>
        <v/>
      </c>
      <c r="F727" s="24">
        <f t="shared" si="147"/>
        <v>0</v>
      </c>
      <c r="G727" s="24" t="str">
        <f t="shared" si="148"/>
        <v>SMBBEE5301NY</v>
      </c>
      <c r="H727" s="24">
        <f t="shared" si="149"/>
        <v>1</v>
      </c>
      <c r="I727" s="24" t="str">
        <f t="shared" si="150"/>
        <v/>
      </c>
      <c r="J727" s="24">
        <f t="shared" si="151"/>
        <v>0</v>
      </c>
      <c r="K727" s="24" t="str">
        <f t="shared" si="152"/>
        <v>E5</v>
      </c>
      <c r="L727" s="24" t="str">
        <f>VLOOKUP(N727,CODE!K:P,CODE!$P$1,FALSE)</f>
        <v>모자</v>
      </c>
      <c r="M727" s="24" t="str">
        <f>VLOOKUP(MID(Q727,1,3),CODE!$B:$G,CODE!D$1,FALSE)</f>
        <v>SMB</v>
      </c>
      <c r="N727" s="24" t="str">
        <f t="shared" si="153"/>
        <v>BE</v>
      </c>
      <c r="O727" s="29" t="str">
        <f>IF(ISERROR(IF(VLOOKUP($N727,CODE!$K:$P,CODE!$O$1,FALSE)="",$M727,$M727&amp;"-"&amp;VLOOKUP($N727,CODE!$K:$P,CODE!$O$1,FALSE)))=TRUE,"",IF(VLOOKUP($N727,CODE!$K:$P,CODE!$O$1,FALSE)="",$M727,$M727&amp;"-"&amp;VLOOKUP($N727,CODE!$K:$P,CODE!$O$1,FALSE)))</f>
        <v>SMB</v>
      </c>
      <c r="P727" s="29" t="str">
        <f t="shared" si="154"/>
        <v>SMBBEE5301</v>
      </c>
      <c r="Q727" s="1" t="s">
        <v>1506</v>
      </c>
      <c r="R727" s="1" t="s">
        <v>14</v>
      </c>
      <c r="S727" s="26">
        <v>700</v>
      </c>
      <c r="T727" s="26">
        <v>27300000</v>
      </c>
      <c r="U727" s="26">
        <v>2458904</v>
      </c>
      <c r="V727" s="26">
        <v>10.093188598734157</v>
      </c>
      <c r="W727" s="26">
        <v>0</v>
      </c>
      <c r="X727" s="26">
        <v>700</v>
      </c>
    </row>
    <row r="728" spans="1:24">
      <c r="A728" s="24" t="str">
        <f t="shared" si="143"/>
        <v>신규</v>
      </c>
      <c r="B728" s="24" t="str">
        <f>IF(COUNTIF(Q$1:Q727,Q728)=0,"최초","리오더")</f>
        <v>최초</v>
      </c>
      <c r="C728" s="24" t="str">
        <f t="shared" si="144"/>
        <v>SMBBEE5301</v>
      </c>
      <c r="D728" s="24">
        <f t="shared" si="145"/>
        <v>0.5</v>
      </c>
      <c r="E728" s="24" t="str">
        <f t="shared" si="146"/>
        <v/>
      </c>
      <c r="F728" s="24">
        <f t="shared" si="147"/>
        <v>0</v>
      </c>
      <c r="G728" s="24" t="str">
        <f t="shared" si="148"/>
        <v>SMBBEE5301RE</v>
      </c>
      <c r="H728" s="24">
        <f t="shared" si="149"/>
        <v>1</v>
      </c>
      <c r="I728" s="24" t="str">
        <f t="shared" si="150"/>
        <v/>
      </c>
      <c r="J728" s="24">
        <f t="shared" si="151"/>
        <v>0</v>
      </c>
      <c r="K728" s="24" t="str">
        <f t="shared" si="152"/>
        <v>E5</v>
      </c>
      <c r="L728" s="24" t="str">
        <f>VLOOKUP(N728,CODE!K:P,CODE!$P$1,FALSE)</f>
        <v>모자</v>
      </c>
      <c r="M728" s="24" t="str">
        <f>VLOOKUP(MID(Q728,1,3),CODE!$B:$G,CODE!D$1,FALSE)</f>
        <v>SMB</v>
      </c>
      <c r="N728" s="24" t="str">
        <f t="shared" si="153"/>
        <v>BE</v>
      </c>
      <c r="O728" s="29" t="str">
        <f>IF(ISERROR(IF(VLOOKUP($N728,CODE!$K:$P,CODE!$O$1,FALSE)="",$M728,$M728&amp;"-"&amp;VLOOKUP($N728,CODE!$K:$P,CODE!$O$1,FALSE)))=TRUE,"",IF(VLOOKUP($N728,CODE!$K:$P,CODE!$O$1,FALSE)="",$M728,$M728&amp;"-"&amp;VLOOKUP($N728,CODE!$K:$P,CODE!$O$1,FALSE)))</f>
        <v>SMB</v>
      </c>
      <c r="P728" s="29" t="str">
        <f t="shared" si="154"/>
        <v>SMBBEE5301</v>
      </c>
      <c r="Q728" s="1" t="s">
        <v>1507</v>
      </c>
      <c r="R728" s="1" t="s">
        <v>14</v>
      </c>
      <c r="S728" s="26">
        <v>700</v>
      </c>
      <c r="T728" s="26">
        <v>27300000</v>
      </c>
      <c r="U728" s="26">
        <v>2458904</v>
      </c>
      <c r="V728" s="26">
        <v>10.093188598734157</v>
      </c>
      <c r="W728" s="26">
        <v>0</v>
      </c>
      <c r="X728" s="26">
        <v>700</v>
      </c>
    </row>
    <row r="729" spans="1:24">
      <c r="A729" s="24" t="str">
        <f t="shared" si="143"/>
        <v>신규</v>
      </c>
      <c r="B729" s="24" t="str">
        <f>IF(COUNTIF(Q$1:Q728,Q729)=0,"최초","리오더")</f>
        <v>최초</v>
      </c>
      <c r="C729" s="24" t="str">
        <f t="shared" si="144"/>
        <v>FFTFIE3330</v>
      </c>
      <c r="D729" s="24">
        <f t="shared" si="145"/>
        <v>1</v>
      </c>
      <c r="E729" s="24" t="str">
        <f t="shared" si="146"/>
        <v/>
      </c>
      <c r="F729" s="24">
        <f t="shared" si="147"/>
        <v>0</v>
      </c>
      <c r="G729" s="24" t="str">
        <f t="shared" si="148"/>
        <v>FFTFIE3330GR</v>
      </c>
      <c r="H729" s="24">
        <f t="shared" si="149"/>
        <v>1</v>
      </c>
      <c r="I729" s="24" t="str">
        <f t="shared" si="150"/>
        <v/>
      </c>
      <c r="J729" s="24">
        <f t="shared" si="151"/>
        <v>0</v>
      </c>
      <c r="K729" s="24" t="str">
        <f t="shared" si="152"/>
        <v>E3</v>
      </c>
      <c r="L729" s="24" t="str">
        <f>VLOOKUP(N729,CODE!K:P,CODE!$P$1,FALSE)</f>
        <v>모자</v>
      </c>
      <c r="M729" s="24" t="str">
        <f>VLOOKUP(MID(Q729,1,3),CODE!$B:$G,CODE!D$1,FALSE)</f>
        <v>FFT</v>
      </c>
      <c r="N729" s="24" t="str">
        <f t="shared" si="153"/>
        <v>FI</v>
      </c>
      <c r="O729" s="29" t="str">
        <f>IF(ISERROR(IF(VLOOKUP($N729,CODE!$K:$P,CODE!$O$1,FALSE)="",$M729,$M729&amp;"-"&amp;VLOOKUP($N729,CODE!$K:$P,CODE!$O$1,FALSE)))=TRUE,"",IF(VLOOKUP($N729,CODE!$K:$P,CODE!$O$1,FALSE)="",$M729,$M729&amp;"-"&amp;VLOOKUP($N729,CODE!$K:$P,CODE!$O$1,FALSE)))</f>
        <v>FFT</v>
      </c>
      <c r="P729" s="29" t="str">
        <f t="shared" si="154"/>
        <v>FFTFIE3330</v>
      </c>
      <c r="Q729" s="1" t="s">
        <v>1508</v>
      </c>
      <c r="R729" s="1" t="s">
        <v>15</v>
      </c>
      <c r="S729" s="26">
        <v>20</v>
      </c>
      <c r="T729" s="26">
        <v>980000</v>
      </c>
      <c r="U729" s="26">
        <v>400909.09090909088</v>
      </c>
      <c r="V729" s="26">
        <v>2.2222222222222223</v>
      </c>
      <c r="W729" s="26">
        <v>20</v>
      </c>
      <c r="X729" s="26">
        <v>0</v>
      </c>
    </row>
    <row r="730" spans="1:24">
      <c r="A730" s="24" t="str">
        <f t="shared" si="143"/>
        <v>신규</v>
      </c>
      <c r="B730" s="24" t="str">
        <f>IF(COUNTIF(Q$1:Q729,Q730)=0,"최초","리오더")</f>
        <v>최초</v>
      </c>
      <c r="C730" s="24" t="str">
        <f t="shared" si="144"/>
        <v>FFTFIE3331</v>
      </c>
      <c r="D730" s="24">
        <f t="shared" si="145"/>
        <v>1</v>
      </c>
      <c r="E730" s="24" t="str">
        <f t="shared" si="146"/>
        <v/>
      </c>
      <c r="F730" s="24">
        <f t="shared" si="147"/>
        <v>0</v>
      </c>
      <c r="G730" s="24" t="str">
        <f t="shared" si="148"/>
        <v>FFTFIE3331PP</v>
      </c>
      <c r="H730" s="24">
        <f t="shared" si="149"/>
        <v>1</v>
      </c>
      <c r="I730" s="24" t="str">
        <f t="shared" si="150"/>
        <v/>
      </c>
      <c r="J730" s="24">
        <f t="shared" si="151"/>
        <v>0</v>
      </c>
      <c r="K730" s="24" t="str">
        <f t="shared" si="152"/>
        <v>E3</v>
      </c>
      <c r="L730" s="24" t="str">
        <f>VLOOKUP(N730,CODE!K:P,CODE!$P$1,FALSE)</f>
        <v>모자</v>
      </c>
      <c r="M730" s="24" t="str">
        <f>VLOOKUP(MID(Q730,1,3),CODE!$B:$G,CODE!D$1,FALSE)</f>
        <v>FFT</v>
      </c>
      <c r="N730" s="24" t="str">
        <f t="shared" si="153"/>
        <v>FI</v>
      </c>
      <c r="O730" s="29" t="str">
        <f>IF(ISERROR(IF(VLOOKUP($N730,CODE!$K:$P,CODE!$O$1,FALSE)="",$M730,$M730&amp;"-"&amp;VLOOKUP($N730,CODE!$K:$P,CODE!$O$1,FALSE)))=TRUE,"",IF(VLOOKUP($N730,CODE!$K:$P,CODE!$O$1,FALSE)="",$M730,$M730&amp;"-"&amp;VLOOKUP($N730,CODE!$K:$P,CODE!$O$1,FALSE)))</f>
        <v>FFT</v>
      </c>
      <c r="P730" s="29" t="str">
        <f t="shared" si="154"/>
        <v>FFTFIE3331</v>
      </c>
      <c r="Q730" s="1" t="s">
        <v>1509</v>
      </c>
      <c r="R730" s="1" t="s">
        <v>15</v>
      </c>
      <c r="S730" s="26">
        <v>30</v>
      </c>
      <c r="T730" s="26">
        <v>1470000</v>
      </c>
      <c r="U730" s="26">
        <v>601363.63636363635</v>
      </c>
      <c r="V730" s="26">
        <v>2.2222222222222223</v>
      </c>
      <c r="W730" s="26">
        <v>28</v>
      </c>
      <c r="X730" s="26">
        <v>0</v>
      </c>
    </row>
    <row r="731" spans="1:24">
      <c r="A731" s="24" t="str">
        <f t="shared" si="143"/>
        <v>신규</v>
      </c>
      <c r="B731" s="24" t="str">
        <f>IF(COUNTIF(Q$1:Q730,Q731)=0,"최초","리오더")</f>
        <v>최초</v>
      </c>
      <c r="C731" s="24" t="str">
        <f t="shared" si="144"/>
        <v>FFTFIE3332</v>
      </c>
      <c r="D731" s="24">
        <f t="shared" si="145"/>
        <v>1</v>
      </c>
      <c r="E731" s="24" t="str">
        <f t="shared" si="146"/>
        <v/>
      </c>
      <c r="F731" s="24">
        <f t="shared" si="147"/>
        <v>0</v>
      </c>
      <c r="G731" s="24" t="str">
        <f t="shared" si="148"/>
        <v>FFTFIE3332WH</v>
      </c>
      <c r="H731" s="24">
        <f t="shared" si="149"/>
        <v>1</v>
      </c>
      <c r="I731" s="24" t="str">
        <f t="shared" si="150"/>
        <v/>
      </c>
      <c r="J731" s="24">
        <f t="shared" si="151"/>
        <v>0</v>
      </c>
      <c r="K731" s="24" t="str">
        <f t="shared" si="152"/>
        <v>E3</v>
      </c>
      <c r="L731" s="24" t="str">
        <f>VLOOKUP(N731,CODE!K:P,CODE!$P$1,FALSE)</f>
        <v>모자</v>
      </c>
      <c r="M731" s="24" t="str">
        <f>VLOOKUP(MID(Q731,1,3),CODE!$B:$G,CODE!D$1,FALSE)</f>
        <v>FFT</v>
      </c>
      <c r="N731" s="24" t="str">
        <f t="shared" si="153"/>
        <v>FI</v>
      </c>
      <c r="O731" s="29" t="str">
        <f>IF(ISERROR(IF(VLOOKUP($N731,CODE!$K:$P,CODE!$O$1,FALSE)="",$M731,$M731&amp;"-"&amp;VLOOKUP($N731,CODE!$K:$P,CODE!$O$1,FALSE)))=TRUE,"",IF(VLOOKUP($N731,CODE!$K:$P,CODE!$O$1,FALSE)="",$M731,$M731&amp;"-"&amp;VLOOKUP($N731,CODE!$K:$P,CODE!$O$1,FALSE)))</f>
        <v>FFT</v>
      </c>
      <c r="P731" s="29" t="str">
        <f t="shared" si="154"/>
        <v>FFTFIE3332</v>
      </c>
      <c r="Q731" s="1" t="s">
        <v>1510</v>
      </c>
      <c r="R731" s="1" t="s">
        <v>15</v>
      </c>
      <c r="S731" s="26">
        <v>30</v>
      </c>
      <c r="T731" s="26">
        <v>1470000</v>
      </c>
      <c r="U731" s="26">
        <v>601363.63636363635</v>
      </c>
      <c r="V731" s="26">
        <v>2.2222222222222223</v>
      </c>
      <c r="W731" s="26">
        <v>30</v>
      </c>
      <c r="X731" s="26">
        <v>0</v>
      </c>
    </row>
    <row r="732" spans="1:24">
      <c r="A732" s="24" t="str">
        <f t="shared" si="143"/>
        <v>신규</v>
      </c>
      <c r="B732" s="24" t="str">
        <f>IF(COUNTIF(Q$1:Q731,Q732)=0,"최초","리오더")</f>
        <v>최초</v>
      </c>
      <c r="C732" s="24" t="str">
        <f t="shared" si="144"/>
        <v>FFTFIE3333</v>
      </c>
      <c r="D732" s="24">
        <f t="shared" si="145"/>
        <v>1</v>
      </c>
      <c r="E732" s="24" t="str">
        <f t="shared" si="146"/>
        <v/>
      </c>
      <c r="F732" s="24">
        <f t="shared" si="147"/>
        <v>0</v>
      </c>
      <c r="G732" s="24" t="str">
        <f t="shared" si="148"/>
        <v>FFTFIE3333BL</v>
      </c>
      <c r="H732" s="24">
        <f t="shared" si="149"/>
        <v>1</v>
      </c>
      <c r="I732" s="24" t="str">
        <f t="shared" si="150"/>
        <v/>
      </c>
      <c r="J732" s="24">
        <f t="shared" si="151"/>
        <v>0</v>
      </c>
      <c r="K732" s="24" t="str">
        <f t="shared" si="152"/>
        <v>E3</v>
      </c>
      <c r="L732" s="24" t="str">
        <f>VLOOKUP(N732,CODE!K:P,CODE!$P$1,FALSE)</f>
        <v>모자</v>
      </c>
      <c r="M732" s="24" t="str">
        <f>VLOOKUP(MID(Q732,1,3),CODE!$B:$G,CODE!D$1,FALSE)</f>
        <v>FFT</v>
      </c>
      <c r="N732" s="24" t="str">
        <f t="shared" si="153"/>
        <v>FI</v>
      </c>
      <c r="O732" s="29" t="str">
        <f>IF(ISERROR(IF(VLOOKUP($N732,CODE!$K:$P,CODE!$O$1,FALSE)="",$M732,$M732&amp;"-"&amp;VLOOKUP($N732,CODE!$K:$P,CODE!$O$1,FALSE)))=TRUE,"",IF(VLOOKUP($N732,CODE!$K:$P,CODE!$O$1,FALSE)="",$M732,$M732&amp;"-"&amp;VLOOKUP($N732,CODE!$K:$P,CODE!$O$1,FALSE)))</f>
        <v>FFT</v>
      </c>
      <c r="P732" s="29" t="str">
        <f t="shared" si="154"/>
        <v>FFTFIE3333</v>
      </c>
      <c r="Q732" s="1" t="s">
        <v>1511</v>
      </c>
      <c r="R732" s="1" t="s">
        <v>15</v>
      </c>
      <c r="S732" s="26">
        <v>25</v>
      </c>
      <c r="T732" s="26">
        <v>1225000</v>
      </c>
      <c r="U732" s="26">
        <v>501136.36363636359</v>
      </c>
      <c r="V732" s="26">
        <v>2.2222222222222223</v>
      </c>
      <c r="W732" s="26">
        <v>25</v>
      </c>
      <c r="X732" s="26">
        <v>0</v>
      </c>
    </row>
    <row r="733" spans="1:24">
      <c r="A733" s="24" t="str">
        <f t="shared" si="143"/>
        <v>신규</v>
      </c>
      <c r="B733" s="24" t="str">
        <f>IF(COUNTIF(Q$1:Q732,Q733)=0,"최초","리오더")</f>
        <v>최초</v>
      </c>
      <c r="C733" s="24" t="str">
        <f t="shared" si="144"/>
        <v>FFTFIE3334</v>
      </c>
      <c r="D733" s="24">
        <f t="shared" si="145"/>
        <v>1</v>
      </c>
      <c r="E733" s="24" t="str">
        <f t="shared" si="146"/>
        <v/>
      </c>
      <c r="F733" s="24">
        <f t="shared" si="147"/>
        <v>0</v>
      </c>
      <c r="G733" s="24" t="str">
        <f t="shared" si="148"/>
        <v>FFTFIE3334PP</v>
      </c>
      <c r="H733" s="24">
        <f t="shared" si="149"/>
        <v>1</v>
      </c>
      <c r="I733" s="24" t="str">
        <f t="shared" si="150"/>
        <v/>
      </c>
      <c r="J733" s="24">
        <f t="shared" si="151"/>
        <v>0</v>
      </c>
      <c r="K733" s="24" t="str">
        <f t="shared" si="152"/>
        <v>E3</v>
      </c>
      <c r="L733" s="24" t="str">
        <f>VLOOKUP(N733,CODE!K:P,CODE!$P$1,FALSE)</f>
        <v>모자</v>
      </c>
      <c r="M733" s="24" t="str">
        <f>VLOOKUP(MID(Q733,1,3),CODE!$B:$G,CODE!D$1,FALSE)</f>
        <v>FFT</v>
      </c>
      <c r="N733" s="24" t="str">
        <f t="shared" si="153"/>
        <v>FI</v>
      </c>
      <c r="O733" s="29" t="str">
        <f>IF(ISERROR(IF(VLOOKUP($N733,CODE!$K:$P,CODE!$O$1,FALSE)="",$M733,$M733&amp;"-"&amp;VLOOKUP($N733,CODE!$K:$P,CODE!$O$1,FALSE)))=TRUE,"",IF(VLOOKUP($N733,CODE!$K:$P,CODE!$O$1,FALSE)="",$M733,$M733&amp;"-"&amp;VLOOKUP($N733,CODE!$K:$P,CODE!$O$1,FALSE)))</f>
        <v>FFT</v>
      </c>
      <c r="P733" s="29" t="str">
        <f t="shared" si="154"/>
        <v>FFTFIE3334</v>
      </c>
      <c r="Q733" s="1" t="s">
        <v>1512</v>
      </c>
      <c r="R733" s="1" t="s">
        <v>15</v>
      </c>
      <c r="S733" s="26">
        <v>25</v>
      </c>
      <c r="T733" s="26">
        <v>1225000</v>
      </c>
      <c r="U733" s="26">
        <v>501136.36363636359</v>
      </c>
      <c r="V733" s="26">
        <v>2.2222222222222223</v>
      </c>
      <c r="W733" s="26">
        <v>25</v>
      </c>
      <c r="X733" s="26">
        <v>0</v>
      </c>
    </row>
    <row r="734" spans="1:24">
      <c r="A734" s="24" t="str">
        <f t="shared" si="143"/>
        <v>신규</v>
      </c>
      <c r="B734" s="24" t="str">
        <f>IF(COUNTIF(Q$1:Q733,Q734)=0,"최초","리오더")</f>
        <v>최초</v>
      </c>
      <c r="C734" s="24" t="str">
        <f t="shared" si="144"/>
        <v>FFTFIE3335</v>
      </c>
      <c r="D734" s="24">
        <f t="shared" si="145"/>
        <v>1</v>
      </c>
      <c r="E734" s="24" t="str">
        <f t="shared" si="146"/>
        <v/>
      </c>
      <c r="F734" s="24">
        <f t="shared" si="147"/>
        <v>0</v>
      </c>
      <c r="G734" s="24" t="str">
        <f t="shared" si="148"/>
        <v>FFTFIE3335BL</v>
      </c>
      <c r="H734" s="24">
        <f t="shared" si="149"/>
        <v>1</v>
      </c>
      <c r="I734" s="24" t="str">
        <f t="shared" si="150"/>
        <v/>
      </c>
      <c r="J734" s="24">
        <f t="shared" si="151"/>
        <v>0</v>
      </c>
      <c r="K734" s="24" t="str">
        <f t="shared" si="152"/>
        <v>E3</v>
      </c>
      <c r="L734" s="24" t="str">
        <f>VLOOKUP(N734,CODE!K:P,CODE!$P$1,FALSE)</f>
        <v>모자</v>
      </c>
      <c r="M734" s="24" t="str">
        <f>VLOOKUP(MID(Q734,1,3),CODE!$B:$G,CODE!D$1,FALSE)</f>
        <v>FFT</v>
      </c>
      <c r="N734" s="24" t="str">
        <f t="shared" si="153"/>
        <v>FI</v>
      </c>
      <c r="O734" s="29" t="str">
        <f>IF(ISERROR(IF(VLOOKUP($N734,CODE!$K:$P,CODE!$O$1,FALSE)="",$M734,$M734&amp;"-"&amp;VLOOKUP($N734,CODE!$K:$P,CODE!$O$1,FALSE)))=TRUE,"",IF(VLOOKUP($N734,CODE!$K:$P,CODE!$O$1,FALSE)="",$M734,$M734&amp;"-"&amp;VLOOKUP($N734,CODE!$K:$P,CODE!$O$1,FALSE)))</f>
        <v>FFT</v>
      </c>
      <c r="P734" s="29" t="str">
        <f t="shared" si="154"/>
        <v>FFTFIE3335</v>
      </c>
      <c r="Q734" s="1" t="s">
        <v>1513</v>
      </c>
      <c r="R734" s="1" t="s">
        <v>15</v>
      </c>
      <c r="S734" s="26">
        <v>20</v>
      </c>
      <c r="T734" s="26">
        <v>980000</v>
      </c>
      <c r="U734" s="26">
        <v>400909.09090909088</v>
      </c>
      <c r="V734" s="26">
        <v>2.2222222222222223</v>
      </c>
      <c r="W734" s="26">
        <v>20</v>
      </c>
      <c r="X734" s="26">
        <v>0</v>
      </c>
    </row>
    <row r="735" spans="1:24">
      <c r="A735" s="24" t="str">
        <f t="shared" si="143"/>
        <v>신규</v>
      </c>
      <c r="B735" s="24" t="str">
        <f>IF(COUNTIF(Q$1:Q734,Q735)=0,"최초","리오더")</f>
        <v>최초</v>
      </c>
      <c r="C735" s="24" t="str">
        <f t="shared" si="144"/>
        <v>FFTFIE3336</v>
      </c>
      <c r="D735" s="24">
        <f t="shared" si="145"/>
        <v>1</v>
      </c>
      <c r="E735" s="24" t="str">
        <f t="shared" si="146"/>
        <v/>
      </c>
      <c r="F735" s="24">
        <f t="shared" si="147"/>
        <v>0</v>
      </c>
      <c r="G735" s="24" t="str">
        <f t="shared" si="148"/>
        <v>FFTFIE3336KH</v>
      </c>
      <c r="H735" s="24">
        <f t="shared" si="149"/>
        <v>1</v>
      </c>
      <c r="I735" s="24" t="str">
        <f t="shared" si="150"/>
        <v/>
      </c>
      <c r="J735" s="24">
        <f t="shared" si="151"/>
        <v>0</v>
      </c>
      <c r="K735" s="24" t="str">
        <f t="shared" si="152"/>
        <v>E3</v>
      </c>
      <c r="L735" s="24" t="str">
        <f>VLOOKUP(N735,CODE!K:P,CODE!$P$1,FALSE)</f>
        <v>모자</v>
      </c>
      <c r="M735" s="24" t="str">
        <f>VLOOKUP(MID(Q735,1,3),CODE!$B:$G,CODE!D$1,FALSE)</f>
        <v>FFT</v>
      </c>
      <c r="N735" s="24" t="str">
        <f t="shared" si="153"/>
        <v>FI</v>
      </c>
      <c r="O735" s="29" t="str">
        <f>IF(ISERROR(IF(VLOOKUP($N735,CODE!$K:$P,CODE!$O$1,FALSE)="",$M735,$M735&amp;"-"&amp;VLOOKUP($N735,CODE!$K:$P,CODE!$O$1,FALSE)))=TRUE,"",IF(VLOOKUP($N735,CODE!$K:$P,CODE!$O$1,FALSE)="",$M735,$M735&amp;"-"&amp;VLOOKUP($N735,CODE!$K:$P,CODE!$O$1,FALSE)))</f>
        <v>FFT</v>
      </c>
      <c r="P735" s="29" t="str">
        <f t="shared" si="154"/>
        <v>FFTFIE3336</v>
      </c>
      <c r="Q735" s="1" t="s">
        <v>1514</v>
      </c>
      <c r="R735" s="1" t="s">
        <v>15</v>
      </c>
      <c r="S735" s="26">
        <v>25</v>
      </c>
      <c r="T735" s="26">
        <v>1225000</v>
      </c>
      <c r="U735" s="26">
        <v>501136.36363636359</v>
      </c>
      <c r="V735" s="26">
        <v>2.2222222222222223</v>
      </c>
      <c r="W735" s="26">
        <v>25</v>
      </c>
      <c r="X735" s="26">
        <v>0</v>
      </c>
    </row>
    <row r="736" spans="1:24">
      <c r="A736" s="24" t="str">
        <f t="shared" si="143"/>
        <v>신규</v>
      </c>
      <c r="B736" s="24" t="str">
        <f>IF(COUNTIF(Q$1:Q735,Q736)=0,"최초","리오더")</f>
        <v>최초</v>
      </c>
      <c r="C736" s="24" t="str">
        <f t="shared" si="144"/>
        <v>FFTFIE3337</v>
      </c>
      <c r="D736" s="24">
        <f t="shared" si="145"/>
        <v>1</v>
      </c>
      <c r="E736" s="24" t="str">
        <f t="shared" si="146"/>
        <v/>
      </c>
      <c r="F736" s="24">
        <f t="shared" si="147"/>
        <v>0</v>
      </c>
      <c r="G736" s="24" t="str">
        <f t="shared" si="148"/>
        <v>FFTFIE3337BL</v>
      </c>
      <c r="H736" s="24">
        <f t="shared" si="149"/>
        <v>1</v>
      </c>
      <c r="I736" s="24" t="str">
        <f t="shared" si="150"/>
        <v/>
      </c>
      <c r="J736" s="24">
        <f t="shared" si="151"/>
        <v>0</v>
      </c>
      <c r="K736" s="24" t="str">
        <f t="shared" si="152"/>
        <v>E3</v>
      </c>
      <c r="L736" s="24" t="str">
        <f>VLOOKUP(N736,CODE!K:P,CODE!$P$1,FALSE)</f>
        <v>모자</v>
      </c>
      <c r="M736" s="24" t="str">
        <f>VLOOKUP(MID(Q736,1,3),CODE!$B:$G,CODE!D$1,FALSE)</f>
        <v>FFT</v>
      </c>
      <c r="N736" s="24" t="str">
        <f t="shared" si="153"/>
        <v>FI</v>
      </c>
      <c r="O736" s="29" t="str">
        <f>IF(ISERROR(IF(VLOOKUP($N736,CODE!$K:$P,CODE!$O$1,FALSE)="",$M736,$M736&amp;"-"&amp;VLOOKUP($N736,CODE!$K:$P,CODE!$O$1,FALSE)))=TRUE,"",IF(VLOOKUP($N736,CODE!$K:$P,CODE!$O$1,FALSE)="",$M736,$M736&amp;"-"&amp;VLOOKUP($N736,CODE!$K:$P,CODE!$O$1,FALSE)))</f>
        <v>FFT</v>
      </c>
      <c r="P736" s="29" t="str">
        <f t="shared" si="154"/>
        <v>FFTFIE3337</v>
      </c>
      <c r="Q736" s="1" t="s">
        <v>1515</v>
      </c>
      <c r="R736" s="1" t="s">
        <v>15</v>
      </c>
      <c r="S736" s="26">
        <v>15</v>
      </c>
      <c r="T736" s="26">
        <v>735000</v>
      </c>
      <c r="U736" s="26">
        <v>300681.81818181818</v>
      </c>
      <c r="V736" s="26">
        <v>2.2222222222222223</v>
      </c>
      <c r="W736" s="26">
        <v>15</v>
      </c>
      <c r="X736" s="26">
        <v>0</v>
      </c>
    </row>
    <row r="737" spans="1:24">
      <c r="A737" s="24" t="str">
        <f t="shared" si="143"/>
        <v>신규</v>
      </c>
      <c r="B737" s="24" t="str">
        <f>IF(COUNTIF(Q$1:Q736,Q737)=0,"최초","리오더")</f>
        <v>최초</v>
      </c>
      <c r="C737" s="24" t="str">
        <f t="shared" si="144"/>
        <v>FFTFIE3338</v>
      </c>
      <c r="D737" s="24">
        <f t="shared" si="145"/>
        <v>1</v>
      </c>
      <c r="E737" s="24" t="str">
        <f t="shared" si="146"/>
        <v/>
      </c>
      <c r="F737" s="24">
        <f t="shared" si="147"/>
        <v>0</v>
      </c>
      <c r="G737" s="24" t="str">
        <f t="shared" si="148"/>
        <v>FFTFIE3338PP</v>
      </c>
      <c r="H737" s="24">
        <f t="shared" si="149"/>
        <v>1</v>
      </c>
      <c r="I737" s="24" t="str">
        <f t="shared" si="150"/>
        <v/>
      </c>
      <c r="J737" s="24">
        <f t="shared" si="151"/>
        <v>0</v>
      </c>
      <c r="K737" s="24" t="str">
        <f t="shared" si="152"/>
        <v>E3</v>
      </c>
      <c r="L737" s="24" t="str">
        <f>VLOOKUP(N737,CODE!K:P,CODE!$P$1,FALSE)</f>
        <v>모자</v>
      </c>
      <c r="M737" s="24" t="str">
        <f>VLOOKUP(MID(Q737,1,3),CODE!$B:$G,CODE!D$1,FALSE)</f>
        <v>FFT</v>
      </c>
      <c r="N737" s="24" t="str">
        <f t="shared" si="153"/>
        <v>FI</v>
      </c>
      <c r="O737" s="29" t="str">
        <f>IF(ISERROR(IF(VLOOKUP($N737,CODE!$K:$P,CODE!$O$1,FALSE)="",$M737,$M737&amp;"-"&amp;VLOOKUP($N737,CODE!$K:$P,CODE!$O$1,FALSE)))=TRUE,"",IF(VLOOKUP($N737,CODE!$K:$P,CODE!$O$1,FALSE)="",$M737,$M737&amp;"-"&amp;VLOOKUP($N737,CODE!$K:$P,CODE!$O$1,FALSE)))</f>
        <v>FFT</v>
      </c>
      <c r="P737" s="29" t="str">
        <f t="shared" si="154"/>
        <v>FFTFIE3338</v>
      </c>
      <c r="Q737" s="1" t="s">
        <v>1516</v>
      </c>
      <c r="R737" s="1" t="s">
        <v>15</v>
      </c>
      <c r="S737" s="26">
        <v>20</v>
      </c>
      <c r="T737" s="26">
        <v>980000</v>
      </c>
      <c r="U737" s="26">
        <v>400909.09090909088</v>
      </c>
      <c r="V737" s="26">
        <v>2.2222222222222223</v>
      </c>
      <c r="W737" s="26">
        <v>20</v>
      </c>
      <c r="X737" s="26">
        <v>0</v>
      </c>
    </row>
    <row r="738" spans="1:24">
      <c r="A738" s="24" t="str">
        <f t="shared" si="143"/>
        <v>신규</v>
      </c>
      <c r="B738" s="24" t="str">
        <f>IF(COUNTIF(Q$1:Q737,Q738)=0,"최초","리오더")</f>
        <v>최초</v>
      </c>
      <c r="C738" s="24" t="str">
        <f t="shared" si="144"/>
        <v>FFTFIE3340</v>
      </c>
      <c r="D738" s="24">
        <f t="shared" si="145"/>
        <v>1</v>
      </c>
      <c r="E738" s="24" t="str">
        <f t="shared" si="146"/>
        <v/>
      </c>
      <c r="F738" s="24">
        <f t="shared" si="147"/>
        <v>0</v>
      </c>
      <c r="G738" s="24" t="str">
        <f t="shared" si="148"/>
        <v>FFTFIE3340KH</v>
      </c>
      <c r="H738" s="24">
        <f t="shared" si="149"/>
        <v>1</v>
      </c>
      <c r="I738" s="24" t="str">
        <f t="shared" si="150"/>
        <v/>
      </c>
      <c r="J738" s="24">
        <f t="shared" si="151"/>
        <v>0</v>
      </c>
      <c r="K738" s="24" t="str">
        <f t="shared" si="152"/>
        <v>E3</v>
      </c>
      <c r="L738" s="24" t="str">
        <f>VLOOKUP(N738,CODE!K:P,CODE!$P$1,FALSE)</f>
        <v>모자</v>
      </c>
      <c r="M738" s="24" t="str">
        <f>VLOOKUP(MID(Q738,1,3),CODE!$B:$G,CODE!D$1,FALSE)</f>
        <v>FFT</v>
      </c>
      <c r="N738" s="24" t="str">
        <f t="shared" si="153"/>
        <v>FI</v>
      </c>
      <c r="O738" s="29" t="str">
        <f>IF(ISERROR(IF(VLOOKUP($N738,CODE!$K:$P,CODE!$O$1,FALSE)="",$M738,$M738&amp;"-"&amp;VLOOKUP($N738,CODE!$K:$P,CODE!$O$1,FALSE)))=TRUE,"",IF(VLOOKUP($N738,CODE!$K:$P,CODE!$O$1,FALSE)="",$M738,$M738&amp;"-"&amp;VLOOKUP($N738,CODE!$K:$P,CODE!$O$1,FALSE)))</f>
        <v>FFT</v>
      </c>
      <c r="P738" s="29" t="str">
        <f t="shared" si="154"/>
        <v>FFTFIE3340</v>
      </c>
      <c r="Q738" s="1" t="s">
        <v>1517</v>
      </c>
      <c r="R738" s="1" t="s">
        <v>15</v>
      </c>
      <c r="S738" s="26">
        <v>25</v>
      </c>
      <c r="T738" s="26">
        <v>1225000</v>
      </c>
      <c r="U738" s="26">
        <v>501136.36363636359</v>
      </c>
      <c r="V738" s="26">
        <v>2.2222222222222223</v>
      </c>
      <c r="W738" s="26">
        <v>25</v>
      </c>
      <c r="X738" s="26">
        <v>0</v>
      </c>
    </row>
    <row r="739" spans="1:24">
      <c r="A739" s="24" t="str">
        <f t="shared" si="143"/>
        <v>신규</v>
      </c>
      <c r="B739" s="24" t="str">
        <f>IF(COUNTIF(Q$1:Q738,Q739)=0,"최초","리오더")</f>
        <v>최초</v>
      </c>
      <c r="C739" s="24" t="str">
        <f t="shared" si="144"/>
        <v>FFTFIE3339</v>
      </c>
      <c r="D739" s="24">
        <f t="shared" si="145"/>
        <v>1</v>
      </c>
      <c r="E739" s="24" t="str">
        <f t="shared" si="146"/>
        <v/>
      </c>
      <c r="F739" s="24">
        <f t="shared" si="147"/>
        <v>0</v>
      </c>
      <c r="G739" s="24" t="str">
        <f t="shared" si="148"/>
        <v>FFTFIE3339BK</v>
      </c>
      <c r="H739" s="24">
        <f t="shared" si="149"/>
        <v>1</v>
      </c>
      <c r="I739" s="24" t="str">
        <f t="shared" si="150"/>
        <v/>
      </c>
      <c r="J739" s="24">
        <f t="shared" si="151"/>
        <v>0</v>
      </c>
      <c r="K739" s="24" t="str">
        <f t="shared" si="152"/>
        <v>E3</v>
      </c>
      <c r="L739" s="24" t="str">
        <f>VLOOKUP(N739,CODE!K:P,CODE!$P$1,FALSE)</f>
        <v>모자</v>
      </c>
      <c r="M739" s="24" t="str">
        <f>VLOOKUP(MID(Q739,1,3),CODE!$B:$G,CODE!D$1,FALSE)</f>
        <v>FFT</v>
      </c>
      <c r="N739" s="24" t="str">
        <f t="shared" si="153"/>
        <v>FI</v>
      </c>
      <c r="O739" s="29" t="str">
        <f>IF(ISERROR(IF(VLOOKUP($N739,CODE!$K:$P,CODE!$O$1,FALSE)="",$M739,$M739&amp;"-"&amp;VLOOKUP($N739,CODE!$K:$P,CODE!$O$1,FALSE)))=TRUE,"",IF(VLOOKUP($N739,CODE!$K:$P,CODE!$O$1,FALSE)="",$M739,$M739&amp;"-"&amp;VLOOKUP($N739,CODE!$K:$P,CODE!$O$1,FALSE)))</f>
        <v>FFT</v>
      </c>
      <c r="P739" s="29" t="str">
        <f t="shared" si="154"/>
        <v>FFTFIE3339</v>
      </c>
      <c r="Q739" s="1" t="s">
        <v>1518</v>
      </c>
      <c r="R739" s="1" t="s">
        <v>15</v>
      </c>
      <c r="S739" s="26">
        <v>20</v>
      </c>
      <c r="T739" s="26">
        <v>980000</v>
      </c>
      <c r="U739" s="26">
        <v>400909.09090909088</v>
      </c>
      <c r="V739" s="26">
        <v>2.2222222222222223</v>
      </c>
      <c r="W739" s="26">
        <v>20</v>
      </c>
      <c r="X739" s="26">
        <v>0</v>
      </c>
    </row>
    <row r="740" spans="1:24">
      <c r="A740" s="24" t="str">
        <f t="shared" si="143"/>
        <v>신규</v>
      </c>
      <c r="B740" s="24" t="str">
        <f>IF(COUNTIF(Q$1:Q739,Q740)=0,"최초","리오더")</f>
        <v>최초</v>
      </c>
      <c r="C740" s="24" t="str">
        <f t="shared" si="144"/>
        <v>JILMUE5366</v>
      </c>
      <c r="D740" s="24">
        <f t="shared" si="145"/>
        <v>1</v>
      </c>
      <c r="E740" s="24" t="str">
        <f t="shared" si="146"/>
        <v/>
      </c>
      <c r="F740" s="24">
        <f t="shared" si="147"/>
        <v>0</v>
      </c>
      <c r="G740" s="24" t="str">
        <f t="shared" si="148"/>
        <v>JILMUE5366NY</v>
      </c>
      <c r="H740" s="24">
        <f t="shared" si="149"/>
        <v>1</v>
      </c>
      <c r="I740" s="24" t="str">
        <f t="shared" si="150"/>
        <v/>
      </c>
      <c r="J740" s="24">
        <f t="shared" si="151"/>
        <v>0</v>
      </c>
      <c r="K740" s="24" t="str">
        <f t="shared" si="152"/>
        <v>E5</v>
      </c>
      <c r="L740" s="24" t="str">
        <f>VLOOKUP(N740,CODE!K:P,CODE!$P$1,FALSE)</f>
        <v>ACC</v>
      </c>
      <c r="M740" s="24" t="str">
        <f>VLOOKUP(MID(Q740,1,3),CODE!$B:$G,CODE!D$1,FALSE)</f>
        <v>JIL</v>
      </c>
      <c r="N740" s="24" t="str">
        <f t="shared" si="153"/>
        <v>MU</v>
      </c>
      <c r="O740" s="29" t="str">
        <f>IF(ISERROR(IF(VLOOKUP($N740,CODE!$K:$P,CODE!$O$1,FALSE)="",$M740,$M740&amp;"-"&amp;VLOOKUP($N740,CODE!$K:$P,CODE!$O$1,FALSE)))=TRUE,"",IF(VLOOKUP($N740,CODE!$K:$P,CODE!$O$1,FALSE)="",$M740,$M740&amp;"-"&amp;VLOOKUP($N740,CODE!$K:$P,CODE!$O$1,FALSE)))</f>
        <v>JIL-ACC</v>
      </c>
      <c r="P740" s="29" t="str">
        <f t="shared" si="154"/>
        <v>JILMUE5366</v>
      </c>
      <c r="Q740" s="1" t="s">
        <v>1519</v>
      </c>
      <c r="R740" s="1" t="s">
        <v>14</v>
      </c>
      <c r="S740" s="26">
        <v>300</v>
      </c>
      <c r="T740" s="26">
        <v>16500000</v>
      </c>
      <c r="U740" s="26">
        <v>2499999.9999999995</v>
      </c>
      <c r="V740" s="26">
        <v>6.0000000000000009</v>
      </c>
      <c r="W740" s="26">
        <v>0</v>
      </c>
      <c r="X740" s="26">
        <v>300</v>
      </c>
    </row>
    <row r="741" spans="1:24">
      <c r="A741" s="24" t="str">
        <f t="shared" si="143"/>
        <v>신규</v>
      </c>
      <c r="B741" s="24" t="str">
        <f>IF(COUNTIF(Q$1:Q740,Q741)=0,"최초","리오더")</f>
        <v>최초</v>
      </c>
      <c r="C741" s="24" t="str">
        <f t="shared" si="144"/>
        <v>JILMUE5367</v>
      </c>
      <c r="D741" s="24">
        <f t="shared" si="145"/>
        <v>0.5</v>
      </c>
      <c r="E741" s="24" t="str">
        <f t="shared" si="146"/>
        <v/>
      </c>
      <c r="F741" s="24">
        <f t="shared" si="147"/>
        <v>0</v>
      </c>
      <c r="G741" s="24" t="str">
        <f t="shared" si="148"/>
        <v>JILMUE5367RE</v>
      </c>
      <c r="H741" s="24">
        <f t="shared" si="149"/>
        <v>1</v>
      </c>
      <c r="I741" s="24" t="str">
        <f t="shared" si="150"/>
        <v/>
      </c>
      <c r="J741" s="24">
        <f t="shared" si="151"/>
        <v>0</v>
      </c>
      <c r="K741" s="24" t="str">
        <f t="shared" si="152"/>
        <v>E5</v>
      </c>
      <c r="L741" s="24" t="str">
        <f>VLOOKUP(N741,CODE!K:P,CODE!$P$1,FALSE)</f>
        <v>ACC</v>
      </c>
      <c r="M741" s="24" t="str">
        <f>VLOOKUP(MID(Q741,1,3),CODE!$B:$G,CODE!D$1,FALSE)</f>
        <v>JIL</v>
      </c>
      <c r="N741" s="24" t="str">
        <f t="shared" si="153"/>
        <v>MU</v>
      </c>
      <c r="O741" s="29" t="str">
        <f>IF(ISERROR(IF(VLOOKUP($N741,CODE!$K:$P,CODE!$O$1,FALSE)="",$M741,$M741&amp;"-"&amp;VLOOKUP($N741,CODE!$K:$P,CODE!$O$1,FALSE)))=TRUE,"",IF(VLOOKUP($N741,CODE!$K:$P,CODE!$O$1,FALSE)="",$M741,$M741&amp;"-"&amp;VLOOKUP($N741,CODE!$K:$P,CODE!$O$1,FALSE)))</f>
        <v>JIL-ACC</v>
      </c>
      <c r="P741" s="29" t="str">
        <f t="shared" si="154"/>
        <v>JILMUE5367</v>
      </c>
      <c r="Q741" s="1" t="s">
        <v>1520</v>
      </c>
      <c r="R741" s="1" t="s">
        <v>14</v>
      </c>
      <c r="S741" s="26">
        <v>500</v>
      </c>
      <c r="T741" s="26">
        <v>24500000</v>
      </c>
      <c r="U741" s="26">
        <v>3712121.2121212119</v>
      </c>
      <c r="V741" s="26">
        <v>6</v>
      </c>
      <c r="W741" s="26">
        <v>0</v>
      </c>
      <c r="X741" s="26">
        <v>500</v>
      </c>
    </row>
    <row r="742" spans="1:24">
      <c r="A742" s="24" t="str">
        <f t="shared" si="143"/>
        <v>신규</v>
      </c>
      <c r="B742" s="24" t="str">
        <f>IF(COUNTIF(Q$1:Q741,Q742)=0,"최초","리오더")</f>
        <v>최초</v>
      </c>
      <c r="C742" s="24" t="str">
        <f t="shared" si="144"/>
        <v>JILMUE5367</v>
      </c>
      <c r="D742" s="24">
        <f t="shared" si="145"/>
        <v>0.5</v>
      </c>
      <c r="E742" s="24" t="str">
        <f t="shared" si="146"/>
        <v/>
      </c>
      <c r="F742" s="24">
        <f t="shared" si="147"/>
        <v>0</v>
      </c>
      <c r="G742" s="24" t="str">
        <f t="shared" si="148"/>
        <v>JILMUE5367YE</v>
      </c>
      <c r="H742" s="24">
        <f t="shared" si="149"/>
        <v>1</v>
      </c>
      <c r="I742" s="24" t="str">
        <f t="shared" si="150"/>
        <v/>
      </c>
      <c r="J742" s="24">
        <f t="shared" si="151"/>
        <v>0</v>
      </c>
      <c r="K742" s="24" t="str">
        <f t="shared" si="152"/>
        <v>E5</v>
      </c>
      <c r="L742" s="24" t="str">
        <f>VLOOKUP(N742,CODE!K:P,CODE!$P$1,FALSE)</f>
        <v>ACC</v>
      </c>
      <c r="M742" s="24" t="str">
        <f>VLOOKUP(MID(Q742,1,3),CODE!$B:$G,CODE!D$1,FALSE)</f>
        <v>JIL</v>
      </c>
      <c r="N742" s="24" t="str">
        <f t="shared" si="153"/>
        <v>MU</v>
      </c>
      <c r="O742" s="29" t="str">
        <f>IF(ISERROR(IF(VLOOKUP($N742,CODE!$K:$P,CODE!$O$1,FALSE)="",$M742,$M742&amp;"-"&amp;VLOOKUP($N742,CODE!$K:$P,CODE!$O$1,FALSE)))=TRUE,"",IF(VLOOKUP($N742,CODE!$K:$P,CODE!$O$1,FALSE)="",$M742,$M742&amp;"-"&amp;VLOOKUP($N742,CODE!$K:$P,CODE!$O$1,FALSE)))</f>
        <v>JIL-ACC</v>
      </c>
      <c r="P742" s="29" t="str">
        <f t="shared" si="154"/>
        <v>JILMUE5367</v>
      </c>
      <c r="Q742" s="1" t="s">
        <v>1521</v>
      </c>
      <c r="R742" s="1" t="s">
        <v>14</v>
      </c>
      <c r="S742" s="26">
        <v>500</v>
      </c>
      <c r="T742" s="26">
        <v>24500000</v>
      </c>
      <c r="U742" s="26">
        <v>3712121.2121212119</v>
      </c>
      <c r="V742" s="26">
        <v>6</v>
      </c>
      <c r="W742" s="26">
        <v>0</v>
      </c>
      <c r="X742" s="26">
        <v>500</v>
      </c>
    </row>
    <row r="743" spans="1:24">
      <c r="A743" s="24" t="str">
        <f t="shared" si="143"/>
        <v>신규</v>
      </c>
      <c r="B743" s="24" t="str">
        <f>IF(COUNTIF(Q$1:Q742,Q743)=0,"최초","리오더")</f>
        <v>최초</v>
      </c>
      <c r="C743" s="24" t="str">
        <f t="shared" si="144"/>
        <v>JILBEE5368</v>
      </c>
      <c r="D743" s="24">
        <f t="shared" si="145"/>
        <v>0.5</v>
      </c>
      <c r="E743" s="24" t="str">
        <f t="shared" si="146"/>
        <v/>
      </c>
      <c r="F743" s="24">
        <f t="shared" si="147"/>
        <v>0</v>
      </c>
      <c r="G743" s="24" t="str">
        <f t="shared" si="148"/>
        <v>JILBEE5368BK</v>
      </c>
      <c r="H743" s="24">
        <f t="shared" si="149"/>
        <v>1</v>
      </c>
      <c r="I743" s="24" t="str">
        <f t="shared" si="150"/>
        <v/>
      </c>
      <c r="J743" s="24">
        <f t="shared" si="151"/>
        <v>0</v>
      </c>
      <c r="K743" s="24" t="str">
        <f t="shared" si="152"/>
        <v>E5</v>
      </c>
      <c r="L743" s="24" t="str">
        <f>VLOOKUP(N743,CODE!K:P,CODE!$P$1,FALSE)</f>
        <v>모자</v>
      </c>
      <c r="M743" s="24" t="str">
        <f>VLOOKUP(MID(Q743,1,3),CODE!$B:$G,CODE!D$1,FALSE)</f>
        <v>JIL</v>
      </c>
      <c r="N743" s="24" t="str">
        <f t="shared" si="153"/>
        <v>BE</v>
      </c>
      <c r="O743" s="29" t="str">
        <f>IF(ISERROR(IF(VLOOKUP($N743,CODE!$K:$P,CODE!$O$1,FALSE)="",$M743,$M743&amp;"-"&amp;VLOOKUP($N743,CODE!$K:$P,CODE!$O$1,FALSE)))=TRUE,"",IF(VLOOKUP($N743,CODE!$K:$P,CODE!$O$1,FALSE)="",$M743,$M743&amp;"-"&amp;VLOOKUP($N743,CODE!$K:$P,CODE!$O$1,FALSE)))</f>
        <v>JIL</v>
      </c>
      <c r="P743" s="29" t="str">
        <f t="shared" si="154"/>
        <v>JILBEE5368</v>
      </c>
      <c r="Q743" s="1" t="s">
        <v>1522</v>
      </c>
      <c r="R743" s="1" t="s">
        <v>14</v>
      </c>
      <c r="S743" s="26">
        <v>800</v>
      </c>
      <c r="T743" s="26">
        <v>31200000</v>
      </c>
      <c r="U743" s="26">
        <v>4727272.7272727266</v>
      </c>
      <c r="V743" s="26">
        <v>6</v>
      </c>
      <c r="W743" s="26">
        <v>0</v>
      </c>
      <c r="X743" s="26">
        <v>800</v>
      </c>
    </row>
    <row r="744" spans="1:24">
      <c r="A744" s="24" t="str">
        <f t="shared" si="143"/>
        <v>신규</v>
      </c>
      <c r="B744" s="24" t="str">
        <f>IF(COUNTIF(Q$1:Q743,Q744)=0,"최초","리오더")</f>
        <v>최초</v>
      </c>
      <c r="C744" s="24" t="str">
        <f t="shared" si="144"/>
        <v>JILBEE5368</v>
      </c>
      <c r="D744" s="24">
        <f t="shared" si="145"/>
        <v>0.5</v>
      </c>
      <c r="E744" s="24" t="str">
        <f t="shared" si="146"/>
        <v/>
      </c>
      <c r="F744" s="24">
        <f t="shared" si="147"/>
        <v>0</v>
      </c>
      <c r="G744" s="24" t="str">
        <f t="shared" si="148"/>
        <v>JILBEE5368NY</v>
      </c>
      <c r="H744" s="24">
        <f t="shared" si="149"/>
        <v>1</v>
      </c>
      <c r="I744" s="24" t="str">
        <f t="shared" si="150"/>
        <v/>
      </c>
      <c r="J744" s="24">
        <f t="shared" si="151"/>
        <v>0</v>
      </c>
      <c r="K744" s="24" t="str">
        <f t="shared" si="152"/>
        <v>E5</v>
      </c>
      <c r="L744" s="24" t="str">
        <f>VLOOKUP(N744,CODE!K:P,CODE!$P$1,FALSE)</f>
        <v>모자</v>
      </c>
      <c r="M744" s="24" t="str">
        <f>VLOOKUP(MID(Q744,1,3),CODE!$B:$G,CODE!D$1,FALSE)</f>
        <v>JIL</v>
      </c>
      <c r="N744" s="24" t="str">
        <f t="shared" si="153"/>
        <v>BE</v>
      </c>
      <c r="O744" s="29" t="str">
        <f>IF(ISERROR(IF(VLOOKUP($N744,CODE!$K:$P,CODE!$O$1,FALSE)="",$M744,$M744&amp;"-"&amp;VLOOKUP($N744,CODE!$K:$P,CODE!$O$1,FALSE)))=TRUE,"",IF(VLOOKUP($N744,CODE!$K:$P,CODE!$O$1,FALSE)="",$M744,$M744&amp;"-"&amp;VLOOKUP($N744,CODE!$K:$P,CODE!$O$1,FALSE)))</f>
        <v>JIL</v>
      </c>
      <c r="P744" s="29" t="str">
        <f t="shared" si="154"/>
        <v>JILBEE5368</v>
      </c>
      <c r="Q744" s="1" t="s">
        <v>1523</v>
      </c>
      <c r="R744" s="1" t="s">
        <v>14</v>
      </c>
      <c r="S744" s="26">
        <v>800</v>
      </c>
      <c r="T744" s="26">
        <v>31200000</v>
      </c>
      <c r="U744" s="26">
        <v>4727272.7272727266</v>
      </c>
      <c r="V744" s="26">
        <v>6</v>
      </c>
      <c r="W744" s="26">
        <v>0</v>
      </c>
      <c r="X744" s="26">
        <v>800</v>
      </c>
    </row>
    <row r="745" spans="1:24">
      <c r="A745" s="24" t="str">
        <f t="shared" si="143"/>
        <v>신규</v>
      </c>
      <c r="B745" s="24" t="str">
        <f>IF(COUNTIF(Q$1:Q744,Q745)=0,"최초","리오더")</f>
        <v>최초</v>
      </c>
      <c r="C745" s="24" t="str">
        <f t="shared" si="144"/>
        <v>JILEBE5369</v>
      </c>
      <c r="D745" s="24">
        <f t="shared" si="145"/>
        <v>0.33333333333333331</v>
      </c>
      <c r="E745" s="24" t="str">
        <f t="shared" si="146"/>
        <v/>
      </c>
      <c r="F745" s="24">
        <f t="shared" si="147"/>
        <v>0</v>
      </c>
      <c r="G745" s="24" t="str">
        <f t="shared" si="148"/>
        <v>JILEBE5369KH</v>
      </c>
      <c r="H745" s="24">
        <f t="shared" si="149"/>
        <v>1</v>
      </c>
      <c r="I745" s="24" t="str">
        <f t="shared" si="150"/>
        <v/>
      </c>
      <c r="J745" s="24">
        <f t="shared" si="151"/>
        <v>0</v>
      </c>
      <c r="K745" s="24" t="str">
        <f t="shared" si="152"/>
        <v>E5</v>
      </c>
      <c r="L745" s="24" t="str">
        <f>VLOOKUP(N745,CODE!K:P,CODE!$P$1,FALSE)</f>
        <v>모자</v>
      </c>
      <c r="M745" s="24" t="str">
        <f>VLOOKUP(MID(Q745,1,3),CODE!$B:$G,CODE!D$1,FALSE)</f>
        <v>JIL</v>
      </c>
      <c r="N745" s="24" t="str">
        <f t="shared" si="153"/>
        <v>EB</v>
      </c>
      <c r="O745" s="29" t="str">
        <f>IF(ISERROR(IF(VLOOKUP($N745,CODE!$K:$P,CODE!$O$1,FALSE)="",$M745,$M745&amp;"-"&amp;VLOOKUP($N745,CODE!$K:$P,CODE!$O$1,FALSE)))=TRUE,"",IF(VLOOKUP($N745,CODE!$K:$P,CODE!$O$1,FALSE)="",$M745,$M745&amp;"-"&amp;VLOOKUP($N745,CODE!$K:$P,CODE!$O$1,FALSE)))</f>
        <v>JIL</v>
      </c>
      <c r="P745" s="29" t="str">
        <f t="shared" si="154"/>
        <v>JILEBE5369</v>
      </c>
      <c r="Q745" s="1" t="s">
        <v>1524</v>
      </c>
      <c r="R745" s="1" t="s">
        <v>14</v>
      </c>
      <c r="S745" s="26">
        <v>700</v>
      </c>
      <c r="T745" s="26">
        <v>31500000</v>
      </c>
      <c r="U745" s="26">
        <v>4772727.2727272715</v>
      </c>
      <c r="V745" s="26">
        <v>6.0000000000000009</v>
      </c>
      <c r="W745" s="26">
        <v>0</v>
      </c>
      <c r="X745" s="26">
        <v>700</v>
      </c>
    </row>
    <row r="746" spans="1:24">
      <c r="A746" s="24" t="str">
        <f t="shared" si="143"/>
        <v>신규</v>
      </c>
      <c r="B746" s="24" t="str">
        <f>IF(COUNTIF(Q$1:Q745,Q746)=0,"최초","리오더")</f>
        <v>최초</v>
      </c>
      <c r="C746" s="24" t="str">
        <f t="shared" si="144"/>
        <v>JILEBE5369</v>
      </c>
      <c r="D746" s="24">
        <f t="shared" si="145"/>
        <v>0.33333333333333331</v>
      </c>
      <c r="E746" s="24" t="str">
        <f t="shared" si="146"/>
        <v/>
      </c>
      <c r="F746" s="24">
        <f t="shared" si="147"/>
        <v>0</v>
      </c>
      <c r="G746" s="24" t="str">
        <f t="shared" si="148"/>
        <v>JILEBE5369GY</v>
      </c>
      <c r="H746" s="24">
        <f t="shared" si="149"/>
        <v>1</v>
      </c>
      <c r="I746" s="24" t="str">
        <f t="shared" si="150"/>
        <v/>
      </c>
      <c r="J746" s="24">
        <f t="shared" si="151"/>
        <v>0</v>
      </c>
      <c r="K746" s="24" t="str">
        <f t="shared" si="152"/>
        <v>E5</v>
      </c>
      <c r="L746" s="24" t="str">
        <f>VLOOKUP(N746,CODE!K:P,CODE!$P$1,FALSE)</f>
        <v>모자</v>
      </c>
      <c r="M746" s="24" t="str">
        <f>VLOOKUP(MID(Q746,1,3),CODE!$B:$G,CODE!D$1,FALSE)</f>
        <v>JIL</v>
      </c>
      <c r="N746" s="24" t="str">
        <f t="shared" si="153"/>
        <v>EB</v>
      </c>
      <c r="O746" s="29" t="str">
        <f>IF(ISERROR(IF(VLOOKUP($N746,CODE!$K:$P,CODE!$O$1,FALSE)="",$M746,$M746&amp;"-"&amp;VLOOKUP($N746,CODE!$K:$P,CODE!$O$1,FALSE)))=TRUE,"",IF(VLOOKUP($N746,CODE!$K:$P,CODE!$O$1,FALSE)="",$M746,$M746&amp;"-"&amp;VLOOKUP($N746,CODE!$K:$P,CODE!$O$1,FALSE)))</f>
        <v>JIL</v>
      </c>
      <c r="P746" s="29" t="str">
        <f t="shared" si="154"/>
        <v>JILEBE5369</v>
      </c>
      <c r="Q746" s="1" t="s">
        <v>1525</v>
      </c>
      <c r="R746" s="1" t="s">
        <v>14</v>
      </c>
      <c r="S746" s="26">
        <v>700</v>
      </c>
      <c r="T746" s="26">
        <v>31500000</v>
      </c>
      <c r="U746" s="26">
        <v>4772727.2727272715</v>
      </c>
      <c r="V746" s="26">
        <v>6.0000000000000009</v>
      </c>
      <c r="W746" s="26">
        <v>0</v>
      </c>
      <c r="X746" s="26">
        <v>700</v>
      </c>
    </row>
    <row r="747" spans="1:24">
      <c r="A747" s="24" t="str">
        <f t="shared" si="143"/>
        <v>신규</v>
      </c>
      <c r="B747" s="24" t="str">
        <f>IF(COUNTIF(Q$1:Q746,Q747)=0,"최초","리오더")</f>
        <v>최초</v>
      </c>
      <c r="C747" s="24" t="str">
        <f t="shared" si="144"/>
        <v>JILEBE5369</v>
      </c>
      <c r="D747" s="24">
        <f t="shared" si="145"/>
        <v>0.33333333333333331</v>
      </c>
      <c r="E747" s="24" t="str">
        <f t="shared" si="146"/>
        <v/>
      </c>
      <c r="F747" s="24">
        <f t="shared" si="147"/>
        <v>0</v>
      </c>
      <c r="G747" s="24" t="str">
        <f t="shared" si="148"/>
        <v>JILEBE5369NY</v>
      </c>
      <c r="H747" s="24">
        <f t="shared" si="149"/>
        <v>1</v>
      </c>
      <c r="I747" s="24" t="str">
        <f t="shared" si="150"/>
        <v/>
      </c>
      <c r="J747" s="24">
        <f t="shared" si="151"/>
        <v>0</v>
      </c>
      <c r="K747" s="24" t="str">
        <f t="shared" si="152"/>
        <v>E5</v>
      </c>
      <c r="L747" s="24" t="str">
        <f>VLOOKUP(N747,CODE!K:P,CODE!$P$1,FALSE)</f>
        <v>모자</v>
      </c>
      <c r="M747" s="24" t="str">
        <f>VLOOKUP(MID(Q747,1,3),CODE!$B:$G,CODE!D$1,FALSE)</f>
        <v>JIL</v>
      </c>
      <c r="N747" s="24" t="str">
        <f t="shared" si="153"/>
        <v>EB</v>
      </c>
      <c r="O747" s="29" t="str">
        <f>IF(ISERROR(IF(VLOOKUP($N747,CODE!$K:$P,CODE!$O$1,FALSE)="",$M747,$M747&amp;"-"&amp;VLOOKUP($N747,CODE!$K:$P,CODE!$O$1,FALSE)))=TRUE,"",IF(VLOOKUP($N747,CODE!$K:$P,CODE!$O$1,FALSE)="",$M747,$M747&amp;"-"&amp;VLOOKUP($N747,CODE!$K:$P,CODE!$O$1,FALSE)))</f>
        <v>JIL</v>
      </c>
      <c r="P747" s="29" t="str">
        <f t="shared" si="154"/>
        <v>JILEBE5369</v>
      </c>
      <c r="Q747" s="1" t="s">
        <v>1526</v>
      </c>
      <c r="R747" s="1" t="s">
        <v>14</v>
      </c>
      <c r="S747" s="26">
        <v>700</v>
      </c>
      <c r="T747" s="26">
        <v>31500000</v>
      </c>
      <c r="U747" s="26">
        <v>4772727.2727272715</v>
      </c>
      <c r="V747" s="26">
        <v>6.0000000000000009</v>
      </c>
      <c r="W747" s="26">
        <v>0</v>
      </c>
      <c r="X747" s="26">
        <v>700</v>
      </c>
    </row>
    <row r="748" spans="1:24">
      <c r="A748" s="24" t="str">
        <f t="shared" si="143"/>
        <v>신규</v>
      </c>
      <c r="B748" s="24" t="str">
        <f>IF(COUNTIF(Q$1:Q747,Q748)=0,"최초","리오더")</f>
        <v>최초</v>
      </c>
      <c r="C748" s="24" t="str">
        <f t="shared" si="144"/>
        <v>SMBFIE5352</v>
      </c>
      <c r="D748" s="24">
        <f t="shared" si="145"/>
        <v>1</v>
      </c>
      <c r="E748" s="24" t="str">
        <f t="shared" si="146"/>
        <v/>
      </c>
      <c r="F748" s="24">
        <f t="shared" si="147"/>
        <v>0</v>
      </c>
      <c r="G748" s="24" t="str">
        <f t="shared" si="148"/>
        <v>SMBFIE5352GY</v>
      </c>
      <c r="H748" s="24">
        <f t="shared" si="149"/>
        <v>1</v>
      </c>
      <c r="I748" s="24" t="str">
        <f t="shared" si="150"/>
        <v/>
      </c>
      <c r="J748" s="24">
        <f t="shared" si="151"/>
        <v>0</v>
      </c>
      <c r="K748" s="24" t="str">
        <f t="shared" si="152"/>
        <v>E5</v>
      </c>
      <c r="L748" s="24" t="str">
        <f>VLOOKUP(N748,CODE!K:P,CODE!$P$1,FALSE)</f>
        <v>모자</v>
      </c>
      <c r="M748" s="24" t="str">
        <f>VLOOKUP(MID(Q748,1,3),CODE!$B:$G,CODE!D$1,FALSE)</f>
        <v>SMB</v>
      </c>
      <c r="N748" s="24" t="str">
        <f t="shared" si="153"/>
        <v>FI</v>
      </c>
      <c r="O748" s="29" t="str">
        <f>IF(ISERROR(IF(VLOOKUP($N748,CODE!$K:$P,CODE!$O$1,FALSE)="",$M748,$M748&amp;"-"&amp;VLOOKUP($N748,CODE!$K:$P,CODE!$O$1,FALSE)))=TRUE,"",IF(VLOOKUP($N748,CODE!$K:$P,CODE!$O$1,FALSE)="",$M748,$M748&amp;"-"&amp;VLOOKUP($N748,CODE!$K:$P,CODE!$O$1,FALSE)))</f>
        <v>SMB</v>
      </c>
      <c r="P748" s="29" t="str">
        <f t="shared" si="154"/>
        <v>SMBFIE5352</v>
      </c>
      <c r="Q748" s="1" t="s">
        <v>1527</v>
      </c>
      <c r="R748" s="1" t="s">
        <v>14</v>
      </c>
      <c r="S748" s="26">
        <v>700</v>
      </c>
      <c r="T748" s="26">
        <v>31500000</v>
      </c>
      <c r="U748" s="26">
        <v>4232103.2</v>
      </c>
      <c r="V748" s="26">
        <v>6.7664615636886252</v>
      </c>
      <c r="W748" s="26">
        <v>0</v>
      </c>
      <c r="X748" s="26">
        <v>700</v>
      </c>
    </row>
    <row r="749" spans="1:24">
      <c r="A749" s="24" t="str">
        <f t="shared" si="143"/>
        <v>신규</v>
      </c>
      <c r="B749" s="24" t="str">
        <f>IF(COUNTIF(Q$1:Q748,Q749)=0,"최초","리오더")</f>
        <v>최초</v>
      </c>
      <c r="C749" s="24" t="str">
        <f t="shared" si="144"/>
        <v>SMBFIE3353</v>
      </c>
      <c r="D749" s="24">
        <f t="shared" si="145"/>
        <v>1</v>
      </c>
      <c r="E749" s="24" t="str">
        <f t="shared" si="146"/>
        <v/>
      </c>
      <c r="F749" s="24">
        <f t="shared" si="147"/>
        <v>0</v>
      </c>
      <c r="G749" s="24" t="str">
        <f t="shared" si="148"/>
        <v>SMBFIE3353RE</v>
      </c>
      <c r="H749" s="24">
        <f t="shared" si="149"/>
        <v>1</v>
      </c>
      <c r="I749" s="24" t="str">
        <f t="shared" si="150"/>
        <v/>
      </c>
      <c r="J749" s="24">
        <f t="shared" si="151"/>
        <v>0</v>
      </c>
      <c r="K749" s="24" t="str">
        <f t="shared" si="152"/>
        <v>E3</v>
      </c>
      <c r="L749" s="24" t="str">
        <f>VLOOKUP(N749,CODE!K:P,CODE!$P$1,FALSE)</f>
        <v>모자</v>
      </c>
      <c r="M749" s="24" t="str">
        <f>VLOOKUP(MID(Q749,1,3),CODE!$B:$G,CODE!D$1,FALSE)</f>
        <v>SMB</v>
      </c>
      <c r="N749" s="24" t="str">
        <f t="shared" si="153"/>
        <v>FI</v>
      </c>
      <c r="O749" s="29" t="str">
        <f>IF(ISERROR(IF(VLOOKUP($N749,CODE!$K:$P,CODE!$O$1,FALSE)="",$M749,$M749&amp;"-"&amp;VLOOKUP($N749,CODE!$K:$P,CODE!$O$1,FALSE)))=TRUE,"",IF(VLOOKUP($N749,CODE!$K:$P,CODE!$O$1,FALSE)="",$M749,$M749&amp;"-"&amp;VLOOKUP($N749,CODE!$K:$P,CODE!$O$1,FALSE)))</f>
        <v>SMB</v>
      </c>
      <c r="P749" s="29" t="str">
        <f t="shared" si="154"/>
        <v>SMBFIE3353</v>
      </c>
      <c r="Q749" s="1" t="s">
        <v>1528</v>
      </c>
      <c r="R749" s="1" t="s">
        <v>14</v>
      </c>
      <c r="S749" s="26">
        <v>500</v>
      </c>
      <c r="T749" s="26">
        <v>24500000</v>
      </c>
      <c r="U749" s="26">
        <v>2834944.0000000005</v>
      </c>
      <c r="V749" s="26">
        <v>7.8564963797264662</v>
      </c>
      <c r="W749" s="26">
        <v>0</v>
      </c>
      <c r="X749" s="26">
        <v>500</v>
      </c>
    </row>
    <row r="750" spans="1:24">
      <c r="A750" s="24" t="str">
        <f t="shared" si="143"/>
        <v>신규</v>
      </c>
      <c r="B750" s="24" t="str">
        <f>IF(COUNTIF(Q$1:Q749,Q750)=0,"최초","리오더")</f>
        <v>최초</v>
      </c>
      <c r="C750" s="24" t="str">
        <f t="shared" si="144"/>
        <v>SMBFIE3354</v>
      </c>
      <c r="D750" s="24">
        <f t="shared" si="145"/>
        <v>1</v>
      </c>
      <c r="E750" s="24" t="str">
        <f t="shared" si="146"/>
        <v/>
      </c>
      <c r="F750" s="24">
        <f t="shared" si="147"/>
        <v>0</v>
      </c>
      <c r="G750" s="24" t="str">
        <f t="shared" si="148"/>
        <v>SMBFIE3354BK</v>
      </c>
      <c r="H750" s="24">
        <f t="shared" si="149"/>
        <v>1</v>
      </c>
      <c r="I750" s="24" t="str">
        <f t="shared" si="150"/>
        <v/>
      </c>
      <c r="J750" s="24">
        <f t="shared" si="151"/>
        <v>0</v>
      </c>
      <c r="K750" s="24" t="str">
        <f t="shared" si="152"/>
        <v>E3</v>
      </c>
      <c r="L750" s="24" t="str">
        <f>VLOOKUP(N750,CODE!K:P,CODE!$P$1,FALSE)</f>
        <v>모자</v>
      </c>
      <c r="M750" s="24" t="str">
        <f>VLOOKUP(MID(Q750,1,3),CODE!$B:$G,CODE!D$1,FALSE)</f>
        <v>SMB</v>
      </c>
      <c r="N750" s="24" t="str">
        <f t="shared" si="153"/>
        <v>FI</v>
      </c>
      <c r="O750" s="29" t="str">
        <f>IF(ISERROR(IF(VLOOKUP($N750,CODE!$K:$P,CODE!$O$1,FALSE)="",$M750,$M750&amp;"-"&amp;VLOOKUP($N750,CODE!$K:$P,CODE!$O$1,FALSE)))=TRUE,"",IF(VLOOKUP($N750,CODE!$K:$P,CODE!$O$1,FALSE)="",$M750,$M750&amp;"-"&amp;VLOOKUP($N750,CODE!$K:$P,CODE!$O$1,FALSE)))</f>
        <v>SMB</v>
      </c>
      <c r="P750" s="29" t="str">
        <f t="shared" si="154"/>
        <v>SMBFIE3354</v>
      </c>
      <c r="Q750" s="1" t="s">
        <v>1529</v>
      </c>
      <c r="R750" s="1" t="s">
        <v>14</v>
      </c>
      <c r="S750" s="26">
        <v>1000</v>
      </c>
      <c r="T750" s="26">
        <v>49000000</v>
      </c>
      <c r="U750" s="26">
        <v>8091200.0000000009</v>
      </c>
      <c r="V750" s="26">
        <v>5.5054200298416225</v>
      </c>
      <c r="W750" s="26">
        <v>0</v>
      </c>
      <c r="X750" s="26">
        <v>1000</v>
      </c>
    </row>
    <row r="751" spans="1:24">
      <c r="A751" s="24" t="str">
        <f t="shared" si="143"/>
        <v>신규</v>
      </c>
      <c r="B751" s="24" t="str">
        <f>IF(COUNTIF(Q$1:Q750,Q751)=0,"최초","리오더")</f>
        <v>최초</v>
      </c>
      <c r="C751" s="24" t="str">
        <f t="shared" si="144"/>
        <v>SMBFIE3854</v>
      </c>
      <c r="D751" s="24">
        <f t="shared" si="145"/>
        <v>1</v>
      </c>
      <c r="E751" s="24" t="str">
        <f t="shared" si="146"/>
        <v/>
      </c>
      <c r="F751" s="24">
        <f t="shared" si="147"/>
        <v>0</v>
      </c>
      <c r="G751" s="24" t="str">
        <f t="shared" si="148"/>
        <v>SMBFIE3854BK</v>
      </c>
      <c r="H751" s="24">
        <f t="shared" si="149"/>
        <v>1</v>
      </c>
      <c r="I751" s="24" t="str">
        <f t="shared" si="150"/>
        <v/>
      </c>
      <c r="J751" s="24">
        <f t="shared" si="151"/>
        <v>0</v>
      </c>
      <c r="K751" s="24" t="str">
        <f t="shared" si="152"/>
        <v>E3</v>
      </c>
      <c r="L751" s="24" t="str">
        <f>VLOOKUP(N751,CODE!K:P,CODE!$P$1,FALSE)</f>
        <v>모자</v>
      </c>
      <c r="M751" s="24" t="str">
        <f>VLOOKUP(MID(Q751,1,3),CODE!$B:$G,CODE!D$1,FALSE)</f>
        <v>SMB</v>
      </c>
      <c r="N751" s="24" t="str">
        <f t="shared" si="153"/>
        <v>FI</v>
      </c>
      <c r="O751" s="29" t="str">
        <f>IF(ISERROR(IF(VLOOKUP($N751,CODE!$K:$P,CODE!$O$1,FALSE)="",$M751,$M751&amp;"-"&amp;VLOOKUP($N751,CODE!$K:$P,CODE!$O$1,FALSE)))=TRUE,"",IF(VLOOKUP($N751,CODE!$K:$P,CODE!$O$1,FALSE)="",$M751,$M751&amp;"-"&amp;VLOOKUP($N751,CODE!$K:$P,CODE!$O$1,FALSE)))</f>
        <v>SMB</v>
      </c>
      <c r="P751" s="29" t="str">
        <f t="shared" si="154"/>
        <v>SMBFIE3854</v>
      </c>
      <c r="Q751" s="1" t="s">
        <v>1530</v>
      </c>
      <c r="R751" s="1" t="s">
        <v>14</v>
      </c>
      <c r="S751" s="26">
        <v>1000</v>
      </c>
      <c r="T751" s="26">
        <v>45000000</v>
      </c>
      <c r="U751" s="26">
        <v>8091200.0000000009</v>
      </c>
      <c r="V751" s="26">
        <v>5.0559979865892455</v>
      </c>
      <c r="W751" s="26">
        <v>0</v>
      </c>
      <c r="X751" s="26">
        <v>1000</v>
      </c>
    </row>
    <row r="752" spans="1:24">
      <c r="A752" s="24" t="str">
        <f t="shared" si="143"/>
        <v>신규</v>
      </c>
      <c r="B752" s="24" t="str">
        <f>IF(COUNTIF(Q$1:Q751,Q752)=0,"최초","리오더")</f>
        <v>최초</v>
      </c>
      <c r="C752" s="24" t="str">
        <f t="shared" si="144"/>
        <v>SMBFIE5306</v>
      </c>
      <c r="D752" s="24">
        <f t="shared" si="145"/>
        <v>1</v>
      </c>
      <c r="E752" s="24" t="str">
        <f t="shared" si="146"/>
        <v/>
      </c>
      <c r="F752" s="24">
        <f t="shared" si="147"/>
        <v>0</v>
      </c>
      <c r="G752" s="24" t="str">
        <f t="shared" si="148"/>
        <v>SMBFIE5306CL</v>
      </c>
      <c r="H752" s="24">
        <f t="shared" si="149"/>
        <v>1</v>
      </c>
      <c r="I752" s="24" t="str">
        <f t="shared" si="150"/>
        <v/>
      </c>
      <c r="J752" s="24">
        <f t="shared" si="151"/>
        <v>0</v>
      </c>
      <c r="K752" s="24" t="str">
        <f t="shared" si="152"/>
        <v>E5</v>
      </c>
      <c r="L752" s="24" t="str">
        <f>VLOOKUP(N752,CODE!K:P,CODE!$P$1,FALSE)</f>
        <v>모자</v>
      </c>
      <c r="M752" s="24" t="str">
        <f>VLOOKUP(MID(Q752,1,3),CODE!$B:$G,CODE!D$1,FALSE)</f>
        <v>SMB</v>
      </c>
      <c r="N752" s="24" t="str">
        <f t="shared" si="153"/>
        <v>FI</v>
      </c>
      <c r="O752" s="29" t="str">
        <f>IF(ISERROR(IF(VLOOKUP($N752,CODE!$K:$P,CODE!$O$1,FALSE)="",$M752,$M752&amp;"-"&amp;VLOOKUP($N752,CODE!$K:$P,CODE!$O$1,FALSE)))=TRUE,"",IF(VLOOKUP($N752,CODE!$K:$P,CODE!$O$1,FALSE)="",$M752,$M752&amp;"-"&amp;VLOOKUP($N752,CODE!$K:$P,CODE!$O$1,FALSE)))</f>
        <v>SMB</v>
      </c>
      <c r="P752" s="29" t="str">
        <f t="shared" si="154"/>
        <v>SMBFIE5306</v>
      </c>
      <c r="Q752" s="1" t="s">
        <v>1531</v>
      </c>
      <c r="R752" s="1" t="s">
        <v>14</v>
      </c>
      <c r="S752" s="26">
        <v>700</v>
      </c>
      <c r="T752" s="26">
        <v>31500000</v>
      </c>
      <c r="U752" s="26">
        <v>3141195.1999999997</v>
      </c>
      <c r="V752" s="26">
        <v>9.116390995492301</v>
      </c>
      <c r="W752" s="26">
        <v>0</v>
      </c>
      <c r="X752" s="26">
        <v>700</v>
      </c>
    </row>
    <row r="753" spans="1:24">
      <c r="A753" s="24" t="str">
        <f t="shared" si="143"/>
        <v>신규</v>
      </c>
      <c r="B753" s="24" t="str">
        <f>IF(COUNTIF(Q$1:Q752,Q753)=0,"최초","리오더")</f>
        <v>최초</v>
      </c>
      <c r="C753" s="24" t="str">
        <f t="shared" si="144"/>
        <v>SMBFIE5307</v>
      </c>
      <c r="D753" s="24">
        <f t="shared" si="145"/>
        <v>1</v>
      </c>
      <c r="E753" s="24" t="str">
        <f t="shared" si="146"/>
        <v/>
      </c>
      <c r="F753" s="24">
        <f t="shared" si="147"/>
        <v>0</v>
      </c>
      <c r="G753" s="24" t="str">
        <f t="shared" si="148"/>
        <v>SMBFIE5307PK</v>
      </c>
      <c r="H753" s="24">
        <f t="shared" si="149"/>
        <v>1</v>
      </c>
      <c r="I753" s="24" t="str">
        <f t="shared" si="150"/>
        <v/>
      </c>
      <c r="J753" s="24">
        <f t="shared" si="151"/>
        <v>0</v>
      </c>
      <c r="K753" s="24" t="str">
        <f t="shared" si="152"/>
        <v>E5</v>
      </c>
      <c r="L753" s="24" t="str">
        <f>VLOOKUP(N753,CODE!K:P,CODE!$P$1,FALSE)</f>
        <v>모자</v>
      </c>
      <c r="M753" s="24" t="str">
        <f>VLOOKUP(MID(Q753,1,3),CODE!$B:$G,CODE!D$1,FALSE)</f>
        <v>SMB</v>
      </c>
      <c r="N753" s="24" t="str">
        <f t="shared" si="153"/>
        <v>FI</v>
      </c>
      <c r="O753" s="29" t="str">
        <f>IF(ISERROR(IF(VLOOKUP($N753,CODE!$K:$P,CODE!$O$1,FALSE)="",$M753,$M753&amp;"-"&amp;VLOOKUP($N753,CODE!$K:$P,CODE!$O$1,FALSE)))=TRUE,"",IF(VLOOKUP($N753,CODE!$K:$P,CODE!$O$1,FALSE)="",$M753,$M753&amp;"-"&amp;VLOOKUP($N753,CODE!$K:$P,CODE!$O$1,FALSE)))</f>
        <v>SMB</v>
      </c>
      <c r="P753" s="29" t="str">
        <f t="shared" si="154"/>
        <v>SMBFIE5307</v>
      </c>
      <c r="Q753" s="1" t="s">
        <v>1532</v>
      </c>
      <c r="R753" s="1" t="s">
        <v>14</v>
      </c>
      <c r="S753" s="26">
        <v>700</v>
      </c>
      <c r="T753" s="26">
        <v>31500000</v>
      </c>
      <c r="U753" s="26">
        <v>5338821.6000000006</v>
      </c>
      <c r="V753" s="26">
        <v>5.3637985649049655</v>
      </c>
      <c r="W753" s="26">
        <v>0</v>
      </c>
      <c r="X753" s="26">
        <v>700</v>
      </c>
    </row>
    <row r="754" spans="1:24">
      <c r="A754" s="24" t="str">
        <f t="shared" si="143"/>
        <v>신규</v>
      </c>
      <c r="B754" s="24" t="str">
        <f>IF(COUNTIF(Q$1:Q753,Q754)=0,"최초","리오더")</f>
        <v>최초</v>
      </c>
      <c r="C754" s="24" t="str">
        <f t="shared" si="144"/>
        <v>SMBERE5308</v>
      </c>
      <c r="D754" s="24">
        <f t="shared" si="145"/>
        <v>1</v>
      </c>
      <c r="E754" s="24" t="str">
        <f t="shared" si="146"/>
        <v/>
      </c>
      <c r="F754" s="24">
        <f t="shared" si="147"/>
        <v>0</v>
      </c>
      <c r="G754" s="24" t="str">
        <f t="shared" si="148"/>
        <v>SMBERE5308BW</v>
      </c>
      <c r="H754" s="24">
        <f t="shared" si="149"/>
        <v>1</v>
      </c>
      <c r="I754" s="24" t="str">
        <f t="shared" si="150"/>
        <v/>
      </c>
      <c r="J754" s="24">
        <f t="shared" si="151"/>
        <v>0</v>
      </c>
      <c r="K754" s="24" t="str">
        <f t="shared" si="152"/>
        <v>E5</v>
      </c>
      <c r="L754" s="24" t="str">
        <f>VLOOKUP(N754,CODE!K:P,CODE!$P$1,FALSE)</f>
        <v>모자</v>
      </c>
      <c r="M754" s="24" t="str">
        <f>VLOOKUP(MID(Q754,1,3),CODE!$B:$G,CODE!D$1,FALSE)</f>
        <v>SMB</v>
      </c>
      <c r="N754" s="24" t="str">
        <f t="shared" si="153"/>
        <v>ER</v>
      </c>
      <c r="O754" s="29" t="str">
        <f>IF(ISERROR(IF(VLOOKUP($N754,CODE!$K:$P,CODE!$O$1,FALSE)="",$M754,$M754&amp;"-"&amp;VLOOKUP($N754,CODE!$K:$P,CODE!$O$1,FALSE)))=TRUE,"",IF(VLOOKUP($N754,CODE!$K:$P,CODE!$O$1,FALSE)="",$M754,$M754&amp;"-"&amp;VLOOKUP($N754,CODE!$K:$P,CODE!$O$1,FALSE)))</f>
        <v>SMB</v>
      </c>
      <c r="P754" s="29" t="str">
        <f t="shared" si="154"/>
        <v>SMBERE5308</v>
      </c>
      <c r="Q754" s="1" t="s">
        <v>1533</v>
      </c>
      <c r="R754" s="1" t="s">
        <v>14</v>
      </c>
      <c r="S754" s="26">
        <v>500</v>
      </c>
      <c r="T754" s="26">
        <v>29500000</v>
      </c>
      <c r="U754" s="26">
        <v>3319944.0000000005</v>
      </c>
      <c r="V754" s="26">
        <v>8.0779018616524283</v>
      </c>
      <c r="W754" s="26">
        <v>0</v>
      </c>
      <c r="X754" s="26">
        <v>500</v>
      </c>
    </row>
    <row r="755" spans="1:24">
      <c r="A755" s="24" t="str">
        <f t="shared" si="143"/>
        <v>신규</v>
      </c>
      <c r="B755" s="24" t="str">
        <f>IF(COUNTIF(Q$1:Q754,Q755)=0,"최초","리오더")</f>
        <v>최초</v>
      </c>
      <c r="C755" s="24" t="str">
        <f t="shared" si="144"/>
        <v>SMBFIE5355</v>
      </c>
      <c r="D755" s="24">
        <f t="shared" si="145"/>
        <v>1</v>
      </c>
      <c r="E755" s="24" t="str">
        <f t="shared" si="146"/>
        <v/>
      </c>
      <c r="F755" s="24">
        <f t="shared" si="147"/>
        <v>0</v>
      </c>
      <c r="G755" s="24" t="str">
        <f t="shared" si="148"/>
        <v>SMBFIE5355OR</v>
      </c>
      <c r="H755" s="24">
        <f t="shared" si="149"/>
        <v>1</v>
      </c>
      <c r="I755" s="24" t="str">
        <f t="shared" si="150"/>
        <v/>
      </c>
      <c r="J755" s="24">
        <f t="shared" si="151"/>
        <v>0</v>
      </c>
      <c r="K755" s="24" t="str">
        <f t="shared" si="152"/>
        <v>E5</v>
      </c>
      <c r="L755" s="24" t="str">
        <f>VLOOKUP(N755,CODE!K:P,CODE!$P$1,FALSE)</f>
        <v>모자</v>
      </c>
      <c r="M755" s="24" t="str">
        <f>VLOOKUP(MID(Q755,1,3),CODE!$B:$G,CODE!D$1,FALSE)</f>
        <v>SMB</v>
      </c>
      <c r="N755" s="24" t="str">
        <f t="shared" si="153"/>
        <v>FI</v>
      </c>
      <c r="O755" s="29" t="str">
        <f>IF(ISERROR(IF(VLOOKUP($N755,CODE!$K:$P,CODE!$O$1,FALSE)="",$M755,$M755&amp;"-"&amp;VLOOKUP($N755,CODE!$K:$P,CODE!$O$1,FALSE)))=TRUE,"",IF(VLOOKUP($N755,CODE!$K:$P,CODE!$O$1,FALSE)="",$M755,$M755&amp;"-"&amp;VLOOKUP($N755,CODE!$K:$P,CODE!$O$1,FALSE)))</f>
        <v>SMB</v>
      </c>
      <c r="P755" s="29" t="str">
        <f t="shared" si="154"/>
        <v>SMBFIE5355</v>
      </c>
      <c r="Q755" s="1" t="s">
        <v>1534</v>
      </c>
      <c r="R755" s="1" t="s">
        <v>14</v>
      </c>
      <c r="S755" s="26">
        <v>700</v>
      </c>
      <c r="T755" s="26">
        <v>41300000</v>
      </c>
      <c r="U755" s="26">
        <v>4488994</v>
      </c>
      <c r="V755" s="26">
        <v>8.3638905611044567</v>
      </c>
      <c r="W755" s="26">
        <v>0</v>
      </c>
      <c r="X755" s="26">
        <v>700</v>
      </c>
    </row>
    <row r="756" spans="1:24">
      <c r="A756" s="24" t="str">
        <f t="shared" ref="A756:A801" si="155">IF(OR(MID(Q756,8,1)="3",MID(Q756,8,1)="8"),"신규","러닝")</f>
        <v>신규</v>
      </c>
      <c r="B756" s="24" t="str">
        <f>IF(COUNTIF(Q$1:Q755,Q756)=0,"최초","리오더")</f>
        <v>최초</v>
      </c>
      <c r="C756" s="24" t="str">
        <f t="shared" ref="C756:C801" si="156">IF($B756="리오더","",P756)</f>
        <v>SMBFIE5855</v>
      </c>
      <c r="D756" s="24">
        <f t="shared" ref="D756:D801" si="157">IF(C756="",0,1/COUNTIF(C:C,C756))</f>
        <v>1</v>
      </c>
      <c r="E756" s="24" t="str">
        <f t="shared" ref="E756:E801" si="158">IF($B756="리오더",P756,"")</f>
        <v/>
      </c>
      <c r="F756" s="24">
        <f t="shared" ref="F756:F801" si="159">IF(E756="",0,1/COUNTIF(E:E,E756))</f>
        <v>0</v>
      </c>
      <c r="G756" s="24" t="str">
        <f t="shared" ref="G756:G801" si="160">IF($B756="리오더","",Q756)</f>
        <v>SMBFIE5855OR</v>
      </c>
      <c r="H756" s="24">
        <f t="shared" ref="H756:H801" si="161">IF(G756="",0,1/COUNTIF(G:G,G756))</f>
        <v>1</v>
      </c>
      <c r="I756" s="24" t="str">
        <f t="shared" ref="I756:I801" si="162">IF($B756="리오더",Q756,"")</f>
        <v/>
      </c>
      <c r="J756" s="24">
        <f t="shared" ref="J756:J801" si="163">IF(I756="",0,1/COUNTIF(I:I,I756))</f>
        <v>0</v>
      </c>
      <c r="K756" s="24" t="str">
        <f t="shared" ref="K756:K801" si="164">MID(Q756,6,2)</f>
        <v>E5</v>
      </c>
      <c r="L756" s="24" t="str">
        <f>VLOOKUP(N756,CODE!K:P,CODE!$P$1,FALSE)</f>
        <v>모자</v>
      </c>
      <c r="M756" s="24" t="str">
        <f>VLOOKUP(MID(Q756,1,3),CODE!$B:$G,CODE!D$1,FALSE)</f>
        <v>SMB</v>
      </c>
      <c r="N756" s="24" t="str">
        <f t="shared" ref="N756:N801" si="165">MID(Q756,4,2)</f>
        <v>FI</v>
      </c>
      <c r="O756" s="29" t="str">
        <f>IF(ISERROR(IF(VLOOKUP($N756,CODE!$K:$P,CODE!$O$1,FALSE)="",$M756,$M756&amp;"-"&amp;VLOOKUP($N756,CODE!$K:$P,CODE!$O$1,FALSE)))=TRUE,"",IF(VLOOKUP($N756,CODE!$K:$P,CODE!$O$1,FALSE)="",$M756,$M756&amp;"-"&amp;VLOOKUP($N756,CODE!$K:$P,CODE!$O$1,FALSE)))</f>
        <v>SMB</v>
      </c>
      <c r="P756" s="29" t="str">
        <f t="shared" ref="P756:P801" si="166">MID(Q756,1,10)</f>
        <v>SMBFIE5855</v>
      </c>
      <c r="Q756" s="1" t="s">
        <v>1535</v>
      </c>
      <c r="R756" s="1" t="s">
        <v>14</v>
      </c>
      <c r="S756" s="26">
        <v>700</v>
      </c>
      <c r="T756" s="26">
        <v>38500000</v>
      </c>
      <c r="U756" s="26">
        <v>4488994</v>
      </c>
      <c r="V756" s="26">
        <v>7.7968471332329692</v>
      </c>
      <c r="W756" s="26">
        <v>0</v>
      </c>
      <c r="X756" s="26">
        <v>700</v>
      </c>
    </row>
    <row r="757" spans="1:24" hidden="1">
      <c r="A757" s="24" t="str">
        <f t="shared" si="155"/>
        <v>러닝</v>
      </c>
      <c r="B757" s="24" t="str">
        <f>IF(COUNTIF(Q$1:Q756,Q757)=0,"최초","리오더")</f>
        <v>리오더</v>
      </c>
      <c r="C757" s="24" t="str">
        <f t="shared" si="156"/>
        <v/>
      </c>
      <c r="D757" s="24">
        <f t="shared" si="157"/>
        <v>0</v>
      </c>
      <c r="E757" s="24" t="str">
        <f t="shared" si="158"/>
        <v>VBLBAE3216</v>
      </c>
      <c r="F757" s="24">
        <f t="shared" si="159"/>
        <v>0.25</v>
      </c>
      <c r="G757" s="24" t="str">
        <f t="shared" si="160"/>
        <v/>
      </c>
      <c r="H757" s="24">
        <f t="shared" si="161"/>
        <v>0</v>
      </c>
      <c r="I757" s="24" t="str">
        <f t="shared" si="162"/>
        <v>VBLBAE3216BK</v>
      </c>
      <c r="J757" s="24">
        <f t="shared" si="163"/>
        <v>0.5</v>
      </c>
      <c r="K757" s="24" t="str">
        <f t="shared" si="164"/>
        <v>E3</v>
      </c>
      <c r="L757" s="24" t="str">
        <f>VLOOKUP(N757,CODE!K:P,CODE!$P$1,FALSE)</f>
        <v>모자</v>
      </c>
      <c r="M757" s="24" t="str">
        <f>VLOOKUP(MID(Q757,1,3),CODE!$B:$G,CODE!D$1,FALSE)</f>
        <v>VBL</v>
      </c>
      <c r="N757" s="24" t="str">
        <f t="shared" si="165"/>
        <v>BA</v>
      </c>
      <c r="O757" s="29" t="str">
        <f>IF(ISERROR(IF(VLOOKUP($N757,CODE!$K:$P,CODE!$O$1,FALSE)="",$M757,$M757&amp;"-"&amp;VLOOKUP($N757,CODE!$K:$P,CODE!$O$1,FALSE)))=TRUE,"",IF(VLOOKUP($N757,CODE!$K:$P,CODE!$O$1,FALSE)="",$M757,$M757&amp;"-"&amp;VLOOKUP($N757,CODE!$K:$P,CODE!$O$1,FALSE)))</f>
        <v>VBL</v>
      </c>
      <c r="P757" s="29" t="str">
        <f t="shared" si="166"/>
        <v>VBLBAE3216</v>
      </c>
      <c r="Q757" s="1" t="s">
        <v>920</v>
      </c>
      <c r="R757" s="1" t="s">
        <v>14</v>
      </c>
      <c r="S757" s="26">
        <v>3000</v>
      </c>
      <c r="T757" s="26">
        <v>147000000</v>
      </c>
      <c r="U757" s="26">
        <v>33409090.909090906</v>
      </c>
      <c r="V757" s="26">
        <v>4</v>
      </c>
      <c r="W757" s="26">
        <v>0</v>
      </c>
      <c r="X757" s="26">
        <v>3000</v>
      </c>
    </row>
    <row r="758" spans="1:24" hidden="1">
      <c r="A758" s="24" t="str">
        <f t="shared" si="155"/>
        <v>러닝</v>
      </c>
      <c r="B758" s="24" t="str">
        <f>IF(COUNTIF(Q$1:Q757,Q758)=0,"최초","리오더")</f>
        <v>리오더</v>
      </c>
      <c r="C758" s="24" t="str">
        <f t="shared" si="156"/>
        <v/>
      </c>
      <c r="D758" s="24">
        <f t="shared" si="157"/>
        <v>0</v>
      </c>
      <c r="E758" s="24" t="str">
        <f t="shared" si="158"/>
        <v>VBLBAE3216</v>
      </c>
      <c r="F758" s="24">
        <f t="shared" si="159"/>
        <v>0.25</v>
      </c>
      <c r="G758" s="24" t="str">
        <f t="shared" si="160"/>
        <v/>
      </c>
      <c r="H758" s="24">
        <f t="shared" si="161"/>
        <v>0</v>
      </c>
      <c r="I758" s="24" t="str">
        <f t="shared" si="162"/>
        <v>VBLBAE3216GR</v>
      </c>
      <c r="J758" s="24">
        <f t="shared" si="163"/>
        <v>1</v>
      </c>
      <c r="K758" s="24" t="str">
        <f t="shared" si="164"/>
        <v>E3</v>
      </c>
      <c r="L758" s="24" t="str">
        <f>VLOOKUP(N758,CODE!K:P,CODE!$P$1,FALSE)</f>
        <v>모자</v>
      </c>
      <c r="M758" s="24" t="str">
        <f>VLOOKUP(MID(Q758,1,3),CODE!$B:$G,CODE!D$1,FALSE)</f>
        <v>VBL</v>
      </c>
      <c r="N758" s="24" t="str">
        <f t="shared" si="165"/>
        <v>BA</v>
      </c>
      <c r="O758" s="29" t="str">
        <f>IF(ISERROR(IF(VLOOKUP($N758,CODE!$K:$P,CODE!$O$1,FALSE)="",$M758,$M758&amp;"-"&amp;VLOOKUP($N758,CODE!$K:$P,CODE!$O$1,FALSE)))=TRUE,"",IF(VLOOKUP($N758,CODE!$K:$P,CODE!$O$1,FALSE)="",$M758,$M758&amp;"-"&amp;VLOOKUP($N758,CODE!$K:$P,CODE!$O$1,FALSE)))</f>
        <v>VBL</v>
      </c>
      <c r="P758" s="29" t="str">
        <f t="shared" si="166"/>
        <v>VBLBAE3216</v>
      </c>
      <c r="Q758" s="1" t="s">
        <v>1023</v>
      </c>
      <c r="R758" s="1" t="s">
        <v>14</v>
      </c>
      <c r="S758" s="26">
        <v>1000</v>
      </c>
      <c r="T758" s="26">
        <v>49000000</v>
      </c>
      <c r="U758" s="26">
        <v>11136363.636363637</v>
      </c>
      <c r="V758" s="26">
        <v>3.9999999999999996</v>
      </c>
      <c r="W758" s="26">
        <v>0</v>
      </c>
      <c r="X758" s="26">
        <v>1000</v>
      </c>
    </row>
    <row r="759" spans="1:24">
      <c r="A759" s="24" t="str">
        <f t="shared" si="155"/>
        <v>러닝</v>
      </c>
      <c r="B759" s="24" t="str">
        <f>IF(COUNTIF(Q$1:Q758,Q759)=0,"최초","리오더")</f>
        <v>최초</v>
      </c>
      <c r="C759" s="24" t="str">
        <f t="shared" si="156"/>
        <v>JILMIE3216</v>
      </c>
      <c r="D759" s="24">
        <f t="shared" si="157"/>
        <v>1</v>
      </c>
      <c r="E759" s="24" t="str">
        <f t="shared" si="158"/>
        <v/>
      </c>
      <c r="F759" s="24">
        <f t="shared" si="159"/>
        <v>0</v>
      </c>
      <c r="G759" s="24" t="str">
        <f t="shared" si="160"/>
        <v>JILMIE3216NY</v>
      </c>
      <c r="H759" s="24">
        <f t="shared" si="161"/>
        <v>1</v>
      </c>
      <c r="I759" s="24" t="str">
        <f t="shared" si="162"/>
        <v/>
      </c>
      <c r="J759" s="24">
        <f t="shared" si="163"/>
        <v>0</v>
      </c>
      <c r="K759" s="24" t="str">
        <f t="shared" si="164"/>
        <v>E3</v>
      </c>
      <c r="L759" s="24" t="str">
        <f>VLOOKUP(N759,CODE!K:P,CODE!$P$1,FALSE)</f>
        <v>모자</v>
      </c>
      <c r="M759" s="24" t="str">
        <f>VLOOKUP(MID(Q759,1,3),CODE!$B:$G,CODE!D$1,FALSE)</f>
        <v>JIL</v>
      </c>
      <c r="N759" s="24" t="str">
        <f t="shared" si="165"/>
        <v>MI</v>
      </c>
      <c r="O759" s="29" t="str">
        <f>IF(ISERROR(IF(VLOOKUP($N759,CODE!$K:$P,CODE!$O$1,FALSE)="",$M759,$M759&amp;"-"&amp;VLOOKUP($N759,CODE!$K:$P,CODE!$O$1,FALSE)))=TRUE,"",IF(VLOOKUP($N759,CODE!$K:$P,CODE!$O$1,FALSE)="",$M759,$M759&amp;"-"&amp;VLOOKUP($N759,CODE!$K:$P,CODE!$O$1,FALSE)))</f>
        <v>JIL</v>
      </c>
      <c r="P759" s="29" t="str">
        <f t="shared" si="166"/>
        <v>JILMIE3216</v>
      </c>
      <c r="Q759" s="1" t="s">
        <v>1536</v>
      </c>
      <c r="R759" s="1" t="s">
        <v>14</v>
      </c>
      <c r="S759" s="26">
        <v>1500</v>
      </c>
      <c r="T759" s="26">
        <v>64500000</v>
      </c>
      <c r="U759" s="26">
        <v>7596855</v>
      </c>
      <c r="V759" s="26">
        <v>7.7185050440430452</v>
      </c>
      <c r="W759" s="26">
        <v>0</v>
      </c>
      <c r="X759" s="26">
        <v>1500</v>
      </c>
    </row>
    <row r="760" spans="1:24">
      <c r="A760" s="24" t="str">
        <f t="shared" si="155"/>
        <v>러닝</v>
      </c>
      <c r="B760" s="24" t="str">
        <f>IF(COUNTIF(Q$1:Q759,Q760)=0,"최초","리오더")</f>
        <v>최초</v>
      </c>
      <c r="C760" s="24" t="str">
        <f t="shared" si="156"/>
        <v>ELSFIE3214</v>
      </c>
      <c r="D760" s="24">
        <f t="shared" si="157"/>
        <v>1</v>
      </c>
      <c r="E760" s="24" t="str">
        <f t="shared" si="158"/>
        <v/>
      </c>
      <c r="F760" s="24">
        <f t="shared" si="159"/>
        <v>0</v>
      </c>
      <c r="G760" s="24" t="str">
        <f t="shared" si="160"/>
        <v>ELSFIE3214GR</v>
      </c>
      <c r="H760" s="24">
        <f t="shared" si="161"/>
        <v>1</v>
      </c>
      <c r="I760" s="24" t="str">
        <f t="shared" si="162"/>
        <v/>
      </c>
      <c r="J760" s="24">
        <f t="shared" si="163"/>
        <v>0</v>
      </c>
      <c r="K760" s="24" t="str">
        <f t="shared" si="164"/>
        <v>E3</v>
      </c>
      <c r="L760" s="24" t="str">
        <f>VLOOKUP(N760,CODE!K:P,CODE!$P$1,FALSE)</f>
        <v>모자</v>
      </c>
      <c r="M760" s="24" t="str">
        <f>VLOOKUP(MID(Q760,1,3),CODE!$B:$G,CODE!D$1,FALSE)</f>
        <v>ELS</v>
      </c>
      <c r="N760" s="24" t="str">
        <f t="shared" si="165"/>
        <v>FI</v>
      </c>
      <c r="O760" s="29" t="str">
        <f>IF(ISERROR(IF(VLOOKUP($N760,CODE!$K:$P,CODE!$O$1,FALSE)="",$M760,$M760&amp;"-"&amp;VLOOKUP($N760,CODE!$K:$P,CODE!$O$1,FALSE)))=TRUE,"",IF(VLOOKUP($N760,CODE!$K:$P,CODE!$O$1,FALSE)="",$M760,$M760&amp;"-"&amp;VLOOKUP($N760,CODE!$K:$P,CODE!$O$1,FALSE)))</f>
        <v>ELS</v>
      </c>
      <c r="P760" s="29" t="str">
        <f t="shared" si="166"/>
        <v>ELSFIE3214</v>
      </c>
      <c r="Q760" s="1" t="s">
        <v>1537</v>
      </c>
      <c r="R760" s="1" t="s">
        <v>14</v>
      </c>
      <c r="S760" s="26">
        <v>1000</v>
      </c>
      <c r="T760" s="26">
        <v>49000000</v>
      </c>
      <c r="U760" s="26">
        <v>5737250.0000000009</v>
      </c>
      <c r="V760" s="26">
        <v>7.7642519578987379</v>
      </c>
      <c r="W760" s="26">
        <v>0</v>
      </c>
      <c r="X760" s="26">
        <v>1000</v>
      </c>
    </row>
    <row r="761" spans="1:24">
      <c r="A761" s="24" t="str">
        <f t="shared" si="155"/>
        <v>러닝</v>
      </c>
      <c r="B761" s="24" t="str">
        <f>IF(COUNTIF(Q$1:Q760,Q761)=0,"최초","리오더")</f>
        <v>최초</v>
      </c>
      <c r="C761" s="24" t="str">
        <f t="shared" si="156"/>
        <v>ELSFIE3221</v>
      </c>
      <c r="D761" s="24">
        <f t="shared" si="157"/>
        <v>0.5</v>
      </c>
      <c r="E761" s="24" t="str">
        <f t="shared" si="158"/>
        <v/>
      </c>
      <c r="F761" s="24">
        <f t="shared" si="159"/>
        <v>0</v>
      </c>
      <c r="G761" s="24" t="str">
        <f t="shared" si="160"/>
        <v>ELSFIE3221MT</v>
      </c>
      <c r="H761" s="24">
        <f t="shared" si="161"/>
        <v>1</v>
      </c>
      <c r="I761" s="24" t="str">
        <f t="shared" si="162"/>
        <v/>
      </c>
      <c r="J761" s="24">
        <f t="shared" si="163"/>
        <v>0</v>
      </c>
      <c r="K761" s="24" t="str">
        <f t="shared" si="164"/>
        <v>E3</v>
      </c>
      <c r="L761" s="24" t="str">
        <f>VLOOKUP(N761,CODE!K:P,CODE!$P$1,FALSE)</f>
        <v>모자</v>
      </c>
      <c r="M761" s="24" t="str">
        <f>VLOOKUP(MID(Q761,1,3),CODE!$B:$G,CODE!D$1,FALSE)</f>
        <v>ELS</v>
      </c>
      <c r="N761" s="24" t="str">
        <f t="shared" si="165"/>
        <v>FI</v>
      </c>
      <c r="O761" s="29" t="str">
        <f>IF(ISERROR(IF(VLOOKUP($N761,CODE!$K:$P,CODE!$O$1,FALSE)="",$M761,$M761&amp;"-"&amp;VLOOKUP($N761,CODE!$K:$P,CODE!$O$1,FALSE)))=TRUE,"",IF(VLOOKUP($N761,CODE!$K:$P,CODE!$O$1,FALSE)="",$M761,$M761&amp;"-"&amp;VLOOKUP($N761,CODE!$K:$P,CODE!$O$1,FALSE)))</f>
        <v>ELS</v>
      </c>
      <c r="P761" s="29" t="str">
        <f t="shared" si="166"/>
        <v>ELSFIE3221</v>
      </c>
      <c r="Q761" s="1" t="s">
        <v>1538</v>
      </c>
      <c r="R761" s="1" t="s">
        <v>14</v>
      </c>
      <c r="S761" s="26">
        <v>700</v>
      </c>
      <c r="T761" s="26">
        <v>41300000</v>
      </c>
      <c r="U761" s="26">
        <v>8750000</v>
      </c>
      <c r="V761" s="26">
        <v>4.290909090909091</v>
      </c>
      <c r="W761" s="26">
        <v>0</v>
      </c>
      <c r="X761" s="26">
        <v>700</v>
      </c>
    </row>
    <row r="762" spans="1:24">
      <c r="A762" s="24" t="str">
        <f t="shared" si="155"/>
        <v>러닝</v>
      </c>
      <c r="B762" s="24" t="str">
        <f>IF(COUNTIF(Q$1:Q761,Q762)=0,"최초","리오더")</f>
        <v>최초</v>
      </c>
      <c r="C762" s="24" t="str">
        <f t="shared" si="156"/>
        <v>JILMIE3011</v>
      </c>
      <c r="D762" s="24">
        <f t="shared" si="157"/>
        <v>1</v>
      </c>
      <c r="E762" s="24" t="str">
        <f t="shared" si="158"/>
        <v/>
      </c>
      <c r="F762" s="24">
        <f t="shared" si="159"/>
        <v>0</v>
      </c>
      <c r="G762" s="24" t="str">
        <f t="shared" si="160"/>
        <v>JILMIE3011BK</v>
      </c>
      <c r="H762" s="24">
        <f t="shared" si="161"/>
        <v>1</v>
      </c>
      <c r="I762" s="24" t="str">
        <f t="shared" si="162"/>
        <v/>
      </c>
      <c r="J762" s="24">
        <f t="shared" si="163"/>
        <v>0</v>
      </c>
      <c r="K762" s="24" t="str">
        <f t="shared" si="164"/>
        <v>E3</v>
      </c>
      <c r="L762" s="24" t="str">
        <f>VLOOKUP(N762,CODE!K:P,CODE!$P$1,FALSE)</f>
        <v>모자</v>
      </c>
      <c r="M762" s="24" t="str">
        <f>VLOOKUP(MID(Q762,1,3),CODE!$B:$G,CODE!D$1,FALSE)</f>
        <v>JIL</v>
      </c>
      <c r="N762" s="24" t="str">
        <f t="shared" si="165"/>
        <v>MI</v>
      </c>
      <c r="O762" s="29" t="str">
        <f>IF(ISERROR(IF(VLOOKUP($N762,CODE!$K:$P,CODE!$O$1,FALSE)="",$M762,$M762&amp;"-"&amp;VLOOKUP($N762,CODE!$K:$P,CODE!$O$1,FALSE)))=TRUE,"",IF(VLOOKUP($N762,CODE!$K:$P,CODE!$O$1,FALSE)="",$M762,$M762&amp;"-"&amp;VLOOKUP($N762,CODE!$K:$P,CODE!$O$1,FALSE)))</f>
        <v>JIL</v>
      </c>
      <c r="P762" s="29" t="str">
        <f t="shared" si="166"/>
        <v>JILMIE3011</v>
      </c>
      <c r="Q762" s="1" t="s">
        <v>1539</v>
      </c>
      <c r="R762" s="1" t="s">
        <v>14</v>
      </c>
      <c r="S762" s="26">
        <v>1000</v>
      </c>
      <c r="T762" s="26">
        <v>45000000</v>
      </c>
      <c r="U762" s="26">
        <v>5955670</v>
      </c>
      <c r="V762" s="26">
        <v>6.8689317757852439</v>
      </c>
      <c r="W762" s="26">
        <v>0</v>
      </c>
      <c r="X762" s="26">
        <v>1000</v>
      </c>
    </row>
    <row r="763" spans="1:24">
      <c r="A763" s="24" t="str">
        <f t="shared" si="155"/>
        <v>러닝</v>
      </c>
      <c r="B763" s="85" t="s">
        <v>1811</v>
      </c>
      <c r="C763" s="24" t="str">
        <f t="shared" si="156"/>
        <v>JILMIE3152</v>
      </c>
      <c r="D763" s="24">
        <f t="shared" si="157"/>
        <v>0.2</v>
      </c>
      <c r="E763" s="24" t="str">
        <f t="shared" si="158"/>
        <v/>
      </c>
      <c r="F763" s="24">
        <f t="shared" si="159"/>
        <v>0</v>
      </c>
      <c r="G763" s="24" t="str">
        <f t="shared" si="160"/>
        <v>JILMIE3152BK</v>
      </c>
      <c r="H763" s="24">
        <f t="shared" si="161"/>
        <v>0.5</v>
      </c>
      <c r="I763" s="24" t="str">
        <f t="shared" si="162"/>
        <v/>
      </c>
      <c r="J763" s="24">
        <f t="shared" si="163"/>
        <v>0</v>
      </c>
      <c r="K763" s="24" t="str">
        <f t="shared" si="164"/>
        <v>E3</v>
      </c>
      <c r="L763" s="24" t="str">
        <f>VLOOKUP(N763,CODE!K:P,CODE!$P$1,FALSE)</f>
        <v>모자</v>
      </c>
      <c r="M763" s="24" t="str">
        <f>VLOOKUP(MID(Q763,1,3),CODE!$B:$G,CODE!D$1,FALSE)</f>
        <v>JIL</v>
      </c>
      <c r="N763" s="24" t="str">
        <f t="shared" si="165"/>
        <v>MI</v>
      </c>
      <c r="O763" s="29" t="str">
        <f>IF(ISERROR(IF(VLOOKUP($N763,CODE!$K:$P,CODE!$O$1,FALSE)="",$M763,$M763&amp;"-"&amp;VLOOKUP($N763,CODE!$K:$P,CODE!$O$1,FALSE)))=TRUE,"",IF(VLOOKUP($N763,CODE!$K:$P,CODE!$O$1,FALSE)="",$M763,$M763&amp;"-"&amp;VLOOKUP($N763,CODE!$K:$P,CODE!$O$1,FALSE)))</f>
        <v>JIL</v>
      </c>
      <c r="P763" s="29" t="str">
        <f t="shared" si="166"/>
        <v>JILMIE3152</v>
      </c>
      <c r="Q763" s="1" t="s">
        <v>1040</v>
      </c>
      <c r="R763" s="1" t="s">
        <v>14</v>
      </c>
      <c r="S763" s="26">
        <v>1000</v>
      </c>
      <c r="T763" s="26">
        <v>45000000</v>
      </c>
      <c r="U763" s="26">
        <v>6673590</v>
      </c>
      <c r="V763" s="26">
        <v>6.1299976338209126</v>
      </c>
      <c r="W763" s="26">
        <v>0</v>
      </c>
      <c r="X763" s="26">
        <v>1000</v>
      </c>
    </row>
    <row r="764" spans="1:24">
      <c r="A764" s="24" t="str">
        <f t="shared" si="155"/>
        <v>러닝</v>
      </c>
      <c r="B764" s="24" t="str">
        <f>IF(COUNTIF(Q$1:Q763,Q764)=0,"최초","리오더")</f>
        <v>최초</v>
      </c>
      <c r="C764" s="24" t="str">
        <f t="shared" si="156"/>
        <v>PLAUME3004</v>
      </c>
      <c r="D764" s="24">
        <f t="shared" si="157"/>
        <v>1</v>
      </c>
      <c r="E764" s="24" t="str">
        <f t="shared" si="158"/>
        <v/>
      </c>
      <c r="F764" s="24">
        <f t="shared" si="159"/>
        <v>0</v>
      </c>
      <c r="G764" s="24" t="str">
        <f t="shared" si="160"/>
        <v>PLAUME3004BL</v>
      </c>
      <c r="H764" s="24">
        <f t="shared" si="161"/>
        <v>1</v>
      </c>
      <c r="I764" s="24" t="str">
        <f t="shared" si="162"/>
        <v/>
      </c>
      <c r="J764" s="24">
        <f t="shared" si="163"/>
        <v>0</v>
      </c>
      <c r="K764" s="24" t="str">
        <f t="shared" si="164"/>
        <v>E3</v>
      </c>
      <c r="L764" s="24" t="str">
        <f>VLOOKUP(N764,CODE!K:P,CODE!$P$1,FALSE)</f>
        <v>모자</v>
      </c>
      <c r="M764" s="24" t="str">
        <f>VLOOKUP(MID(Q764,1,3),CODE!$B:$G,CODE!D$1,FALSE)</f>
        <v>PLA</v>
      </c>
      <c r="N764" s="24" t="str">
        <f t="shared" si="165"/>
        <v>UM</v>
      </c>
      <c r="O764" s="29" t="str">
        <f>IF(ISERROR(IF(VLOOKUP($N764,CODE!$K:$P,CODE!$O$1,FALSE)="",$M764,$M764&amp;"-"&amp;VLOOKUP($N764,CODE!$K:$P,CODE!$O$1,FALSE)))=TRUE,"",IF(VLOOKUP($N764,CODE!$K:$P,CODE!$O$1,FALSE)="",$M764,$M764&amp;"-"&amp;VLOOKUP($N764,CODE!$K:$P,CODE!$O$1,FALSE)))</f>
        <v>PLA</v>
      </c>
      <c r="P764" s="29" t="str">
        <f t="shared" si="166"/>
        <v>PLAUME3004</v>
      </c>
      <c r="Q764" s="1" t="s">
        <v>1130</v>
      </c>
      <c r="R764" s="1" t="s">
        <v>14</v>
      </c>
      <c r="S764" s="26">
        <v>500</v>
      </c>
      <c r="T764" s="26">
        <v>29500000</v>
      </c>
      <c r="U764" s="26">
        <v>3829518</v>
      </c>
      <c r="V764" s="26">
        <v>7.0030175646600465</v>
      </c>
      <c r="W764" s="26">
        <v>0</v>
      </c>
      <c r="X764" s="26">
        <v>500</v>
      </c>
    </row>
    <row r="765" spans="1:24">
      <c r="A765" s="24" t="str">
        <f t="shared" si="155"/>
        <v>신규</v>
      </c>
      <c r="B765" s="24" t="str">
        <f>IF(COUNTIF(Q$1:Q764,Q765)=0,"최초","리오더")</f>
        <v>최초</v>
      </c>
      <c r="C765" s="24" t="str">
        <f t="shared" si="156"/>
        <v>JOIMUE5316</v>
      </c>
      <c r="D765" s="24">
        <f t="shared" si="157"/>
        <v>1</v>
      </c>
      <c r="E765" s="24" t="str">
        <f t="shared" si="158"/>
        <v/>
      </c>
      <c r="F765" s="24">
        <f t="shared" si="159"/>
        <v>0</v>
      </c>
      <c r="G765" s="24" t="str">
        <f t="shared" si="160"/>
        <v>JOIMUE5316MT</v>
      </c>
      <c r="H765" s="24">
        <f t="shared" si="161"/>
        <v>1</v>
      </c>
      <c r="I765" s="24" t="str">
        <f t="shared" si="162"/>
        <v/>
      </c>
      <c r="J765" s="24">
        <f t="shared" si="163"/>
        <v>0</v>
      </c>
      <c r="K765" s="24" t="str">
        <f t="shared" si="164"/>
        <v>E5</v>
      </c>
      <c r="L765" s="24" t="str">
        <f>VLOOKUP(N765,CODE!K:P,CODE!$P$1,FALSE)</f>
        <v>ACC</v>
      </c>
      <c r="M765" s="24" t="str">
        <f>VLOOKUP(MID(Q765,1,3),CODE!$B:$G,CODE!D$1,FALSE)</f>
        <v>JOI</v>
      </c>
      <c r="N765" s="24" t="str">
        <f t="shared" si="165"/>
        <v>MU</v>
      </c>
      <c r="O765" s="29" t="str">
        <f>IF(ISERROR(IF(VLOOKUP($N765,CODE!$K:$P,CODE!$O$1,FALSE)="",$M765,$M765&amp;"-"&amp;VLOOKUP($N765,CODE!$K:$P,CODE!$O$1,FALSE)))=TRUE,"",IF(VLOOKUP($N765,CODE!$K:$P,CODE!$O$1,FALSE)="",$M765,$M765&amp;"-"&amp;VLOOKUP($N765,CODE!$K:$P,CODE!$O$1,FALSE)))</f>
        <v>JOI-ACC</v>
      </c>
      <c r="P765" s="29" t="str">
        <f t="shared" si="166"/>
        <v>JOIMUE5316</v>
      </c>
      <c r="Q765" s="1" t="s">
        <v>1540</v>
      </c>
      <c r="R765" s="1" t="s">
        <v>14</v>
      </c>
      <c r="S765" s="26">
        <v>300</v>
      </c>
      <c r="T765" s="26">
        <v>17700000</v>
      </c>
      <c r="U765" s="26">
        <v>3037182.0000000009</v>
      </c>
      <c r="V765" s="26">
        <v>5.2979732827697141</v>
      </c>
      <c r="W765" s="26">
        <v>0</v>
      </c>
      <c r="X765" s="26">
        <v>300</v>
      </c>
    </row>
    <row r="766" spans="1:24">
      <c r="A766" s="24" t="str">
        <f t="shared" si="155"/>
        <v>신규</v>
      </c>
      <c r="B766" s="24" t="str">
        <f>IF(COUNTIF(Q$1:Q765,Q766)=0,"최초","리오더")</f>
        <v>최초</v>
      </c>
      <c r="C766" s="24" t="str">
        <f t="shared" si="156"/>
        <v>JOIMUE5816</v>
      </c>
      <c r="D766" s="24">
        <f t="shared" si="157"/>
        <v>1</v>
      </c>
      <c r="E766" s="24" t="str">
        <f t="shared" si="158"/>
        <v/>
      </c>
      <c r="F766" s="24">
        <f t="shared" si="159"/>
        <v>0</v>
      </c>
      <c r="G766" s="24" t="str">
        <f t="shared" si="160"/>
        <v>JOIMUE5816MT</v>
      </c>
      <c r="H766" s="24">
        <f t="shared" si="161"/>
        <v>1</v>
      </c>
      <c r="I766" s="24" t="str">
        <f t="shared" si="162"/>
        <v/>
      </c>
      <c r="J766" s="24">
        <f t="shared" si="163"/>
        <v>0</v>
      </c>
      <c r="K766" s="24" t="str">
        <f t="shared" si="164"/>
        <v>E5</v>
      </c>
      <c r="L766" s="24" t="str">
        <f>VLOOKUP(N766,CODE!K:P,CODE!$P$1,FALSE)</f>
        <v>ACC</v>
      </c>
      <c r="M766" s="24" t="str">
        <f>VLOOKUP(MID(Q766,1,3),CODE!$B:$G,CODE!D$1,FALSE)</f>
        <v>JOI</v>
      </c>
      <c r="N766" s="24" t="str">
        <f t="shared" si="165"/>
        <v>MU</v>
      </c>
      <c r="O766" s="29" t="str">
        <f>IF(ISERROR(IF(VLOOKUP($N766,CODE!$K:$P,CODE!$O$1,FALSE)="",$M766,$M766&amp;"-"&amp;VLOOKUP($N766,CODE!$K:$P,CODE!$O$1,FALSE)))=TRUE,"",IF(VLOOKUP($N766,CODE!$K:$P,CODE!$O$1,FALSE)="",$M766,$M766&amp;"-"&amp;VLOOKUP($N766,CODE!$K:$P,CODE!$O$1,FALSE)))</f>
        <v>JOI-ACC</v>
      </c>
      <c r="P766" s="29" t="str">
        <f t="shared" si="166"/>
        <v>JOIMUE5816</v>
      </c>
      <c r="Q766" s="1" t="s">
        <v>1541</v>
      </c>
      <c r="R766" s="1" t="s">
        <v>14</v>
      </c>
      <c r="S766" s="26">
        <v>300</v>
      </c>
      <c r="T766" s="26">
        <v>16500000</v>
      </c>
      <c r="U766" s="26">
        <v>2625540.0000000005</v>
      </c>
      <c r="V766" s="26">
        <v>5.7131104458511377</v>
      </c>
      <c r="W766" s="26">
        <v>0</v>
      </c>
      <c r="X766" s="26">
        <v>300</v>
      </c>
    </row>
    <row r="767" spans="1:24">
      <c r="A767" s="24" t="str">
        <f t="shared" si="155"/>
        <v>신규</v>
      </c>
      <c r="B767" s="24" t="str">
        <f>IF(COUNTIF(Q$1:Q766,Q767)=0,"최초","리오더")</f>
        <v>최초</v>
      </c>
      <c r="C767" s="24" t="str">
        <f t="shared" si="156"/>
        <v>JOIEBE5317</v>
      </c>
      <c r="D767" s="24">
        <f t="shared" si="157"/>
        <v>1</v>
      </c>
      <c r="E767" s="24" t="str">
        <f t="shared" si="158"/>
        <v/>
      </c>
      <c r="F767" s="24">
        <f t="shared" si="159"/>
        <v>0</v>
      </c>
      <c r="G767" s="24" t="str">
        <f t="shared" si="160"/>
        <v>JOIEBE5317MT</v>
      </c>
      <c r="H767" s="24">
        <f t="shared" si="161"/>
        <v>1</v>
      </c>
      <c r="I767" s="24" t="str">
        <f t="shared" si="162"/>
        <v/>
      </c>
      <c r="J767" s="24">
        <f t="shared" si="163"/>
        <v>0</v>
      </c>
      <c r="K767" s="24" t="str">
        <f t="shared" si="164"/>
        <v>E5</v>
      </c>
      <c r="L767" s="24" t="str">
        <f>VLOOKUP(N767,CODE!K:P,CODE!$P$1,FALSE)</f>
        <v>모자</v>
      </c>
      <c r="M767" s="24" t="str">
        <f>VLOOKUP(MID(Q767,1,3),CODE!$B:$G,CODE!D$1,FALSE)</f>
        <v>JOI</v>
      </c>
      <c r="N767" s="24" t="str">
        <f t="shared" si="165"/>
        <v>EB</v>
      </c>
      <c r="O767" s="29" t="str">
        <f>IF(ISERROR(IF(VLOOKUP($N767,CODE!$K:$P,CODE!$O$1,FALSE)="",$M767,$M767&amp;"-"&amp;VLOOKUP($N767,CODE!$K:$P,CODE!$O$1,FALSE)))=TRUE,"",IF(VLOOKUP($N767,CODE!$K:$P,CODE!$O$1,FALSE)="",$M767,$M767&amp;"-"&amp;VLOOKUP($N767,CODE!$K:$P,CODE!$O$1,FALSE)))</f>
        <v>JOI</v>
      </c>
      <c r="P767" s="29" t="str">
        <f t="shared" si="166"/>
        <v>JOIEBE5317</v>
      </c>
      <c r="Q767" s="1" t="s">
        <v>1542</v>
      </c>
      <c r="R767" s="1" t="s">
        <v>14</v>
      </c>
      <c r="S767" s="26">
        <v>400</v>
      </c>
      <c r="T767" s="26">
        <v>23600000</v>
      </c>
      <c r="U767" s="26">
        <v>3500720.0000000005</v>
      </c>
      <c r="V767" s="26">
        <v>6.1286093873675842</v>
      </c>
      <c r="W767" s="26">
        <v>0</v>
      </c>
      <c r="X767" s="26">
        <v>400</v>
      </c>
    </row>
    <row r="768" spans="1:24">
      <c r="A768" s="24" t="str">
        <f t="shared" si="155"/>
        <v>신규</v>
      </c>
      <c r="B768" s="24" t="str">
        <f>IF(COUNTIF(Q$1:Q767,Q768)=0,"최초","리오더")</f>
        <v>최초</v>
      </c>
      <c r="C768" s="24" t="str">
        <f t="shared" si="156"/>
        <v>JOIEBE5817</v>
      </c>
      <c r="D768" s="24">
        <f t="shared" si="157"/>
        <v>1</v>
      </c>
      <c r="E768" s="24" t="str">
        <f t="shared" si="158"/>
        <v/>
      </c>
      <c r="F768" s="24">
        <f t="shared" si="159"/>
        <v>0</v>
      </c>
      <c r="G768" s="24" t="str">
        <f t="shared" si="160"/>
        <v>JOIEBE5817MT</v>
      </c>
      <c r="H768" s="24">
        <f t="shared" si="161"/>
        <v>1</v>
      </c>
      <c r="I768" s="24" t="str">
        <f t="shared" si="162"/>
        <v/>
      </c>
      <c r="J768" s="24">
        <f t="shared" si="163"/>
        <v>0</v>
      </c>
      <c r="K768" s="24" t="str">
        <f t="shared" si="164"/>
        <v>E5</v>
      </c>
      <c r="L768" s="24" t="str">
        <f>VLOOKUP(N768,CODE!K:P,CODE!$P$1,FALSE)</f>
        <v>모자</v>
      </c>
      <c r="M768" s="24" t="str">
        <f>VLOOKUP(MID(Q768,1,3),CODE!$B:$G,CODE!D$1,FALSE)</f>
        <v>JOI</v>
      </c>
      <c r="N768" s="24" t="str">
        <f t="shared" si="165"/>
        <v>EB</v>
      </c>
      <c r="O768" s="29" t="str">
        <f>IF(ISERROR(IF(VLOOKUP($N768,CODE!$K:$P,CODE!$O$1,FALSE)="",$M768,$M768&amp;"-"&amp;VLOOKUP($N768,CODE!$K:$P,CODE!$O$1,FALSE)))=TRUE,"",IF(VLOOKUP($N768,CODE!$K:$P,CODE!$O$1,FALSE)="",$M768,$M768&amp;"-"&amp;VLOOKUP($N768,CODE!$K:$P,CODE!$O$1,FALSE)))</f>
        <v>JOI</v>
      </c>
      <c r="P768" s="29" t="str">
        <f t="shared" si="166"/>
        <v>JOIEBE5817</v>
      </c>
      <c r="Q768" s="1" t="s">
        <v>1543</v>
      </c>
      <c r="R768" s="1" t="s">
        <v>14</v>
      </c>
      <c r="S768" s="26">
        <v>400</v>
      </c>
      <c r="T768" s="26">
        <v>22000000</v>
      </c>
      <c r="U768" s="26">
        <v>3333333.333333333</v>
      </c>
      <c r="V768" s="26">
        <v>6</v>
      </c>
      <c r="W768" s="26">
        <v>0</v>
      </c>
      <c r="X768" s="26">
        <v>400</v>
      </c>
    </row>
    <row r="769" spans="1:24">
      <c r="A769" s="24" t="str">
        <f t="shared" si="155"/>
        <v>신규</v>
      </c>
      <c r="B769" s="24" t="str">
        <f>IF(COUNTIF(Q$1:Q768,Q769)=0,"최초","리오더")</f>
        <v>최초</v>
      </c>
      <c r="C769" s="24" t="str">
        <f t="shared" si="156"/>
        <v>JOIMUE5818</v>
      </c>
      <c r="D769" s="24">
        <f t="shared" si="157"/>
        <v>1</v>
      </c>
      <c r="E769" s="24" t="str">
        <f t="shared" si="158"/>
        <v/>
      </c>
      <c r="F769" s="24">
        <f t="shared" si="159"/>
        <v>0</v>
      </c>
      <c r="G769" s="24" t="str">
        <f t="shared" si="160"/>
        <v>JOIMUE5818BL</v>
      </c>
      <c r="H769" s="24">
        <f t="shared" si="161"/>
        <v>1</v>
      </c>
      <c r="I769" s="24" t="str">
        <f t="shared" si="162"/>
        <v/>
      </c>
      <c r="J769" s="24">
        <f t="shared" si="163"/>
        <v>0</v>
      </c>
      <c r="K769" s="24" t="str">
        <f t="shared" si="164"/>
        <v>E5</v>
      </c>
      <c r="L769" s="24" t="str">
        <f>VLOOKUP(N769,CODE!K:P,CODE!$P$1,FALSE)</f>
        <v>ACC</v>
      </c>
      <c r="M769" s="24" t="str">
        <f>VLOOKUP(MID(Q769,1,3),CODE!$B:$G,CODE!D$1,FALSE)</f>
        <v>JOI</v>
      </c>
      <c r="N769" s="24" t="str">
        <f t="shared" si="165"/>
        <v>MU</v>
      </c>
      <c r="O769" s="29" t="str">
        <f>IF(ISERROR(IF(VLOOKUP($N769,CODE!$K:$P,CODE!$O$1,FALSE)="",$M769,$M769&amp;"-"&amp;VLOOKUP($N769,CODE!$K:$P,CODE!$O$1,FALSE)))=TRUE,"",IF(VLOOKUP($N769,CODE!$K:$P,CODE!$O$1,FALSE)="",$M769,$M769&amp;"-"&amp;VLOOKUP($N769,CODE!$K:$P,CODE!$O$1,FALSE)))</f>
        <v>JOI-ACC</v>
      </c>
      <c r="P769" s="29" t="str">
        <f t="shared" si="166"/>
        <v>JOIMUE5818</v>
      </c>
      <c r="Q769" s="1" t="s">
        <v>1544</v>
      </c>
      <c r="R769" s="1" t="s">
        <v>14</v>
      </c>
      <c r="S769" s="26">
        <v>300</v>
      </c>
      <c r="T769" s="26">
        <v>14700000</v>
      </c>
      <c r="U769" s="26">
        <v>3299136.0000000009</v>
      </c>
      <c r="V769" s="26">
        <v>4.0506473099733862</v>
      </c>
      <c r="W769" s="26">
        <v>0</v>
      </c>
      <c r="X769" s="26">
        <v>300</v>
      </c>
    </row>
    <row r="770" spans="1:24" hidden="1">
      <c r="A770" s="24" t="str">
        <f t="shared" si="155"/>
        <v>러닝</v>
      </c>
      <c r="B770" s="24" t="str">
        <f>IF(COUNTIF(Q$1:Q769,Q770)=0,"최초","리오더")</f>
        <v>리오더</v>
      </c>
      <c r="C770" s="24" t="str">
        <f t="shared" si="156"/>
        <v/>
      </c>
      <c r="D770" s="24">
        <f t="shared" si="157"/>
        <v>0</v>
      </c>
      <c r="E770" s="24" t="str">
        <f t="shared" si="158"/>
        <v>FFTFIE3208</v>
      </c>
      <c r="F770" s="24">
        <f t="shared" si="159"/>
        <v>0.25</v>
      </c>
      <c r="G770" s="24" t="str">
        <f t="shared" si="160"/>
        <v/>
      </c>
      <c r="H770" s="24">
        <f t="shared" si="161"/>
        <v>0</v>
      </c>
      <c r="I770" s="24" t="str">
        <f t="shared" si="162"/>
        <v>FFTFIE3208BK</v>
      </c>
      <c r="J770" s="24">
        <f t="shared" si="163"/>
        <v>0.5</v>
      </c>
      <c r="K770" s="24" t="str">
        <f t="shared" si="164"/>
        <v>E3</v>
      </c>
      <c r="L770" s="24" t="str">
        <f>VLOOKUP(N770,CODE!K:P,CODE!$P$1,FALSE)</f>
        <v>모자</v>
      </c>
      <c r="M770" s="24" t="str">
        <f>VLOOKUP(MID(Q770,1,3),CODE!$B:$G,CODE!D$1,FALSE)</f>
        <v>FFT</v>
      </c>
      <c r="N770" s="24" t="str">
        <f t="shared" si="165"/>
        <v>FI</v>
      </c>
      <c r="O770" s="29" t="str">
        <f>IF(ISERROR(IF(VLOOKUP($N770,CODE!$K:$P,CODE!$O$1,FALSE)="",$M770,$M770&amp;"-"&amp;VLOOKUP($N770,CODE!$K:$P,CODE!$O$1,FALSE)))=TRUE,"",IF(VLOOKUP($N770,CODE!$K:$P,CODE!$O$1,FALSE)="",$M770,$M770&amp;"-"&amp;VLOOKUP($N770,CODE!$K:$P,CODE!$O$1,FALSE)))</f>
        <v>FFT</v>
      </c>
      <c r="P770" s="29" t="str">
        <f t="shared" si="166"/>
        <v>FFTFIE3208</v>
      </c>
      <c r="Q770" s="1" t="s">
        <v>1464</v>
      </c>
      <c r="R770" s="1" t="s">
        <v>15</v>
      </c>
      <c r="S770" s="26">
        <v>70</v>
      </c>
      <c r="T770" s="26">
        <v>3430000</v>
      </c>
      <c r="U770" s="26">
        <v>1403181.8181818181</v>
      </c>
      <c r="V770" s="26">
        <v>2.2222222222222223</v>
      </c>
      <c r="W770" s="26">
        <v>70</v>
      </c>
      <c r="X770" s="26">
        <v>0</v>
      </c>
    </row>
    <row r="771" spans="1:24" hidden="1">
      <c r="A771" s="24" t="str">
        <f t="shared" si="155"/>
        <v>러닝</v>
      </c>
      <c r="B771" s="24" t="str">
        <f>IF(COUNTIF(Q$1:Q770,Q771)=0,"최초","리오더")</f>
        <v>리오더</v>
      </c>
      <c r="C771" s="24" t="str">
        <f t="shared" si="156"/>
        <v/>
      </c>
      <c r="D771" s="24">
        <f t="shared" si="157"/>
        <v>0</v>
      </c>
      <c r="E771" s="24" t="str">
        <f t="shared" si="158"/>
        <v>FFTFIE3208</v>
      </c>
      <c r="F771" s="24">
        <f t="shared" si="159"/>
        <v>0.25</v>
      </c>
      <c r="G771" s="24" t="str">
        <f t="shared" si="160"/>
        <v/>
      </c>
      <c r="H771" s="24">
        <f t="shared" si="161"/>
        <v>0</v>
      </c>
      <c r="I771" s="24" t="str">
        <f t="shared" si="162"/>
        <v>FFTFIE3208KH</v>
      </c>
      <c r="J771" s="24">
        <f t="shared" si="163"/>
        <v>1</v>
      </c>
      <c r="K771" s="24" t="str">
        <f t="shared" si="164"/>
        <v>E3</v>
      </c>
      <c r="L771" s="24" t="str">
        <f>VLOOKUP(N771,CODE!K:P,CODE!$P$1,FALSE)</f>
        <v>모자</v>
      </c>
      <c r="M771" s="24" t="str">
        <f>VLOOKUP(MID(Q771,1,3),CODE!$B:$G,CODE!D$1,FALSE)</f>
        <v>FFT</v>
      </c>
      <c r="N771" s="24" t="str">
        <f t="shared" si="165"/>
        <v>FI</v>
      </c>
      <c r="O771" s="29" t="str">
        <f>IF(ISERROR(IF(VLOOKUP($N771,CODE!$K:$P,CODE!$O$1,FALSE)="",$M771,$M771&amp;"-"&amp;VLOOKUP($N771,CODE!$K:$P,CODE!$O$1,FALSE)))=TRUE,"",IF(VLOOKUP($N771,CODE!$K:$P,CODE!$O$1,FALSE)="",$M771,$M771&amp;"-"&amp;VLOOKUP($N771,CODE!$K:$P,CODE!$O$1,FALSE)))</f>
        <v>FFT</v>
      </c>
      <c r="P771" s="29" t="str">
        <f t="shared" si="166"/>
        <v>FFTFIE3208</v>
      </c>
      <c r="Q771" s="1" t="s">
        <v>1465</v>
      </c>
      <c r="R771" s="1" t="s">
        <v>15</v>
      </c>
      <c r="S771" s="26">
        <v>35</v>
      </c>
      <c r="T771" s="26">
        <v>1715000</v>
      </c>
      <c r="U771" s="26">
        <v>701590.90909090906</v>
      </c>
      <c r="V771" s="26">
        <v>2.2222222222222223</v>
      </c>
      <c r="W771" s="26">
        <v>35</v>
      </c>
      <c r="X771" s="26">
        <v>0</v>
      </c>
    </row>
    <row r="772" spans="1:24">
      <c r="A772" s="24" t="str">
        <f t="shared" si="155"/>
        <v>러닝</v>
      </c>
      <c r="B772" s="24" t="str">
        <f>IF(COUNTIF(Q$1:Q771,Q772)=0,"최초","리오더")</f>
        <v>최초</v>
      </c>
      <c r="C772" s="24" t="str">
        <f t="shared" si="156"/>
        <v>FFTFIE3210</v>
      </c>
      <c r="D772" s="24">
        <f t="shared" si="157"/>
        <v>1</v>
      </c>
      <c r="E772" s="24" t="str">
        <f t="shared" si="158"/>
        <v/>
      </c>
      <c r="F772" s="24">
        <f t="shared" si="159"/>
        <v>0</v>
      </c>
      <c r="G772" s="24" t="str">
        <f t="shared" si="160"/>
        <v>FFTFIE3210BK</v>
      </c>
      <c r="H772" s="24">
        <f t="shared" si="161"/>
        <v>1</v>
      </c>
      <c r="I772" s="24" t="str">
        <f t="shared" si="162"/>
        <v/>
      </c>
      <c r="J772" s="24">
        <f t="shared" si="163"/>
        <v>0</v>
      </c>
      <c r="K772" s="24" t="str">
        <f t="shared" si="164"/>
        <v>E3</v>
      </c>
      <c r="L772" s="24" t="str">
        <f>VLOOKUP(N772,CODE!K:P,CODE!$P$1,FALSE)</f>
        <v>모자</v>
      </c>
      <c r="M772" s="24" t="str">
        <f>VLOOKUP(MID(Q772,1,3),CODE!$B:$G,CODE!D$1,FALSE)</f>
        <v>FFT</v>
      </c>
      <c r="N772" s="24" t="str">
        <f t="shared" si="165"/>
        <v>FI</v>
      </c>
      <c r="O772" s="29" t="str">
        <f>IF(ISERROR(IF(VLOOKUP($N772,CODE!$K:$P,CODE!$O$1,FALSE)="",$M772,$M772&amp;"-"&amp;VLOOKUP($N772,CODE!$K:$P,CODE!$O$1,FALSE)))=TRUE,"",IF(VLOOKUP($N772,CODE!$K:$P,CODE!$O$1,FALSE)="",$M772,$M772&amp;"-"&amp;VLOOKUP($N772,CODE!$K:$P,CODE!$O$1,FALSE)))</f>
        <v>FFT</v>
      </c>
      <c r="P772" s="29" t="str">
        <f t="shared" si="166"/>
        <v>FFTFIE3210</v>
      </c>
      <c r="Q772" s="1" t="s">
        <v>1545</v>
      </c>
      <c r="R772" s="1" t="s">
        <v>15</v>
      </c>
      <c r="S772" s="26">
        <v>70</v>
      </c>
      <c r="T772" s="26">
        <v>3430000</v>
      </c>
      <c r="U772" s="26">
        <v>1403181.8181818181</v>
      </c>
      <c r="V772" s="26">
        <v>2.2222222222222223</v>
      </c>
      <c r="W772" s="26">
        <v>70</v>
      </c>
      <c r="X772" s="26">
        <v>0</v>
      </c>
    </row>
    <row r="773" spans="1:24">
      <c r="A773" s="24" t="str">
        <f t="shared" si="155"/>
        <v>러닝</v>
      </c>
      <c r="B773" s="24" t="str">
        <f>IF(COUNTIF(Q$1:Q772,Q773)=0,"최초","리오더")</f>
        <v>최초</v>
      </c>
      <c r="C773" s="24" t="str">
        <f t="shared" si="156"/>
        <v>FFTFIE3239</v>
      </c>
      <c r="D773" s="24">
        <f t="shared" si="157"/>
        <v>1</v>
      </c>
      <c r="E773" s="24" t="str">
        <f t="shared" si="158"/>
        <v/>
      </c>
      <c r="F773" s="24">
        <f t="shared" si="159"/>
        <v>0</v>
      </c>
      <c r="G773" s="24" t="str">
        <f t="shared" si="160"/>
        <v>FFTFIE3239RE</v>
      </c>
      <c r="H773" s="24">
        <f t="shared" si="161"/>
        <v>1</v>
      </c>
      <c r="I773" s="24" t="str">
        <f t="shared" si="162"/>
        <v/>
      </c>
      <c r="J773" s="24">
        <f t="shared" si="163"/>
        <v>0</v>
      </c>
      <c r="K773" s="24" t="str">
        <f t="shared" si="164"/>
        <v>E3</v>
      </c>
      <c r="L773" s="24" t="str">
        <f>VLOOKUP(N773,CODE!K:P,CODE!$P$1,FALSE)</f>
        <v>모자</v>
      </c>
      <c r="M773" s="24" t="str">
        <f>VLOOKUP(MID(Q773,1,3),CODE!$B:$G,CODE!D$1,FALSE)</f>
        <v>FFT</v>
      </c>
      <c r="N773" s="24" t="str">
        <f t="shared" si="165"/>
        <v>FI</v>
      </c>
      <c r="O773" s="29" t="str">
        <f>IF(ISERROR(IF(VLOOKUP($N773,CODE!$K:$P,CODE!$O$1,FALSE)="",$M773,$M773&amp;"-"&amp;VLOOKUP($N773,CODE!$K:$P,CODE!$O$1,FALSE)))=TRUE,"",IF(VLOOKUP($N773,CODE!$K:$P,CODE!$O$1,FALSE)="",$M773,$M773&amp;"-"&amp;VLOOKUP($N773,CODE!$K:$P,CODE!$O$1,FALSE)))</f>
        <v>FFT</v>
      </c>
      <c r="P773" s="29" t="str">
        <f t="shared" si="166"/>
        <v>FFTFIE3239</v>
      </c>
      <c r="Q773" s="1" t="s">
        <v>1546</v>
      </c>
      <c r="R773" s="1" t="s">
        <v>15</v>
      </c>
      <c r="S773" s="26">
        <v>35</v>
      </c>
      <c r="T773" s="26">
        <v>1715000</v>
      </c>
      <c r="U773" s="26">
        <v>701590.90909090906</v>
      </c>
      <c r="V773" s="26">
        <v>2.2222222222222223</v>
      </c>
      <c r="W773" s="26">
        <v>35</v>
      </c>
      <c r="X773" s="26">
        <v>0</v>
      </c>
    </row>
    <row r="774" spans="1:24">
      <c r="A774" s="24" t="str">
        <f t="shared" si="155"/>
        <v>러닝</v>
      </c>
      <c r="B774" s="24" t="str">
        <f>IF(COUNTIF(Q$1:Q773,Q774)=0,"최초","리오더")</f>
        <v>최초</v>
      </c>
      <c r="C774" s="24" t="str">
        <f t="shared" si="156"/>
        <v>FFTFIE3225</v>
      </c>
      <c r="D774" s="24">
        <f t="shared" si="157"/>
        <v>1</v>
      </c>
      <c r="E774" s="24" t="str">
        <f t="shared" si="158"/>
        <v/>
      </c>
      <c r="F774" s="24">
        <f t="shared" si="159"/>
        <v>0</v>
      </c>
      <c r="G774" s="24" t="str">
        <f t="shared" si="160"/>
        <v>FFTFIE3225AR</v>
      </c>
      <c r="H774" s="24">
        <f t="shared" si="161"/>
        <v>1</v>
      </c>
      <c r="I774" s="24" t="str">
        <f t="shared" si="162"/>
        <v/>
      </c>
      <c r="J774" s="24">
        <f t="shared" si="163"/>
        <v>0</v>
      </c>
      <c r="K774" s="24" t="str">
        <f t="shared" si="164"/>
        <v>E3</v>
      </c>
      <c r="L774" s="24" t="str">
        <f>VLOOKUP(N774,CODE!K:P,CODE!$P$1,FALSE)</f>
        <v>모자</v>
      </c>
      <c r="M774" s="24" t="str">
        <f>VLOOKUP(MID(Q774,1,3),CODE!$B:$G,CODE!D$1,FALSE)</f>
        <v>FFT</v>
      </c>
      <c r="N774" s="24" t="str">
        <f t="shared" si="165"/>
        <v>FI</v>
      </c>
      <c r="O774" s="29" t="str">
        <f>IF(ISERROR(IF(VLOOKUP($N774,CODE!$K:$P,CODE!$O$1,FALSE)="",$M774,$M774&amp;"-"&amp;VLOOKUP($N774,CODE!$K:$P,CODE!$O$1,FALSE)))=TRUE,"",IF(VLOOKUP($N774,CODE!$K:$P,CODE!$O$1,FALSE)="",$M774,$M774&amp;"-"&amp;VLOOKUP($N774,CODE!$K:$P,CODE!$O$1,FALSE)))</f>
        <v>FFT</v>
      </c>
      <c r="P774" s="29" t="str">
        <f t="shared" si="166"/>
        <v>FFTFIE3225</v>
      </c>
      <c r="Q774" s="1" t="s">
        <v>1547</v>
      </c>
      <c r="R774" s="1" t="s">
        <v>15</v>
      </c>
      <c r="S774" s="26">
        <v>80</v>
      </c>
      <c r="T774" s="26">
        <v>3920000</v>
      </c>
      <c r="U774" s="26">
        <v>1603636.3636363635</v>
      </c>
      <c r="V774" s="26">
        <v>2.2222222222222223</v>
      </c>
      <c r="W774" s="26">
        <v>80</v>
      </c>
      <c r="X774" s="26">
        <v>0</v>
      </c>
    </row>
    <row r="775" spans="1:24" hidden="1">
      <c r="A775" s="24" t="str">
        <f t="shared" si="155"/>
        <v>러닝</v>
      </c>
      <c r="B775" s="24" t="str">
        <f>IF(COUNTIF(Q$1:Q774,Q775)=0,"최초","리오더")</f>
        <v>리오더</v>
      </c>
      <c r="C775" s="24" t="str">
        <f t="shared" si="156"/>
        <v/>
      </c>
      <c r="D775" s="24">
        <f t="shared" si="157"/>
        <v>0</v>
      </c>
      <c r="E775" s="24" t="str">
        <f t="shared" si="158"/>
        <v>FFTFIE3211</v>
      </c>
      <c r="F775" s="24">
        <f t="shared" si="159"/>
        <v>0.5</v>
      </c>
      <c r="G775" s="24" t="str">
        <f t="shared" si="160"/>
        <v/>
      </c>
      <c r="H775" s="24">
        <f t="shared" si="161"/>
        <v>0</v>
      </c>
      <c r="I775" s="24" t="str">
        <f t="shared" si="162"/>
        <v>FFTFIE3211RE</v>
      </c>
      <c r="J775" s="24">
        <f t="shared" si="163"/>
        <v>0.5</v>
      </c>
      <c r="K775" s="24" t="str">
        <f t="shared" si="164"/>
        <v>E3</v>
      </c>
      <c r="L775" s="24" t="str">
        <f>VLOOKUP(N775,CODE!K:P,CODE!$P$1,FALSE)</f>
        <v>모자</v>
      </c>
      <c r="M775" s="24" t="str">
        <f>VLOOKUP(MID(Q775,1,3),CODE!$B:$G,CODE!D$1,FALSE)</f>
        <v>FFT</v>
      </c>
      <c r="N775" s="24" t="str">
        <f t="shared" si="165"/>
        <v>FI</v>
      </c>
      <c r="O775" s="29" t="str">
        <f>IF(ISERROR(IF(VLOOKUP($N775,CODE!$K:$P,CODE!$O$1,FALSE)="",$M775,$M775&amp;"-"&amp;VLOOKUP($N775,CODE!$K:$P,CODE!$O$1,FALSE)))=TRUE,"",IF(VLOOKUP($N775,CODE!$K:$P,CODE!$O$1,FALSE)="",$M775,$M775&amp;"-"&amp;VLOOKUP($N775,CODE!$K:$P,CODE!$O$1,FALSE)))</f>
        <v>FFT</v>
      </c>
      <c r="P775" s="29" t="str">
        <f t="shared" si="166"/>
        <v>FFTFIE3211</v>
      </c>
      <c r="Q775" s="1" t="s">
        <v>1468</v>
      </c>
      <c r="R775" s="1" t="s">
        <v>15</v>
      </c>
      <c r="S775" s="26">
        <v>35</v>
      </c>
      <c r="T775" s="26">
        <v>1715000</v>
      </c>
      <c r="U775" s="26">
        <v>701590.90909090906</v>
      </c>
      <c r="V775" s="26">
        <v>2.2222222222222223</v>
      </c>
      <c r="W775" s="26">
        <v>35</v>
      </c>
      <c r="X775" s="26">
        <v>0</v>
      </c>
    </row>
    <row r="776" spans="1:24" hidden="1">
      <c r="A776" s="24" t="str">
        <f t="shared" si="155"/>
        <v>러닝</v>
      </c>
      <c r="B776" s="24" t="str">
        <f>IF(COUNTIF(Q$1:Q775,Q776)=0,"최초","리오더")</f>
        <v>리오더</v>
      </c>
      <c r="C776" s="24" t="str">
        <f t="shared" si="156"/>
        <v/>
      </c>
      <c r="D776" s="24">
        <f t="shared" si="157"/>
        <v>0</v>
      </c>
      <c r="E776" s="24" t="str">
        <f t="shared" si="158"/>
        <v>FFTFIE3235</v>
      </c>
      <c r="F776" s="24">
        <f t="shared" si="159"/>
        <v>0.5</v>
      </c>
      <c r="G776" s="24" t="str">
        <f t="shared" si="160"/>
        <v/>
      </c>
      <c r="H776" s="24">
        <f t="shared" si="161"/>
        <v>0</v>
      </c>
      <c r="I776" s="24" t="str">
        <f t="shared" si="162"/>
        <v>FFTFIE3235NY</v>
      </c>
      <c r="J776" s="24">
        <f t="shared" si="163"/>
        <v>0.5</v>
      </c>
      <c r="K776" s="24" t="str">
        <f t="shared" si="164"/>
        <v>E3</v>
      </c>
      <c r="L776" s="24" t="str">
        <f>VLOOKUP(N776,CODE!K:P,CODE!$P$1,FALSE)</f>
        <v>모자</v>
      </c>
      <c r="M776" s="24" t="str">
        <f>VLOOKUP(MID(Q776,1,3),CODE!$B:$G,CODE!D$1,FALSE)</f>
        <v>FFT</v>
      </c>
      <c r="N776" s="24" t="str">
        <f t="shared" si="165"/>
        <v>FI</v>
      </c>
      <c r="O776" s="29" t="str">
        <f>IF(ISERROR(IF(VLOOKUP($N776,CODE!$K:$P,CODE!$O$1,FALSE)="",$M776,$M776&amp;"-"&amp;VLOOKUP($N776,CODE!$K:$P,CODE!$O$1,FALSE)))=TRUE,"",IF(VLOOKUP($N776,CODE!$K:$P,CODE!$O$1,FALSE)="",$M776,$M776&amp;"-"&amp;VLOOKUP($N776,CODE!$K:$P,CODE!$O$1,FALSE)))</f>
        <v>FFT</v>
      </c>
      <c r="P776" s="29" t="str">
        <f t="shared" si="166"/>
        <v>FFTFIE3235</v>
      </c>
      <c r="Q776" s="1" t="s">
        <v>1471</v>
      </c>
      <c r="R776" s="1" t="s">
        <v>15</v>
      </c>
      <c r="S776" s="26">
        <v>50</v>
      </c>
      <c r="T776" s="26">
        <v>2450000</v>
      </c>
      <c r="U776" s="26">
        <v>1002272.7272727272</v>
      </c>
      <c r="V776" s="26">
        <v>2.2222222222222223</v>
      </c>
      <c r="W776" s="26">
        <v>50</v>
      </c>
      <c r="X776" s="26">
        <v>0</v>
      </c>
    </row>
    <row r="777" spans="1:24" hidden="1">
      <c r="A777" s="24" t="str">
        <f t="shared" si="155"/>
        <v>러닝</v>
      </c>
      <c r="B777" s="24" t="str">
        <f>IF(COUNTIF(Q$1:Q776,Q777)=0,"최초","리오더")</f>
        <v>리오더</v>
      </c>
      <c r="C777" s="24" t="str">
        <f t="shared" si="156"/>
        <v/>
      </c>
      <c r="D777" s="24">
        <f t="shared" si="157"/>
        <v>0</v>
      </c>
      <c r="E777" s="24" t="str">
        <f t="shared" si="158"/>
        <v>FFTFIE3234</v>
      </c>
      <c r="F777" s="24">
        <f t="shared" si="159"/>
        <v>0.5</v>
      </c>
      <c r="G777" s="24" t="str">
        <f t="shared" si="160"/>
        <v/>
      </c>
      <c r="H777" s="24">
        <f t="shared" si="161"/>
        <v>0</v>
      </c>
      <c r="I777" s="24" t="str">
        <f t="shared" si="162"/>
        <v>FFTFIE3234RE</v>
      </c>
      <c r="J777" s="24">
        <f t="shared" si="163"/>
        <v>0.5</v>
      </c>
      <c r="K777" s="24" t="str">
        <f t="shared" si="164"/>
        <v>E3</v>
      </c>
      <c r="L777" s="24" t="str">
        <f>VLOOKUP(N777,CODE!K:P,CODE!$P$1,FALSE)</f>
        <v>모자</v>
      </c>
      <c r="M777" s="24" t="str">
        <f>VLOOKUP(MID(Q777,1,3),CODE!$B:$G,CODE!D$1,FALSE)</f>
        <v>FFT</v>
      </c>
      <c r="N777" s="24" t="str">
        <f t="shared" si="165"/>
        <v>FI</v>
      </c>
      <c r="O777" s="29" t="str">
        <f>IF(ISERROR(IF(VLOOKUP($N777,CODE!$K:$P,CODE!$O$1,FALSE)="",$M777,$M777&amp;"-"&amp;VLOOKUP($N777,CODE!$K:$P,CODE!$O$1,FALSE)))=TRUE,"",IF(VLOOKUP($N777,CODE!$K:$P,CODE!$O$1,FALSE)="",$M777,$M777&amp;"-"&amp;VLOOKUP($N777,CODE!$K:$P,CODE!$O$1,FALSE)))</f>
        <v>FFT</v>
      </c>
      <c r="P777" s="29" t="str">
        <f t="shared" si="166"/>
        <v>FFTFIE3234</v>
      </c>
      <c r="Q777" s="1" t="s">
        <v>1472</v>
      </c>
      <c r="R777" s="1" t="s">
        <v>15</v>
      </c>
      <c r="S777" s="26">
        <v>50</v>
      </c>
      <c r="T777" s="26">
        <v>2450000</v>
      </c>
      <c r="U777" s="26">
        <v>1002272.7272727272</v>
      </c>
      <c r="V777" s="26">
        <v>2.2222222222222223</v>
      </c>
      <c r="W777" s="26">
        <v>50</v>
      </c>
      <c r="X777" s="26">
        <v>0</v>
      </c>
    </row>
    <row r="778" spans="1:24">
      <c r="A778" s="24" t="str">
        <f t="shared" si="155"/>
        <v>러닝</v>
      </c>
      <c r="B778" s="24" t="str">
        <f>IF(COUNTIF(Q$1:Q777,Q778)=0,"최초","리오더")</f>
        <v>최초</v>
      </c>
      <c r="C778" s="24" t="str">
        <f t="shared" si="156"/>
        <v>FFTFIE3228</v>
      </c>
      <c r="D778" s="24">
        <f t="shared" si="157"/>
        <v>1</v>
      </c>
      <c r="E778" s="24" t="str">
        <f t="shared" si="158"/>
        <v/>
      </c>
      <c r="F778" s="24">
        <f t="shared" si="159"/>
        <v>0</v>
      </c>
      <c r="G778" s="24" t="str">
        <f t="shared" si="160"/>
        <v>FFTFIE3228BK</v>
      </c>
      <c r="H778" s="24">
        <f t="shared" si="161"/>
        <v>1</v>
      </c>
      <c r="I778" s="24" t="str">
        <f t="shared" si="162"/>
        <v/>
      </c>
      <c r="J778" s="24">
        <f t="shared" si="163"/>
        <v>0</v>
      </c>
      <c r="K778" s="24" t="str">
        <f t="shared" si="164"/>
        <v>E3</v>
      </c>
      <c r="L778" s="24" t="str">
        <f>VLOOKUP(N778,CODE!K:P,CODE!$P$1,FALSE)</f>
        <v>모자</v>
      </c>
      <c r="M778" s="24" t="str">
        <f>VLOOKUP(MID(Q778,1,3),CODE!$B:$G,CODE!D$1,FALSE)</f>
        <v>FFT</v>
      </c>
      <c r="N778" s="24" t="str">
        <f t="shared" si="165"/>
        <v>FI</v>
      </c>
      <c r="O778" s="29" t="str">
        <f>IF(ISERROR(IF(VLOOKUP($N778,CODE!$K:$P,CODE!$O$1,FALSE)="",$M778,$M778&amp;"-"&amp;VLOOKUP($N778,CODE!$K:$P,CODE!$O$1,FALSE)))=TRUE,"",IF(VLOOKUP($N778,CODE!$K:$P,CODE!$O$1,FALSE)="",$M778,$M778&amp;"-"&amp;VLOOKUP($N778,CODE!$K:$P,CODE!$O$1,FALSE)))</f>
        <v>FFT</v>
      </c>
      <c r="P778" s="29" t="str">
        <f t="shared" si="166"/>
        <v>FFTFIE3228</v>
      </c>
      <c r="Q778" s="1" t="s">
        <v>1548</v>
      </c>
      <c r="R778" s="1" t="s">
        <v>15</v>
      </c>
      <c r="S778" s="26">
        <v>200</v>
      </c>
      <c r="T778" s="26">
        <v>9800000</v>
      </c>
      <c r="U778" s="26">
        <v>4009090.9090909087</v>
      </c>
      <c r="V778" s="26">
        <v>2.2222222222222223</v>
      </c>
      <c r="W778" s="26">
        <v>190</v>
      </c>
      <c r="X778" s="26">
        <v>0</v>
      </c>
    </row>
    <row r="779" spans="1:24">
      <c r="A779" s="24" t="str">
        <f t="shared" si="155"/>
        <v>러닝</v>
      </c>
      <c r="B779" s="24" t="str">
        <f>IF(COUNTIF(Q$1:Q778,Q779)=0,"최초","리오더")</f>
        <v>최초</v>
      </c>
      <c r="C779" s="24" t="str">
        <f t="shared" si="156"/>
        <v>FFTFIE3232</v>
      </c>
      <c r="D779" s="24">
        <f t="shared" si="157"/>
        <v>1</v>
      </c>
      <c r="E779" s="24" t="str">
        <f t="shared" si="158"/>
        <v/>
      </c>
      <c r="F779" s="24">
        <f t="shared" si="159"/>
        <v>0</v>
      </c>
      <c r="G779" s="24" t="str">
        <f t="shared" si="160"/>
        <v>FFTFIE3232RE</v>
      </c>
      <c r="H779" s="24">
        <f t="shared" si="161"/>
        <v>1</v>
      </c>
      <c r="I779" s="24" t="str">
        <f t="shared" si="162"/>
        <v/>
      </c>
      <c r="J779" s="24">
        <f t="shared" si="163"/>
        <v>0</v>
      </c>
      <c r="K779" s="24" t="str">
        <f t="shared" si="164"/>
        <v>E3</v>
      </c>
      <c r="L779" s="24" t="str">
        <f>VLOOKUP(N779,CODE!K:P,CODE!$P$1,FALSE)</f>
        <v>모자</v>
      </c>
      <c r="M779" s="24" t="str">
        <f>VLOOKUP(MID(Q779,1,3),CODE!$B:$G,CODE!D$1,FALSE)</f>
        <v>FFT</v>
      </c>
      <c r="N779" s="24" t="str">
        <f t="shared" si="165"/>
        <v>FI</v>
      </c>
      <c r="O779" s="29" t="str">
        <f>IF(ISERROR(IF(VLOOKUP($N779,CODE!$K:$P,CODE!$O$1,FALSE)="",$M779,$M779&amp;"-"&amp;VLOOKUP($N779,CODE!$K:$P,CODE!$O$1,FALSE)))=TRUE,"",IF(VLOOKUP($N779,CODE!$K:$P,CODE!$O$1,FALSE)="",$M779,$M779&amp;"-"&amp;VLOOKUP($N779,CODE!$K:$P,CODE!$O$1,FALSE)))</f>
        <v>FFT</v>
      </c>
      <c r="P779" s="29" t="str">
        <f t="shared" si="166"/>
        <v>FFTFIE3232</v>
      </c>
      <c r="Q779" s="1" t="s">
        <v>1549</v>
      </c>
      <c r="R779" s="1" t="s">
        <v>15</v>
      </c>
      <c r="S779" s="26">
        <v>85</v>
      </c>
      <c r="T779" s="26">
        <v>4165000</v>
      </c>
      <c r="U779" s="26">
        <v>1703863.6363636362</v>
      </c>
      <c r="V779" s="26">
        <v>2.2222222222222223</v>
      </c>
      <c r="W779" s="26">
        <v>85</v>
      </c>
      <c r="X779" s="26">
        <v>0</v>
      </c>
    </row>
    <row r="780" spans="1:24">
      <c r="A780" s="24" t="str">
        <f t="shared" si="155"/>
        <v>러닝</v>
      </c>
      <c r="B780" s="24" t="str">
        <f>IF(COUNTIF(Q$1:Q779,Q780)=0,"최초","리오더")</f>
        <v>최초</v>
      </c>
      <c r="C780" s="24" t="str">
        <f t="shared" si="156"/>
        <v>FFTFIE3230</v>
      </c>
      <c r="D780" s="24">
        <f t="shared" si="157"/>
        <v>1</v>
      </c>
      <c r="E780" s="24" t="str">
        <f t="shared" si="158"/>
        <v/>
      </c>
      <c r="F780" s="24">
        <f t="shared" si="159"/>
        <v>0</v>
      </c>
      <c r="G780" s="24" t="str">
        <f t="shared" si="160"/>
        <v>FFTFIE3230BL</v>
      </c>
      <c r="H780" s="24">
        <f t="shared" si="161"/>
        <v>1</v>
      </c>
      <c r="I780" s="24" t="str">
        <f t="shared" si="162"/>
        <v/>
      </c>
      <c r="J780" s="24">
        <f t="shared" si="163"/>
        <v>0</v>
      </c>
      <c r="K780" s="24" t="str">
        <f t="shared" si="164"/>
        <v>E3</v>
      </c>
      <c r="L780" s="24" t="str">
        <f>VLOOKUP(N780,CODE!K:P,CODE!$P$1,FALSE)</f>
        <v>모자</v>
      </c>
      <c r="M780" s="24" t="str">
        <f>VLOOKUP(MID(Q780,1,3),CODE!$B:$G,CODE!D$1,FALSE)</f>
        <v>FFT</v>
      </c>
      <c r="N780" s="24" t="str">
        <f t="shared" si="165"/>
        <v>FI</v>
      </c>
      <c r="O780" s="29" t="str">
        <f>IF(ISERROR(IF(VLOOKUP($N780,CODE!$K:$P,CODE!$O$1,FALSE)="",$M780,$M780&amp;"-"&amp;VLOOKUP($N780,CODE!$K:$P,CODE!$O$1,FALSE)))=TRUE,"",IF(VLOOKUP($N780,CODE!$K:$P,CODE!$O$1,FALSE)="",$M780,$M780&amp;"-"&amp;VLOOKUP($N780,CODE!$K:$P,CODE!$O$1,FALSE)))</f>
        <v>FFT</v>
      </c>
      <c r="P780" s="29" t="str">
        <f t="shared" si="166"/>
        <v>FFTFIE3230</v>
      </c>
      <c r="Q780" s="1" t="s">
        <v>1550</v>
      </c>
      <c r="R780" s="1" t="s">
        <v>15</v>
      </c>
      <c r="S780" s="26">
        <v>80</v>
      </c>
      <c r="T780" s="26">
        <v>3920000</v>
      </c>
      <c r="U780" s="26">
        <v>1603636.3636363635</v>
      </c>
      <c r="V780" s="26">
        <v>2.2222222222222223</v>
      </c>
      <c r="W780" s="26">
        <v>80</v>
      </c>
      <c r="X780" s="26">
        <v>0</v>
      </c>
    </row>
    <row r="781" spans="1:24">
      <c r="A781" s="24" t="str">
        <f t="shared" si="155"/>
        <v>러닝</v>
      </c>
      <c r="B781" s="24" t="str">
        <f>IF(COUNTIF(Q$1:Q780,Q781)=0,"최초","리오더")</f>
        <v>최초</v>
      </c>
      <c r="C781" s="24" t="str">
        <f t="shared" si="156"/>
        <v>FFTFIE3229</v>
      </c>
      <c r="D781" s="24">
        <f t="shared" si="157"/>
        <v>1</v>
      </c>
      <c r="E781" s="24" t="str">
        <f t="shared" si="158"/>
        <v/>
      </c>
      <c r="F781" s="24">
        <f t="shared" si="159"/>
        <v>0</v>
      </c>
      <c r="G781" s="24" t="str">
        <f t="shared" si="160"/>
        <v>FFTFIE3229WH</v>
      </c>
      <c r="H781" s="24">
        <f t="shared" si="161"/>
        <v>1</v>
      </c>
      <c r="I781" s="24" t="str">
        <f t="shared" si="162"/>
        <v/>
      </c>
      <c r="J781" s="24">
        <f t="shared" si="163"/>
        <v>0</v>
      </c>
      <c r="K781" s="24" t="str">
        <f t="shared" si="164"/>
        <v>E3</v>
      </c>
      <c r="L781" s="24" t="str">
        <f>VLOOKUP(N781,CODE!K:P,CODE!$P$1,FALSE)</f>
        <v>모자</v>
      </c>
      <c r="M781" s="24" t="str">
        <f>VLOOKUP(MID(Q781,1,3),CODE!$B:$G,CODE!D$1,FALSE)</f>
        <v>FFT</v>
      </c>
      <c r="N781" s="24" t="str">
        <f t="shared" si="165"/>
        <v>FI</v>
      </c>
      <c r="O781" s="29" t="str">
        <f>IF(ISERROR(IF(VLOOKUP($N781,CODE!$K:$P,CODE!$O$1,FALSE)="",$M781,$M781&amp;"-"&amp;VLOOKUP($N781,CODE!$K:$P,CODE!$O$1,FALSE)))=TRUE,"",IF(VLOOKUP($N781,CODE!$K:$P,CODE!$O$1,FALSE)="",$M781,$M781&amp;"-"&amp;VLOOKUP($N781,CODE!$K:$P,CODE!$O$1,FALSE)))</f>
        <v>FFT</v>
      </c>
      <c r="P781" s="29" t="str">
        <f t="shared" si="166"/>
        <v>FFTFIE3229</v>
      </c>
      <c r="Q781" s="1" t="s">
        <v>1551</v>
      </c>
      <c r="R781" s="1" t="s">
        <v>15</v>
      </c>
      <c r="S781" s="26">
        <v>80</v>
      </c>
      <c r="T781" s="26">
        <v>3920000</v>
      </c>
      <c r="U781" s="26">
        <v>1603636.3636363635</v>
      </c>
      <c r="V781" s="26">
        <v>2.2222222222222223</v>
      </c>
      <c r="W781" s="26">
        <v>80</v>
      </c>
      <c r="X781" s="26">
        <v>0</v>
      </c>
    </row>
    <row r="782" spans="1:24" hidden="1">
      <c r="A782" s="24" t="str">
        <f t="shared" si="155"/>
        <v>러닝</v>
      </c>
      <c r="B782" s="24" t="str">
        <f>IF(COUNTIF(Q$1:Q781,Q782)=0,"최초","리오더")</f>
        <v>리오더</v>
      </c>
      <c r="C782" s="24" t="str">
        <f t="shared" si="156"/>
        <v/>
      </c>
      <c r="D782" s="24">
        <f t="shared" si="157"/>
        <v>0</v>
      </c>
      <c r="E782" s="24" t="str">
        <f t="shared" si="158"/>
        <v>FFTFIE3243</v>
      </c>
      <c r="F782" s="24">
        <f t="shared" si="159"/>
        <v>0.5</v>
      </c>
      <c r="G782" s="24" t="str">
        <f t="shared" si="160"/>
        <v/>
      </c>
      <c r="H782" s="24">
        <f t="shared" si="161"/>
        <v>0</v>
      </c>
      <c r="I782" s="24" t="str">
        <f t="shared" si="162"/>
        <v>FFTFIE3243BK</v>
      </c>
      <c r="J782" s="24">
        <f t="shared" si="163"/>
        <v>0.5</v>
      </c>
      <c r="K782" s="24" t="str">
        <f t="shared" si="164"/>
        <v>E3</v>
      </c>
      <c r="L782" s="24" t="str">
        <f>VLOOKUP(N782,CODE!K:P,CODE!$P$1,FALSE)</f>
        <v>모자</v>
      </c>
      <c r="M782" s="24" t="str">
        <f>VLOOKUP(MID(Q782,1,3),CODE!$B:$G,CODE!D$1,FALSE)</f>
        <v>FFT</v>
      </c>
      <c r="N782" s="24" t="str">
        <f t="shared" si="165"/>
        <v>FI</v>
      </c>
      <c r="O782" s="29" t="str">
        <f>IF(ISERROR(IF(VLOOKUP($N782,CODE!$K:$P,CODE!$O$1,FALSE)="",$M782,$M782&amp;"-"&amp;VLOOKUP($N782,CODE!$K:$P,CODE!$O$1,FALSE)))=TRUE,"",IF(VLOOKUP($N782,CODE!$K:$P,CODE!$O$1,FALSE)="",$M782,$M782&amp;"-"&amp;VLOOKUP($N782,CODE!$K:$P,CODE!$O$1,FALSE)))</f>
        <v>FFT</v>
      </c>
      <c r="P782" s="29" t="str">
        <f t="shared" si="166"/>
        <v>FFTFIE3243</v>
      </c>
      <c r="Q782" s="1" t="s">
        <v>1473</v>
      </c>
      <c r="R782" s="1" t="s">
        <v>15</v>
      </c>
      <c r="S782" s="26">
        <v>50</v>
      </c>
      <c r="T782" s="26">
        <v>2950000</v>
      </c>
      <c r="U782" s="26">
        <v>1206818.1818181819</v>
      </c>
      <c r="V782" s="26">
        <v>2.2222222222222219</v>
      </c>
      <c r="W782" s="26">
        <v>50</v>
      </c>
      <c r="X782" s="26">
        <v>0</v>
      </c>
    </row>
    <row r="783" spans="1:24">
      <c r="A783" s="24" t="str">
        <f t="shared" si="155"/>
        <v>러닝</v>
      </c>
      <c r="B783" s="24" t="str">
        <f>IF(COUNTIF(Q$1:Q782,Q783)=0,"최초","리오더")</f>
        <v>최초</v>
      </c>
      <c r="C783" s="24" t="str">
        <f t="shared" si="156"/>
        <v>FFTFIE3245</v>
      </c>
      <c r="D783" s="24">
        <f t="shared" si="157"/>
        <v>1</v>
      </c>
      <c r="E783" s="24" t="str">
        <f t="shared" si="158"/>
        <v/>
      </c>
      <c r="F783" s="24">
        <f t="shared" si="159"/>
        <v>0</v>
      </c>
      <c r="G783" s="24" t="str">
        <f t="shared" si="160"/>
        <v>FFTFIE3245BK</v>
      </c>
      <c r="H783" s="24">
        <f t="shared" si="161"/>
        <v>1</v>
      </c>
      <c r="I783" s="24" t="str">
        <f t="shared" si="162"/>
        <v/>
      </c>
      <c r="J783" s="24">
        <f t="shared" si="163"/>
        <v>0</v>
      </c>
      <c r="K783" s="24" t="str">
        <f t="shared" si="164"/>
        <v>E3</v>
      </c>
      <c r="L783" s="24" t="str">
        <f>VLOOKUP(N783,CODE!K:P,CODE!$P$1,FALSE)</f>
        <v>모자</v>
      </c>
      <c r="M783" s="24" t="str">
        <f>VLOOKUP(MID(Q783,1,3),CODE!$B:$G,CODE!D$1,FALSE)</f>
        <v>FFT</v>
      </c>
      <c r="N783" s="24" t="str">
        <f t="shared" si="165"/>
        <v>FI</v>
      </c>
      <c r="O783" s="29" t="str">
        <f>IF(ISERROR(IF(VLOOKUP($N783,CODE!$K:$P,CODE!$O$1,FALSE)="",$M783,$M783&amp;"-"&amp;VLOOKUP($N783,CODE!$K:$P,CODE!$O$1,FALSE)))=TRUE,"",IF(VLOOKUP($N783,CODE!$K:$P,CODE!$O$1,FALSE)="",$M783,$M783&amp;"-"&amp;VLOOKUP($N783,CODE!$K:$P,CODE!$O$1,FALSE)))</f>
        <v>FFT</v>
      </c>
      <c r="P783" s="29" t="str">
        <f t="shared" si="166"/>
        <v>FFTFIE3245</v>
      </c>
      <c r="Q783" s="1" t="s">
        <v>1552</v>
      </c>
      <c r="R783" s="1" t="s">
        <v>15</v>
      </c>
      <c r="S783" s="26">
        <v>120</v>
      </c>
      <c r="T783" s="26">
        <v>5880000</v>
      </c>
      <c r="U783" s="26">
        <v>2405454.5454545454</v>
      </c>
      <c r="V783" s="26">
        <v>2.2222222222222223</v>
      </c>
      <c r="W783" s="26">
        <v>120</v>
      </c>
      <c r="X783" s="26">
        <v>0</v>
      </c>
    </row>
    <row r="784" spans="1:24">
      <c r="A784" s="24" t="str">
        <f t="shared" si="155"/>
        <v>러닝</v>
      </c>
      <c r="B784" s="24" t="str">
        <f>IF(COUNTIF(Q$1:Q783,Q784)=0,"최초","리오더")</f>
        <v>최초</v>
      </c>
      <c r="C784" s="24" t="str">
        <f t="shared" si="156"/>
        <v>FFTFIE3250</v>
      </c>
      <c r="D784" s="24">
        <f t="shared" si="157"/>
        <v>1</v>
      </c>
      <c r="E784" s="24" t="str">
        <f t="shared" si="158"/>
        <v/>
      </c>
      <c r="F784" s="24">
        <f t="shared" si="159"/>
        <v>0</v>
      </c>
      <c r="G784" s="24" t="str">
        <f t="shared" si="160"/>
        <v>FFTFIE3250RE</v>
      </c>
      <c r="H784" s="24">
        <f t="shared" si="161"/>
        <v>1</v>
      </c>
      <c r="I784" s="24" t="str">
        <f t="shared" si="162"/>
        <v/>
      </c>
      <c r="J784" s="24">
        <f t="shared" si="163"/>
        <v>0</v>
      </c>
      <c r="K784" s="24" t="str">
        <f t="shared" si="164"/>
        <v>E3</v>
      </c>
      <c r="L784" s="24" t="str">
        <f>VLOOKUP(N784,CODE!K:P,CODE!$P$1,FALSE)</f>
        <v>모자</v>
      </c>
      <c r="M784" s="24" t="str">
        <f>VLOOKUP(MID(Q784,1,3),CODE!$B:$G,CODE!D$1,FALSE)</f>
        <v>FFT</v>
      </c>
      <c r="N784" s="24" t="str">
        <f t="shared" si="165"/>
        <v>FI</v>
      </c>
      <c r="O784" s="29" t="str">
        <f>IF(ISERROR(IF(VLOOKUP($N784,CODE!$K:$P,CODE!$O$1,FALSE)="",$M784,$M784&amp;"-"&amp;VLOOKUP($N784,CODE!$K:$P,CODE!$O$1,FALSE)))=TRUE,"",IF(VLOOKUP($N784,CODE!$K:$P,CODE!$O$1,FALSE)="",$M784,$M784&amp;"-"&amp;VLOOKUP($N784,CODE!$K:$P,CODE!$O$1,FALSE)))</f>
        <v>FFT</v>
      </c>
      <c r="P784" s="29" t="str">
        <f t="shared" si="166"/>
        <v>FFTFIE3250</v>
      </c>
      <c r="Q784" s="1" t="s">
        <v>1553</v>
      </c>
      <c r="R784" s="1" t="s">
        <v>15</v>
      </c>
      <c r="S784" s="26">
        <v>135</v>
      </c>
      <c r="T784" s="26">
        <v>6615000</v>
      </c>
      <c r="U784" s="26">
        <v>2706136.3636363633</v>
      </c>
      <c r="V784" s="26">
        <v>2.2222222222222223</v>
      </c>
      <c r="W784" s="26">
        <v>135</v>
      </c>
      <c r="X784" s="26">
        <v>0</v>
      </c>
    </row>
    <row r="785" spans="1:24">
      <c r="A785" s="24" t="str">
        <f t="shared" si="155"/>
        <v>러닝</v>
      </c>
      <c r="B785" s="24" t="str">
        <f>IF(COUNTIF(Q$1:Q784,Q785)=0,"최초","리오더")</f>
        <v>최초</v>
      </c>
      <c r="C785" s="24" t="str">
        <f t="shared" si="156"/>
        <v>FFTFIE3240</v>
      </c>
      <c r="D785" s="24">
        <f t="shared" si="157"/>
        <v>1</v>
      </c>
      <c r="E785" s="24" t="str">
        <f t="shared" si="158"/>
        <v/>
      </c>
      <c r="F785" s="24">
        <f t="shared" si="159"/>
        <v>0</v>
      </c>
      <c r="G785" s="24" t="str">
        <f t="shared" si="160"/>
        <v>FFTFIE3240BK</v>
      </c>
      <c r="H785" s="24">
        <f t="shared" si="161"/>
        <v>1</v>
      </c>
      <c r="I785" s="24" t="str">
        <f t="shared" si="162"/>
        <v/>
      </c>
      <c r="J785" s="24">
        <f t="shared" si="163"/>
        <v>0</v>
      </c>
      <c r="K785" s="24" t="str">
        <f t="shared" si="164"/>
        <v>E3</v>
      </c>
      <c r="L785" s="24" t="str">
        <f>VLOOKUP(N785,CODE!K:P,CODE!$P$1,FALSE)</f>
        <v>모자</v>
      </c>
      <c r="M785" s="24" t="str">
        <f>VLOOKUP(MID(Q785,1,3),CODE!$B:$G,CODE!D$1,FALSE)</f>
        <v>FFT</v>
      </c>
      <c r="N785" s="24" t="str">
        <f t="shared" si="165"/>
        <v>FI</v>
      </c>
      <c r="O785" s="29" t="str">
        <f>IF(ISERROR(IF(VLOOKUP($N785,CODE!$K:$P,CODE!$O$1,FALSE)="",$M785,$M785&amp;"-"&amp;VLOOKUP($N785,CODE!$K:$P,CODE!$O$1,FALSE)))=TRUE,"",IF(VLOOKUP($N785,CODE!$K:$P,CODE!$O$1,FALSE)="",$M785,$M785&amp;"-"&amp;VLOOKUP($N785,CODE!$K:$P,CODE!$O$1,FALSE)))</f>
        <v>FFT</v>
      </c>
      <c r="P785" s="29" t="str">
        <f t="shared" si="166"/>
        <v>FFTFIE3240</v>
      </c>
      <c r="Q785" s="1" t="s">
        <v>1554</v>
      </c>
      <c r="R785" s="1" t="s">
        <v>15</v>
      </c>
      <c r="S785" s="26">
        <v>35</v>
      </c>
      <c r="T785" s="26">
        <v>1715000</v>
      </c>
      <c r="U785" s="26">
        <v>701590.90909090906</v>
      </c>
      <c r="V785" s="26">
        <v>2.2222222222222223</v>
      </c>
      <c r="W785" s="26">
        <v>35</v>
      </c>
      <c r="X785" s="26">
        <v>0</v>
      </c>
    </row>
    <row r="786" spans="1:24">
      <c r="A786" s="24" t="str">
        <f t="shared" si="155"/>
        <v>러닝</v>
      </c>
      <c r="B786" s="24" t="str">
        <f>IF(COUNTIF(Q$1:Q785,Q786)=0,"최초","리오더")</f>
        <v>최초</v>
      </c>
      <c r="C786" s="24" t="str">
        <f t="shared" si="156"/>
        <v>FFTFIE3251</v>
      </c>
      <c r="D786" s="24">
        <f t="shared" si="157"/>
        <v>1</v>
      </c>
      <c r="E786" s="24" t="str">
        <f t="shared" si="158"/>
        <v/>
      </c>
      <c r="F786" s="24">
        <f t="shared" si="159"/>
        <v>0</v>
      </c>
      <c r="G786" s="24" t="str">
        <f t="shared" si="160"/>
        <v>FFTFIE3251WH</v>
      </c>
      <c r="H786" s="24">
        <f t="shared" si="161"/>
        <v>1</v>
      </c>
      <c r="I786" s="24" t="str">
        <f t="shared" si="162"/>
        <v/>
      </c>
      <c r="J786" s="24">
        <f t="shared" si="163"/>
        <v>0</v>
      </c>
      <c r="K786" s="24" t="str">
        <f t="shared" si="164"/>
        <v>E3</v>
      </c>
      <c r="L786" s="24" t="str">
        <f>VLOOKUP(N786,CODE!K:P,CODE!$P$1,FALSE)</f>
        <v>모자</v>
      </c>
      <c r="M786" s="24" t="str">
        <f>VLOOKUP(MID(Q786,1,3),CODE!$B:$G,CODE!D$1,FALSE)</f>
        <v>FFT</v>
      </c>
      <c r="N786" s="24" t="str">
        <f t="shared" si="165"/>
        <v>FI</v>
      </c>
      <c r="O786" s="29" t="str">
        <f>IF(ISERROR(IF(VLOOKUP($N786,CODE!$K:$P,CODE!$O$1,FALSE)="",$M786,$M786&amp;"-"&amp;VLOOKUP($N786,CODE!$K:$P,CODE!$O$1,FALSE)))=TRUE,"",IF(VLOOKUP($N786,CODE!$K:$P,CODE!$O$1,FALSE)="",$M786,$M786&amp;"-"&amp;VLOOKUP($N786,CODE!$K:$P,CODE!$O$1,FALSE)))</f>
        <v>FFT</v>
      </c>
      <c r="P786" s="29" t="str">
        <f t="shared" si="166"/>
        <v>FFTFIE3251</v>
      </c>
      <c r="Q786" s="1" t="s">
        <v>1555</v>
      </c>
      <c r="R786" s="1" t="s">
        <v>15</v>
      </c>
      <c r="S786" s="26">
        <v>15</v>
      </c>
      <c r="T786" s="26">
        <v>735000</v>
      </c>
      <c r="U786" s="26">
        <v>300681.81818181818</v>
      </c>
      <c r="V786" s="26">
        <v>2.2222222222222223</v>
      </c>
      <c r="W786" s="26">
        <v>15</v>
      </c>
      <c r="X786" s="26">
        <v>0</v>
      </c>
    </row>
    <row r="787" spans="1:24">
      <c r="A787" s="24" t="str">
        <f t="shared" si="155"/>
        <v>신규</v>
      </c>
      <c r="B787" s="24" t="str">
        <f>IF(COUNTIF(Q$1:Q786,Q787)=0,"최초","리오더")</f>
        <v>최초</v>
      </c>
      <c r="C787" s="24" t="str">
        <f t="shared" si="156"/>
        <v>FFTFIE3303</v>
      </c>
      <c r="D787" s="24">
        <f t="shared" si="157"/>
        <v>1</v>
      </c>
      <c r="E787" s="24" t="str">
        <f t="shared" si="158"/>
        <v/>
      </c>
      <c r="F787" s="24">
        <f t="shared" si="159"/>
        <v>0</v>
      </c>
      <c r="G787" s="24" t="str">
        <f t="shared" si="160"/>
        <v>FFTFIE3303RE</v>
      </c>
      <c r="H787" s="24">
        <f t="shared" si="161"/>
        <v>1</v>
      </c>
      <c r="I787" s="24" t="str">
        <f t="shared" si="162"/>
        <v/>
      </c>
      <c r="J787" s="24">
        <f t="shared" si="163"/>
        <v>0</v>
      </c>
      <c r="K787" s="24" t="str">
        <f t="shared" si="164"/>
        <v>E3</v>
      </c>
      <c r="L787" s="24" t="str">
        <f>VLOOKUP(N787,CODE!K:P,CODE!$P$1,FALSE)</f>
        <v>모자</v>
      </c>
      <c r="M787" s="24" t="str">
        <f>VLOOKUP(MID(Q787,1,3),CODE!$B:$G,CODE!D$1,FALSE)</f>
        <v>FFT</v>
      </c>
      <c r="N787" s="24" t="str">
        <f t="shared" si="165"/>
        <v>FI</v>
      </c>
      <c r="O787" s="29" t="str">
        <f>IF(ISERROR(IF(VLOOKUP($N787,CODE!$K:$P,CODE!$O$1,FALSE)="",$M787,$M787&amp;"-"&amp;VLOOKUP($N787,CODE!$K:$P,CODE!$O$1,FALSE)))=TRUE,"",IF(VLOOKUP($N787,CODE!$K:$P,CODE!$O$1,FALSE)="",$M787,$M787&amp;"-"&amp;VLOOKUP($N787,CODE!$K:$P,CODE!$O$1,FALSE)))</f>
        <v>FFT</v>
      </c>
      <c r="P787" s="29" t="str">
        <f t="shared" si="166"/>
        <v>FFTFIE3303</v>
      </c>
      <c r="Q787" s="1" t="s">
        <v>1556</v>
      </c>
      <c r="R787" s="1" t="s">
        <v>15</v>
      </c>
      <c r="S787" s="26">
        <v>50</v>
      </c>
      <c r="T787" s="26">
        <v>2450000</v>
      </c>
      <c r="U787" s="26">
        <v>1002272.7272727272</v>
      </c>
      <c r="V787" s="26">
        <v>2.2222222222222223</v>
      </c>
      <c r="W787" s="26">
        <v>50</v>
      </c>
      <c r="X787" s="26">
        <v>0</v>
      </c>
    </row>
    <row r="788" spans="1:24">
      <c r="A788" s="24" t="str">
        <f t="shared" si="155"/>
        <v>러닝</v>
      </c>
      <c r="B788" s="24" t="str">
        <f>IF(COUNTIF(Q$1:Q787,Q788)=0,"최초","리오더")</f>
        <v>최초</v>
      </c>
      <c r="C788" s="24" t="str">
        <f t="shared" si="156"/>
        <v>FFTFIE3241</v>
      </c>
      <c r="D788" s="24">
        <f t="shared" si="157"/>
        <v>1</v>
      </c>
      <c r="E788" s="24" t="str">
        <f t="shared" si="158"/>
        <v/>
      </c>
      <c r="F788" s="24">
        <f t="shared" si="159"/>
        <v>0</v>
      </c>
      <c r="G788" s="24" t="str">
        <f t="shared" si="160"/>
        <v>FFTFIE3241GY</v>
      </c>
      <c r="H788" s="24">
        <f t="shared" si="161"/>
        <v>1</v>
      </c>
      <c r="I788" s="24" t="str">
        <f t="shared" si="162"/>
        <v/>
      </c>
      <c r="J788" s="24">
        <f t="shared" si="163"/>
        <v>0</v>
      </c>
      <c r="K788" s="24" t="str">
        <f t="shared" si="164"/>
        <v>E3</v>
      </c>
      <c r="L788" s="24" t="str">
        <f>VLOOKUP(N788,CODE!K:P,CODE!$P$1,FALSE)</f>
        <v>모자</v>
      </c>
      <c r="M788" s="24" t="str">
        <f>VLOOKUP(MID(Q788,1,3),CODE!$B:$G,CODE!D$1,FALSE)</f>
        <v>FFT</v>
      </c>
      <c r="N788" s="24" t="str">
        <f t="shared" si="165"/>
        <v>FI</v>
      </c>
      <c r="O788" s="29" t="str">
        <f>IF(ISERROR(IF(VLOOKUP($N788,CODE!$K:$P,CODE!$O$1,FALSE)="",$M788,$M788&amp;"-"&amp;VLOOKUP($N788,CODE!$K:$P,CODE!$O$1,FALSE)))=TRUE,"",IF(VLOOKUP($N788,CODE!$K:$P,CODE!$O$1,FALSE)="",$M788,$M788&amp;"-"&amp;VLOOKUP($N788,CODE!$K:$P,CODE!$O$1,FALSE)))</f>
        <v>FFT</v>
      </c>
      <c r="P788" s="29" t="str">
        <f t="shared" si="166"/>
        <v>FFTFIE3241</v>
      </c>
      <c r="Q788" s="1" t="s">
        <v>1557</v>
      </c>
      <c r="R788" s="1" t="s">
        <v>15</v>
      </c>
      <c r="S788" s="26">
        <v>35</v>
      </c>
      <c r="T788" s="26">
        <v>1715000</v>
      </c>
      <c r="U788" s="26">
        <v>701590.90909090906</v>
      </c>
      <c r="V788" s="26">
        <v>2.2222222222222223</v>
      </c>
      <c r="W788" s="26">
        <v>35</v>
      </c>
      <c r="X788" s="26">
        <v>0</v>
      </c>
    </row>
    <row r="789" spans="1:24">
      <c r="A789" s="24" t="str">
        <f t="shared" si="155"/>
        <v>러닝</v>
      </c>
      <c r="B789" s="24" t="str">
        <f>IF(COUNTIF(Q$1:Q788,Q789)=0,"최초","리오더")</f>
        <v>최초</v>
      </c>
      <c r="C789" s="24" t="str">
        <f t="shared" si="156"/>
        <v>FFTFIE3231</v>
      </c>
      <c r="D789" s="24">
        <f t="shared" si="157"/>
        <v>1</v>
      </c>
      <c r="E789" s="24" t="str">
        <f t="shared" si="158"/>
        <v/>
      </c>
      <c r="F789" s="24">
        <f t="shared" si="159"/>
        <v>0</v>
      </c>
      <c r="G789" s="24" t="str">
        <f t="shared" si="160"/>
        <v>FFTFIE3231YE</v>
      </c>
      <c r="H789" s="24">
        <f t="shared" si="161"/>
        <v>1</v>
      </c>
      <c r="I789" s="24" t="str">
        <f t="shared" si="162"/>
        <v/>
      </c>
      <c r="J789" s="24">
        <f t="shared" si="163"/>
        <v>0</v>
      </c>
      <c r="K789" s="24" t="str">
        <f t="shared" si="164"/>
        <v>E3</v>
      </c>
      <c r="L789" s="24" t="str">
        <f>VLOOKUP(N789,CODE!K:P,CODE!$P$1,FALSE)</f>
        <v>모자</v>
      </c>
      <c r="M789" s="24" t="str">
        <f>VLOOKUP(MID(Q789,1,3),CODE!$B:$G,CODE!D$1,FALSE)</f>
        <v>FFT</v>
      </c>
      <c r="N789" s="24" t="str">
        <f t="shared" si="165"/>
        <v>FI</v>
      </c>
      <c r="O789" s="29" t="str">
        <f>IF(ISERROR(IF(VLOOKUP($N789,CODE!$K:$P,CODE!$O$1,FALSE)="",$M789,$M789&amp;"-"&amp;VLOOKUP($N789,CODE!$K:$P,CODE!$O$1,FALSE)))=TRUE,"",IF(VLOOKUP($N789,CODE!$K:$P,CODE!$O$1,FALSE)="",$M789,$M789&amp;"-"&amp;VLOOKUP($N789,CODE!$K:$P,CODE!$O$1,FALSE)))</f>
        <v>FFT</v>
      </c>
      <c r="P789" s="29" t="str">
        <f t="shared" si="166"/>
        <v>FFTFIE3231</v>
      </c>
      <c r="Q789" s="1" t="s">
        <v>1558</v>
      </c>
      <c r="R789" s="1" t="s">
        <v>15</v>
      </c>
      <c r="S789" s="26">
        <v>85</v>
      </c>
      <c r="T789" s="26">
        <v>4165000</v>
      </c>
      <c r="U789" s="26">
        <v>1703863.6363636362</v>
      </c>
      <c r="V789" s="26">
        <v>2.2222222222222223</v>
      </c>
      <c r="W789" s="26">
        <v>85</v>
      </c>
      <c r="X789" s="26">
        <v>0</v>
      </c>
    </row>
    <row r="790" spans="1:24">
      <c r="A790" s="24" t="str">
        <f t="shared" si="155"/>
        <v>러닝</v>
      </c>
      <c r="B790" s="24" t="str">
        <f>IF(COUNTIF(Q$1:Q789,Q790)=0,"최초","리오더")</f>
        <v>최초</v>
      </c>
      <c r="C790" s="24" t="str">
        <f t="shared" si="156"/>
        <v>FFTFIE3205</v>
      </c>
      <c r="D790" s="24">
        <f t="shared" si="157"/>
        <v>1</v>
      </c>
      <c r="E790" s="24" t="str">
        <f t="shared" si="158"/>
        <v/>
      </c>
      <c r="F790" s="24">
        <f t="shared" si="159"/>
        <v>0</v>
      </c>
      <c r="G790" s="24" t="str">
        <f t="shared" si="160"/>
        <v>FFTFIE3205RE</v>
      </c>
      <c r="H790" s="24">
        <f t="shared" si="161"/>
        <v>1</v>
      </c>
      <c r="I790" s="24" t="str">
        <f t="shared" si="162"/>
        <v/>
      </c>
      <c r="J790" s="24">
        <f t="shared" si="163"/>
        <v>0</v>
      </c>
      <c r="K790" s="24" t="str">
        <f t="shared" si="164"/>
        <v>E3</v>
      </c>
      <c r="L790" s="24" t="str">
        <f>VLOOKUP(N790,CODE!K:P,CODE!$P$1,FALSE)</f>
        <v>모자</v>
      </c>
      <c r="M790" s="24" t="str">
        <f>VLOOKUP(MID(Q790,1,3),CODE!$B:$G,CODE!D$1,FALSE)</f>
        <v>FFT</v>
      </c>
      <c r="N790" s="24" t="str">
        <f t="shared" si="165"/>
        <v>FI</v>
      </c>
      <c r="O790" s="29" t="str">
        <f>IF(ISERROR(IF(VLOOKUP($N790,CODE!$K:$P,CODE!$O$1,FALSE)="",$M790,$M790&amp;"-"&amp;VLOOKUP($N790,CODE!$K:$P,CODE!$O$1,FALSE)))=TRUE,"",IF(VLOOKUP($N790,CODE!$K:$P,CODE!$O$1,FALSE)="",$M790,$M790&amp;"-"&amp;VLOOKUP($N790,CODE!$K:$P,CODE!$O$1,FALSE)))</f>
        <v>FFT</v>
      </c>
      <c r="P790" s="29" t="str">
        <f t="shared" si="166"/>
        <v>FFTFIE3205</v>
      </c>
      <c r="Q790" s="1" t="s">
        <v>1559</v>
      </c>
      <c r="R790" s="1" t="s">
        <v>15</v>
      </c>
      <c r="S790" s="26">
        <v>130</v>
      </c>
      <c r="T790" s="26">
        <v>5850000</v>
      </c>
      <c r="U790" s="26">
        <v>2393181.8181818179</v>
      </c>
      <c r="V790" s="26">
        <v>2.2222222222222223</v>
      </c>
      <c r="W790" s="26">
        <v>130</v>
      </c>
      <c r="X790" s="26">
        <v>0</v>
      </c>
    </row>
    <row r="791" spans="1:24">
      <c r="A791" s="24" t="str">
        <f t="shared" si="155"/>
        <v>신규</v>
      </c>
      <c r="B791" s="24" t="str">
        <f>IF(COUNTIF(Q$1:Q790,Q791)=0,"최초","리오더")</f>
        <v>최초</v>
      </c>
      <c r="C791" s="24" t="str">
        <f t="shared" si="156"/>
        <v>FFTFIE3304</v>
      </c>
      <c r="D791" s="24">
        <f t="shared" si="157"/>
        <v>1</v>
      </c>
      <c r="E791" s="24" t="str">
        <f t="shared" si="158"/>
        <v/>
      </c>
      <c r="F791" s="24">
        <f t="shared" si="159"/>
        <v>0</v>
      </c>
      <c r="G791" s="24" t="str">
        <f t="shared" si="160"/>
        <v>FFTFIE3304RE</v>
      </c>
      <c r="H791" s="24">
        <f t="shared" si="161"/>
        <v>1</v>
      </c>
      <c r="I791" s="24" t="str">
        <f t="shared" si="162"/>
        <v/>
      </c>
      <c r="J791" s="24">
        <f t="shared" si="163"/>
        <v>0</v>
      </c>
      <c r="K791" s="24" t="str">
        <f t="shared" si="164"/>
        <v>E3</v>
      </c>
      <c r="L791" s="24" t="str">
        <f>VLOOKUP(N791,CODE!K:P,CODE!$P$1,FALSE)</f>
        <v>모자</v>
      </c>
      <c r="M791" s="24" t="str">
        <f>VLOOKUP(MID(Q791,1,3),CODE!$B:$G,CODE!D$1,FALSE)</f>
        <v>FFT</v>
      </c>
      <c r="N791" s="24" t="str">
        <f t="shared" si="165"/>
        <v>FI</v>
      </c>
      <c r="O791" s="29" t="str">
        <f>IF(ISERROR(IF(VLOOKUP($N791,CODE!$K:$P,CODE!$O$1,FALSE)="",$M791,$M791&amp;"-"&amp;VLOOKUP($N791,CODE!$K:$P,CODE!$O$1,FALSE)))=TRUE,"",IF(VLOOKUP($N791,CODE!$K:$P,CODE!$O$1,FALSE)="",$M791,$M791&amp;"-"&amp;VLOOKUP($N791,CODE!$K:$P,CODE!$O$1,FALSE)))</f>
        <v>FFT</v>
      </c>
      <c r="P791" s="29" t="str">
        <f t="shared" si="166"/>
        <v>FFTFIE3304</v>
      </c>
      <c r="Q791" s="1" t="s">
        <v>1560</v>
      </c>
      <c r="R791" s="1" t="s">
        <v>15</v>
      </c>
      <c r="S791" s="26">
        <v>80</v>
      </c>
      <c r="T791" s="26">
        <v>3920000</v>
      </c>
      <c r="U791" s="26">
        <v>1603636.3636363635</v>
      </c>
      <c r="V791" s="26">
        <v>2.2222222222222223</v>
      </c>
      <c r="W791" s="26">
        <v>80</v>
      </c>
      <c r="X791" s="26">
        <v>0</v>
      </c>
    </row>
    <row r="792" spans="1:24">
      <c r="A792" s="24" t="str">
        <f t="shared" si="155"/>
        <v>신규</v>
      </c>
      <c r="B792" s="24" t="str">
        <f>IF(COUNTIF(Q$1:Q791,Q792)=0,"최초","리오더")</f>
        <v>최초</v>
      </c>
      <c r="C792" s="24" t="str">
        <f t="shared" si="156"/>
        <v>FFTFIE3305</v>
      </c>
      <c r="D792" s="24">
        <f t="shared" si="157"/>
        <v>1</v>
      </c>
      <c r="E792" s="24" t="str">
        <f t="shared" si="158"/>
        <v/>
      </c>
      <c r="F792" s="24">
        <f t="shared" si="159"/>
        <v>0</v>
      </c>
      <c r="G792" s="24" t="str">
        <f t="shared" si="160"/>
        <v>FFTFIE3305BL</v>
      </c>
      <c r="H792" s="24">
        <f t="shared" si="161"/>
        <v>1</v>
      </c>
      <c r="I792" s="24" t="str">
        <f t="shared" si="162"/>
        <v/>
      </c>
      <c r="J792" s="24">
        <f t="shared" si="163"/>
        <v>0</v>
      </c>
      <c r="K792" s="24" t="str">
        <f t="shared" si="164"/>
        <v>E3</v>
      </c>
      <c r="L792" s="24" t="str">
        <f>VLOOKUP(N792,CODE!K:P,CODE!$P$1,FALSE)</f>
        <v>모자</v>
      </c>
      <c r="M792" s="24" t="str">
        <f>VLOOKUP(MID(Q792,1,3),CODE!$B:$G,CODE!D$1,FALSE)</f>
        <v>FFT</v>
      </c>
      <c r="N792" s="24" t="str">
        <f t="shared" si="165"/>
        <v>FI</v>
      </c>
      <c r="O792" s="29" t="str">
        <f>IF(ISERROR(IF(VLOOKUP($N792,CODE!$K:$P,CODE!$O$1,FALSE)="",$M792,$M792&amp;"-"&amp;VLOOKUP($N792,CODE!$K:$P,CODE!$O$1,FALSE)))=TRUE,"",IF(VLOOKUP($N792,CODE!$K:$P,CODE!$O$1,FALSE)="",$M792,$M792&amp;"-"&amp;VLOOKUP($N792,CODE!$K:$P,CODE!$O$1,FALSE)))</f>
        <v>FFT</v>
      </c>
      <c r="P792" s="29" t="str">
        <f t="shared" si="166"/>
        <v>FFTFIE3305</v>
      </c>
      <c r="Q792" s="1" t="s">
        <v>1561</v>
      </c>
      <c r="R792" s="1" t="s">
        <v>15</v>
      </c>
      <c r="S792" s="26">
        <v>80</v>
      </c>
      <c r="T792" s="26">
        <v>3920000</v>
      </c>
      <c r="U792" s="26">
        <v>1603636.3636363635</v>
      </c>
      <c r="V792" s="26">
        <v>2.2222222222222223</v>
      </c>
      <c r="W792" s="26">
        <v>80</v>
      </c>
      <c r="X792" s="26">
        <v>0</v>
      </c>
    </row>
    <row r="793" spans="1:24">
      <c r="A793" s="24" t="str">
        <f t="shared" si="155"/>
        <v>신규</v>
      </c>
      <c r="B793" s="24" t="str">
        <f>IF(COUNTIF(Q$1:Q792,Q793)=0,"최초","리오더")</f>
        <v>최초</v>
      </c>
      <c r="C793" s="24" t="str">
        <f t="shared" si="156"/>
        <v>FFTFIE3306</v>
      </c>
      <c r="D793" s="24">
        <f t="shared" si="157"/>
        <v>1</v>
      </c>
      <c r="E793" s="24" t="str">
        <f t="shared" si="158"/>
        <v/>
      </c>
      <c r="F793" s="24">
        <f t="shared" si="159"/>
        <v>0</v>
      </c>
      <c r="G793" s="24" t="str">
        <f t="shared" si="160"/>
        <v>FFTFIE3306BK</v>
      </c>
      <c r="H793" s="24">
        <f t="shared" si="161"/>
        <v>1</v>
      </c>
      <c r="I793" s="24" t="str">
        <f t="shared" si="162"/>
        <v/>
      </c>
      <c r="J793" s="24">
        <f t="shared" si="163"/>
        <v>0</v>
      </c>
      <c r="K793" s="24" t="str">
        <f t="shared" si="164"/>
        <v>E3</v>
      </c>
      <c r="L793" s="24" t="str">
        <f>VLOOKUP(N793,CODE!K:P,CODE!$P$1,FALSE)</f>
        <v>모자</v>
      </c>
      <c r="M793" s="24" t="str">
        <f>VLOOKUP(MID(Q793,1,3),CODE!$B:$G,CODE!D$1,FALSE)</f>
        <v>FFT</v>
      </c>
      <c r="N793" s="24" t="str">
        <f t="shared" si="165"/>
        <v>FI</v>
      </c>
      <c r="O793" s="29" t="str">
        <f>IF(ISERROR(IF(VLOOKUP($N793,CODE!$K:$P,CODE!$O$1,FALSE)="",$M793,$M793&amp;"-"&amp;VLOOKUP($N793,CODE!$K:$P,CODE!$O$1,FALSE)))=TRUE,"",IF(VLOOKUP($N793,CODE!$K:$P,CODE!$O$1,FALSE)="",$M793,$M793&amp;"-"&amp;VLOOKUP($N793,CODE!$K:$P,CODE!$O$1,FALSE)))</f>
        <v>FFT</v>
      </c>
      <c r="P793" s="29" t="str">
        <f t="shared" si="166"/>
        <v>FFTFIE3306</v>
      </c>
      <c r="Q793" s="1" t="s">
        <v>1562</v>
      </c>
      <c r="R793" s="1" t="s">
        <v>15</v>
      </c>
      <c r="S793" s="26">
        <v>30</v>
      </c>
      <c r="T793" s="26">
        <v>1470000</v>
      </c>
      <c r="U793" s="26">
        <v>601363.63636363635</v>
      </c>
      <c r="V793" s="26">
        <v>2.2222222222222223</v>
      </c>
      <c r="W793" s="26">
        <v>30</v>
      </c>
      <c r="X793" s="26">
        <v>0</v>
      </c>
    </row>
    <row r="794" spans="1:24">
      <c r="A794" s="24" t="str">
        <f t="shared" si="155"/>
        <v>신규</v>
      </c>
      <c r="B794" s="24" t="str">
        <f>IF(COUNTIF(Q$1:Q793,Q794)=0,"최초","리오더")</f>
        <v>최초</v>
      </c>
      <c r="C794" s="24" t="str">
        <f t="shared" si="156"/>
        <v>FFTFIE3307</v>
      </c>
      <c r="D794" s="24">
        <f t="shared" si="157"/>
        <v>1</v>
      </c>
      <c r="E794" s="24" t="str">
        <f t="shared" si="158"/>
        <v/>
      </c>
      <c r="F794" s="24">
        <f t="shared" si="159"/>
        <v>0</v>
      </c>
      <c r="G794" s="24" t="str">
        <f t="shared" si="160"/>
        <v>FFTFIE3307RE</v>
      </c>
      <c r="H794" s="24">
        <f t="shared" si="161"/>
        <v>1</v>
      </c>
      <c r="I794" s="24" t="str">
        <f t="shared" si="162"/>
        <v/>
      </c>
      <c r="J794" s="24">
        <f t="shared" si="163"/>
        <v>0</v>
      </c>
      <c r="K794" s="24" t="str">
        <f t="shared" si="164"/>
        <v>E3</v>
      </c>
      <c r="L794" s="24" t="str">
        <f>VLOOKUP(N794,CODE!K:P,CODE!$P$1,FALSE)</f>
        <v>모자</v>
      </c>
      <c r="M794" s="24" t="str">
        <f>VLOOKUP(MID(Q794,1,3),CODE!$B:$G,CODE!D$1,FALSE)</f>
        <v>FFT</v>
      </c>
      <c r="N794" s="24" t="str">
        <f t="shared" si="165"/>
        <v>FI</v>
      </c>
      <c r="O794" s="29" t="str">
        <f>IF(ISERROR(IF(VLOOKUP($N794,CODE!$K:$P,CODE!$O$1,FALSE)="",$M794,$M794&amp;"-"&amp;VLOOKUP($N794,CODE!$K:$P,CODE!$O$1,FALSE)))=TRUE,"",IF(VLOOKUP($N794,CODE!$K:$P,CODE!$O$1,FALSE)="",$M794,$M794&amp;"-"&amp;VLOOKUP($N794,CODE!$K:$P,CODE!$O$1,FALSE)))</f>
        <v>FFT</v>
      </c>
      <c r="P794" s="29" t="str">
        <f t="shared" si="166"/>
        <v>FFTFIE3307</v>
      </c>
      <c r="Q794" s="1" t="s">
        <v>1563</v>
      </c>
      <c r="R794" s="1" t="s">
        <v>15</v>
      </c>
      <c r="S794" s="26">
        <v>30</v>
      </c>
      <c r="T794" s="26">
        <v>1470000</v>
      </c>
      <c r="U794" s="26">
        <v>601363.63636363635</v>
      </c>
      <c r="V794" s="26">
        <v>2.2222222222222223</v>
      </c>
      <c r="W794" s="26">
        <v>30</v>
      </c>
      <c r="X794" s="26">
        <v>0</v>
      </c>
    </row>
    <row r="795" spans="1:24">
      <c r="A795" s="24" t="str">
        <f t="shared" si="155"/>
        <v>신규</v>
      </c>
      <c r="B795" s="24" t="str">
        <f>IF(COUNTIF(Q$1:Q794,Q795)=0,"최초","리오더")</f>
        <v>최초</v>
      </c>
      <c r="C795" s="24" t="str">
        <f t="shared" si="156"/>
        <v>FFTFIE3308</v>
      </c>
      <c r="D795" s="24">
        <f t="shared" si="157"/>
        <v>1</v>
      </c>
      <c r="E795" s="24" t="str">
        <f t="shared" si="158"/>
        <v/>
      </c>
      <c r="F795" s="24">
        <f t="shared" si="159"/>
        <v>0</v>
      </c>
      <c r="G795" s="24" t="str">
        <f t="shared" si="160"/>
        <v>FFTFIE3308WH</v>
      </c>
      <c r="H795" s="24">
        <f t="shared" si="161"/>
        <v>1</v>
      </c>
      <c r="I795" s="24" t="str">
        <f t="shared" si="162"/>
        <v/>
      </c>
      <c r="J795" s="24">
        <f t="shared" si="163"/>
        <v>0</v>
      </c>
      <c r="K795" s="24" t="str">
        <f t="shared" si="164"/>
        <v>E3</v>
      </c>
      <c r="L795" s="24" t="str">
        <f>VLOOKUP(N795,CODE!K:P,CODE!$P$1,FALSE)</f>
        <v>모자</v>
      </c>
      <c r="M795" s="24" t="str">
        <f>VLOOKUP(MID(Q795,1,3),CODE!$B:$G,CODE!D$1,FALSE)</f>
        <v>FFT</v>
      </c>
      <c r="N795" s="24" t="str">
        <f t="shared" si="165"/>
        <v>FI</v>
      </c>
      <c r="O795" s="29" t="str">
        <f>IF(ISERROR(IF(VLOOKUP($N795,CODE!$K:$P,CODE!$O$1,FALSE)="",$M795,$M795&amp;"-"&amp;VLOOKUP($N795,CODE!$K:$P,CODE!$O$1,FALSE)))=TRUE,"",IF(VLOOKUP($N795,CODE!$K:$P,CODE!$O$1,FALSE)="",$M795,$M795&amp;"-"&amp;VLOOKUP($N795,CODE!$K:$P,CODE!$O$1,FALSE)))</f>
        <v>FFT</v>
      </c>
      <c r="P795" s="29" t="str">
        <f t="shared" si="166"/>
        <v>FFTFIE3308</v>
      </c>
      <c r="Q795" s="1" t="s">
        <v>1564</v>
      </c>
      <c r="R795" s="1" t="s">
        <v>15</v>
      </c>
      <c r="S795" s="26">
        <v>30</v>
      </c>
      <c r="T795" s="26">
        <v>1470000</v>
      </c>
      <c r="U795" s="26">
        <v>601363.63636363635</v>
      </c>
      <c r="V795" s="26">
        <v>2.2222222222222223</v>
      </c>
      <c r="W795" s="26">
        <v>30</v>
      </c>
      <c r="X795" s="26">
        <v>0</v>
      </c>
    </row>
    <row r="796" spans="1:24">
      <c r="A796" s="24" t="str">
        <f t="shared" si="155"/>
        <v>신규</v>
      </c>
      <c r="B796" s="24" t="str">
        <f>IF(COUNTIF(Q$1:Q795,Q796)=0,"최초","리오더")</f>
        <v>최초</v>
      </c>
      <c r="C796" s="24" t="str">
        <f t="shared" si="156"/>
        <v>FFTFIE3309</v>
      </c>
      <c r="D796" s="24">
        <f t="shared" si="157"/>
        <v>1</v>
      </c>
      <c r="E796" s="24" t="str">
        <f t="shared" si="158"/>
        <v/>
      </c>
      <c r="F796" s="24">
        <f t="shared" si="159"/>
        <v>0</v>
      </c>
      <c r="G796" s="24" t="str">
        <f t="shared" si="160"/>
        <v>FFTFIE3309BK</v>
      </c>
      <c r="H796" s="24">
        <f t="shared" si="161"/>
        <v>1</v>
      </c>
      <c r="I796" s="24" t="str">
        <f t="shared" si="162"/>
        <v/>
      </c>
      <c r="J796" s="24">
        <f t="shared" si="163"/>
        <v>0</v>
      </c>
      <c r="K796" s="24" t="str">
        <f t="shared" si="164"/>
        <v>E3</v>
      </c>
      <c r="L796" s="24" t="str">
        <f>VLOOKUP(N796,CODE!K:P,CODE!$P$1,FALSE)</f>
        <v>모자</v>
      </c>
      <c r="M796" s="24" t="str">
        <f>VLOOKUP(MID(Q796,1,3),CODE!$B:$G,CODE!D$1,FALSE)</f>
        <v>FFT</v>
      </c>
      <c r="N796" s="24" t="str">
        <f t="shared" si="165"/>
        <v>FI</v>
      </c>
      <c r="O796" s="29" t="str">
        <f>IF(ISERROR(IF(VLOOKUP($N796,CODE!$K:$P,CODE!$O$1,FALSE)="",$M796,$M796&amp;"-"&amp;VLOOKUP($N796,CODE!$K:$P,CODE!$O$1,FALSE)))=TRUE,"",IF(VLOOKUP($N796,CODE!$K:$P,CODE!$O$1,FALSE)="",$M796,$M796&amp;"-"&amp;VLOOKUP($N796,CODE!$K:$P,CODE!$O$1,FALSE)))</f>
        <v>FFT</v>
      </c>
      <c r="P796" s="29" t="str">
        <f t="shared" si="166"/>
        <v>FFTFIE3309</v>
      </c>
      <c r="Q796" s="1" t="s">
        <v>1565</v>
      </c>
      <c r="R796" s="1" t="s">
        <v>15</v>
      </c>
      <c r="S796" s="26">
        <v>30</v>
      </c>
      <c r="T796" s="26">
        <v>1470000</v>
      </c>
      <c r="U796" s="26">
        <v>601363.63636363635</v>
      </c>
      <c r="V796" s="26">
        <v>2.2222222222222223</v>
      </c>
      <c r="W796" s="26">
        <v>27</v>
      </c>
      <c r="X796" s="26">
        <v>0</v>
      </c>
    </row>
    <row r="797" spans="1:24">
      <c r="A797" s="24" t="str">
        <f t="shared" si="155"/>
        <v>신규</v>
      </c>
      <c r="B797" s="24" t="str">
        <f>IF(COUNTIF(Q$1:Q796,Q797)=0,"최초","리오더")</f>
        <v>최초</v>
      </c>
      <c r="C797" s="24" t="str">
        <f t="shared" si="156"/>
        <v>FFTFIE3310</v>
      </c>
      <c r="D797" s="24">
        <f t="shared" si="157"/>
        <v>1</v>
      </c>
      <c r="E797" s="24" t="str">
        <f t="shared" si="158"/>
        <v/>
      </c>
      <c r="F797" s="24">
        <f t="shared" si="159"/>
        <v>0</v>
      </c>
      <c r="G797" s="24" t="str">
        <f t="shared" si="160"/>
        <v>FFTFIE3310WH</v>
      </c>
      <c r="H797" s="24">
        <f t="shared" si="161"/>
        <v>1</v>
      </c>
      <c r="I797" s="24" t="str">
        <f t="shared" si="162"/>
        <v/>
      </c>
      <c r="J797" s="24">
        <f t="shared" si="163"/>
        <v>0</v>
      </c>
      <c r="K797" s="24" t="str">
        <f t="shared" si="164"/>
        <v>E3</v>
      </c>
      <c r="L797" s="24" t="str">
        <f>VLOOKUP(N797,CODE!K:P,CODE!$P$1,FALSE)</f>
        <v>모자</v>
      </c>
      <c r="M797" s="24" t="str">
        <f>VLOOKUP(MID(Q797,1,3),CODE!$B:$G,CODE!D$1,FALSE)</f>
        <v>FFT</v>
      </c>
      <c r="N797" s="24" t="str">
        <f t="shared" si="165"/>
        <v>FI</v>
      </c>
      <c r="O797" s="29" t="str">
        <f>IF(ISERROR(IF(VLOOKUP($N797,CODE!$K:$P,CODE!$O$1,FALSE)="",$M797,$M797&amp;"-"&amp;VLOOKUP($N797,CODE!$K:$P,CODE!$O$1,FALSE)))=TRUE,"",IF(VLOOKUP($N797,CODE!$K:$P,CODE!$O$1,FALSE)="",$M797,$M797&amp;"-"&amp;VLOOKUP($N797,CODE!$K:$P,CODE!$O$1,FALSE)))</f>
        <v>FFT</v>
      </c>
      <c r="P797" s="29" t="str">
        <f t="shared" si="166"/>
        <v>FFTFIE3310</v>
      </c>
      <c r="Q797" s="1" t="s">
        <v>1566</v>
      </c>
      <c r="R797" s="1" t="s">
        <v>15</v>
      </c>
      <c r="S797" s="26">
        <v>30</v>
      </c>
      <c r="T797" s="26">
        <v>1470000</v>
      </c>
      <c r="U797" s="26">
        <v>601363.63636363635</v>
      </c>
      <c r="V797" s="26">
        <v>2.2222222222222223</v>
      </c>
      <c r="W797" s="26">
        <v>30</v>
      </c>
      <c r="X797" s="26">
        <v>0</v>
      </c>
    </row>
    <row r="798" spans="1:24">
      <c r="A798" s="24" t="str">
        <f t="shared" si="155"/>
        <v>신규</v>
      </c>
      <c r="B798" s="24" t="str">
        <f>IF(COUNTIF(Q$1:Q797,Q798)=0,"최초","리오더")</f>
        <v>최초</v>
      </c>
      <c r="C798" s="24" t="str">
        <f t="shared" si="156"/>
        <v>FFTFIE3312</v>
      </c>
      <c r="D798" s="24">
        <f t="shared" si="157"/>
        <v>1</v>
      </c>
      <c r="E798" s="24" t="str">
        <f t="shared" si="158"/>
        <v/>
      </c>
      <c r="F798" s="24">
        <f t="shared" si="159"/>
        <v>0</v>
      </c>
      <c r="G798" s="24" t="str">
        <f t="shared" si="160"/>
        <v>FFTFIE3312BK</v>
      </c>
      <c r="H798" s="24">
        <f t="shared" si="161"/>
        <v>1</v>
      </c>
      <c r="I798" s="24" t="str">
        <f t="shared" si="162"/>
        <v/>
      </c>
      <c r="J798" s="24">
        <f t="shared" si="163"/>
        <v>0</v>
      </c>
      <c r="K798" s="24" t="str">
        <f t="shared" si="164"/>
        <v>E3</v>
      </c>
      <c r="L798" s="24" t="str">
        <f>VLOOKUP(N798,CODE!K:P,CODE!$P$1,FALSE)</f>
        <v>모자</v>
      </c>
      <c r="M798" s="24" t="str">
        <f>VLOOKUP(MID(Q798,1,3),CODE!$B:$G,CODE!D$1,FALSE)</f>
        <v>FFT</v>
      </c>
      <c r="N798" s="24" t="str">
        <f t="shared" si="165"/>
        <v>FI</v>
      </c>
      <c r="O798" s="29" t="str">
        <f>IF(ISERROR(IF(VLOOKUP($N798,CODE!$K:$P,CODE!$O$1,FALSE)="",$M798,$M798&amp;"-"&amp;VLOOKUP($N798,CODE!$K:$P,CODE!$O$1,FALSE)))=TRUE,"",IF(VLOOKUP($N798,CODE!$K:$P,CODE!$O$1,FALSE)="",$M798,$M798&amp;"-"&amp;VLOOKUP($N798,CODE!$K:$P,CODE!$O$1,FALSE)))</f>
        <v>FFT</v>
      </c>
      <c r="P798" s="29" t="str">
        <f t="shared" si="166"/>
        <v>FFTFIE3312</v>
      </c>
      <c r="Q798" s="1" t="s">
        <v>1567</v>
      </c>
      <c r="R798" s="1" t="s">
        <v>15</v>
      </c>
      <c r="S798" s="26">
        <v>150</v>
      </c>
      <c r="T798" s="26">
        <v>7350000</v>
      </c>
      <c r="U798" s="26">
        <v>3006818.1818181816</v>
      </c>
      <c r="V798" s="26">
        <v>2.2222222222222223</v>
      </c>
      <c r="W798" s="26">
        <v>150</v>
      </c>
      <c r="X798" s="26">
        <v>0</v>
      </c>
    </row>
    <row r="799" spans="1:24">
      <c r="A799" s="24" t="str">
        <f t="shared" si="155"/>
        <v>신규</v>
      </c>
      <c r="B799" s="24" t="str">
        <f>IF(COUNTIF(Q$1:Q798,Q799)=0,"최초","리오더")</f>
        <v>최초</v>
      </c>
      <c r="C799" s="24" t="str">
        <f t="shared" si="156"/>
        <v>FFTFIE3314</v>
      </c>
      <c r="D799" s="24">
        <f t="shared" si="157"/>
        <v>1</v>
      </c>
      <c r="E799" s="24" t="str">
        <f t="shared" si="158"/>
        <v/>
      </c>
      <c r="F799" s="24">
        <f t="shared" si="159"/>
        <v>0</v>
      </c>
      <c r="G799" s="24" t="str">
        <f t="shared" si="160"/>
        <v>FFTFIE3314NY</v>
      </c>
      <c r="H799" s="24">
        <f t="shared" si="161"/>
        <v>1</v>
      </c>
      <c r="I799" s="24" t="str">
        <f t="shared" si="162"/>
        <v/>
      </c>
      <c r="J799" s="24">
        <f t="shared" si="163"/>
        <v>0</v>
      </c>
      <c r="K799" s="24" t="str">
        <f t="shared" si="164"/>
        <v>E3</v>
      </c>
      <c r="L799" s="24" t="str">
        <f>VLOOKUP(N799,CODE!K:P,CODE!$P$1,FALSE)</f>
        <v>모자</v>
      </c>
      <c r="M799" s="24" t="str">
        <f>VLOOKUP(MID(Q799,1,3),CODE!$B:$G,CODE!D$1,FALSE)</f>
        <v>FFT</v>
      </c>
      <c r="N799" s="24" t="str">
        <f t="shared" si="165"/>
        <v>FI</v>
      </c>
      <c r="O799" s="29" t="str">
        <f>IF(ISERROR(IF(VLOOKUP($N799,CODE!$K:$P,CODE!$O$1,FALSE)="",$M799,$M799&amp;"-"&amp;VLOOKUP($N799,CODE!$K:$P,CODE!$O$1,FALSE)))=TRUE,"",IF(VLOOKUP($N799,CODE!$K:$P,CODE!$O$1,FALSE)="",$M799,$M799&amp;"-"&amp;VLOOKUP($N799,CODE!$K:$P,CODE!$O$1,FALSE)))</f>
        <v>FFT</v>
      </c>
      <c r="P799" s="29" t="str">
        <f t="shared" si="166"/>
        <v>FFTFIE3314</v>
      </c>
      <c r="Q799" s="1" t="s">
        <v>1568</v>
      </c>
      <c r="R799" s="1" t="s">
        <v>15</v>
      </c>
      <c r="S799" s="26">
        <v>150</v>
      </c>
      <c r="T799" s="26">
        <v>7350000</v>
      </c>
      <c r="U799" s="26">
        <v>3006818.1818181816</v>
      </c>
      <c r="V799" s="26">
        <v>2.2222222222222223</v>
      </c>
      <c r="W799" s="26">
        <v>150</v>
      </c>
      <c r="X799" s="26">
        <v>0</v>
      </c>
    </row>
    <row r="800" spans="1:24">
      <c r="A800" s="24" t="str">
        <f t="shared" si="155"/>
        <v>신규</v>
      </c>
      <c r="B800" s="24" t="str">
        <f>IF(COUNTIF(Q$1:Q799,Q800)=0,"최초","리오더")</f>
        <v>최초</v>
      </c>
      <c r="C800" s="24" t="str">
        <f t="shared" si="156"/>
        <v>FFTFIE3315</v>
      </c>
      <c r="D800" s="24">
        <f t="shared" si="157"/>
        <v>1</v>
      </c>
      <c r="E800" s="24" t="str">
        <f t="shared" si="158"/>
        <v/>
      </c>
      <c r="F800" s="24">
        <f t="shared" si="159"/>
        <v>0</v>
      </c>
      <c r="G800" s="24" t="str">
        <f t="shared" si="160"/>
        <v>FFTFIE3315BK</v>
      </c>
      <c r="H800" s="24">
        <f t="shared" si="161"/>
        <v>1</v>
      </c>
      <c r="I800" s="24" t="str">
        <f t="shared" si="162"/>
        <v/>
      </c>
      <c r="J800" s="24">
        <f t="shared" si="163"/>
        <v>0</v>
      </c>
      <c r="K800" s="24" t="str">
        <f t="shared" si="164"/>
        <v>E3</v>
      </c>
      <c r="L800" s="24" t="str">
        <f>VLOOKUP(N800,CODE!K:P,CODE!$P$1,FALSE)</f>
        <v>모자</v>
      </c>
      <c r="M800" s="24" t="str">
        <f>VLOOKUP(MID(Q800,1,3),CODE!$B:$G,CODE!D$1,FALSE)</f>
        <v>FFT</v>
      </c>
      <c r="N800" s="24" t="str">
        <f t="shared" si="165"/>
        <v>FI</v>
      </c>
      <c r="O800" s="29" t="str">
        <f>IF(ISERROR(IF(VLOOKUP($N800,CODE!$K:$P,CODE!$O$1,FALSE)="",$M800,$M800&amp;"-"&amp;VLOOKUP($N800,CODE!$K:$P,CODE!$O$1,FALSE)))=TRUE,"",IF(VLOOKUP($N800,CODE!$K:$P,CODE!$O$1,FALSE)="",$M800,$M800&amp;"-"&amp;VLOOKUP($N800,CODE!$K:$P,CODE!$O$1,FALSE)))</f>
        <v>FFT</v>
      </c>
      <c r="P800" s="29" t="str">
        <f t="shared" si="166"/>
        <v>FFTFIE3315</v>
      </c>
      <c r="Q800" s="1" t="s">
        <v>1569</v>
      </c>
      <c r="R800" s="1" t="s">
        <v>15</v>
      </c>
      <c r="S800" s="26">
        <v>30</v>
      </c>
      <c r="T800" s="26">
        <v>1470000</v>
      </c>
      <c r="U800" s="26">
        <v>601363.63636363635</v>
      </c>
      <c r="V800" s="26">
        <v>2.2222222222222223</v>
      </c>
      <c r="W800" s="26">
        <v>30</v>
      </c>
      <c r="X800" s="26">
        <v>0</v>
      </c>
    </row>
    <row r="801" spans="1:24">
      <c r="A801" s="24" t="str">
        <f t="shared" si="155"/>
        <v>신규</v>
      </c>
      <c r="B801" s="24" t="str">
        <f>IF(COUNTIF(Q$1:Q800,Q801)=0,"최초","리오더")</f>
        <v>최초</v>
      </c>
      <c r="C801" s="24" t="str">
        <f t="shared" si="156"/>
        <v>SMBBAE3359</v>
      </c>
      <c r="D801" s="24">
        <f t="shared" si="157"/>
        <v>1</v>
      </c>
      <c r="E801" s="24" t="str">
        <f t="shared" si="158"/>
        <v/>
      </c>
      <c r="F801" s="24">
        <f t="shared" si="159"/>
        <v>0</v>
      </c>
      <c r="G801" s="24" t="str">
        <f t="shared" si="160"/>
        <v>SMBBAE3359BK</v>
      </c>
      <c r="H801" s="24">
        <f t="shared" si="161"/>
        <v>1</v>
      </c>
      <c r="I801" s="24" t="str">
        <f t="shared" si="162"/>
        <v/>
      </c>
      <c r="J801" s="24">
        <f t="shared" si="163"/>
        <v>0</v>
      </c>
      <c r="K801" s="24" t="str">
        <f t="shared" si="164"/>
        <v>E3</v>
      </c>
      <c r="L801" s="24" t="str">
        <f>VLOOKUP(N801,CODE!K:P,CODE!$P$1,FALSE)</f>
        <v>모자</v>
      </c>
      <c r="M801" s="24" t="str">
        <f>VLOOKUP(MID(Q801,1,3),CODE!$B:$G,CODE!D$1,FALSE)</f>
        <v>SMB</v>
      </c>
      <c r="N801" s="24" t="str">
        <f t="shared" si="165"/>
        <v>BA</v>
      </c>
      <c r="O801" s="29" t="str">
        <f>IF(ISERROR(IF(VLOOKUP($N801,CODE!$K:$P,CODE!$O$1,FALSE)="",$M801,$M801&amp;"-"&amp;VLOOKUP($N801,CODE!$K:$P,CODE!$O$1,FALSE)))=TRUE,"",IF(VLOOKUP($N801,CODE!$K:$P,CODE!$O$1,FALSE)="",$M801,$M801&amp;"-"&amp;VLOOKUP($N801,CODE!$K:$P,CODE!$O$1,FALSE)))</f>
        <v>SMB</v>
      </c>
      <c r="P801" s="29" t="str">
        <f t="shared" si="166"/>
        <v>SMBBAE3359</v>
      </c>
      <c r="Q801" s="1" t="s">
        <v>1570</v>
      </c>
      <c r="R801" s="1" t="s">
        <v>14</v>
      </c>
      <c r="S801" s="26">
        <v>1000</v>
      </c>
      <c r="T801" s="26">
        <v>65000000</v>
      </c>
      <c r="U801" s="26">
        <v>13500000</v>
      </c>
      <c r="V801" s="26">
        <v>4.3771043771043763</v>
      </c>
      <c r="W801" s="26">
        <v>0</v>
      </c>
      <c r="X801" s="26">
        <v>1000</v>
      </c>
    </row>
    <row r="802" spans="1:24">
      <c r="A802" s="24" t="str">
        <f t="shared" ref="A802:A857" si="167">IF(OR(MID(Q802,8,1)="3",MID(Q802,8,1)="8"),"신규","러닝")</f>
        <v>러닝</v>
      </c>
      <c r="B802" s="24" t="str">
        <f>IF(COUNTIF(Q$1:Q801,Q802)=0,"최초","리오더")</f>
        <v>최초</v>
      </c>
      <c r="C802" s="24" t="str">
        <f t="shared" ref="C802:C857" si="168">IF($B802="리오더","",P802)</f>
        <v>SMBBAE3222</v>
      </c>
      <c r="D802" s="24">
        <f t="shared" ref="D802:D857" si="169">IF(C802="",0,1/COUNTIF(C:C,C802))</f>
        <v>1</v>
      </c>
      <c r="E802" s="24" t="str">
        <f t="shared" ref="E802:E857" si="170">IF($B802="리오더",P802,"")</f>
        <v/>
      </c>
      <c r="F802" s="24">
        <f t="shared" ref="F802:F857" si="171">IF(E802="",0,1/COUNTIF(E:E,E802))</f>
        <v>0</v>
      </c>
      <c r="G802" s="24" t="str">
        <f t="shared" ref="G802:G857" si="172">IF($B802="리오더","",Q802)</f>
        <v>SMBBAE3222GY</v>
      </c>
      <c r="H802" s="24">
        <f t="shared" ref="H802:H857" si="173">IF(G802="",0,1/COUNTIF(G:G,G802))</f>
        <v>1</v>
      </c>
      <c r="I802" s="24" t="str">
        <f t="shared" ref="I802:I857" si="174">IF($B802="리오더",Q802,"")</f>
        <v/>
      </c>
      <c r="J802" s="24">
        <f t="shared" ref="J802:J857" si="175">IF(I802="",0,1/COUNTIF(I:I,I802))</f>
        <v>0</v>
      </c>
      <c r="K802" s="24" t="str">
        <f t="shared" ref="K802:K857" si="176">MID(Q802,6,2)</f>
        <v>E3</v>
      </c>
      <c r="L802" s="24" t="str">
        <f>VLOOKUP(N802,CODE!K:P,CODE!$P$1,FALSE)</f>
        <v>모자</v>
      </c>
      <c r="M802" s="24" t="str">
        <f>VLOOKUP(MID(Q802,1,3),CODE!$B:$G,CODE!D$1,FALSE)</f>
        <v>SMB</v>
      </c>
      <c r="N802" s="24" t="str">
        <f t="shared" ref="N802:N857" si="177">MID(Q802,4,2)</f>
        <v>BA</v>
      </c>
      <c r="O802" s="29" t="str">
        <f>IF(ISERROR(IF(VLOOKUP($N802,CODE!$K:$P,CODE!$O$1,FALSE)="",$M802,$M802&amp;"-"&amp;VLOOKUP($N802,CODE!$K:$P,CODE!$O$1,FALSE)))=TRUE,"",IF(VLOOKUP($N802,CODE!$K:$P,CODE!$O$1,FALSE)="",$M802,$M802&amp;"-"&amp;VLOOKUP($N802,CODE!$K:$P,CODE!$O$1,FALSE)))</f>
        <v>SMB</v>
      </c>
      <c r="P802" s="29" t="str">
        <f t="shared" ref="P802:P857" si="178">MID(Q802,1,10)</f>
        <v>SMBBAE3222</v>
      </c>
      <c r="Q802" s="1" t="s">
        <v>1571</v>
      </c>
      <c r="R802" s="1" t="s">
        <v>14</v>
      </c>
      <c r="S802" s="26">
        <v>700</v>
      </c>
      <c r="T802" s="26">
        <v>34300000</v>
      </c>
      <c r="U802" s="26">
        <v>4420325</v>
      </c>
      <c r="V802" s="26">
        <v>7.0541913053493088</v>
      </c>
      <c r="W802" s="26">
        <v>0</v>
      </c>
      <c r="X802" s="26">
        <v>700</v>
      </c>
    </row>
    <row r="803" spans="1:24">
      <c r="A803" s="24" t="str">
        <f t="shared" si="167"/>
        <v>러닝</v>
      </c>
      <c r="B803" s="24" t="str">
        <f>IF(COUNTIF(Q$1:Q802,Q803)=0,"최초","리오더")</f>
        <v>최초</v>
      </c>
      <c r="C803" s="24" t="str">
        <f t="shared" si="168"/>
        <v>SMBFLE3203</v>
      </c>
      <c r="D803" s="24">
        <f t="shared" si="169"/>
        <v>1</v>
      </c>
      <c r="E803" s="24" t="str">
        <f t="shared" si="170"/>
        <v/>
      </c>
      <c r="F803" s="24">
        <f t="shared" si="171"/>
        <v>0</v>
      </c>
      <c r="G803" s="24" t="str">
        <f t="shared" si="172"/>
        <v>SMBFLE3203NY</v>
      </c>
      <c r="H803" s="24">
        <f t="shared" si="173"/>
        <v>1</v>
      </c>
      <c r="I803" s="24" t="str">
        <f t="shared" si="174"/>
        <v/>
      </c>
      <c r="J803" s="24">
        <f t="shared" si="175"/>
        <v>0</v>
      </c>
      <c r="K803" s="24" t="str">
        <f t="shared" si="176"/>
        <v>E3</v>
      </c>
      <c r="L803" s="24" t="str">
        <f>VLOOKUP(N803,CODE!K:P,CODE!$P$1,FALSE)</f>
        <v>모자</v>
      </c>
      <c r="M803" s="24" t="str">
        <f>VLOOKUP(MID(Q803,1,3),CODE!$B:$G,CODE!D$1,FALSE)</f>
        <v>SMB</v>
      </c>
      <c r="N803" s="24" t="str">
        <f t="shared" si="177"/>
        <v>FL</v>
      </c>
      <c r="O803" s="29" t="str">
        <f>IF(ISERROR(IF(VLOOKUP($N803,CODE!$K:$P,CODE!$O$1,FALSE)="",$M803,$M803&amp;"-"&amp;VLOOKUP($N803,CODE!$K:$P,CODE!$O$1,FALSE)))=TRUE,"",IF(VLOOKUP($N803,CODE!$K:$P,CODE!$O$1,FALSE)="",$M803,$M803&amp;"-"&amp;VLOOKUP($N803,CODE!$K:$P,CODE!$O$1,FALSE)))</f>
        <v>SMB</v>
      </c>
      <c r="P803" s="29" t="str">
        <f t="shared" si="178"/>
        <v>SMBFLE3203</v>
      </c>
      <c r="Q803" s="1" t="s">
        <v>1572</v>
      </c>
      <c r="R803" s="1" t="s">
        <v>14</v>
      </c>
      <c r="S803" s="26">
        <v>700</v>
      </c>
      <c r="T803" s="26">
        <v>30100000</v>
      </c>
      <c r="U803" s="26">
        <v>4096925</v>
      </c>
      <c r="V803" s="26">
        <v>6.6790669498798154</v>
      </c>
      <c r="W803" s="26">
        <v>0</v>
      </c>
      <c r="X803" s="26">
        <v>700</v>
      </c>
    </row>
    <row r="804" spans="1:24">
      <c r="A804" s="24" t="str">
        <f t="shared" si="167"/>
        <v>러닝</v>
      </c>
      <c r="B804" s="24" t="str">
        <f>IF(COUNTIF(Q$1:Q803,Q804)=0,"최초","리오더")</f>
        <v>최초</v>
      </c>
      <c r="C804" s="24" t="str">
        <f t="shared" si="168"/>
        <v>SMBFLE3205</v>
      </c>
      <c r="D804" s="24">
        <f t="shared" si="169"/>
        <v>1</v>
      </c>
      <c r="E804" s="24" t="str">
        <f t="shared" si="170"/>
        <v/>
      </c>
      <c r="F804" s="24">
        <f t="shared" si="171"/>
        <v>0</v>
      </c>
      <c r="G804" s="24" t="str">
        <f t="shared" si="172"/>
        <v>SMBFLE3205NY</v>
      </c>
      <c r="H804" s="24">
        <f t="shared" si="173"/>
        <v>1</v>
      </c>
      <c r="I804" s="24" t="str">
        <f t="shared" si="174"/>
        <v/>
      </c>
      <c r="J804" s="24">
        <f t="shared" si="175"/>
        <v>0</v>
      </c>
      <c r="K804" s="24" t="str">
        <f t="shared" si="176"/>
        <v>E3</v>
      </c>
      <c r="L804" s="24" t="str">
        <f>VLOOKUP(N804,CODE!K:P,CODE!$P$1,FALSE)</f>
        <v>모자</v>
      </c>
      <c r="M804" s="24" t="str">
        <f>VLOOKUP(MID(Q804,1,3),CODE!$B:$G,CODE!D$1,FALSE)</f>
        <v>SMB</v>
      </c>
      <c r="N804" s="24" t="str">
        <f t="shared" si="177"/>
        <v>FL</v>
      </c>
      <c r="O804" s="29" t="str">
        <f>IF(ISERROR(IF(VLOOKUP($N804,CODE!$K:$P,CODE!$O$1,FALSE)="",$M804,$M804&amp;"-"&amp;VLOOKUP($N804,CODE!$K:$P,CODE!$O$1,FALSE)))=TRUE,"",IF(VLOOKUP($N804,CODE!$K:$P,CODE!$O$1,FALSE)="",$M804,$M804&amp;"-"&amp;VLOOKUP($N804,CODE!$K:$P,CODE!$O$1,FALSE)))</f>
        <v>SMB</v>
      </c>
      <c r="P804" s="29" t="str">
        <f t="shared" si="178"/>
        <v>SMBFLE3205</v>
      </c>
      <c r="Q804" s="1" t="s">
        <v>1573</v>
      </c>
      <c r="R804" s="1" t="s">
        <v>14</v>
      </c>
      <c r="S804" s="26">
        <v>700</v>
      </c>
      <c r="T804" s="26">
        <v>30100000</v>
      </c>
      <c r="U804" s="26">
        <v>4258625</v>
      </c>
      <c r="V804" s="26">
        <v>6.4254627640697084</v>
      </c>
      <c r="W804" s="26">
        <v>0</v>
      </c>
      <c r="X804" s="26">
        <v>700</v>
      </c>
    </row>
    <row r="805" spans="1:24">
      <c r="A805" s="24" t="str">
        <f t="shared" si="167"/>
        <v>러닝</v>
      </c>
      <c r="B805" s="24" t="str">
        <f>IF(COUNTIF(Q$1:Q804,Q805)=0,"최초","리오더")</f>
        <v>최초</v>
      </c>
      <c r="C805" s="24" t="str">
        <f t="shared" si="168"/>
        <v>SMBFLE3208</v>
      </c>
      <c r="D805" s="24">
        <f t="shared" si="169"/>
        <v>1</v>
      </c>
      <c r="E805" s="24" t="str">
        <f t="shared" si="170"/>
        <v/>
      </c>
      <c r="F805" s="24">
        <f t="shared" si="171"/>
        <v>0</v>
      </c>
      <c r="G805" s="24" t="str">
        <f t="shared" si="172"/>
        <v>SMBFLE3208BK</v>
      </c>
      <c r="H805" s="24">
        <f t="shared" si="173"/>
        <v>1</v>
      </c>
      <c r="I805" s="24" t="str">
        <f t="shared" si="174"/>
        <v/>
      </c>
      <c r="J805" s="24">
        <f t="shared" si="175"/>
        <v>0</v>
      </c>
      <c r="K805" s="24" t="str">
        <f t="shared" si="176"/>
        <v>E3</v>
      </c>
      <c r="L805" s="24" t="str">
        <f>VLOOKUP(N805,CODE!K:P,CODE!$P$1,FALSE)</f>
        <v>모자</v>
      </c>
      <c r="M805" s="24" t="str">
        <f>VLOOKUP(MID(Q805,1,3),CODE!$B:$G,CODE!D$1,FALSE)</f>
        <v>SMB</v>
      </c>
      <c r="N805" s="24" t="str">
        <f t="shared" si="177"/>
        <v>FL</v>
      </c>
      <c r="O805" s="29" t="str">
        <f>IF(ISERROR(IF(VLOOKUP($N805,CODE!$K:$P,CODE!$O$1,FALSE)="",$M805,$M805&amp;"-"&amp;VLOOKUP($N805,CODE!$K:$P,CODE!$O$1,FALSE)))=TRUE,"",IF(VLOOKUP($N805,CODE!$K:$P,CODE!$O$1,FALSE)="",$M805,$M805&amp;"-"&amp;VLOOKUP($N805,CODE!$K:$P,CODE!$O$1,FALSE)))</f>
        <v>SMB</v>
      </c>
      <c r="P805" s="29" t="str">
        <f t="shared" si="178"/>
        <v>SMBFLE3208</v>
      </c>
      <c r="Q805" s="1" t="s">
        <v>1574</v>
      </c>
      <c r="R805" s="1" t="s">
        <v>14</v>
      </c>
      <c r="S805" s="26">
        <v>300</v>
      </c>
      <c r="T805" s="26">
        <v>12900000</v>
      </c>
      <c r="U805" s="26">
        <v>1773149.9999999995</v>
      </c>
      <c r="V805" s="26">
        <v>6.6138074766786401</v>
      </c>
      <c r="W805" s="26">
        <v>0</v>
      </c>
      <c r="X805" s="26">
        <v>300</v>
      </c>
    </row>
    <row r="806" spans="1:24">
      <c r="A806" s="24" t="str">
        <f t="shared" si="167"/>
        <v>러닝</v>
      </c>
      <c r="B806" s="24" t="str">
        <f>IF(COUNTIF(Q$1:Q805,Q806)=0,"최초","리오더")</f>
        <v>최초</v>
      </c>
      <c r="C806" s="24" t="str">
        <f t="shared" si="168"/>
        <v>SMBFLE3241</v>
      </c>
      <c r="D806" s="24">
        <f t="shared" si="169"/>
        <v>1</v>
      </c>
      <c r="E806" s="24" t="str">
        <f t="shared" si="170"/>
        <v/>
      </c>
      <c r="F806" s="24">
        <f t="shared" si="171"/>
        <v>0</v>
      </c>
      <c r="G806" s="24" t="str">
        <f t="shared" si="172"/>
        <v>SMBFLE3241BK</v>
      </c>
      <c r="H806" s="24">
        <f t="shared" si="173"/>
        <v>1</v>
      </c>
      <c r="I806" s="24" t="str">
        <f t="shared" si="174"/>
        <v/>
      </c>
      <c r="J806" s="24">
        <f t="shared" si="175"/>
        <v>0</v>
      </c>
      <c r="K806" s="24" t="str">
        <f t="shared" si="176"/>
        <v>E3</v>
      </c>
      <c r="L806" s="24" t="str">
        <f>VLOOKUP(N806,CODE!K:P,CODE!$P$1,FALSE)</f>
        <v>모자</v>
      </c>
      <c r="M806" s="24" t="str">
        <f>VLOOKUP(MID(Q806,1,3),CODE!$B:$G,CODE!D$1,FALSE)</f>
        <v>SMB</v>
      </c>
      <c r="N806" s="24" t="str">
        <f t="shared" si="177"/>
        <v>FL</v>
      </c>
      <c r="O806" s="29" t="str">
        <f>IF(ISERROR(IF(VLOOKUP($N806,CODE!$K:$P,CODE!$O$1,FALSE)="",$M806,$M806&amp;"-"&amp;VLOOKUP($N806,CODE!$K:$P,CODE!$O$1,FALSE)))=TRUE,"",IF(VLOOKUP($N806,CODE!$K:$P,CODE!$O$1,FALSE)="",$M806,$M806&amp;"-"&amp;VLOOKUP($N806,CODE!$K:$P,CODE!$O$1,FALSE)))</f>
        <v>SMB</v>
      </c>
      <c r="P806" s="29" t="str">
        <f t="shared" si="178"/>
        <v>SMBFLE3241</v>
      </c>
      <c r="Q806" s="1" t="s">
        <v>1575</v>
      </c>
      <c r="R806" s="1" t="s">
        <v>14</v>
      </c>
      <c r="S806" s="26">
        <v>500</v>
      </c>
      <c r="T806" s="26">
        <v>22500000</v>
      </c>
      <c r="U806" s="26">
        <v>2810875</v>
      </c>
      <c r="V806" s="26">
        <v>7.2769317221667453</v>
      </c>
      <c r="W806" s="26">
        <v>0</v>
      </c>
      <c r="X806" s="26">
        <v>500</v>
      </c>
    </row>
    <row r="807" spans="1:24">
      <c r="A807" s="24" t="str">
        <f t="shared" si="167"/>
        <v>러닝</v>
      </c>
      <c r="B807" s="24" t="str">
        <f>IF(COUNTIF(Q$1:Q806,Q807)=0,"최초","리오더")</f>
        <v>최초</v>
      </c>
      <c r="C807" s="24" t="str">
        <f t="shared" si="168"/>
        <v>ELSFIE3220</v>
      </c>
      <c r="D807" s="24">
        <f t="shared" si="169"/>
        <v>1</v>
      </c>
      <c r="E807" s="24" t="str">
        <f t="shared" si="170"/>
        <v/>
      </c>
      <c r="F807" s="24">
        <f t="shared" si="171"/>
        <v>0</v>
      </c>
      <c r="G807" s="24" t="str">
        <f t="shared" si="172"/>
        <v>ELSFIE3220GY</v>
      </c>
      <c r="H807" s="24">
        <f t="shared" si="173"/>
        <v>1</v>
      </c>
      <c r="I807" s="24" t="str">
        <f t="shared" si="174"/>
        <v/>
      </c>
      <c r="J807" s="24">
        <f t="shared" si="175"/>
        <v>0</v>
      </c>
      <c r="K807" s="24" t="str">
        <f t="shared" si="176"/>
        <v>E3</v>
      </c>
      <c r="L807" s="24" t="str">
        <f>VLOOKUP(N807,CODE!K:P,CODE!$P$1,FALSE)</f>
        <v>모자</v>
      </c>
      <c r="M807" s="24" t="str">
        <f>VLOOKUP(MID(Q807,1,3),CODE!$B:$G,CODE!D$1,FALSE)</f>
        <v>ELS</v>
      </c>
      <c r="N807" s="24" t="str">
        <f t="shared" si="177"/>
        <v>FI</v>
      </c>
      <c r="O807" s="29" t="str">
        <f>IF(ISERROR(IF(VLOOKUP($N807,CODE!$K:$P,CODE!$O$1,FALSE)="",$M807,$M807&amp;"-"&amp;VLOOKUP($N807,CODE!$K:$P,CODE!$O$1,FALSE)))=TRUE,"",IF(VLOOKUP($N807,CODE!$K:$P,CODE!$O$1,FALSE)="",$M807,$M807&amp;"-"&amp;VLOOKUP($N807,CODE!$K:$P,CODE!$O$1,FALSE)))</f>
        <v>ELS</v>
      </c>
      <c r="P807" s="29" t="str">
        <f t="shared" si="178"/>
        <v>ELSFIE3220</v>
      </c>
      <c r="Q807" s="1" t="s">
        <v>1576</v>
      </c>
      <c r="R807" s="1" t="s">
        <v>14</v>
      </c>
      <c r="S807" s="26">
        <v>1000</v>
      </c>
      <c r="T807" s="26">
        <v>59000000</v>
      </c>
      <c r="U807" s="26">
        <v>7662337.6623376617</v>
      </c>
      <c r="V807" s="26">
        <v>7</v>
      </c>
      <c r="W807" s="26">
        <v>0</v>
      </c>
      <c r="X807" s="26">
        <v>1000</v>
      </c>
    </row>
    <row r="808" spans="1:24">
      <c r="A808" s="24" t="str">
        <f t="shared" si="167"/>
        <v>러닝</v>
      </c>
      <c r="B808" s="24" t="str">
        <f>IF(COUNTIF(Q$1:Q807,Q808)=0,"최초","리오더")</f>
        <v>최초</v>
      </c>
      <c r="C808" s="24" t="str">
        <f t="shared" si="168"/>
        <v>ELSUME3014</v>
      </c>
      <c r="D808" s="24">
        <f t="shared" si="169"/>
        <v>0.5</v>
      </c>
      <c r="E808" s="24" t="str">
        <f t="shared" si="170"/>
        <v/>
      </c>
      <c r="F808" s="24">
        <f t="shared" si="171"/>
        <v>0</v>
      </c>
      <c r="G808" s="24" t="str">
        <f t="shared" si="172"/>
        <v>ELSUME3014YE</v>
      </c>
      <c r="H808" s="24">
        <f t="shared" si="173"/>
        <v>1</v>
      </c>
      <c r="I808" s="24" t="str">
        <f t="shared" si="174"/>
        <v/>
      </c>
      <c r="J808" s="24">
        <f t="shared" si="175"/>
        <v>0</v>
      </c>
      <c r="K808" s="24" t="str">
        <f t="shared" si="176"/>
        <v>E3</v>
      </c>
      <c r="L808" s="24" t="str">
        <f>VLOOKUP(N808,CODE!K:P,CODE!$P$1,FALSE)</f>
        <v>모자</v>
      </c>
      <c r="M808" s="24" t="str">
        <f>VLOOKUP(MID(Q808,1,3),CODE!$B:$G,CODE!D$1,FALSE)</f>
        <v>ELS</v>
      </c>
      <c r="N808" s="24" t="str">
        <f t="shared" si="177"/>
        <v>UM</v>
      </c>
      <c r="O808" s="29" t="str">
        <f>IF(ISERROR(IF(VLOOKUP($N808,CODE!$K:$P,CODE!$O$1,FALSE)="",$M808,$M808&amp;"-"&amp;VLOOKUP($N808,CODE!$K:$P,CODE!$O$1,FALSE)))=TRUE,"",IF(VLOOKUP($N808,CODE!$K:$P,CODE!$O$1,FALSE)="",$M808,$M808&amp;"-"&amp;VLOOKUP($N808,CODE!$K:$P,CODE!$O$1,FALSE)))</f>
        <v>ELS</v>
      </c>
      <c r="P808" s="29" t="str">
        <f t="shared" si="178"/>
        <v>ELSUME3014</v>
      </c>
      <c r="Q808" s="1" t="s">
        <v>1577</v>
      </c>
      <c r="R808" s="1" t="s">
        <v>14</v>
      </c>
      <c r="S808" s="26">
        <v>1000</v>
      </c>
      <c r="T808" s="26">
        <v>45000000</v>
      </c>
      <c r="U808" s="26">
        <v>5844155.8441558434</v>
      </c>
      <c r="V808" s="26">
        <v>7</v>
      </c>
      <c r="W808" s="26">
        <v>0</v>
      </c>
      <c r="X808" s="26">
        <v>1000</v>
      </c>
    </row>
    <row r="809" spans="1:24">
      <c r="A809" s="24" t="str">
        <f t="shared" si="167"/>
        <v>러닝</v>
      </c>
      <c r="B809" s="24" t="str">
        <f>IF(COUNTIF(Q$1:Q808,Q809)=0,"최초","리오더")</f>
        <v>최초</v>
      </c>
      <c r="C809" s="24" t="str">
        <f t="shared" si="168"/>
        <v>HCUMIE3002</v>
      </c>
      <c r="D809" s="24">
        <f t="shared" si="169"/>
        <v>1</v>
      </c>
      <c r="E809" s="24" t="str">
        <f t="shared" si="170"/>
        <v/>
      </c>
      <c r="F809" s="24">
        <f t="shared" si="171"/>
        <v>0</v>
      </c>
      <c r="G809" s="24" t="str">
        <f t="shared" si="172"/>
        <v>HCUMIE3002KH</v>
      </c>
      <c r="H809" s="24">
        <f t="shared" si="173"/>
        <v>1</v>
      </c>
      <c r="I809" s="24" t="str">
        <f t="shared" si="174"/>
        <v/>
      </c>
      <c r="J809" s="24">
        <f t="shared" si="175"/>
        <v>0</v>
      </c>
      <c r="K809" s="24" t="str">
        <f t="shared" si="176"/>
        <v>E3</v>
      </c>
      <c r="L809" s="24" t="str">
        <f>VLOOKUP(N809,CODE!K:P,CODE!$P$1,FALSE)</f>
        <v>모자</v>
      </c>
      <c r="M809" s="24" t="str">
        <f>VLOOKUP(MID(Q809,1,3),CODE!$B:$G,CODE!D$1,FALSE)</f>
        <v>HCU</v>
      </c>
      <c r="N809" s="24" t="str">
        <f t="shared" si="177"/>
        <v>MI</v>
      </c>
      <c r="O809" s="29" t="str">
        <f>IF(ISERROR(IF(VLOOKUP($N809,CODE!$K:$P,CODE!$O$1,FALSE)="",$M809,$M809&amp;"-"&amp;VLOOKUP($N809,CODE!$K:$P,CODE!$O$1,FALSE)))=TRUE,"",IF(VLOOKUP($N809,CODE!$K:$P,CODE!$O$1,FALSE)="",$M809,$M809&amp;"-"&amp;VLOOKUP($N809,CODE!$K:$P,CODE!$O$1,FALSE)))</f>
        <v>HCU</v>
      </c>
      <c r="P809" s="29" t="str">
        <f t="shared" si="178"/>
        <v>HCUMIE3002</v>
      </c>
      <c r="Q809" s="1" t="s">
        <v>1578</v>
      </c>
      <c r="R809" s="1" t="s">
        <v>14</v>
      </c>
      <c r="S809" s="26">
        <v>1000</v>
      </c>
      <c r="T809" s="26">
        <v>45000000</v>
      </c>
      <c r="U809" s="26">
        <v>6818181.8181818174</v>
      </c>
      <c r="V809" s="26">
        <v>6</v>
      </c>
      <c r="W809" s="26">
        <v>0</v>
      </c>
      <c r="X809" s="26">
        <v>1000</v>
      </c>
    </row>
    <row r="810" spans="1:24" hidden="1">
      <c r="A810" s="24" t="str">
        <f t="shared" si="167"/>
        <v>신규</v>
      </c>
      <c r="B810" s="24" t="str">
        <f>IF(COUNTIF(Q$1:Q809,Q810)=0,"최초","리오더")</f>
        <v>리오더</v>
      </c>
      <c r="C810" s="24" t="str">
        <f t="shared" si="168"/>
        <v/>
      </c>
      <c r="D810" s="24">
        <f t="shared" si="169"/>
        <v>0</v>
      </c>
      <c r="E810" s="24" t="str">
        <f t="shared" si="170"/>
        <v>HCUMIE3302</v>
      </c>
      <c r="F810" s="24">
        <f t="shared" si="171"/>
        <v>1</v>
      </c>
      <c r="G810" s="24" t="str">
        <f t="shared" si="172"/>
        <v/>
      </c>
      <c r="H810" s="24">
        <f t="shared" si="173"/>
        <v>0</v>
      </c>
      <c r="I810" s="24" t="str">
        <f t="shared" si="174"/>
        <v>HCUMIE3302GY</v>
      </c>
      <c r="J810" s="24">
        <f t="shared" si="175"/>
        <v>1</v>
      </c>
      <c r="K810" s="24" t="str">
        <f t="shared" si="176"/>
        <v>E3</v>
      </c>
      <c r="L810" s="24" t="str">
        <f>VLOOKUP(N810,CODE!K:P,CODE!$P$1,FALSE)</f>
        <v>모자</v>
      </c>
      <c r="M810" s="24" t="str">
        <f>VLOOKUP(MID(Q810,1,3),CODE!$B:$G,CODE!D$1,FALSE)</f>
        <v>HCU</v>
      </c>
      <c r="N810" s="24" t="str">
        <f t="shared" si="177"/>
        <v>MI</v>
      </c>
      <c r="O810" s="29" t="str">
        <f>IF(ISERROR(IF(VLOOKUP($N810,CODE!$K:$P,CODE!$O$1,FALSE)="",$M810,$M810&amp;"-"&amp;VLOOKUP($N810,CODE!$K:$P,CODE!$O$1,FALSE)))=TRUE,"",IF(VLOOKUP($N810,CODE!$K:$P,CODE!$O$1,FALSE)="",$M810,$M810&amp;"-"&amp;VLOOKUP($N810,CODE!$K:$P,CODE!$O$1,FALSE)))</f>
        <v>HCU</v>
      </c>
      <c r="P810" s="29" t="str">
        <f t="shared" si="178"/>
        <v>HCUMIE3302</v>
      </c>
      <c r="Q810" s="1" t="s">
        <v>909</v>
      </c>
      <c r="R810" s="1" t="s">
        <v>14</v>
      </c>
      <c r="S810" s="26">
        <v>2000</v>
      </c>
      <c r="T810" s="26">
        <v>70000000</v>
      </c>
      <c r="U810" s="26">
        <v>10606060.606060605</v>
      </c>
      <c r="V810" s="26">
        <v>5.9999999999999991</v>
      </c>
      <c r="W810" s="26">
        <v>0</v>
      </c>
      <c r="X810" s="26">
        <v>2000</v>
      </c>
    </row>
    <row r="811" spans="1:24">
      <c r="A811" s="24" t="str">
        <f t="shared" si="167"/>
        <v>러닝</v>
      </c>
      <c r="B811" s="24" t="str">
        <f>IF(COUNTIF(Q$1:Q810,Q811)=0,"최초","리오더")</f>
        <v>최초</v>
      </c>
      <c r="C811" s="24" t="str">
        <f t="shared" si="168"/>
        <v>JILMIE3152</v>
      </c>
      <c r="D811" s="24">
        <f t="shared" si="169"/>
        <v>0.2</v>
      </c>
      <c r="E811" s="24" t="str">
        <f t="shared" si="170"/>
        <v/>
      </c>
      <c r="F811" s="24">
        <f t="shared" si="171"/>
        <v>0</v>
      </c>
      <c r="G811" s="24" t="str">
        <f t="shared" si="172"/>
        <v>JILMIE3152KH</v>
      </c>
      <c r="H811" s="24">
        <f t="shared" si="173"/>
        <v>1</v>
      </c>
      <c r="I811" s="24" t="str">
        <f t="shared" si="174"/>
        <v/>
      </c>
      <c r="J811" s="24">
        <f t="shared" si="175"/>
        <v>0</v>
      </c>
      <c r="K811" s="24" t="str">
        <f t="shared" si="176"/>
        <v>E3</v>
      </c>
      <c r="L811" s="24" t="str">
        <f>VLOOKUP(N811,CODE!K:P,CODE!$P$1,FALSE)</f>
        <v>모자</v>
      </c>
      <c r="M811" s="24" t="str">
        <f>VLOOKUP(MID(Q811,1,3),CODE!$B:$G,CODE!D$1,FALSE)</f>
        <v>JIL</v>
      </c>
      <c r="N811" s="24" t="str">
        <f t="shared" si="177"/>
        <v>MI</v>
      </c>
      <c r="O811" s="29" t="str">
        <f>IF(ISERROR(IF(VLOOKUP($N811,CODE!$K:$P,CODE!$O$1,FALSE)="",$M811,$M811&amp;"-"&amp;VLOOKUP($N811,CODE!$K:$P,CODE!$O$1,FALSE)))=TRUE,"",IF(VLOOKUP($N811,CODE!$K:$P,CODE!$O$1,FALSE)="",$M811,$M811&amp;"-"&amp;VLOOKUP($N811,CODE!$K:$P,CODE!$O$1,FALSE)))</f>
        <v>JIL</v>
      </c>
      <c r="P811" s="29" t="str">
        <f t="shared" si="178"/>
        <v>JILMIE3152</v>
      </c>
      <c r="Q811" s="1" t="s">
        <v>1579</v>
      </c>
      <c r="R811" s="1" t="s">
        <v>14</v>
      </c>
      <c r="S811" s="26">
        <v>1000</v>
      </c>
      <c r="T811" s="26">
        <v>45000000</v>
      </c>
      <c r="U811" s="26">
        <v>6673590</v>
      </c>
      <c r="V811" s="26">
        <v>6.1299976338209126</v>
      </c>
      <c r="W811" s="26">
        <v>0</v>
      </c>
      <c r="X811" s="26">
        <v>1000</v>
      </c>
    </row>
    <row r="812" spans="1:24">
      <c r="A812" s="24" t="str">
        <f t="shared" si="167"/>
        <v>러닝</v>
      </c>
      <c r="B812" s="24" t="str">
        <f>IF(COUNTIF(Q$1:Q811,Q812)=0,"최초","리오더")</f>
        <v>최초</v>
      </c>
      <c r="C812" s="24" t="str">
        <f t="shared" si="168"/>
        <v>JILMIE3152</v>
      </c>
      <c r="D812" s="24">
        <f t="shared" si="169"/>
        <v>0.2</v>
      </c>
      <c r="E812" s="24" t="str">
        <f t="shared" si="170"/>
        <v/>
      </c>
      <c r="F812" s="24">
        <f t="shared" si="171"/>
        <v>0</v>
      </c>
      <c r="G812" s="24" t="str">
        <f t="shared" si="172"/>
        <v>JILMIE3152NY</v>
      </c>
      <c r="H812" s="24">
        <f t="shared" si="173"/>
        <v>1</v>
      </c>
      <c r="I812" s="24" t="str">
        <f t="shared" si="174"/>
        <v/>
      </c>
      <c r="J812" s="24">
        <f t="shared" si="175"/>
        <v>0</v>
      </c>
      <c r="K812" s="24" t="str">
        <f t="shared" si="176"/>
        <v>E3</v>
      </c>
      <c r="L812" s="24" t="str">
        <f>VLOOKUP(N812,CODE!K:P,CODE!$P$1,FALSE)</f>
        <v>모자</v>
      </c>
      <c r="M812" s="24" t="str">
        <f>VLOOKUP(MID(Q812,1,3),CODE!$B:$G,CODE!D$1,FALSE)</f>
        <v>JIL</v>
      </c>
      <c r="N812" s="24" t="str">
        <f t="shared" si="177"/>
        <v>MI</v>
      </c>
      <c r="O812" s="29" t="str">
        <f>IF(ISERROR(IF(VLOOKUP($N812,CODE!$K:$P,CODE!$O$1,FALSE)="",$M812,$M812&amp;"-"&amp;VLOOKUP($N812,CODE!$K:$P,CODE!$O$1,FALSE)))=TRUE,"",IF(VLOOKUP($N812,CODE!$K:$P,CODE!$O$1,FALSE)="",$M812,$M812&amp;"-"&amp;VLOOKUP($N812,CODE!$K:$P,CODE!$O$1,FALSE)))</f>
        <v>JIL</v>
      </c>
      <c r="P812" s="29" t="str">
        <f t="shared" si="178"/>
        <v>JILMIE3152</v>
      </c>
      <c r="Q812" s="1" t="s">
        <v>1580</v>
      </c>
      <c r="R812" s="1" t="s">
        <v>14</v>
      </c>
      <c r="S812" s="26">
        <v>700</v>
      </c>
      <c r="T812" s="26">
        <v>31500000</v>
      </c>
      <c r="U812" s="26">
        <v>4671513</v>
      </c>
      <c r="V812" s="26">
        <v>6.1299976338209126</v>
      </c>
      <c r="W812" s="26">
        <v>0</v>
      </c>
      <c r="X812" s="26">
        <v>700</v>
      </c>
    </row>
    <row r="813" spans="1:24" hidden="1">
      <c r="A813" s="24" t="str">
        <f t="shared" si="167"/>
        <v>신규</v>
      </c>
      <c r="B813" s="24" t="str">
        <f>IF(COUNTIF(Q$1:Q812,Q813)=0,"최초","리오더")</f>
        <v>리오더</v>
      </c>
      <c r="C813" s="24" t="str">
        <f t="shared" si="168"/>
        <v/>
      </c>
      <c r="D813" s="24">
        <f t="shared" si="169"/>
        <v>0</v>
      </c>
      <c r="E813" s="24" t="str">
        <f t="shared" si="170"/>
        <v>JILMIE3311</v>
      </c>
      <c r="F813" s="24">
        <f t="shared" si="171"/>
        <v>0.5</v>
      </c>
      <c r="G813" s="24" t="str">
        <f t="shared" si="172"/>
        <v/>
      </c>
      <c r="H813" s="24">
        <f t="shared" si="173"/>
        <v>0</v>
      </c>
      <c r="I813" s="24" t="str">
        <f t="shared" si="174"/>
        <v>JILMIE3311BK</v>
      </c>
      <c r="J813" s="24">
        <f t="shared" si="175"/>
        <v>1</v>
      </c>
      <c r="K813" s="24" t="str">
        <f t="shared" si="176"/>
        <v>E3</v>
      </c>
      <c r="L813" s="24" t="str">
        <f>VLOOKUP(N813,CODE!K:P,CODE!$P$1,FALSE)</f>
        <v>모자</v>
      </c>
      <c r="M813" s="24" t="str">
        <f>VLOOKUP(MID(Q813,1,3),CODE!$B:$G,CODE!D$1,FALSE)</f>
        <v>JIL</v>
      </c>
      <c r="N813" s="24" t="str">
        <f t="shared" si="177"/>
        <v>MI</v>
      </c>
      <c r="O813" s="29" t="str">
        <f>IF(ISERROR(IF(VLOOKUP($N813,CODE!$K:$P,CODE!$O$1,FALSE)="",$M813,$M813&amp;"-"&amp;VLOOKUP($N813,CODE!$K:$P,CODE!$O$1,FALSE)))=TRUE,"",IF(VLOOKUP($N813,CODE!$K:$P,CODE!$O$1,FALSE)="",$M813,$M813&amp;"-"&amp;VLOOKUP($N813,CODE!$K:$P,CODE!$O$1,FALSE)))</f>
        <v>JIL</v>
      </c>
      <c r="P813" s="29" t="str">
        <f t="shared" si="178"/>
        <v>JILMIE3311</v>
      </c>
      <c r="Q813" s="1" t="s">
        <v>912</v>
      </c>
      <c r="R813" s="1" t="s">
        <v>14</v>
      </c>
      <c r="S813" s="26">
        <v>3000</v>
      </c>
      <c r="T813" s="26">
        <v>87000000</v>
      </c>
      <c r="U813" s="26">
        <v>14285178.000000002</v>
      </c>
      <c r="V813" s="26">
        <v>5.5365714792569669</v>
      </c>
      <c r="W813" s="26">
        <v>0</v>
      </c>
      <c r="X813" s="26">
        <v>3000</v>
      </c>
    </row>
    <row r="814" spans="1:24" hidden="1">
      <c r="A814" s="24" t="str">
        <f t="shared" si="167"/>
        <v>신규</v>
      </c>
      <c r="B814" s="24" t="str">
        <f>IF(COUNTIF(Q$1:Q813,Q814)=0,"최초","리오더")</f>
        <v>리오더</v>
      </c>
      <c r="C814" s="24" t="str">
        <f t="shared" si="168"/>
        <v/>
      </c>
      <c r="D814" s="24">
        <f t="shared" si="169"/>
        <v>0</v>
      </c>
      <c r="E814" s="24" t="str">
        <f t="shared" si="170"/>
        <v>JILMIE3311</v>
      </c>
      <c r="F814" s="24">
        <f t="shared" si="171"/>
        <v>0.5</v>
      </c>
      <c r="G814" s="24" t="str">
        <f t="shared" si="172"/>
        <v/>
      </c>
      <c r="H814" s="24">
        <f t="shared" si="173"/>
        <v>0</v>
      </c>
      <c r="I814" s="24" t="str">
        <f t="shared" si="174"/>
        <v>JILMIE3311NY</v>
      </c>
      <c r="J814" s="24">
        <f t="shared" si="175"/>
        <v>1</v>
      </c>
      <c r="K814" s="24" t="str">
        <f t="shared" si="176"/>
        <v>E3</v>
      </c>
      <c r="L814" s="24" t="str">
        <f>VLOOKUP(N814,CODE!K:P,CODE!$P$1,FALSE)</f>
        <v>모자</v>
      </c>
      <c r="M814" s="24" t="str">
        <f>VLOOKUP(MID(Q814,1,3),CODE!$B:$G,CODE!D$1,FALSE)</f>
        <v>JIL</v>
      </c>
      <c r="N814" s="24" t="str">
        <f t="shared" si="177"/>
        <v>MI</v>
      </c>
      <c r="O814" s="29" t="str">
        <f>IF(ISERROR(IF(VLOOKUP($N814,CODE!$K:$P,CODE!$O$1,FALSE)="",$M814,$M814&amp;"-"&amp;VLOOKUP($N814,CODE!$K:$P,CODE!$O$1,FALSE)))=TRUE,"",IF(VLOOKUP($N814,CODE!$K:$P,CODE!$O$1,FALSE)="",$M814,$M814&amp;"-"&amp;VLOOKUP($N814,CODE!$K:$P,CODE!$O$1,FALSE)))</f>
        <v>JIL</v>
      </c>
      <c r="P814" s="29" t="str">
        <f t="shared" si="178"/>
        <v>JILMIE3311</v>
      </c>
      <c r="Q814" s="1" t="s">
        <v>913</v>
      </c>
      <c r="R814" s="1" t="s">
        <v>14</v>
      </c>
      <c r="S814" s="26">
        <v>5000</v>
      </c>
      <c r="T814" s="26">
        <v>145000000</v>
      </c>
      <c r="U814" s="26">
        <v>22658630.000000004</v>
      </c>
      <c r="V814" s="26">
        <v>5.8175706924108725</v>
      </c>
      <c r="W814" s="26">
        <v>0</v>
      </c>
      <c r="X814" s="26">
        <v>5000</v>
      </c>
    </row>
    <row r="815" spans="1:24" hidden="1">
      <c r="A815" s="24" t="str">
        <f t="shared" si="167"/>
        <v>신규</v>
      </c>
      <c r="B815" s="24" t="str">
        <f>IF(COUNTIF(Q$1:Q814,Q815)=0,"최초","리오더")</f>
        <v>리오더</v>
      </c>
      <c r="C815" s="24" t="str">
        <f t="shared" si="168"/>
        <v/>
      </c>
      <c r="D815" s="24">
        <f t="shared" si="169"/>
        <v>0</v>
      </c>
      <c r="E815" s="24" t="str">
        <f t="shared" si="170"/>
        <v>JILMIE3314</v>
      </c>
      <c r="F815" s="24">
        <f t="shared" si="171"/>
        <v>1</v>
      </c>
      <c r="G815" s="24" t="str">
        <f t="shared" si="172"/>
        <v/>
      </c>
      <c r="H815" s="24">
        <f t="shared" si="173"/>
        <v>0</v>
      </c>
      <c r="I815" s="24" t="str">
        <f t="shared" si="174"/>
        <v>JILMIE3314BK</v>
      </c>
      <c r="J815" s="24">
        <f t="shared" si="175"/>
        <v>1</v>
      </c>
      <c r="K815" s="24" t="str">
        <f t="shared" si="176"/>
        <v>E3</v>
      </c>
      <c r="L815" s="24" t="str">
        <f>VLOOKUP(N815,CODE!K:P,CODE!$P$1,FALSE)</f>
        <v>모자</v>
      </c>
      <c r="M815" s="24" t="str">
        <f>VLOOKUP(MID(Q815,1,3),CODE!$B:$G,CODE!D$1,FALSE)</f>
        <v>JIL</v>
      </c>
      <c r="N815" s="24" t="str">
        <f t="shared" si="177"/>
        <v>MI</v>
      </c>
      <c r="O815" s="29" t="str">
        <f>IF(ISERROR(IF(VLOOKUP($N815,CODE!$K:$P,CODE!$O$1,FALSE)="",$M815,$M815&amp;"-"&amp;VLOOKUP($N815,CODE!$K:$P,CODE!$O$1,FALSE)))=TRUE,"",IF(VLOOKUP($N815,CODE!$K:$P,CODE!$O$1,FALSE)="",$M815,$M815&amp;"-"&amp;VLOOKUP($N815,CODE!$K:$P,CODE!$O$1,FALSE)))</f>
        <v>JIL</v>
      </c>
      <c r="P815" s="29" t="str">
        <f t="shared" si="178"/>
        <v>JILMIE3314</v>
      </c>
      <c r="Q815" s="1" t="s">
        <v>916</v>
      </c>
      <c r="R815" s="1" t="s">
        <v>14</v>
      </c>
      <c r="S815" s="26">
        <v>3000</v>
      </c>
      <c r="T815" s="26">
        <v>87000000</v>
      </c>
      <c r="U815" s="26">
        <v>15302178.000000002</v>
      </c>
      <c r="V815" s="26">
        <v>5.1686046973776589</v>
      </c>
      <c r="W815" s="26">
        <v>0</v>
      </c>
      <c r="X815" s="26">
        <v>3000</v>
      </c>
    </row>
    <row r="816" spans="1:24" hidden="1">
      <c r="A816" s="24" t="str">
        <f t="shared" si="167"/>
        <v>신규</v>
      </c>
      <c r="B816" s="24" t="str">
        <f>IF(COUNTIF(Q$1:Q815,Q816)=0,"최초","리오더")</f>
        <v>리오더</v>
      </c>
      <c r="C816" s="24" t="str">
        <f t="shared" si="168"/>
        <v/>
      </c>
      <c r="D816" s="24">
        <f t="shared" si="169"/>
        <v>0</v>
      </c>
      <c r="E816" s="24" t="str">
        <f t="shared" si="170"/>
        <v>JILMIE3313</v>
      </c>
      <c r="F816" s="24">
        <f t="shared" si="171"/>
        <v>1</v>
      </c>
      <c r="G816" s="24" t="str">
        <f t="shared" si="172"/>
        <v/>
      </c>
      <c r="H816" s="24">
        <f t="shared" si="173"/>
        <v>0</v>
      </c>
      <c r="I816" s="24" t="str">
        <f t="shared" si="174"/>
        <v>JILMIE3313BK</v>
      </c>
      <c r="J816" s="24">
        <f t="shared" si="175"/>
        <v>1</v>
      </c>
      <c r="K816" s="24" t="str">
        <f t="shared" si="176"/>
        <v>E3</v>
      </c>
      <c r="L816" s="24" t="str">
        <f>VLOOKUP(N816,CODE!K:P,CODE!$P$1,FALSE)</f>
        <v>모자</v>
      </c>
      <c r="M816" s="24" t="str">
        <f>VLOOKUP(MID(Q816,1,3),CODE!$B:$G,CODE!D$1,FALSE)</f>
        <v>JIL</v>
      </c>
      <c r="N816" s="24" t="str">
        <f t="shared" si="177"/>
        <v>MI</v>
      </c>
      <c r="O816" s="29" t="str">
        <f>IF(ISERROR(IF(VLOOKUP($N816,CODE!$K:$P,CODE!$O$1,FALSE)="",$M816,$M816&amp;"-"&amp;VLOOKUP($N816,CODE!$K:$P,CODE!$O$1,FALSE)))=TRUE,"",IF(VLOOKUP($N816,CODE!$K:$P,CODE!$O$1,FALSE)="",$M816,$M816&amp;"-"&amp;VLOOKUP($N816,CODE!$K:$P,CODE!$O$1,FALSE)))</f>
        <v>JIL</v>
      </c>
      <c r="P816" s="29" t="str">
        <f t="shared" si="178"/>
        <v>JILMIE3313</v>
      </c>
      <c r="Q816" s="1" t="s">
        <v>918</v>
      </c>
      <c r="R816" s="1" t="s">
        <v>14</v>
      </c>
      <c r="S816" s="26">
        <v>3500</v>
      </c>
      <c r="T816" s="26">
        <v>101500000</v>
      </c>
      <c r="U816" s="26">
        <v>22786715.000000004</v>
      </c>
      <c r="V816" s="26">
        <v>4.049408932912324</v>
      </c>
      <c r="W816" s="26">
        <v>0</v>
      </c>
      <c r="X816" s="26">
        <v>3500</v>
      </c>
    </row>
    <row r="817" spans="1:24" hidden="1">
      <c r="A817" s="24" t="str">
        <f t="shared" si="167"/>
        <v>러닝</v>
      </c>
      <c r="B817" s="24" t="str">
        <f>IF(COUNTIF(Q$1:Q816,Q817)=0,"최초","리오더")</f>
        <v>리오더</v>
      </c>
      <c r="C817" s="24" t="str">
        <f t="shared" si="168"/>
        <v/>
      </c>
      <c r="D817" s="24">
        <f t="shared" si="169"/>
        <v>0</v>
      </c>
      <c r="E817" s="24" t="str">
        <f t="shared" si="170"/>
        <v>VBLBAE3216</v>
      </c>
      <c r="F817" s="24">
        <f t="shared" si="171"/>
        <v>0.25</v>
      </c>
      <c r="G817" s="24" t="str">
        <f t="shared" si="172"/>
        <v/>
      </c>
      <c r="H817" s="24">
        <f t="shared" si="173"/>
        <v>0</v>
      </c>
      <c r="I817" s="24" t="str">
        <f t="shared" si="174"/>
        <v>VBLBAE3216BL</v>
      </c>
      <c r="J817" s="24">
        <f t="shared" si="175"/>
        <v>1</v>
      </c>
      <c r="K817" s="24" t="str">
        <f t="shared" si="176"/>
        <v>E3</v>
      </c>
      <c r="L817" s="24" t="str">
        <f>VLOOKUP(N817,CODE!K:P,CODE!$P$1,FALSE)</f>
        <v>모자</v>
      </c>
      <c r="M817" s="24" t="str">
        <f>VLOOKUP(MID(Q817,1,3),CODE!$B:$G,CODE!D$1,FALSE)</f>
        <v>VBL</v>
      </c>
      <c r="N817" s="24" t="str">
        <f t="shared" si="177"/>
        <v>BA</v>
      </c>
      <c r="O817" s="29" t="str">
        <f>IF(ISERROR(IF(VLOOKUP($N817,CODE!$K:$P,CODE!$O$1,FALSE)="",$M817,$M817&amp;"-"&amp;VLOOKUP($N817,CODE!$K:$P,CODE!$O$1,FALSE)))=TRUE,"",IF(VLOOKUP($N817,CODE!$K:$P,CODE!$O$1,FALSE)="",$M817,$M817&amp;"-"&amp;VLOOKUP($N817,CODE!$K:$P,CODE!$O$1,FALSE)))</f>
        <v>VBL</v>
      </c>
      <c r="P817" s="29" t="str">
        <f t="shared" si="178"/>
        <v>VBLBAE3216</v>
      </c>
      <c r="Q817" s="1" t="s">
        <v>1025</v>
      </c>
      <c r="R817" s="1" t="s">
        <v>14</v>
      </c>
      <c r="S817" s="26">
        <v>1000</v>
      </c>
      <c r="T817" s="26">
        <v>49000000</v>
      </c>
      <c r="U817" s="26">
        <v>10020000</v>
      </c>
      <c r="V817" s="26">
        <v>4.4456541462529486</v>
      </c>
      <c r="W817" s="26">
        <v>0</v>
      </c>
      <c r="X817" s="26">
        <v>1000</v>
      </c>
    </row>
    <row r="818" spans="1:24" hidden="1">
      <c r="A818" s="24" t="str">
        <f t="shared" si="167"/>
        <v>러닝</v>
      </c>
      <c r="B818" s="24" t="str">
        <f>IF(COUNTIF(Q$1:Q817,Q818)=0,"최초","리오더")</f>
        <v>리오더</v>
      </c>
      <c r="C818" s="24" t="str">
        <f t="shared" si="168"/>
        <v/>
      </c>
      <c r="D818" s="24">
        <f t="shared" si="169"/>
        <v>0</v>
      </c>
      <c r="E818" s="24" t="str">
        <f t="shared" si="170"/>
        <v>BMDBAE3202</v>
      </c>
      <c r="F818" s="24">
        <f t="shared" si="171"/>
        <v>0.33333333333333331</v>
      </c>
      <c r="G818" s="24" t="str">
        <f t="shared" si="172"/>
        <v/>
      </c>
      <c r="H818" s="24">
        <f t="shared" si="173"/>
        <v>0</v>
      </c>
      <c r="I818" s="24" t="str">
        <f t="shared" si="174"/>
        <v>BMDBAE3202BK</v>
      </c>
      <c r="J818" s="24">
        <f t="shared" si="175"/>
        <v>1</v>
      </c>
      <c r="K818" s="24" t="str">
        <f t="shared" si="176"/>
        <v>E3</v>
      </c>
      <c r="L818" s="24" t="str">
        <f>VLOOKUP(N818,CODE!K:P,CODE!$P$1,FALSE)</f>
        <v>모자</v>
      </c>
      <c r="M818" s="24" t="str">
        <f>VLOOKUP(MID(Q818,1,3),CODE!$B:$G,CODE!D$1,FALSE)</f>
        <v>BMD</v>
      </c>
      <c r="N818" s="24" t="str">
        <f t="shared" si="177"/>
        <v>BA</v>
      </c>
      <c r="O818" s="29" t="str">
        <f>IF(ISERROR(IF(VLOOKUP($N818,CODE!$K:$P,CODE!$O$1,FALSE)="",$M818,$M818&amp;"-"&amp;VLOOKUP($N818,CODE!$K:$P,CODE!$O$1,FALSE)))=TRUE,"",IF(VLOOKUP($N818,CODE!$K:$P,CODE!$O$1,FALSE)="",$M818,$M818&amp;"-"&amp;VLOOKUP($N818,CODE!$K:$P,CODE!$O$1,FALSE)))</f>
        <v>BMD</v>
      </c>
      <c r="P818" s="29" t="str">
        <f t="shared" si="178"/>
        <v>BMDBAE3202</v>
      </c>
      <c r="Q818" s="1" t="s">
        <v>1137</v>
      </c>
      <c r="R818" s="1" t="s">
        <v>14</v>
      </c>
      <c r="S818" s="26">
        <v>1000</v>
      </c>
      <c r="T818" s="26">
        <v>55000000</v>
      </c>
      <c r="U818" s="26">
        <v>9000000</v>
      </c>
      <c r="V818" s="26">
        <v>5.5555555555555554</v>
      </c>
      <c r="W818" s="26">
        <v>0</v>
      </c>
      <c r="X818" s="26">
        <v>1000</v>
      </c>
    </row>
    <row r="819" spans="1:24" hidden="1">
      <c r="A819" s="24" t="str">
        <f t="shared" si="167"/>
        <v>러닝</v>
      </c>
      <c r="B819" s="24" t="str">
        <f>IF(COUNTIF(Q$1:Q818,Q819)=0,"최초","리오더")</f>
        <v>리오더</v>
      </c>
      <c r="C819" s="24" t="str">
        <f t="shared" si="168"/>
        <v/>
      </c>
      <c r="D819" s="24">
        <f t="shared" si="169"/>
        <v>0</v>
      </c>
      <c r="E819" s="24" t="str">
        <f t="shared" si="170"/>
        <v>BMDBAE3202</v>
      </c>
      <c r="F819" s="24">
        <f t="shared" si="171"/>
        <v>0.33333333333333331</v>
      </c>
      <c r="G819" s="24" t="str">
        <f t="shared" si="172"/>
        <v/>
      </c>
      <c r="H819" s="24">
        <f t="shared" si="173"/>
        <v>0</v>
      </c>
      <c r="I819" s="24" t="str">
        <f t="shared" si="174"/>
        <v>BMDBAE3202PK</v>
      </c>
      <c r="J819" s="24">
        <f t="shared" si="175"/>
        <v>1</v>
      </c>
      <c r="K819" s="24" t="str">
        <f t="shared" si="176"/>
        <v>E3</v>
      </c>
      <c r="L819" s="24" t="str">
        <f>VLOOKUP(N819,CODE!K:P,CODE!$P$1,FALSE)</f>
        <v>모자</v>
      </c>
      <c r="M819" s="24" t="str">
        <f>VLOOKUP(MID(Q819,1,3),CODE!$B:$G,CODE!D$1,FALSE)</f>
        <v>BMD</v>
      </c>
      <c r="N819" s="24" t="str">
        <f t="shared" si="177"/>
        <v>BA</v>
      </c>
      <c r="O819" s="29" t="str">
        <f>IF(ISERROR(IF(VLOOKUP($N819,CODE!$K:$P,CODE!$O$1,FALSE)="",$M819,$M819&amp;"-"&amp;VLOOKUP($N819,CODE!$K:$P,CODE!$O$1,FALSE)))=TRUE,"",IF(VLOOKUP($N819,CODE!$K:$P,CODE!$O$1,FALSE)="",$M819,$M819&amp;"-"&amp;VLOOKUP($N819,CODE!$K:$P,CODE!$O$1,FALSE)))</f>
        <v>BMD</v>
      </c>
      <c r="P819" s="29" t="str">
        <f t="shared" si="178"/>
        <v>BMDBAE3202</v>
      </c>
      <c r="Q819" s="1" t="s">
        <v>1138</v>
      </c>
      <c r="R819" s="1" t="s">
        <v>14</v>
      </c>
      <c r="S819" s="26">
        <v>2000</v>
      </c>
      <c r="T819" s="26">
        <v>110000000</v>
      </c>
      <c r="U819" s="26">
        <v>18000000</v>
      </c>
      <c r="V819" s="26">
        <v>5.5555555555555554</v>
      </c>
      <c r="W819" s="26">
        <v>0</v>
      </c>
      <c r="X819" s="26">
        <v>2000</v>
      </c>
    </row>
    <row r="820" spans="1:24" hidden="1">
      <c r="A820" s="24" t="str">
        <f t="shared" si="167"/>
        <v>러닝</v>
      </c>
      <c r="B820" s="24" t="str">
        <f>IF(COUNTIF(Q$1:Q819,Q820)=0,"최초","리오더")</f>
        <v>리오더</v>
      </c>
      <c r="C820" s="24" t="str">
        <f t="shared" si="168"/>
        <v/>
      </c>
      <c r="D820" s="24">
        <f t="shared" si="169"/>
        <v>0</v>
      </c>
      <c r="E820" s="24" t="str">
        <f t="shared" si="170"/>
        <v>BMDBAE3202</v>
      </c>
      <c r="F820" s="24">
        <f t="shared" si="171"/>
        <v>0.33333333333333331</v>
      </c>
      <c r="G820" s="24" t="str">
        <f t="shared" si="172"/>
        <v/>
      </c>
      <c r="H820" s="24">
        <f t="shared" si="173"/>
        <v>0</v>
      </c>
      <c r="I820" s="24" t="str">
        <f t="shared" si="174"/>
        <v>BMDBAE3202RE</v>
      </c>
      <c r="J820" s="24">
        <f t="shared" si="175"/>
        <v>1</v>
      </c>
      <c r="K820" s="24" t="str">
        <f t="shared" si="176"/>
        <v>E3</v>
      </c>
      <c r="L820" s="24" t="str">
        <f>VLOOKUP(N820,CODE!K:P,CODE!$P$1,FALSE)</f>
        <v>모자</v>
      </c>
      <c r="M820" s="24" t="str">
        <f>VLOOKUP(MID(Q820,1,3),CODE!$B:$G,CODE!D$1,FALSE)</f>
        <v>BMD</v>
      </c>
      <c r="N820" s="24" t="str">
        <f t="shared" si="177"/>
        <v>BA</v>
      </c>
      <c r="O820" s="29" t="str">
        <f>IF(ISERROR(IF(VLOOKUP($N820,CODE!$K:$P,CODE!$O$1,FALSE)="",$M820,$M820&amp;"-"&amp;VLOOKUP($N820,CODE!$K:$P,CODE!$O$1,FALSE)))=TRUE,"",IF(VLOOKUP($N820,CODE!$K:$P,CODE!$O$1,FALSE)="",$M820,$M820&amp;"-"&amp;VLOOKUP($N820,CODE!$K:$P,CODE!$O$1,FALSE)))</f>
        <v>BMD</v>
      </c>
      <c r="P820" s="29" t="str">
        <f t="shared" si="178"/>
        <v>BMDBAE3202</v>
      </c>
      <c r="Q820" s="1" t="s">
        <v>1412</v>
      </c>
      <c r="R820" s="1" t="s">
        <v>14</v>
      </c>
      <c r="S820" s="26">
        <v>1000</v>
      </c>
      <c r="T820" s="26">
        <v>55000000</v>
      </c>
      <c r="U820" s="26">
        <v>9000000</v>
      </c>
      <c r="V820" s="26">
        <v>5.5555555555555554</v>
      </c>
      <c r="W820" s="26">
        <v>0</v>
      </c>
      <c r="X820" s="26">
        <v>1000</v>
      </c>
    </row>
    <row r="821" spans="1:24">
      <c r="A821" s="24" t="str">
        <f t="shared" si="167"/>
        <v>러닝</v>
      </c>
      <c r="B821" s="24" t="str">
        <f>IF(COUNTIF(Q$1:Q820,Q821)=0,"최초","리오더")</f>
        <v>최초</v>
      </c>
      <c r="C821" s="24" t="str">
        <f t="shared" si="168"/>
        <v>ELSBPE3101</v>
      </c>
      <c r="D821" s="24">
        <f t="shared" si="169"/>
        <v>1</v>
      </c>
      <c r="E821" s="24" t="str">
        <f t="shared" si="170"/>
        <v/>
      </c>
      <c r="F821" s="24">
        <f t="shared" si="171"/>
        <v>0</v>
      </c>
      <c r="G821" s="24" t="str">
        <f t="shared" si="172"/>
        <v>ELSBPE3101BK</v>
      </c>
      <c r="H821" s="24">
        <f t="shared" si="173"/>
        <v>1</v>
      </c>
      <c r="I821" s="24" t="str">
        <f t="shared" si="174"/>
        <v/>
      </c>
      <c r="J821" s="24">
        <f t="shared" si="175"/>
        <v>0</v>
      </c>
      <c r="K821" s="24" t="str">
        <f t="shared" si="176"/>
        <v>E3</v>
      </c>
      <c r="L821" s="24" t="str">
        <f>VLOOKUP(N821,CODE!K:P,CODE!$P$1,FALSE)</f>
        <v>가방</v>
      </c>
      <c r="M821" s="24" t="str">
        <f>VLOOKUP(MID(Q821,1,3),CODE!$B:$G,CODE!D$1,FALSE)</f>
        <v>ELS</v>
      </c>
      <c r="N821" s="24" t="str">
        <f t="shared" si="177"/>
        <v>BP</v>
      </c>
      <c r="O821" s="29" t="str">
        <f>IF(ISERROR(IF(VLOOKUP($N821,CODE!$K:$P,CODE!$O$1,FALSE)="",$M821,$M821&amp;"-"&amp;VLOOKUP($N821,CODE!$K:$P,CODE!$O$1,FALSE)))=TRUE,"",IF(VLOOKUP($N821,CODE!$K:$P,CODE!$O$1,FALSE)="",$M821,$M821&amp;"-"&amp;VLOOKUP($N821,CODE!$K:$P,CODE!$O$1,FALSE)))</f>
        <v>ELS-가방</v>
      </c>
      <c r="P821" s="29" t="str">
        <f t="shared" si="178"/>
        <v>ELSBPE3101</v>
      </c>
      <c r="Q821" s="1" t="s">
        <v>1581</v>
      </c>
      <c r="R821" s="1" t="s">
        <v>14</v>
      </c>
      <c r="S821" s="26">
        <v>1000</v>
      </c>
      <c r="T821" s="26">
        <v>139000000</v>
      </c>
      <c r="U821" s="26">
        <v>25720000</v>
      </c>
      <c r="V821" s="26">
        <v>4.9130496253357832</v>
      </c>
      <c r="W821" s="26">
        <v>0</v>
      </c>
      <c r="X821" s="26">
        <v>1000</v>
      </c>
    </row>
    <row r="822" spans="1:24" hidden="1">
      <c r="A822" s="24" t="str">
        <f t="shared" si="167"/>
        <v>러닝</v>
      </c>
      <c r="B822" s="24" t="str">
        <f>IF(COUNTIF(Q$1:Q821,Q822)=0,"최초","리오더")</f>
        <v>리오더</v>
      </c>
      <c r="C822" s="24" t="str">
        <f t="shared" si="168"/>
        <v/>
      </c>
      <c r="D822" s="24">
        <f t="shared" si="169"/>
        <v>0</v>
      </c>
      <c r="E822" s="24" t="str">
        <f t="shared" si="170"/>
        <v>ELSBPE3601</v>
      </c>
      <c r="F822" s="24">
        <f t="shared" si="171"/>
        <v>1</v>
      </c>
      <c r="G822" s="24" t="str">
        <f t="shared" si="172"/>
        <v/>
      </c>
      <c r="H822" s="24">
        <f t="shared" si="173"/>
        <v>0</v>
      </c>
      <c r="I822" s="24" t="str">
        <f t="shared" si="174"/>
        <v>ELSBPE3601BK</v>
      </c>
      <c r="J822" s="24">
        <f t="shared" si="175"/>
        <v>1</v>
      </c>
      <c r="K822" s="24" t="str">
        <f t="shared" si="176"/>
        <v>E3</v>
      </c>
      <c r="L822" s="24" t="str">
        <f>VLOOKUP(N822,CODE!K:P,CODE!$P$1,FALSE)</f>
        <v>가방</v>
      </c>
      <c r="M822" s="24" t="str">
        <f>VLOOKUP(MID(Q822,1,3),CODE!$B:$G,CODE!D$1,FALSE)</f>
        <v>ELS</v>
      </c>
      <c r="N822" s="24" t="str">
        <f t="shared" si="177"/>
        <v>BP</v>
      </c>
      <c r="O822" s="29" t="str">
        <f>IF(ISERROR(IF(VLOOKUP($N822,CODE!$K:$P,CODE!$O$1,FALSE)="",$M822,$M822&amp;"-"&amp;VLOOKUP($N822,CODE!$K:$P,CODE!$O$1,FALSE)))=TRUE,"",IF(VLOOKUP($N822,CODE!$K:$P,CODE!$O$1,FALSE)="",$M822,$M822&amp;"-"&amp;VLOOKUP($N822,CODE!$K:$P,CODE!$O$1,FALSE)))</f>
        <v>ELS-가방</v>
      </c>
      <c r="P822" s="29" t="str">
        <f t="shared" si="178"/>
        <v>ELSBPE3601</v>
      </c>
      <c r="Q822" s="1" t="s">
        <v>1131</v>
      </c>
      <c r="R822" s="1" t="s">
        <v>14</v>
      </c>
      <c r="S822" s="26">
        <v>700</v>
      </c>
      <c r="T822" s="26">
        <v>76300000</v>
      </c>
      <c r="U822" s="26">
        <v>16044000</v>
      </c>
      <c r="V822" s="26">
        <v>4.3233380929716008</v>
      </c>
      <c r="W822" s="26">
        <v>0</v>
      </c>
      <c r="X822" s="26">
        <v>700</v>
      </c>
    </row>
    <row r="823" spans="1:24">
      <c r="A823" s="24" t="str">
        <f t="shared" si="167"/>
        <v>러닝</v>
      </c>
      <c r="B823" s="24" t="str">
        <f>IF(COUNTIF(Q$1:Q822,Q823)=0,"최초","리오더")</f>
        <v>최초</v>
      </c>
      <c r="C823" s="24" t="str">
        <f t="shared" si="168"/>
        <v>ELSBPE3104</v>
      </c>
      <c r="D823" s="24">
        <f t="shared" si="169"/>
        <v>1</v>
      </c>
      <c r="E823" s="24" t="str">
        <f t="shared" si="170"/>
        <v/>
      </c>
      <c r="F823" s="24">
        <f t="shared" si="171"/>
        <v>0</v>
      </c>
      <c r="G823" s="24" t="str">
        <f t="shared" si="172"/>
        <v>ELSBPE3104BK</v>
      </c>
      <c r="H823" s="24">
        <f t="shared" si="173"/>
        <v>1</v>
      </c>
      <c r="I823" s="24" t="str">
        <f t="shared" si="174"/>
        <v/>
      </c>
      <c r="J823" s="24">
        <f t="shared" si="175"/>
        <v>0</v>
      </c>
      <c r="K823" s="24" t="str">
        <f t="shared" si="176"/>
        <v>E3</v>
      </c>
      <c r="L823" s="24" t="str">
        <f>VLOOKUP(N823,CODE!K:P,CODE!$P$1,FALSE)</f>
        <v>가방</v>
      </c>
      <c r="M823" s="24" t="str">
        <f>VLOOKUP(MID(Q823,1,3),CODE!$B:$G,CODE!D$1,FALSE)</f>
        <v>ELS</v>
      </c>
      <c r="N823" s="24" t="str">
        <f t="shared" si="177"/>
        <v>BP</v>
      </c>
      <c r="O823" s="29" t="str">
        <f>IF(ISERROR(IF(VLOOKUP($N823,CODE!$K:$P,CODE!$O$1,FALSE)="",$M823,$M823&amp;"-"&amp;VLOOKUP($N823,CODE!$K:$P,CODE!$O$1,FALSE)))=TRUE,"",IF(VLOOKUP($N823,CODE!$K:$P,CODE!$O$1,FALSE)="",$M823,$M823&amp;"-"&amp;VLOOKUP($N823,CODE!$K:$P,CODE!$O$1,FALSE)))</f>
        <v>ELS-가방</v>
      </c>
      <c r="P823" s="29" t="str">
        <f t="shared" si="178"/>
        <v>ELSBPE3104</v>
      </c>
      <c r="Q823" s="1" t="s">
        <v>1582</v>
      </c>
      <c r="R823" s="1" t="s">
        <v>14</v>
      </c>
      <c r="S823" s="26">
        <v>500</v>
      </c>
      <c r="T823" s="26">
        <v>49500000</v>
      </c>
      <c r="U823" s="26">
        <v>12510000</v>
      </c>
      <c r="V823" s="26">
        <v>3.5971223021582728</v>
      </c>
      <c r="W823" s="26">
        <v>0</v>
      </c>
      <c r="X823" s="26">
        <v>500</v>
      </c>
    </row>
    <row r="824" spans="1:24">
      <c r="A824" s="24" t="str">
        <f t="shared" si="167"/>
        <v>러닝</v>
      </c>
      <c r="B824" s="24" t="str">
        <f>IF(COUNTIF(Q$1:Q823,Q824)=0,"최초","리오더")</f>
        <v>최초</v>
      </c>
      <c r="C824" s="24" t="str">
        <f t="shared" si="168"/>
        <v>ELSBPE3604</v>
      </c>
      <c r="D824" s="24">
        <f t="shared" si="169"/>
        <v>1</v>
      </c>
      <c r="E824" s="24" t="str">
        <f t="shared" si="170"/>
        <v/>
      </c>
      <c r="F824" s="24">
        <f t="shared" si="171"/>
        <v>0</v>
      </c>
      <c r="G824" s="24" t="str">
        <f t="shared" si="172"/>
        <v>ELSBPE3604BK</v>
      </c>
      <c r="H824" s="24">
        <f t="shared" si="173"/>
        <v>1</v>
      </c>
      <c r="I824" s="24" t="str">
        <f t="shared" si="174"/>
        <v/>
      </c>
      <c r="J824" s="24">
        <f t="shared" si="175"/>
        <v>0</v>
      </c>
      <c r="K824" s="24" t="str">
        <f t="shared" si="176"/>
        <v>E3</v>
      </c>
      <c r="L824" s="24" t="str">
        <f>VLOOKUP(N824,CODE!K:P,CODE!$P$1,FALSE)</f>
        <v>가방</v>
      </c>
      <c r="M824" s="24" t="str">
        <f>VLOOKUP(MID(Q824,1,3),CODE!$B:$G,CODE!D$1,FALSE)</f>
        <v>ELS</v>
      </c>
      <c r="N824" s="24" t="str">
        <f t="shared" si="177"/>
        <v>BP</v>
      </c>
      <c r="O824" s="29" t="str">
        <f>IF(ISERROR(IF(VLOOKUP($N824,CODE!$K:$P,CODE!$O$1,FALSE)="",$M824,$M824&amp;"-"&amp;VLOOKUP($N824,CODE!$K:$P,CODE!$O$1,FALSE)))=TRUE,"",IF(VLOOKUP($N824,CODE!$K:$P,CODE!$O$1,FALSE)="",$M824,$M824&amp;"-"&amp;VLOOKUP($N824,CODE!$K:$P,CODE!$O$1,FALSE)))</f>
        <v>ELS-가방</v>
      </c>
      <c r="P824" s="29" t="str">
        <f t="shared" si="178"/>
        <v>ELSBPE3604</v>
      </c>
      <c r="Q824" s="1" t="s">
        <v>1583</v>
      </c>
      <c r="R824" s="1" t="s">
        <v>14</v>
      </c>
      <c r="S824" s="26">
        <v>500</v>
      </c>
      <c r="T824" s="26">
        <v>44500000</v>
      </c>
      <c r="U824" s="26">
        <v>9510000</v>
      </c>
      <c r="V824" s="26">
        <v>4.2538954210878499</v>
      </c>
      <c r="W824" s="26">
        <v>0</v>
      </c>
      <c r="X824" s="26">
        <v>500</v>
      </c>
    </row>
    <row r="825" spans="1:24">
      <c r="A825" s="24" t="str">
        <f t="shared" si="167"/>
        <v>러닝</v>
      </c>
      <c r="B825" s="24" t="str">
        <f>IF(COUNTIF(Q$1:Q824,Q825)=0,"최초","리오더")</f>
        <v>최초</v>
      </c>
      <c r="C825" s="24" t="str">
        <f t="shared" si="168"/>
        <v>ELSBPE3602</v>
      </c>
      <c r="D825" s="24">
        <f t="shared" si="169"/>
        <v>1</v>
      </c>
      <c r="E825" s="24" t="str">
        <f t="shared" si="170"/>
        <v/>
      </c>
      <c r="F825" s="24">
        <f t="shared" si="171"/>
        <v>0</v>
      </c>
      <c r="G825" s="24" t="str">
        <f t="shared" si="172"/>
        <v>ELSBPE3602YE</v>
      </c>
      <c r="H825" s="24">
        <f t="shared" si="173"/>
        <v>1</v>
      </c>
      <c r="I825" s="24" t="str">
        <f t="shared" si="174"/>
        <v/>
      </c>
      <c r="J825" s="24">
        <f t="shared" si="175"/>
        <v>0</v>
      </c>
      <c r="K825" s="24" t="str">
        <f t="shared" si="176"/>
        <v>E3</v>
      </c>
      <c r="L825" s="24" t="str">
        <f>VLOOKUP(N825,CODE!K:P,CODE!$P$1,FALSE)</f>
        <v>가방</v>
      </c>
      <c r="M825" s="24" t="str">
        <f>VLOOKUP(MID(Q825,1,3),CODE!$B:$G,CODE!D$1,FALSE)</f>
        <v>ELS</v>
      </c>
      <c r="N825" s="24" t="str">
        <f t="shared" si="177"/>
        <v>BP</v>
      </c>
      <c r="O825" s="29" t="str">
        <f>IF(ISERROR(IF(VLOOKUP($N825,CODE!$K:$P,CODE!$O$1,FALSE)="",$M825,$M825&amp;"-"&amp;VLOOKUP($N825,CODE!$K:$P,CODE!$O$1,FALSE)))=TRUE,"",IF(VLOOKUP($N825,CODE!$K:$P,CODE!$O$1,FALSE)="",$M825,$M825&amp;"-"&amp;VLOOKUP($N825,CODE!$K:$P,CODE!$O$1,FALSE)))</f>
        <v>ELS-가방</v>
      </c>
      <c r="P825" s="29" t="str">
        <f t="shared" si="178"/>
        <v>ELSBPE3602</v>
      </c>
      <c r="Q825" s="1" t="s">
        <v>1584</v>
      </c>
      <c r="R825" s="1" t="s">
        <v>14</v>
      </c>
      <c r="S825" s="26">
        <v>500</v>
      </c>
      <c r="T825" s="26">
        <v>54500000</v>
      </c>
      <c r="U825" s="26">
        <v>11460000</v>
      </c>
      <c r="V825" s="26">
        <v>4.3233380929715999</v>
      </c>
      <c r="W825" s="26">
        <v>0</v>
      </c>
      <c r="X825" s="26">
        <v>500</v>
      </c>
    </row>
    <row r="826" spans="1:24">
      <c r="A826" s="24" t="str">
        <f t="shared" si="167"/>
        <v>러닝</v>
      </c>
      <c r="B826" s="24" t="str">
        <f>IF(COUNTIF(Q$1:Q825,Q826)=0,"최초","리오더")</f>
        <v>최초</v>
      </c>
      <c r="C826" s="24" t="str">
        <f t="shared" si="168"/>
        <v>ELSBPE3103</v>
      </c>
      <c r="D826" s="24">
        <f t="shared" si="169"/>
        <v>1</v>
      </c>
      <c r="E826" s="24" t="str">
        <f t="shared" si="170"/>
        <v/>
      </c>
      <c r="F826" s="24">
        <f t="shared" si="171"/>
        <v>0</v>
      </c>
      <c r="G826" s="24" t="str">
        <f t="shared" si="172"/>
        <v>ELSBPE3103GR</v>
      </c>
      <c r="H826" s="24">
        <f t="shared" si="173"/>
        <v>1</v>
      </c>
      <c r="I826" s="24" t="str">
        <f t="shared" si="174"/>
        <v/>
      </c>
      <c r="J826" s="24">
        <f t="shared" si="175"/>
        <v>0</v>
      </c>
      <c r="K826" s="24" t="str">
        <f t="shared" si="176"/>
        <v>E3</v>
      </c>
      <c r="L826" s="24" t="str">
        <f>VLOOKUP(N826,CODE!K:P,CODE!$P$1,FALSE)</f>
        <v>가방</v>
      </c>
      <c r="M826" s="24" t="str">
        <f>VLOOKUP(MID(Q826,1,3),CODE!$B:$G,CODE!D$1,FALSE)</f>
        <v>ELS</v>
      </c>
      <c r="N826" s="24" t="str">
        <f t="shared" si="177"/>
        <v>BP</v>
      </c>
      <c r="O826" s="29" t="str">
        <f>IF(ISERROR(IF(VLOOKUP($N826,CODE!$K:$P,CODE!$O$1,FALSE)="",$M826,$M826&amp;"-"&amp;VLOOKUP($N826,CODE!$K:$P,CODE!$O$1,FALSE)))=TRUE,"",IF(VLOOKUP($N826,CODE!$K:$P,CODE!$O$1,FALSE)="",$M826,$M826&amp;"-"&amp;VLOOKUP($N826,CODE!$K:$P,CODE!$O$1,FALSE)))</f>
        <v>ELS-가방</v>
      </c>
      <c r="P826" s="29" t="str">
        <f t="shared" si="178"/>
        <v>ELSBPE3103</v>
      </c>
      <c r="Q826" s="1" t="s">
        <v>1585</v>
      </c>
      <c r="R826" s="1" t="s">
        <v>14</v>
      </c>
      <c r="S826" s="26">
        <v>500</v>
      </c>
      <c r="T826" s="26">
        <v>69500000</v>
      </c>
      <c r="U826" s="26">
        <v>12860000</v>
      </c>
      <c r="V826" s="26">
        <v>4.9130496253357832</v>
      </c>
      <c r="W826" s="26">
        <v>0</v>
      </c>
      <c r="X826" s="26">
        <v>500</v>
      </c>
    </row>
    <row r="827" spans="1:24">
      <c r="A827" s="24" t="str">
        <f t="shared" si="167"/>
        <v>러닝</v>
      </c>
      <c r="B827" s="24" t="str">
        <f>IF(COUNTIF(Q$1:Q826,Q827)=0,"최초","리오더")</f>
        <v>최초</v>
      </c>
      <c r="C827" s="24" t="str">
        <f t="shared" si="168"/>
        <v>ELSBPE3603</v>
      </c>
      <c r="D827" s="24">
        <f t="shared" si="169"/>
        <v>0.5</v>
      </c>
      <c r="E827" s="24" t="str">
        <f t="shared" si="170"/>
        <v/>
      </c>
      <c r="F827" s="24">
        <f t="shared" si="171"/>
        <v>0</v>
      </c>
      <c r="G827" s="24" t="str">
        <f t="shared" si="172"/>
        <v>ELSBPE3603GR</v>
      </c>
      <c r="H827" s="24">
        <f t="shared" si="173"/>
        <v>1</v>
      </c>
      <c r="I827" s="24" t="str">
        <f t="shared" si="174"/>
        <v/>
      </c>
      <c r="J827" s="24">
        <f t="shared" si="175"/>
        <v>0</v>
      </c>
      <c r="K827" s="24" t="str">
        <f t="shared" si="176"/>
        <v>E3</v>
      </c>
      <c r="L827" s="24" t="str">
        <f>VLOOKUP(N827,CODE!K:P,CODE!$P$1,FALSE)</f>
        <v>가방</v>
      </c>
      <c r="M827" s="24" t="str">
        <f>VLOOKUP(MID(Q827,1,3),CODE!$B:$G,CODE!D$1,FALSE)</f>
        <v>ELS</v>
      </c>
      <c r="N827" s="24" t="str">
        <f t="shared" si="177"/>
        <v>BP</v>
      </c>
      <c r="O827" s="29" t="str">
        <f>IF(ISERROR(IF(VLOOKUP($N827,CODE!$K:$P,CODE!$O$1,FALSE)="",$M827,$M827&amp;"-"&amp;VLOOKUP($N827,CODE!$K:$P,CODE!$O$1,FALSE)))=TRUE,"",IF(VLOOKUP($N827,CODE!$K:$P,CODE!$O$1,FALSE)="",$M827,$M827&amp;"-"&amp;VLOOKUP($N827,CODE!$K:$P,CODE!$O$1,FALSE)))</f>
        <v>ELS-가방</v>
      </c>
      <c r="P827" s="29" t="str">
        <f t="shared" si="178"/>
        <v>ELSBPE3603</v>
      </c>
      <c r="Q827" s="1" t="s">
        <v>1586</v>
      </c>
      <c r="R827" s="1" t="s">
        <v>14</v>
      </c>
      <c r="S827" s="26">
        <v>500</v>
      </c>
      <c r="T827" s="26">
        <v>54500000</v>
      </c>
      <c r="U827" s="26">
        <v>11460000</v>
      </c>
      <c r="V827" s="26">
        <v>4.3233380929715999</v>
      </c>
      <c r="W827" s="26">
        <v>0</v>
      </c>
      <c r="X827" s="26">
        <v>500</v>
      </c>
    </row>
    <row r="828" spans="1:24" hidden="1">
      <c r="A828" s="24" t="str">
        <f t="shared" si="167"/>
        <v>러닝</v>
      </c>
      <c r="B828" s="24" t="str">
        <f>IF(COUNTIF(Q$1:Q827,Q828)=0,"최초","리오더")</f>
        <v>리오더</v>
      </c>
      <c r="C828" s="24" t="str">
        <f t="shared" si="168"/>
        <v/>
      </c>
      <c r="D828" s="24">
        <f t="shared" si="169"/>
        <v>0</v>
      </c>
      <c r="E828" s="24" t="str">
        <f t="shared" si="170"/>
        <v>ELSBPE3603</v>
      </c>
      <c r="F828" s="24">
        <f t="shared" si="171"/>
        <v>1</v>
      </c>
      <c r="G828" s="24" t="str">
        <f t="shared" si="172"/>
        <v/>
      </c>
      <c r="H828" s="24">
        <f t="shared" si="173"/>
        <v>0</v>
      </c>
      <c r="I828" s="24" t="str">
        <f t="shared" si="174"/>
        <v>ELSBPE3603PK</v>
      </c>
      <c r="J828" s="24">
        <f t="shared" si="175"/>
        <v>1</v>
      </c>
      <c r="K828" s="24" t="str">
        <f t="shared" si="176"/>
        <v>E3</v>
      </c>
      <c r="L828" s="24" t="str">
        <f>VLOOKUP(N828,CODE!K:P,CODE!$P$1,FALSE)</f>
        <v>가방</v>
      </c>
      <c r="M828" s="24" t="str">
        <f>VLOOKUP(MID(Q828,1,3),CODE!$B:$G,CODE!D$1,FALSE)</f>
        <v>ELS</v>
      </c>
      <c r="N828" s="24" t="str">
        <f t="shared" si="177"/>
        <v>BP</v>
      </c>
      <c r="O828" s="29" t="str">
        <f>IF(ISERROR(IF(VLOOKUP($N828,CODE!$K:$P,CODE!$O$1,FALSE)="",$M828,$M828&amp;"-"&amp;VLOOKUP($N828,CODE!$K:$P,CODE!$O$1,FALSE)))=TRUE,"",IF(VLOOKUP($N828,CODE!$K:$P,CODE!$O$1,FALSE)="",$M828,$M828&amp;"-"&amp;VLOOKUP($N828,CODE!$K:$P,CODE!$O$1,FALSE)))</f>
        <v>ELS-가방</v>
      </c>
      <c r="P828" s="29" t="str">
        <f t="shared" si="178"/>
        <v>ELSBPE3603</v>
      </c>
      <c r="Q828" s="1" t="s">
        <v>1133</v>
      </c>
      <c r="R828" s="1" t="s">
        <v>14</v>
      </c>
      <c r="S828" s="26">
        <v>1000</v>
      </c>
      <c r="T828" s="26">
        <v>109000000</v>
      </c>
      <c r="U828" s="26">
        <v>22920000</v>
      </c>
      <c r="V828" s="26">
        <v>4.3233380929715999</v>
      </c>
      <c r="W828" s="26">
        <v>0</v>
      </c>
      <c r="X828" s="26">
        <v>1000</v>
      </c>
    </row>
    <row r="829" spans="1:24">
      <c r="A829" s="24" t="str">
        <f t="shared" si="167"/>
        <v>러닝</v>
      </c>
      <c r="B829" s="24" t="str">
        <f>IF(COUNTIF(Q$1:Q828,Q829)=0,"최초","리오더")</f>
        <v>최초</v>
      </c>
      <c r="C829" s="24" t="str">
        <f t="shared" si="168"/>
        <v>ELSBPE3611</v>
      </c>
      <c r="D829" s="24">
        <f t="shared" si="169"/>
        <v>0.33333333333333331</v>
      </c>
      <c r="E829" s="24" t="str">
        <f t="shared" si="170"/>
        <v/>
      </c>
      <c r="F829" s="24">
        <f t="shared" si="171"/>
        <v>0</v>
      </c>
      <c r="G829" s="24" t="str">
        <f t="shared" si="172"/>
        <v>ELSBPE3611PK</v>
      </c>
      <c r="H829" s="24">
        <f t="shared" si="173"/>
        <v>1</v>
      </c>
      <c r="I829" s="24" t="str">
        <f t="shared" si="174"/>
        <v/>
      </c>
      <c r="J829" s="24">
        <f t="shared" si="175"/>
        <v>0</v>
      </c>
      <c r="K829" s="24" t="str">
        <f t="shared" si="176"/>
        <v>E3</v>
      </c>
      <c r="L829" s="24" t="str">
        <f>VLOOKUP(N829,CODE!K:P,CODE!$P$1,FALSE)</f>
        <v>가방</v>
      </c>
      <c r="M829" s="24" t="str">
        <f>VLOOKUP(MID(Q829,1,3),CODE!$B:$G,CODE!D$1,FALSE)</f>
        <v>ELS</v>
      </c>
      <c r="N829" s="24" t="str">
        <f t="shared" si="177"/>
        <v>BP</v>
      </c>
      <c r="O829" s="29" t="str">
        <f>IF(ISERROR(IF(VLOOKUP($N829,CODE!$K:$P,CODE!$O$1,FALSE)="",$M829,$M829&amp;"-"&amp;VLOOKUP($N829,CODE!$K:$P,CODE!$O$1,FALSE)))=TRUE,"",IF(VLOOKUP($N829,CODE!$K:$P,CODE!$O$1,FALSE)="",$M829,$M829&amp;"-"&amp;VLOOKUP($N829,CODE!$K:$P,CODE!$O$1,FALSE)))</f>
        <v>ELS-가방</v>
      </c>
      <c r="P829" s="29" t="str">
        <f t="shared" si="178"/>
        <v>ELSBPE3611</v>
      </c>
      <c r="Q829" s="1" t="s">
        <v>1587</v>
      </c>
      <c r="R829" s="1" t="s">
        <v>14</v>
      </c>
      <c r="S829" s="26">
        <v>500</v>
      </c>
      <c r="T829" s="26">
        <v>49500000</v>
      </c>
      <c r="U829" s="26">
        <v>10010000</v>
      </c>
      <c r="V829" s="26">
        <v>4.4955044955044956</v>
      </c>
      <c r="W829" s="26">
        <v>0</v>
      </c>
      <c r="X829" s="26">
        <v>500</v>
      </c>
    </row>
    <row r="830" spans="1:24">
      <c r="A830" s="24" t="str">
        <f t="shared" si="167"/>
        <v>러닝</v>
      </c>
      <c r="B830" s="24" t="str">
        <f>IF(COUNTIF(Q$1:Q829,Q830)=0,"최초","리오더")</f>
        <v>최초</v>
      </c>
      <c r="C830" s="24" t="str">
        <f t="shared" si="168"/>
        <v>ELSBPE3704</v>
      </c>
      <c r="D830" s="24">
        <f t="shared" si="169"/>
        <v>1</v>
      </c>
      <c r="E830" s="24" t="str">
        <f t="shared" si="170"/>
        <v/>
      </c>
      <c r="F830" s="24">
        <f t="shared" si="171"/>
        <v>0</v>
      </c>
      <c r="G830" s="24" t="str">
        <f t="shared" si="172"/>
        <v>ELSBPE3704PK</v>
      </c>
      <c r="H830" s="24">
        <f t="shared" si="173"/>
        <v>1</v>
      </c>
      <c r="I830" s="24" t="str">
        <f t="shared" si="174"/>
        <v/>
      </c>
      <c r="J830" s="24">
        <f t="shared" si="175"/>
        <v>0</v>
      </c>
      <c r="K830" s="24" t="str">
        <f t="shared" si="176"/>
        <v>E3</v>
      </c>
      <c r="L830" s="24" t="str">
        <f>VLOOKUP(N830,CODE!K:P,CODE!$P$1,FALSE)</f>
        <v>가방</v>
      </c>
      <c r="M830" s="24" t="str">
        <f>VLOOKUP(MID(Q830,1,3),CODE!$B:$G,CODE!D$1,FALSE)</f>
        <v>ELS</v>
      </c>
      <c r="N830" s="24" t="str">
        <f t="shared" si="177"/>
        <v>BP</v>
      </c>
      <c r="O830" s="29" t="str">
        <f>IF(ISERROR(IF(VLOOKUP($N830,CODE!$K:$P,CODE!$O$1,FALSE)="",$M830,$M830&amp;"-"&amp;VLOOKUP($N830,CODE!$K:$P,CODE!$O$1,FALSE)))=TRUE,"",IF(VLOOKUP($N830,CODE!$K:$P,CODE!$O$1,FALSE)="",$M830,$M830&amp;"-"&amp;VLOOKUP($N830,CODE!$K:$P,CODE!$O$1,FALSE)))</f>
        <v>ELS-가방</v>
      </c>
      <c r="P830" s="29" t="str">
        <f t="shared" si="178"/>
        <v>ELSBPE3704</v>
      </c>
      <c r="Q830" s="1" t="s">
        <v>1588</v>
      </c>
      <c r="R830" s="1" t="s">
        <v>14</v>
      </c>
      <c r="S830" s="26">
        <v>500</v>
      </c>
      <c r="T830" s="26">
        <v>49500000</v>
      </c>
      <c r="U830" s="26">
        <v>11260000</v>
      </c>
      <c r="V830" s="26">
        <v>3.9964476021314379</v>
      </c>
      <c r="W830" s="26">
        <v>0</v>
      </c>
      <c r="X830" s="26">
        <v>500</v>
      </c>
    </row>
    <row r="831" spans="1:24" hidden="1">
      <c r="A831" s="24" t="str">
        <f t="shared" si="167"/>
        <v>신규</v>
      </c>
      <c r="B831" s="24" t="str">
        <f>IF(COUNTIF(Q$1:Q830,Q831)=0,"최초","리오더")</f>
        <v>리오더</v>
      </c>
      <c r="C831" s="24" t="str">
        <f t="shared" si="168"/>
        <v/>
      </c>
      <c r="D831" s="24">
        <f t="shared" si="169"/>
        <v>0</v>
      </c>
      <c r="E831" s="24" t="str">
        <f t="shared" si="170"/>
        <v>ELSSBE3801</v>
      </c>
      <c r="F831" s="24">
        <f t="shared" si="171"/>
        <v>1</v>
      </c>
      <c r="G831" s="24" t="str">
        <f t="shared" si="172"/>
        <v/>
      </c>
      <c r="H831" s="24">
        <f t="shared" si="173"/>
        <v>0</v>
      </c>
      <c r="I831" s="24" t="str">
        <f t="shared" si="174"/>
        <v>ELSSBE3801BK</v>
      </c>
      <c r="J831" s="24">
        <f t="shared" si="175"/>
        <v>1</v>
      </c>
      <c r="K831" s="24" t="str">
        <f t="shared" si="176"/>
        <v>E3</v>
      </c>
      <c r="L831" s="24" t="str">
        <f>VLOOKUP(N831,CODE!K:P,CODE!$P$1,FALSE)</f>
        <v>가방</v>
      </c>
      <c r="M831" s="24" t="str">
        <f>VLOOKUP(MID(Q831,1,3),CODE!$B:$G,CODE!D$1,FALSE)</f>
        <v>ELS</v>
      </c>
      <c r="N831" s="24" t="str">
        <f t="shared" si="177"/>
        <v>SB</v>
      </c>
      <c r="O831" s="29" t="str">
        <f>IF(ISERROR(IF(VLOOKUP($N831,CODE!$K:$P,CODE!$O$1,FALSE)="",$M831,$M831&amp;"-"&amp;VLOOKUP($N831,CODE!$K:$P,CODE!$O$1,FALSE)))=TRUE,"",IF(VLOOKUP($N831,CODE!$K:$P,CODE!$O$1,FALSE)="",$M831,$M831&amp;"-"&amp;VLOOKUP($N831,CODE!$K:$P,CODE!$O$1,FALSE)))</f>
        <v>ELS-가방</v>
      </c>
      <c r="P831" s="29" t="str">
        <f t="shared" si="178"/>
        <v>ELSSBE3801</v>
      </c>
      <c r="Q831" s="1" t="s">
        <v>797</v>
      </c>
      <c r="R831" s="1" t="s">
        <v>14</v>
      </c>
      <c r="S831" s="26">
        <v>500</v>
      </c>
      <c r="T831" s="26">
        <v>22500000</v>
      </c>
      <c r="U831" s="26">
        <v>5010000</v>
      </c>
      <c r="V831" s="26">
        <v>4.0827436037016875</v>
      </c>
      <c r="W831" s="26">
        <v>0</v>
      </c>
      <c r="X831" s="26">
        <v>500</v>
      </c>
    </row>
    <row r="832" spans="1:24" hidden="1">
      <c r="A832" s="24" t="str">
        <f t="shared" si="167"/>
        <v>신규</v>
      </c>
      <c r="B832" s="24" t="str">
        <f>IF(COUNTIF(Q$1:Q831,Q832)=0,"최초","리오더")</f>
        <v>리오더</v>
      </c>
      <c r="C832" s="24" t="str">
        <f t="shared" si="168"/>
        <v/>
      </c>
      <c r="D832" s="24">
        <f t="shared" si="169"/>
        <v>0</v>
      </c>
      <c r="E832" s="24" t="str">
        <f t="shared" si="170"/>
        <v>ELSSBE3803</v>
      </c>
      <c r="F832" s="24">
        <f t="shared" si="171"/>
        <v>1</v>
      </c>
      <c r="G832" s="24" t="str">
        <f t="shared" si="172"/>
        <v/>
      </c>
      <c r="H832" s="24">
        <f t="shared" si="173"/>
        <v>0</v>
      </c>
      <c r="I832" s="24" t="str">
        <f t="shared" si="174"/>
        <v>ELSSBE3803PK</v>
      </c>
      <c r="J832" s="24">
        <f t="shared" si="175"/>
        <v>1</v>
      </c>
      <c r="K832" s="24" t="str">
        <f t="shared" si="176"/>
        <v>E3</v>
      </c>
      <c r="L832" s="24" t="str">
        <f>VLOOKUP(N832,CODE!K:P,CODE!$P$1,FALSE)</f>
        <v>가방</v>
      </c>
      <c r="M832" s="24" t="str">
        <f>VLOOKUP(MID(Q832,1,3),CODE!$B:$G,CODE!D$1,FALSE)</f>
        <v>ELS</v>
      </c>
      <c r="N832" s="24" t="str">
        <f t="shared" si="177"/>
        <v>SB</v>
      </c>
      <c r="O832" s="29" t="str">
        <f>IF(ISERROR(IF(VLOOKUP($N832,CODE!$K:$P,CODE!$O$1,FALSE)="",$M832,$M832&amp;"-"&amp;VLOOKUP($N832,CODE!$K:$P,CODE!$O$1,FALSE)))=TRUE,"",IF(VLOOKUP($N832,CODE!$K:$P,CODE!$O$1,FALSE)="",$M832,$M832&amp;"-"&amp;VLOOKUP($N832,CODE!$K:$P,CODE!$O$1,FALSE)))</f>
        <v>ELS-가방</v>
      </c>
      <c r="P832" s="29" t="str">
        <f t="shared" si="178"/>
        <v>ELSSBE3803</v>
      </c>
      <c r="Q832" s="1" t="s">
        <v>800</v>
      </c>
      <c r="R832" s="1" t="s">
        <v>14</v>
      </c>
      <c r="S832" s="26">
        <v>500</v>
      </c>
      <c r="T832" s="26">
        <v>22500000</v>
      </c>
      <c r="U832" s="26">
        <v>5010000</v>
      </c>
      <c r="V832" s="26">
        <v>4.0827436037016875</v>
      </c>
      <c r="W832" s="26">
        <v>0</v>
      </c>
      <c r="X832" s="26">
        <v>500</v>
      </c>
    </row>
    <row r="833" spans="1:24">
      <c r="A833" s="24" t="str">
        <f t="shared" si="167"/>
        <v>신규</v>
      </c>
      <c r="B833" s="24" t="str">
        <f>IF(COUNTIF(Q$1:Q832,Q833)=0,"최초","리오더")</f>
        <v>최초</v>
      </c>
      <c r="C833" s="24" t="str">
        <f t="shared" si="168"/>
        <v>FFTFIE3319</v>
      </c>
      <c r="D833" s="24">
        <f t="shared" si="169"/>
        <v>1</v>
      </c>
      <c r="E833" s="24" t="str">
        <f t="shared" si="170"/>
        <v/>
      </c>
      <c r="F833" s="24">
        <f t="shared" si="171"/>
        <v>0</v>
      </c>
      <c r="G833" s="24" t="str">
        <f t="shared" si="172"/>
        <v>FFTFIE3319BL</v>
      </c>
      <c r="H833" s="24">
        <f t="shared" si="173"/>
        <v>1</v>
      </c>
      <c r="I833" s="24" t="str">
        <f t="shared" si="174"/>
        <v/>
      </c>
      <c r="J833" s="24">
        <f t="shared" si="175"/>
        <v>0</v>
      </c>
      <c r="K833" s="24" t="str">
        <f t="shared" si="176"/>
        <v>E3</v>
      </c>
      <c r="L833" s="24" t="str">
        <f>VLOOKUP(N833,CODE!K:P,CODE!$P$1,FALSE)</f>
        <v>모자</v>
      </c>
      <c r="M833" s="24" t="str">
        <f>VLOOKUP(MID(Q833,1,3),CODE!$B:$G,CODE!D$1,FALSE)</f>
        <v>FFT</v>
      </c>
      <c r="N833" s="24" t="str">
        <f t="shared" si="177"/>
        <v>FI</v>
      </c>
      <c r="O833" s="29" t="str">
        <f>IF(ISERROR(IF(VLOOKUP($N833,CODE!$K:$P,CODE!$O$1,FALSE)="",$M833,$M833&amp;"-"&amp;VLOOKUP($N833,CODE!$K:$P,CODE!$O$1,FALSE)))=TRUE,"",IF(VLOOKUP($N833,CODE!$K:$P,CODE!$O$1,FALSE)="",$M833,$M833&amp;"-"&amp;VLOOKUP($N833,CODE!$K:$P,CODE!$O$1,FALSE)))</f>
        <v>FFT</v>
      </c>
      <c r="P833" s="29" t="str">
        <f t="shared" si="178"/>
        <v>FFTFIE3319</v>
      </c>
      <c r="Q833" s="1" t="s">
        <v>1589</v>
      </c>
      <c r="R833" s="1" t="s">
        <v>15</v>
      </c>
      <c r="S833" s="26">
        <v>300</v>
      </c>
      <c r="T833" s="26">
        <v>14700000</v>
      </c>
      <c r="U833" s="26">
        <v>6013636.3636363633</v>
      </c>
      <c r="V833" s="26">
        <v>2.2222222222222223</v>
      </c>
      <c r="W833" s="26">
        <v>300</v>
      </c>
      <c r="X833" s="26">
        <v>0</v>
      </c>
    </row>
    <row r="834" spans="1:24">
      <c r="A834" s="24" t="str">
        <f t="shared" si="167"/>
        <v>신규</v>
      </c>
      <c r="B834" s="24" t="str">
        <f>IF(COUNTIF(Q$1:Q833,Q834)=0,"최초","리오더")</f>
        <v>최초</v>
      </c>
      <c r="C834" s="24" t="str">
        <f t="shared" si="168"/>
        <v>FFTFIE3316</v>
      </c>
      <c r="D834" s="24">
        <f t="shared" si="169"/>
        <v>1</v>
      </c>
      <c r="E834" s="24" t="str">
        <f t="shared" si="170"/>
        <v/>
      </c>
      <c r="F834" s="24">
        <f t="shared" si="171"/>
        <v>0</v>
      </c>
      <c r="G834" s="24" t="str">
        <f t="shared" si="172"/>
        <v>FFTFIE3316BK</v>
      </c>
      <c r="H834" s="24">
        <f t="shared" si="173"/>
        <v>1</v>
      </c>
      <c r="I834" s="24" t="str">
        <f t="shared" si="174"/>
        <v/>
      </c>
      <c r="J834" s="24">
        <f t="shared" si="175"/>
        <v>0</v>
      </c>
      <c r="K834" s="24" t="str">
        <f t="shared" si="176"/>
        <v>E3</v>
      </c>
      <c r="L834" s="24" t="str">
        <f>VLOOKUP(N834,CODE!K:P,CODE!$P$1,FALSE)</f>
        <v>모자</v>
      </c>
      <c r="M834" s="24" t="str">
        <f>VLOOKUP(MID(Q834,1,3),CODE!$B:$G,CODE!D$1,FALSE)</f>
        <v>FFT</v>
      </c>
      <c r="N834" s="24" t="str">
        <f t="shared" si="177"/>
        <v>FI</v>
      </c>
      <c r="O834" s="29" t="str">
        <f>IF(ISERROR(IF(VLOOKUP($N834,CODE!$K:$P,CODE!$O$1,FALSE)="",$M834,$M834&amp;"-"&amp;VLOOKUP($N834,CODE!$K:$P,CODE!$O$1,FALSE)))=TRUE,"",IF(VLOOKUP($N834,CODE!$K:$P,CODE!$O$1,FALSE)="",$M834,$M834&amp;"-"&amp;VLOOKUP($N834,CODE!$K:$P,CODE!$O$1,FALSE)))</f>
        <v>FFT</v>
      </c>
      <c r="P834" s="29" t="str">
        <f t="shared" si="178"/>
        <v>FFTFIE3316</v>
      </c>
      <c r="Q834" s="1" t="s">
        <v>1590</v>
      </c>
      <c r="R834" s="1" t="s">
        <v>15</v>
      </c>
      <c r="S834" s="26">
        <v>150</v>
      </c>
      <c r="T834" s="26">
        <v>7350000</v>
      </c>
      <c r="U834" s="26">
        <v>3006818.1818181816</v>
      </c>
      <c r="V834" s="26">
        <v>2.2222222222222223</v>
      </c>
      <c r="W834" s="26">
        <v>150</v>
      </c>
      <c r="X834" s="26">
        <v>0</v>
      </c>
    </row>
    <row r="835" spans="1:24" hidden="1">
      <c r="A835" s="24" t="str">
        <f t="shared" si="167"/>
        <v>신규</v>
      </c>
      <c r="B835" s="24" t="str">
        <f>IF(COUNTIF(Q$1:Q834,Q835)=0,"최초","리오더")</f>
        <v>리오더</v>
      </c>
      <c r="C835" s="24" t="str">
        <f t="shared" si="168"/>
        <v/>
      </c>
      <c r="D835" s="24">
        <f t="shared" si="169"/>
        <v>0</v>
      </c>
      <c r="E835" s="24" t="str">
        <f t="shared" si="170"/>
        <v>FFTFIE3313</v>
      </c>
      <c r="F835" s="24">
        <f t="shared" si="171"/>
        <v>1</v>
      </c>
      <c r="G835" s="24" t="str">
        <f t="shared" si="172"/>
        <v/>
      </c>
      <c r="H835" s="24">
        <f t="shared" si="173"/>
        <v>0</v>
      </c>
      <c r="I835" s="24" t="str">
        <f t="shared" si="174"/>
        <v>FFTFIE3313WH</v>
      </c>
      <c r="J835" s="24">
        <f t="shared" si="175"/>
        <v>1</v>
      </c>
      <c r="K835" s="24" t="str">
        <f t="shared" si="176"/>
        <v>E3</v>
      </c>
      <c r="L835" s="24" t="str">
        <f>VLOOKUP(N835,CODE!K:P,CODE!$P$1,FALSE)</f>
        <v>모자</v>
      </c>
      <c r="M835" s="24" t="str">
        <f>VLOOKUP(MID(Q835,1,3),CODE!$B:$G,CODE!D$1,FALSE)</f>
        <v>FFT</v>
      </c>
      <c r="N835" s="24" t="str">
        <f t="shared" si="177"/>
        <v>FI</v>
      </c>
      <c r="O835" s="29" t="str">
        <f>IF(ISERROR(IF(VLOOKUP($N835,CODE!$K:$P,CODE!$O$1,FALSE)="",$M835,$M835&amp;"-"&amp;VLOOKUP($N835,CODE!$K:$P,CODE!$O$1,FALSE)))=TRUE,"",IF(VLOOKUP($N835,CODE!$K:$P,CODE!$O$1,FALSE)="",$M835,$M835&amp;"-"&amp;VLOOKUP($N835,CODE!$K:$P,CODE!$O$1,FALSE)))</f>
        <v>FFT</v>
      </c>
      <c r="P835" s="29" t="str">
        <f t="shared" si="178"/>
        <v>FFTFIE3313</v>
      </c>
      <c r="Q835" s="1" t="s">
        <v>1462</v>
      </c>
      <c r="R835" s="1" t="s">
        <v>15</v>
      </c>
      <c r="S835" s="26">
        <v>50</v>
      </c>
      <c r="T835" s="26">
        <v>2450000</v>
      </c>
      <c r="U835" s="26">
        <v>1002272.7272727272</v>
      </c>
      <c r="V835" s="26">
        <v>2.2222222222222223</v>
      </c>
      <c r="W835" s="26">
        <v>50</v>
      </c>
      <c r="X835" s="26">
        <v>0</v>
      </c>
    </row>
    <row r="836" spans="1:24">
      <c r="A836" s="24" t="str">
        <f t="shared" si="167"/>
        <v>신규</v>
      </c>
      <c r="B836" s="24" t="str">
        <f>IF(COUNTIF(Q$1:Q835,Q836)=0,"최초","리오더")</f>
        <v>최초</v>
      </c>
      <c r="C836" s="24" t="str">
        <f t="shared" si="168"/>
        <v>FFTFIE3317</v>
      </c>
      <c r="D836" s="24">
        <f t="shared" si="169"/>
        <v>1</v>
      </c>
      <c r="E836" s="24" t="str">
        <f t="shared" si="170"/>
        <v/>
      </c>
      <c r="F836" s="24">
        <f t="shared" si="171"/>
        <v>0</v>
      </c>
      <c r="G836" s="24" t="str">
        <f t="shared" si="172"/>
        <v>FFTFIE3317BK</v>
      </c>
      <c r="H836" s="24">
        <f t="shared" si="173"/>
        <v>1</v>
      </c>
      <c r="I836" s="24" t="str">
        <f t="shared" si="174"/>
        <v/>
      </c>
      <c r="J836" s="24">
        <f t="shared" si="175"/>
        <v>0</v>
      </c>
      <c r="K836" s="24" t="str">
        <f t="shared" si="176"/>
        <v>E3</v>
      </c>
      <c r="L836" s="24" t="str">
        <f>VLOOKUP(N836,CODE!K:P,CODE!$P$1,FALSE)</f>
        <v>모자</v>
      </c>
      <c r="M836" s="24" t="str">
        <f>VLOOKUP(MID(Q836,1,3),CODE!$B:$G,CODE!D$1,FALSE)</f>
        <v>FFT</v>
      </c>
      <c r="N836" s="24" t="str">
        <f t="shared" si="177"/>
        <v>FI</v>
      </c>
      <c r="O836" s="29" t="str">
        <f>IF(ISERROR(IF(VLOOKUP($N836,CODE!$K:$P,CODE!$O$1,FALSE)="",$M836,$M836&amp;"-"&amp;VLOOKUP($N836,CODE!$K:$P,CODE!$O$1,FALSE)))=TRUE,"",IF(VLOOKUP($N836,CODE!$K:$P,CODE!$O$1,FALSE)="",$M836,$M836&amp;"-"&amp;VLOOKUP($N836,CODE!$K:$P,CODE!$O$1,FALSE)))</f>
        <v>FFT</v>
      </c>
      <c r="P836" s="29" t="str">
        <f t="shared" si="178"/>
        <v>FFTFIE3317</v>
      </c>
      <c r="Q836" s="1" t="s">
        <v>1591</v>
      </c>
      <c r="R836" s="1" t="s">
        <v>15</v>
      </c>
      <c r="S836" s="26">
        <v>100</v>
      </c>
      <c r="T836" s="26">
        <v>4900000</v>
      </c>
      <c r="U836" s="26">
        <v>2004545.4545454544</v>
      </c>
      <c r="V836" s="26">
        <v>2.2222222222222223</v>
      </c>
      <c r="W836" s="26">
        <v>100</v>
      </c>
      <c r="X836" s="26">
        <v>0</v>
      </c>
    </row>
    <row r="837" spans="1:24" hidden="1">
      <c r="A837" s="24" t="str">
        <f t="shared" si="167"/>
        <v>러닝</v>
      </c>
      <c r="B837" s="24" t="str">
        <f>IF(COUNTIF(Q$1:Q836,Q837)=0,"최초","리오더")</f>
        <v>리오더</v>
      </c>
      <c r="C837" s="24" t="str">
        <f t="shared" si="168"/>
        <v/>
      </c>
      <c r="D837" s="24">
        <f t="shared" si="169"/>
        <v>0</v>
      </c>
      <c r="E837" s="24" t="str">
        <f t="shared" si="170"/>
        <v>FFTFIE3208</v>
      </c>
      <c r="F837" s="24">
        <f t="shared" si="171"/>
        <v>0.25</v>
      </c>
      <c r="G837" s="24" t="str">
        <f t="shared" si="172"/>
        <v/>
      </c>
      <c r="H837" s="24">
        <f t="shared" si="173"/>
        <v>0</v>
      </c>
      <c r="I837" s="24" t="str">
        <f t="shared" si="174"/>
        <v>FFTFIE3208WH</v>
      </c>
      <c r="J837" s="24">
        <f t="shared" si="175"/>
        <v>1</v>
      </c>
      <c r="K837" s="24" t="str">
        <f t="shared" si="176"/>
        <v>E3</v>
      </c>
      <c r="L837" s="24" t="str">
        <f>VLOOKUP(N837,CODE!K:P,CODE!$P$1,FALSE)</f>
        <v>모자</v>
      </c>
      <c r="M837" s="24" t="str">
        <f>VLOOKUP(MID(Q837,1,3),CODE!$B:$G,CODE!D$1,FALSE)</f>
        <v>FFT</v>
      </c>
      <c r="N837" s="24" t="str">
        <f t="shared" si="177"/>
        <v>FI</v>
      </c>
      <c r="O837" s="29" t="str">
        <f>IF(ISERROR(IF(VLOOKUP($N837,CODE!$K:$P,CODE!$O$1,FALSE)="",$M837,$M837&amp;"-"&amp;VLOOKUP($N837,CODE!$K:$P,CODE!$O$1,FALSE)))=TRUE,"",IF(VLOOKUP($N837,CODE!$K:$P,CODE!$O$1,FALSE)="",$M837,$M837&amp;"-"&amp;VLOOKUP($N837,CODE!$K:$P,CODE!$O$1,FALSE)))</f>
        <v>FFT</v>
      </c>
      <c r="P837" s="29" t="str">
        <f t="shared" si="178"/>
        <v>FFTFIE3208</v>
      </c>
      <c r="Q837" s="1" t="s">
        <v>1463</v>
      </c>
      <c r="R837" s="1" t="s">
        <v>15</v>
      </c>
      <c r="S837" s="26">
        <v>100</v>
      </c>
      <c r="T837" s="26">
        <v>4900000</v>
      </c>
      <c r="U837" s="26">
        <v>2004545.4545454544</v>
      </c>
      <c r="V837" s="26">
        <v>2.2222222222222223</v>
      </c>
      <c r="W837" s="26">
        <v>100</v>
      </c>
      <c r="X837" s="26">
        <v>0</v>
      </c>
    </row>
    <row r="838" spans="1:24" hidden="1">
      <c r="A838" s="24" t="str">
        <f t="shared" si="167"/>
        <v>러닝</v>
      </c>
      <c r="B838" s="24" t="str">
        <f>IF(COUNTIF(Q$1:Q837,Q838)=0,"최초","리오더")</f>
        <v>리오더</v>
      </c>
      <c r="C838" s="24" t="str">
        <f t="shared" si="168"/>
        <v/>
      </c>
      <c r="D838" s="24">
        <f t="shared" si="169"/>
        <v>0</v>
      </c>
      <c r="E838" s="24" t="str">
        <f t="shared" si="170"/>
        <v>FFTFIE3208</v>
      </c>
      <c r="F838" s="24">
        <f t="shared" si="171"/>
        <v>0.25</v>
      </c>
      <c r="G838" s="24" t="str">
        <f t="shared" si="172"/>
        <v/>
      </c>
      <c r="H838" s="24">
        <f t="shared" si="173"/>
        <v>0</v>
      </c>
      <c r="I838" s="24" t="str">
        <f t="shared" si="174"/>
        <v>FFTFIE3208BK</v>
      </c>
      <c r="J838" s="24">
        <f t="shared" si="175"/>
        <v>0.5</v>
      </c>
      <c r="K838" s="24" t="str">
        <f t="shared" si="176"/>
        <v>E3</v>
      </c>
      <c r="L838" s="24" t="str">
        <f>VLOOKUP(N838,CODE!K:P,CODE!$P$1,FALSE)</f>
        <v>모자</v>
      </c>
      <c r="M838" s="24" t="str">
        <f>VLOOKUP(MID(Q838,1,3),CODE!$B:$G,CODE!D$1,FALSE)</f>
        <v>FFT</v>
      </c>
      <c r="N838" s="24" t="str">
        <f t="shared" si="177"/>
        <v>FI</v>
      </c>
      <c r="O838" s="29" t="str">
        <f>IF(ISERROR(IF(VLOOKUP($N838,CODE!$K:$P,CODE!$O$1,FALSE)="",$M838,$M838&amp;"-"&amp;VLOOKUP($N838,CODE!$K:$P,CODE!$O$1,FALSE)))=TRUE,"",IF(VLOOKUP($N838,CODE!$K:$P,CODE!$O$1,FALSE)="",$M838,$M838&amp;"-"&amp;VLOOKUP($N838,CODE!$K:$P,CODE!$O$1,FALSE)))</f>
        <v>FFT</v>
      </c>
      <c r="P838" s="29" t="str">
        <f t="shared" si="178"/>
        <v>FFTFIE3208</v>
      </c>
      <c r="Q838" s="1" t="s">
        <v>1464</v>
      </c>
      <c r="R838" s="1" t="s">
        <v>15</v>
      </c>
      <c r="S838" s="26">
        <v>150</v>
      </c>
      <c r="T838" s="26">
        <v>7350000</v>
      </c>
      <c r="U838" s="26">
        <v>3006818.1818181816</v>
      </c>
      <c r="V838" s="26">
        <v>2.2222222222222223</v>
      </c>
      <c r="W838" s="26">
        <v>150</v>
      </c>
      <c r="X838" s="26">
        <v>0</v>
      </c>
    </row>
    <row r="839" spans="1:24">
      <c r="A839" s="24" t="str">
        <f t="shared" si="167"/>
        <v>러닝</v>
      </c>
      <c r="B839" s="24" t="str">
        <f>IF(COUNTIF(Q$1:Q838,Q839)=0,"최초","리오더")</f>
        <v>최초</v>
      </c>
      <c r="C839" s="24" t="str">
        <f t="shared" si="168"/>
        <v>FFTFIE3238</v>
      </c>
      <c r="D839" s="24">
        <f t="shared" si="169"/>
        <v>1</v>
      </c>
      <c r="E839" s="24" t="str">
        <f t="shared" si="170"/>
        <v/>
      </c>
      <c r="F839" s="24">
        <f t="shared" si="171"/>
        <v>0</v>
      </c>
      <c r="G839" s="24" t="str">
        <f t="shared" si="172"/>
        <v>FFTFIE3238BK</v>
      </c>
      <c r="H839" s="24">
        <f t="shared" si="173"/>
        <v>1</v>
      </c>
      <c r="I839" s="24" t="str">
        <f t="shared" si="174"/>
        <v/>
      </c>
      <c r="J839" s="24">
        <f t="shared" si="175"/>
        <v>0</v>
      </c>
      <c r="K839" s="24" t="str">
        <f t="shared" si="176"/>
        <v>E3</v>
      </c>
      <c r="L839" s="24" t="str">
        <f>VLOOKUP(N839,CODE!K:P,CODE!$P$1,FALSE)</f>
        <v>모자</v>
      </c>
      <c r="M839" s="24" t="str">
        <f>VLOOKUP(MID(Q839,1,3),CODE!$B:$G,CODE!D$1,FALSE)</f>
        <v>FFT</v>
      </c>
      <c r="N839" s="24" t="str">
        <f t="shared" si="177"/>
        <v>FI</v>
      </c>
      <c r="O839" s="29" t="str">
        <f>IF(ISERROR(IF(VLOOKUP($N839,CODE!$K:$P,CODE!$O$1,FALSE)="",$M839,$M839&amp;"-"&amp;VLOOKUP($N839,CODE!$K:$P,CODE!$O$1,FALSE)))=TRUE,"",IF(VLOOKUP($N839,CODE!$K:$P,CODE!$O$1,FALSE)="",$M839,$M839&amp;"-"&amp;VLOOKUP($N839,CODE!$K:$P,CODE!$O$1,FALSE)))</f>
        <v>FFT</v>
      </c>
      <c r="P839" s="29" t="str">
        <f t="shared" si="178"/>
        <v>FFTFIE3238</v>
      </c>
      <c r="Q839" s="1" t="s">
        <v>1592</v>
      </c>
      <c r="R839" s="1" t="s">
        <v>15</v>
      </c>
      <c r="S839" s="26">
        <v>150</v>
      </c>
      <c r="T839" s="26">
        <v>7350000</v>
      </c>
      <c r="U839" s="26">
        <v>3006818.1818181816</v>
      </c>
      <c r="V839" s="26">
        <v>2.2222222222222223</v>
      </c>
      <c r="W839" s="26">
        <v>150</v>
      </c>
      <c r="X839" s="26">
        <v>0</v>
      </c>
    </row>
    <row r="840" spans="1:24" hidden="1">
      <c r="A840" s="24" t="str">
        <f t="shared" si="167"/>
        <v>러닝</v>
      </c>
      <c r="B840" s="24" t="str">
        <f>IF(COUNTIF(Q$1:Q839,Q840)=0,"최초","리오더")</f>
        <v>리오더</v>
      </c>
      <c r="C840" s="24" t="str">
        <f t="shared" si="168"/>
        <v/>
      </c>
      <c r="D840" s="24">
        <f t="shared" si="169"/>
        <v>0</v>
      </c>
      <c r="E840" s="24" t="str">
        <f t="shared" si="170"/>
        <v>FFTFIE3209</v>
      </c>
      <c r="F840" s="24">
        <f t="shared" si="171"/>
        <v>0.5</v>
      </c>
      <c r="G840" s="24" t="str">
        <f t="shared" si="172"/>
        <v/>
      </c>
      <c r="H840" s="24">
        <f t="shared" si="173"/>
        <v>0</v>
      </c>
      <c r="I840" s="24" t="str">
        <f t="shared" si="174"/>
        <v>FFTFIE3209WH</v>
      </c>
      <c r="J840" s="24">
        <f t="shared" si="175"/>
        <v>1</v>
      </c>
      <c r="K840" s="24" t="str">
        <f t="shared" si="176"/>
        <v>E3</v>
      </c>
      <c r="L840" s="24" t="str">
        <f>VLOOKUP(N840,CODE!K:P,CODE!$P$1,FALSE)</f>
        <v>모자</v>
      </c>
      <c r="M840" s="24" t="str">
        <f>VLOOKUP(MID(Q840,1,3),CODE!$B:$G,CODE!D$1,FALSE)</f>
        <v>FFT</v>
      </c>
      <c r="N840" s="24" t="str">
        <f t="shared" si="177"/>
        <v>FI</v>
      </c>
      <c r="O840" s="29" t="str">
        <f>IF(ISERROR(IF(VLOOKUP($N840,CODE!$K:$P,CODE!$O$1,FALSE)="",$M840,$M840&amp;"-"&amp;VLOOKUP($N840,CODE!$K:$P,CODE!$O$1,FALSE)))=TRUE,"",IF(VLOOKUP($N840,CODE!$K:$P,CODE!$O$1,FALSE)="",$M840,$M840&amp;"-"&amp;VLOOKUP($N840,CODE!$K:$P,CODE!$O$1,FALSE)))</f>
        <v>FFT</v>
      </c>
      <c r="P840" s="29" t="str">
        <f t="shared" si="178"/>
        <v>FFTFIE3209</v>
      </c>
      <c r="Q840" s="1" t="s">
        <v>1466</v>
      </c>
      <c r="R840" s="1" t="s">
        <v>15</v>
      </c>
      <c r="S840" s="26">
        <v>150</v>
      </c>
      <c r="T840" s="26">
        <v>7350000</v>
      </c>
      <c r="U840" s="26">
        <v>3006818.1818181816</v>
      </c>
      <c r="V840" s="26">
        <v>2.2222222222222223</v>
      </c>
      <c r="W840" s="26">
        <v>150</v>
      </c>
      <c r="X840" s="26">
        <v>0</v>
      </c>
    </row>
    <row r="841" spans="1:24" hidden="1">
      <c r="A841" s="24" t="str">
        <f t="shared" si="167"/>
        <v>러닝</v>
      </c>
      <c r="B841" s="24" t="str">
        <f>IF(COUNTIF(Q$1:Q840,Q841)=0,"최초","리오더")</f>
        <v>리오더</v>
      </c>
      <c r="C841" s="24" t="str">
        <f t="shared" si="168"/>
        <v/>
      </c>
      <c r="D841" s="24">
        <f t="shared" si="169"/>
        <v>0</v>
      </c>
      <c r="E841" s="24" t="str">
        <f t="shared" si="170"/>
        <v>FFTFIE3209</v>
      </c>
      <c r="F841" s="24">
        <f t="shared" si="171"/>
        <v>0.5</v>
      </c>
      <c r="G841" s="24" t="str">
        <f t="shared" si="172"/>
        <v/>
      </c>
      <c r="H841" s="24">
        <f t="shared" si="173"/>
        <v>0</v>
      </c>
      <c r="I841" s="24" t="str">
        <f t="shared" si="174"/>
        <v>FFTFIE3209BK</v>
      </c>
      <c r="J841" s="24">
        <f t="shared" si="175"/>
        <v>1</v>
      </c>
      <c r="K841" s="24" t="str">
        <f t="shared" si="176"/>
        <v>E3</v>
      </c>
      <c r="L841" s="24" t="str">
        <f>VLOOKUP(N841,CODE!K:P,CODE!$P$1,FALSE)</f>
        <v>모자</v>
      </c>
      <c r="M841" s="24" t="str">
        <f>VLOOKUP(MID(Q841,1,3),CODE!$B:$G,CODE!D$1,FALSE)</f>
        <v>FFT</v>
      </c>
      <c r="N841" s="24" t="str">
        <f t="shared" si="177"/>
        <v>FI</v>
      </c>
      <c r="O841" s="29" t="str">
        <f>IF(ISERROR(IF(VLOOKUP($N841,CODE!$K:$P,CODE!$O$1,FALSE)="",$M841,$M841&amp;"-"&amp;VLOOKUP($N841,CODE!$K:$P,CODE!$O$1,FALSE)))=TRUE,"",IF(VLOOKUP($N841,CODE!$K:$P,CODE!$O$1,FALSE)="",$M841,$M841&amp;"-"&amp;VLOOKUP($N841,CODE!$K:$P,CODE!$O$1,FALSE)))</f>
        <v>FFT</v>
      </c>
      <c r="P841" s="29" t="str">
        <f t="shared" si="178"/>
        <v>FFTFIE3209</v>
      </c>
      <c r="Q841" s="1" t="s">
        <v>1467</v>
      </c>
      <c r="R841" s="1" t="s">
        <v>15</v>
      </c>
      <c r="S841" s="26">
        <v>150</v>
      </c>
      <c r="T841" s="26">
        <v>7350000</v>
      </c>
      <c r="U841" s="26">
        <v>3006818.1818181816</v>
      </c>
      <c r="V841" s="26">
        <v>2.2222222222222223</v>
      </c>
      <c r="W841" s="26">
        <v>150</v>
      </c>
      <c r="X841" s="26">
        <v>0</v>
      </c>
    </row>
    <row r="842" spans="1:24" hidden="1">
      <c r="A842" s="24" t="str">
        <f t="shared" si="167"/>
        <v>러닝</v>
      </c>
      <c r="B842" s="24" t="str">
        <f>IF(COUNTIF(Q$1:Q841,Q842)=0,"최초","리오더")</f>
        <v>리오더</v>
      </c>
      <c r="C842" s="24" t="str">
        <f t="shared" si="168"/>
        <v/>
      </c>
      <c r="D842" s="24">
        <f t="shared" si="169"/>
        <v>0</v>
      </c>
      <c r="E842" s="24" t="str">
        <f t="shared" si="170"/>
        <v>FFTFIE3225</v>
      </c>
      <c r="F842" s="24">
        <f t="shared" si="171"/>
        <v>1</v>
      </c>
      <c r="G842" s="24" t="str">
        <f t="shared" si="172"/>
        <v/>
      </c>
      <c r="H842" s="24">
        <f t="shared" si="173"/>
        <v>0</v>
      </c>
      <c r="I842" s="24" t="str">
        <f t="shared" si="174"/>
        <v>FFTFIE3225AR</v>
      </c>
      <c r="J842" s="24">
        <f t="shared" si="175"/>
        <v>1</v>
      </c>
      <c r="K842" s="24" t="str">
        <f t="shared" si="176"/>
        <v>E3</v>
      </c>
      <c r="L842" s="24" t="str">
        <f>VLOOKUP(N842,CODE!K:P,CODE!$P$1,FALSE)</f>
        <v>모자</v>
      </c>
      <c r="M842" s="24" t="str">
        <f>VLOOKUP(MID(Q842,1,3),CODE!$B:$G,CODE!D$1,FALSE)</f>
        <v>FFT</v>
      </c>
      <c r="N842" s="24" t="str">
        <f t="shared" si="177"/>
        <v>FI</v>
      </c>
      <c r="O842" s="29" t="str">
        <f>IF(ISERROR(IF(VLOOKUP($N842,CODE!$K:$P,CODE!$O$1,FALSE)="",$M842,$M842&amp;"-"&amp;VLOOKUP($N842,CODE!$K:$P,CODE!$O$1,FALSE)))=TRUE,"",IF(VLOOKUP($N842,CODE!$K:$P,CODE!$O$1,FALSE)="",$M842,$M842&amp;"-"&amp;VLOOKUP($N842,CODE!$K:$P,CODE!$O$1,FALSE)))</f>
        <v>FFT</v>
      </c>
      <c r="P842" s="29" t="str">
        <f t="shared" si="178"/>
        <v>FFTFIE3225</v>
      </c>
      <c r="Q842" s="1" t="s">
        <v>1547</v>
      </c>
      <c r="R842" s="1" t="s">
        <v>15</v>
      </c>
      <c r="S842" s="26">
        <v>100</v>
      </c>
      <c r="T842" s="26">
        <v>4900000</v>
      </c>
      <c r="U842" s="26">
        <v>2004545.4545454544</v>
      </c>
      <c r="V842" s="26">
        <v>2.2222222222222223</v>
      </c>
      <c r="W842" s="26">
        <v>100</v>
      </c>
      <c r="X842" s="26">
        <v>0</v>
      </c>
    </row>
    <row r="843" spans="1:24" hidden="1">
      <c r="A843" s="24" t="str">
        <f t="shared" si="167"/>
        <v>러닝</v>
      </c>
      <c r="B843" s="24" t="str">
        <f>IF(COUNTIF(Q$1:Q842,Q843)=0,"최초","리오더")</f>
        <v>리오더</v>
      </c>
      <c r="C843" s="24" t="str">
        <f t="shared" si="168"/>
        <v/>
      </c>
      <c r="D843" s="24">
        <f t="shared" si="169"/>
        <v>0</v>
      </c>
      <c r="E843" s="24" t="str">
        <f t="shared" si="170"/>
        <v>FFTFIE3211</v>
      </c>
      <c r="F843" s="24">
        <f t="shared" si="171"/>
        <v>0.5</v>
      </c>
      <c r="G843" s="24" t="str">
        <f t="shared" si="172"/>
        <v/>
      </c>
      <c r="H843" s="24">
        <f t="shared" si="173"/>
        <v>0</v>
      </c>
      <c r="I843" s="24" t="str">
        <f t="shared" si="174"/>
        <v>FFTFIE3211RE</v>
      </c>
      <c r="J843" s="24">
        <f t="shared" si="175"/>
        <v>0.5</v>
      </c>
      <c r="K843" s="24" t="str">
        <f t="shared" si="176"/>
        <v>E3</v>
      </c>
      <c r="L843" s="24" t="str">
        <f>VLOOKUP(N843,CODE!K:P,CODE!$P$1,FALSE)</f>
        <v>모자</v>
      </c>
      <c r="M843" s="24" t="str">
        <f>VLOOKUP(MID(Q843,1,3),CODE!$B:$G,CODE!D$1,FALSE)</f>
        <v>FFT</v>
      </c>
      <c r="N843" s="24" t="str">
        <f t="shared" si="177"/>
        <v>FI</v>
      </c>
      <c r="O843" s="29" t="str">
        <f>IF(ISERROR(IF(VLOOKUP($N843,CODE!$K:$P,CODE!$O$1,FALSE)="",$M843,$M843&amp;"-"&amp;VLOOKUP($N843,CODE!$K:$P,CODE!$O$1,FALSE)))=TRUE,"",IF(VLOOKUP($N843,CODE!$K:$P,CODE!$O$1,FALSE)="",$M843,$M843&amp;"-"&amp;VLOOKUP($N843,CODE!$K:$P,CODE!$O$1,FALSE)))</f>
        <v>FFT</v>
      </c>
      <c r="P843" s="29" t="str">
        <f t="shared" si="178"/>
        <v>FFTFIE3211</v>
      </c>
      <c r="Q843" s="1" t="s">
        <v>1468</v>
      </c>
      <c r="R843" s="1" t="s">
        <v>15</v>
      </c>
      <c r="S843" s="26">
        <v>80</v>
      </c>
      <c r="T843" s="26">
        <v>3920000</v>
      </c>
      <c r="U843" s="26">
        <v>1603636.3636363635</v>
      </c>
      <c r="V843" s="26">
        <v>2.2222222222222223</v>
      </c>
      <c r="W843" s="26">
        <v>80</v>
      </c>
      <c r="X843" s="26">
        <v>0</v>
      </c>
    </row>
    <row r="844" spans="1:24" hidden="1">
      <c r="A844" s="24" t="str">
        <f t="shared" si="167"/>
        <v>신규</v>
      </c>
      <c r="B844" s="24" t="str">
        <f>IF(COUNTIF(Q$1:Q843,Q844)=0,"최초","리오더")</f>
        <v>리오더</v>
      </c>
      <c r="C844" s="24" t="str">
        <f t="shared" si="168"/>
        <v/>
      </c>
      <c r="D844" s="24">
        <f t="shared" si="169"/>
        <v>0</v>
      </c>
      <c r="E844" s="24" t="str">
        <f t="shared" si="170"/>
        <v>FFTFIE3311</v>
      </c>
      <c r="F844" s="24">
        <f t="shared" si="171"/>
        <v>1</v>
      </c>
      <c r="G844" s="24" t="str">
        <f t="shared" si="172"/>
        <v/>
      </c>
      <c r="H844" s="24">
        <f t="shared" si="173"/>
        <v>0</v>
      </c>
      <c r="I844" s="24" t="str">
        <f t="shared" si="174"/>
        <v>FFTFIE3311BL</v>
      </c>
      <c r="J844" s="24">
        <f t="shared" si="175"/>
        <v>1</v>
      </c>
      <c r="K844" s="24" t="str">
        <f t="shared" si="176"/>
        <v>E3</v>
      </c>
      <c r="L844" s="24" t="str">
        <f>VLOOKUP(N844,CODE!K:P,CODE!$P$1,FALSE)</f>
        <v>모자</v>
      </c>
      <c r="M844" s="24" t="str">
        <f>VLOOKUP(MID(Q844,1,3),CODE!$B:$G,CODE!D$1,FALSE)</f>
        <v>FFT</v>
      </c>
      <c r="N844" s="24" t="str">
        <f t="shared" si="177"/>
        <v>FI</v>
      </c>
      <c r="O844" s="29" t="str">
        <f>IF(ISERROR(IF(VLOOKUP($N844,CODE!$K:$P,CODE!$O$1,FALSE)="",$M844,$M844&amp;"-"&amp;VLOOKUP($N844,CODE!$K:$P,CODE!$O$1,FALSE)))=TRUE,"",IF(VLOOKUP($N844,CODE!$K:$P,CODE!$O$1,FALSE)="",$M844,$M844&amp;"-"&amp;VLOOKUP($N844,CODE!$K:$P,CODE!$O$1,FALSE)))</f>
        <v>FFT</v>
      </c>
      <c r="P844" s="29" t="str">
        <f t="shared" si="178"/>
        <v>FFTFIE3311</v>
      </c>
      <c r="Q844" s="1" t="s">
        <v>1469</v>
      </c>
      <c r="R844" s="1" t="s">
        <v>15</v>
      </c>
      <c r="S844" s="26">
        <v>200</v>
      </c>
      <c r="T844" s="26">
        <v>9800000</v>
      </c>
      <c r="U844" s="26">
        <v>4009090.9090909087</v>
      </c>
      <c r="V844" s="26">
        <v>2.2222222222222223</v>
      </c>
      <c r="W844" s="26">
        <v>200</v>
      </c>
      <c r="X844" s="26">
        <v>0</v>
      </c>
    </row>
    <row r="845" spans="1:24" hidden="1">
      <c r="A845" s="24" t="str">
        <f t="shared" si="167"/>
        <v>러닝</v>
      </c>
      <c r="B845" s="24" t="str">
        <f>IF(COUNTIF(Q$1:Q844,Q845)=0,"최초","리오더")</f>
        <v>리오더</v>
      </c>
      <c r="C845" s="24" t="str">
        <f t="shared" si="168"/>
        <v/>
      </c>
      <c r="D845" s="24">
        <f t="shared" si="169"/>
        <v>0</v>
      </c>
      <c r="E845" s="24" t="str">
        <f t="shared" si="170"/>
        <v>FFTFIE3235</v>
      </c>
      <c r="F845" s="24">
        <f t="shared" si="171"/>
        <v>0.5</v>
      </c>
      <c r="G845" s="24" t="str">
        <f t="shared" si="172"/>
        <v/>
      </c>
      <c r="H845" s="24">
        <f t="shared" si="173"/>
        <v>0</v>
      </c>
      <c r="I845" s="24" t="str">
        <f t="shared" si="174"/>
        <v>FFTFIE3235NY</v>
      </c>
      <c r="J845" s="24">
        <f t="shared" si="175"/>
        <v>0.5</v>
      </c>
      <c r="K845" s="24" t="str">
        <f t="shared" si="176"/>
        <v>E3</v>
      </c>
      <c r="L845" s="24" t="str">
        <f>VLOOKUP(N845,CODE!K:P,CODE!$P$1,FALSE)</f>
        <v>모자</v>
      </c>
      <c r="M845" s="24" t="str">
        <f>VLOOKUP(MID(Q845,1,3),CODE!$B:$G,CODE!D$1,FALSE)</f>
        <v>FFT</v>
      </c>
      <c r="N845" s="24" t="str">
        <f t="shared" si="177"/>
        <v>FI</v>
      </c>
      <c r="O845" s="29" t="str">
        <f>IF(ISERROR(IF(VLOOKUP($N845,CODE!$K:$P,CODE!$O$1,FALSE)="",$M845,$M845&amp;"-"&amp;VLOOKUP($N845,CODE!$K:$P,CODE!$O$1,FALSE)))=TRUE,"",IF(VLOOKUP($N845,CODE!$K:$P,CODE!$O$1,FALSE)="",$M845,$M845&amp;"-"&amp;VLOOKUP($N845,CODE!$K:$P,CODE!$O$1,FALSE)))</f>
        <v>FFT</v>
      </c>
      <c r="P845" s="29" t="str">
        <f t="shared" si="178"/>
        <v>FFTFIE3235</v>
      </c>
      <c r="Q845" s="1" t="s">
        <v>1471</v>
      </c>
      <c r="R845" s="1" t="s">
        <v>15</v>
      </c>
      <c r="S845" s="26">
        <v>200</v>
      </c>
      <c r="T845" s="26">
        <v>9800000</v>
      </c>
      <c r="U845" s="26">
        <v>4009090.9090909087</v>
      </c>
      <c r="V845" s="26">
        <v>2.2222222222222223</v>
      </c>
      <c r="W845" s="26">
        <v>200</v>
      </c>
      <c r="X845" s="26">
        <v>0</v>
      </c>
    </row>
    <row r="846" spans="1:24" hidden="1">
      <c r="A846" s="24" t="str">
        <f t="shared" si="167"/>
        <v>러닝</v>
      </c>
      <c r="B846" s="24" t="str">
        <f>IF(COUNTIF(Q$1:Q845,Q846)=0,"최초","리오더")</f>
        <v>리오더</v>
      </c>
      <c r="C846" s="24" t="str">
        <f t="shared" si="168"/>
        <v/>
      </c>
      <c r="D846" s="24">
        <f t="shared" si="169"/>
        <v>0</v>
      </c>
      <c r="E846" s="24" t="str">
        <f t="shared" si="170"/>
        <v>FFTFIE3234</v>
      </c>
      <c r="F846" s="24">
        <f t="shared" si="171"/>
        <v>0.5</v>
      </c>
      <c r="G846" s="24" t="str">
        <f t="shared" si="172"/>
        <v/>
      </c>
      <c r="H846" s="24">
        <f t="shared" si="173"/>
        <v>0</v>
      </c>
      <c r="I846" s="24" t="str">
        <f t="shared" si="174"/>
        <v>FFTFIE3234RE</v>
      </c>
      <c r="J846" s="24">
        <f t="shared" si="175"/>
        <v>0.5</v>
      </c>
      <c r="K846" s="24" t="str">
        <f t="shared" si="176"/>
        <v>E3</v>
      </c>
      <c r="L846" s="24" t="str">
        <f>VLOOKUP(N846,CODE!K:P,CODE!$P$1,FALSE)</f>
        <v>모자</v>
      </c>
      <c r="M846" s="24" t="str">
        <f>VLOOKUP(MID(Q846,1,3),CODE!$B:$G,CODE!D$1,FALSE)</f>
        <v>FFT</v>
      </c>
      <c r="N846" s="24" t="str">
        <f t="shared" si="177"/>
        <v>FI</v>
      </c>
      <c r="O846" s="29" t="str">
        <f>IF(ISERROR(IF(VLOOKUP($N846,CODE!$K:$P,CODE!$O$1,FALSE)="",$M846,$M846&amp;"-"&amp;VLOOKUP($N846,CODE!$K:$P,CODE!$O$1,FALSE)))=TRUE,"",IF(VLOOKUP($N846,CODE!$K:$P,CODE!$O$1,FALSE)="",$M846,$M846&amp;"-"&amp;VLOOKUP($N846,CODE!$K:$P,CODE!$O$1,FALSE)))</f>
        <v>FFT</v>
      </c>
      <c r="P846" s="29" t="str">
        <f t="shared" si="178"/>
        <v>FFTFIE3234</v>
      </c>
      <c r="Q846" s="1" t="s">
        <v>1472</v>
      </c>
      <c r="R846" s="1" t="s">
        <v>15</v>
      </c>
      <c r="S846" s="26">
        <v>100</v>
      </c>
      <c r="T846" s="26">
        <v>4900000</v>
      </c>
      <c r="U846" s="26">
        <v>2004545.4545454544</v>
      </c>
      <c r="V846" s="26">
        <v>2.2222222222222223</v>
      </c>
      <c r="W846" s="26">
        <v>100</v>
      </c>
      <c r="X846" s="26">
        <v>0</v>
      </c>
    </row>
    <row r="847" spans="1:24" hidden="1">
      <c r="A847" s="24" t="str">
        <f t="shared" si="167"/>
        <v>러닝</v>
      </c>
      <c r="B847" s="24" t="str">
        <f>IF(COUNTIF(Q$1:Q846,Q847)=0,"최초","리오더")</f>
        <v>리오더</v>
      </c>
      <c r="C847" s="24" t="str">
        <f t="shared" si="168"/>
        <v/>
      </c>
      <c r="D847" s="24">
        <f t="shared" si="169"/>
        <v>0</v>
      </c>
      <c r="E847" s="24" t="str">
        <f t="shared" si="170"/>
        <v>FFTFIE3228</v>
      </c>
      <c r="F847" s="24">
        <f t="shared" si="171"/>
        <v>1</v>
      </c>
      <c r="G847" s="24" t="str">
        <f t="shared" si="172"/>
        <v/>
      </c>
      <c r="H847" s="24">
        <f t="shared" si="173"/>
        <v>0</v>
      </c>
      <c r="I847" s="24" t="str">
        <f t="shared" si="174"/>
        <v>FFTFIE3228BK</v>
      </c>
      <c r="J847" s="24">
        <f t="shared" si="175"/>
        <v>1</v>
      </c>
      <c r="K847" s="24" t="str">
        <f t="shared" si="176"/>
        <v>E3</v>
      </c>
      <c r="L847" s="24" t="str">
        <f>VLOOKUP(N847,CODE!K:P,CODE!$P$1,FALSE)</f>
        <v>모자</v>
      </c>
      <c r="M847" s="24" t="str">
        <f>VLOOKUP(MID(Q847,1,3),CODE!$B:$G,CODE!D$1,FALSE)</f>
        <v>FFT</v>
      </c>
      <c r="N847" s="24" t="str">
        <f t="shared" si="177"/>
        <v>FI</v>
      </c>
      <c r="O847" s="29" t="str">
        <f>IF(ISERROR(IF(VLOOKUP($N847,CODE!$K:$P,CODE!$O$1,FALSE)="",$M847,$M847&amp;"-"&amp;VLOOKUP($N847,CODE!$K:$P,CODE!$O$1,FALSE)))=TRUE,"",IF(VLOOKUP($N847,CODE!$K:$P,CODE!$O$1,FALSE)="",$M847,$M847&amp;"-"&amp;VLOOKUP($N847,CODE!$K:$P,CODE!$O$1,FALSE)))</f>
        <v>FFT</v>
      </c>
      <c r="P847" s="29" t="str">
        <f t="shared" si="178"/>
        <v>FFTFIE3228</v>
      </c>
      <c r="Q847" s="1" t="s">
        <v>1548</v>
      </c>
      <c r="R847" s="1" t="s">
        <v>15</v>
      </c>
      <c r="S847" s="26">
        <v>200</v>
      </c>
      <c r="T847" s="26">
        <v>9800000</v>
      </c>
      <c r="U847" s="26">
        <v>4009090.9090909087</v>
      </c>
      <c r="V847" s="26">
        <v>2.2222222222222223</v>
      </c>
      <c r="W847" s="26">
        <v>200</v>
      </c>
      <c r="X847" s="26">
        <v>0</v>
      </c>
    </row>
    <row r="848" spans="1:24" hidden="1">
      <c r="A848" s="24" t="str">
        <f t="shared" si="167"/>
        <v>러닝</v>
      </c>
      <c r="B848" s="24" t="str">
        <f>IF(COUNTIF(Q$1:Q847,Q848)=0,"최초","리오더")</f>
        <v>리오더</v>
      </c>
      <c r="C848" s="24" t="str">
        <f t="shared" si="168"/>
        <v/>
      </c>
      <c r="D848" s="24">
        <f t="shared" si="169"/>
        <v>0</v>
      </c>
      <c r="E848" s="24" t="str">
        <f t="shared" si="170"/>
        <v>FFTFIE3229</v>
      </c>
      <c r="F848" s="24">
        <f t="shared" si="171"/>
        <v>1</v>
      </c>
      <c r="G848" s="24" t="str">
        <f t="shared" si="172"/>
        <v/>
      </c>
      <c r="H848" s="24">
        <f t="shared" si="173"/>
        <v>0</v>
      </c>
      <c r="I848" s="24" t="str">
        <f t="shared" si="174"/>
        <v>FFTFIE3229WH</v>
      </c>
      <c r="J848" s="24">
        <f t="shared" si="175"/>
        <v>1</v>
      </c>
      <c r="K848" s="24" t="str">
        <f t="shared" si="176"/>
        <v>E3</v>
      </c>
      <c r="L848" s="24" t="str">
        <f>VLOOKUP(N848,CODE!K:P,CODE!$P$1,FALSE)</f>
        <v>모자</v>
      </c>
      <c r="M848" s="24" t="str">
        <f>VLOOKUP(MID(Q848,1,3),CODE!$B:$G,CODE!D$1,FALSE)</f>
        <v>FFT</v>
      </c>
      <c r="N848" s="24" t="str">
        <f t="shared" si="177"/>
        <v>FI</v>
      </c>
      <c r="O848" s="29" t="str">
        <f>IF(ISERROR(IF(VLOOKUP($N848,CODE!$K:$P,CODE!$O$1,FALSE)="",$M848,$M848&amp;"-"&amp;VLOOKUP($N848,CODE!$K:$P,CODE!$O$1,FALSE)))=TRUE,"",IF(VLOOKUP($N848,CODE!$K:$P,CODE!$O$1,FALSE)="",$M848,$M848&amp;"-"&amp;VLOOKUP($N848,CODE!$K:$P,CODE!$O$1,FALSE)))</f>
        <v>FFT</v>
      </c>
      <c r="P848" s="29" t="str">
        <f t="shared" si="178"/>
        <v>FFTFIE3229</v>
      </c>
      <c r="Q848" s="1" t="s">
        <v>1551</v>
      </c>
      <c r="R848" s="1" t="s">
        <v>15</v>
      </c>
      <c r="S848" s="26">
        <v>150</v>
      </c>
      <c r="T848" s="26">
        <v>7350000</v>
      </c>
      <c r="U848" s="26">
        <v>3006818.1818181816</v>
      </c>
      <c r="V848" s="26">
        <v>2.2222222222222223</v>
      </c>
      <c r="W848" s="26">
        <v>120</v>
      </c>
      <c r="X848" s="26">
        <v>0</v>
      </c>
    </row>
    <row r="849" spans="1:24" hidden="1">
      <c r="A849" s="24" t="str">
        <f t="shared" si="167"/>
        <v>러닝</v>
      </c>
      <c r="B849" s="24" t="str">
        <f>IF(COUNTIF(Q$1:Q848,Q849)=0,"최초","리오더")</f>
        <v>리오더</v>
      </c>
      <c r="C849" s="24" t="str">
        <f t="shared" si="168"/>
        <v/>
      </c>
      <c r="D849" s="24">
        <f t="shared" si="169"/>
        <v>0</v>
      </c>
      <c r="E849" s="24" t="str">
        <f t="shared" si="170"/>
        <v>FFTFIE3243</v>
      </c>
      <c r="F849" s="24">
        <f t="shared" si="171"/>
        <v>0.5</v>
      </c>
      <c r="G849" s="24" t="str">
        <f t="shared" si="172"/>
        <v/>
      </c>
      <c r="H849" s="24">
        <f t="shared" si="173"/>
        <v>0</v>
      </c>
      <c r="I849" s="24" t="str">
        <f t="shared" si="174"/>
        <v>FFTFIE3243BK</v>
      </c>
      <c r="J849" s="24">
        <f t="shared" si="175"/>
        <v>0.5</v>
      </c>
      <c r="K849" s="24" t="str">
        <f t="shared" si="176"/>
        <v>E3</v>
      </c>
      <c r="L849" s="24" t="str">
        <f>VLOOKUP(N849,CODE!K:P,CODE!$P$1,FALSE)</f>
        <v>모자</v>
      </c>
      <c r="M849" s="24" t="str">
        <f>VLOOKUP(MID(Q849,1,3),CODE!$B:$G,CODE!D$1,FALSE)</f>
        <v>FFT</v>
      </c>
      <c r="N849" s="24" t="str">
        <f t="shared" si="177"/>
        <v>FI</v>
      </c>
      <c r="O849" s="29" t="str">
        <f>IF(ISERROR(IF(VLOOKUP($N849,CODE!$K:$P,CODE!$O$1,FALSE)="",$M849,$M849&amp;"-"&amp;VLOOKUP($N849,CODE!$K:$P,CODE!$O$1,FALSE)))=TRUE,"",IF(VLOOKUP($N849,CODE!$K:$P,CODE!$O$1,FALSE)="",$M849,$M849&amp;"-"&amp;VLOOKUP($N849,CODE!$K:$P,CODE!$O$1,FALSE)))</f>
        <v>FFT</v>
      </c>
      <c r="P849" s="29" t="str">
        <f t="shared" si="178"/>
        <v>FFTFIE3243</v>
      </c>
      <c r="Q849" s="1" t="s">
        <v>1473</v>
      </c>
      <c r="R849" s="1" t="s">
        <v>15</v>
      </c>
      <c r="S849" s="26">
        <v>100</v>
      </c>
      <c r="T849" s="26">
        <v>5900000</v>
      </c>
      <c r="U849" s="26">
        <v>2413636.3636363638</v>
      </c>
      <c r="V849" s="26">
        <v>2.2222222222222219</v>
      </c>
      <c r="W849" s="26">
        <v>100</v>
      </c>
      <c r="X849" s="26">
        <v>0</v>
      </c>
    </row>
    <row r="850" spans="1:24">
      <c r="A850" s="24" t="str">
        <f t="shared" si="167"/>
        <v>러닝</v>
      </c>
      <c r="B850" s="24" t="str">
        <f>IF(COUNTIF(Q$1:Q849,Q850)=0,"최초","리오더")</f>
        <v>최초</v>
      </c>
      <c r="C850" s="24" t="str">
        <f t="shared" si="168"/>
        <v>FFTFIE3244</v>
      </c>
      <c r="D850" s="24">
        <f t="shared" si="169"/>
        <v>1</v>
      </c>
      <c r="E850" s="24" t="str">
        <f t="shared" si="170"/>
        <v/>
      </c>
      <c r="F850" s="24">
        <f t="shared" si="171"/>
        <v>0</v>
      </c>
      <c r="G850" s="24" t="str">
        <f t="shared" si="172"/>
        <v>FFTFIE3244BK</v>
      </c>
      <c r="H850" s="24">
        <f t="shared" si="173"/>
        <v>1</v>
      </c>
      <c r="I850" s="24" t="str">
        <f t="shared" si="174"/>
        <v/>
      </c>
      <c r="J850" s="24">
        <f t="shared" si="175"/>
        <v>0</v>
      </c>
      <c r="K850" s="24" t="str">
        <f t="shared" si="176"/>
        <v>E3</v>
      </c>
      <c r="L850" s="24" t="str">
        <f>VLOOKUP(N850,CODE!K:P,CODE!$P$1,FALSE)</f>
        <v>모자</v>
      </c>
      <c r="M850" s="24" t="str">
        <f>VLOOKUP(MID(Q850,1,3),CODE!$B:$G,CODE!D$1,FALSE)</f>
        <v>FFT</v>
      </c>
      <c r="N850" s="24" t="str">
        <f t="shared" si="177"/>
        <v>FI</v>
      </c>
      <c r="O850" s="29" t="str">
        <f>IF(ISERROR(IF(VLOOKUP($N850,CODE!$K:$P,CODE!$O$1,FALSE)="",$M850,$M850&amp;"-"&amp;VLOOKUP($N850,CODE!$K:$P,CODE!$O$1,FALSE)))=TRUE,"",IF(VLOOKUP($N850,CODE!$K:$P,CODE!$O$1,FALSE)="",$M850,$M850&amp;"-"&amp;VLOOKUP($N850,CODE!$K:$P,CODE!$O$1,FALSE)))</f>
        <v>FFT</v>
      </c>
      <c r="P850" s="29" t="str">
        <f t="shared" si="178"/>
        <v>FFTFIE3244</v>
      </c>
      <c r="Q850" s="1" t="s">
        <v>1593</v>
      </c>
      <c r="R850" s="1" t="s">
        <v>15</v>
      </c>
      <c r="S850" s="26">
        <v>200</v>
      </c>
      <c r="T850" s="26">
        <v>9800000</v>
      </c>
      <c r="U850" s="26">
        <v>4009090.9090909087</v>
      </c>
      <c r="V850" s="26">
        <v>2.2222222222222223</v>
      </c>
      <c r="W850" s="26">
        <v>200</v>
      </c>
      <c r="X850" s="26">
        <v>0</v>
      </c>
    </row>
    <row r="851" spans="1:24" hidden="1">
      <c r="A851" s="24" t="str">
        <f t="shared" si="167"/>
        <v>러닝</v>
      </c>
      <c r="B851" s="24" t="str">
        <f>IF(COUNTIF(Q$1:Q850,Q851)=0,"최초","리오더")</f>
        <v>리오더</v>
      </c>
      <c r="C851" s="24" t="str">
        <f t="shared" si="168"/>
        <v/>
      </c>
      <c r="D851" s="24">
        <f t="shared" si="169"/>
        <v>0</v>
      </c>
      <c r="E851" s="24" t="str">
        <f t="shared" si="170"/>
        <v>FFTFIE3240</v>
      </c>
      <c r="F851" s="24">
        <f t="shared" si="171"/>
        <v>1</v>
      </c>
      <c r="G851" s="24" t="str">
        <f t="shared" si="172"/>
        <v/>
      </c>
      <c r="H851" s="24">
        <f t="shared" si="173"/>
        <v>0</v>
      </c>
      <c r="I851" s="24" t="str">
        <f t="shared" si="174"/>
        <v>FFTFIE3240BK</v>
      </c>
      <c r="J851" s="24">
        <f t="shared" si="175"/>
        <v>1</v>
      </c>
      <c r="K851" s="24" t="str">
        <f t="shared" si="176"/>
        <v>E3</v>
      </c>
      <c r="L851" s="24" t="str">
        <f>VLOOKUP(N851,CODE!K:P,CODE!$P$1,FALSE)</f>
        <v>모자</v>
      </c>
      <c r="M851" s="24" t="str">
        <f>VLOOKUP(MID(Q851,1,3),CODE!$B:$G,CODE!D$1,FALSE)</f>
        <v>FFT</v>
      </c>
      <c r="N851" s="24" t="str">
        <f t="shared" si="177"/>
        <v>FI</v>
      </c>
      <c r="O851" s="29" t="str">
        <f>IF(ISERROR(IF(VLOOKUP($N851,CODE!$K:$P,CODE!$O$1,FALSE)="",$M851,$M851&amp;"-"&amp;VLOOKUP($N851,CODE!$K:$P,CODE!$O$1,FALSE)))=TRUE,"",IF(VLOOKUP($N851,CODE!$K:$P,CODE!$O$1,FALSE)="",$M851,$M851&amp;"-"&amp;VLOOKUP($N851,CODE!$K:$P,CODE!$O$1,FALSE)))</f>
        <v>FFT</v>
      </c>
      <c r="P851" s="29" t="str">
        <f t="shared" si="178"/>
        <v>FFTFIE3240</v>
      </c>
      <c r="Q851" s="1" t="s">
        <v>1554</v>
      </c>
      <c r="R851" s="1" t="s">
        <v>15</v>
      </c>
      <c r="S851" s="26">
        <v>80</v>
      </c>
      <c r="T851" s="26">
        <v>3920000</v>
      </c>
      <c r="U851" s="26">
        <v>1603636.3636363635</v>
      </c>
      <c r="V851" s="26">
        <v>2.2222222222222223</v>
      </c>
      <c r="W851" s="26">
        <v>80</v>
      </c>
      <c r="X851" s="26">
        <v>0</v>
      </c>
    </row>
    <row r="852" spans="1:24" hidden="1">
      <c r="A852" s="24" t="str">
        <f t="shared" si="167"/>
        <v>러닝</v>
      </c>
      <c r="B852" s="24" t="str">
        <f>IF(COUNTIF(Q$1:Q851,Q852)=0,"최초","리오더")</f>
        <v>리오더</v>
      </c>
      <c r="C852" s="24" t="str">
        <f t="shared" si="168"/>
        <v/>
      </c>
      <c r="D852" s="24">
        <f t="shared" si="169"/>
        <v>0</v>
      </c>
      <c r="E852" s="24" t="str">
        <f t="shared" si="170"/>
        <v>FFTFIE3251</v>
      </c>
      <c r="F852" s="24">
        <f t="shared" si="171"/>
        <v>1</v>
      </c>
      <c r="G852" s="24" t="str">
        <f t="shared" si="172"/>
        <v/>
      </c>
      <c r="H852" s="24">
        <f t="shared" si="173"/>
        <v>0</v>
      </c>
      <c r="I852" s="24" t="str">
        <f t="shared" si="174"/>
        <v>FFTFIE3251WH</v>
      </c>
      <c r="J852" s="24">
        <f t="shared" si="175"/>
        <v>1</v>
      </c>
      <c r="K852" s="24" t="str">
        <f t="shared" si="176"/>
        <v>E3</v>
      </c>
      <c r="L852" s="24" t="str">
        <f>VLOOKUP(N852,CODE!K:P,CODE!$P$1,FALSE)</f>
        <v>모자</v>
      </c>
      <c r="M852" s="24" t="str">
        <f>VLOOKUP(MID(Q852,1,3),CODE!$B:$G,CODE!D$1,FALSE)</f>
        <v>FFT</v>
      </c>
      <c r="N852" s="24" t="str">
        <f t="shared" si="177"/>
        <v>FI</v>
      </c>
      <c r="O852" s="29" t="str">
        <f>IF(ISERROR(IF(VLOOKUP($N852,CODE!$K:$P,CODE!$O$1,FALSE)="",$M852,$M852&amp;"-"&amp;VLOOKUP($N852,CODE!$K:$P,CODE!$O$1,FALSE)))=TRUE,"",IF(VLOOKUP($N852,CODE!$K:$P,CODE!$O$1,FALSE)="",$M852,$M852&amp;"-"&amp;VLOOKUP($N852,CODE!$K:$P,CODE!$O$1,FALSE)))</f>
        <v>FFT</v>
      </c>
      <c r="P852" s="29" t="str">
        <f t="shared" si="178"/>
        <v>FFTFIE3251</v>
      </c>
      <c r="Q852" s="1" t="s">
        <v>1555</v>
      </c>
      <c r="R852" s="1" t="s">
        <v>15</v>
      </c>
      <c r="S852" s="26">
        <v>100</v>
      </c>
      <c r="T852" s="26">
        <v>4900000</v>
      </c>
      <c r="U852" s="26">
        <v>2004545.4545454544</v>
      </c>
      <c r="V852" s="26">
        <v>2.2222222222222223</v>
      </c>
      <c r="W852" s="26">
        <v>100</v>
      </c>
      <c r="X852" s="26">
        <v>0</v>
      </c>
    </row>
    <row r="853" spans="1:24" hidden="1">
      <c r="A853" s="24" t="str">
        <f t="shared" si="167"/>
        <v>러닝</v>
      </c>
      <c r="B853" s="24" t="str">
        <f>IF(COUNTIF(Q$1:Q852,Q853)=0,"최초","리오더")</f>
        <v>리오더</v>
      </c>
      <c r="C853" s="24" t="str">
        <f t="shared" si="168"/>
        <v/>
      </c>
      <c r="D853" s="24">
        <f t="shared" si="169"/>
        <v>0</v>
      </c>
      <c r="E853" s="24" t="str">
        <f t="shared" si="170"/>
        <v>FFTFIE3241</v>
      </c>
      <c r="F853" s="24">
        <f t="shared" si="171"/>
        <v>1</v>
      </c>
      <c r="G853" s="24" t="str">
        <f t="shared" si="172"/>
        <v/>
      </c>
      <c r="H853" s="24">
        <f t="shared" si="173"/>
        <v>0</v>
      </c>
      <c r="I853" s="24" t="str">
        <f t="shared" si="174"/>
        <v>FFTFIE3241GY</v>
      </c>
      <c r="J853" s="24">
        <f t="shared" si="175"/>
        <v>1</v>
      </c>
      <c r="K853" s="24" t="str">
        <f t="shared" si="176"/>
        <v>E3</v>
      </c>
      <c r="L853" s="24" t="str">
        <f>VLOOKUP(N853,CODE!K:P,CODE!$P$1,FALSE)</f>
        <v>모자</v>
      </c>
      <c r="M853" s="24" t="str">
        <f>VLOOKUP(MID(Q853,1,3),CODE!$B:$G,CODE!D$1,FALSE)</f>
        <v>FFT</v>
      </c>
      <c r="N853" s="24" t="str">
        <f t="shared" si="177"/>
        <v>FI</v>
      </c>
      <c r="O853" s="29" t="str">
        <f>IF(ISERROR(IF(VLOOKUP($N853,CODE!$K:$P,CODE!$O$1,FALSE)="",$M853,$M853&amp;"-"&amp;VLOOKUP($N853,CODE!$K:$P,CODE!$O$1,FALSE)))=TRUE,"",IF(VLOOKUP($N853,CODE!$K:$P,CODE!$O$1,FALSE)="",$M853,$M853&amp;"-"&amp;VLOOKUP($N853,CODE!$K:$P,CODE!$O$1,FALSE)))</f>
        <v>FFT</v>
      </c>
      <c r="P853" s="29" t="str">
        <f t="shared" si="178"/>
        <v>FFTFIE3241</v>
      </c>
      <c r="Q853" s="1" t="s">
        <v>1557</v>
      </c>
      <c r="R853" s="1" t="s">
        <v>15</v>
      </c>
      <c r="S853" s="26">
        <v>80</v>
      </c>
      <c r="T853" s="26">
        <v>3920000</v>
      </c>
      <c r="U853" s="26">
        <v>1603636.3636363635</v>
      </c>
      <c r="V853" s="26">
        <v>2.2222222222222223</v>
      </c>
      <c r="W853" s="26">
        <v>80</v>
      </c>
      <c r="X853" s="26">
        <v>0</v>
      </c>
    </row>
    <row r="854" spans="1:24">
      <c r="A854" s="24" t="str">
        <f t="shared" si="167"/>
        <v>신규</v>
      </c>
      <c r="B854" s="24" t="str">
        <f>IF(COUNTIF(Q$1:Q853,Q854)=0,"최초","리오더")</f>
        <v>최초</v>
      </c>
      <c r="C854" s="24" t="str">
        <f t="shared" si="168"/>
        <v>FFTFIE3318</v>
      </c>
      <c r="D854" s="24">
        <f t="shared" si="169"/>
        <v>1</v>
      </c>
      <c r="E854" s="24" t="str">
        <f t="shared" si="170"/>
        <v/>
      </c>
      <c r="F854" s="24">
        <f t="shared" si="171"/>
        <v>0</v>
      </c>
      <c r="G854" s="24" t="str">
        <f t="shared" si="172"/>
        <v>FFTFIE3318BL</v>
      </c>
      <c r="H854" s="24">
        <f t="shared" si="173"/>
        <v>1</v>
      </c>
      <c r="I854" s="24" t="str">
        <f t="shared" si="174"/>
        <v/>
      </c>
      <c r="J854" s="24">
        <f t="shared" si="175"/>
        <v>0</v>
      </c>
      <c r="K854" s="24" t="str">
        <f t="shared" si="176"/>
        <v>E3</v>
      </c>
      <c r="L854" s="24" t="str">
        <f>VLOOKUP(N854,CODE!K:P,CODE!$P$1,FALSE)</f>
        <v>모자</v>
      </c>
      <c r="M854" s="24" t="str">
        <f>VLOOKUP(MID(Q854,1,3),CODE!$B:$G,CODE!D$1,FALSE)</f>
        <v>FFT</v>
      </c>
      <c r="N854" s="24" t="str">
        <f t="shared" si="177"/>
        <v>FI</v>
      </c>
      <c r="O854" s="29" t="str">
        <f>IF(ISERROR(IF(VLOOKUP($N854,CODE!$K:$P,CODE!$O$1,FALSE)="",$M854,$M854&amp;"-"&amp;VLOOKUP($N854,CODE!$K:$P,CODE!$O$1,FALSE)))=TRUE,"",IF(VLOOKUP($N854,CODE!$K:$P,CODE!$O$1,FALSE)="",$M854,$M854&amp;"-"&amp;VLOOKUP($N854,CODE!$K:$P,CODE!$O$1,FALSE)))</f>
        <v>FFT</v>
      </c>
      <c r="P854" s="29" t="str">
        <f t="shared" si="178"/>
        <v>FFTFIE3318</v>
      </c>
      <c r="Q854" s="1" t="s">
        <v>1594</v>
      </c>
      <c r="R854" s="1" t="s">
        <v>15</v>
      </c>
      <c r="S854" s="26">
        <v>50</v>
      </c>
      <c r="T854" s="26">
        <v>2450000</v>
      </c>
      <c r="U854" s="26">
        <v>1002272.7272727272</v>
      </c>
      <c r="V854" s="26">
        <v>2.2222222222222223</v>
      </c>
      <c r="W854" s="26">
        <v>50</v>
      </c>
      <c r="X854" s="26">
        <v>0</v>
      </c>
    </row>
    <row r="855" spans="1:24" hidden="1">
      <c r="A855" s="24" t="str">
        <f t="shared" si="167"/>
        <v>러닝</v>
      </c>
      <c r="B855" s="24" t="str">
        <f>IF(COUNTIF(Q$1:Q854,Q855)=0,"최초","리오더")</f>
        <v>리오더</v>
      </c>
      <c r="C855" s="24" t="str">
        <f t="shared" si="168"/>
        <v/>
      </c>
      <c r="D855" s="24">
        <f t="shared" si="169"/>
        <v>0</v>
      </c>
      <c r="E855" s="24" t="str">
        <f t="shared" si="170"/>
        <v>FFTFIE3231</v>
      </c>
      <c r="F855" s="24">
        <f t="shared" si="171"/>
        <v>1</v>
      </c>
      <c r="G855" s="24" t="str">
        <f t="shared" si="172"/>
        <v/>
      </c>
      <c r="H855" s="24">
        <f t="shared" si="173"/>
        <v>0</v>
      </c>
      <c r="I855" s="24" t="str">
        <f t="shared" si="174"/>
        <v>FFTFIE3231YE</v>
      </c>
      <c r="J855" s="24">
        <f t="shared" si="175"/>
        <v>1</v>
      </c>
      <c r="K855" s="24" t="str">
        <f t="shared" si="176"/>
        <v>E3</v>
      </c>
      <c r="L855" s="24" t="str">
        <f>VLOOKUP(N855,CODE!K:P,CODE!$P$1,FALSE)</f>
        <v>모자</v>
      </c>
      <c r="M855" s="24" t="str">
        <f>VLOOKUP(MID(Q855,1,3),CODE!$B:$G,CODE!D$1,FALSE)</f>
        <v>FFT</v>
      </c>
      <c r="N855" s="24" t="str">
        <f t="shared" si="177"/>
        <v>FI</v>
      </c>
      <c r="O855" s="29" t="str">
        <f>IF(ISERROR(IF(VLOOKUP($N855,CODE!$K:$P,CODE!$O$1,FALSE)="",$M855,$M855&amp;"-"&amp;VLOOKUP($N855,CODE!$K:$P,CODE!$O$1,FALSE)))=TRUE,"",IF(VLOOKUP($N855,CODE!$K:$P,CODE!$O$1,FALSE)="",$M855,$M855&amp;"-"&amp;VLOOKUP($N855,CODE!$K:$P,CODE!$O$1,FALSE)))</f>
        <v>FFT</v>
      </c>
      <c r="P855" s="29" t="str">
        <f t="shared" si="178"/>
        <v>FFTFIE3231</v>
      </c>
      <c r="Q855" s="1" t="s">
        <v>1558</v>
      </c>
      <c r="R855" s="1" t="s">
        <v>15</v>
      </c>
      <c r="S855" s="26">
        <v>80</v>
      </c>
      <c r="T855" s="26">
        <v>3920000</v>
      </c>
      <c r="U855" s="26">
        <v>1603636.3636363635</v>
      </c>
      <c r="V855" s="26">
        <v>2.2222222222222223</v>
      </c>
      <c r="W855" s="26">
        <v>80</v>
      </c>
      <c r="X855" s="26">
        <v>0</v>
      </c>
    </row>
    <row r="856" spans="1:24" hidden="1">
      <c r="A856" s="24" t="str">
        <f t="shared" si="167"/>
        <v>러닝</v>
      </c>
      <c r="B856" s="24" t="str">
        <f>IF(COUNTIF(Q$1:Q855,Q856)=0,"최초","리오더")</f>
        <v>리오더</v>
      </c>
      <c r="C856" s="24" t="str">
        <f t="shared" si="168"/>
        <v/>
      </c>
      <c r="D856" s="24">
        <f t="shared" si="169"/>
        <v>0</v>
      </c>
      <c r="E856" s="24" t="str">
        <f t="shared" si="170"/>
        <v>FFTFIE3205</v>
      </c>
      <c r="F856" s="24">
        <f t="shared" si="171"/>
        <v>1</v>
      </c>
      <c r="G856" s="24" t="str">
        <f t="shared" si="172"/>
        <v/>
      </c>
      <c r="H856" s="24">
        <f t="shared" si="173"/>
        <v>0</v>
      </c>
      <c r="I856" s="24" t="str">
        <f t="shared" si="174"/>
        <v>FFTFIE3205RE</v>
      </c>
      <c r="J856" s="24">
        <f t="shared" si="175"/>
        <v>1</v>
      </c>
      <c r="K856" s="24" t="str">
        <f t="shared" si="176"/>
        <v>E3</v>
      </c>
      <c r="L856" s="24" t="str">
        <f>VLOOKUP(N856,CODE!K:P,CODE!$P$1,FALSE)</f>
        <v>모자</v>
      </c>
      <c r="M856" s="24" t="str">
        <f>VLOOKUP(MID(Q856,1,3),CODE!$B:$G,CODE!D$1,FALSE)</f>
        <v>FFT</v>
      </c>
      <c r="N856" s="24" t="str">
        <f t="shared" si="177"/>
        <v>FI</v>
      </c>
      <c r="O856" s="29" t="str">
        <f>IF(ISERROR(IF(VLOOKUP($N856,CODE!$K:$P,CODE!$O$1,FALSE)="",$M856,$M856&amp;"-"&amp;VLOOKUP($N856,CODE!$K:$P,CODE!$O$1,FALSE)))=TRUE,"",IF(VLOOKUP($N856,CODE!$K:$P,CODE!$O$1,FALSE)="",$M856,$M856&amp;"-"&amp;VLOOKUP($N856,CODE!$K:$P,CODE!$O$1,FALSE)))</f>
        <v>FFT</v>
      </c>
      <c r="P856" s="29" t="str">
        <f t="shared" si="178"/>
        <v>FFTFIE3205</v>
      </c>
      <c r="Q856" s="1" t="s">
        <v>1559</v>
      </c>
      <c r="R856" s="1" t="s">
        <v>15</v>
      </c>
      <c r="S856" s="26">
        <v>50</v>
      </c>
      <c r="T856" s="26">
        <v>2250000</v>
      </c>
      <c r="U856" s="26">
        <v>920454.54545454541</v>
      </c>
      <c r="V856" s="26">
        <v>2.2222222222222223</v>
      </c>
      <c r="W856" s="26">
        <v>50</v>
      </c>
      <c r="X856" s="26">
        <v>0</v>
      </c>
    </row>
    <row r="857" spans="1:24">
      <c r="A857" s="24" t="str">
        <f t="shared" si="167"/>
        <v>신규</v>
      </c>
      <c r="B857" s="24" t="str">
        <f>IF(COUNTIF(Q$1:Q856,Q857)=0,"최초","리오더")</f>
        <v>최초</v>
      </c>
      <c r="C857" s="24" t="str">
        <f t="shared" si="168"/>
        <v>FFTFIE3320</v>
      </c>
      <c r="D857" s="24">
        <f t="shared" si="169"/>
        <v>1</v>
      </c>
      <c r="E857" s="24" t="str">
        <f t="shared" si="170"/>
        <v/>
      </c>
      <c r="F857" s="24">
        <f t="shared" si="171"/>
        <v>0</v>
      </c>
      <c r="G857" s="24" t="str">
        <f t="shared" si="172"/>
        <v>FFTFIE3320GY</v>
      </c>
      <c r="H857" s="24">
        <f t="shared" si="173"/>
        <v>1</v>
      </c>
      <c r="I857" s="24" t="str">
        <f t="shared" si="174"/>
        <v/>
      </c>
      <c r="J857" s="24">
        <f t="shared" si="175"/>
        <v>0</v>
      </c>
      <c r="K857" s="24" t="str">
        <f t="shared" si="176"/>
        <v>E3</v>
      </c>
      <c r="L857" s="24" t="str">
        <f>VLOOKUP(N857,CODE!K:P,CODE!$P$1,FALSE)</f>
        <v>모자</v>
      </c>
      <c r="M857" s="24" t="str">
        <f>VLOOKUP(MID(Q857,1,3),CODE!$B:$G,CODE!D$1,FALSE)</f>
        <v>FFT</v>
      </c>
      <c r="N857" s="24" t="str">
        <f t="shared" si="177"/>
        <v>FI</v>
      </c>
      <c r="O857" s="29" t="str">
        <f>IF(ISERROR(IF(VLOOKUP($N857,CODE!$K:$P,CODE!$O$1,FALSE)="",$M857,$M857&amp;"-"&amp;VLOOKUP($N857,CODE!$K:$P,CODE!$O$1,FALSE)))=TRUE,"",IF(VLOOKUP($N857,CODE!$K:$P,CODE!$O$1,FALSE)="",$M857,$M857&amp;"-"&amp;VLOOKUP($N857,CODE!$K:$P,CODE!$O$1,FALSE)))</f>
        <v>FFT</v>
      </c>
      <c r="P857" s="29" t="str">
        <f t="shared" si="178"/>
        <v>FFTFIE3320</v>
      </c>
      <c r="Q857" s="1" t="s">
        <v>1595</v>
      </c>
      <c r="R857" s="1" t="s">
        <v>15</v>
      </c>
      <c r="S857" s="26">
        <v>150</v>
      </c>
      <c r="T857" s="26">
        <v>7350000</v>
      </c>
      <c r="U857" s="26">
        <v>3006818.1818181816</v>
      </c>
      <c r="V857" s="26">
        <v>2.2222222222222223</v>
      </c>
      <c r="W857" s="26">
        <v>150</v>
      </c>
      <c r="X857" s="26">
        <v>0</v>
      </c>
    </row>
    <row r="858" spans="1:24">
      <c r="A858" s="24" t="str">
        <f t="shared" ref="A858:A902" si="179">IF(OR(MID(Q858,8,1)="3",MID(Q858,8,1)="8"),"신규","러닝")</f>
        <v>러닝</v>
      </c>
      <c r="B858" s="24" t="str">
        <f>IF(COUNTIF(Q$1:Q857,Q858)=0,"최초","리오더")</f>
        <v>최초</v>
      </c>
      <c r="C858" s="24" t="str">
        <f t="shared" ref="C858:C902" si="180">IF($B858="리오더","",P858)</f>
        <v>SMBBAE3229</v>
      </c>
      <c r="D858" s="24">
        <f t="shared" ref="D858:D902" si="181">IF(C858="",0,1/COUNTIF(C:C,C858))</f>
        <v>1</v>
      </c>
      <c r="E858" s="24" t="str">
        <f t="shared" ref="E858:E902" si="182">IF($B858="리오더",P858,"")</f>
        <v/>
      </c>
      <c r="F858" s="24">
        <f t="shared" ref="F858:F902" si="183">IF(E858="",0,1/COUNTIF(E:E,E858))</f>
        <v>0</v>
      </c>
      <c r="G858" s="24" t="str">
        <f t="shared" ref="G858:G902" si="184">IF($B858="리오더","",Q858)</f>
        <v>SMBBAE3229NY</v>
      </c>
      <c r="H858" s="24">
        <f t="shared" ref="H858:H902" si="185">IF(G858="",0,1/COUNTIF(G:G,G858))</f>
        <v>1</v>
      </c>
      <c r="I858" s="24" t="str">
        <f t="shared" ref="I858:I902" si="186">IF($B858="리오더",Q858,"")</f>
        <v/>
      </c>
      <c r="J858" s="24">
        <f t="shared" ref="J858:J902" si="187">IF(I858="",0,1/COUNTIF(I:I,I858))</f>
        <v>0</v>
      </c>
      <c r="K858" s="24" t="str">
        <f t="shared" ref="K858:K902" si="188">MID(Q858,6,2)</f>
        <v>E3</v>
      </c>
      <c r="L858" s="24" t="str">
        <f>VLOOKUP(N858,CODE!K:P,CODE!$P$1,FALSE)</f>
        <v>모자</v>
      </c>
      <c r="M858" s="24" t="str">
        <f>VLOOKUP(MID(Q858,1,3),CODE!$B:$G,CODE!D$1,FALSE)</f>
        <v>SMB</v>
      </c>
      <c r="N858" s="24" t="str">
        <f t="shared" ref="N858:N902" si="189">MID(Q858,4,2)</f>
        <v>BA</v>
      </c>
      <c r="O858" s="29" t="str">
        <f>IF(ISERROR(IF(VLOOKUP($N858,CODE!$K:$P,CODE!$O$1,FALSE)="",$M858,$M858&amp;"-"&amp;VLOOKUP($N858,CODE!$K:$P,CODE!$O$1,FALSE)))=TRUE,"",IF(VLOOKUP($N858,CODE!$K:$P,CODE!$O$1,FALSE)="",$M858,$M858&amp;"-"&amp;VLOOKUP($N858,CODE!$K:$P,CODE!$O$1,FALSE)))</f>
        <v>SMB</v>
      </c>
      <c r="P858" s="29" t="str">
        <f t="shared" ref="P858:P902" si="190">MID(Q858,1,10)</f>
        <v>SMBBAE3229</v>
      </c>
      <c r="Q858" s="1" t="s">
        <v>1597</v>
      </c>
      <c r="R858" s="1" t="s">
        <v>14</v>
      </c>
      <c r="S858" s="26">
        <v>1000</v>
      </c>
      <c r="T858" s="26">
        <v>49000000</v>
      </c>
      <c r="U858" s="26">
        <v>6363636.3636363633</v>
      </c>
      <c r="V858" s="26">
        <v>7</v>
      </c>
      <c r="W858" s="26">
        <v>0</v>
      </c>
      <c r="X858" s="26">
        <v>1000</v>
      </c>
    </row>
    <row r="859" spans="1:24">
      <c r="A859" s="24" t="str">
        <f t="shared" si="179"/>
        <v>러닝</v>
      </c>
      <c r="B859" s="24" t="str">
        <f>IF(COUNTIF(Q$1:Q858,Q859)=0,"최초","리오더")</f>
        <v>최초</v>
      </c>
      <c r="C859" s="24" t="str">
        <f t="shared" si="180"/>
        <v>SMBBAE3230</v>
      </c>
      <c r="D859" s="24">
        <f t="shared" si="181"/>
        <v>1</v>
      </c>
      <c r="E859" s="24" t="str">
        <f t="shared" si="182"/>
        <v/>
      </c>
      <c r="F859" s="24">
        <f t="shared" si="183"/>
        <v>0</v>
      </c>
      <c r="G859" s="24" t="str">
        <f t="shared" si="184"/>
        <v>SMBBAE3230PK</v>
      </c>
      <c r="H859" s="24">
        <f t="shared" si="185"/>
        <v>1</v>
      </c>
      <c r="I859" s="24" t="str">
        <f t="shared" si="186"/>
        <v/>
      </c>
      <c r="J859" s="24">
        <f t="shared" si="187"/>
        <v>0</v>
      </c>
      <c r="K859" s="24" t="str">
        <f t="shared" si="188"/>
        <v>E3</v>
      </c>
      <c r="L859" s="24" t="str">
        <f>VLOOKUP(N859,CODE!K:P,CODE!$P$1,FALSE)</f>
        <v>모자</v>
      </c>
      <c r="M859" s="24" t="str">
        <f>VLOOKUP(MID(Q859,1,3),CODE!$B:$G,CODE!D$1,FALSE)</f>
        <v>SMB</v>
      </c>
      <c r="N859" s="24" t="str">
        <f t="shared" si="189"/>
        <v>BA</v>
      </c>
      <c r="O859" s="29" t="str">
        <f>IF(ISERROR(IF(VLOOKUP($N859,CODE!$K:$P,CODE!$O$1,FALSE)="",$M859,$M859&amp;"-"&amp;VLOOKUP($N859,CODE!$K:$P,CODE!$O$1,FALSE)))=TRUE,"",IF(VLOOKUP($N859,CODE!$K:$P,CODE!$O$1,FALSE)="",$M859,$M859&amp;"-"&amp;VLOOKUP($N859,CODE!$K:$P,CODE!$O$1,FALSE)))</f>
        <v>SMB</v>
      </c>
      <c r="P859" s="29" t="str">
        <f t="shared" si="190"/>
        <v>SMBBAE3230</v>
      </c>
      <c r="Q859" s="1" t="s">
        <v>1598</v>
      </c>
      <c r="R859" s="1" t="s">
        <v>14</v>
      </c>
      <c r="S859" s="26">
        <v>500</v>
      </c>
      <c r="T859" s="26">
        <v>24500000</v>
      </c>
      <c r="U859" s="26">
        <v>3181818.1818181816</v>
      </c>
      <c r="V859" s="26">
        <v>7</v>
      </c>
      <c r="W859" s="26">
        <v>0</v>
      </c>
      <c r="X859" s="26">
        <v>500</v>
      </c>
    </row>
    <row r="860" spans="1:24">
      <c r="A860" s="24" t="str">
        <f t="shared" si="179"/>
        <v>러닝</v>
      </c>
      <c r="B860" s="24" t="str">
        <f>IF(COUNTIF(Q$1:Q859,Q860)=0,"최초","리오더")</f>
        <v>최초</v>
      </c>
      <c r="C860" s="24" t="str">
        <f t="shared" si="180"/>
        <v>SMBFIE3708</v>
      </c>
      <c r="D860" s="24">
        <f t="shared" si="181"/>
        <v>1</v>
      </c>
      <c r="E860" s="24" t="str">
        <f t="shared" si="182"/>
        <v/>
      </c>
      <c r="F860" s="24">
        <f t="shared" si="183"/>
        <v>0</v>
      </c>
      <c r="G860" s="24" t="str">
        <f t="shared" si="184"/>
        <v>SMBFIE3708NY</v>
      </c>
      <c r="H860" s="24">
        <f t="shared" si="185"/>
        <v>1</v>
      </c>
      <c r="I860" s="24" t="str">
        <f t="shared" si="186"/>
        <v/>
      </c>
      <c r="J860" s="24">
        <f t="shared" si="187"/>
        <v>0</v>
      </c>
      <c r="K860" s="24" t="str">
        <f t="shared" si="188"/>
        <v>E3</v>
      </c>
      <c r="L860" s="24" t="str">
        <f>VLOOKUP(N860,CODE!K:P,CODE!$P$1,FALSE)</f>
        <v>모자</v>
      </c>
      <c r="M860" s="24" t="str">
        <f>VLOOKUP(MID(Q860,1,3),CODE!$B:$G,CODE!D$1,FALSE)</f>
        <v>SMB</v>
      </c>
      <c r="N860" s="24" t="str">
        <f t="shared" si="189"/>
        <v>FI</v>
      </c>
      <c r="O860" s="29" t="str">
        <f>IF(ISERROR(IF(VLOOKUP($N860,CODE!$K:$P,CODE!$O$1,FALSE)="",$M860,$M860&amp;"-"&amp;VLOOKUP($N860,CODE!$K:$P,CODE!$O$1,FALSE)))=TRUE,"",IF(VLOOKUP($N860,CODE!$K:$P,CODE!$O$1,FALSE)="",$M860,$M860&amp;"-"&amp;VLOOKUP($N860,CODE!$K:$P,CODE!$O$1,FALSE)))</f>
        <v>SMB</v>
      </c>
      <c r="P860" s="29" t="str">
        <f t="shared" si="190"/>
        <v>SMBFIE3708</v>
      </c>
      <c r="Q860" s="1" t="s">
        <v>1599</v>
      </c>
      <c r="R860" s="1" t="s">
        <v>14</v>
      </c>
      <c r="S860" s="26">
        <v>1000</v>
      </c>
      <c r="T860" s="26">
        <v>43000000</v>
      </c>
      <c r="U860" s="26">
        <v>5584415.5844155839</v>
      </c>
      <c r="V860" s="26">
        <v>7</v>
      </c>
      <c r="W860" s="26">
        <v>0</v>
      </c>
      <c r="X860" s="26">
        <v>1000</v>
      </c>
    </row>
    <row r="861" spans="1:24">
      <c r="A861" s="24" t="str">
        <f t="shared" si="179"/>
        <v>러닝</v>
      </c>
      <c r="B861" s="24" t="str">
        <f>IF(COUNTIF(Q$1:Q860,Q861)=0,"최초","리오더")</f>
        <v>최초</v>
      </c>
      <c r="C861" s="24" t="str">
        <f t="shared" si="180"/>
        <v>SMBFIE3709</v>
      </c>
      <c r="D861" s="24">
        <f t="shared" si="181"/>
        <v>1</v>
      </c>
      <c r="E861" s="24" t="str">
        <f t="shared" si="182"/>
        <v/>
      </c>
      <c r="F861" s="24">
        <f t="shared" si="183"/>
        <v>0</v>
      </c>
      <c r="G861" s="24" t="str">
        <f t="shared" si="184"/>
        <v>SMBFIE3709PK</v>
      </c>
      <c r="H861" s="24">
        <f t="shared" si="185"/>
        <v>1</v>
      </c>
      <c r="I861" s="24" t="str">
        <f t="shared" si="186"/>
        <v/>
      </c>
      <c r="J861" s="24">
        <f t="shared" si="187"/>
        <v>0</v>
      </c>
      <c r="K861" s="24" t="str">
        <f t="shared" si="188"/>
        <v>E3</v>
      </c>
      <c r="L861" s="24" t="str">
        <f>VLOOKUP(N861,CODE!K:P,CODE!$P$1,FALSE)</f>
        <v>모자</v>
      </c>
      <c r="M861" s="24" t="str">
        <f>VLOOKUP(MID(Q861,1,3),CODE!$B:$G,CODE!D$1,FALSE)</f>
        <v>SMB</v>
      </c>
      <c r="N861" s="24" t="str">
        <f t="shared" si="189"/>
        <v>FI</v>
      </c>
      <c r="O861" s="29" t="str">
        <f>IF(ISERROR(IF(VLOOKUP($N861,CODE!$K:$P,CODE!$O$1,FALSE)="",$M861,$M861&amp;"-"&amp;VLOOKUP($N861,CODE!$K:$P,CODE!$O$1,FALSE)))=TRUE,"",IF(VLOOKUP($N861,CODE!$K:$P,CODE!$O$1,FALSE)="",$M861,$M861&amp;"-"&amp;VLOOKUP($N861,CODE!$K:$P,CODE!$O$1,FALSE)))</f>
        <v>SMB</v>
      </c>
      <c r="P861" s="29" t="str">
        <f t="shared" si="190"/>
        <v>SMBFIE3709</v>
      </c>
      <c r="Q861" s="1" t="s">
        <v>1600</v>
      </c>
      <c r="R861" s="1" t="s">
        <v>14</v>
      </c>
      <c r="S861" s="26">
        <v>700</v>
      </c>
      <c r="T861" s="26">
        <v>30100000</v>
      </c>
      <c r="U861" s="26">
        <v>3909090.9090909087</v>
      </c>
      <c r="V861" s="26">
        <v>7</v>
      </c>
      <c r="W861" s="26">
        <v>0</v>
      </c>
      <c r="X861" s="26">
        <v>700</v>
      </c>
    </row>
    <row r="862" spans="1:24">
      <c r="A862" s="24" t="str">
        <f t="shared" si="179"/>
        <v>신규</v>
      </c>
      <c r="B862" s="24" t="str">
        <f>IF(COUNTIF(Q$1:Q861,Q862)=0,"최초","리오더")</f>
        <v>최초</v>
      </c>
      <c r="C862" s="24" t="str">
        <f t="shared" si="180"/>
        <v>SMBFIE5360</v>
      </c>
      <c r="D862" s="24">
        <f t="shared" si="181"/>
        <v>1</v>
      </c>
      <c r="E862" s="24" t="str">
        <f t="shared" si="182"/>
        <v/>
      </c>
      <c r="F862" s="24">
        <f t="shared" si="183"/>
        <v>0</v>
      </c>
      <c r="G862" s="24" t="str">
        <f t="shared" si="184"/>
        <v>SMBFIE5360YE</v>
      </c>
      <c r="H862" s="24">
        <f t="shared" si="185"/>
        <v>1</v>
      </c>
      <c r="I862" s="24" t="str">
        <f t="shared" si="186"/>
        <v/>
      </c>
      <c r="J862" s="24">
        <f t="shared" si="187"/>
        <v>0</v>
      </c>
      <c r="K862" s="24" t="str">
        <f t="shared" si="188"/>
        <v>E5</v>
      </c>
      <c r="L862" s="24" t="str">
        <f>VLOOKUP(N862,CODE!K:P,CODE!$P$1,FALSE)</f>
        <v>모자</v>
      </c>
      <c r="M862" s="24" t="str">
        <f>VLOOKUP(MID(Q862,1,3),CODE!$B:$G,CODE!D$1,FALSE)</f>
        <v>SMB</v>
      </c>
      <c r="N862" s="24" t="str">
        <f t="shared" si="189"/>
        <v>FI</v>
      </c>
      <c r="O862" s="29" t="str">
        <f>IF(ISERROR(IF(VLOOKUP($N862,CODE!$K:$P,CODE!$O$1,FALSE)="",$M862,$M862&amp;"-"&amp;VLOOKUP($N862,CODE!$K:$P,CODE!$O$1,FALSE)))=TRUE,"",IF(VLOOKUP($N862,CODE!$K:$P,CODE!$O$1,FALSE)="",$M862,$M862&amp;"-"&amp;VLOOKUP($N862,CODE!$K:$P,CODE!$O$1,FALSE)))</f>
        <v>SMB</v>
      </c>
      <c r="P862" s="29" t="str">
        <f t="shared" si="190"/>
        <v>SMBFIE5360</v>
      </c>
      <c r="Q862" s="1" t="s">
        <v>1601</v>
      </c>
      <c r="R862" s="1" t="s">
        <v>14</v>
      </c>
      <c r="S862" s="26">
        <v>1000</v>
      </c>
      <c r="T862" s="26">
        <v>49000000</v>
      </c>
      <c r="U862" s="26">
        <v>4949494.9494949495</v>
      </c>
      <c r="V862" s="26">
        <v>9</v>
      </c>
      <c r="W862" s="26">
        <v>0</v>
      </c>
      <c r="X862" s="26">
        <v>1000</v>
      </c>
    </row>
    <row r="863" spans="1:24">
      <c r="A863" s="24" t="str">
        <f t="shared" si="179"/>
        <v>신규</v>
      </c>
      <c r="B863" s="24" t="str">
        <f>IF(COUNTIF(Q$1:Q862,Q863)=0,"최초","리오더")</f>
        <v>최초</v>
      </c>
      <c r="C863" s="24" t="str">
        <f t="shared" si="180"/>
        <v>SMBFIE5860</v>
      </c>
      <c r="D863" s="24">
        <f t="shared" si="181"/>
        <v>1</v>
      </c>
      <c r="E863" s="24" t="str">
        <f t="shared" si="182"/>
        <v/>
      </c>
      <c r="F863" s="24">
        <f t="shared" si="183"/>
        <v>0</v>
      </c>
      <c r="G863" s="24" t="str">
        <f t="shared" si="184"/>
        <v>SMBFIE5860YE</v>
      </c>
      <c r="H863" s="24">
        <f t="shared" si="185"/>
        <v>1</v>
      </c>
      <c r="I863" s="24" t="str">
        <f t="shared" si="186"/>
        <v/>
      </c>
      <c r="J863" s="24">
        <f t="shared" si="187"/>
        <v>0</v>
      </c>
      <c r="K863" s="24" t="str">
        <f t="shared" si="188"/>
        <v>E5</v>
      </c>
      <c r="L863" s="24" t="str">
        <f>VLOOKUP(N863,CODE!K:P,CODE!$P$1,FALSE)</f>
        <v>모자</v>
      </c>
      <c r="M863" s="24" t="str">
        <f>VLOOKUP(MID(Q863,1,3),CODE!$B:$G,CODE!D$1,FALSE)</f>
        <v>SMB</v>
      </c>
      <c r="N863" s="24" t="str">
        <f t="shared" si="189"/>
        <v>FI</v>
      </c>
      <c r="O863" s="29" t="str">
        <f>IF(ISERROR(IF(VLOOKUP($N863,CODE!$K:$P,CODE!$O$1,FALSE)="",$M863,$M863&amp;"-"&amp;VLOOKUP($N863,CODE!$K:$P,CODE!$O$1,FALSE)))=TRUE,"",IF(VLOOKUP($N863,CODE!$K:$P,CODE!$O$1,FALSE)="",$M863,$M863&amp;"-"&amp;VLOOKUP($N863,CODE!$K:$P,CODE!$O$1,FALSE)))</f>
        <v>SMB</v>
      </c>
      <c r="P863" s="29" t="str">
        <f t="shared" si="190"/>
        <v>SMBFIE5860</v>
      </c>
      <c r="Q863" s="1" t="s">
        <v>1602</v>
      </c>
      <c r="R863" s="1" t="s">
        <v>14</v>
      </c>
      <c r="S863" s="26">
        <v>1000</v>
      </c>
      <c r="T863" s="26">
        <v>45000000</v>
      </c>
      <c r="U863" s="26">
        <v>4545454.5454545449</v>
      </c>
      <c r="V863" s="26">
        <v>9</v>
      </c>
      <c r="W863" s="26">
        <v>0</v>
      </c>
      <c r="X863" s="26">
        <v>1000</v>
      </c>
    </row>
    <row r="864" spans="1:24">
      <c r="A864" s="24" t="str">
        <f t="shared" si="179"/>
        <v>신규</v>
      </c>
      <c r="B864" s="24" t="str">
        <f>IF(COUNTIF(Q$1:Q863,Q864)=0,"최초","리오더")</f>
        <v>최초</v>
      </c>
      <c r="C864" s="24" t="str">
        <f t="shared" si="180"/>
        <v>SMBFIE3361</v>
      </c>
      <c r="D864" s="24">
        <f t="shared" si="181"/>
        <v>1</v>
      </c>
      <c r="E864" s="24" t="str">
        <f t="shared" si="182"/>
        <v/>
      </c>
      <c r="F864" s="24">
        <f t="shared" si="183"/>
        <v>0</v>
      </c>
      <c r="G864" s="24" t="str">
        <f t="shared" si="184"/>
        <v>SMBFIE3361NY</v>
      </c>
      <c r="H864" s="24">
        <f t="shared" si="185"/>
        <v>1</v>
      </c>
      <c r="I864" s="24" t="str">
        <f t="shared" si="186"/>
        <v/>
      </c>
      <c r="J864" s="24">
        <f t="shared" si="187"/>
        <v>0</v>
      </c>
      <c r="K864" s="24" t="str">
        <f t="shared" si="188"/>
        <v>E3</v>
      </c>
      <c r="L864" s="24" t="str">
        <f>VLOOKUP(N864,CODE!K:P,CODE!$P$1,FALSE)</f>
        <v>모자</v>
      </c>
      <c r="M864" s="24" t="str">
        <f>VLOOKUP(MID(Q864,1,3),CODE!$B:$G,CODE!D$1,FALSE)</f>
        <v>SMB</v>
      </c>
      <c r="N864" s="24" t="str">
        <f t="shared" si="189"/>
        <v>FI</v>
      </c>
      <c r="O864" s="29" t="str">
        <f>IF(ISERROR(IF(VLOOKUP($N864,CODE!$K:$P,CODE!$O$1,FALSE)="",$M864,$M864&amp;"-"&amp;VLOOKUP($N864,CODE!$K:$P,CODE!$O$1,FALSE)))=TRUE,"",IF(VLOOKUP($N864,CODE!$K:$P,CODE!$O$1,FALSE)="",$M864,$M864&amp;"-"&amp;VLOOKUP($N864,CODE!$K:$P,CODE!$O$1,FALSE)))</f>
        <v>SMB</v>
      </c>
      <c r="P864" s="29" t="str">
        <f t="shared" si="190"/>
        <v>SMBFIE3361</v>
      </c>
      <c r="Q864" s="1" t="s">
        <v>1603</v>
      </c>
      <c r="R864" s="1" t="s">
        <v>14</v>
      </c>
      <c r="S864" s="26">
        <v>1000</v>
      </c>
      <c r="T864" s="26">
        <v>59000000</v>
      </c>
      <c r="U864" s="26">
        <v>5959595.9595959596</v>
      </c>
      <c r="V864" s="26">
        <v>9</v>
      </c>
      <c r="W864" s="26">
        <v>0</v>
      </c>
      <c r="X864" s="26">
        <v>1000</v>
      </c>
    </row>
    <row r="865" spans="1:24">
      <c r="A865" s="24" t="str">
        <f t="shared" si="179"/>
        <v>신규</v>
      </c>
      <c r="B865" s="24" t="str">
        <f>IF(COUNTIF(Q$1:Q864,Q865)=0,"최초","리오더")</f>
        <v>최초</v>
      </c>
      <c r="C865" s="24" t="str">
        <f t="shared" si="180"/>
        <v>SMBFIE3861</v>
      </c>
      <c r="D865" s="24">
        <f t="shared" si="181"/>
        <v>1</v>
      </c>
      <c r="E865" s="24" t="str">
        <f t="shared" si="182"/>
        <v/>
      </c>
      <c r="F865" s="24">
        <f t="shared" si="183"/>
        <v>0</v>
      </c>
      <c r="G865" s="24" t="str">
        <f t="shared" si="184"/>
        <v>SMBFIE3861NY</v>
      </c>
      <c r="H865" s="24">
        <f t="shared" si="185"/>
        <v>1</v>
      </c>
      <c r="I865" s="24" t="str">
        <f t="shared" si="186"/>
        <v/>
      </c>
      <c r="J865" s="24">
        <f t="shared" si="187"/>
        <v>0</v>
      </c>
      <c r="K865" s="24" t="str">
        <f t="shared" si="188"/>
        <v>E3</v>
      </c>
      <c r="L865" s="24" t="str">
        <f>VLOOKUP(N865,CODE!K:P,CODE!$P$1,FALSE)</f>
        <v>모자</v>
      </c>
      <c r="M865" s="24" t="str">
        <f>VLOOKUP(MID(Q865,1,3),CODE!$B:$G,CODE!D$1,FALSE)</f>
        <v>SMB</v>
      </c>
      <c r="N865" s="24" t="str">
        <f t="shared" si="189"/>
        <v>FI</v>
      </c>
      <c r="O865" s="29" t="str">
        <f>IF(ISERROR(IF(VLOOKUP($N865,CODE!$K:$P,CODE!$O$1,FALSE)="",$M865,$M865&amp;"-"&amp;VLOOKUP($N865,CODE!$K:$P,CODE!$O$1,FALSE)))=TRUE,"",IF(VLOOKUP($N865,CODE!$K:$P,CODE!$O$1,FALSE)="",$M865,$M865&amp;"-"&amp;VLOOKUP($N865,CODE!$K:$P,CODE!$O$1,FALSE)))</f>
        <v>SMB</v>
      </c>
      <c r="P865" s="29" t="str">
        <f t="shared" si="190"/>
        <v>SMBFIE3861</v>
      </c>
      <c r="Q865" s="1" t="s">
        <v>1604</v>
      </c>
      <c r="R865" s="1" t="s">
        <v>14</v>
      </c>
      <c r="S865" s="26">
        <v>1000</v>
      </c>
      <c r="T865" s="26">
        <v>55000000</v>
      </c>
      <c r="U865" s="26">
        <v>5555555.555555555</v>
      </c>
      <c r="V865" s="26">
        <v>9</v>
      </c>
      <c r="W865" s="26">
        <v>0</v>
      </c>
      <c r="X865" s="26">
        <v>1000</v>
      </c>
    </row>
    <row r="866" spans="1:24">
      <c r="A866" s="24" t="str">
        <f t="shared" si="179"/>
        <v>신규</v>
      </c>
      <c r="B866" s="24" t="str">
        <f>IF(COUNTIF(Q$1:Q865,Q866)=0,"최초","리오더")</f>
        <v>최초</v>
      </c>
      <c r="C866" s="24" t="str">
        <f t="shared" si="180"/>
        <v>SMBFIE3362</v>
      </c>
      <c r="D866" s="24">
        <f t="shared" si="181"/>
        <v>1</v>
      </c>
      <c r="E866" s="24" t="str">
        <f t="shared" si="182"/>
        <v/>
      </c>
      <c r="F866" s="24">
        <f t="shared" si="183"/>
        <v>0</v>
      </c>
      <c r="G866" s="24" t="str">
        <f t="shared" si="184"/>
        <v>SMBFIE3362NY</v>
      </c>
      <c r="H866" s="24">
        <f t="shared" si="185"/>
        <v>1</v>
      </c>
      <c r="I866" s="24" t="str">
        <f t="shared" si="186"/>
        <v/>
      </c>
      <c r="J866" s="24">
        <f t="shared" si="187"/>
        <v>0</v>
      </c>
      <c r="K866" s="24" t="str">
        <f t="shared" si="188"/>
        <v>E3</v>
      </c>
      <c r="L866" s="24" t="str">
        <f>VLOOKUP(N866,CODE!K:P,CODE!$P$1,FALSE)</f>
        <v>모자</v>
      </c>
      <c r="M866" s="24" t="str">
        <f>VLOOKUP(MID(Q866,1,3),CODE!$B:$G,CODE!D$1,FALSE)</f>
        <v>SMB</v>
      </c>
      <c r="N866" s="24" t="str">
        <f t="shared" si="189"/>
        <v>FI</v>
      </c>
      <c r="O866" s="29" t="str">
        <f>IF(ISERROR(IF(VLOOKUP($N866,CODE!$K:$P,CODE!$O$1,FALSE)="",$M866,$M866&amp;"-"&amp;VLOOKUP($N866,CODE!$K:$P,CODE!$O$1,FALSE)))=TRUE,"",IF(VLOOKUP($N866,CODE!$K:$P,CODE!$O$1,FALSE)="",$M866,$M866&amp;"-"&amp;VLOOKUP($N866,CODE!$K:$P,CODE!$O$1,FALSE)))</f>
        <v>SMB</v>
      </c>
      <c r="P866" s="29" t="str">
        <f t="shared" si="190"/>
        <v>SMBFIE3362</v>
      </c>
      <c r="Q866" s="1" t="s">
        <v>1605</v>
      </c>
      <c r="R866" s="1" t="s">
        <v>14</v>
      </c>
      <c r="S866" s="26">
        <v>1000</v>
      </c>
      <c r="T866" s="26">
        <v>49000000</v>
      </c>
      <c r="U866" s="26">
        <v>4949494.9494949495</v>
      </c>
      <c r="V866" s="26">
        <v>9</v>
      </c>
      <c r="W866" s="26">
        <v>0</v>
      </c>
      <c r="X866" s="26">
        <v>1000</v>
      </c>
    </row>
    <row r="867" spans="1:24">
      <c r="A867" s="24" t="str">
        <f t="shared" si="179"/>
        <v>신규</v>
      </c>
      <c r="B867" s="24" t="str">
        <f>IF(COUNTIF(Q$1:Q866,Q867)=0,"최초","리오더")</f>
        <v>최초</v>
      </c>
      <c r="C867" s="24" t="str">
        <f t="shared" si="180"/>
        <v>ELSBEE5338</v>
      </c>
      <c r="D867" s="24">
        <f t="shared" si="181"/>
        <v>1</v>
      </c>
      <c r="E867" s="24" t="str">
        <f t="shared" si="182"/>
        <v/>
      </c>
      <c r="F867" s="24">
        <f t="shared" si="183"/>
        <v>0</v>
      </c>
      <c r="G867" s="24" t="str">
        <f t="shared" si="184"/>
        <v>ELSBEE5338MT</v>
      </c>
      <c r="H867" s="24">
        <f t="shared" si="185"/>
        <v>1</v>
      </c>
      <c r="I867" s="24" t="str">
        <f t="shared" si="186"/>
        <v/>
      </c>
      <c r="J867" s="24">
        <f t="shared" si="187"/>
        <v>0</v>
      </c>
      <c r="K867" s="24" t="str">
        <f t="shared" si="188"/>
        <v>E5</v>
      </c>
      <c r="L867" s="24" t="str">
        <f>VLOOKUP(N867,CODE!K:P,CODE!$P$1,FALSE)</f>
        <v>모자</v>
      </c>
      <c r="M867" s="24" t="str">
        <f>VLOOKUP(MID(Q867,1,3),CODE!$B:$G,CODE!D$1,FALSE)</f>
        <v>ELS</v>
      </c>
      <c r="N867" s="24" t="str">
        <f t="shared" si="189"/>
        <v>BE</v>
      </c>
      <c r="O867" s="29" t="str">
        <f>IF(ISERROR(IF(VLOOKUP($N867,CODE!$K:$P,CODE!$O$1,FALSE)="",$M867,$M867&amp;"-"&amp;VLOOKUP($N867,CODE!$K:$P,CODE!$O$1,FALSE)))=TRUE,"",IF(VLOOKUP($N867,CODE!$K:$P,CODE!$O$1,FALSE)="",$M867,$M867&amp;"-"&amp;VLOOKUP($N867,CODE!$K:$P,CODE!$O$1,FALSE)))</f>
        <v>ELS</v>
      </c>
      <c r="P867" s="29" t="str">
        <f t="shared" si="190"/>
        <v>ELSBEE5338</v>
      </c>
      <c r="Q867" s="1" t="s">
        <v>1606</v>
      </c>
      <c r="R867" s="1" t="s">
        <v>14</v>
      </c>
      <c r="S867" s="26">
        <v>700</v>
      </c>
      <c r="T867" s="26">
        <v>34300000</v>
      </c>
      <c r="U867" s="26">
        <v>5196969.6969696973</v>
      </c>
      <c r="V867" s="26">
        <v>6</v>
      </c>
      <c r="W867" s="26">
        <v>0</v>
      </c>
      <c r="X867" s="26">
        <v>700</v>
      </c>
    </row>
    <row r="868" spans="1:24">
      <c r="A868" s="24" t="str">
        <f t="shared" si="179"/>
        <v>신규</v>
      </c>
      <c r="B868" s="24" t="str">
        <f>IF(COUNTIF(Q$1:Q867,Q868)=0,"최초","리오더")</f>
        <v>최초</v>
      </c>
      <c r="C868" s="24" t="str">
        <f t="shared" si="180"/>
        <v>ELSBEE5838</v>
      </c>
      <c r="D868" s="24">
        <f t="shared" si="181"/>
        <v>1</v>
      </c>
      <c r="E868" s="24" t="str">
        <f t="shared" si="182"/>
        <v/>
      </c>
      <c r="F868" s="24">
        <f t="shared" si="183"/>
        <v>0</v>
      </c>
      <c r="G868" s="24" t="str">
        <f t="shared" si="184"/>
        <v>ELSBEE5838MT</v>
      </c>
      <c r="H868" s="24">
        <f t="shared" si="185"/>
        <v>1</v>
      </c>
      <c r="I868" s="24" t="str">
        <f t="shared" si="186"/>
        <v/>
      </c>
      <c r="J868" s="24">
        <f t="shared" si="187"/>
        <v>0</v>
      </c>
      <c r="K868" s="24" t="str">
        <f t="shared" si="188"/>
        <v>E5</v>
      </c>
      <c r="L868" s="24" t="str">
        <f>VLOOKUP(N868,CODE!K:P,CODE!$P$1,FALSE)</f>
        <v>모자</v>
      </c>
      <c r="M868" s="24" t="str">
        <f>VLOOKUP(MID(Q868,1,3),CODE!$B:$G,CODE!D$1,FALSE)</f>
        <v>ELS</v>
      </c>
      <c r="N868" s="24" t="str">
        <f t="shared" si="189"/>
        <v>BE</v>
      </c>
      <c r="O868" s="29" t="str">
        <f>IF(ISERROR(IF(VLOOKUP($N868,CODE!$K:$P,CODE!$O$1,FALSE)="",$M868,$M868&amp;"-"&amp;VLOOKUP($N868,CODE!$K:$P,CODE!$O$1,FALSE)))=TRUE,"",IF(VLOOKUP($N868,CODE!$K:$P,CODE!$O$1,FALSE)="",$M868,$M868&amp;"-"&amp;VLOOKUP($N868,CODE!$K:$P,CODE!$O$1,FALSE)))</f>
        <v>ELS</v>
      </c>
      <c r="P868" s="29" t="str">
        <f t="shared" si="190"/>
        <v>ELSBEE5838</v>
      </c>
      <c r="Q868" s="1" t="s">
        <v>1607</v>
      </c>
      <c r="R868" s="1" t="s">
        <v>14</v>
      </c>
      <c r="S868" s="26">
        <v>700</v>
      </c>
      <c r="T868" s="26">
        <v>31500000</v>
      </c>
      <c r="U868" s="26">
        <v>4772727.2727272715</v>
      </c>
      <c r="V868" s="26">
        <v>6.0000000000000009</v>
      </c>
      <c r="W868" s="26">
        <v>0</v>
      </c>
      <c r="X868" s="26">
        <v>700</v>
      </c>
    </row>
    <row r="869" spans="1:24">
      <c r="A869" s="24" t="str">
        <f t="shared" si="179"/>
        <v>신규</v>
      </c>
      <c r="B869" s="24" t="str">
        <f>IF(COUNTIF(Q$1:Q868,Q869)=0,"최초","리오더")</f>
        <v>최초</v>
      </c>
      <c r="C869" s="24" t="str">
        <f t="shared" si="180"/>
        <v>ELSBEE5339</v>
      </c>
      <c r="D869" s="24">
        <f t="shared" si="181"/>
        <v>1</v>
      </c>
      <c r="E869" s="24" t="str">
        <f t="shared" si="182"/>
        <v/>
      </c>
      <c r="F869" s="24">
        <f t="shared" si="183"/>
        <v>0</v>
      </c>
      <c r="G869" s="24" t="str">
        <f t="shared" si="184"/>
        <v>ELSBEE5339BL</v>
      </c>
      <c r="H869" s="24">
        <f t="shared" si="185"/>
        <v>1</v>
      </c>
      <c r="I869" s="24" t="str">
        <f t="shared" si="186"/>
        <v/>
      </c>
      <c r="J869" s="24">
        <f t="shared" si="187"/>
        <v>0</v>
      </c>
      <c r="K869" s="24" t="str">
        <f t="shared" si="188"/>
        <v>E5</v>
      </c>
      <c r="L869" s="24" t="str">
        <f>VLOOKUP(N869,CODE!K:P,CODE!$P$1,FALSE)</f>
        <v>모자</v>
      </c>
      <c r="M869" s="24" t="str">
        <f>VLOOKUP(MID(Q869,1,3),CODE!$B:$G,CODE!D$1,FALSE)</f>
        <v>ELS</v>
      </c>
      <c r="N869" s="24" t="str">
        <f t="shared" si="189"/>
        <v>BE</v>
      </c>
      <c r="O869" s="29" t="str">
        <f>IF(ISERROR(IF(VLOOKUP($N869,CODE!$K:$P,CODE!$O$1,FALSE)="",$M869,$M869&amp;"-"&amp;VLOOKUP($N869,CODE!$K:$P,CODE!$O$1,FALSE)))=TRUE,"",IF(VLOOKUP($N869,CODE!$K:$P,CODE!$O$1,FALSE)="",$M869,$M869&amp;"-"&amp;VLOOKUP($N869,CODE!$K:$P,CODE!$O$1,FALSE)))</f>
        <v>ELS</v>
      </c>
      <c r="P869" s="29" t="str">
        <f t="shared" si="190"/>
        <v>ELSBEE5339</v>
      </c>
      <c r="Q869" s="1" t="s">
        <v>1608</v>
      </c>
      <c r="R869" s="1" t="s">
        <v>14</v>
      </c>
      <c r="S869" s="26">
        <v>500</v>
      </c>
      <c r="T869" s="26">
        <v>19500000</v>
      </c>
      <c r="U869" s="26">
        <v>2954545.4545454541</v>
      </c>
      <c r="V869" s="26">
        <v>6</v>
      </c>
      <c r="W869" s="26">
        <v>0</v>
      </c>
      <c r="X869" s="26">
        <v>500</v>
      </c>
    </row>
    <row r="870" spans="1:24">
      <c r="A870" s="24" t="str">
        <f t="shared" si="179"/>
        <v>신규</v>
      </c>
      <c r="B870" s="24" t="str">
        <f>IF(COUNTIF(Q$1:Q869,Q870)=0,"최초","리오더")</f>
        <v>최초</v>
      </c>
      <c r="C870" s="24" t="str">
        <f t="shared" si="180"/>
        <v>ELSBEE5839</v>
      </c>
      <c r="D870" s="24">
        <f t="shared" si="181"/>
        <v>1</v>
      </c>
      <c r="E870" s="24" t="str">
        <f t="shared" si="182"/>
        <v/>
      </c>
      <c r="F870" s="24">
        <f t="shared" si="183"/>
        <v>0</v>
      </c>
      <c r="G870" s="24" t="str">
        <f t="shared" si="184"/>
        <v>ELSBEE5839BL</v>
      </c>
      <c r="H870" s="24">
        <f t="shared" si="185"/>
        <v>1</v>
      </c>
      <c r="I870" s="24" t="str">
        <f t="shared" si="186"/>
        <v/>
      </c>
      <c r="J870" s="24">
        <f t="shared" si="187"/>
        <v>0</v>
      </c>
      <c r="K870" s="24" t="str">
        <f t="shared" si="188"/>
        <v>E5</v>
      </c>
      <c r="L870" s="24" t="str">
        <f>VLOOKUP(N870,CODE!K:P,CODE!$P$1,FALSE)</f>
        <v>모자</v>
      </c>
      <c r="M870" s="24" t="str">
        <f>VLOOKUP(MID(Q870,1,3),CODE!$B:$G,CODE!D$1,FALSE)</f>
        <v>ELS</v>
      </c>
      <c r="N870" s="24" t="str">
        <f t="shared" si="189"/>
        <v>BE</v>
      </c>
      <c r="O870" s="29" t="str">
        <f>IF(ISERROR(IF(VLOOKUP($N870,CODE!$K:$P,CODE!$O$1,FALSE)="",$M870,$M870&amp;"-"&amp;VLOOKUP($N870,CODE!$K:$P,CODE!$O$1,FALSE)))=TRUE,"",IF(VLOOKUP($N870,CODE!$K:$P,CODE!$O$1,FALSE)="",$M870,$M870&amp;"-"&amp;VLOOKUP($N870,CODE!$K:$P,CODE!$O$1,FALSE)))</f>
        <v>ELS</v>
      </c>
      <c r="P870" s="29" t="str">
        <f t="shared" si="190"/>
        <v>ELSBEE5839</v>
      </c>
      <c r="Q870" s="1" t="s">
        <v>1609</v>
      </c>
      <c r="R870" s="1" t="s">
        <v>14</v>
      </c>
      <c r="S870" s="26">
        <v>500</v>
      </c>
      <c r="T870" s="26">
        <v>17500000</v>
      </c>
      <c r="U870" s="26">
        <v>2651515.1515151514</v>
      </c>
      <c r="V870" s="26">
        <v>5.9999999999999991</v>
      </c>
      <c r="W870" s="26">
        <v>0</v>
      </c>
      <c r="X870" s="26">
        <v>500</v>
      </c>
    </row>
    <row r="871" spans="1:24">
      <c r="A871" s="24" t="str">
        <f t="shared" si="179"/>
        <v>신규</v>
      </c>
      <c r="B871" s="24" t="str">
        <f>IF(COUNTIF(Q$1:Q870,Q871)=0,"최초","리오더")</f>
        <v>최초</v>
      </c>
      <c r="C871" s="24" t="str">
        <f t="shared" si="180"/>
        <v>ELSEBE5340</v>
      </c>
      <c r="D871" s="24">
        <f t="shared" si="181"/>
        <v>1</v>
      </c>
      <c r="E871" s="24" t="str">
        <f t="shared" si="182"/>
        <v/>
      </c>
      <c r="F871" s="24">
        <f t="shared" si="183"/>
        <v>0</v>
      </c>
      <c r="G871" s="24" t="str">
        <f t="shared" si="184"/>
        <v>ELSEBE5340PK</v>
      </c>
      <c r="H871" s="24">
        <f t="shared" si="185"/>
        <v>1</v>
      </c>
      <c r="I871" s="24" t="str">
        <f t="shared" si="186"/>
        <v/>
      </c>
      <c r="J871" s="24">
        <f t="shared" si="187"/>
        <v>0</v>
      </c>
      <c r="K871" s="24" t="str">
        <f t="shared" si="188"/>
        <v>E5</v>
      </c>
      <c r="L871" s="24" t="str">
        <f>VLOOKUP(N871,CODE!K:P,CODE!$P$1,FALSE)</f>
        <v>모자</v>
      </c>
      <c r="M871" s="24" t="str">
        <f>VLOOKUP(MID(Q871,1,3),CODE!$B:$G,CODE!D$1,FALSE)</f>
        <v>ELS</v>
      </c>
      <c r="N871" s="24" t="str">
        <f t="shared" si="189"/>
        <v>EB</v>
      </c>
      <c r="O871" s="29" t="str">
        <f>IF(ISERROR(IF(VLOOKUP($N871,CODE!$K:$P,CODE!$O$1,FALSE)="",$M871,$M871&amp;"-"&amp;VLOOKUP($N871,CODE!$K:$P,CODE!$O$1,FALSE)))=TRUE,"",IF(VLOOKUP($N871,CODE!$K:$P,CODE!$O$1,FALSE)="",$M871,$M871&amp;"-"&amp;VLOOKUP($N871,CODE!$K:$P,CODE!$O$1,FALSE)))</f>
        <v>ELS</v>
      </c>
      <c r="P871" s="29" t="str">
        <f t="shared" si="190"/>
        <v>ELSEBE5340</v>
      </c>
      <c r="Q871" s="1" t="s">
        <v>1610</v>
      </c>
      <c r="R871" s="1" t="s">
        <v>14</v>
      </c>
      <c r="S871" s="26">
        <v>700</v>
      </c>
      <c r="T871" s="26">
        <v>34300000</v>
      </c>
      <c r="U871" s="26">
        <v>5196969.6969696973</v>
      </c>
      <c r="V871" s="26">
        <v>6</v>
      </c>
      <c r="W871" s="26">
        <v>0</v>
      </c>
      <c r="X871" s="26">
        <v>700</v>
      </c>
    </row>
    <row r="872" spans="1:24">
      <c r="A872" s="24" t="str">
        <f t="shared" si="179"/>
        <v>신규</v>
      </c>
      <c r="B872" s="24" t="str">
        <f>IF(COUNTIF(Q$1:Q871,Q872)=0,"최초","리오더")</f>
        <v>최초</v>
      </c>
      <c r="C872" s="24" t="str">
        <f t="shared" si="180"/>
        <v>ELSEBE5840</v>
      </c>
      <c r="D872" s="24">
        <f t="shared" si="181"/>
        <v>1</v>
      </c>
      <c r="E872" s="24" t="str">
        <f t="shared" si="182"/>
        <v/>
      </c>
      <c r="F872" s="24">
        <f t="shared" si="183"/>
        <v>0</v>
      </c>
      <c r="G872" s="24" t="str">
        <f t="shared" si="184"/>
        <v>ELSEBE5840PK</v>
      </c>
      <c r="H872" s="24">
        <f t="shared" si="185"/>
        <v>1</v>
      </c>
      <c r="I872" s="24" t="str">
        <f t="shared" si="186"/>
        <v/>
      </c>
      <c r="J872" s="24">
        <f t="shared" si="187"/>
        <v>0</v>
      </c>
      <c r="K872" s="24" t="str">
        <f t="shared" si="188"/>
        <v>E5</v>
      </c>
      <c r="L872" s="24" t="str">
        <f>VLOOKUP(N872,CODE!K:P,CODE!$P$1,FALSE)</f>
        <v>모자</v>
      </c>
      <c r="M872" s="24" t="str">
        <f>VLOOKUP(MID(Q872,1,3),CODE!$B:$G,CODE!D$1,FALSE)</f>
        <v>ELS</v>
      </c>
      <c r="N872" s="24" t="str">
        <f t="shared" si="189"/>
        <v>EB</v>
      </c>
      <c r="O872" s="29" t="str">
        <f>IF(ISERROR(IF(VLOOKUP($N872,CODE!$K:$P,CODE!$O$1,FALSE)="",$M872,$M872&amp;"-"&amp;VLOOKUP($N872,CODE!$K:$P,CODE!$O$1,FALSE)))=TRUE,"",IF(VLOOKUP($N872,CODE!$K:$P,CODE!$O$1,FALSE)="",$M872,$M872&amp;"-"&amp;VLOOKUP($N872,CODE!$K:$P,CODE!$O$1,FALSE)))</f>
        <v>ELS</v>
      </c>
      <c r="P872" s="29" t="str">
        <f t="shared" si="190"/>
        <v>ELSEBE5840</v>
      </c>
      <c r="Q872" s="1" t="s">
        <v>1611</v>
      </c>
      <c r="R872" s="1" t="s">
        <v>14</v>
      </c>
      <c r="S872" s="26">
        <v>700</v>
      </c>
      <c r="T872" s="26">
        <v>31500000</v>
      </c>
      <c r="U872" s="26">
        <v>4772727.2727272715</v>
      </c>
      <c r="V872" s="26">
        <v>6.0000000000000009</v>
      </c>
      <c r="W872" s="26">
        <v>0</v>
      </c>
      <c r="X872" s="26">
        <v>700</v>
      </c>
    </row>
    <row r="873" spans="1:24">
      <c r="A873" s="24" t="str">
        <f t="shared" si="179"/>
        <v>신규</v>
      </c>
      <c r="B873" s="24" t="str">
        <f>IF(COUNTIF(Q$1:Q872,Q873)=0,"최초","리오더")</f>
        <v>최초</v>
      </c>
      <c r="C873" s="24" t="str">
        <f t="shared" si="180"/>
        <v>SMBBEE5363</v>
      </c>
      <c r="D873" s="24">
        <f t="shared" si="181"/>
        <v>1</v>
      </c>
      <c r="E873" s="24" t="str">
        <f t="shared" si="182"/>
        <v/>
      </c>
      <c r="F873" s="24">
        <f t="shared" si="183"/>
        <v>0</v>
      </c>
      <c r="G873" s="24" t="str">
        <f t="shared" si="184"/>
        <v>SMBBEE5363RE</v>
      </c>
      <c r="H873" s="24">
        <f t="shared" si="185"/>
        <v>1</v>
      </c>
      <c r="I873" s="24" t="str">
        <f t="shared" si="186"/>
        <v/>
      </c>
      <c r="J873" s="24">
        <f t="shared" si="187"/>
        <v>0</v>
      </c>
      <c r="K873" s="24" t="str">
        <f t="shared" si="188"/>
        <v>E5</v>
      </c>
      <c r="L873" s="24" t="str">
        <f>VLOOKUP(N873,CODE!K:P,CODE!$P$1,FALSE)</f>
        <v>모자</v>
      </c>
      <c r="M873" s="24" t="str">
        <f>VLOOKUP(MID(Q873,1,3),CODE!$B:$G,CODE!D$1,FALSE)</f>
        <v>SMB</v>
      </c>
      <c r="N873" s="24" t="str">
        <f t="shared" si="189"/>
        <v>BE</v>
      </c>
      <c r="O873" s="29" t="str">
        <f>IF(ISERROR(IF(VLOOKUP($N873,CODE!$K:$P,CODE!$O$1,FALSE)="",$M873,$M873&amp;"-"&amp;VLOOKUP($N873,CODE!$K:$P,CODE!$O$1,FALSE)))=TRUE,"",IF(VLOOKUP($N873,CODE!$K:$P,CODE!$O$1,FALSE)="",$M873,$M873&amp;"-"&amp;VLOOKUP($N873,CODE!$K:$P,CODE!$O$1,FALSE)))</f>
        <v>SMB</v>
      </c>
      <c r="P873" s="29" t="str">
        <f t="shared" si="190"/>
        <v>SMBBEE5363</v>
      </c>
      <c r="Q873" s="1" t="s">
        <v>1612</v>
      </c>
      <c r="R873" s="1" t="s">
        <v>14</v>
      </c>
      <c r="S873" s="26">
        <v>500</v>
      </c>
      <c r="T873" s="26">
        <v>24500000</v>
      </c>
      <c r="U873" s="26">
        <v>3181818.1818181816</v>
      </c>
      <c r="V873" s="26">
        <v>7</v>
      </c>
      <c r="W873" s="26">
        <v>0</v>
      </c>
      <c r="X873" s="26">
        <v>500</v>
      </c>
    </row>
    <row r="874" spans="1:24">
      <c r="A874" s="24" t="str">
        <f t="shared" si="179"/>
        <v>신규</v>
      </c>
      <c r="B874" s="24" t="str">
        <f>IF(COUNTIF(Q$1:Q873,Q874)=0,"최초","리오더")</f>
        <v>최초</v>
      </c>
      <c r="C874" s="24" t="str">
        <f t="shared" si="180"/>
        <v>SMBBEE5863</v>
      </c>
      <c r="D874" s="24">
        <f t="shared" si="181"/>
        <v>1</v>
      </c>
      <c r="E874" s="24" t="str">
        <f t="shared" si="182"/>
        <v/>
      </c>
      <c r="F874" s="24">
        <f t="shared" si="183"/>
        <v>0</v>
      </c>
      <c r="G874" s="24" t="str">
        <f t="shared" si="184"/>
        <v>SMBBEE5863RE</v>
      </c>
      <c r="H874" s="24">
        <f t="shared" si="185"/>
        <v>1</v>
      </c>
      <c r="I874" s="24" t="str">
        <f t="shared" si="186"/>
        <v/>
      </c>
      <c r="J874" s="24">
        <f t="shared" si="187"/>
        <v>0</v>
      </c>
      <c r="K874" s="24" t="str">
        <f t="shared" si="188"/>
        <v>E5</v>
      </c>
      <c r="L874" s="24" t="str">
        <f>VLOOKUP(N874,CODE!K:P,CODE!$P$1,FALSE)</f>
        <v>모자</v>
      </c>
      <c r="M874" s="24" t="str">
        <f>VLOOKUP(MID(Q874,1,3),CODE!$B:$G,CODE!D$1,FALSE)</f>
        <v>SMB</v>
      </c>
      <c r="N874" s="24" t="str">
        <f t="shared" si="189"/>
        <v>BE</v>
      </c>
      <c r="O874" s="29" t="str">
        <f>IF(ISERROR(IF(VLOOKUP($N874,CODE!$K:$P,CODE!$O$1,FALSE)="",$M874,$M874&amp;"-"&amp;VLOOKUP($N874,CODE!$K:$P,CODE!$O$1,FALSE)))=TRUE,"",IF(VLOOKUP($N874,CODE!$K:$P,CODE!$O$1,FALSE)="",$M874,$M874&amp;"-"&amp;VLOOKUP($N874,CODE!$K:$P,CODE!$O$1,FALSE)))</f>
        <v>SMB</v>
      </c>
      <c r="P874" s="29" t="str">
        <f t="shared" si="190"/>
        <v>SMBBEE5863</v>
      </c>
      <c r="Q874" s="1" t="s">
        <v>1613</v>
      </c>
      <c r="R874" s="1" t="s">
        <v>14</v>
      </c>
      <c r="S874" s="26">
        <v>700</v>
      </c>
      <c r="T874" s="26">
        <v>31500000</v>
      </c>
      <c r="U874" s="26">
        <v>4090909.0909090904</v>
      </c>
      <c r="V874" s="26">
        <v>7</v>
      </c>
      <c r="W874" s="26">
        <v>0</v>
      </c>
      <c r="X874" s="26">
        <v>700</v>
      </c>
    </row>
    <row r="875" spans="1:24">
      <c r="A875" s="24" t="str">
        <f t="shared" si="179"/>
        <v>신규</v>
      </c>
      <c r="B875" s="24" t="str">
        <f>IF(COUNTIF(Q$1:Q874,Q875)=0,"최초","리오더")</f>
        <v>최초</v>
      </c>
      <c r="C875" s="24" t="str">
        <f t="shared" si="180"/>
        <v>SMBFLE3314</v>
      </c>
      <c r="D875" s="24">
        <f t="shared" si="181"/>
        <v>1</v>
      </c>
      <c r="E875" s="24" t="str">
        <f t="shared" si="182"/>
        <v/>
      </c>
      <c r="F875" s="24">
        <f t="shared" si="183"/>
        <v>0</v>
      </c>
      <c r="G875" s="24" t="str">
        <f t="shared" si="184"/>
        <v>SMBFLE3314BU</v>
      </c>
      <c r="H875" s="24">
        <f t="shared" si="185"/>
        <v>1</v>
      </c>
      <c r="I875" s="24" t="str">
        <f t="shared" si="186"/>
        <v/>
      </c>
      <c r="J875" s="24">
        <f t="shared" si="187"/>
        <v>0</v>
      </c>
      <c r="K875" s="24" t="str">
        <f t="shared" si="188"/>
        <v>E3</v>
      </c>
      <c r="L875" s="24" t="str">
        <f>VLOOKUP(N875,CODE!K:P,CODE!$P$1,FALSE)</f>
        <v>모자</v>
      </c>
      <c r="M875" s="24" t="str">
        <f>VLOOKUP(MID(Q875,1,3),CODE!$B:$G,CODE!D$1,FALSE)</f>
        <v>SMB</v>
      </c>
      <c r="N875" s="24" t="str">
        <f t="shared" si="189"/>
        <v>FL</v>
      </c>
      <c r="O875" s="29" t="str">
        <f>IF(ISERROR(IF(VLOOKUP($N875,CODE!$K:$P,CODE!$O$1,FALSE)="",$M875,$M875&amp;"-"&amp;VLOOKUP($N875,CODE!$K:$P,CODE!$O$1,FALSE)))=TRUE,"",IF(VLOOKUP($N875,CODE!$K:$P,CODE!$O$1,FALSE)="",$M875,$M875&amp;"-"&amp;VLOOKUP($N875,CODE!$K:$P,CODE!$O$1,FALSE)))</f>
        <v>SMB</v>
      </c>
      <c r="P875" s="29" t="str">
        <f t="shared" si="190"/>
        <v>SMBFLE3314</v>
      </c>
      <c r="Q875" s="1" t="s">
        <v>1614</v>
      </c>
      <c r="R875" s="1" t="s">
        <v>14</v>
      </c>
      <c r="S875" s="26">
        <v>700</v>
      </c>
      <c r="T875" s="26">
        <v>31500000</v>
      </c>
      <c r="U875" s="26">
        <v>5133974.9999999991</v>
      </c>
      <c r="V875" s="26">
        <v>5.577815169797991</v>
      </c>
      <c r="W875" s="26">
        <v>0</v>
      </c>
      <c r="X875" s="26">
        <v>700</v>
      </c>
    </row>
    <row r="876" spans="1:24">
      <c r="A876" s="24" t="str">
        <f t="shared" si="179"/>
        <v>신규</v>
      </c>
      <c r="B876" s="24" t="str">
        <f>IF(COUNTIF(Q$1:Q875,Q876)=0,"최초","리오더")</f>
        <v>최초</v>
      </c>
      <c r="C876" s="24" t="str">
        <f t="shared" si="180"/>
        <v>SMBFLE3814</v>
      </c>
      <c r="D876" s="24">
        <f t="shared" si="181"/>
        <v>1</v>
      </c>
      <c r="E876" s="24" t="str">
        <f t="shared" si="182"/>
        <v/>
      </c>
      <c r="F876" s="24">
        <f t="shared" si="183"/>
        <v>0</v>
      </c>
      <c r="G876" s="24" t="str">
        <f t="shared" si="184"/>
        <v>SMBFLE3814BU</v>
      </c>
      <c r="H876" s="24">
        <f t="shared" si="185"/>
        <v>1</v>
      </c>
      <c r="I876" s="24" t="str">
        <f t="shared" si="186"/>
        <v/>
      </c>
      <c r="J876" s="24">
        <f t="shared" si="187"/>
        <v>0</v>
      </c>
      <c r="K876" s="24" t="str">
        <f t="shared" si="188"/>
        <v>E3</v>
      </c>
      <c r="L876" s="24" t="str">
        <f>VLOOKUP(N876,CODE!K:P,CODE!$P$1,FALSE)</f>
        <v>모자</v>
      </c>
      <c r="M876" s="24" t="str">
        <f>VLOOKUP(MID(Q876,1,3),CODE!$B:$G,CODE!D$1,FALSE)</f>
        <v>SMB</v>
      </c>
      <c r="N876" s="24" t="str">
        <f t="shared" si="189"/>
        <v>FL</v>
      </c>
      <c r="O876" s="29" t="str">
        <f>IF(ISERROR(IF(VLOOKUP($N876,CODE!$K:$P,CODE!$O$1,FALSE)="",$M876,$M876&amp;"-"&amp;VLOOKUP($N876,CODE!$K:$P,CODE!$O$1,FALSE)))=TRUE,"",IF(VLOOKUP($N876,CODE!$K:$P,CODE!$O$1,FALSE)="",$M876,$M876&amp;"-"&amp;VLOOKUP($N876,CODE!$K:$P,CODE!$O$1,FALSE)))</f>
        <v>SMB</v>
      </c>
      <c r="P876" s="29" t="str">
        <f t="shared" si="190"/>
        <v>SMBFLE3814</v>
      </c>
      <c r="Q876" s="1" t="s">
        <v>1615</v>
      </c>
      <c r="R876" s="1" t="s">
        <v>14</v>
      </c>
      <c r="S876" s="26">
        <v>500</v>
      </c>
      <c r="T876" s="26">
        <v>21500000</v>
      </c>
      <c r="U876" s="26">
        <v>3667124.9999999995</v>
      </c>
      <c r="V876" s="26">
        <v>5.3299122733625239</v>
      </c>
      <c r="W876" s="26">
        <v>0</v>
      </c>
      <c r="X876" s="26">
        <v>500</v>
      </c>
    </row>
    <row r="877" spans="1:24">
      <c r="A877" s="24" t="str">
        <f t="shared" si="179"/>
        <v>신규</v>
      </c>
      <c r="B877" s="24" t="str">
        <f>IF(COUNTIF(Q$1:Q876,Q877)=0,"최초","리오더")</f>
        <v>최초</v>
      </c>
      <c r="C877" s="24" t="str">
        <f t="shared" si="180"/>
        <v>SMBFLE3315</v>
      </c>
      <c r="D877" s="24">
        <f t="shared" si="181"/>
        <v>1</v>
      </c>
      <c r="E877" s="24" t="str">
        <f t="shared" si="182"/>
        <v/>
      </c>
      <c r="F877" s="24">
        <f t="shared" si="183"/>
        <v>0</v>
      </c>
      <c r="G877" s="24" t="str">
        <f t="shared" si="184"/>
        <v>SMBFLE3315RE</v>
      </c>
      <c r="H877" s="24">
        <f t="shared" si="185"/>
        <v>1</v>
      </c>
      <c r="I877" s="24" t="str">
        <f t="shared" si="186"/>
        <v/>
      </c>
      <c r="J877" s="24">
        <f t="shared" si="187"/>
        <v>0</v>
      </c>
      <c r="K877" s="24" t="str">
        <f t="shared" si="188"/>
        <v>E3</v>
      </c>
      <c r="L877" s="24" t="str">
        <f>VLOOKUP(N877,CODE!K:P,CODE!$P$1,FALSE)</f>
        <v>모자</v>
      </c>
      <c r="M877" s="24" t="str">
        <f>VLOOKUP(MID(Q877,1,3),CODE!$B:$G,CODE!D$1,FALSE)</f>
        <v>SMB</v>
      </c>
      <c r="N877" s="24" t="str">
        <f t="shared" si="189"/>
        <v>FL</v>
      </c>
      <c r="O877" s="29" t="str">
        <f>IF(ISERROR(IF(VLOOKUP($N877,CODE!$K:$P,CODE!$O$1,FALSE)="",$M877,$M877&amp;"-"&amp;VLOOKUP($N877,CODE!$K:$P,CODE!$O$1,FALSE)))=TRUE,"",IF(VLOOKUP($N877,CODE!$K:$P,CODE!$O$1,FALSE)="",$M877,$M877&amp;"-"&amp;VLOOKUP($N877,CODE!$K:$P,CODE!$O$1,FALSE)))</f>
        <v>SMB</v>
      </c>
      <c r="P877" s="29" t="str">
        <f t="shared" si="190"/>
        <v>SMBFLE3315</v>
      </c>
      <c r="Q877" s="1" t="s">
        <v>1616</v>
      </c>
      <c r="R877" s="1" t="s">
        <v>14</v>
      </c>
      <c r="S877" s="26">
        <v>700</v>
      </c>
      <c r="T877" s="26">
        <v>31500000</v>
      </c>
      <c r="U877" s="26">
        <v>4931850</v>
      </c>
      <c r="V877" s="26">
        <v>5.8064141521667603</v>
      </c>
      <c r="W877" s="26">
        <v>0</v>
      </c>
      <c r="X877" s="26">
        <v>700</v>
      </c>
    </row>
    <row r="878" spans="1:24">
      <c r="A878" s="24" t="str">
        <f t="shared" si="179"/>
        <v>신규</v>
      </c>
      <c r="B878" s="24" t="str">
        <f>IF(COUNTIF(Q$1:Q877,Q878)=0,"최초","리오더")</f>
        <v>최초</v>
      </c>
      <c r="C878" s="24" t="str">
        <f t="shared" si="180"/>
        <v>SMBFLE3815</v>
      </c>
      <c r="D878" s="24">
        <f t="shared" si="181"/>
        <v>1</v>
      </c>
      <c r="E878" s="24" t="str">
        <f t="shared" si="182"/>
        <v/>
      </c>
      <c r="F878" s="24">
        <f t="shared" si="183"/>
        <v>0</v>
      </c>
      <c r="G878" s="24" t="str">
        <f t="shared" si="184"/>
        <v>SMBFLE3815RE</v>
      </c>
      <c r="H878" s="24">
        <f t="shared" si="185"/>
        <v>1</v>
      </c>
      <c r="I878" s="24" t="str">
        <f t="shared" si="186"/>
        <v/>
      </c>
      <c r="J878" s="24">
        <f t="shared" si="187"/>
        <v>0</v>
      </c>
      <c r="K878" s="24" t="str">
        <f t="shared" si="188"/>
        <v>E3</v>
      </c>
      <c r="L878" s="24" t="str">
        <f>VLOOKUP(N878,CODE!K:P,CODE!$P$1,FALSE)</f>
        <v>모자</v>
      </c>
      <c r="M878" s="24" t="str">
        <f>VLOOKUP(MID(Q878,1,3),CODE!$B:$G,CODE!D$1,FALSE)</f>
        <v>SMB</v>
      </c>
      <c r="N878" s="24" t="str">
        <f t="shared" si="189"/>
        <v>FL</v>
      </c>
      <c r="O878" s="29" t="str">
        <f>IF(ISERROR(IF(VLOOKUP($N878,CODE!$K:$P,CODE!$O$1,FALSE)="",$M878,$M878&amp;"-"&amp;VLOOKUP($N878,CODE!$K:$P,CODE!$O$1,FALSE)))=TRUE,"",IF(VLOOKUP($N878,CODE!$K:$P,CODE!$O$1,FALSE)="",$M878,$M878&amp;"-"&amp;VLOOKUP($N878,CODE!$K:$P,CODE!$O$1,FALSE)))</f>
        <v>SMB</v>
      </c>
      <c r="P878" s="29" t="str">
        <f t="shared" si="190"/>
        <v>SMBFLE3815</v>
      </c>
      <c r="Q878" s="1" t="s">
        <v>1617</v>
      </c>
      <c r="R878" s="1" t="s">
        <v>14</v>
      </c>
      <c r="S878" s="26">
        <v>500</v>
      </c>
      <c r="T878" s="26">
        <v>21500000</v>
      </c>
      <c r="U878" s="26">
        <v>3522750</v>
      </c>
      <c r="V878" s="26">
        <v>5.5483513009593484</v>
      </c>
      <c r="W878" s="26">
        <v>0</v>
      </c>
      <c r="X878" s="26">
        <v>500</v>
      </c>
    </row>
    <row r="879" spans="1:24">
      <c r="A879" s="24" t="str">
        <f t="shared" si="179"/>
        <v>신규</v>
      </c>
      <c r="B879" s="24" t="str">
        <f>IF(COUNTIF(Q$1:Q878,Q879)=0,"최초","리오더")</f>
        <v>최초</v>
      </c>
      <c r="C879" s="24" t="str">
        <f t="shared" si="180"/>
        <v>SMBFLE3316</v>
      </c>
      <c r="D879" s="24">
        <f t="shared" si="181"/>
        <v>1</v>
      </c>
      <c r="E879" s="24" t="str">
        <f t="shared" si="182"/>
        <v/>
      </c>
      <c r="F879" s="24">
        <f t="shared" si="183"/>
        <v>0</v>
      </c>
      <c r="G879" s="24" t="str">
        <f t="shared" si="184"/>
        <v>SMBFLE3316BU</v>
      </c>
      <c r="H879" s="24">
        <f t="shared" si="185"/>
        <v>1</v>
      </c>
      <c r="I879" s="24" t="str">
        <f t="shared" si="186"/>
        <v/>
      </c>
      <c r="J879" s="24">
        <f t="shared" si="187"/>
        <v>0</v>
      </c>
      <c r="K879" s="24" t="str">
        <f t="shared" si="188"/>
        <v>E3</v>
      </c>
      <c r="L879" s="24" t="str">
        <f>VLOOKUP(N879,CODE!K:P,CODE!$P$1,FALSE)</f>
        <v>모자</v>
      </c>
      <c r="M879" s="24" t="str">
        <f>VLOOKUP(MID(Q879,1,3),CODE!$B:$G,CODE!D$1,FALSE)</f>
        <v>SMB</v>
      </c>
      <c r="N879" s="24" t="str">
        <f t="shared" si="189"/>
        <v>FL</v>
      </c>
      <c r="O879" s="29" t="str">
        <f>IF(ISERROR(IF(VLOOKUP($N879,CODE!$K:$P,CODE!$O$1,FALSE)="",$M879,$M879&amp;"-"&amp;VLOOKUP($N879,CODE!$K:$P,CODE!$O$1,FALSE)))=TRUE,"",IF(VLOOKUP($N879,CODE!$K:$P,CODE!$O$1,FALSE)="",$M879,$M879&amp;"-"&amp;VLOOKUP($N879,CODE!$K:$P,CODE!$O$1,FALSE)))</f>
        <v>SMB</v>
      </c>
      <c r="P879" s="29" t="str">
        <f t="shared" si="190"/>
        <v>SMBFLE3316</v>
      </c>
      <c r="Q879" s="1" t="s">
        <v>1618</v>
      </c>
      <c r="R879" s="1" t="s">
        <v>14</v>
      </c>
      <c r="S879" s="26">
        <v>700</v>
      </c>
      <c r="T879" s="26">
        <v>31500000</v>
      </c>
      <c r="U879" s="26">
        <v>4648875.0000000009</v>
      </c>
      <c r="V879" s="26">
        <v>6.1598480570812564</v>
      </c>
      <c r="W879" s="26">
        <v>0</v>
      </c>
      <c r="X879" s="26">
        <v>700</v>
      </c>
    </row>
    <row r="880" spans="1:24">
      <c r="A880" s="24" t="str">
        <f t="shared" si="179"/>
        <v>신규</v>
      </c>
      <c r="B880" s="24" t="str">
        <f>IF(COUNTIF(Q$1:Q879,Q880)=0,"최초","리오더")</f>
        <v>최초</v>
      </c>
      <c r="C880" s="24" t="str">
        <f t="shared" si="180"/>
        <v>SMBFLE3816</v>
      </c>
      <c r="D880" s="24">
        <f t="shared" si="181"/>
        <v>1</v>
      </c>
      <c r="E880" s="24" t="str">
        <f t="shared" si="182"/>
        <v/>
      </c>
      <c r="F880" s="24">
        <f t="shared" si="183"/>
        <v>0</v>
      </c>
      <c r="G880" s="24" t="str">
        <f t="shared" si="184"/>
        <v>SMBFLE3816BU</v>
      </c>
      <c r="H880" s="24">
        <f t="shared" si="185"/>
        <v>1</v>
      </c>
      <c r="I880" s="24" t="str">
        <f t="shared" si="186"/>
        <v/>
      </c>
      <c r="J880" s="24">
        <f t="shared" si="187"/>
        <v>0</v>
      </c>
      <c r="K880" s="24" t="str">
        <f t="shared" si="188"/>
        <v>E3</v>
      </c>
      <c r="L880" s="24" t="str">
        <f>VLOOKUP(N880,CODE!K:P,CODE!$P$1,FALSE)</f>
        <v>모자</v>
      </c>
      <c r="M880" s="24" t="str">
        <f>VLOOKUP(MID(Q880,1,3),CODE!$B:$G,CODE!D$1,FALSE)</f>
        <v>SMB</v>
      </c>
      <c r="N880" s="24" t="str">
        <f t="shared" si="189"/>
        <v>FL</v>
      </c>
      <c r="O880" s="29" t="str">
        <f>IF(ISERROR(IF(VLOOKUP($N880,CODE!$K:$P,CODE!$O$1,FALSE)="",$M880,$M880&amp;"-"&amp;VLOOKUP($N880,CODE!$K:$P,CODE!$O$1,FALSE)))=TRUE,"",IF(VLOOKUP($N880,CODE!$K:$P,CODE!$O$1,FALSE)="",$M880,$M880&amp;"-"&amp;VLOOKUP($N880,CODE!$K:$P,CODE!$O$1,FALSE)))</f>
        <v>SMB</v>
      </c>
      <c r="P880" s="29" t="str">
        <f t="shared" si="190"/>
        <v>SMBFLE3816</v>
      </c>
      <c r="Q880" s="1" t="s">
        <v>1619</v>
      </c>
      <c r="R880" s="1" t="s">
        <v>14</v>
      </c>
      <c r="S880" s="26">
        <v>500</v>
      </c>
      <c r="T880" s="26">
        <v>21500000</v>
      </c>
      <c r="U880" s="26">
        <v>3320625.0000000005</v>
      </c>
      <c r="V880" s="26">
        <v>5.8860770323220901</v>
      </c>
      <c r="W880" s="26">
        <v>0</v>
      </c>
      <c r="X880" s="26">
        <v>500</v>
      </c>
    </row>
    <row r="881" spans="1:24">
      <c r="A881" s="24" t="str">
        <f t="shared" si="179"/>
        <v>신규</v>
      </c>
      <c r="B881" s="24" t="str">
        <f>IF(COUNTIF(Q$1:Q880,Q881)=0,"최초","리오더")</f>
        <v>최초</v>
      </c>
      <c r="C881" s="24" t="str">
        <f t="shared" si="180"/>
        <v>SMBFLE3317</v>
      </c>
      <c r="D881" s="24">
        <f t="shared" si="181"/>
        <v>1</v>
      </c>
      <c r="E881" s="24" t="str">
        <f t="shared" si="182"/>
        <v/>
      </c>
      <c r="F881" s="24">
        <f t="shared" si="183"/>
        <v>0</v>
      </c>
      <c r="G881" s="24" t="str">
        <f t="shared" si="184"/>
        <v>SMBFLE3317BL</v>
      </c>
      <c r="H881" s="24">
        <f t="shared" si="185"/>
        <v>1</v>
      </c>
      <c r="I881" s="24" t="str">
        <f t="shared" si="186"/>
        <v/>
      </c>
      <c r="J881" s="24">
        <f t="shared" si="187"/>
        <v>0</v>
      </c>
      <c r="K881" s="24" t="str">
        <f t="shared" si="188"/>
        <v>E3</v>
      </c>
      <c r="L881" s="24" t="str">
        <f>VLOOKUP(N881,CODE!K:P,CODE!$P$1,FALSE)</f>
        <v>모자</v>
      </c>
      <c r="M881" s="24" t="str">
        <f>VLOOKUP(MID(Q881,1,3),CODE!$B:$G,CODE!D$1,FALSE)</f>
        <v>SMB</v>
      </c>
      <c r="N881" s="24" t="str">
        <f t="shared" si="189"/>
        <v>FL</v>
      </c>
      <c r="O881" s="29" t="str">
        <f>IF(ISERROR(IF(VLOOKUP($N881,CODE!$K:$P,CODE!$O$1,FALSE)="",$M881,$M881&amp;"-"&amp;VLOOKUP($N881,CODE!$K:$P,CODE!$O$1,FALSE)))=TRUE,"",IF(VLOOKUP($N881,CODE!$K:$P,CODE!$O$1,FALSE)="",$M881,$M881&amp;"-"&amp;VLOOKUP($N881,CODE!$K:$P,CODE!$O$1,FALSE)))</f>
        <v>SMB</v>
      </c>
      <c r="P881" s="29" t="str">
        <f t="shared" si="190"/>
        <v>SMBFLE3317</v>
      </c>
      <c r="Q881" s="1" t="s">
        <v>1620</v>
      </c>
      <c r="R881" s="1" t="s">
        <v>14</v>
      </c>
      <c r="S881" s="26">
        <v>700</v>
      </c>
      <c r="T881" s="26">
        <v>31500000</v>
      </c>
      <c r="U881" s="26">
        <v>4729725</v>
      </c>
      <c r="V881" s="26">
        <v>6.0545515090969637</v>
      </c>
      <c r="W881" s="26">
        <v>0</v>
      </c>
      <c r="X881" s="26">
        <v>700</v>
      </c>
    </row>
    <row r="882" spans="1:24">
      <c r="A882" s="24" t="str">
        <f t="shared" si="179"/>
        <v>신규</v>
      </c>
      <c r="B882" s="24" t="str">
        <f>IF(COUNTIF(Q$1:Q881,Q882)=0,"최초","리오더")</f>
        <v>최초</v>
      </c>
      <c r="C882" s="24" t="str">
        <f t="shared" si="180"/>
        <v>SMBFLE3318</v>
      </c>
      <c r="D882" s="24">
        <f t="shared" si="181"/>
        <v>1</v>
      </c>
      <c r="E882" s="24" t="str">
        <f t="shared" si="182"/>
        <v/>
      </c>
      <c r="F882" s="24">
        <f t="shared" si="183"/>
        <v>0</v>
      </c>
      <c r="G882" s="24" t="str">
        <f t="shared" si="184"/>
        <v>SMBFLE3318BK</v>
      </c>
      <c r="H882" s="24">
        <f t="shared" si="185"/>
        <v>1</v>
      </c>
      <c r="I882" s="24" t="str">
        <f t="shared" si="186"/>
        <v/>
      </c>
      <c r="J882" s="24">
        <f t="shared" si="187"/>
        <v>0</v>
      </c>
      <c r="K882" s="24" t="str">
        <f t="shared" si="188"/>
        <v>E3</v>
      </c>
      <c r="L882" s="24" t="str">
        <f>VLOOKUP(N882,CODE!K:P,CODE!$P$1,FALSE)</f>
        <v>모자</v>
      </c>
      <c r="M882" s="24" t="str">
        <f>VLOOKUP(MID(Q882,1,3),CODE!$B:$G,CODE!D$1,FALSE)</f>
        <v>SMB</v>
      </c>
      <c r="N882" s="24" t="str">
        <f t="shared" si="189"/>
        <v>FL</v>
      </c>
      <c r="O882" s="29" t="str">
        <f>IF(ISERROR(IF(VLOOKUP($N882,CODE!$K:$P,CODE!$O$1,FALSE)="",$M882,$M882&amp;"-"&amp;VLOOKUP($N882,CODE!$K:$P,CODE!$O$1,FALSE)))=TRUE,"",IF(VLOOKUP($N882,CODE!$K:$P,CODE!$O$1,FALSE)="",$M882,$M882&amp;"-"&amp;VLOOKUP($N882,CODE!$K:$P,CODE!$O$1,FALSE)))</f>
        <v>SMB</v>
      </c>
      <c r="P882" s="29" t="str">
        <f t="shared" si="190"/>
        <v>SMBFLE3318</v>
      </c>
      <c r="Q882" s="1" t="s">
        <v>1621</v>
      </c>
      <c r="R882" s="1" t="s">
        <v>14</v>
      </c>
      <c r="S882" s="26">
        <v>800</v>
      </c>
      <c r="T882" s="26">
        <v>36000000</v>
      </c>
      <c r="U882" s="26">
        <v>5728800.0000000009</v>
      </c>
      <c r="V882" s="26">
        <v>5.7127623110027788</v>
      </c>
      <c r="W882" s="26">
        <v>0</v>
      </c>
      <c r="X882" s="26">
        <v>800</v>
      </c>
    </row>
    <row r="883" spans="1:24">
      <c r="A883" s="24" t="str">
        <f t="shared" si="179"/>
        <v>신규</v>
      </c>
      <c r="B883" s="24" t="str">
        <f>IF(COUNTIF(Q$1:Q882,Q883)=0,"최초","리오더")</f>
        <v>최초</v>
      </c>
      <c r="C883" s="24" t="str">
        <f t="shared" si="180"/>
        <v>SMBFLE3319</v>
      </c>
      <c r="D883" s="24">
        <f t="shared" si="181"/>
        <v>1</v>
      </c>
      <c r="E883" s="24" t="str">
        <f t="shared" si="182"/>
        <v/>
      </c>
      <c r="F883" s="24">
        <f t="shared" si="183"/>
        <v>0</v>
      </c>
      <c r="G883" s="24" t="str">
        <f t="shared" si="184"/>
        <v>SMBFLE3319NY</v>
      </c>
      <c r="H883" s="24">
        <f t="shared" si="185"/>
        <v>1</v>
      </c>
      <c r="I883" s="24" t="str">
        <f t="shared" si="186"/>
        <v/>
      </c>
      <c r="J883" s="24">
        <f t="shared" si="187"/>
        <v>0</v>
      </c>
      <c r="K883" s="24" t="str">
        <f t="shared" si="188"/>
        <v>E3</v>
      </c>
      <c r="L883" s="24" t="str">
        <f>VLOOKUP(N883,CODE!K:P,CODE!$P$1,FALSE)</f>
        <v>모자</v>
      </c>
      <c r="M883" s="24" t="str">
        <f>VLOOKUP(MID(Q883,1,3),CODE!$B:$G,CODE!D$1,FALSE)</f>
        <v>SMB</v>
      </c>
      <c r="N883" s="24" t="str">
        <f t="shared" si="189"/>
        <v>FL</v>
      </c>
      <c r="O883" s="29" t="str">
        <f>IF(ISERROR(IF(VLOOKUP($N883,CODE!$K:$P,CODE!$O$1,FALSE)="",$M883,$M883&amp;"-"&amp;VLOOKUP($N883,CODE!$K:$P,CODE!$O$1,FALSE)))=TRUE,"",IF(VLOOKUP($N883,CODE!$K:$P,CODE!$O$1,FALSE)="",$M883,$M883&amp;"-"&amp;VLOOKUP($N883,CODE!$K:$P,CODE!$O$1,FALSE)))</f>
        <v>SMB</v>
      </c>
      <c r="P883" s="29" t="str">
        <f t="shared" si="190"/>
        <v>SMBFLE3319</v>
      </c>
      <c r="Q883" s="1" t="s">
        <v>1622</v>
      </c>
      <c r="R883" s="1" t="s">
        <v>14</v>
      </c>
      <c r="S883" s="26">
        <v>800</v>
      </c>
      <c r="T883" s="26">
        <v>36000000</v>
      </c>
      <c r="U883" s="26">
        <v>6098400</v>
      </c>
      <c r="V883" s="26">
        <v>5.3665342921541264</v>
      </c>
      <c r="W883" s="26">
        <v>0</v>
      </c>
      <c r="X883" s="26">
        <v>800</v>
      </c>
    </row>
    <row r="884" spans="1:24">
      <c r="A884" s="24" t="str">
        <f t="shared" si="179"/>
        <v>신규</v>
      </c>
      <c r="B884" s="24" t="str">
        <f>IF(COUNTIF(Q$1:Q883,Q884)=0,"최초","리오더")</f>
        <v>최초</v>
      </c>
      <c r="C884" s="24" t="str">
        <f t="shared" si="180"/>
        <v>SMBFLE3819</v>
      </c>
      <c r="D884" s="24">
        <f t="shared" si="181"/>
        <v>1</v>
      </c>
      <c r="E884" s="24" t="str">
        <f t="shared" si="182"/>
        <v/>
      </c>
      <c r="F884" s="24">
        <f t="shared" si="183"/>
        <v>0</v>
      </c>
      <c r="G884" s="24" t="str">
        <f t="shared" si="184"/>
        <v>SMBFLE3819NY</v>
      </c>
      <c r="H884" s="24">
        <f t="shared" si="185"/>
        <v>1</v>
      </c>
      <c r="I884" s="24" t="str">
        <f t="shared" si="186"/>
        <v/>
      </c>
      <c r="J884" s="24">
        <f t="shared" si="187"/>
        <v>0</v>
      </c>
      <c r="K884" s="24" t="str">
        <f t="shared" si="188"/>
        <v>E3</v>
      </c>
      <c r="L884" s="24" t="str">
        <f>VLOOKUP(N884,CODE!K:P,CODE!$P$1,FALSE)</f>
        <v>모자</v>
      </c>
      <c r="M884" s="24" t="str">
        <f>VLOOKUP(MID(Q884,1,3),CODE!$B:$G,CODE!D$1,FALSE)</f>
        <v>SMB</v>
      </c>
      <c r="N884" s="24" t="str">
        <f t="shared" si="189"/>
        <v>FL</v>
      </c>
      <c r="O884" s="29" t="str">
        <f>IF(ISERROR(IF(VLOOKUP($N884,CODE!$K:$P,CODE!$O$1,FALSE)="",$M884,$M884&amp;"-"&amp;VLOOKUP($N884,CODE!$K:$P,CODE!$O$1,FALSE)))=TRUE,"",IF(VLOOKUP($N884,CODE!$K:$P,CODE!$O$1,FALSE)="",$M884,$M884&amp;"-"&amp;VLOOKUP($N884,CODE!$K:$P,CODE!$O$1,FALSE)))</f>
        <v>SMB</v>
      </c>
      <c r="P884" s="29" t="str">
        <f t="shared" si="190"/>
        <v>SMBFLE3819</v>
      </c>
      <c r="Q884" s="1" t="s">
        <v>1623</v>
      </c>
      <c r="R884" s="1" t="s">
        <v>14</v>
      </c>
      <c r="S884" s="26">
        <v>500</v>
      </c>
      <c r="T884" s="26">
        <v>21500000</v>
      </c>
      <c r="U884" s="26">
        <v>3811500</v>
      </c>
      <c r="V884" s="26">
        <v>5.1280216569472765</v>
      </c>
      <c r="W884" s="26">
        <v>0</v>
      </c>
      <c r="X884" s="26">
        <v>500</v>
      </c>
    </row>
    <row r="885" spans="1:24">
      <c r="A885" s="24" t="str">
        <f t="shared" si="179"/>
        <v>신규</v>
      </c>
      <c r="B885" s="24" t="str">
        <f>IF(COUNTIF(Q$1:Q884,Q885)=0,"최초","리오더")</f>
        <v>최초</v>
      </c>
      <c r="C885" s="24" t="str">
        <f t="shared" si="180"/>
        <v>SMBFLE3320</v>
      </c>
      <c r="D885" s="24">
        <f t="shared" si="181"/>
        <v>1</v>
      </c>
      <c r="E885" s="24" t="str">
        <f t="shared" si="182"/>
        <v/>
      </c>
      <c r="F885" s="24">
        <f t="shared" si="183"/>
        <v>0</v>
      </c>
      <c r="G885" s="24" t="str">
        <f t="shared" si="184"/>
        <v>SMBFLE3320GY</v>
      </c>
      <c r="H885" s="24">
        <f t="shared" si="185"/>
        <v>1</v>
      </c>
      <c r="I885" s="24" t="str">
        <f t="shared" si="186"/>
        <v/>
      </c>
      <c r="J885" s="24">
        <f t="shared" si="187"/>
        <v>0</v>
      </c>
      <c r="K885" s="24" t="str">
        <f t="shared" si="188"/>
        <v>E3</v>
      </c>
      <c r="L885" s="24" t="str">
        <f>VLOOKUP(N885,CODE!K:P,CODE!$P$1,FALSE)</f>
        <v>모자</v>
      </c>
      <c r="M885" s="24" t="str">
        <f>VLOOKUP(MID(Q885,1,3),CODE!$B:$G,CODE!D$1,FALSE)</f>
        <v>SMB</v>
      </c>
      <c r="N885" s="24" t="str">
        <f t="shared" si="189"/>
        <v>FL</v>
      </c>
      <c r="O885" s="29" t="str">
        <f>IF(ISERROR(IF(VLOOKUP($N885,CODE!$K:$P,CODE!$O$1,FALSE)="",$M885,$M885&amp;"-"&amp;VLOOKUP($N885,CODE!$K:$P,CODE!$O$1,FALSE)))=TRUE,"",IF(VLOOKUP($N885,CODE!$K:$P,CODE!$O$1,FALSE)="",$M885,$M885&amp;"-"&amp;VLOOKUP($N885,CODE!$K:$P,CODE!$O$1,FALSE)))</f>
        <v>SMB</v>
      </c>
      <c r="P885" s="29" t="str">
        <f t="shared" si="190"/>
        <v>SMBFLE3320</v>
      </c>
      <c r="Q885" s="1" t="s">
        <v>1624</v>
      </c>
      <c r="R885" s="1" t="s">
        <v>14</v>
      </c>
      <c r="S885" s="26">
        <v>700</v>
      </c>
      <c r="T885" s="26">
        <v>31500000</v>
      </c>
      <c r="U885" s="26">
        <v>4851000.0000000009</v>
      </c>
      <c r="V885" s="26">
        <v>5.9031877213695374</v>
      </c>
      <c r="W885" s="26">
        <v>0</v>
      </c>
      <c r="X885" s="26">
        <v>700</v>
      </c>
    </row>
    <row r="886" spans="1:24">
      <c r="A886" s="24" t="str">
        <f t="shared" si="179"/>
        <v>신규</v>
      </c>
      <c r="B886" s="24" t="str">
        <f>IF(COUNTIF(Q$1:Q885,Q886)=0,"최초","리오더")</f>
        <v>최초</v>
      </c>
      <c r="C886" s="24" t="str">
        <f t="shared" si="180"/>
        <v>SMBFLE3321</v>
      </c>
      <c r="D886" s="24">
        <f t="shared" si="181"/>
        <v>1</v>
      </c>
      <c r="E886" s="24" t="str">
        <f t="shared" si="182"/>
        <v/>
      </c>
      <c r="F886" s="24">
        <f t="shared" si="183"/>
        <v>0</v>
      </c>
      <c r="G886" s="24" t="str">
        <f t="shared" si="184"/>
        <v>SMBFLE3321NY</v>
      </c>
      <c r="H886" s="24">
        <f t="shared" si="185"/>
        <v>1</v>
      </c>
      <c r="I886" s="24" t="str">
        <f t="shared" si="186"/>
        <v/>
      </c>
      <c r="J886" s="24">
        <f t="shared" si="187"/>
        <v>0</v>
      </c>
      <c r="K886" s="24" t="str">
        <f t="shared" si="188"/>
        <v>E3</v>
      </c>
      <c r="L886" s="24" t="str">
        <f>VLOOKUP(N886,CODE!K:P,CODE!$P$1,FALSE)</f>
        <v>모자</v>
      </c>
      <c r="M886" s="24" t="str">
        <f>VLOOKUP(MID(Q886,1,3),CODE!$B:$G,CODE!D$1,FALSE)</f>
        <v>SMB</v>
      </c>
      <c r="N886" s="24" t="str">
        <f t="shared" si="189"/>
        <v>FL</v>
      </c>
      <c r="O886" s="29" t="str">
        <f>IF(ISERROR(IF(VLOOKUP($N886,CODE!$K:$P,CODE!$O$1,FALSE)="",$M886,$M886&amp;"-"&amp;VLOOKUP($N886,CODE!$K:$P,CODE!$O$1,FALSE)))=TRUE,"",IF(VLOOKUP($N886,CODE!$K:$P,CODE!$O$1,FALSE)="",$M886,$M886&amp;"-"&amp;VLOOKUP($N886,CODE!$K:$P,CODE!$O$1,FALSE)))</f>
        <v>SMB</v>
      </c>
      <c r="P886" s="29" t="str">
        <f t="shared" si="190"/>
        <v>SMBFLE3321</v>
      </c>
      <c r="Q886" s="1" t="s">
        <v>1625</v>
      </c>
      <c r="R886" s="1" t="s">
        <v>14</v>
      </c>
      <c r="S886" s="26">
        <v>800</v>
      </c>
      <c r="T886" s="26">
        <v>36000000</v>
      </c>
      <c r="U886" s="26">
        <v>5405400</v>
      </c>
      <c r="V886" s="26">
        <v>6.0545515090969628</v>
      </c>
      <c r="W886" s="26">
        <v>0</v>
      </c>
      <c r="X886" s="26">
        <v>800</v>
      </c>
    </row>
    <row r="887" spans="1:24">
      <c r="A887" s="24" t="str">
        <f t="shared" si="179"/>
        <v>신규</v>
      </c>
      <c r="B887" s="24" t="str">
        <f>IF(COUNTIF(Q$1:Q886,Q887)=0,"최초","리오더")</f>
        <v>최초</v>
      </c>
      <c r="C887" s="24" t="str">
        <f t="shared" si="180"/>
        <v>SMBFLE3372</v>
      </c>
      <c r="D887" s="24">
        <f t="shared" si="181"/>
        <v>1</v>
      </c>
      <c r="E887" s="24" t="str">
        <f t="shared" si="182"/>
        <v/>
      </c>
      <c r="F887" s="24">
        <f t="shared" si="183"/>
        <v>0</v>
      </c>
      <c r="G887" s="24" t="str">
        <f t="shared" si="184"/>
        <v>SMBFLE3372BK</v>
      </c>
      <c r="H887" s="24">
        <f t="shared" si="185"/>
        <v>1</v>
      </c>
      <c r="I887" s="24" t="str">
        <f t="shared" si="186"/>
        <v/>
      </c>
      <c r="J887" s="24">
        <f t="shared" si="187"/>
        <v>0</v>
      </c>
      <c r="K887" s="24" t="str">
        <f t="shared" si="188"/>
        <v>E3</v>
      </c>
      <c r="L887" s="24" t="str">
        <f>VLOOKUP(N887,CODE!K:P,CODE!$P$1,FALSE)</f>
        <v>모자</v>
      </c>
      <c r="M887" s="24" t="str">
        <f>VLOOKUP(MID(Q887,1,3),CODE!$B:$G,CODE!D$1,FALSE)</f>
        <v>SMB</v>
      </c>
      <c r="N887" s="24" t="str">
        <f t="shared" si="189"/>
        <v>FL</v>
      </c>
      <c r="O887" s="29" t="str">
        <f>IF(ISERROR(IF(VLOOKUP($N887,CODE!$K:$P,CODE!$O$1,FALSE)="",$M887,$M887&amp;"-"&amp;VLOOKUP($N887,CODE!$K:$P,CODE!$O$1,FALSE)))=TRUE,"",IF(VLOOKUP($N887,CODE!$K:$P,CODE!$O$1,FALSE)="",$M887,$M887&amp;"-"&amp;VLOOKUP($N887,CODE!$K:$P,CODE!$O$1,FALSE)))</f>
        <v>SMB</v>
      </c>
      <c r="P887" s="29" t="str">
        <f t="shared" si="190"/>
        <v>SMBFLE3372</v>
      </c>
      <c r="Q887" s="1" t="s">
        <v>1626</v>
      </c>
      <c r="R887" s="1" t="s">
        <v>14</v>
      </c>
      <c r="S887" s="26">
        <v>800</v>
      </c>
      <c r="T887" s="26">
        <v>39200000</v>
      </c>
      <c r="U887" s="26">
        <v>6281800.0000000009</v>
      </c>
      <c r="V887" s="26">
        <v>5.6729541908949068</v>
      </c>
      <c r="W887" s="26">
        <v>0</v>
      </c>
      <c r="X887" s="26">
        <v>800</v>
      </c>
    </row>
    <row r="888" spans="1:24">
      <c r="A888" s="24" t="str">
        <f t="shared" si="179"/>
        <v>신규</v>
      </c>
      <c r="B888" s="24" t="str">
        <f>IF(COUNTIF(Q$1:Q887,Q888)=0,"최초","리오더")</f>
        <v>최초</v>
      </c>
      <c r="C888" s="24" t="str">
        <f t="shared" si="180"/>
        <v>SMBFLE3872</v>
      </c>
      <c r="D888" s="24">
        <f t="shared" si="181"/>
        <v>1</v>
      </c>
      <c r="E888" s="24" t="str">
        <f t="shared" si="182"/>
        <v/>
      </c>
      <c r="F888" s="24">
        <f t="shared" si="183"/>
        <v>0</v>
      </c>
      <c r="G888" s="24" t="str">
        <f t="shared" si="184"/>
        <v>SMBFLE3872BK</v>
      </c>
      <c r="H888" s="24">
        <f t="shared" si="185"/>
        <v>1</v>
      </c>
      <c r="I888" s="24" t="str">
        <f t="shared" si="186"/>
        <v/>
      </c>
      <c r="J888" s="24">
        <f t="shared" si="187"/>
        <v>0</v>
      </c>
      <c r="K888" s="24" t="str">
        <f t="shared" si="188"/>
        <v>E3</v>
      </c>
      <c r="L888" s="24" t="str">
        <f>VLOOKUP(N888,CODE!K:P,CODE!$P$1,FALSE)</f>
        <v>모자</v>
      </c>
      <c r="M888" s="24" t="str">
        <f>VLOOKUP(MID(Q888,1,3),CODE!$B:$G,CODE!D$1,FALSE)</f>
        <v>SMB</v>
      </c>
      <c r="N888" s="24" t="str">
        <f t="shared" si="189"/>
        <v>FL</v>
      </c>
      <c r="O888" s="29" t="str">
        <f>IF(ISERROR(IF(VLOOKUP($N888,CODE!$K:$P,CODE!$O$1,FALSE)="",$M888,$M888&amp;"-"&amp;VLOOKUP($N888,CODE!$K:$P,CODE!$O$1,FALSE)))=TRUE,"",IF(VLOOKUP($N888,CODE!$K:$P,CODE!$O$1,FALSE)="",$M888,$M888&amp;"-"&amp;VLOOKUP($N888,CODE!$K:$P,CODE!$O$1,FALSE)))</f>
        <v>SMB</v>
      </c>
      <c r="P888" s="29" t="str">
        <f t="shared" si="190"/>
        <v>SMBFLE3872</v>
      </c>
      <c r="Q888" s="1" t="s">
        <v>1627</v>
      </c>
      <c r="R888" s="1" t="s">
        <v>14</v>
      </c>
      <c r="S888" s="26">
        <v>500</v>
      </c>
      <c r="T888" s="26">
        <v>22500000</v>
      </c>
      <c r="U888" s="26">
        <v>3926125.0000000005</v>
      </c>
      <c r="V888" s="26">
        <v>5.2098558895973639</v>
      </c>
      <c r="W888" s="26">
        <v>0</v>
      </c>
      <c r="X888" s="26">
        <v>500</v>
      </c>
    </row>
    <row r="889" spans="1:24">
      <c r="A889" s="24" t="str">
        <f t="shared" si="179"/>
        <v>신규</v>
      </c>
      <c r="B889" s="24" t="str">
        <f>IF(COUNTIF(Q$1:Q888,Q889)=0,"최초","리오더")</f>
        <v>최초</v>
      </c>
      <c r="C889" s="24" t="str">
        <f t="shared" si="180"/>
        <v>SMBFLE3323</v>
      </c>
      <c r="D889" s="24">
        <f t="shared" si="181"/>
        <v>1</v>
      </c>
      <c r="E889" s="24" t="str">
        <f t="shared" si="182"/>
        <v/>
      </c>
      <c r="F889" s="24">
        <f t="shared" si="183"/>
        <v>0</v>
      </c>
      <c r="G889" s="24" t="str">
        <f t="shared" si="184"/>
        <v>SMBFLE3323BK</v>
      </c>
      <c r="H889" s="24">
        <f t="shared" si="185"/>
        <v>1</v>
      </c>
      <c r="I889" s="24" t="str">
        <f t="shared" si="186"/>
        <v/>
      </c>
      <c r="J889" s="24">
        <f t="shared" si="187"/>
        <v>0</v>
      </c>
      <c r="K889" s="24" t="str">
        <f t="shared" si="188"/>
        <v>E3</v>
      </c>
      <c r="L889" s="24" t="str">
        <f>VLOOKUP(N889,CODE!K:P,CODE!$P$1,FALSE)</f>
        <v>모자</v>
      </c>
      <c r="M889" s="24" t="str">
        <f>VLOOKUP(MID(Q889,1,3),CODE!$B:$G,CODE!D$1,FALSE)</f>
        <v>SMB</v>
      </c>
      <c r="N889" s="24" t="str">
        <f t="shared" si="189"/>
        <v>FL</v>
      </c>
      <c r="O889" s="29" t="str">
        <f>IF(ISERROR(IF(VLOOKUP($N889,CODE!$K:$P,CODE!$O$1,FALSE)="",$M889,$M889&amp;"-"&amp;VLOOKUP($N889,CODE!$K:$P,CODE!$O$1,FALSE)))=TRUE,"",IF(VLOOKUP($N889,CODE!$K:$P,CODE!$O$1,FALSE)="",$M889,$M889&amp;"-"&amp;VLOOKUP($N889,CODE!$K:$P,CODE!$O$1,FALSE)))</f>
        <v>SMB</v>
      </c>
      <c r="P889" s="29" t="str">
        <f t="shared" si="190"/>
        <v>SMBFLE3323</v>
      </c>
      <c r="Q889" s="1" t="s">
        <v>1628</v>
      </c>
      <c r="R889" s="1" t="s">
        <v>14</v>
      </c>
      <c r="S889" s="26">
        <v>800</v>
      </c>
      <c r="T889" s="26">
        <v>36000000</v>
      </c>
      <c r="U889" s="26">
        <v>5590200</v>
      </c>
      <c r="V889" s="26">
        <v>5.8544010459863189</v>
      </c>
      <c r="W889" s="26">
        <v>0</v>
      </c>
      <c r="X889" s="26">
        <v>800</v>
      </c>
    </row>
    <row r="890" spans="1:24">
      <c r="A890" s="24" t="str">
        <f t="shared" si="179"/>
        <v>신규</v>
      </c>
      <c r="B890" s="24" t="str">
        <f>IF(COUNTIF(Q$1:Q889,Q890)=0,"최초","리오더")</f>
        <v>최초</v>
      </c>
      <c r="C890" s="24" t="str">
        <f t="shared" si="180"/>
        <v>SMBBAE3374</v>
      </c>
      <c r="D890" s="24">
        <f t="shared" si="181"/>
        <v>1</v>
      </c>
      <c r="E890" s="24" t="str">
        <f t="shared" si="182"/>
        <v/>
      </c>
      <c r="F890" s="24">
        <f t="shared" si="183"/>
        <v>0</v>
      </c>
      <c r="G890" s="24" t="str">
        <f t="shared" si="184"/>
        <v>SMBBAE3374RE</v>
      </c>
      <c r="H890" s="24">
        <f t="shared" si="185"/>
        <v>1</v>
      </c>
      <c r="I890" s="24" t="str">
        <f t="shared" si="186"/>
        <v/>
      </c>
      <c r="J890" s="24">
        <f t="shared" si="187"/>
        <v>0</v>
      </c>
      <c r="K890" s="24" t="str">
        <f t="shared" si="188"/>
        <v>E3</v>
      </c>
      <c r="L890" s="24" t="str">
        <f>VLOOKUP(N890,CODE!K:P,CODE!$P$1,FALSE)</f>
        <v>모자</v>
      </c>
      <c r="M890" s="24" t="str">
        <f>VLOOKUP(MID(Q890,1,3),CODE!$B:$G,CODE!D$1,FALSE)</f>
        <v>SMB</v>
      </c>
      <c r="N890" s="24" t="str">
        <f t="shared" si="189"/>
        <v>BA</v>
      </c>
      <c r="O890" s="29" t="str">
        <f>IF(ISERROR(IF(VLOOKUP($N890,CODE!$K:$P,CODE!$O$1,FALSE)="",$M890,$M890&amp;"-"&amp;VLOOKUP($N890,CODE!$K:$P,CODE!$O$1,FALSE)))=TRUE,"",IF(VLOOKUP($N890,CODE!$K:$P,CODE!$O$1,FALSE)="",$M890,$M890&amp;"-"&amp;VLOOKUP($N890,CODE!$K:$P,CODE!$O$1,FALSE)))</f>
        <v>SMB</v>
      </c>
      <c r="P890" s="29" t="str">
        <f t="shared" si="190"/>
        <v>SMBBAE3374</v>
      </c>
      <c r="Q890" s="1" t="s">
        <v>1629</v>
      </c>
      <c r="R890" s="1" t="s">
        <v>14</v>
      </c>
      <c r="S890" s="26">
        <v>500</v>
      </c>
      <c r="T890" s="26">
        <v>24500000</v>
      </c>
      <c r="U890" s="26">
        <v>4099375</v>
      </c>
      <c r="V890" s="26">
        <v>5.4332007373629576</v>
      </c>
      <c r="W890" s="26">
        <v>0</v>
      </c>
      <c r="X890" s="26">
        <v>500</v>
      </c>
    </row>
    <row r="891" spans="1:24">
      <c r="A891" s="24" t="str">
        <f t="shared" si="179"/>
        <v>신규</v>
      </c>
      <c r="B891" s="24" t="str">
        <f>IF(COUNTIF(Q$1:Q890,Q891)=0,"최초","리오더")</f>
        <v>최초</v>
      </c>
      <c r="C891" s="24" t="str">
        <f t="shared" si="180"/>
        <v>SMBBAE3375</v>
      </c>
      <c r="D891" s="24">
        <f t="shared" si="181"/>
        <v>1</v>
      </c>
      <c r="E891" s="24" t="str">
        <f t="shared" si="182"/>
        <v/>
      </c>
      <c r="F891" s="24">
        <f t="shared" si="183"/>
        <v>0</v>
      </c>
      <c r="G891" s="24" t="str">
        <f t="shared" si="184"/>
        <v>SMBBAE3375GR</v>
      </c>
      <c r="H891" s="24">
        <f t="shared" si="185"/>
        <v>1</v>
      </c>
      <c r="I891" s="24" t="str">
        <f t="shared" si="186"/>
        <v/>
      </c>
      <c r="J891" s="24">
        <f t="shared" si="187"/>
        <v>0</v>
      </c>
      <c r="K891" s="24" t="str">
        <f t="shared" si="188"/>
        <v>E3</v>
      </c>
      <c r="L891" s="24" t="str">
        <f>VLOOKUP(N891,CODE!K:P,CODE!$P$1,FALSE)</f>
        <v>모자</v>
      </c>
      <c r="M891" s="24" t="str">
        <f>VLOOKUP(MID(Q891,1,3),CODE!$B:$G,CODE!D$1,FALSE)</f>
        <v>SMB</v>
      </c>
      <c r="N891" s="24" t="str">
        <f t="shared" si="189"/>
        <v>BA</v>
      </c>
      <c r="O891" s="29" t="str">
        <f>IF(ISERROR(IF(VLOOKUP($N891,CODE!$K:$P,CODE!$O$1,FALSE)="",$M891,$M891&amp;"-"&amp;VLOOKUP($N891,CODE!$K:$P,CODE!$O$1,FALSE)))=TRUE,"",IF(VLOOKUP($N891,CODE!$K:$P,CODE!$O$1,FALSE)="",$M891,$M891&amp;"-"&amp;VLOOKUP($N891,CODE!$K:$P,CODE!$O$1,FALSE)))</f>
        <v>SMB</v>
      </c>
      <c r="P891" s="29" t="str">
        <f t="shared" si="190"/>
        <v>SMBBAE3375</v>
      </c>
      <c r="Q891" s="1" t="s">
        <v>1630</v>
      </c>
      <c r="R891" s="1" t="s">
        <v>14</v>
      </c>
      <c r="S891" s="26">
        <v>500</v>
      </c>
      <c r="T891" s="26">
        <v>24500000</v>
      </c>
      <c r="U891" s="26">
        <v>4272625</v>
      </c>
      <c r="V891" s="26">
        <v>5.2128907340867201</v>
      </c>
      <c r="W891" s="26">
        <v>0</v>
      </c>
      <c r="X891" s="26">
        <v>500</v>
      </c>
    </row>
    <row r="892" spans="1:24">
      <c r="A892" s="24" t="str">
        <f t="shared" si="179"/>
        <v>신규</v>
      </c>
      <c r="B892" s="24" t="str">
        <f>IF(COUNTIF(Q$1:Q891,Q892)=0,"최초","리오더")</f>
        <v>최초</v>
      </c>
      <c r="C892" s="24" t="str">
        <f t="shared" si="180"/>
        <v>SMBBAE3376</v>
      </c>
      <c r="D892" s="24">
        <f t="shared" si="181"/>
        <v>1</v>
      </c>
      <c r="E892" s="24" t="str">
        <f t="shared" si="182"/>
        <v/>
      </c>
      <c r="F892" s="24">
        <f t="shared" si="183"/>
        <v>0</v>
      </c>
      <c r="G892" s="24" t="str">
        <f t="shared" si="184"/>
        <v>SMBBAE3376GY</v>
      </c>
      <c r="H892" s="24">
        <f t="shared" si="185"/>
        <v>1</v>
      </c>
      <c r="I892" s="24" t="str">
        <f t="shared" si="186"/>
        <v/>
      </c>
      <c r="J892" s="24">
        <f t="shared" si="187"/>
        <v>0</v>
      </c>
      <c r="K892" s="24" t="str">
        <f t="shared" si="188"/>
        <v>E3</v>
      </c>
      <c r="L892" s="24" t="str">
        <f>VLOOKUP(N892,CODE!K:P,CODE!$P$1,FALSE)</f>
        <v>모자</v>
      </c>
      <c r="M892" s="24" t="str">
        <f>VLOOKUP(MID(Q892,1,3),CODE!$B:$G,CODE!D$1,FALSE)</f>
        <v>SMB</v>
      </c>
      <c r="N892" s="24" t="str">
        <f t="shared" si="189"/>
        <v>BA</v>
      </c>
      <c r="O892" s="29" t="str">
        <f>IF(ISERROR(IF(VLOOKUP($N892,CODE!$K:$P,CODE!$O$1,FALSE)="",$M892,$M892&amp;"-"&amp;VLOOKUP($N892,CODE!$K:$P,CODE!$O$1,FALSE)))=TRUE,"",IF(VLOOKUP($N892,CODE!$K:$P,CODE!$O$1,FALSE)="",$M892,$M892&amp;"-"&amp;VLOOKUP($N892,CODE!$K:$P,CODE!$O$1,FALSE)))</f>
        <v>SMB</v>
      </c>
      <c r="P892" s="29" t="str">
        <f t="shared" si="190"/>
        <v>SMBBAE3376</v>
      </c>
      <c r="Q892" s="1" t="s">
        <v>1631</v>
      </c>
      <c r="R892" s="1" t="s">
        <v>14</v>
      </c>
      <c r="S892" s="26">
        <v>700</v>
      </c>
      <c r="T892" s="26">
        <v>34300000</v>
      </c>
      <c r="U892" s="26">
        <v>6062525</v>
      </c>
      <c r="V892" s="26">
        <v>5.1433714800051424</v>
      </c>
      <c r="W892" s="26">
        <v>0</v>
      </c>
      <c r="X892" s="26">
        <v>700</v>
      </c>
    </row>
    <row r="893" spans="1:24">
      <c r="A893" s="24" t="str">
        <f t="shared" si="179"/>
        <v>신규</v>
      </c>
      <c r="B893" s="24" t="str">
        <f>IF(COUNTIF(Q$1:Q892,Q893)=0,"최초","리오더")</f>
        <v>최초</v>
      </c>
      <c r="C893" s="24" t="str">
        <f t="shared" si="180"/>
        <v>SMBBAE3377</v>
      </c>
      <c r="D893" s="24">
        <f t="shared" si="181"/>
        <v>1</v>
      </c>
      <c r="E893" s="24" t="str">
        <f t="shared" si="182"/>
        <v/>
      </c>
      <c r="F893" s="24">
        <f t="shared" si="183"/>
        <v>0</v>
      </c>
      <c r="G893" s="24" t="str">
        <f t="shared" si="184"/>
        <v>SMBBAE3377GY</v>
      </c>
      <c r="H893" s="24">
        <f t="shared" si="185"/>
        <v>1</v>
      </c>
      <c r="I893" s="24" t="str">
        <f t="shared" si="186"/>
        <v/>
      </c>
      <c r="J893" s="24">
        <f t="shared" si="187"/>
        <v>0</v>
      </c>
      <c r="K893" s="24" t="str">
        <f t="shared" si="188"/>
        <v>E3</v>
      </c>
      <c r="L893" s="24" t="str">
        <f>VLOOKUP(N893,CODE!K:P,CODE!$P$1,FALSE)</f>
        <v>모자</v>
      </c>
      <c r="M893" s="24" t="str">
        <f>VLOOKUP(MID(Q893,1,3),CODE!$B:$G,CODE!D$1,FALSE)</f>
        <v>SMB</v>
      </c>
      <c r="N893" s="24" t="str">
        <f t="shared" si="189"/>
        <v>BA</v>
      </c>
      <c r="O893" s="29" t="str">
        <f>IF(ISERROR(IF(VLOOKUP($N893,CODE!$K:$P,CODE!$O$1,FALSE)="",$M893,$M893&amp;"-"&amp;VLOOKUP($N893,CODE!$K:$P,CODE!$O$1,FALSE)))=TRUE,"",IF(VLOOKUP($N893,CODE!$K:$P,CODE!$O$1,FALSE)="",$M893,$M893&amp;"-"&amp;VLOOKUP($N893,CODE!$K:$P,CODE!$O$1,FALSE)))</f>
        <v>SMB</v>
      </c>
      <c r="P893" s="29" t="str">
        <f t="shared" si="190"/>
        <v>SMBBAE3377</v>
      </c>
      <c r="Q893" s="1" t="s">
        <v>1632</v>
      </c>
      <c r="R893" s="1" t="s">
        <v>14</v>
      </c>
      <c r="S893" s="26">
        <v>700</v>
      </c>
      <c r="T893" s="26">
        <v>34300000</v>
      </c>
      <c r="U893" s="26">
        <v>5981675</v>
      </c>
      <c r="V893" s="26">
        <v>5.2128907340867192</v>
      </c>
      <c r="W893" s="26">
        <v>0</v>
      </c>
      <c r="X893" s="26">
        <v>700</v>
      </c>
    </row>
    <row r="894" spans="1:24">
      <c r="A894" s="24" t="str">
        <f t="shared" si="179"/>
        <v>신규</v>
      </c>
      <c r="B894" s="24" t="str">
        <f>IF(COUNTIF(Q$1:Q893,Q894)=0,"최초","리오더")</f>
        <v>최초</v>
      </c>
      <c r="C894" s="24" t="str">
        <f t="shared" si="180"/>
        <v>SMBFLE3378</v>
      </c>
      <c r="D894" s="24">
        <f t="shared" si="181"/>
        <v>1</v>
      </c>
      <c r="E894" s="24" t="str">
        <f t="shared" si="182"/>
        <v/>
      </c>
      <c r="F894" s="24">
        <f t="shared" si="183"/>
        <v>0</v>
      </c>
      <c r="G894" s="24" t="str">
        <f t="shared" si="184"/>
        <v>SMBFLE3378BK</v>
      </c>
      <c r="H894" s="24">
        <f t="shared" si="185"/>
        <v>1</v>
      </c>
      <c r="I894" s="24" t="str">
        <f t="shared" si="186"/>
        <v/>
      </c>
      <c r="J894" s="24">
        <f t="shared" si="187"/>
        <v>0</v>
      </c>
      <c r="K894" s="24" t="str">
        <f t="shared" si="188"/>
        <v>E3</v>
      </c>
      <c r="L894" s="24" t="str">
        <f>VLOOKUP(N894,CODE!K:P,CODE!$P$1,FALSE)</f>
        <v>모자</v>
      </c>
      <c r="M894" s="24" t="str">
        <f>VLOOKUP(MID(Q894,1,3),CODE!$B:$G,CODE!D$1,FALSE)</f>
        <v>SMB</v>
      </c>
      <c r="N894" s="24" t="str">
        <f t="shared" si="189"/>
        <v>FL</v>
      </c>
      <c r="O894" s="29" t="str">
        <f>IF(ISERROR(IF(VLOOKUP($N894,CODE!$K:$P,CODE!$O$1,FALSE)="",$M894,$M894&amp;"-"&amp;VLOOKUP($N894,CODE!$K:$P,CODE!$O$1,FALSE)))=TRUE,"",IF(VLOOKUP($N894,CODE!$K:$P,CODE!$O$1,FALSE)="",$M894,$M894&amp;"-"&amp;VLOOKUP($N894,CODE!$K:$P,CODE!$O$1,FALSE)))</f>
        <v>SMB</v>
      </c>
      <c r="P894" s="29" t="str">
        <f t="shared" si="190"/>
        <v>SMBFLE3378</v>
      </c>
      <c r="Q894" s="1" t="s">
        <v>1633</v>
      </c>
      <c r="R894" s="1" t="s">
        <v>14</v>
      </c>
      <c r="S894" s="26">
        <v>800</v>
      </c>
      <c r="T894" s="26">
        <v>39200000</v>
      </c>
      <c r="U894" s="26">
        <v>6836200</v>
      </c>
      <c r="V894" s="26">
        <v>5.2128907340867192</v>
      </c>
      <c r="W894" s="26">
        <v>0</v>
      </c>
      <c r="X894" s="26">
        <v>800</v>
      </c>
    </row>
    <row r="895" spans="1:24">
      <c r="A895" s="24" t="str">
        <f t="shared" si="179"/>
        <v>신규</v>
      </c>
      <c r="B895" s="24" t="str">
        <f>IF(COUNTIF(Q$1:Q894,Q895)=0,"최초","리오더")</f>
        <v>최초</v>
      </c>
      <c r="C895" s="24" t="str">
        <f t="shared" si="180"/>
        <v>SMBFLE3878</v>
      </c>
      <c r="D895" s="24">
        <f t="shared" si="181"/>
        <v>1</v>
      </c>
      <c r="E895" s="24" t="str">
        <f t="shared" si="182"/>
        <v/>
      </c>
      <c r="F895" s="24">
        <f t="shared" si="183"/>
        <v>0</v>
      </c>
      <c r="G895" s="24" t="str">
        <f t="shared" si="184"/>
        <v>SMBFLE3878BK</v>
      </c>
      <c r="H895" s="24">
        <f t="shared" si="185"/>
        <v>1</v>
      </c>
      <c r="I895" s="24" t="str">
        <f t="shared" si="186"/>
        <v/>
      </c>
      <c r="J895" s="24">
        <f t="shared" si="187"/>
        <v>0</v>
      </c>
      <c r="K895" s="24" t="str">
        <f t="shared" si="188"/>
        <v>E3</v>
      </c>
      <c r="L895" s="24" t="str">
        <f>VLOOKUP(N895,CODE!K:P,CODE!$P$1,FALSE)</f>
        <v>모자</v>
      </c>
      <c r="M895" s="24" t="str">
        <f>VLOOKUP(MID(Q895,1,3),CODE!$B:$G,CODE!D$1,FALSE)</f>
        <v>SMB</v>
      </c>
      <c r="N895" s="24" t="str">
        <f t="shared" si="189"/>
        <v>FL</v>
      </c>
      <c r="O895" s="29" t="str">
        <f>IF(ISERROR(IF(VLOOKUP($N895,CODE!$K:$P,CODE!$O$1,FALSE)="",$M895,$M895&amp;"-"&amp;VLOOKUP($N895,CODE!$K:$P,CODE!$O$1,FALSE)))=TRUE,"",IF(VLOOKUP($N895,CODE!$K:$P,CODE!$O$1,FALSE)="",$M895,$M895&amp;"-"&amp;VLOOKUP($N895,CODE!$K:$P,CODE!$O$1,FALSE)))</f>
        <v>SMB</v>
      </c>
      <c r="P895" s="29" t="str">
        <f t="shared" si="190"/>
        <v>SMBFLE3878</v>
      </c>
      <c r="Q895" s="1" t="s">
        <v>1634</v>
      </c>
      <c r="R895" s="1" t="s">
        <v>14</v>
      </c>
      <c r="S895" s="26">
        <v>500</v>
      </c>
      <c r="T895" s="26">
        <v>22500000</v>
      </c>
      <c r="U895" s="26">
        <v>4272625</v>
      </c>
      <c r="V895" s="26">
        <v>4.7873486333449469</v>
      </c>
      <c r="W895" s="26">
        <v>0</v>
      </c>
      <c r="X895" s="26">
        <v>500</v>
      </c>
    </row>
    <row r="896" spans="1:24">
      <c r="A896" s="24" t="str">
        <f t="shared" si="179"/>
        <v>신규</v>
      </c>
      <c r="B896" s="24" t="str">
        <f>IF(COUNTIF(Q$1:Q895,Q896)=0,"최초","리오더")</f>
        <v>최초</v>
      </c>
      <c r="C896" s="24" t="str">
        <f t="shared" si="180"/>
        <v>SMBFLE3329</v>
      </c>
      <c r="D896" s="24">
        <f t="shared" si="181"/>
        <v>1</v>
      </c>
      <c r="E896" s="24" t="str">
        <f t="shared" si="182"/>
        <v/>
      </c>
      <c r="F896" s="24">
        <f t="shared" si="183"/>
        <v>0</v>
      </c>
      <c r="G896" s="24" t="str">
        <f t="shared" si="184"/>
        <v>SMBFLE3329NY</v>
      </c>
      <c r="H896" s="24">
        <f t="shared" si="185"/>
        <v>1</v>
      </c>
      <c r="I896" s="24" t="str">
        <f t="shared" si="186"/>
        <v/>
      </c>
      <c r="J896" s="24">
        <f t="shared" si="187"/>
        <v>0</v>
      </c>
      <c r="K896" s="24" t="str">
        <f t="shared" si="188"/>
        <v>E3</v>
      </c>
      <c r="L896" s="24" t="str">
        <f>VLOOKUP(N896,CODE!K:P,CODE!$P$1,FALSE)</f>
        <v>모자</v>
      </c>
      <c r="M896" s="24" t="str">
        <f>VLOOKUP(MID(Q896,1,3),CODE!$B:$G,CODE!D$1,FALSE)</f>
        <v>SMB</v>
      </c>
      <c r="N896" s="24" t="str">
        <f t="shared" si="189"/>
        <v>FL</v>
      </c>
      <c r="O896" s="29" t="str">
        <f>IF(ISERROR(IF(VLOOKUP($N896,CODE!$K:$P,CODE!$O$1,FALSE)="",$M896,$M896&amp;"-"&amp;VLOOKUP($N896,CODE!$K:$P,CODE!$O$1,FALSE)))=TRUE,"",IF(VLOOKUP($N896,CODE!$K:$P,CODE!$O$1,FALSE)="",$M896,$M896&amp;"-"&amp;VLOOKUP($N896,CODE!$K:$P,CODE!$O$1,FALSE)))</f>
        <v>SMB</v>
      </c>
      <c r="P896" s="29" t="str">
        <f t="shared" si="190"/>
        <v>SMBFLE3329</v>
      </c>
      <c r="Q896" s="1" t="s">
        <v>1635</v>
      </c>
      <c r="R896" s="1" t="s">
        <v>14</v>
      </c>
      <c r="S896" s="26">
        <v>600</v>
      </c>
      <c r="T896" s="26">
        <v>27000000</v>
      </c>
      <c r="U896" s="26">
        <v>3915450.0000000009</v>
      </c>
      <c r="V896" s="26">
        <v>6.2688719164986244</v>
      </c>
      <c r="W896" s="26">
        <v>0</v>
      </c>
      <c r="X896" s="26">
        <v>600</v>
      </c>
    </row>
    <row r="897" spans="1:24">
      <c r="A897" s="24" t="str">
        <f t="shared" si="179"/>
        <v>신규</v>
      </c>
      <c r="B897" s="24" t="str">
        <f>IF(COUNTIF(Q$1:Q896,Q897)=0,"최초","리오더")</f>
        <v>최초</v>
      </c>
      <c r="C897" s="24" t="str">
        <f t="shared" si="180"/>
        <v>SMBFLE3330</v>
      </c>
      <c r="D897" s="24">
        <f t="shared" si="181"/>
        <v>1</v>
      </c>
      <c r="E897" s="24" t="str">
        <f t="shared" si="182"/>
        <v/>
      </c>
      <c r="F897" s="24">
        <f t="shared" si="183"/>
        <v>0</v>
      </c>
      <c r="G897" s="24" t="str">
        <f t="shared" si="184"/>
        <v>SMBFLE3330GY</v>
      </c>
      <c r="H897" s="24">
        <f t="shared" si="185"/>
        <v>1</v>
      </c>
      <c r="I897" s="24" t="str">
        <f t="shared" si="186"/>
        <v/>
      </c>
      <c r="J897" s="24">
        <f t="shared" si="187"/>
        <v>0</v>
      </c>
      <c r="K897" s="24" t="str">
        <f t="shared" si="188"/>
        <v>E3</v>
      </c>
      <c r="L897" s="24" t="str">
        <f>VLOOKUP(N897,CODE!K:P,CODE!$P$1,FALSE)</f>
        <v>모자</v>
      </c>
      <c r="M897" s="24" t="str">
        <f>VLOOKUP(MID(Q897,1,3),CODE!$B:$G,CODE!D$1,FALSE)</f>
        <v>SMB</v>
      </c>
      <c r="N897" s="24" t="str">
        <f t="shared" si="189"/>
        <v>FL</v>
      </c>
      <c r="O897" s="29" t="str">
        <f>IF(ISERROR(IF(VLOOKUP($N897,CODE!$K:$P,CODE!$O$1,FALSE)="",$M897,$M897&amp;"-"&amp;VLOOKUP($N897,CODE!$K:$P,CODE!$O$1,FALSE)))=TRUE,"",IF(VLOOKUP($N897,CODE!$K:$P,CODE!$O$1,FALSE)="",$M897,$M897&amp;"-"&amp;VLOOKUP($N897,CODE!$K:$P,CODE!$O$1,FALSE)))</f>
        <v>SMB</v>
      </c>
      <c r="P897" s="29" t="str">
        <f t="shared" si="190"/>
        <v>SMBFLE3330</v>
      </c>
      <c r="Q897" s="1" t="s">
        <v>1636</v>
      </c>
      <c r="R897" s="1" t="s">
        <v>14</v>
      </c>
      <c r="S897" s="26">
        <v>600</v>
      </c>
      <c r="T897" s="26">
        <v>27000000</v>
      </c>
      <c r="U897" s="26">
        <v>4469850.0000000009</v>
      </c>
      <c r="V897" s="26">
        <v>5.491337415227477</v>
      </c>
      <c r="W897" s="26">
        <v>0</v>
      </c>
      <c r="X897" s="26">
        <v>600</v>
      </c>
    </row>
    <row r="898" spans="1:24">
      <c r="A898" s="24" t="str">
        <f t="shared" si="179"/>
        <v>신규</v>
      </c>
      <c r="B898" s="24" t="str">
        <f>IF(COUNTIF(Q$1:Q897,Q898)=0,"최초","리오더")</f>
        <v>최초</v>
      </c>
      <c r="C898" s="24" t="str">
        <f t="shared" si="180"/>
        <v>SMBFLE3331</v>
      </c>
      <c r="D898" s="24">
        <f t="shared" si="181"/>
        <v>1</v>
      </c>
      <c r="E898" s="24" t="str">
        <f t="shared" si="182"/>
        <v/>
      </c>
      <c r="F898" s="24">
        <f t="shared" si="183"/>
        <v>0</v>
      </c>
      <c r="G898" s="24" t="str">
        <f t="shared" si="184"/>
        <v>SMBFLE3331GY</v>
      </c>
      <c r="H898" s="24">
        <f t="shared" si="185"/>
        <v>1</v>
      </c>
      <c r="I898" s="24" t="str">
        <f t="shared" si="186"/>
        <v/>
      </c>
      <c r="J898" s="24">
        <f t="shared" si="187"/>
        <v>0</v>
      </c>
      <c r="K898" s="24" t="str">
        <f t="shared" si="188"/>
        <v>E3</v>
      </c>
      <c r="L898" s="24" t="str">
        <f>VLOOKUP(N898,CODE!K:P,CODE!$P$1,FALSE)</f>
        <v>모자</v>
      </c>
      <c r="M898" s="24" t="str">
        <f>VLOOKUP(MID(Q898,1,3),CODE!$B:$G,CODE!D$1,FALSE)</f>
        <v>SMB</v>
      </c>
      <c r="N898" s="24" t="str">
        <f t="shared" si="189"/>
        <v>FL</v>
      </c>
      <c r="O898" s="29" t="str">
        <f>IF(ISERROR(IF(VLOOKUP($N898,CODE!$K:$P,CODE!$O$1,FALSE)="",$M898,$M898&amp;"-"&amp;VLOOKUP($N898,CODE!$K:$P,CODE!$O$1,FALSE)))=TRUE,"",IF(VLOOKUP($N898,CODE!$K:$P,CODE!$O$1,FALSE)="",$M898,$M898&amp;"-"&amp;VLOOKUP($N898,CODE!$K:$P,CODE!$O$1,FALSE)))</f>
        <v>SMB</v>
      </c>
      <c r="P898" s="29" t="str">
        <f t="shared" si="190"/>
        <v>SMBFLE3331</v>
      </c>
      <c r="Q898" s="1" t="s">
        <v>1637</v>
      </c>
      <c r="R898" s="1" t="s">
        <v>14</v>
      </c>
      <c r="S898" s="26">
        <v>600</v>
      </c>
      <c r="T898" s="26">
        <v>27000000</v>
      </c>
      <c r="U898" s="26">
        <v>4296600.0000000009</v>
      </c>
      <c r="V898" s="26">
        <v>5.7127623110027779</v>
      </c>
      <c r="W898" s="26">
        <v>0</v>
      </c>
      <c r="X898" s="26">
        <v>600</v>
      </c>
    </row>
    <row r="899" spans="1:24">
      <c r="A899" s="24" t="str">
        <f t="shared" si="179"/>
        <v>신규</v>
      </c>
      <c r="B899" s="24" t="str">
        <f>IF(COUNTIF(Q$1:Q898,Q899)=0,"최초","리오더")</f>
        <v>최초</v>
      </c>
      <c r="C899" s="24" t="str">
        <f t="shared" si="180"/>
        <v>ELSBAE3341</v>
      </c>
      <c r="D899" s="24">
        <f t="shared" si="181"/>
        <v>0.5</v>
      </c>
      <c r="E899" s="24" t="str">
        <f t="shared" si="182"/>
        <v/>
      </c>
      <c r="F899" s="24">
        <f t="shared" si="183"/>
        <v>0</v>
      </c>
      <c r="G899" s="24" t="str">
        <f t="shared" si="184"/>
        <v>ELSBAE3341BK</v>
      </c>
      <c r="H899" s="24">
        <f t="shared" si="185"/>
        <v>1</v>
      </c>
      <c r="I899" s="24" t="str">
        <f t="shared" si="186"/>
        <v/>
      </c>
      <c r="J899" s="24">
        <f t="shared" si="187"/>
        <v>0</v>
      </c>
      <c r="K899" s="24" t="str">
        <f t="shared" si="188"/>
        <v>E3</v>
      </c>
      <c r="L899" s="24" t="str">
        <f>VLOOKUP(N899,CODE!K:P,CODE!$P$1,FALSE)</f>
        <v>모자</v>
      </c>
      <c r="M899" s="24" t="str">
        <f>VLOOKUP(MID(Q899,1,3),CODE!$B:$G,CODE!D$1,FALSE)</f>
        <v>ELS</v>
      </c>
      <c r="N899" s="24" t="str">
        <f t="shared" si="189"/>
        <v>BA</v>
      </c>
      <c r="O899" s="29" t="str">
        <f>IF(ISERROR(IF(VLOOKUP($N899,CODE!$K:$P,CODE!$O$1,FALSE)="",$M899,$M899&amp;"-"&amp;VLOOKUP($N899,CODE!$K:$P,CODE!$O$1,FALSE)))=TRUE,"",IF(VLOOKUP($N899,CODE!$K:$P,CODE!$O$1,FALSE)="",$M899,$M899&amp;"-"&amp;VLOOKUP($N899,CODE!$K:$P,CODE!$O$1,FALSE)))</f>
        <v>ELS</v>
      </c>
      <c r="P899" s="29" t="str">
        <f t="shared" si="190"/>
        <v>ELSBAE3341</v>
      </c>
      <c r="Q899" s="1" t="s">
        <v>1638</v>
      </c>
      <c r="R899" s="1" t="s">
        <v>14</v>
      </c>
      <c r="S899" s="26">
        <v>1000</v>
      </c>
      <c r="T899" s="26">
        <v>55000000</v>
      </c>
      <c r="U899" s="26">
        <v>12499999.999999998</v>
      </c>
      <c r="V899" s="26">
        <v>4.0000000000000009</v>
      </c>
      <c r="W899" s="26">
        <v>0</v>
      </c>
      <c r="X899" s="26">
        <v>1000</v>
      </c>
    </row>
    <row r="900" spans="1:24">
      <c r="A900" s="24" t="str">
        <f t="shared" si="179"/>
        <v>신규</v>
      </c>
      <c r="B900" s="24" t="str">
        <f>IF(COUNTIF(Q$1:Q899,Q900)=0,"최초","리오더")</f>
        <v>최초</v>
      </c>
      <c r="C900" s="24" t="str">
        <f t="shared" si="180"/>
        <v>ELSBAE3841</v>
      </c>
      <c r="D900" s="24">
        <f t="shared" si="181"/>
        <v>0.5</v>
      </c>
      <c r="E900" s="24" t="str">
        <f t="shared" si="182"/>
        <v/>
      </c>
      <c r="F900" s="24">
        <f t="shared" si="183"/>
        <v>0</v>
      </c>
      <c r="G900" s="24" t="str">
        <f t="shared" si="184"/>
        <v>ELSBAE3841BK</v>
      </c>
      <c r="H900" s="24">
        <f t="shared" si="185"/>
        <v>1</v>
      </c>
      <c r="I900" s="24" t="str">
        <f t="shared" si="186"/>
        <v/>
      </c>
      <c r="J900" s="24">
        <f t="shared" si="187"/>
        <v>0</v>
      </c>
      <c r="K900" s="24" t="str">
        <f t="shared" si="188"/>
        <v>E3</v>
      </c>
      <c r="L900" s="24" t="str">
        <f>VLOOKUP(N900,CODE!K:P,CODE!$P$1,FALSE)</f>
        <v>모자</v>
      </c>
      <c r="M900" s="24" t="str">
        <f>VLOOKUP(MID(Q900,1,3),CODE!$B:$G,CODE!D$1,FALSE)</f>
        <v>ELS</v>
      </c>
      <c r="N900" s="24" t="str">
        <f t="shared" si="189"/>
        <v>BA</v>
      </c>
      <c r="O900" s="29" t="str">
        <f>IF(ISERROR(IF(VLOOKUP($N900,CODE!$K:$P,CODE!$O$1,FALSE)="",$M900,$M900&amp;"-"&amp;VLOOKUP($N900,CODE!$K:$P,CODE!$O$1,FALSE)))=TRUE,"",IF(VLOOKUP($N900,CODE!$K:$P,CODE!$O$1,FALSE)="",$M900,$M900&amp;"-"&amp;VLOOKUP($N900,CODE!$K:$P,CODE!$O$1,FALSE)))</f>
        <v>ELS</v>
      </c>
      <c r="P900" s="29" t="str">
        <f t="shared" si="190"/>
        <v>ELSBAE3841</v>
      </c>
      <c r="Q900" s="1" t="s">
        <v>1639</v>
      </c>
      <c r="R900" s="1" t="s">
        <v>14</v>
      </c>
      <c r="S900" s="26">
        <v>1000</v>
      </c>
      <c r="T900" s="26">
        <v>53000000</v>
      </c>
      <c r="U900" s="26">
        <v>12045454.545454545</v>
      </c>
      <c r="V900" s="26">
        <v>4</v>
      </c>
      <c r="W900" s="26">
        <v>0</v>
      </c>
      <c r="X900" s="26">
        <v>1000</v>
      </c>
    </row>
    <row r="901" spans="1:24">
      <c r="A901" s="24" t="str">
        <f t="shared" si="179"/>
        <v>신규</v>
      </c>
      <c r="B901" s="24" t="str">
        <f>IF(COUNTIF(Q$1:Q900,Q901)=0,"최초","리오더")</f>
        <v>최초</v>
      </c>
      <c r="C901" s="24" t="str">
        <f t="shared" si="180"/>
        <v>ELSBAE3341</v>
      </c>
      <c r="D901" s="24">
        <f t="shared" si="181"/>
        <v>0.5</v>
      </c>
      <c r="E901" s="24" t="str">
        <f t="shared" si="182"/>
        <v/>
      </c>
      <c r="F901" s="24">
        <f t="shared" si="183"/>
        <v>0</v>
      </c>
      <c r="G901" s="24" t="str">
        <f t="shared" si="184"/>
        <v>ELSBAE3341RE</v>
      </c>
      <c r="H901" s="24">
        <f t="shared" si="185"/>
        <v>1</v>
      </c>
      <c r="I901" s="24" t="str">
        <f t="shared" si="186"/>
        <v/>
      </c>
      <c r="J901" s="24">
        <f t="shared" si="187"/>
        <v>0</v>
      </c>
      <c r="K901" s="24" t="str">
        <f t="shared" si="188"/>
        <v>E3</v>
      </c>
      <c r="L901" s="24" t="str">
        <f>VLOOKUP(N901,CODE!K:P,CODE!$P$1,FALSE)</f>
        <v>모자</v>
      </c>
      <c r="M901" s="24" t="str">
        <f>VLOOKUP(MID(Q901,1,3),CODE!$B:$G,CODE!D$1,FALSE)</f>
        <v>ELS</v>
      </c>
      <c r="N901" s="24" t="str">
        <f t="shared" si="189"/>
        <v>BA</v>
      </c>
      <c r="O901" s="29" t="str">
        <f>IF(ISERROR(IF(VLOOKUP($N901,CODE!$K:$P,CODE!$O$1,FALSE)="",$M901,$M901&amp;"-"&amp;VLOOKUP($N901,CODE!$K:$P,CODE!$O$1,FALSE)))=TRUE,"",IF(VLOOKUP($N901,CODE!$K:$P,CODE!$O$1,FALSE)="",$M901,$M901&amp;"-"&amp;VLOOKUP($N901,CODE!$K:$P,CODE!$O$1,FALSE)))</f>
        <v>ELS</v>
      </c>
      <c r="P901" s="29" t="str">
        <f t="shared" si="190"/>
        <v>ELSBAE3341</v>
      </c>
      <c r="Q901" s="1" t="s">
        <v>1640</v>
      </c>
      <c r="R901" s="1" t="s">
        <v>14</v>
      </c>
      <c r="S901" s="26">
        <v>1000</v>
      </c>
      <c r="T901" s="26">
        <v>55000000</v>
      </c>
      <c r="U901" s="26">
        <v>12499999.999999998</v>
      </c>
      <c r="V901" s="26">
        <v>4.0000000000000009</v>
      </c>
      <c r="W901" s="26">
        <v>0</v>
      </c>
      <c r="X901" s="26">
        <v>1000</v>
      </c>
    </row>
    <row r="902" spans="1:24">
      <c r="A902" s="24" t="str">
        <f t="shared" si="179"/>
        <v>신규</v>
      </c>
      <c r="B902" s="24" t="str">
        <f>IF(COUNTIF(Q$1:Q901,Q902)=0,"최초","리오더")</f>
        <v>최초</v>
      </c>
      <c r="C902" s="24" t="str">
        <f t="shared" si="180"/>
        <v>ELSBAE3841</v>
      </c>
      <c r="D902" s="24">
        <f t="shared" si="181"/>
        <v>0.5</v>
      </c>
      <c r="E902" s="24" t="str">
        <f t="shared" si="182"/>
        <v/>
      </c>
      <c r="F902" s="24">
        <f t="shared" si="183"/>
        <v>0</v>
      </c>
      <c r="G902" s="24" t="str">
        <f t="shared" si="184"/>
        <v>ELSBAE3841RE</v>
      </c>
      <c r="H902" s="24">
        <f t="shared" si="185"/>
        <v>1</v>
      </c>
      <c r="I902" s="24" t="str">
        <f t="shared" si="186"/>
        <v/>
      </c>
      <c r="J902" s="24">
        <f t="shared" si="187"/>
        <v>0</v>
      </c>
      <c r="K902" s="24" t="str">
        <f t="shared" si="188"/>
        <v>E3</v>
      </c>
      <c r="L902" s="24" t="str">
        <f>VLOOKUP(N902,CODE!K:P,CODE!$P$1,FALSE)</f>
        <v>모자</v>
      </c>
      <c r="M902" s="24" t="str">
        <f>VLOOKUP(MID(Q902,1,3),CODE!$B:$G,CODE!D$1,FALSE)</f>
        <v>ELS</v>
      </c>
      <c r="N902" s="24" t="str">
        <f t="shared" si="189"/>
        <v>BA</v>
      </c>
      <c r="O902" s="29" t="str">
        <f>IF(ISERROR(IF(VLOOKUP($N902,CODE!$K:$P,CODE!$O$1,FALSE)="",$M902,$M902&amp;"-"&amp;VLOOKUP($N902,CODE!$K:$P,CODE!$O$1,FALSE)))=TRUE,"",IF(VLOOKUP($N902,CODE!$K:$P,CODE!$O$1,FALSE)="",$M902,$M902&amp;"-"&amp;VLOOKUP($N902,CODE!$K:$P,CODE!$O$1,FALSE)))</f>
        <v>ELS</v>
      </c>
      <c r="P902" s="29" t="str">
        <f t="shared" si="190"/>
        <v>ELSBAE3841</v>
      </c>
      <c r="Q902" s="1" t="s">
        <v>1641</v>
      </c>
      <c r="R902" s="1" t="s">
        <v>14</v>
      </c>
      <c r="S902" s="26">
        <v>1000</v>
      </c>
      <c r="T902" s="26">
        <v>53000000</v>
      </c>
      <c r="U902" s="26">
        <v>12045454.545454545</v>
      </c>
      <c r="V902" s="26">
        <v>4</v>
      </c>
      <c r="W902" s="26">
        <v>0</v>
      </c>
      <c r="X902" s="26">
        <v>1000</v>
      </c>
    </row>
  </sheetData>
  <autoFilter ref="A1:X902">
    <filterColumn colId="1">
      <filters>
        <filter val="최초"/>
      </filters>
    </filterColumn>
    <filterColumn colId="2"/>
    <filterColumn colId="3"/>
    <filterColumn colId="4"/>
    <filterColumn colId="5"/>
    <filterColumn colId="15"/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B1:P3698"/>
  <sheetViews>
    <sheetView showZeros="0" tabSelected="1" zoomScale="80" zoomScaleNormal="80" workbookViewId="0">
      <pane xSplit="4" ySplit="8" topLeftCell="E12" activePane="bottomRight" state="frozen"/>
      <selection pane="topRight" activeCell="D1" sqref="D1"/>
      <selection pane="bottomLeft" activeCell="A9" sqref="A9"/>
      <selection pane="bottomRight" activeCell="R34" sqref="R34"/>
    </sheetView>
  </sheetViews>
  <sheetFormatPr defaultRowHeight="16.5"/>
  <cols>
    <col min="1" max="1" width="2.25" customWidth="1"/>
    <col min="2" max="2" width="7.75" style="3" bestFit="1" customWidth="1"/>
    <col min="3" max="3" width="13" style="5" bestFit="1" customWidth="1"/>
    <col min="4" max="4" width="8.75" style="3" customWidth="1"/>
    <col min="5" max="5" width="13.625" style="3" customWidth="1"/>
    <col min="6" max="6" width="9.5" style="3" customWidth="1"/>
    <col min="7" max="7" width="13.875" style="3" customWidth="1"/>
    <col min="8" max="8" width="7.625" style="3" customWidth="1"/>
    <col min="9" max="9" width="13.875" style="3" customWidth="1"/>
    <col min="10" max="10" width="9.375" customWidth="1"/>
    <col min="11" max="11" width="5.875" style="56" customWidth="1"/>
    <col min="12" max="12" width="7.5" customWidth="1"/>
    <col min="13" max="13" width="8.75" customWidth="1"/>
    <col min="14" max="14" width="5.875" customWidth="1"/>
    <col min="15" max="15" width="9.375" customWidth="1"/>
    <col min="16" max="16" width="11.125" customWidth="1"/>
    <col min="17" max="17" width="13" bestFit="1" customWidth="1"/>
    <col min="18" max="18" width="10" bestFit="1" customWidth="1"/>
    <col min="19" max="19" width="13.75" bestFit="1" customWidth="1"/>
    <col min="20" max="20" width="15.625" bestFit="1" customWidth="1"/>
  </cols>
  <sheetData>
    <row r="1" spans="2:16" ht="20.25">
      <c r="B1" s="30" t="s">
        <v>1363</v>
      </c>
    </row>
    <row r="2" spans="2:16">
      <c r="B2"/>
      <c r="C2"/>
      <c r="H2" s="4"/>
      <c r="P2" s="41">
        <v>41470</v>
      </c>
    </row>
    <row r="3" spans="2:16" s="31" customFormat="1" ht="31.5" customHeight="1" thickBot="1">
      <c r="B3" s="44" t="s">
        <v>13</v>
      </c>
      <c r="C3" s="44" t="s">
        <v>783</v>
      </c>
      <c r="D3" s="44" t="s">
        <v>1359</v>
      </c>
      <c r="E3" s="44" t="s">
        <v>1360</v>
      </c>
      <c r="F3" s="44" t="s">
        <v>795</v>
      </c>
      <c r="G3" s="44" t="s">
        <v>792</v>
      </c>
      <c r="H3" s="44" t="s">
        <v>18</v>
      </c>
      <c r="I3" s="44" t="s">
        <v>768</v>
      </c>
      <c r="J3" s="44" t="s">
        <v>776</v>
      </c>
      <c r="K3" s="74" t="s">
        <v>1361</v>
      </c>
      <c r="L3" s="44" t="s">
        <v>778</v>
      </c>
      <c r="M3" s="44" t="s">
        <v>793</v>
      </c>
      <c r="N3" s="44" t="s">
        <v>779</v>
      </c>
      <c r="O3" s="44" t="s">
        <v>40</v>
      </c>
      <c r="P3" s="44" t="s">
        <v>41</v>
      </c>
    </row>
    <row r="4" spans="2:16" ht="17.25" hidden="1" thickTop="1">
      <c r="B4" s="33"/>
      <c r="C4" s="33"/>
      <c r="D4" s="32"/>
      <c r="E4" s="32"/>
      <c r="F4" s="32"/>
      <c r="G4" s="32"/>
      <c r="H4" s="75"/>
      <c r="I4" s="32"/>
      <c r="J4" s="33"/>
      <c r="K4" s="57"/>
      <c r="L4" s="33"/>
      <c r="M4" s="33"/>
      <c r="N4" s="33"/>
      <c r="O4" s="33"/>
      <c r="P4" s="33"/>
    </row>
    <row r="5" spans="2:16" ht="17.25" hidden="1" thickTop="1">
      <c r="B5" s="32"/>
      <c r="C5" s="76"/>
      <c r="D5" s="32"/>
      <c r="E5" s="32"/>
      <c r="F5" s="32"/>
      <c r="G5" s="32"/>
      <c r="H5" s="75"/>
      <c r="I5" s="32"/>
      <c r="J5" s="33"/>
      <c r="K5" s="57"/>
      <c r="L5" s="33"/>
      <c r="M5" s="33"/>
      <c r="N5" s="33"/>
      <c r="O5" s="33"/>
      <c r="P5" s="33"/>
    </row>
    <row r="6" spans="2:16" ht="17.25" hidden="1" thickTop="1">
      <c r="B6" s="6"/>
      <c r="C6" s="6"/>
      <c r="D6" s="6"/>
      <c r="E6" s="6"/>
      <c r="F6" s="77" t="s">
        <v>17</v>
      </c>
      <c r="G6" s="6"/>
      <c r="H6" s="78"/>
      <c r="I6" s="6"/>
      <c r="J6" s="6"/>
      <c r="K6" s="6"/>
      <c r="L6" s="6"/>
      <c r="M6" s="6"/>
      <c r="N6" s="6"/>
      <c r="O6" s="6"/>
      <c r="P6" s="6"/>
    </row>
    <row r="7" spans="2:16" ht="17.25" hidden="1" thickTop="1">
      <c r="B7" s="77" t="s">
        <v>13</v>
      </c>
      <c r="C7" s="77" t="s">
        <v>783</v>
      </c>
      <c r="D7" s="77" t="s">
        <v>1356</v>
      </c>
      <c r="E7" s="77" t="s">
        <v>762</v>
      </c>
      <c r="F7" s="6" t="s">
        <v>795</v>
      </c>
      <c r="G7" s="6" t="s">
        <v>792</v>
      </c>
      <c r="H7" s="6" t="s">
        <v>18</v>
      </c>
      <c r="I7" s="6" t="s">
        <v>768</v>
      </c>
      <c r="J7" s="6" t="s">
        <v>776</v>
      </c>
      <c r="K7" s="6" t="s">
        <v>1362</v>
      </c>
      <c r="L7" s="6" t="s">
        <v>778</v>
      </c>
      <c r="M7" s="6" t="s">
        <v>793</v>
      </c>
      <c r="N7" s="6" t="s">
        <v>779</v>
      </c>
      <c r="O7" s="6" t="s">
        <v>40</v>
      </c>
      <c r="P7" s="6" t="s">
        <v>41</v>
      </c>
    </row>
    <row r="8" spans="2:16" ht="17.25" thickTop="1">
      <c r="B8" s="6" t="s">
        <v>14</v>
      </c>
      <c r="C8" s="78" t="s">
        <v>20</v>
      </c>
      <c r="D8" s="6" t="s">
        <v>1358</v>
      </c>
      <c r="E8" s="6" t="s">
        <v>767</v>
      </c>
      <c r="F8" s="34">
        <v>63.000000000000021</v>
      </c>
      <c r="G8" s="34">
        <v>0</v>
      </c>
      <c r="H8" s="34">
        <v>84</v>
      </c>
      <c r="I8" s="34">
        <v>0</v>
      </c>
      <c r="J8" s="34">
        <v>66800</v>
      </c>
      <c r="K8" s="58">
        <v>795.23809523809518</v>
      </c>
      <c r="L8" s="35">
        <v>3149920000</v>
      </c>
      <c r="M8" s="35">
        <v>530188830.23636359</v>
      </c>
      <c r="N8" s="71">
        <v>5.4010259610468037</v>
      </c>
      <c r="O8" s="34">
        <v>0</v>
      </c>
      <c r="P8" s="34">
        <v>66800</v>
      </c>
    </row>
    <row r="9" spans="2:16">
      <c r="B9" s="79"/>
      <c r="C9" s="80"/>
      <c r="D9" s="6" t="s">
        <v>1357</v>
      </c>
      <c r="E9" s="6" t="s">
        <v>767</v>
      </c>
      <c r="F9" s="34">
        <v>37</v>
      </c>
      <c r="G9" s="34">
        <v>0</v>
      </c>
      <c r="H9" s="34">
        <v>47</v>
      </c>
      <c r="I9" s="34">
        <v>0</v>
      </c>
      <c r="J9" s="34">
        <v>80800</v>
      </c>
      <c r="K9" s="58">
        <v>1719.1489361702127</v>
      </c>
      <c r="L9" s="35">
        <v>4096800000</v>
      </c>
      <c r="M9" s="35">
        <v>542827165.50649345</v>
      </c>
      <c r="N9" s="71">
        <v>6.8610487334187846</v>
      </c>
      <c r="O9" s="34">
        <v>4000</v>
      </c>
      <c r="P9" s="34">
        <v>76500</v>
      </c>
    </row>
    <row r="10" spans="2:16">
      <c r="B10" s="79"/>
      <c r="C10" s="80"/>
      <c r="D10" s="79"/>
      <c r="E10" s="81" t="s">
        <v>12</v>
      </c>
      <c r="F10" s="42">
        <v>0</v>
      </c>
      <c r="G10" s="42">
        <v>2</v>
      </c>
      <c r="H10" s="42">
        <v>0</v>
      </c>
      <c r="I10" s="42">
        <v>2</v>
      </c>
      <c r="J10" s="42">
        <v>3200</v>
      </c>
      <c r="K10" s="59">
        <v>1600</v>
      </c>
      <c r="L10" s="43">
        <v>164000000</v>
      </c>
      <c r="M10" s="43">
        <v>20373280.000000004</v>
      </c>
      <c r="N10" s="82">
        <v>7.317962993239628</v>
      </c>
      <c r="O10" s="42">
        <v>0</v>
      </c>
      <c r="P10" s="42">
        <v>3200</v>
      </c>
    </row>
    <row r="11" spans="2:16">
      <c r="B11" s="79"/>
      <c r="C11" s="78" t="s">
        <v>789</v>
      </c>
      <c r="D11" s="6" t="s">
        <v>1358</v>
      </c>
      <c r="E11" s="6" t="s">
        <v>767</v>
      </c>
      <c r="F11" s="34">
        <v>6</v>
      </c>
      <c r="G11" s="34">
        <v>0</v>
      </c>
      <c r="H11" s="34">
        <v>7</v>
      </c>
      <c r="I11" s="34">
        <v>0</v>
      </c>
      <c r="J11" s="34">
        <v>4000</v>
      </c>
      <c r="K11" s="58">
        <v>571.42857142857144</v>
      </c>
      <c r="L11" s="35">
        <v>271000000</v>
      </c>
      <c r="M11" s="35">
        <v>58830000</v>
      </c>
      <c r="N11" s="71">
        <v>4.1877211688532441</v>
      </c>
      <c r="O11" s="34">
        <v>2500</v>
      </c>
      <c r="P11" s="34">
        <v>1500</v>
      </c>
    </row>
    <row r="12" spans="2:16">
      <c r="B12" s="79"/>
      <c r="C12" s="80"/>
      <c r="D12" s="79"/>
      <c r="E12" s="81" t="s">
        <v>12</v>
      </c>
      <c r="F12" s="42">
        <v>0</v>
      </c>
      <c r="G12" s="42">
        <v>2</v>
      </c>
      <c r="H12" s="42">
        <v>0</v>
      </c>
      <c r="I12" s="42">
        <v>2</v>
      </c>
      <c r="J12" s="42">
        <v>1000</v>
      </c>
      <c r="K12" s="59">
        <v>500</v>
      </c>
      <c r="L12" s="43">
        <v>45000000</v>
      </c>
      <c r="M12" s="43">
        <v>10020000</v>
      </c>
      <c r="N12" s="82">
        <v>4.0827436037016875</v>
      </c>
      <c r="O12" s="42">
        <v>0</v>
      </c>
      <c r="P12" s="42">
        <v>1000</v>
      </c>
    </row>
    <row r="13" spans="2:16">
      <c r="B13" s="79"/>
      <c r="C13" s="80"/>
      <c r="D13" s="6" t="s">
        <v>1357</v>
      </c>
      <c r="E13" s="6" t="s">
        <v>767</v>
      </c>
      <c r="F13" s="34">
        <v>10</v>
      </c>
      <c r="G13" s="34">
        <v>0</v>
      </c>
      <c r="H13" s="34">
        <v>14</v>
      </c>
      <c r="I13" s="34">
        <v>0</v>
      </c>
      <c r="J13" s="34">
        <v>8000</v>
      </c>
      <c r="K13" s="58">
        <v>571.42857142857144</v>
      </c>
      <c r="L13" s="35">
        <v>877000000</v>
      </c>
      <c r="M13" s="35">
        <v>181110000</v>
      </c>
      <c r="N13" s="71">
        <v>4.4021463600724813</v>
      </c>
      <c r="O13" s="34">
        <v>3500</v>
      </c>
      <c r="P13" s="34">
        <v>4500</v>
      </c>
    </row>
    <row r="14" spans="2:16">
      <c r="B14" s="79"/>
      <c r="C14" s="80"/>
      <c r="D14" s="79"/>
      <c r="E14" s="81" t="s">
        <v>12</v>
      </c>
      <c r="F14" s="42">
        <v>0</v>
      </c>
      <c r="G14" s="42">
        <v>2</v>
      </c>
      <c r="H14" s="42">
        <v>0</v>
      </c>
      <c r="I14" s="42">
        <v>2</v>
      </c>
      <c r="J14" s="42">
        <v>1700</v>
      </c>
      <c r="K14" s="59">
        <v>850</v>
      </c>
      <c r="L14" s="43">
        <v>185300000</v>
      </c>
      <c r="M14" s="43">
        <v>38964000</v>
      </c>
      <c r="N14" s="82">
        <v>4.3233380929716008</v>
      </c>
      <c r="O14" s="42">
        <v>0</v>
      </c>
      <c r="P14" s="42">
        <v>1700</v>
      </c>
    </row>
    <row r="15" spans="2:16">
      <c r="B15" s="79"/>
      <c r="C15" s="78" t="s">
        <v>790</v>
      </c>
      <c r="D15" s="6" t="s">
        <v>1358</v>
      </c>
      <c r="E15" s="6" t="s">
        <v>767</v>
      </c>
      <c r="F15" s="34">
        <v>51.000000000000014</v>
      </c>
      <c r="G15" s="34">
        <v>0</v>
      </c>
      <c r="H15" s="34">
        <v>65</v>
      </c>
      <c r="I15" s="34">
        <v>0</v>
      </c>
      <c r="J15" s="34">
        <v>77100</v>
      </c>
      <c r="K15" s="58">
        <v>1186.1538461538462</v>
      </c>
      <c r="L15" s="35">
        <v>7748900000</v>
      </c>
      <c r="M15" s="35">
        <v>1677302977.5</v>
      </c>
      <c r="N15" s="71">
        <v>4.1998700532650455</v>
      </c>
      <c r="O15" s="34">
        <v>0</v>
      </c>
      <c r="P15" s="34">
        <v>77100</v>
      </c>
    </row>
    <row r="16" spans="2:16">
      <c r="B16" s="79"/>
      <c r="C16" s="78" t="s">
        <v>24</v>
      </c>
      <c r="D16" s="6" t="s">
        <v>1358</v>
      </c>
      <c r="E16" s="6" t="s">
        <v>767</v>
      </c>
      <c r="F16" s="34">
        <v>42</v>
      </c>
      <c r="G16" s="34">
        <v>0</v>
      </c>
      <c r="H16" s="34">
        <v>43</v>
      </c>
      <c r="I16" s="34">
        <v>0</v>
      </c>
      <c r="J16" s="34">
        <v>30600</v>
      </c>
      <c r="K16" s="58">
        <v>711.62790697674416</v>
      </c>
      <c r="L16" s="35">
        <v>1464400000</v>
      </c>
      <c r="M16" s="35">
        <v>211532602.23232323</v>
      </c>
      <c r="N16" s="71">
        <v>6.2934635759390387</v>
      </c>
      <c r="O16" s="34">
        <v>0</v>
      </c>
      <c r="P16" s="34">
        <v>30600</v>
      </c>
    </row>
    <row r="17" spans="2:16">
      <c r="B17" s="79"/>
      <c r="C17" s="80"/>
      <c r="D17" s="6" t="s">
        <v>1357</v>
      </c>
      <c r="E17" s="6" t="s">
        <v>767</v>
      </c>
      <c r="F17" s="34">
        <v>33</v>
      </c>
      <c r="G17" s="34">
        <v>0</v>
      </c>
      <c r="H17" s="34">
        <v>34</v>
      </c>
      <c r="I17" s="34">
        <v>0</v>
      </c>
      <c r="J17" s="34">
        <v>32100</v>
      </c>
      <c r="K17" s="58">
        <v>944.11764705882354</v>
      </c>
      <c r="L17" s="35">
        <v>1528900000</v>
      </c>
      <c r="M17" s="35">
        <v>215374711.03896105</v>
      </c>
      <c r="N17" s="71">
        <v>6.4534461088964985</v>
      </c>
      <c r="O17" s="34">
        <v>5399</v>
      </c>
      <c r="P17" s="34">
        <v>26700</v>
      </c>
    </row>
    <row r="18" spans="2:16">
      <c r="B18" s="79"/>
      <c r="C18" s="80"/>
      <c r="D18" s="79"/>
      <c r="E18" s="81" t="s">
        <v>12</v>
      </c>
      <c r="F18" s="42">
        <v>0</v>
      </c>
      <c r="G18" s="42">
        <v>6</v>
      </c>
      <c r="H18" s="42">
        <v>0</v>
      </c>
      <c r="I18" s="42">
        <v>6</v>
      </c>
      <c r="J18" s="42">
        <v>12300</v>
      </c>
      <c r="K18" s="59">
        <v>2050</v>
      </c>
      <c r="L18" s="43">
        <v>662700000</v>
      </c>
      <c r="M18" s="43">
        <v>86064935.064935058</v>
      </c>
      <c r="N18" s="82">
        <v>7</v>
      </c>
      <c r="O18" s="42">
        <v>0</v>
      </c>
      <c r="P18" s="42">
        <v>12300</v>
      </c>
    </row>
    <row r="19" spans="2:16">
      <c r="B19" s="79"/>
      <c r="C19" s="78" t="s">
        <v>1477</v>
      </c>
      <c r="D19" s="6" t="s">
        <v>1358</v>
      </c>
      <c r="E19" s="6" t="s">
        <v>767</v>
      </c>
      <c r="F19" s="34">
        <v>18</v>
      </c>
      <c r="G19" s="34">
        <v>0</v>
      </c>
      <c r="H19" s="34">
        <v>18</v>
      </c>
      <c r="I19" s="34">
        <v>0</v>
      </c>
      <c r="J19" s="34">
        <v>11600</v>
      </c>
      <c r="K19" s="58">
        <v>644.44444444444446</v>
      </c>
      <c r="L19" s="35">
        <v>538600000</v>
      </c>
      <c r="M19" s="35">
        <v>82074300.000000015</v>
      </c>
      <c r="N19" s="71">
        <v>5.9657695970159166</v>
      </c>
      <c r="O19" s="34">
        <v>0</v>
      </c>
      <c r="P19" s="34">
        <v>11600</v>
      </c>
    </row>
    <row r="20" spans="2:16">
      <c r="B20" s="79"/>
      <c r="C20" s="78" t="s">
        <v>26</v>
      </c>
      <c r="D20" s="6" t="s">
        <v>1358</v>
      </c>
      <c r="E20" s="6" t="s">
        <v>767</v>
      </c>
      <c r="F20" s="34">
        <v>27</v>
      </c>
      <c r="G20" s="34">
        <v>0</v>
      </c>
      <c r="H20" s="34">
        <v>34</v>
      </c>
      <c r="I20" s="34">
        <v>0</v>
      </c>
      <c r="J20" s="34">
        <v>17400</v>
      </c>
      <c r="K20" s="58">
        <v>511.76470588235293</v>
      </c>
      <c r="L20" s="35">
        <v>953600000</v>
      </c>
      <c r="M20" s="35">
        <v>117210570</v>
      </c>
      <c r="N20" s="71">
        <v>7.3961682031670932</v>
      </c>
      <c r="O20" s="34">
        <v>4445</v>
      </c>
      <c r="P20" s="34">
        <v>12900</v>
      </c>
    </row>
    <row r="21" spans="2:16">
      <c r="B21" s="79"/>
      <c r="C21" s="80"/>
      <c r="D21" s="6" t="s">
        <v>1357</v>
      </c>
      <c r="E21" s="6" t="s">
        <v>767</v>
      </c>
      <c r="F21" s="34">
        <v>5</v>
      </c>
      <c r="G21" s="34">
        <v>0</v>
      </c>
      <c r="H21" s="34">
        <v>7</v>
      </c>
      <c r="I21" s="34">
        <v>0</v>
      </c>
      <c r="J21" s="34">
        <v>5100</v>
      </c>
      <c r="K21" s="58">
        <v>728.57142857142856</v>
      </c>
      <c r="L21" s="35">
        <v>257900000</v>
      </c>
      <c r="M21" s="35">
        <v>33221489.000000004</v>
      </c>
      <c r="N21" s="71">
        <v>7.0573159876893365</v>
      </c>
      <c r="O21" s="34">
        <v>0</v>
      </c>
      <c r="P21" s="34">
        <v>5100</v>
      </c>
    </row>
    <row r="22" spans="2:16">
      <c r="B22" s="79"/>
      <c r="C22" s="78" t="s">
        <v>27</v>
      </c>
      <c r="D22" s="6" t="s">
        <v>1358</v>
      </c>
      <c r="E22" s="6" t="s">
        <v>767</v>
      </c>
      <c r="F22" s="34">
        <v>22</v>
      </c>
      <c r="G22" s="34">
        <v>0</v>
      </c>
      <c r="H22" s="34">
        <v>22</v>
      </c>
      <c r="I22" s="34">
        <v>0</v>
      </c>
      <c r="J22" s="34">
        <v>14850</v>
      </c>
      <c r="K22" s="58">
        <v>675</v>
      </c>
      <c r="L22" s="35">
        <v>812350000</v>
      </c>
      <c r="M22" s="35">
        <v>103935019.2121212</v>
      </c>
      <c r="N22" s="71">
        <v>7.1054011015555174</v>
      </c>
      <c r="O22" s="34">
        <v>0</v>
      </c>
      <c r="P22" s="34">
        <v>14850</v>
      </c>
    </row>
    <row r="23" spans="2:16">
      <c r="B23" s="79"/>
      <c r="C23" s="80"/>
      <c r="D23" s="6" t="s">
        <v>1357</v>
      </c>
      <c r="E23" s="6" t="s">
        <v>767</v>
      </c>
      <c r="F23" s="34">
        <v>8</v>
      </c>
      <c r="G23" s="34">
        <v>0</v>
      </c>
      <c r="H23" s="34">
        <v>13</v>
      </c>
      <c r="I23" s="34">
        <v>0</v>
      </c>
      <c r="J23" s="34">
        <v>20200</v>
      </c>
      <c r="K23" s="58">
        <v>1553.8461538461538</v>
      </c>
      <c r="L23" s="35">
        <v>1044600000</v>
      </c>
      <c r="M23" s="35">
        <v>156693295</v>
      </c>
      <c r="N23" s="71">
        <v>6.0604786161166864</v>
      </c>
      <c r="O23" s="34">
        <v>15343</v>
      </c>
      <c r="P23" s="34">
        <v>4500</v>
      </c>
    </row>
    <row r="24" spans="2:16">
      <c r="B24" s="79"/>
      <c r="C24" s="80"/>
      <c r="D24" s="79"/>
      <c r="E24" s="81" t="s">
        <v>12</v>
      </c>
      <c r="F24" s="42">
        <v>0</v>
      </c>
      <c r="G24" s="42">
        <v>4</v>
      </c>
      <c r="H24" s="42">
        <v>0</v>
      </c>
      <c r="I24" s="42">
        <v>7</v>
      </c>
      <c r="J24" s="42">
        <v>20700</v>
      </c>
      <c r="K24" s="59">
        <v>2957.1428571428573</v>
      </c>
      <c r="L24" s="43">
        <v>1052100000</v>
      </c>
      <c r="M24" s="43">
        <v>156226442.72727272</v>
      </c>
      <c r="N24" s="82">
        <v>6.1222321186960977</v>
      </c>
      <c r="O24" s="42">
        <v>3700</v>
      </c>
      <c r="P24" s="42">
        <v>17000</v>
      </c>
    </row>
    <row r="25" spans="2:16">
      <c r="B25" s="79"/>
      <c r="C25" s="78" t="s">
        <v>23</v>
      </c>
      <c r="D25" s="6" t="s">
        <v>1358</v>
      </c>
      <c r="E25" s="6" t="s">
        <v>767</v>
      </c>
      <c r="F25" s="34">
        <v>6</v>
      </c>
      <c r="G25" s="34">
        <v>0</v>
      </c>
      <c r="H25" s="34">
        <v>7</v>
      </c>
      <c r="I25" s="34">
        <v>0</v>
      </c>
      <c r="J25" s="34">
        <v>5100</v>
      </c>
      <c r="K25" s="58">
        <v>728.57142857142856</v>
      </c>
      <c r="L25" s="35">
        <v>309300000</v>
      </c>
      <c r="M25" s="35">
        <v>40839876.000000007</v>
      </c>
      <c r="N25" s="71">
        <v>6.8849821723704085</v>
      </c>
      <c r="O25" s="34">
        <v>0</v>
      </c>
      <c r="P25" s="34">
        <v>5100</v>
      </c>
    </row>
    <row r="26" spans="2:16">
      <c r="B26" s="79"/>
      <c r="C26" s="80"/>
      <c r="D26" s="6" t="s">
        <v>1357</v>
      </c>
      <c r="E26" s="6" t="s">
        <v>767</v>
      </c>
      <c r="F26" s="34">
        <v>5</v>
      </c>
      <c r="G26" s="34">
        <v>0</v>
      </c>
      <c r="H26" s="34">
        <v>5</v>
      </c>
      <c r="I26" s="34">
        <v>0</v>
      </c>
      <c r="J26" s="34">
        <v>4700</v>
      </c>
      <c r="K26" s="58">
        <v>940</v>
      </c>
      <c r="L26" s="35">
        <v>277300000</v>
      </c>
      <c r="M26" s="35">
        <v>36611190</v>
      </c>
      <c r="N26" s="71">
        <v>6.8856245615318459</v>
      </c>
      <c r="O26" s="34">
        <v>2200</v>
      </c>
      <c r="P26" s="34">
        <v>2500</v>
      </c>
    </row>
    <row r="27" spans="2:16">
      <c r="B27" s="79"/>
      <c r="C27" s="80"/>
      <c r="D27" s="79"/>
      <c r="E27" s="81" t="s">
        <v>12</v>
      </c>
      <c r="F27" s="42">
        <v>0</v>
      </c>
      <c r="G27" s="42">
        <v>1</v>
      </c>
      <c r="H27" s="42">
        <v>0</v>
      </c>
      <c r="I27" s="42">
        <v>1</v>
      </c>
      <c r="J27" s="42">
        <v>3000</v>
      </c>
      <c r="K27" s="59">
        <v>3000</v>
      </c>
      <c r="L27" s="43">
        <v>177000000</v>
      </c>
      <c r="M27" s="43">
        <v>24324300</v>
      </c>
      <c r="N27" s="82">
        <v>6.6151581303096449</v>
      </c>
      <c r="O27" s="42">
        <v>0</v>
      </c>
      <c r="P27" s="42">
        <v>3000</v>
      </c>
    </row>
    <row r="28" spans="2:16">
      <c r="B28" s="79"/>
      <c r="C28" s="78" t="s">
        <v>29</v>
      </c>
      <c r="D28" s="6" t="s">
        <v>1358</v>
      </c>
      <c r="E28" s="6" t="s">
        <v>767</v>
      </c>
      <c r="F28" s="34">
        <v>72.999999999999972</v>
      </c>
      <c r="G28" s="34">
        <v>0</v>
      </c>
      <c r="H28" s="34">
        <v>118</v>
      </c>
      <c r="I28" s="34">
        <v>0</v>
      </c>
      <c r="J28" s="34">
        <v>94400</v>
      </c>
      <c r="K28" s="58">
        <v>800</v>
      </c>
      <c r="L28" s="35">
        <v>3814000000</v>
      </c>
      <c r="M28" s="35">
        <v>538990172.96091628</v>
      </c>
      <c r="N28" s="71">
        <v>6.4329052758521232</v>
      </c>
      <c r="O28" s="34">
        <v>19078</v>
      </c>
      <c r="P28" s="34">
        <v>75400</v>
      </c>
    </row>
    <row r="29" spans="2:16">
      <c r="B29" s="79"/>
      <c r="C29" s="80"/>
      <c r="D29" s="79"/>
      <c r="E29" s="81" t="s">
        <v>12</v>
      </c>
      <c r="F29" s="42">
        <v>0</v>
      </c>
      <c r="G29" s="42">
        <v>3</v>
      </c>
      <c r="H29" s="42">
        <v>0</v>
      </c>
      <c r="I29" s="42">
        <v>4</v>
      </c>
      <c r="J29" s="42">
        <v>14500</v>
      </c>
      <c r="K29" s="59">
        <v>3625</v>
      </c>
      <c r="L29" s="43">
        <v>420500000</v>
      </c>
      <c r="M29" s="43">
        <v>75032701.000000015</v>
      </c>
      <c r="N29" s="82">
        <v>5.0947483187727327</v>
      </c>
      <c r="O29" s="42">
        <v>0</v>
      </c>
      <c r="P29" s="42">
        <v>14500</v>
      </c>
    </row>
    <row r="30" spans="2:16">
      <c r="B30" s="79"/>
      <c r="C30" s="80"/>
      <c r="D30" s="6" t="s">
        <v>1357</v>
      </c>
      <c r="E30" s="6" t="s">
        <v>767</v>
      </c>
      <c r="F30" s="34">
        <v>17.999999999999996</v>
      </c>
      <c r="G30" s="34">
        <v>0</v>
      </c>
      <c r="H30" s="34">
        <v>28</v>
      </c>
      <c r="I30" s="34">
        <v>0</v>
      </c>
      <c r="J30" s="34">
        <v>32100</v>
      </c>
      <c r="K30" s="58">
        <v>1146.4285714285713</v>
      </c>
      <c r="L30" s="35">
        <v>1400700000</v>
      </c>
      <c r="M30" s="35">
        <v>189346650</v>
      </c>
      <c r="N30" s="71">
        <v>6.7250391615781755</v>
      </c>
      <c r="O30" s="34">
        <v>2000</v>
      </c>
      <c r="P30" s="34">
        <v>30100</v>
      </c>
    </row>
    <row r="31" spans="2:16">
      <c r="B31" s="79"/>
      <c r="C31" s="78" t="s">
        <v>21</v>
      </c>
      <c r="D31" s="6" t="s">
        <v>1358</v>
      </c>
      <c r="E31" s="6" t="s">
        <v>767</v>
      </c>
      <c r="F31" s="34">
        <v>8</v>
      </c>
      <c r="G31" s="34">
        <v>0</v>
      </c>
      <c r="H31" s="34">
        <v>13</v>
      </c>
      <c r="I31" s="34">
        <v>0</v>
      </c>
      <c r="J31" s="34">
        <v>19800</v>
      </c>
      <c r="K31" s="58">
        <v>1523.0769230769231</v>
      </c>
      <c r="L31" s="35">
        <v>859400000</v>
      </c>
      <c r="M31" s="35">
        <v>144054432</v>
      </c>
      <c r="N31" s="71">
        <v>5.4234549845209008</v>
      </c>
      <c r="O31" s="34">
        <v>11697</v>
      </c>
      <c r="P31" s="34">
        <v>5800</v>
      </c>
    </row>
    <row r="32" spans="2:16">
      <c r="B32" s="79"/>
      <c r="C32" s="80"/>
      <c r="D32" s="79"/>
      <c r="E32" s="81" t="s">
        <v>12</v>
      </c>
      <c r="F32" s="42">
        <v>0</v>
      </c>
      <c r="G32" s="42">
        <v>1</v>
      </c>
      <c r="H32" s="42">
        <v>0</v>
      </c>
      <c r="I32" s="42">
        <v>1</v>
      </c>
      <c r="J32" s="42">
        <v>2000</v>
      </c>
      <c r="K32" s="59">
        <v>2000</v>
      </c>
      <c r="L32" s="43">
        <v>70000000</v>
      </c>
      <c r="M32" s="43">
        <v>10606060.606060605</v>
      </c>
      <c r="N32" s="82">
        <v>5.9999999999999991</v>
      </c>
      <c r="O32" s="42">
        <v>0</v>
      </c>
      <c r="P32" s="42">
        <v>2000</v>
      </c>
    </row>
    <row r="33" spans="2:16">
      <c r="B33" s="79"/>
      <c r="C33" s="80"/>
      <c r="D33" s="6" t="s">
        <v>1357</v>
      </c>
      <c r="E33" s="6" t="s">
        <v>767</v>
      </c>
      <c r="F33" s="34">
        <v>6</v>
      </c>
      <c r="G33" s="34">
        <v>0</v>
      </c>
      <c r="H33" s="34">
        <v>7</v>
      </c>
      <c r="I33" s="34">
        <v>0</v>
      </c>
      <c r="J33" s="34">
        <v>6500</v>
      </c>
      <c r="K33" s="58">
        <v>928.57142857142856</v>
      </c>
      <c r="L33" s="35">
        <v>319700000</v>
      </c>
      <c r="M33" s="35">
        <v>50390430.81818182</v>
      </c>
      <c r="N33" s="71">
        <v>5.7676895973569753</v>
      </c>
      <c r="O33" s="34">
        <v>0</v>
      </c>
      <c r="P33" s="34">
        <v>6500</v>
      </c>
    </row>
    <row r="34" spans="2:16">
      <c r="B34" s="79"/>
      <c r="C34" s="78" t="s">
        <v>22</v>
      </c>
      <c r="D34" s="6" t="s">
        <v>1357</v>
      </c>
      <c r="E34" s="6" t="s">
        <v>767</v>
      </c>
      <c r="F34" s="34">
        <v>5</v>
      </c>
      <c r="G34" s="34">
        <v>0</v>
      </c>
      <c r="H34" s="34">
        <v>5</v>
      </c>
      <c r="I34" s="34">
        <v>0</v>
      </c>
      <c r="J34" s="34">
        <v>2800</v>
      </c>
      <c r="K34" s="58">
        <v>560</v>
      </c>
      <c r="L34" s="35">
        <v>163200000</v>
      </c>
      <c r="M34" s="35">
        <v>26673954</v>
      </c>
      <c r="N34" s="71">
        <v>5.5621163762836341</v>
      </c>
      <c r="O34" s="34">
        <v>0</v>
      </c>
      <c r="P34" s="34">
        <v>2800</v>
      </c>
    </row>
    <row r="35" spans="2:16">
      <c r="B35" s="79"/>
      <c r="C35" s="78" t="s">
        <v>28</v>
      </c>
      <c r="D35" s="6" t="s">
        <v>1358</v>
      </c>
      <c r="E35" s="6" t="s">
        <v>767</v>
      </c>
      <c r="F35" s="34">
        <v>3</v>
      </c>
      <c r="G35" s="34">
        <v>0</v>
      </c>
      <c r="H35" s="34">
        <v>9</v>
      </c>
      <c r="I35" s="34">
        <v>0</v>
      </c>
      <c r="J35" s="34">
        <v>5700</v>
      </c>
      <c r="K35" s="58">
        <v>633.33333333333337</v>
      </c>
      <c r="L35" s="35">
        <v>320900000</v>
      </c>
      <c r="M35" s="35">
        <v>54958652</v>
      </c>
      <c r="N35" s="71">
        <v>5.3081227816008427</v>
      </c>
      <c r="O35" s="34">
        <v>0</v>
      </c>
      <c r="P35" s="34">
        <v>5700</v>
      </c>
    </row>
    <row r="36" spans="2:16">
      <c r="B36" s="79"/>
      <c r="C36" s="80"/>
      <c r="D36" s="6" t="s">
        <v>1357</v>
      </c>
      <c r="E36" s="6" t="s">
        <v>767</v>
      </c>
      <c r="F36" s="34">
        <v>2</v>
      </c>
      <c r="G36" s="34">
        <v>0</v>
      </c>
      <c r="H36" s="34">
        <v>6</v>
      </c>
      <c r="I36" s="34">
        <v>0</v>
      </c>
      <c r="J36" s="34">
        <v>4500</v>
      </c>
      <c r="K36" s="58">
        <v>750</v>
      </c>
      <c r="L36" s="35">
        <v>241500000</v>
      </c>
      <c r="M36" s="35">
        <v>41390000</v>
      </c>
      <c r="N36" s="71">
        <v>5.3043115377012455</v>
      </c>
      <c r="O36" s="34">
        <v>996</v>
      </c>
      <c r="P36" s="34">
        <v>3504</v>
      </c>
    </row>
    <row r="37" spans="2:16">
      <c r="B37" s="79"/>
      <c r="C37" s="80"/>
      <c r="D37" s="79"/>
      <c r="E37" s="81" t="s">
        <v>12</v>
      </c>
      <c r="F37" s="42">
        <v>0</v>
      </c>
      <c r="G37" s="42">
        <v>1</v>
      </c>
      <c r="H37" s="42">
        <v>0</v>
      </c>
      <c r="I37" s="42">
        <v>3</v>
      </c>
      <c r="J37" s="42">
        <v>4000</v>
      </c>
      <c r="K37" s="59">
        <v>1333.3333333333333</v>
      </c>
      <c r="L37" s="43">
        <v>220000000</v>
      </c>
      <c r="M37" s="43">
        <v>36000000</v>
      </c>
      <c r="N37" s="82">
        <v>5.5555555555555554</v>
      </c>
      <c r="O37" s="42">
        <v>0</v>
      </c>
      <c r="P37" s="42">
        <v>4000</v>
      </c>
    </row>
    <row r="38" spans="2:16">
      <c r="B38" s="79"/>
      <c r="C38" s="78" t="s">
        <v>25</v>
      </c>
      <c r="D38" s="6" t="s">
        <v>1358</v>
      </c>
      <c r="E38" s="6" t="s">
        <v>767</v>
      </c>
      <c r="F38" s="34">
        <v>12</v>
      </c>
      <c r="G38" s="34">
        <v>0</v>
      </c>
      <c r="H38" s="34">
        <v>12</v>
      </c>
      <c r="I38" s="34">
        <v>0</v>
      </c>
      <c r="J38" s="34">
        <v>6900</v>
      </c>
      <c r="K38" s="58">
        <v>575</v>
      </c>
      <c r="L38" s="35">
        <v>424700000</v>
      </c>
      <c r="M38" s="35">
        <v>81895064</v>
      </c>
      <c r="N38" s="71">
        <v>4.714458848104802</v>
      </c>
      <c r="O38" s="34">
        <v>0</v>
      </c>
      <c r="P38" s="34">
        <v>6900</v>
      </c>
    </row>
    <row r="39" spans="2:16">
      <c r="B39" s="79"/>
      <c r="C39" s="80"/>
      <c r="D39" s="6" t="s">
        <v>1357</v>
      </c>
      <c r="E39" s="6" t="s">
        <v>767</v>
      </c>
      <c r="F39" s="34">
        <v>5</v>
      </c>
      <c r="G39" s="34">
        <v>0</v>
      </c>
      <c r="H39" s="34">
        <v>5</v>
      </c>
      <c r="I39" s="34">
        <v>0</v>
      </c>
      <c r="J39" s="34">
        <v>2800</v>
      </c>
      <c r="K39" s="58">
        <v>560</v>
      </c>
      <c r="L39" s="35">
        <v>166600000</v>
      </c>
      <c r="M39" s="35">
        <v>35896076.945454545</v>
      </c>
      <c r="N39" s="71">
        <v>4.2192506352347747</v>
      </c>
      <c r="O39" s="34">
        <v>0</v>
      </c>
      <c r="P39" s="34">
        <v>2800</v>
      </c>
    </row>
    <row r="40" spans="2:16">
      <c r="B40" s="79"/>
      <c r="C40" s="78" t="s">
        <v>30</v>
      </c>
      <c r="D40" s="6" t="s">
        <v>1358</v>
      </c>
      <c r="E40" s="6" t="s">
        <v>767</v>
      </c>
      <c r="F40" s="34">
        <v>15</v>
      </c>
      <c r="G40" s="34">
        <v>0</v>
      </c>
      <c r="H40" s="34">
        <v>17</v>
      </c>
      <c r="I40" s="34">
        <v>0</v>
      </c>
      <c r="J40" s="34">
        <v>7300</v>
      </c>
      <c r="K40" s="58">
        <v>429.41176470588238</v>
      </c>
      <c r="L40" s="35">
        <v>409100000</v>
      </c>
      <c r="M40" s="35">
        <v>66711087.333333336</v>
      </c>
      <c r="N40" s="71">
        <v>5.574921737533427</v>
      </c>
      <c r="O40" s="34">
        <v>0</v>
      </c>
      <c r="P40" s="34">
        <v>7300</v>
      </c>
    </row>
    <row r="41" spans="2:16">
      <c r="B41" s="79"/>
      <c r="C41" s="80"/>
      <c r="D41" s="6" t="s">
        <v>1357</v>
      </c>
      <c r="E41" s="6" t="s">
        <v>767</v>
      </c>
      <c r="F41" s="34">
        <v>4</v>
      </c>
      <c r="G41" s="34">
        <v>0</v>
      </c>
      <c r="H41" s="34">
        <v>4</v>
      </c>
      <c r="I41" s="34">
        <v>0</v>
      </c>
      <c r="J41" s="34">
        <v>2000</v>
      </c>
      <c r="K41" s="58">
        <v>500</v>
      </c>
      <c r="L41" s="35">
        <v>110000000</v>
      </c>
      <c r="M41" s="35">
        <v>16167325</v>
      </c>
      <c r="N41" s="71">
        <v>6.185315134074437</v>
      </c>
      <c r="O41" s="34">
        <v>0</v>
      </c>
      <c r="P41" s="34">
        <v>2000</v>
      </c>
    </row>
    <row r="42" spans="2:16">
      <c r="B42" s="79"/>
      <c r="C42" s="6" t="s">
        <v>1351</v>
      </c>
      <c r="D42" s="6" t="s">
        <v>1358</v>
      </c>
      <c r="E42" s="6" t="s">
        <v>767</v>
      </c>
      <c r="F42" s="34">
        <v>2</v>
      </c>
      <c r="G42" s="34">
        <v>0</v>
      </c>
      <c r="H42" s="34">
        <v>2</v>
      </c>
      <c r="I42" s="34">
        <v>0</v>
      </c>
      <c r="J42" s="34">
        <v>1000</v>
      </c>
      <c r="K42" s="58">
        <v>500</v>
      </c>
      <c r="L42" s="35">
        <v>43000000</v>
      </c>
      <c r="M42" s="35">
        <v>8003360.0000000009</v>
      </c>
      <c r="N42" s="71">
        <v>4.8843122252290394</v>
      </c>
      <c r="O42" s="34">
        <v>0</v>
      </c>
      <c r="P42" s="34">
        <v>1000</v>
      </c>
    </row>
    <row r="43" spans="2:16">
      <c r="B43" s="79"/>
      <c r="C43" s="79"/>
      <c r="D43" s="6" t="s">
        <v>1357</v>
      </c>
      <c r="E43" s="6" t="s">
        <v>767</v>
      </c>
      <c r="F43" s="34">
        <v>2</v>
      </c>
      <c r="G43" s="34">
        <v>0</v>
      </c>
      <c r="H43" s="34">
        <v>2</v>
      </c>
      <c r="I43" s="34">
        <v>0</v>
      </c>
      <c r="J43" s="34">
        <v>1000</v>
      </c>
      <c r="K43" s="58">
        <v>500</v>
      </c>
      <c r="L43" s="35">
        <v>39000000</v>
      </c>
      <c r="M43" s="35">
        <v>8315210.0000000009</v>
      </c>
      <c r="N43" s="71">
        <v>4.2638184068165987</v>
      </c>
      <c r="O43" s="34">
        <v>0</v>
      </c>
      <c r="P43" s="34">
        <v>1000</v>
      </c>
    </row>
    <row r="44" spans="2:16">
      <c r="B44" s="79"/>
      <c r="C44" s="6" t="s">
        <v>1352</v>
      </c>
      <c r="D44" s="6" t="s">
        <v>1358</v>
      </c>
      <c r="E44" s="6" t="s">
        <v>767</v>
      </c>
      <c r="F44" s="34">
        <v>4</v>
      </c>
      <c r="G44" s="34">
        <v>0</v>
      </c>
      <c r="H44" s="34">
        <v>5</v>
      </c>
      <c r="I44" s="34">
        <v>0</v>
      </c>
      <c r="J44" s="34">
        <v>2100</v>
      </c>
      <c r="K44" s="58">
        <v>420</v>
      </c>
      <c r="L44" s="35">
        <v>117500000</v>
      </c>
      <c r="M44" s="35">
        <v>20195858.424242422</v>
      </c>
      <c r="N44" s="71">
        <v>5.289113221845569</v>
      </c>
      <c r="O44" s="34">
        <v>0</v>
      </c>
      <c r="P44" s="34">
        <v>2100</v>
      </c>
    </row>
    <row r="45" spans="2:16">
      <c r="B45" s="79"/>
      <c r="C45" s="79"/>
      <c r="D45" s="6" t="s">
        <v>1357</v>
      </c>
      <c r="E45" s="6" t="s">
        <v>767</v>
      </c>
      <c r="F45" s="34">
        <v>1</v>
      </c>
      <c r="G45" s="34">
        <v>0</v>
      </c>
      <c r="H45" s="34">
        <v>2</v>
      </c>
      <c r="I45" s="34">
        <v>0</v>
      </c>
      <c r="J45" s="34">
        <v>1000</v>
      </c>
      <c r="K45" s="58">
        <v>500</v>
      </c>
      <c r="L45" s="35">
        <v>29000000</v>
      </c>
      <c r="M45" s="35">
        <v>4941010</v>
      </c>
      <c r="N45" s="71">
        <v>5.3356775970168782</v>
      </c>
      <c r="O45" s="34">
        <v>0</v>
      </c>
      <c r="P45" s="34">
        <v>1000</v>
      </c>
    </row>
    <row r="46" spans="2:16">
      <c r="B46" s="79"/>
      <c r="C46" s="6" t="s">
        <v>1353</v>
      </c>
      <c r="D46" s="6" t="s">
        <v>1358</v>
      </c>
      <c r="E46" s="6" t="s">
        <v>767</v>
      </c>
      <c r="F46" s="34">
        <v>12</v>
      </c>
      <c r="G46" s="34">
        <v>0</v>
      </c>
      <c r="H46" s="34">
        <v>12</v>
      </c>
      <c r="I46" s="34">
        <v>0</v>
      </c>
      <c r="J46" s="34">
        <v>12400</v>
      </c>
      <c r="K46" s="58">
        <v>1033.3333333333333</v>
      </c>
      <c r="L46" s="35">
        <v>1601600000</v>
      </c>
      <c r="M46" s="35">
        <v>344932900</v>
      </c>
      <c r="N46" s="71">
        <v>4.2211108305412441</v>
      </c>
      <c r="O46" s="34">
        <v>0</v>
      </c>
      <c r="P46" s="34">
        <v>12400</v>
      </c>
    </row>
    <row r="47" spans="2:16">
      <c r="B47" s="79"/>
      <c r="C47" s="6" t="s">
        <v>1354</v>
      </c>
      <c r="D47" s="6" t="s">
        <v>1358</v>
      </c>
      <c r="E47" s="6" t="s">
        <v>767</v>
      </c>
      <c r="F47" s="34">
        <v>6</v>
      </c>
      <c r="G47" s="34">
        <v>0</v>
      </c>
      <c r="H47" s="34">
        <v>6</v>
      </c>
      <c r="I47" s="34">
        <v>0</v>
      </c>
      <c r="J47" s="34">
        <v>2200</v>
      </c>
      <c r="K47" s="58">
        <v>366.66666666666669</v>
      </c>
      <c r="L47" s="35">
        <v>108600000</v>
      </c>
      <c r="M47" s="35">
        <v>18515081.000000004</v>
      </c>
      <c r="N47" s="71">
        <v>5.3322625338378318</v>
      </c>
      <c r="O47" s="34">
        <v>0</v>
      </c>
      <c r="P47" s="34">
        <v>2200</v>
      </c>
    </row>
    <row r="48" spans="2:16">
      <c r="B48" s="79"/>
      <c r="C48" s="79"/>
      <c r="D48" s="6" t="s">
        <v>1357</v>
      </c>
      <c r="E48" s="6" t="s">
        <v>767</v>
      </c>
      <c r="F48" s="34">
        <v>2</v>
      </c>
      <c r="G48" s="34">
        <v>0</v>
      </c>
      <c r="H48" s="34">
        <v>2</v>
      </c>
      <c r="I48" s="34">
        <v>0</v>
      </c>
      <c r="J48" s="34">
        <v>1000</v>
      </c>
      <c r="K48" s="58">
        <v>500</v>
      </c>
      <c r="L48" s="35">
        <v>39000000</v>
      </c>
      <c r="M48" s="35">
        <v>7940990</v>
      </c>
      <c r="N48" s="71">
        <v>4.4647513036215196</v>
      </c>
      <c r="O48" s="34">
        <v>0</v>
      </c>
      <c r="P48" s="34">
        <v>1000</v>
      </c>
    </row>
    <row r="49" spans="2:16">
      <c r="B49" s="79"/>
      <c r="C49" s="6" t="s">
        <v>1355</v>
      </c>
      <c r="D49" s="6" t="s">
        <v>1358</v>
      </c>
      <c r="E49" s="6" t="s">
        <v>767</v>
      </c>
      <c r="F49" s="34">
        <v>4</v>
      </c>
      <c r="G49" s="34">
        <v>0</v>
      </c>
      <c r="H49" s="34">
        <v>4</v>
      </c>
      <c r="I49" s="34">
        <v>0</v>
      </c>
      <c r="J49" s="34">
        <v>2000</v>
      </c>
      <c r="K49" s="58">
        <v>500</v>
      </c>
      <c r="L49" s="35">
        <v>238000000</v>
      </c>
      <c r="M49" s="35">
        <v>48000000</v>
      </c>
      <c r="N49" s="71">
        <v>4.5075757575757569</v>
      </c>
      <c r="O49" s="34">
        <v>0</v>
      </c>
      <c r="P49" s="34">
        <v>2000</v>
      </c>
    </row>
    <row r="50" spans="2:16">
      <c r="B50" s="79"/>
      <c r="C50" s="6" t="s">
        <v>1810</v>
      </c>
      <c r="D50" s="6" t="s">
        <v>1358</v>
      </c>
      <c r="E50" s="6" t="s">
        <v>767</v>
      </c>
      <c r="F50" s="34">
        <v>22</v>
      </c>
      <c r="G50" s="34">
        <v>0</v>
      </c>
      <c r="H50" s="34">
        <v>25</v>
      </c>
      <c r="I50" s="34">
        <v>0</v>
      </c>
      <c r="J50" s="34">
        <v>14400</v>
      </c>
      <c r="K50" s="58">
        <v>576</v>
      </c>
      <c r="L50" s="35">
        <v>690400000</v>
      </c>
      <c r="M50" s="35">
        <v>83020327.854000017</v>
      </c>
      <c r="N50" s="71">
        <v>7.5600323422009152</v>
      </c>
      <c r="O50" s="34">
        <v>0</v>
      </c>
      <c r="P50" s="34">
        <v>14400</v>
      </c>
    </row>
    <row r="51" spans="2:16">
      <c r="B51" s="83" t="s">
        <v>791</v>
      </c>
      <c r="C51" s="83"/>
      <c r="D51" s="83"/>
      <c r="E51" s="83"/>
      <c r="F51" s="36">
        <v>539</v>
      </c>
      <c r="G51" s="36">
        <v>22</v>
      </c>
      <c r="H51" s="36">
        <v>684</v>
      </c>
      <c r="I51" s="36">
        <v>28</v>
      </c>
      <c r="J51" s="36">
        <v>662650</v>
      </c>
      <c r="K51" s="60">
        <v>930.68820224719104</v>
      </c>
      <c r="L51" s="37">
        <v>37463070000</v>
      </c>
      <c r="M51" s="37">
        <v>6235702327.460659</v>
      </c>
      <c r="N51" s="72">
        <v>5.4616680808600124</v>
      </c>
      <c r="O51" s="36">
        <v>74858</v>
      </c>
      <c r="P51" s="36">
        <v>584854</v>
      </c>
    </row>
    <row r="52" spans="2:16">
      <c r="B52" s="6" t="s">
        <v>15</v>
      </c>
      <c r="C52" s="6" t="s">
        <v>1478</v>
      </c>
      <c r="D52" s="6" t="s">
        <v>1358</v>
      </c>
      <c r="E52" s="6" t="s">
        <v>767</v>
      </c>
      <c r="F52" s="34">
        <v>31</v>
      </c>
      <c r="G52" s="34">
        <v>0</v>
      </c>
      <c r="H52" s="34">
        <v>31</v>
      </c>
      <c r="I52" s="34">
        <v>0</v>
      </c>
      <c r="J52" s="34">
        <v>1751</v>
      </c>
      <c r="K52" s="58">
        <v>56.483870967741936</v>
      </c>
      <c r="L52" s="35">
        <v>85799000</v>
      </c>
      <c r="M52" s="35">
        <v>35099590.909090906</v>
      </c>
      <c r="N52" s="71">
        <v>2.2222222222222223</v>
      </c>
      <c r="O52" s="34">
        <v>1746</v>
      </c>
      <c r="P52" s="34">
        <v>0</v>
      </c>
    </row>
    <row r="53" spans="2:16">
      <c r="B53" s="79"/>
      <c r="C53" s="79"/>
      <c r="D53" s="79"/>
      <c r="E53" s="81" t="s">
        <v>12</v>
      </c>
      <c r="F53" s="42">
        <v>0</v>
      </c>
      <c r="G53" s="42">
        <v>2</v>
      </c>
      <c r="H53" s="42">
        <v>0</v>
      </c>
      <c r="I53" s="42">
        <v>2</v>
      </c>
      <c r="J53" s="42">
        <v>250</v>
      </c>
      <c r="K53" s="59">
        <v>125</v>
      </c>
      <c r="L53" s="43">
        <v>12250000</v>
      </c>
      <c r="M53" s="43">
        <v>5011363.6363636358</v>
      </c>
      <c r="N53" s="82">
        <v>2.2222222222222223</v>
      </c>
      <c r="O53" s="42">
        <v>250</v>
      </c>
      <c r="P53" s="42">
        <v>0</v>
      </c>
    </row>
    <row r="54" spans="2:16">
      <c r="B54" s="79"/>
      <c r="C54" s="79"/>
      <c r="D54" s="6" t="s">
        <v>1357</v>
      </c>
      <c r="E54" s="6" t="s">
        <v>767</v>
      </c>
      <c r="F54" s="34">
        <v>23</v>
      </c>
      <c r="G54" s="34">
        <v>0</v>
      </c>
      <c r="H54" s="34">
        <v>26</v>
      </c>
      <c r="I54" s="34">
        <v>0</v>
      </c>
      <c r="J54" s="34">
        <v>1982</v>
      </c>
      <c r="K54" s="58">
        <v>76.230769230769226</v>
      </c>
      <c r="L54" s="35">
        <v>97098000</v>
      </c>
      <c r="M54" s="35">
        <v>39721909.090909086</v>
      </c>
      <c r="N54" s="71">
        <v>2.2222222222222223</v>
      </c>
      <c r="O54" s="34">
        <v>1972</v>
      </c>
      <c r="P54" s="34">
        <v>0</v>
      </c>
    </row>
    <row r="55" spans="2:16">
      <c r="B55" s="79"/>
      <c r="C55" s="79"/>
      <c r="D55" s="79"/>
      <c r="E55" s="81" t="s">
        <v>12</v>
      </c>
      <c r="F55" s="42">
        <v>0</v>
      </c>
      <c r="G55" s="42">
        <v>14</v>
      </c>
      <c r="H55" s="42">
        <v>0</v>
      </c>
      <c r="I55" s="42">
        <v>17</v>
      </c>
      <c r="J55" s="42">
        <v>2160</v>
      </c>
      <c r="K55" s="59">
        <v>127.05882352941177</v>
      </c>
      <c r="L55" s="43">
        <v>107140000</v>
      </c>
      <c r="M55" s="43">
        <v>43830000.000000015</v>
      </c>
      <c r="N55" s="82">
        <v>2.222222222222221</v>
      </c>
      <c r="O55" s="42">
        <v>2130</v>
      </c>
      <c r="P55" s="42">
        <v>0</v>
      </c>
    </row>
    <row r="56" spans="2:16">
      <c r="B56" s="79"/>
      <c r="C56" s="6" t="s">
        <v>31</v>
      </c>
      <c r="D56" s="6" t="s">
        <v>1358</v>
      </c>
      <c r="E56" s="6" t="s">
        <v>767</v>
      </c>
      <c r="F56" s="34">
        <v>9</v>
      </c>
      <c r="G56" s="34">
        <v>0</v>
      </c>
      <c r="H56" s="34">
        <v>14</v>
      </c>
      <c r="I56" s="34">
        <v>0</v>
      </c>
      <c r="J56" s="34">
        <v>2928</v>
      </c>
      <c r="K56" s="58">
        <v>209.14285714285714</v>
      </c>
      <c r="L56" s="35">
        <v>169632000</v>
      </c>
      <c r="M56" s="35">
        <v>42836363.636363626</v>
      </c>
      <c r="N56" s="71">
        <v>3.6000000000000005</v>
      </c>
      <c r="O56" s="34">
        <v>0</v>
      </c>
      <c r="P56" s="34">
        <v>2928</v>
      </c>
    </row>
    <row r="57" spans="2:16">
      <c r="B57" s="79"/>
      <c r="C57" s="79"/>
      <c r="D57" s="6" t="s">
        <v>1357</v>
      </c>
      <c r="E57" s="6" t="s">
        <v>767</v>
      </c>
      <c r="F57" s="34">
        <v>1</v>
      </c>
      <c r="G57" s="34">
        <v>0</v>
      </c>
      <c r="H57" s="34">
        <v>4</v>
      </c>
      <c r="I57" s="34">
        <v>0</v>
      </c>
      <c r="J57" s="34">
        <v>1320</v>
      </c>
      <c r="K57" s="58">
        <v>330</v>
      </c>
      <c r="L57" s="35">
        <v>64680000</v>
      </c>
      <c r="M57" s="35">
        <v>16333333.333333332</v>
      </c>
      <c r="N57" s="71">
        <v>3.5999999999999996</v>
      </c>
      <c r="O57" s="34">
        <v>0</v>
      </c>
      <c r="P57" s="34">
        <v>1320</v>
      </c>
    </row>
    <row r="58" spans="2:16">
      <c r="B58" s="79"/>
      <c r="C58" s="6" t="s">
        <v>32</v>
      </c>
      <c r="D58" s="6" t="s">
        <v>1358</v>
      </c>
      <c r="E58" s="6" t="s">
        <v>767</v>
      </c>
      <c r="F58" s="34">
        <v>13.000000000000002</v>
      </c>
      <c r="G58" s="34">
        <v>0</v>
      </c>
      <c r="H58" s="34">
        <v>28</v>
      </c>
      <c r="I58" s="34">
        <v>0</v>
      </c>
      <c r="J58" s="34">
        <v>4750</v>
      </c>
      <c r="K58" s="58">
        <v>169.64285714285714</v>
      </c>
      <c r="L58" s="35">
        <v>355790000</v>
      </c>
      <c r="M58" s="35">
        <v>84630873.599999979</v>
      </c>
      <c r="N58" s="71">
        <v>3.8218375964566982</v>
      </c>
      <c r="O58" s="34">
        <v>0</v>
      </c>
      <c r="P58" s="34">
        <v>4750</v>
      </c>
    </row>
    <row r="59" spans="2:16">
      <c r="B59" s="79"/>
      <c r="C59" s="6" t="s">
        <v>19</v>
      </c>
      <c r="D59" s="6" t="s">
        <v>1358</v>
      </c>
      <c r="E59" s="6" t="s">
        <v>767</v>
      </c>
      <c r="F59" s="34">
        <v>5</v>
      </c>
      <c r="G59" s="34">
        <v>0</v>
      </c>
      <c r="H59" s="34">
        <v>8</v>
      </c>
      <c r="I59" s="34">
        <v>0</v>
      </c>
      <c r="J59" s="34">
        <v>2900</v>
      </c>
      <c r="K59" s="58">
        <v>362.5</v>
      </c>
      <c r="L59" s="35">
        <v>106500000</v>
      </c>
      <c r="M59" s="35">
        <v>38727272.727272727</v>
      </c>
      <c r="N59" s="71">
        <v>2.5</v>
      </c>
      <c r="O59" s="34">
        <v>0</v>
      </c>
      <c r="P59" s="34">
        <v>2900</v>
      </c>
    </row>
    <row r="60" spans="2:16">
      <c r="B60" s="79"/>
      <c r="C60" s="6" t="s">
        <v>35</v>
      </c>
      <c r="D60" s="6" t="s">
        <v>1358</v>
      </c>
      <c r="E60" s="6" t="s">
        <v>767</v>
      </c>
      <c r="F60" s="34">
        <v>5.9999999999999991</v>
      </c>
      <c r="G60" s="34">
        <v>0</v>
      </c>
      <c r="H60" s="34">
        <v>16</v>
      </c>
      <c r="I60" s="34">
        <v>0</v>
      </c>
      <c r="J60" s="34">
        <v>2016</v>
      </c>
      <c r="K60" s="58">
        <v>126</v>
      </c>
      <c r="L60" s="35">
        <v>269208000</v>
      </c>
      <c r="M60" s="35">
        <v>70387542.792000011</v>
      </c>
      <c r="N60" s="71">
        <v>3.476958219407555</v>
      </c>
      <c r="O60" s="34">
        <v>0</v>
      </c>
      <c r="P60" s="34">
        <v>2016</v>
      </c>
    </row>
    <row r="61" spans="2:16">
      <c r="B61" s="79"/>
      <c r="C61" s="6" t="s">
        <v>604</v>
      </c>
      <c r="D61" s="6" t="s">
        <v>1358</v>
      </c>
      <c r="E61" s="6" t="s">
        <v>767</v>
      </c>
      <c r="F61" s="34">
        <v>9</v>
      </c>
      <c r="G61" s="34">
        <v>0</v>
      </c>
      <c r="H61" s="34">
        <v>15</v>
      </c>
      <c r="I61" s="34">
        <v>0</v>
      </c>
      <c r="J61" s="34">
        <v>5160</v>
      </c>
      <c r="K61" s="58">
        <v>344</v>
      </c>
      <c r="L61" s="35">
        <v>196680000</v>
      </c>
      <c r="M61" s="35">
        <v>53640000</v>
      </c>
      <c r="N61" s="71">
        <v>3.333333333333333</v>
      </c>
      <c r="O61" s="34">
        <v>0</v>
      </c>
      <c r="P61" s="34">
        <v>5160</v>
      </c>
    </row>
    <row r="62" spans="2:16">
      <c r="B62" s="79"/>
      <c r="C62" s="79"/>
      <c r="D62" s="6" t="s">
        <v>1357</v>
      </c>
      <c r="E62" s="6" t="s">
        <v>767</v>
      </c>
      <c r="F62" s="34">
        <v>1</v>
      </c>
      <c r="G62" s="34">
        <v>0</v>
      </c>
      <c r="H62" s="34">
        <v>2</v>
      </c>
      <c r="I62" s="34">
        <v>0</v>
      </c>
      <c r="J62" s="34">
        <v>600</v>
      </c>
      <c r="K62" s="58">
        <v>300</v>
      </c>
      <c r="L62" s="35">
        <v>23400000</v>
      </c>
      <c r="M62" s="35">
        <v>6381818.1818181816</v>
      </c>
      <c r="N62" s="71">
        <v>3.3333333333333335</v>
      </c>
      <c r="O62" s="34">
        <v>0</v>
      </c>
      <c r="P62" s="34">
        <v>600</v>
      </c>
    </row>
    <row r="63" spans="2:16">
      <c r="B63" s="83" t="s">
        <v>796</v>
      </c>
      <c r="C63" s="83"/>
      <c r="D63" s="83"/>
      <c r="E63" s="83"/>
      <c r="F63" s="36">
        <v>98</v>
      </c>
      <c r="G63" s="36">
        <v>16</v>
      </c>
      <c r="H63" s="36">
        <v>144</v>
      </c>
      <c r="I63" s="36">
        <v>19</v>
      </c>
      <c r="J63" s="36">
        <v>25817</v>
      </c>
      <c r="K63" s="60">
        <v>158.38650306748465</v>
      </c>
      <c r="L63" s="37">
        <v>1488177000</v>
      </c>
      <c r="M63" s="37">
        <v>436600067.90715152</v>
      </c>
      <c r="N63" s="72">
        <v>3.0986898107993199</v>
      </c>
      <c r="O63" s="36">
        <v>6098</v>
      </c>
      <c r="P63" s="36">
        <v>19674</v>
      </c>
    </row>
    <row r="64" spans="2:16">
      <c r="B64" s="84" t="s">
        <v>39</v>
      </c>
      <c r="C64" s="84"/>
      <c r="D64" s="84"/>
      <c r="E64" s="84"/>
      <c r="F64" s="38">
        <v>637</v>
      </c>
      <c r="G64" s="38">
        <v>38</v>
      </c>
      <c r="H64" s="38">
        <v>828</v>
      </c>
      <c r="I64" s="38">
        <v>47</v>
      </c>
      <c r="J64" s="38">
        <v>688467</v>
      </c>
      <c r="K64" s="61">
        <v>786.8194285714286</v>
      </c>
      <c r="L64" s="39">
        <v>38951247000</v>
      </c>
      <c r="M64" s="39">
        <v>6672302395.3678112</v>
      </c>
      <c r="N64" s="73">
        <v>5.3070473199832513</v>
      </c>
      <c r="O64" s="38">
        <v>80956</v>
      </c>
      <c r="P64" s="38">
        <v>604528</v>
      </c>
    </row>
    <row r="65" spans="2:11">
      <c r="B65"/>
      <c r="C65"/>
      <c r="D65"/>
      <c r="E65"/>
      <c r="F65"/>
      <c r="G65"/>
      <c r="H65"/>
      <c r="I65"/>
      <c r="K65"/>
    </row>
    <row r="66" spans="2:11">
      <c r="B66"/>
      <c r="C66"/>
      <c r="D66"/>
      <c r="E66"/>
      <c r="F66"/>
      <c r="G66"/>
      <c r="H66"/>
      <c r="I66"/>
      <c r="K66"/>
    </row>
    <row r="67" spans="2:11">
      <c r="B67"/>
      <c r="C67"/>
      <c r="D67"/>
      <c r="E67"/>
      <c r="F67"/>
      <c r="G67"/>
      <c r="H67"/>
      <c r="I67"/>
      <c r="K67"/>
    </row>
    <row r="68" spans="2:11">
      <c r="B68"/>
      <c r="C68"/>
      <c r="D68"/>
      <c r="E68"/>
      <c r="F68"/>
      <c r="G68"/>
      <c r="H68"/>
      <c r="I68"/>
      <c r="K68"/>
    </row>
    <row r="69" spans="2:11">
      <c r="B69"/>
      <c r="C69"/>
      <c r="D69"/>
      <c r="E69"/>
      <c r="F69"/>
      <c r="G69"/>
      <c r="H69"/>
      <c r="I69"/>
    </row>
    <row r="70" spans="2:11">
      <c r="B70"/>
      <c r="C70"/>
      <c r="D70"/>
      <c r="E70"/>
      <c r="F70"/>
      <c r="G70"/>
      <c r="H70"/>
      <c r="I70"/>
    </row>
    <row r="71" spans="2:11">
      <c r="B71"/>
      <c r="C71"/>
      <c r="D71"/>
      <c r="E71"/>
      <c r="F71"/>
      <c r="G71"/>
      <c r="H71"/>
      <c r="I71"/>
    </row>
    <row r="72" spans="2:11">
      <c r="B72"/>
      <c r="C72"/>
      <c r="D72"/>
      <c r="E72"/>
      <c r="F72"/>
      <c r="G72"/>
      <c r="H72"/>
      <c r="I72"/>
    </row>
    <row r="73" spans="2:11">
      <c r="B73"/>
      <c r="C73"/>
      <c r="D73"/>
      <c r="E73"/>
      <c r="F73"/>
      <c r="G73"/>
      <c r="H73"/>
      <c r="I73"/>
    </row>
    <row r="74" spans="2:11">
      <c r="B74"/>
      <c r="C74"/>
      <c r="D74"/>
      <c r="E74"/>
      <c r="F74"/>
      <c r="G74"/>
      <c r="H74"/>
      <c r="I74"/>
    </row>
    <row r="75" spans="2:11">
      <c r="B75"/>
      <c r="C75"/>
      <c r="D75"/>
      <c r="E75"/>
      <c r="F75"/>
      <c r="G75"/>
      <c r="H75"/>
      <c r="I75"/>
    </row>
    <row r="76" spans="2:11">
      <c r="B76"/>
      <c r="C76"/>
      <c r="D76"/>
      <c r="E76"/>
      <c r="F76"/>
      <c r="G76"/>
      <c r="H76"/>
      <c r="I76"/>
    </row>
    <row r="77" spans="2:11">
      <c r="B77"/>
      <c r="C77"/>
      <c r="D77"/>
      <c r="E77"/>
      <c r="F77"/>
      <c r="G77"/>
      <c r="H77"/>
      <c r="I77"/>
    </row>
    <row r="78" spans="2:11">
      <c r="B78"/>
      <c r="C78"/>
      <c r="D78"/>
      <c r="E78"/>
      <c r="F78"/>
      <c r="G78"/>
      <c r="H78"/>
      <c r="I78"/>
    </row>
    <row r="79" spans="2:11">
      <c r="B79"/>
      <c r="C79"/>
      <c r="D79"/>
      <c r="E79"/>
      <c r="F79"/>
      <c r="G79"/>
      <c r="H79"/>
      <c r="I79"/>
    </row>
    <row r="80" spans="2:11">
      <c r="B80"/>
      <c r="C80"/>
      <c r="D80"/>
      <c r="E80"/>
      <c r="F80"/>
      <c r="G80"/>
      <c r="H80"/>
      <c r="I80"/>
    </row>
    <row r="81" spans="2:9">
      <c r="B81"/>
      <c r="C81"/>
      <c r="D81"/>
      <c r="E81"/>
      <c r="F81"/>
      <c r="G81"/>
      <c r="H81"/>
      <c r="I81"/>
    </row>
    <row r="82" spans="2:9">
      <c r="B82"/>
      <c r="C82"/>
      <c r="D82"/>
      <c r="E82"/>
      <c r="F82"/>
      <c r="G82"/>
      <c r="H82"/>
      <c r="I82"/>
    </row>
    <row r="83" spans="2:9">
      <c r="B83"/>
      <c r="C83"/>
      <c r="D83"/>
      <c r="E83"/>
      <c r="F83"/>
      <c r="G83"/>
      <c r="H83"/>
      <c r="I83"/>
    </row>
    <row r="84" spans="2:9">
      <c r="B84"/>
      <c r="C84"/>
      <c r="D84"/>
      <c r="E84"/>
      <c r="F84"/>
      <c r="G84"/>
      <c r="H84"/>
      <c r="I84"/>
    </row>
    <row r="85" spans="2:9">
      <c r="B85"/>
      <c r="C85"/>
      <c r="D85"/>
      <c r="E85"/>
      <c r="F85"/>
      <c r="G85"/>
      <c r="H85"/>
      <c r="I85"/>
    </row>
    <row r="86" spans="2:9">
      <c r="B86"/>
      <c r="C86"/>
      <c r="D86"/>
      <c r="E86"/>
      <c r="F86"/>
      <c r="G86"/>
      <c r="H86"/>
      <c r="I86"/>
    </row>
    <row r="87" spans="2:9">
      <c r="B87"/>
      <c r="C87"/>
      <c r="D87"/>
      <c r="E87"/>
      <c r="F87"/>
      <c r="G87"/>
      <c r="H87"/>
      <c r="I87"/>
    </row>
    <row r="88" spans="2:9">
      <c r="B88"/>
      <c r="C88"/>
      <c r="D88"/>
      <c r="E88"/>
      <c r="F88"/>
      <c r="G88"/>
      <c r="H88"/>
      <c r="I88"/>
    </row>
    <row r="89" spans="2:9">
      <c r="B89"/>
      <c r="C89"/>
      <c r="D89"/>
      <c r="E89"/>
      <c r="F89"/>
      <c r="G89"/>
      <c r="H89"/>
      <c r="I89"/>
    </row>
    <row r="90" spans="2:9">
      <c r="B90"/>
      <c r="C90"/>
      <c r="D90"/>
      <c r="E90"/>
      <c r="F90"/>
      <c r="G90"/>
      <c r="H90"/>
      <c r="I90"/>
    </row>
    <row r="91" spans="2:9">
      <c r="B91"/>
      <c r="C91"/>
      <c r="D91"/>
      <c r="E91"/>
      <c r="F91"/>
      <c r="G91"/>
      <c r="H91"/>
      <c r="I91"/>
    </row>
    <row r="92" spans="2:9">
      <c r="B92"/>
      <c r="C92"/>
      <c r="D92"/>
      <c r="E92"/>
      <c r="F92"/>
      <c r="G92"/>
      <c r="H92"/>
      <c r="I92"/>
    </row>
    <row r="93" spans="2:9">
      <c r="B93"/>
      <c r="C93"/>
      <c r="D93"/>
      <c r="E93"/>
      <c r="F93"/>
      <c r="G93"/>
      <c r="H93"/>
      <c r="I93"/>
    </row>
    <row r="94" spans="2:9">
      <c r="B94"/>
      <c r="C94"/>
      <c r="D94"/>
      <c r="E94"/>
      <c r="F94"/>
      <c r="G94"/>
      <c r="H94"/>
      <c r="I94"/>
    </row>
    <row r="95" spans="2:9">
      <c r="B95"/>
      <c r="C95"/>
      <c r="D95"/>
      <c r="E95"/>
      <c r="F95"/>
      <c r="G95"/>
      <c r="H95"/>
      <c r="I95"/>
    </row>
    <row r="96" spans="2:9">
      <c r="B96"/>
      <c r="C96"/>
      <c r="D96"/>
      <c r="E96"/>
      <c r="F96"/>
      <c r="G96"/>
      <c r="H96"/>
      <c r="I96"/>
    </row>
    <row r="97" spans="2:9">
      <c r="B97"/>
      <c r="C97"/>
      <c r="D97"/>
      <c r="E97"/>
      <c r="F97"/>
      <c r="G97"/>
      <c r="H97"/>
      <c r="I97"/>
    </row>
    <row r="98" spans="2:9">
      <c r="B98"/>
      <c r="C98"/>
      <c r="D98"/>
      <c r="E98"/>
      <c r="F98"/>
      <c r="G98"/>
      <c r="H98"/>
      <c r="I98"/>
    </row>
    <row r="99" spans="2:9">
      <c r="B99"/>
      <c r="C99"/>
      <c r="D99"/>
      <c r="E99"/>
      <c r="F99"/>
      <c r="G99"/>
      <c r="H99"/>
      <c r="I99"/>
    </row>
    <row r="100" spans="2:9">
      <c r="B100"/>
      <c r="C100"/>
      <c r="D100"/>
      <c r="E100"/>
      <c r="F100"/>
      <c r="G100"/>
      <c r="H100"/>
      <c r="I100"/>
    </row>
    <row r="101" spans="2:9">
      <c r="B101"/>
      <c r="C101"/>
      <c r="D101"/>
      <c r="E101"/>
      <c r="F101"/>
      <c r="G101"/>
      <c r="H101"/>
      <c r="I101"/>
    </row>
    <row r="102" spans="2:9">
      <c r="B102"/>
      <c r="C102"/>
      <c r="D102"/>
      <c r="E102"/>
      <c r="F102"/>
      <c r="G102"/>
      <c r="H102"/>
      <c r="I102"/>
    </row>
    <row r="103" spans="2:9">
      <c r="B103"/>
      <c r="C103"/>
      <c r="D103"/>
      <c r="E103"/>
      <c r="F103"/>
      <c r="G103"/>
      <c r="H103"/>
      <c r="I103"/>
    </row>
    <row r="104" spans="2:9">
      <c r="B104"/>
      <c r="C104"/>
      <c r="D104"/>
      <c r="E104"/>
      <c r="F104"/>
      <c r="G104"/>
      <c r="H104"/>
      <c r="I104"/>
    </row>
    <row r="105" spans="2:9">
      <c r="B105"/>
      <c r="C105"/>
      <c r="D105"/>
      <c r="E105"/>
      <c r="F105"/>
      <c r="G105"/>
      <c r="H105"/>
      <c r="I105"/>
    </row>
    <row r="106" spans="2:9">
      <c r="B106"/>
      <c r="C106"/>
      <c r="D106"/>
      <c r="E106"/>
      <c r="F106"/>
      <c r="G106"/>
      <c r="H106"/>
      <c r="I106"/>
    </row>
    <row r="107" spans="2:9">
      <c r="B107"/>
      <c r="C107"/>
      <c r="D107"/>
      <c r="E107"/>
      <c r="F107"/>
      <c r="G107"/>
      <c r="H107"/>
      <c r="I107"/>
    </row>
    <row r="108" spans="2:9">
      <c r="B108"/>
      <c r="C108"/>
      <c r="D108"/>
      <c r="E108"/>
      <c r="F108"/>
      <c r="G108"/>
      <c r="H108"/>
      <c r="I108"/>
    </row>
    <row r="109" spans="2:9">
      <c r="B109"/>
      <c r="C109"/>
      <c r="D109"/>
      <c r="E109"/>
      <c r="F109"/>
      <c r="G109"/>
      <c r="H109"/>
      <c r="I109"/>
    </row>
    <row r="110" spans="2:9">
      <c r="B110"/>
      <c r="C110"/>
      <c r="D110"/>
      <c r="E110"/>
      <c r="F110"/>
      <c r="G110"/>
      <c r="H110"/>
      <c r="I110"/>
    </row>
    <row r="111" spans="2:9">
      <c r="B111"/>
      <c r="C111"/>
      <c r="D111"/>
      <c r="E111"/>
      <c r="F111"/>
      <c r="G111"/>
      <c r="H111"/>
      <c r="I111"/>
    </row>
    <row r="112" spans="2:9">
      <c r="B112"/>
      <c r="C112"/>
      <c r="D112"/>
      <c r="E112"/>
      <c r="F112"/>
      <c r="G112"/>
      <c r="H112"/>
      <c r="I112"/>
    </row>
    <row r="113" spans="2:9">
      <c r="B113"/>
      <c r="C113"/>
      <c r="D113"/>
      <c r="E113"/>
      <c r="F113"/>
      <c r="G113"/>
      <c r="H113"/>
      <c r="I113"/>
    </row>
    <row r="114" spans="2:9">
      <c r="B114"/>
      <c r="C114"/>
      <c r="D114"/>
      <c r="E114"/>
      <c r="F114"/>
      <c r="G114"/>
      <c r="H114"/>
      <c r="I114"/>
    </row>
    <row r="115" spans="2:9">
      <c r="B115"/>
      <c r="C115"/>
      <c r="D115"/>
      <c r="E115"/>
      <c r="F115"/>
      <c r="G115"/>
      <c r="H115"/>
      <c r="I115"/>
    </row>
    <row r="116" spans="2:9">
      <c r="B116"/>
      <c r="C116"/>
      <c r="D116"/>
      <c r="E116"/>
      <c r="F116"/>
      <c r="G116"/>
      <c r="H116"/>
      <c r="I116"/>
    </row>
    <row r="117" spans="2:9">
      <c r="B117"/>
      <c r="C117"/>
      <c r="D117"/>
      <c r="E117"/>
      <c r="F117"/>
      <c r="G117"/>
      <c r="H117"/>
      <c r="I117"/>
    </row>
    <row r="118" spans="2:9">
      <c r="B118"/>
      <c r="C118"/>
      <c r="D118"/>
      <c r="E118"/>
      <c r="F118"/>
      <c r="G118"/>
      <c r="H118"/>
      <c r="I118"/>
    </row>
    <row r="119" spans="2:9">
      <c r="B119"/>
      <c r="C119"/>
      <c r="D119"/>
      <c r="E119"/>
      <c r="F119"/>
      <c r="G119"/>
      <c r="H119"/>
      <c r="I119"/>
    </row>
    <row r="120" spans="2:9">
      <c r="B120"/>
      <c r="C120"/>
      <c r="D120"/>
      <c r="E120"/>
      <c r="F120"/>
      <c r="G120"/>
      <c r="H120"/>
      <c r="I120"/>
    </row>
    <row r="121" spans="2:9">
      <c r="B121"/>
      <c r="C121"/>
      <c r="D121"/>
      <c r="E121"/>
      <c r="F121"/>
      <c r="G121"/>
      <c r="H121"/>
      <c r="I121"/>
    </row>
    <row r="122" spans="2:9">
      <c r="B122"/>
      <c r="C122"/>
      <c r="D122"/>
      <c r="E122"/>
      <c r="F122"/>
      <c r="G122"/>
      <c r="H122"/>
      <c r="I122"/>
    </row>
    <row r="123" spans="2:9">
      <c r="B123"/>
      <c r="C123"/>
      <c r="D123"/>
      <c r="E123"/>
      <c r="F123"/>
      <c r="G123"/>
      <c r="H123"/>
      <c r="I123"/>
    </row>
    <row r="124" spans="2:9">
      <c r="B124"/>
      <c r="C124"/>
      <c r="D124"/>
      <c r="E124"/>
      <c r="F124"/>
      <c r="G124"/>
      <c r="H124"/>
      <c r="I124"/>
    </row>
    <row r="125" spans="2:9">
      <c r="B125"/>
      <c r="C125"/>
      <c r="D125"/>
      <c r="E125"/>
      <c r="F125"/>
      <c r="G125"/>
      <c r="H125"/>
      <c r="I125"/>
    </row>
    <row r="126" spans="2:9">
      <c r="B126"/>
      <c r="C126"/>
      <c r="D126"/>
      <c r="E126"/>
      <c r="F126"/>
      <c r="G126"/>
      <c r="H126"/>
      <c r="I126"/>
    </row>
    <row r="127" spans="2:9">
      <c r="B127"/>
      <c r="C127"/>
      <c r="D127"/>
      <c r="E127"/>
      <c r="F127"/>
      <c r="G127"/>
      <c r="H127"/>
      <c r="I127"/>
    </row>
    <row r="128" spans="2:9">
      <c r="B128"/>
      <c r="C128"/>
      <c r="D128"/>
      <c r="E128"/>
      <c r="F128"/>
      <c r="G128"/>
      <c r="H128"/>
      <c r="I128"/>
    </row>
    <row r="129" spans="2:9">
      <c r="B129"/>
      <c r="C129"/>
      <c r="D129"/>
      <c r="E129"/>
      <c r="F129"/>
      <c r="G129"/>
      <c r="H129"/>
      <c r="I129"/>
    </row>
    <row r="130" spans="2:9">
      <c r="B130"/>
      <c r="C130"/>
      <c r="D130"/>
      <c r="E130"/>
      <c r="F130"/>
      <c r="G130"/>
      <c r="H130"/>
      <c r="I130"/>
    </row>
    <row r="131" spans="2:9">
      <c r="B131"/>
      <c r="C131"/>
      <c r="D131"/>
      <c r="E131"/>
      <c r="F131"/>
      <c r="G131"/>
      <c r="H131"/>
      <c r="I131"/>
    </row>
    <row r="132" spans="2:9">
      <c r="B132"/>
      <c r="C132"/>
      <c r="D132"/>
      <c r="E132"/>
      <c r="F132"/>
      <c r="G132"/>
      <c r="H132"/>
      <c r="I132"/>
    </row>
    <row r="133" spans="2:9">
      <c r="B133"/>
      <c r="C133"/>
      <c r="D133"/>
      <c r="E133"/>
      <c r="F133"/>
      <c r="G133"/>
      <c r="H133"/>
      <c r="I133"/>
    </row>
    <row r="134" spans="2:9">
      <c r="B134"/>
      <c r="C134"/>
      <c r="D134"/>
      <c r="E134"/>
      <c r="F134"/>
      <c r="G134"/>
      <c r="H134"/>
      <c r="I134"/>
    </row>
    <row r="135" spans="2:9">
      <c r="B135"/>
      <c r="C135"/>
      <c r="D135"/>
      <c r="E135"/>
      <c r="F135"/>
      <c r="G135"/>
      <c r="H135"/>
      <c r="I135"/>
    </row>
    <row r="136" spans="2:9">
      <c r="B136"/>
      <c r="C136"/>
      <c r="D136"/>
      <c r="E136"/>
      <c r="F136"/>
      <c r="G136"/>
      <c r="H136"/>
      <c r="I136"/>
    </row>
    <row r="137" spans="2:9">
      <c r="B137"/>
      <c r="C137"/>
      <c r="D137"/>
      <c r="E137"/>
      <c r="F137"/>
      <c r="G137"/>
      <c r="H137"/>
      <c r="I137"/>
    </row>
    <row r="138" spans="2:9">
      <c r="B138"/>
      <c r="C138"/>
      <c r="D138"/>
      <c r="E138"/>
      <c r="F138"/>
      <c r="G138"/>
      <c r="H138"/>
      <c r="I138"/>
    </row>
    <row r="139" spans="2:9">
      <c r="B139"/>
      <c r="C139"/>
      <c r="D139"/>
      <c r="E139"/>
      <c r="F139"/>
      <c r="G139"/>
      <c r="H139"/>
      <c r="I139"/>
    </row>
    <row r="140" spans="2:9">
      <c r="B140"/>
      <c r="C140"/>
      <c r="D140"/>
      <c r="E140"/>
      <c r="F140"/>
      <c r="G140"/>
      <c r="H140"/>
      <c r="I140"/>
    </row>
    <row r="141" spans="2:9">
      <c r="B141"/>
      <c r="C141"/>
      <c r="D141"/>
      <c r="E141"/>
      <c r="F141"/>
      <c r="G141"/>
      <c r="H141"/>
      <c r="I141"/>
    </row>
    <row r="142" spans="2:9">
      <c r="B142"/>
      <c r="C142"/>
      <c r="D142"/>
      <c r="E142"/>
      <c r="F142"/>
      <c r="G142"/>
      <c r="H142"/>
      <c r="I142"/>
    </row>
    <row r="143" spans="2:9">
      <c r="B143"/>
      <c r="C143"/>
      <c r="D143"/>
      <c r="E143"/>
      <c r="F143"/>
      <c r="G143"/>
      <c r="H143"/>
      <c r="I143"/>
    </row>
    <row r="144" spans="2:9">
      <c r="B144"/>
      <c r="C144"/>
      <c r="D144"/>
      <c r="E144"/>
      <c r="F144"/>
      <c r="G144"/>
      <c r="H144"/>
      <c r="I144"/>
    </row>
    <row r="145" spans="2:9">
      <c r="B145"/>
      <c r="C145"/>
      <c r="D145"/>
      <c r="E145"/>
      <c r="F145"/>
      <c r="G145"/>
      <c r="H145"/>
      <c r="I145"/>
    </row>
    <row r="146" spans="2:9">
      <c r="B146"/>
      <c r="C146"/>
      <c r="D146"/>
      <c r="E146"/>
      <c r="F146"/>
      <c r="G146"/>
      <c r="H146"/>
      <c r="I146"/>
    </row>
    <row r="147" spans="2:9">
      <c r="B147"/>
      <c r="C147"/>
      <c r="D147"/>
      <c r="E147"/>
      <c r="F147"/>
      <c r="G147"/>
      <c r="H147"/>
      <c r="I147"/>
    </row>
    <row r="148" spans="2:9">
      <c r="B148"/>
      <c r="C148"/>
      <c r="D148"/>
      <c r="E148"/>
      <c r="F148"/>
      <c r="G148"/>
      <c r="H148"/>
      <c r="I148"/>
    </row>
    <row r="149" spans="2:9">
      <c r="B149"/>
      <c r="C149"/>
      <c r="D149"/>
      <c r="E149"/>
      <c r="F149"/>
      <c r="G149"/>
      <c r="H149"/>
      <c r="I149"/>
    </row>
    <row r="150" spans="2:9">
      <c r="B150"/>
      <c r="C150"/>
      <c r="D150"/>
      <c r="E150"/>
      <c r="F150"/>
      <c r="G150"/>
      <c r="H150"/>
      <c r="I150"/>
    </row>
    <row r="151" spans="2:9">
      <c r="B151"/>
      <c r="C151"/>
      <c r="D151"/>
      <c r="E151"/>
      <c r="F151"/>
      <c r="G151"/>
      <c r="H151"/>
      <c r="I151"/>
    </row>
    <row r="152" spans="2:9">
      <c r="B152"/>
      <c r="C152"/>
      <c r="D152"/>
      <c r="E152"/>
      <c r="F152"/>
      <c r="G152"/>
      <c r="H152"/>
      <c r="I152"/>
    </row>
    <row r="153" spans="2:9">
      <c r="B153"/>
      <c r="C153"/>
      <c r="D153"/>
      <c r="E153"/>
      <c r="F153"/>
      <c r="G153"/>
      <c r="H153"/>
      <c r="I153"/>
    </row>
    <row r="154" spans="2:9">
      <c r="B154"/>
      <c r="C154"/>
      <c r="D154"/>
      <c r="E154"/>
      <c r="F154"/>
      <c r="G154"/>
      <c r="H154"/>
      <c r="I154"/>
    </row>
    <row r="155" spans="2:9">
      <c r="B155"/>
      <c r="C155"/>
      <c r="D155"/>
      <c r="E155"/>
      <c r="F155"/>
      <c r="G155"/>
      <c r="H155"/>
      <c r="I155"/>
    </row>
    <row r="156" spans="2:9">
      <c r="B156"/>
      <c r="C156"/>
      <c r="D156"/>
      <c r="E156"/>
      <c r="F156"/>
      <c r="G156"/>
      <c r="H156"/>
      <c r="I156"/>
    </row>
    <row r="157" spans="2:9">
      <c r="B157"/>
      <c r="C157"/>
      <c r="D157"/>
      <c r="E157"/>
      <c r="F157"/>
      <c r="G157"/>
      <c r="H157"/>
      <c r="I157"/>
    </row>
    <row r="158" spans="2:9">
      <c r="B158"/>
      <c r="C158"/>
      <c r="D158"/>
      <c r="E158"/>
      <c r="F158"/>
      <c r="G158"/>
      <c r="H158"/>
      <c r="I158"/>
    </row>
    <row r="159" spans="2:9">
      <c r="B159"/>
      <c r="C159"/>
      <c r="D159"/>
      <c r="E159"/>
      <c r="F159"/>
      <c r="G159"/>
      <c r="H159"/>
      <c r="I159"/>
    </row>
    <row r="160" spans="2:9">
      <c r="B160"/>
      <c r="C160"/>
      <c r="D160"/>
      <c r="E160"/>
      <c r="F160"/>
      <c r="G160"/>
      <c r="H160"/>
      <c r="I160"/>
    </row>
    <row r="161" spans="2:9">
      <c r="B161"/>
      <c r="C161"/>
      <c r="D161"/>
      <c r="E161"/>
      <c r="F161"/>
      <c r="G161"/>
      <c r="H161"/>
      <c r="I161"/>
    </row>
    <row r="162" spans="2:9">
      <c r="B162"/>
      <c r="C162"/>
      <c r="D162"/>
      <c r="E162"/>
      <c r="F162"/>
      <c r="G162"/>
      <c r="H162"/>
      <c r="I162"/>
    </row>
    <row r="163" spans="2:9">
      <c r="B163"/>
      <c r="C163"/>
      <c r="D163"/>
      <c r="E163"/>
      <c r="F163"/>
      <c r="G163"/>
      <c r="H163"/>
      <c r="I163"/>
    </row>
    <row r="164" spans="2:9">
      <c r="B164"/>
      <c r="C164"/>
      <c r="D164"/>
      <c r="E164"/>
      <c r="F164"/>
      <c r="G164"/>
      <c r="H164"/>
      <c r="I164"/>
    </row>
    <row r="165" spans="2:9">
      <c r="B165"/>
      <c r="C165"/>
      <c r="D165"/>
      <c r="E165"/>
      <c r="F165"/>
      <c r="G165"/>
      <c r="H165"/>
      <c r="I165"/>
    </row>
    <row r="166" spans="2:9">
      <c r="B166"/>
      <c r="C166"/>
      <c r="D166"/>
      <c r="E166"/>
      <c r="F166"/>
      <c r="G166"/>
      <c r="H166"/>
      <c r="I166"/>
    </row>
    <row r="167" spans="2:9">
      <c r="B167"/>
      <c r="C167"/>
      <c r="D167"/>
      <c r="E167"/>
      <c r="F167"/>
      <c r="G167"/>
      <c r="H167"/>
      <c r="I167"/>
    </row>
    <row r="168" spans="2:9">
      <c r="B168"/>
      <c r="C168"/>
      <c r="D168"/>
      <c r="E168"/>
      <c r="F168"/>
      <c r="G168"/>
      <c r="H168"/>
      <c r="I168"/>
    </row>
    <row r="169" spans="2:9">
      <c r="B169"/>
      <c r="C169"/>
      <c r="D169"/>
      <c r="E169"/>
      <c r="F169"/>
      <c r="G169"/>
      <c r="H169"/>
      <c r="I169"/>
    </row>
    <row r="170" spans="2:9">
      <c r="B170"/>
      <c r="C170"/>
      <c r="D170"/>
      <c r="E170"/>
      <c r="F170"/>
      <c r="G170"/>
      <c r="H170"/>
      <c r="I170"/>
    </row>
    <row r="171" spans="2:9">
      <c r="B171"/>
      <c r="C171"/>
      <c r="D171"/>
      <c r="E171"/>
      <c r="F171"/>
      <c r="G171"/>
      <c r="H171"/>
      <c r="I171"/>
    </row>
    <row r="172" spans="2:9">
      <c r="B172"/>
      <c r="C172"/>
      <c r="D172"/>
      <c r="E172"/>
      <c r="F172"/>
      <c r="G172"/>
      <c r="H172"/>
      <c r="I172"/>
    </row>
    <row r="173" spans="2:9">
      <c r="B173"/>
      <c r="C173"/>
      <c r="D173"/>
      <c r="E173"/>
      <c r="F173"/>
      <c r="G173"/>
      <c r="H173"/>
      <c r="I173"/>
    </row>
    <row r="174" spans="2:9">
      <c r="B174"/>
      <c r="C174"/>
      <c r="D174"/>
      <c r="E174"/>
      <c r="F174"/>
      <c r="G174"/>
      <c r="H174"/>
      <c r="I174"/>
    </row>
    <row r="175" spans="2:9">
      <c r="B175"/>
      <c r="C175"/>
      <c r="D175"/>
      <c r="E175"/>
      <c r="F175"/>
      <c r="G175"/>
      <c r="H175"/>
      <c r="I175"/>
    </row>
    <row r="176" spans="2:9">
      <c r="B176"/>
      <c r="C176"/>
      <c r="D176"/>
      <c r="E176"/>
      <c r="F176"/>
      <c r="G176"/>
      <c r="H176"/>
      <c r="I176"/>
    </row>
    <row r="177" spans="2:9">
      <c r="B177"/>
      <c r="C177"/>
      <c r="D177"/>
      <c r="E177"/>
      <c r="F177"/>
      <c r="G177"/>
      <c r="H177"/>
      <c r="I177"/>
    </row>
    <row r="178" spans="2:9">
      <c r="B178"/>
      <c r="C178"/>
      <c r="D178"/>
      <c r="E178"/>
      <c r="F178"/>
      <c r="G178"/>
      <c r="H178"/>
      <c r="I178"/>
    </row>
    <row r="179" spans="2:9">
      <c r="B179"/>
      <c r="C179"/>
      <c r="D179"/>
      <c r="E179"/>
      <c r="F179"/>
      <c r="G179"/>
      <c r="H179"/>
      <c r="I179"/>
    </row>
    <row r="180" spans="2:9">
      <c r="B180"/>
      <c r="C180"/>
      <c r="D180"/>
      <c r="E180"/>
      <c r="F180"/>
      <c r="G180"/>
      <c r="H180"/>
      <c r="I180"/>
    </row>
    <row r="181" spans="2:9">
      <c r="B181"/>
      <c r="C181"/>
      <c r="D181"/>
      <c r="E181"/>
      <c r="F181"/>
      <c r="G181"/>
      <c r="H181"/>
      <c r="I181"/>
    </row>
    <row r="182" spans="2:9">
      <c r="B182"/>
      <c r="C182"/>
      <c r="D182"/>
      <c r="E182"/>
      <c r="F182"/>
      <c r="G182"/>
      <c r="H182"/>
      <c r="I182"/>
    </row>
    <row r="183" spans="2:9">
      <c r="B183"/>
      <c r="C183"/>
      <c r="D183"/>
      <c r="E183"/>
      <c r="F183"/>
      <c r="G183"/>
      <c r="H183"/>
      <c r="I183"/>
    </row>
    <row r="184" spans="2:9">
      <c r="B184"/>
      <c r="C184"/>
      <c r="D184"/>
      <c r="E184"/>
      <c r="F184"/>
      <c r="G184"/>
      <c r="H184"/>
      <c r="I184"/>
    </row>
    <row r="185" spans="2:9">
      <c r="B185"/>
      <c r="C185"/>
      <c r="D185"/>
      <c r="E185"/>
      <c r="F185"/>
      <c r="G185"/>
      <c r="H185"/>
      <c r="I185"/>
    </row>
    <row r="186" spans="2:9">
      <c r="B186"/>
      <c r="C186"/>
      <c r="D186"/>
      <c r="E186"/>
      <c r="F186"/>
      <c r="G186"/>
      <c r="H186"/>
      <c r="I186"/>
    </row>
    <row r="187" spans="2:9">
      <c r="B187"/>
      <c r="C187"/>
      <c r="D187"/>
      <c r="E187"/>
      <c r="F187"/>
      <c r="G187"/>
      <c r="H187"/>
      <c r="I187"/>
    </row>
    <row r="188" spans="2:9">
      <c r="B188"/>
      <c r="C188"/>
      <c r="D188"/>
      <c r="E188"/>
      <c r="F188"/>
      <c r="G188"/>
      <c r="H188"/>
      <c r="I188"/>
    </row>
    <row r="189" spans="2:9">
      <c r="B189"/>
      <c r="C189"/>
      <c r="D189"/>
      <c r="E189"/>
      <c r="F189"/>
      <c r="G189"/>
      <c r="H189"/>
      <c r="I189"/>
    </row>
    <row r="190" spans="2:9">
      <c r="B190"/>
      <c r="C190"/>
      <c r="D190"/>
      <c r="E190"/>
      <c r="F190"/>
      <c r="G190"/>
      <c r="H190"/>
      <c r="I190"/>
    </row>
    <row r="191" spans="2:9">
      <c r="B191"/>
      <c r="C191"/>
      <c r="D191"/>
      <c r="E191"/>
      <c r="F191"/>
      <c r="G191"/>
      <c r="H191"/>
      <c r="I191"/>
    </row>
    <row r="192" spans="2:9">
      <c r="B192"/>
      <c r="C192"/>
      <c r="D192"/>
      <c r="E192"/>
      <c r="F192"/>
      <c r="G192"/>
      <c r="H192"/>
      <c r="I192"/>
    </row>
    <row r="193" spans="2:9">
      <c r="B193"/>
      <c r="C193"/>
      <c r="D193"/>
      <c r="E193"/>
      <c r="F193"/>
      <c r="G193"/>
      <c r="H193"/>
      <c r="I193"/>
    </row>
    <row r="194" spans="2:9">
      <c r="B194"/>
      <c r="C194"/>
      <c r="D194"/>
      <c r="E194"/>
      <c r="F194"/>
      <c r="G194"/>
      <c r="H194"/>
      <c r="I194"/>
    </row>
    <row r="195" spans="2:9">
      <c r="B195"/>
      <c r="C195"/>
      <c r="D195"/>
      <c r="E195"/>
      <c r="F195"/>
      <c r="G195"/>
      <c r="H195"/>
      <c r="I195"/>
    </row>
    <row r="196" spans="2:9">
      <c r="B196"/>
      <c r="C196"/>
      <c r="D196"/>
      <c r="E196"/>
      <c r="F196"/>
      <c r="G196"/>
      <c r="H196"/>
      <c r="I196"/>
    </row>
    <row r="197" spans="2:9">
      <c r="B197"/>
      <c r="C197"/>
      <c r="D197"/>
      <c r="E197"/>
      <c r="F197"/>
      <c r="G197"/>
      <c r="H197"/>
      <c r="I197"/>
    </row>
    <row r="198" spans="2:9">
      <c r="B198"/>
      <c r="C198"/>
      <c r="D198"/>
      <c r="E198"/>
      <c r="F198"/>
      <c r="G198"/>
      <c r="H198"/>
      <c r="I198"/>
    </row>
    <row r="199" spans="2:9">
      <c r="B199"/>
      <c r="C199"/>
      <c r="D199"/>
      <c r="E199"/>
      <c r="F199"/>
      <c r="G199"/>
      <c r="H199"/>
      <c r="I199"/>
    </row>
    <row r="200" spans="2:9">
      <c r="B200"/>
      <c r="C200"/>
      <c r="D200"/>
      <c r="E200"/>
      <c r="F200"/>
      <c r="G200"/>
      <c r="H200"/>
      <c r="I200"/>
    </row>
    <row r="201" spans="2:9">
      <c r="B201"/>
      <c r="C201"/>
      <c r="D201"/>
      <c r="E201"/>
      <c r="F201"/>
      <c r="G201"/>
      <c r="H201"/>
      <c r="I201"/>
    </row>
    <row r="202" spans="2:9">
      <c r="B202"/>
      <c r="C202"/>
      <c r="D202"/>
      <c r="E202"/>
      <c r="F202"/>
      <c r="G202"/>
      <c r="H202"/>
      <c r="I202"/>
    </row>
    <row r="203" spans="2:9">
      <c r="B203"/>
      <c r="C203"/>
      <c r="D203"/>
      <c r="E203"/>
      <c r="F203"/>
      <c r="G203"/>
      <c r="H203"/>
      <c r="I203"/>
    </row>
    <row r="204" spans="2:9">
      <c r="B204"/>
      <c r="C204"/>
      <c r="D204"/>
      <c r="E204"/>
      <c r="F204"/>
      <c r="G204"/>
      <c r="H204"/>
      <c r="I204"/>
    </row>
    <row r="205" spans="2:9">
      <c r="B205"/>
      <c r="C205"/>
      <c r="D205"/>
      <c r="E205"/>
      <c r="F205"/>
      <c r="G205"/>
      <c r="H205"/>
      <c r="I205"/>
    </row>
    <row r="206" spans="2:9">
      <c r="B206"/>
      <c r="C206"/>
      <c r="D206"/>
      <c r="E206"/>
      <c r="F206"/>
      <c r="G206"/>
      <c r="H206"/>
      <c r="I206"/>
    </row>
    <row r="207" spans="2:9">
      <c r="B207"/>
      <c r="C207"/>
      <c r="D207"/>
      <c r="E207"/>
      <c r="F207"/>
      <c r="G207"/>
      <c r="H207"/>
      <c r="I207"/>
    </row>
    <row r="208" spans="2:9">
      <c r="B208"/>
      <c r="C208"/>
      <c r="D208"/>
      <c r="E208"/>
      <c r="F208"/>
      <c r="G208"/>
      <c r="H208"/>
      <c r="I208"/>
    </row>
    <row r="209" spans="2:9">
      <c r="B209"/>
      <c r="C209"/>
      <c r="D209"/>
      <c r="E209"/>
      <c r="F209"/>
      <c r="G209"/>
      <c r="H209"/>
      <c r="I209"/>
    </row>
    <row r="210" spans="2:9">
      <c r="B210"/>
      <c r="C210"/>
      <c r="D210"/>
      <c r="E210"/>
      <c r="F210"/>
      <c r="G210"/>
      <c r="H210"/>
      <c r="I210"/>
    </row>
    <row r="211" spans="2:9">
      <c r="B211"/>
      <c r="C211"/>
      <c r="D211"/>
      <c r="E211"/>
      <c r="F211"/>
      <c r="G211"/>
      <c r="H211"/>
      <c r="I211"/>
    </row>
    <row r="212" spans="2:9">
      <c r="B212"/>
      <c r="C212"/>
      <c r="D212"/>
      <c r="E212"/>
      <c r="F212"/>
      <c r="G212"/>
      <c r="H212"/>
      <c r="I212"/>
    </row>
    <row r="213" spans="2:9">
      <c r="B213"/>
      <c r="C213"/>
      <c r="D213"/>
      <c r="E213"/>
      <c r="F213"/>
      <c r="G213"/>
      <c r="H213"/>
      <c r="I213"/>
    </row>
    <row r="214" spans="2:9">
      <c r="B214"/>
      <c r="C214"/>
      <c r="D214"/>
      <c r="E214"/>
      <c r="F214"/>
      <c r="G214"/>
      <c r="H214"/>
      <c r="I214"/>
    </row>
    <row r="215" spans="2:9">
      <c r="B215"/>
      <c r="C215"/>
      <c r="D215"/>
      <c r="E215"/>
      <c r="F215"/>
      <c r="G215"/>
      <c r="H215"/>
      <c r="I215"/>
    </row>
    <row r="216" spans="2:9">
      <c r="B216"/>
      <c r="C216"/>
      <c r="D216"/>
      <c r="E216"/>
      <c r="F216"/>
      <c r="G216"/>
      <c r="H216"/>
      <c r="I216"/>
    </row>
    <row r="217" spans="2:9">
      <c r="B217"/>
      <c r="C217"/>
      <c r="D217"/>
      <c r="E217"/>
      <c r="F217"/>
      <c r="G217"/>
      <c r="H217"/>
      <c r="I217"/>
    </row>
    <row r="218" spans="2:9">
      <c r="B218"/>
      <c r="C218"/>
      <c r="D218"/>
      <c r="E218"/>
      <c r="F218"/>
      <c r="G218"/>
      <c r="H218"/>
      <c r="I218"/>
    </row>
    <row r="219" spans="2:9">
      <c r="B219"/>
      <c r="C219"/>
      <c r="D219"/>
      <c r="E219"/>
      <c r="F219"/>
      <c r="G219"/>
      <c r="H219"/>
      <c r="I219"/>
    </row>
    <row r="220" spans="2:9">
      <c r="B220"/>
      <c r="C220"/>
      <c r="D220"/>
      <c r="E220"/>
      <c r="F220"/>
      <c r="G220"/>
      <c r="H220"/>
      <c r="I220"/>
    </row>
    <row r="221" spans="2:9">
      <c r="B221"/>
      <c r="C221"/>
      <c r="D221"/>
      <c r="E221"/>
      <c r="F221"/>
      <c r="G221"/>
      <c r="H221"/>
      <c r="I221"/>
    </row>
    <row r="222" spans="2:9">
      <c r="B222"/>
      <c r="C222"/>
      <c r="D222"/>
      <c r="E222"/>
      <c r="F222"/>
      <c r="G222"/>
      <c r="H222"/>
      <c r="I222"/>
    </row>
    <row r="223" spans="2:9">
      <c r="B223"/>
      <c r="C223"/>
      <c r="D223"/>
      <c r="E223"/>
      <c r="F223"/>
      <c r="G223"/>
      <c r="H223"/>
      <c r="I223"/>
    </row>
    <row r="224" spans="2:9">
      <c r="B224"/>
      <c r="C224"/>
      <c r="D224"/>
      <c r="E224"/>
      <c r="F224"/>
      <c r="G224"/>
      <c r="H224"/>
      <c r="I224"/>
    </row>
    <row r="225" spans="2:9">
      <c r="B225"/>
      <c r="C225"/>
      <c r="D225"/>
      <c r="E225"/>
      <c r="F225"/>
      <c r="G225"/>
      <c r="H225"/>
      <c r="I225"/>
    </row>
    <row r="226" spans="2:9">
      <c r="B226"/>
      <c r="C226"/>
      <c r="D226"/>
      <c r="E226"/>
      <c r="F226"/>
      <c r="G226"/>
      <c r="H226"/>
      <c r="I226"/>
    </row>
    <row r="227" spans="2:9">
      <c r="B227"/>
      <c r="C227"/>
      <c r="D227"/>
      <c r="E227"/>
      <c r="F227"/>
      <c r="G227"/>
      <c r="H227"/>
      <c r="I227"/>
    </row>
    <row r="228" spans="2:9">
      <c r="B228"/>
      <c r="C228"/>
      <c r="D228"/>
      <c r="E228"/>
      <c r="F228"/>
      <c r="G228"/>
      <c r="H228"/>
      <c r="I228"/>
    </row>
    <row r="229" spans="2:9">
      <c r="B229"/>
      <c r="C229"/>
      <c r="D229"/>
      <c r="E229"/>
      <c r="F229"/>
      <c r="G229"/>
      <c r="H229"/>
      <c r="I229"/>
    </row>
    <row r="230" spans="2:9">
      <c r="B230"/>
      <c r="C230"/>
      <c r="D230"/>
      <c r="E230"/>
      <c r="F230"/>
      <c r="G230"/>
      <c r="H230"/>
      <c r="I230"/>
    </row>
    <row r="231" spans="2:9">
      <c r="B231"/>
      <c r="C231"/>
      <c r="D231"/>
      <c r="E231"/>
      <c r="F231"/>
      <c r="G231"/>
      <c r="H231"/>
      <c r="I231"/>
    </row>
    <row r="232" spans="2:9">
      <c r="B232"/>
      <c r="C232"/>
      <c r="D232"/>
      <c r="E232"/>
      <c r="F232"/>
      <c r="G232"/>
      <c r="H232"/>
      <c r="I232"/>
    </row>
    <row r="233" spans="2:9">
      <c r="B233"/>
      <c r="C233"/>
      <c r="D233"/>
      <c r="E233"/>
      <c r="F233"/>
      <c r="G233"/>
      <c r="H233"/>
      <c r="I233"/>
    </row>
    <row r="234" spans="2:9">
      <c r="B234"/>
      <c r="C234"/>
      <c r="D234"/>
      <c r="E234"/>
      <c r="F234"/>
      <c r="G234"/>
      <c r="H234"/>
      <c r="I234"/>
    </row>
    <row r="235" spans="2:9">
      <c r="B235"/>
      <c r="C235"/>
      <c r="D235"/>
      <c r="E235"/>
      <c r="F235"/>
      <c r="G235"/>
      <c r="H235"/>
      <c r="I235"/>
    </row>
    <row r="236" spans="2:9">
      <c r="B236"/>
      <c r="C236"/>
      <c r="D236"/>
      <c r="E236"/>
      <c r="F236"/>
      <c r="G236"/>
      <c r="H236"/>
      <c r="I236"/>
    </row>
    <row r="237" spans="2:9">
      <c r="B237"/>
      <c r="C237"/>
      <c r="D237"/>
      <c r="E237"/>
      <c r="F237"/>
      <c r="G237"/>
      <c r="H237"/>
      <c r="I237"/>
    </row>
    <row r="238" spans="2:9">
      <c r="B238"/>
      <c r="C238"/>
      <c r="D238"/>
      <c r="E238"/>
      <c r="F238"/>
      <c r="G238"/>
      <c r="H238"/>
      <c r="I238"/>
    </row>
    <row r="239" spans="2:9">
      <c r="B239"/>
      <c r="C239"/>
      <c r="D239"/>
      <c r="E239"/>
      <c r="F239"/>
      <c r="G239"/>
      <c r="H239"/>
      <c r="I239"/>
    </row>
    <row r="240" spans="2:9">
      <c r="B240"/>
      <c r="C240"/>
      <c r="D240"/>
      <c r="E240"/>
      <c r="F240"/>
      <c r="G240"/>
      <c r="H240"/>
      <c r="I240"/>
    </row>
    <row r="241" spans="2:9">
      <c r="B241"/>
      <c r="C241"/>
      <c r="D241"/>
      <c r="E241"/>
      <c r="F241"/>
      <c r="G241"/>
      <c r="H241"/>
      <c r="I241"/>
    </row>
    <row r="242" spans="2:9">
      <c r="B242"/>
      <c r="C242"/>
      <c r="D242"/>
      <c r="E242"/>
      <c r="F242"/>
      <c r="G242"/>
      <c r="H242"/>
      <c r="I242"/>
    </row>
    <row r="243" spans="2:9">
      <c r="B243"/>
      <c r="C243"/>
      <c r="D243"/>
      <c r="E243"/>
      <c r="F243"/>
      <c r="G243"/>
      <c r="H243"/>
      <c r="I243"/>
    </row>
    <row r="244" spans="2:9">
      <c r="B244"/>
      <c r="C244"/>
      <c r="D244"/>
      <c r="E244"/>
      <c r="F244"/>
      <c r="G244"/>
      <c r="H244"/>
      <c r="I244"/>
    </row>
    <row r="245" spans="2:9">
      <c r="B245"/>
      <c r="C245"/>
      <c r="D245"/>
      <c r="E245"/>
      <c r="F245"/>
      <c r="G245"/>
      <c r="H245"/>
      <c r="I245"/>
    </row>
    <row r="246" spans="2:9">
      <c r="B246"/>
      <c r="C246"/>
      <c r="D246"/>
      <c r="E246"/>
      <c r="F246"/>
      <c r="G246"/>
      <c r="H246"/>
      <c r="I246"/>
    </row>
    <row r="247" spans="2:9">
      <c r="B247"/>
      <c r="C247"/>
      <c r="D247"/>
      <c r="E247"/>
      <c r="F247"/>
      <c r="G247"/>
      <c r="H247"/>
      <c r="I247"/>
    </row>
    <row r="248" spans="2:9">
      <c r="B248"/>
      <c r="C248"/>
      <c r="D248"/>
      <c r="E248"/>
      <c r="F248"/>
      <c r="G248"/>
      <c r="H248"/>
      <c r="I248"/>
    </row>
    <row r="249" spans="2:9">
      <c r="B249"/>
      <c r="C249"/>
      <c r="D249"/>
      <c r="E249"/>
      <c r="F249"/>
      <c r="G249"/>
      <c r="H249"/>
      <c r="I249"/>
    </row>
    <row r="250" spans="2:9">
      <c r="B250"/>
      <c r="C250"/>
      <c r="D250"/>
      <c r="E250"/>
      <c r="F250"/>
      <c r="G250"/>
      <c r="H250"/>
      <c r="I250"/>
    </row>
    <row r="251" spans="2:9">
      <c r="B251"/>
      <c r="C251"/>
      <c r="D251"/>
      <c r="E251"/>
      <c r="F251"/>
      <c r="G251"/>
      <c r="H251"/>
      <c r="I251"/>
    </row>
    <row r="252" spans="2:9">
      <c r="B252"/>
      <c r="C252"/>
      <c r="D252"/>
      <c r="E252"/>
      <c r="F252"/>
      <c r="G252"/>
      <c r="H252"/>
      <c r="I252"/>
    </row>
    <row r="253" spans="2:9">
      <c r="B253"/>
      <c r="C253"/>
      <c r="D253"/>
      <c r="E253"/>
      <c r="F253"/>
      <c r="G253"/>
      <c r="H253"/>
      <c r="I253"/>
    </row>
    <row r="254" spans="2:9">
      <c r="B254"/>
      <c r="C254"/>
      <c r="D254"/>
      <c r="E254"/>
      <c r="F254"/>
      <c r="G254"/>
      <c r="H254"/>
      <c r="I254"/>
    </row>
    <row r="255" spans="2:9">
      <c r="B255"/>
      <c r="C255"/>
      <c r="D255"/>
      <c r="E255"/>
      <c r="F255"/>
      <c r="G255"/>
      <c r="H255"/>
      <c r="I255"/>
    </row>
    <row r="256" spans="2:9">
      <c r="B256"/>
      <c r="C256"/>
      <c r="D256"/>
      <c r="E256"/>
      <c r="F256"/>
      <c r="G256"/>
      <c r="H256"/>
      <c r="I256"/>
    </row>
    <row r="257" spans="2:9">
      <c r="B257"/>
      <c r="C257"/>
      <c r="D257"/>
      <c r="E257"/>
      <c r="F257"/>
      <c r="G257"/>
      <c r="H257"/>
      <c r="I257"/>
    </row>
    <row r="258" spans="2:9">
      <c r="B258"/>
      <c r="C258"/>
      <c r="D258"/>
      <c r="E258"/>
      <c r="F258"/>
      <c r="G258"/>
      <c r="H258"/>
      <c r="I258"/>
    </row>
    <row r="259" spans="2:9">
      <c r="B259"/>
      <c r="C259"/>
      <c r="D259"/>
      <c r="E259"/>
      <c r="F259"/>
      <c r="G259"/>
      <c r="H259"/>
      <c r="I259"/>
    </row>
    <row r="260" spans="2:9">
      <c r="B260"/>
      <c r="C260"/>
      <c r="D260"/>
      <c r="E260"/>
      <c r="F260"/>
      <c r="G260"/>
      <c r="H260"/>
      <c r="I260"/>
    </row>
    <row r="261" spans="2:9">
      <c r="B261"/>
      <c r="C261"/>
      <c r="D261"/>
      <c r="E261"/>
      <c r="F261"/>
      <c r="G261"/>
      <c r="H261"/>
      <c r="I261"/>
    </row>
    <row r="262" spans="2:9">
      <c r="B262"/>
      <c r="C262"/>
      <c r="D262"/>
      <c r="E262"/>
      <c r="F262"/>
      <c r="G262"/>
      <c r="H262"/>
      <c r="I262"/>
    </row>
    <row r="263" spans="2:9">
      <c r="B263"/>
      <c r="C263"/>
      <c r="D263"/>
      <c r="E263"/>
      <c r="F263"/>
      <c r="G263"/>
      <c r="H263"/>
      <c r="I263"/>
    </row>
    <row r="264" spans="2:9">
      <c r="B264"/>
      <c r="C264"/>
      <c r="D264"/>
      <c r="E264"/>
      <c r="F264"/>
      <c r="G264"/>
      <c r="H264"/>
      <c r="I264"/>
    </row>
    <row r="265" spans="2:9">
      <c r="B265"/>
      <c r="C265"/>
      <c r="D265"/>
      <c r="E265"/>
      <c r="F265"/>
      <c r="G265"/>
      <c r="H265"/>
      <c r="I265"/>
    </row>
    <row r="266" spans="2:9">
      <c r="B266"/>
      <c r="C266"/>
      <c r="D266"/>
      <c r="E266"/>
      <c r="F266"/>
      <c r="G266"/>
      <c r="H266"/>
      <c r="I266"/>
    </row>
    <row r="267" spans="2:9">
      <c r="B267"/>
      <c r="C267"/>
      <c r="D267"/>
      <c r="E267"/>
      <c r="F267"/>
      <c r="G267"/>
      <c r="H267"/>
      <c r="I267"/>
    </row>
    <row r="268" spans="2:9">
      <c r="B268"/>
      <c r="C268"/>
      <c r="D268"/>
      <c r="E268"/>
      <c r="F268"/>
      <c r="G268"/>
      <c r="H268"/>
      <c r="I268"/>
    </row>
    <row r="269" spans="2:9">
      <c r="B269"/>
      <c r="C269"/>
      <c r="D269"/>
      <c r="E269"/>
      <c r="F269"/>
      <c r="G269"/>
      <c r="H269"/>
      <c r="I269"/>
    </row>
    <row r="270" spans="2:9">
      <c r="B270"/>
      <c r="C270"/>
      <c r="D270"/>
      <c r="E270"/>
      <c r="F270"/>
      <c r="G270"/>
      <c r="H270"/>
      <c r="I270"/>
    </row>
    <row r="271" spans="2:9">
      <c r="B271"/>
      <c r="C271"/>
      <c r="D271"/>
      <c r="E271"/>
      <c r="F271"/>
      <c r="G271"/>
      <c r="H271"/>
      <c r="I271"/>
    </row>
    <row r="272" spans="2:9">
      <c r="B272"/>
      <c r="C272"/>
      <c r="D272"/>
      <c r="E272"/>
      <c r="F272"/>
      <c r="G272"/>
      <c r="H272"/>
      <c r="I272"/>
    </row>
    <row r="273" spans="2:9">
      <c r="B273"/>
      <c r="C273"/>
      <c r="D273"/>
      <c r="E273"/>
      <c r="F273"/>
      <c r="G273"/>
      <c r="H273"/>
      <c r="I273"/>
    </row>
    <row r="274" spans="2:9">
      <c r="B274"/>
      <c r="C274"/>
      <c r="D274"/>
      <c r="E274"/>
      <c r="F274"/>
      <c r="G274"/>
      <c r="H274"/>
      <c r="I274"/>
    </row>
    <row r="275" spans="2:9">
      <c r="B275"/>
      <c r="C275"/>
      <c r="D275"/>
      <c r="E275"/>
      <c r="F275"/>
      <c r="G275"/>
      <c r="H275"/>
      <c r="I275"/>
    </row>
    <row r="276" spans="2:9">
      <c r="B276"/>
      <c r="C276"/>
      <c r="D276"/>
      <c r="E276"/>
      <c r="F276"/>
      <c r="G276"/>
      <c r="H276"/>
      <c r="I276"/>
    </row>
    <row r="277" spans="2:9">
      <c r="B277"/>
      <c r="C277"/>
      <c r="D277"/>
      <c r="E277"/>
      <c r="F277"/>
      <c r="G277"/>
      <c r="H277"/>
      <c r="I277"/>
    </row>
    <row r="278" spans="2:9">
      <c r="B278"/>
      <c r="C278"/>
      <c r="D278"/>
      <c r="E278"/>
      <c r="F278"/>
      <c r="G278"/>
      <c r="H278"/>
      <c r="I278"/>
    </row>
    <row r="279" spans="2:9">
      <c r="B279"/>
      <c r="C279"/>
      <c r="D279"/>
      <c r="E279"/>
      <c r="F279"/>
      <c r="G279"/>
      <c r="H279"/>
      <c r="I279"/>
    </row>
    <row r="280" spans="2:9">
      <c r="B280"/>
      <c r="C280"/>
      <c r="D280"/>
      <c r="E280"/>
      <c r="F280"/>
      <c r="G280"/>
      <c r="H280"/>
      <c r="I280"/>
    </row>
    <row r="281" spans="2:9">
      <c r="B281"/>
      <c r="C281"/>
      <c r="D281"/>
      <c r="E281"/>
      <c r="F281"/>
      <c r="G281"/>
      <c r="H281"/>
      <c r="I281"/>
    </row>
    <row r="282" spans="2:9">
      <c r="B282"/>
      <c r="C282"/>
      <c r="D282"/>
      <c r="E282"/>
      <c r="F282"/>
      <c r="G282"/>
      <c r="H282"/>
      <c r="I282"/>
    </row>
    <row r="283" spans="2:9">
      <c r="B283"/>
      <c r="C283"/>
      <c r="D283"/>
      <c r="E283"/>
      <c r="F283"/>
      <c r="G283"/>
      <c r="H283"/>
      <c r="I283"/>
    </row>
    <row r="284" spans="2:9">
      <c r="B284"/>
      <c r="C284"/>
      <c r="D284"/>
      <c r="E284"/>
      <c r="F284"/>
      <c r="G284"/>
      <c r="H284"/>
      <c r="I284"/>
    </row>
    <row r="285" spans="2:9">
      <c r="B285"/>
      <c r="C285"/>
      <c r="D285"/>
      <c r="E285"/>
      <c r="F285"/>
      <c r="G285"/>
      <c r="H285"/>
      <c r="I285"/>
    </row>
    <row r="286" spans="2:9">
      <c r="B286"/>
      <c r="C286"/>
      <c r="D286"/>
      <c r="E286"/>
      <c r="F286"/>
      <c r="G286"/>
      <c r="H286"/>
      <c r="I286"/>
    </row>
    <row r="287" spans="2:9">
      <c r="B287"/>
      <c r="C287"/>
      <c r="D287"/>
      <c r="E287"/>
      <c r="F287"/>
      <c r="G287"/>
      <c r="H287"/>
      <c r="I287"/>
    </row>
    <row r="288" spans="2:9">
      <c r="B288"/>
      <c r="C288"/>
      <c r="D288"/>
      <c r="E288"/>
      <c r="F288"/>
      <c r="G288"/>
      <c r="H288"/>
      <c r="I288"/>
    </row>
    <row r="289" spans="2:9">
      <c r="B289"/>
      <c r="C289"/>
      <c r="D289"/>
      <c r="E289"/>
      <c r="F289"/>
      <c r="G289"/>
      <c r="H289"/>
      <c r="I289"/>
    </row>
    <row r="290" spans="2:9">
      <c r="B290"/>
      <c r="C290"/>
      <c r="D290"/>
      <c r="E290"/>
      <c r="F290"/>
      <c r="G290"/>
      <c r="H290"/>
      <c r="I290"/>
    </row>
    <row r="291" spans="2:9">
      <c r="B291"/>
      <c r="C291"/>
      <c r="D291"/>
      <c r="E291"/>
      <c r="F291"/>
      <c r="G291"/>
      <c r="H291"/>
      <c r="I291"/>
    </row>
    <row r="292" spans="2:9">
      <c r="B292"/>
      <c r="C292"/>
      <c r="D292"/>
      <c r="E292"/>
      <c r="F292"/>
      <c r="G292"/>
      <c r="H292"/>
      <c r="I292"/>
    </row>
    <row r="293" spans="2:9">
      <c r="B293"/>
      <c r="C293"/>
      <c r="D293"/>
      <c r="E293"/>
      <c r="F293"/>
      <c r="G293"/>
      <c r="H293"/>
      <c r="I293"/>
    </row>
    <row r="294" spans="2:9">
      <c r="B294"/>
      <c r="C294"/>
      <c r="D294"/>
      <c r="E294"/>
      <c r="F294"/>
      <c r="G294"/>
      <c r="H294"/>
      <c r="I294"/>
    </row>
    <row r="295" spans="2:9">
      <c r="B295"/>
      <c r="C295"/>
      <c r="D295"/>
      <c r="E295"/>
      <c r="F295"/>
      <c r="G295"/>
      <c r="H295"/>
      <c r="I295"/>
    </row>
    <row r="296" spans="2:9">
      <c r="B296"/>
      <c r="C296"/>
      <c r="D296"/>
      <c r="E296"/>
      <c r="F296"/>
      <c r="G296"/>
      <c r="H296"/>
      <c r="I296"/>
    </row>
    <row r="297" spans="2:9">
      <c r="B297"/>
      <c r="C297"/>
      <c r="D297"/>
      <c r="E297"/>
      <c r="F297"/>
      <c r="G297"/>
      <c r="H297"/>
      <c r="I297"/>
    </row>
    <row r="298" spans="2:9">
      <c r="B298"/>
      <c r="C298"/>
      <c r="D298"/>
      <c r="E298"/>
      <c r="F298"/>
      <c r="G298"/>
      <c r="H298"/>
      <c r="I298"/>
    </row>
    <row r="299" spans="2:9">
      <c r="B299"/>
      <c r="C299"/>
      <c r="D299"/>
      <c r="E299"/>
      <c r="F299"/>
      <c r="G299"/>
      <c r="H299"/>
      <c r="I299"/>
    </row>
    <row r="300" spans="2:9">
      <c r="B300"/>
      <c r="C300"/>
      <c r="D300"/>
      <c r="E300"/>
      <c r="F300"/>
      <c r="G300"/>
      <c r="H300"/>
      <c r="I300"/>
    </row>
    <row r="301" spans="2:9">
      <c r="B301"/>
      <c r="C301"/>
      <c r="D301"/>
      <c r="E301"/>
      <c r="F301"/>
      <c r="G301"/>
      <c r="H301"/>
      <c r="I301"/>
    </row>
    <row r="302" spans="2:9">
      <c r="B302"/>
      <c r="C302"/>
      <c r="D302"/>
      <c r="E302"/>
      <c r="F302"/>
      <c r="G302"/>
      <c r="H302"/>
      <c r="I302"/>
    </row>
    <row r="303" spans="2:9">
      <c r="B303"/>
      <c r="C303"/>
      <c r="D303"/>
      <c r="E303"/>
      <c r="F303"/>
      <c r="G303"/>
      <c r="H303"/>
      <c r="I303"/>
    </row>
    <row r="304" spans="2:9">
      <c r="B304"/>
      <c r="C304"/>
      <c r="D304"/>
      <c r="E304"/>
      <c r="F304"/>
      <c r="G304"/>
      <c r="H304"/>
      <c r="I304"/>
    </row>
    <row r="305" spans="2:9">
      <c r="B305"/>
      <c r="C305"/>
      <c r="D305"/>
      <c r="E305"/>
      <c r="F305"/>
      <c r="G305"/>
      <c r="H305"/>
      <c r="I305"/>
    </row>
    <row r="306" spans="2:9">
      <c r="B306"/>
      <c r="C306"/>
      <c r="D306"/>
      <c r="E306"/>
      <c r="F306"/>
      <c r="G306"/>
      <c r="H306"/>
      <c r="I306"/>
    </row>
    <row r="307" spans="2:9">
      <c r="B307"/>
      <c r="C307"/>
      <c r="D307"/>
      <c r="E307"/>
      <c r="F307"/>
      <c r="G307"/>
      <c r="H307"/>
      <c r="I307"/>
    </row>
    <row r="308" spans="2:9">
      <c r="B308"/>
      <c r="C308"/>
      <c r="D308"/>
      <c r="E308"/>
      <c r="F308"/>
      <c r="G308"/>
      <c r="H308"/>
      <c r="I308"/>
    </row>
    <row r="309" spans="2:9">
      <c r="B309"/>
      <c r="C309"/>
      <c r="D309"/>
      <c r="E309"/>
      <c r="F309"/>
      <c r="G309"/>
      <c r="H309"/>
      <c r="I309"/>
    </row>
    <row r="310" spans="2:9">
      <c r="B310"/>
      <c r="C310"/>
      <c r="D310"/>
      <c r="E310"/>
      <c r="F310"/>
      <c r="G310"/>
      <c r="H310"/>
      <c r="I310"/>
    </row>
    <row r="311" spans="2:9">
      <c r="B311"/>
      <c r="C311"/>
      <c r="D311"/>
      <c r="E311"/>
      <c r="F311"/>
      <c r="G311"/>
      <c r="H311"/>
      <c r="I311"/>
    </row>
    <row r="312" spans="2:9">
      <c r="B312"/>
      <c r="C312"/>
      <c r="D312"/>
      <c r="E312"/>
      <c r="F312"/>
      <c r="G312"/>
      <c r="H312"/>
      <c r="I312"/>
    </row>
    <row r="313" spans="2:9">
      <c r="B313"/>
      <c r="C313"/>
      <c r="D313"/>
      <c r="E313"/>
      <c r="F313"/>
      <c r="G313"/>
      <c r="H313"/>
      <c r="I313"/>
    </row>
    <row r="314" spans="2:9">
      <c r="B314"/>
      <c r="C314"/>
      <c r="D314"/>
      <c r="E314"/>
      <c r="F314"/>
      <c r="G314"/>
      <c r="H314"/>
      <c r="I314"/>
    </row>
    <row r="315" spans="2:9">
      <c r="B315"/>
      <c r="C315"/>
      <c r="D315"/>
      <c r="E315"/>
      <c r="F315"/>
      <c r="G315"/>
      <c r="H315"/>
      <c r="I315"/>
    </row>
    <row r="316" spans="2:9">
      <c r="B316"/>
      <c r="C316"/>
      <c r="D316"/>
      <c r="E316"/>
      <c r="F316"/>
      <c r="G316"/>
      <c r="H316"/>
      <c r="I316"/>
    </row>
    <row r="317" spans="2:9">
      <c r="B317"/>
      <c r="C317"/>
      <c r="D317"/>
      <c r="E317"/>
      <c r="F317"/>
      <c r="G317"/>
      <c r="H317"/>
      <c r="I317"/>
    </row>
    <row r="318" spans="2:9">
      <c r="B318"/>
      <c r="C318"/>
      <c r="D318"/>
      <c r="E318"/>
      <c r="F318"/>
      <c r="G318"/>
      <c r="H318"/>
      <c r="I318"/>
    </row>
    <row r="319" spans="2:9">
      <c r="B319"/>
      <c r="C319"/>
      <c r="D319"/>
      <c r="E319"/>
      <c r="F319"/>
      <c r="G319"/>
      <c r="H319"/>
      <c r="I319"/>
    </row>
    <row r="320" spans="2:9">
      <c r="B320"/>
      <c r="C320"/>
      <c r="D320"/>
      <c r="E320"/>
      <c r="F320"/>
      <c r="G320"/>
      <c r="H320"/>
      <c r="I320"/>
    </row>
    <row r="321" spans="2:9">
      <c r="B321"/>
      <c r="C321"/>
      <c r="D321"/>
      <c r="E321"/>
      <c r="F321"/>
      <c r="G321"/>
      <c r="H321"/>
      <c r="I321"/>
    </row>
    <row r="322" spans="2:9">
      <c r="B322"/>
      <c r="C322"/>
      <c r="D322"/>
      <c r="E322"/>
      <c r="F322"/>
      <c r="G322"/>
      <c r="H322"/>
      <c r="I322"/>
    </row>
    <row r="323" spans="2:9">
      <c r="B323"/>
      <c r="C323"/>
      <c r="D323"/>
      <c r="E323"/>
      <c r="F323"/>
      <c r="G323"/>
      <c r="H323"/>
      <c r="I323"/>
    </row>
    <row r="324" spans="2:9">
      <c r="B324"/>
      <c r="C324"/>
      <c r="D324"/>
      <c r="E324"/>
      <c r="F324"/>
      <c r="G324"/>
      <c r="H324"/>
      <c r="I324"/>
    </row>
    <row r="325" spans="2:9">
      <c r="B325"/>
      <c r="C325"/>
      <c r="D325"/>
      <c r="E325"/>
      <c r="F325"/>
      <c r="G325"/>
      <c r="H325"/>
      <c r="I325"/>
    </row>
    <row r="326" spans="2:9">
      <c r="B326"/>
      <c r="C326"/>
      <c r="D326"/>
      <c r="E326"/>
      <c r="F326"/>
      <c r="G326"/>
      <c r="H326"/>
      <c r="I326"/>
    </row>
    <row r="327" spans="2:9">
      <c r="B327"/>
      <c r="C327"/>
      <c r="D327"/>
      <c r="E327"/>
      <c r="F327"/>
      <c r="G327"/>
      <c r="H327"/>
      <c r="I327"/>
    </row>
    <row r="328" spans="2:9">
      <c r="B328"/>
      <c r="C328"/>
      <c r="D328"/>
      <c r="E328"/>
      <c r="F328"/>
      <c r="G328"/>
      <c r="H328"/>
      <c r="I328"/>
    </row>
    <row r="329" spans="2:9">
      <c r="B329"/>
      <c r="C329"/>
      <c r="D329"/>
      <c r="E329"/>
      <c r="F329"/>
      <c r="G329"/>
      <c r="H329"/>
      <c r="I329"/>
    </row>
    <row r="330" spans="2:9">
      <c r="B330"/>
      <c r="C330"/>
      <c r="D330"/>
      <c r="E330"/>
      <c r="F330"/>
      <c r="G330"/>
      <c r="H330"/>
      <c r="I330"/>
    </row>
    <row r="331" spans="2:9">
      <c r="B331"/>
      <c r="C331"/>
      <c r="D331"/>
      <c r="E331"/>
      <c r="F331"/>
      <c r="G331"/>
      <c r="H331"/>
      <c r="I331"/>
    </row>
    <row r="332" spans="2:9">
      <c r="B332"/>
      <c r="C332"/>
      <c r="D332"/>
      <c r="E332"/>
      <c r="F332"/>
      <c r="G332"/>
      <c r="H332"/>
      <c r="I332"/>
    </row>
    <row r="333" spans="2:9">
      <c r="B333"/>
      <c r="C333"/>
      <c r="D333"/>
      <c r="E333"/>
      <c r="F333"/>
      <c r="G333"/>
      <c r="H333"/>
      <c r="I333"/>
    </row>
    <row r="334" spans="2:9">
      <c r="B334"/>
      <c r="C334"/>
      <c r="D334"/>
      <c r="E334"/>
      <c r="F334"/>
      <c r="G334"/>
      <c r="H334"/>
      <c r="I334"/>
    </row>
    <row r="335" spans="2:9">
      <c r="B335"/>
      <c r="C335"/>
      <c r="D335"/>
      <c r="E335"/>
      <c r="F335"/>
      <c r="G335"/>
      <c r="H335"/>
      <c r="I335"/>
    </row>
    <row r="336" spans="2:9">
      <c r="B336"/>
      <c r="C336"/>
      <c r="D336"/>
      <c r="E336"/>
      <c r="F336"/>
      <c r="G336"/>
      <c r="H336"/>
      <c r="I336"/>
    </row>
    <row r="337" spans="2:9">
      <c r="B337"/>
      <c r="C337"/>
      <c r="D337"/>
      <c r="E337"/>
      <c r="F337"/>
      <c r="G337"/>
      <c r="H337"/>
      <c r="I337"/>
    </row>
    <row r="338" spans="2:9">
      <c r="B338"/>
      <c r="C338"/>
      <c r="D338"/>
      <c r="E338"/>
      <c r="F338"/>
      <c r="G338"/>
      <c r="H338"/>
      <c r="I338"/>
    </row>
    <row r="339" spans="2:9">
      <c r="B339"/>
      <c r="C339"/>
      <c r="D339"/>
      <c r="E339"/>
      <c r="F339"/>
      <c r="G339"/>
      <c r="H339"/>
      <c r="I339"/>
    </row>
    <row r="340" spans="2:9">
      <c r="B340"/>
      <c r="C340"/>
      <c r="D340"/>
      <c r="E340"/>
      <c r="F340"/>
      <c r="G340"/>
      <c r="H340"/>
      <c r="I340"/>
    </row>
    <row r="341" spans="2:9">
      <c r="B341"/>
      <c r="C341"/>
      <c r="D341"/>
      <c r="E341"/>
      <c r="F341"/>
      <c r="G341"/>
      <c r="H341"/>
      <c r="I341"/>
    </row>
    <row r="342" spans="2:9">
      <c r="B342"/>
      <c r="C342"/>
      <c r="D342"/>
      <c r="E342"/>
      <c r="F342"/>
      <c r="G342"/>
      <c r="H342"/>
      <c r="I342"/>
    </row>
    <row r="343" spans="2:9">
      <c r="B343"/>
      <c r="C343"/>
      <c r="D343"/>
      <c r="E343"/>
      <c r="F343"/>
      <c r="G343"/>
      <c r="H343"/>
      <c r="I343"/>
    </row>
    <row r="344" spans="2:9">
      <c r="B344"/>
      <c r="C344"/>
      <c r="D344"/>
      <c r="E344"/>
      <c r="F344"/>
      <c r="G344"/>
      <c r="H344"/>
      <c r="I344"/>
    </row>
    <row r="345" spans="2:9">
      <c r="B345"/>
      <c r="C345"/>
      <c r="D345"/>
      <c r="E345"/>
      <c r="F345"/>
      <c r="G345"/>
      <c r="H345"/>
      <c r="I345"/>
    </row>
    <row r="346" spans="2:9">
      <c r="B346"/>
      <c r="C346"/>
      <c r="D346"/>
      <c r="E346"/>
      <c r="F346"/>
      <c r="G346"/>
      <c r="H346"/>
      <c r="I346"/>
    </row>
    <row r="347" spans="2:9">
      <c r="B347"/>
      <c r="C347"/>
      <c r="D347"/>
      <c r="E347"/>
      <c r="F347"/>
      <c r="G347"/>
      <c r="H347"/>
      <c r="I347"/>
    </row>
    <row r="348" spans="2:9">
      <c r="B348"/>
      <c r="C348"/>
      <c r="D348"/>
      <c r="E348"/>
      <c r="F348"/>
      <c r="G348"/>
      <c r="H348"/>
      <c r="I348"/>
    </row>
    <row r="349" spans="2:9">
      <c r="B349"/>
      <c r="C349"/>
      <c r="D349"/>
      <c r="E349"/>
      <c r="F349"/>
      <c r="G349"/>
      <c r="H349"/>
      <c r="I349"/>
    </row>
    <row r="350" spans="2:9">
      <c r="B350"/>
      <c r="C350"/>
      <c r="D350"/>
      <c r="E350"/>
      <c r="F350"/>
      <c r="G350"/>
      <c r="H350"/>
      <c r="I350"/>
    </row>
    <row r="351" spans="2:9">
      <c r="B351"/>
      <c r="C351"/>
      <c r="D351"/>
      <c r="E351"/>
      <c r="F351"/>
      <c r="G351"/>
      <c r="H351"/>
      <c r="I351"/>
    </row>
    <row r="352" spans="2:9">
      <c r="B352"/>
      <c r="C352"/>
      <c r="D352"/>
      <c r="E352"/>
      <c r="F352"/>
      <c r="G352"/>
      <c r="H352"/>
      <c r="I352"/>
    </row>
    <row r="353" spans="2:9">
      <c r="B353"/>
      <c r="C353"/>
      <c r="D353"/>
      <c r="E353"/>
      <c r="F353"/>
      <c r="G353"/>
      <c r="H353"/>
      <c r="I353"/>
    </row>
    <row r="354" spans="2:9">
      <c r="B354"/>
      <c r="C354"/>
      <c r="D354"/>
      <c r="E354"/>
      <c r="F354"/>
      <c r="G354"/>
      <c r="H354"/>
      <c r="I354"/>
    </row>
    <row r="355" spans="2:9">
      <c r="B355"/>
      <c r="C355"/>
      <c r="D355"/>
      <c r="E355"/>
      <c r="F355"/>
      <c r="G355"/>
      <c r="H355"/>
      <c r="I355"/>
    </row>
    <row r="356" spans="2:9">
      <c r="B356"/>
      <c r="C356"/>
      <c r="D356"/>
      <c r="E356"/>
      <c r="F356"/>
      <c r="G356"/>
      <c r="H356"/>
      <c r="I356"/>
    </row>
    <row r="357" spans="2:9">
      <c r="B357"/>
      <c r="C357"/>
      <c r="D357"/>
      <c r="E357"/>
      <c r="F357"/>
      <c r="G357"/>
      <c r="H357"/>
      <c r="I357"/>
    </row>
    <row r="358" spans="2:9">
      <c r="B358"/>
      <c r="C358"/>
      <c r="D358"/>
      <c r="E358"/>
      <c r="F358"/>
      <c r="G358"/>
      <c r="H358"/>
      <c r="I358"/>
    </row>
    <row r="359" spans="2:9">
      <c r="B359"/>
      <c r="C359"/>
      <c r="D359"/>
      <c r="E359"/>
      <c r="F359"/>
      <c r="G359"/>
      <c r="H359"/>
      <c r="I359"/>
    </row>
    <row r="360" spans="2:9">
      <c r="B360"/>
      <c r="C360"/>
      <c r="D360"/>
      <c r="E360"/>
      <c r="F360"/>
      <c r="G360"/>
      <c r="H360"/>
      <c r="I360"/>
    </row>
    <row r="361" spans="2:9">
      <c r="B361"/>
      <c r="C361"/>
      <c r="D361"/>
      <c r="E361"/>
      <c r="F361"/>
      <c r="G361"/>
      <c r="H361"/>
      <c r="I361"/>
    </row>
    <row r="362" spans="2:9">
      <c r="B362"/>
      <c r="C362"/>
      <c r="D362"/>
      <c r="E362"/>
      <c r="F362"/>
      <c r="G362"/>
      <c r="H362"/>
      <c r="I362"/>
    </row>
    <row r="363" spans="2:9">
      <c r="B363"/>
      <c r="C363"/>
      <c r="D363"/>
      <c r="E363"/>
      <c r="F363"/>
      <c r="G363"/>
      <c r="H363"/>
      <c r="I363"/>
    </row>
    <row r="364" spans="2:9">
      <c r="B364"/>
      <c r="C364"/>
      <c r="D364"/>
      <c r="E364"/>
      <c r="F364"/>
      <c r="G364"/>
      <c r="H364"/>
      <c r="I364"/>
    </row>
    <row r="365" spans="2:9">
      <c r="B365"/>
      <c r="C365"/>
      <c r="D365"/>
      <c r="E365"/>
      <c r="F365"/>
      <c r="G365"/>
      <c r="H365"/>
      <c r="I365"/>
    </row>
    <row r="366" spans="2:9">
      <c r="B366"/>
      <c r="C366"/>
      <c r="D366"/>
      <c r="E366"/>
      <c r="F366"/>
      <c r="G366"/>
      <c r="H366"/>
      <c r="I366"/>
    </row>
    <row r="367" spans="2:9">
      <c r="B367"/>
      <c r="C367"/>
      <c r="D367"/>
      <c r="E367"/>
      <c r="F367"/>
      <c r="G367"/>
      <c r="H367"/>
      <c r="I367"/>
    </row>
    <row r="368" spans="2:9">
      <c r="B368"/>
      <c r="C368"/>
      <c r="D368"/>
      <c r="E368"/>
      <c r="F368"/>
      <c r="G368"/>
      <c r="H368"/>
      <c r="I368"/>
    </row>
    <row r="369" spans="2:9">
      <c r="B369"/>
      <c r="C369"/>
      <c r="D369"/>
      <c r="E369"/>
      <c r="F369"/>
      <c r="G369"/>
      <c r="H369"/>
      <c r="I369"/>
    </row>
    <row r="370" spans="2:9">
      <c r="B370"/>
      <c r="C370"/>
      <c r="D370"/>
      <c r="E370"/>
      <c r="F370"/>
      <c r="G370"/>
      <c r="H370"/>
      <c r="I370"/>
    </row>
    <row r="371" spans="2:9">
      <c r="B371"/>
      <c r="C371"/>
      <c r="D371"/>
      <c r="E371"/>
      <c r="F371"/>
      <c r="G371"/>
      <c r="H371"/>
      <c r="I371"/>
    </row>
    <row r="372" spans="2:9">
      <c r="B372"/>
      <c r="C372"/>
      <c r="D372"/>
      <c r="E372"/>
      <c r="F372"/>
      <c r="G372"/>
      <c r="H372"/>
      <c r="I372"/>
    </row>
    <row r="373" spans="2:9">
      <c r="B373"/>
      <c r="C373"/>
      <c r="D373"/>
      <c r="E373"/>
      <c r="F373"/>
      <c r="G373"/>
      <c r="H373"/>
      <c r="I373"/>
    </row>
    <row r="374" spans="2:9">
      <c r="B374"/>
      <c r="C374"/>
      <c r="D374"/>
      <c r="E374"/>
      <c r="F374"/>
      <c r="G374"/>
      <c r="H374"/>
      <c r="I374"/>
    </row>
    <row r="375" spans="2:9">
      <c r="B375"/>
      <c r="C375"/>
      <c r="D375"/>
      <c r="E375"/>
      <c r="F375"/>
      <c r="G375"/>
      <c r="H375"/>
      <c r="I375"/>
    </row>
    <row r="376" spans="2:9">
      <c r="B376"/>
      <c r="C376"/>
      <c r="D376"/>
      <c r="E376"/>
      <c r="F376"/>
      <c r="G376"/>
      <c r="H376"/>
      <c r="I376"/>
    </row>
    <row r="377" spans="2:9">
      <c r="B377"/>
      <c r="C377"/>
      <c r="D377"/>
      <c r="E377"/>
      <c r="F377"/>
      <c r="G377"/>
      <c r="H377"/>
      <c r="I377"/>
    </row>
    <row r="378" spans="2:9">
      <c r="B378"/>
      <c r="C378"/>
      <c r="D378"/>
      <c r="E378"/>
      <c r="F378"/>
      <c r="G378"/>
      <c r="H378"/>
      <c r="I378"/>
    </row>
    <row r="379" spans="2:9">
      <c r="B379"/>
      <c r="C379"/>
      <c r="D379"/>
      <c r="E379"/>
      <c r="F379"/>
      <c r="G379"/>
      <c r="H379"/>
      <c r="I379"/>
    </row>
    <row r="380" spans="2:9">
      <c r="B380"/>
      <c r="C380"/>
      <c r="D380"/>
      <c r="E380"/>
      <c r="F380"/>
      <c r="G380"/>
      <c r="H380"/>
      <c r="I380"/>
    </row>
    <row r="381" spans="2:9">
      <c r="B381"/>
      <c r="C381"/>
      <c r="D381"/>
      <c r="E381"/>
      <c r="F381"/>
      <c r="G381"/>
      <c r="H381"/>
      <c r="I381"/>
    </row>
    <row r="382" spans="2:9">
      <c r="B382"/>
      <c r="C382"/>
      <c r="D382"/>
      <c r="E382"/>
      <c r="F382"/>
      <c r="G382"/>
      <c r="H382"/>
      <c r="I382"/>
    </row>
    <row r="383" spans="2:9">
      <c r="B383"/>
      <c r="C383"/>
      <c r="D383"/>
      <c r="E383"/>
      <c r="F383"/>
      <c r="G383"/>
      <c r="H383"/>
      <c r="I383"/>
    </row>
    <row r="384" spans="2:9">
      <c r="B384"/>
      <c r="C384"/>
      <c r="D384"/>
      <c r="E384"/>
      <c r="F384"/>
      <c r="G384"/>
      <c r="H384"/>
      <c r="I384"/>
    </row>
    <row r="385" spans="2:9">
      <c r="B385"/>
      <c r="C385"/>
      <c r="D385"/>
      <c r="E385"/>
      <c r="F385"/>
      <c r="G385"/>
      <c r="H385"/>
      <c r="I385"/>
    </row>
    <row r="386" spans="2:9">
      <c r="B386"/>
      <c r="C386"/>
      <c r="D386"/>
      <c r="E386"/>
      <c r="F386"/>
      <c r="G386"/>
      <c r="H386"/>
      <c r="I386"/>
    </row>
    <row r="387" spans="2:9">
      <c r="B387"/>
      <c r="C387"/>
      <c r="D387"/>
      <c r="E387"/>
      <c r="F387"/>
      <c r="G387"/>
      <c r="H387"/>
      <c r="I387"/>
    </row>
    <row r="388" spans="2:9">
      <c r="B388"/>
      <c r="C388"/>
      <c r="D388"/>
      <c r="E388"/>
      <c r="F388"/>
      <c r="G388"/>
      <c r="H388"/>
      <c r="I388"/>
    </row>
    <row r="389" spans="2:9">
      <c r="B389"/>
      <c r="C389"/>
      <c r="D389"/>
      <c r="E389"/>
      <c r="F389"/>
      <c r="G389"/>
      <c r="H389"/>
      <c r="I389"/>
    </row>
    <row r="390" spans="2:9">
      <c r="B390"/>
      <c r="C390"/>
      <c r="D390"/>
      <c r="E390"/>
      <c r="F390"/>
      <c r="G390"/>
      <c r="H390"/>
      <c r="I390"/>
    </row>
    <row r="391" spans="2:9">
      <c r="B391"/>
      <c r="C391"/>
      <c r="D391"/>
      <c r="E391"/>
      <c r="F391"/>
      <c r="G391"/>
      <c r="H391"/>
      <c r="I391"/>
    </row>
    <row r="392" spans="2:9">
      <c r="B392"/>
      <c r="C392"/>
      <c r="D392"/>
      <c r="E392"/>
      <c r="F392"/>
      <c r="G392"/>
      <c r="H392"/>
      <c r="I392"/>
    </row>
    <row r="393" spans="2:9">
      <c r="B393"/>
      <c r="C393"/>
      <c r="D393"/>
      <c r="E393"/>
      <c r="F393"/>
      <c r="G393"/>
      <c r="H393"/>
      <c r="I393"/>
    </row>
    <row r="394" spans="2:9">
      <c r="B394"/>
      <c r="C394"/>
      <c r="D394"/>
      <c r="E394"/>
      <c r="F394"/>
      <c r="G394"/>
      <c r="H394"/>
      <c r="I394"/>
    </row>
    <row r="395" spans="2:9">
      <c r="B395"/>
      <c r="C395"/>
      <c r="D395"/>
      <c r="E395"/>
      <c r="F395"/>
      <c r="G395"/>
      <c r="H395"/>
      <c r="I395"/>
    </row>
    <row r="396" spans="2:9">
      <c r="B396"/>
      <c r="C396"/>
      <c r="D396"/>
      <c r="E396"/>
      <c r="F396"/>
      <c r="G396"/>
      <c r="H396"/>
      <c r="I396"/>
    </row>
    <row r="397" spans="2:9">
      <c r="B397"/>
      <c r="C397"/>
      <c r="D397"/>
      <c r="E397"/>
      <c r="F397"/>
      <c r="G397"/>
      <c r="H397"/>
      <c r="I397"/>
    </row>
    <row r="398" spans="2:9">
      <c r="B398"/>
      <c r="C398"/>
      <c r="D398"/>
      <c r="E398"/>
      <c r="F398"/>
      <c r="G398"/>
      <c r="H398"/>
      <c r="I398"/>
    </row>
    <row r="399" spans="2:9">
      <c r="B399"/>
      <c r="C399"/>
      <c r="D399"/>
      <c r="E399"/>
      <c r="F399"/>
      <c r="G399"/>
      <c r="H399"/>
      <c r="I399"/>
    </row>
    <row r="400" spans="2:9">
      <c r="B400"/>
      <c r="C400"/>
      <c r="D400"/>
      <c r="E400"/>
      <c r="F400"/>
      <c r="G400"/>
      <c r="H400"/>
      <c r="I400"/>
    </row>
    <row r="401" spans="2:9">
      <c r="B401"/>
      <c r="C401"/>
      <c r="D401"/>
      <c r="E401"/>
      <c r="F401"/>
      <c r="G401"/>
      <c r="H401"/>
      <c r="I401"/>
    </row>
    <row r="402" spans="2:9">
      <c r="B402"/>
      <c r="C402"/>
      <c r="D402"/>
      <c r="E402"/>
      <c r="F402"/>
      <c r="G402"/>
      <c r="H402"/>
      <c r="I402"/>
    </row>
    <row r="403" spans="2:9">
      <c r="B403"/>
      <c r="C403"/>
      <c r="D403"/>
      <c r="E403"/>
      <c r="F403"/>
      <c r="G403"/>
      <c r="H403"/>
      <c r="I403"/>
    </row>
    <row r="404" spans="2:9">
      <c r="B404"/>
      <c r="C404"/>
      <c r="D404"/>
      <c r="E404"/>
      <c r="F404"/>
      <c r="G404"/>
      <c r="H404"/>
      <c r="I404"/>
    </row>
    <row r="405" spans="2:9">
      <c r="B405"/>
      <c r="C405"/>
      <c r="D405"/>
      <c r="E405"/>
      <c r="F405"/>
      <c r="G405"/>
      <c r="H405"/>
      <c r="I405"/>
    </row>
    <row r="406" spans="2:9">
      <c r="B406"/>
      <c r="C406"/>
      <c r="D406"/>
      <c r="E406"/>
      <c r="F406"/>
      <c r="G406"/>
      <c r="H406"/>
      <c r="I406"/>
    </row>
    <row r="407" spans="2:9">
      <c r="B407"/>
      <c r="C407"/>
      <c r="D407"/>
      <c r="E407"/>
      <c r="F407"/>
      <c r="G407"/>
      <c r="H407"/>
      <c r="I407"/>
    </row>
    <row r="408" spans="2:9">
      <c r="B408"/>
      <c r="C408"/>
      <c r="D408"/>
      <c r="E408"/>
      <c r="F408"/>
      <c r="G408"/>
      <c r="H408"/>
      <c r="I408"/>
    </row>
    <row r="409" spans="2:9">
      <c r="B409"/>
      <c r="C409"/>
      <c r="D409"/>
      <c r="E409"/>
      <c r="F409"/>
      <c r="G409"/>
      <c r="H409"/>
      <c r="I409"/>
    </row>
    <row r="410" spans="2:9">
      <c r="B410"/>
      <c r="C410"/>
      <c r="D410"/>
      <c r="E410"/>
      <c r="F410"/>
      <c r="G410"/>
      <c r="H410"/>
      <c r="I410"/>
    </row>
    <row r="411" spans="2:9">
      <c r="B411"/>
      <c r="C411"/>
      <c r="D411"/>
      <c r="E411"/>
      <c r="F411"/>
      <c r="G411"/>
      <c r="H411"/>
      <c r="I411"/>
    </row>
    <row r="412" spans="2:9">
      <c r="B412"/>
      <c r="C412"/>
      <c r="D412"/>
      <c r="E412"/>
      <c r="F412"/>
      <c r="G412"/>
      <c r="H412"/>
      <c r="I412"/>
    </row>
    <row r="413" spans="2:9">
      <c r="B413"/>
      <c r="C413"/>
      <c r="D413"/>
      <c r="E413"/>
      <c r="F413"/>
      <c r="G413"/>
      <c r="H413"/>
      <c r="I413"/>
    </row>
    <row r="414" spans="2:9">
      <c r="B414"/>
      <c r="C414"/>
      <c r="D414"/>
      <c r="E414"/>
      <c r="F414"/>
      <c r="G414"/>
      <c r="H414"/>
      <c r="I414"/>
    </row>
    <row r="415" spans="2:9">
      <c r="B415"/>
      <c r="C415"/>
      <c r="D415"/>
      <c r="E415"/>
      <c r="F415"/>
      <c r="G415"/>
      <c r="H415"/>
      <c r="I415"/>
    </row>
    <row r="416" spans="2:9">
      <c r="B416"/>
      <c r="C416"/>
      <c r="D416"/>
      <c r="E416"/>
      <c r="F416"/>
      <c r="G416"/>
      <c r="H416"/>
      <c r="I416"/>
    </row>
    <row r="417" spans="2:9">
      <c r="B417"/>
      <c r="C417"/>
      <c r="D417"/>
      <c r="E417"/>
      <c r="F417"/>
      <c r="G417"/>
      <c r="H417"/>
      <c r="I417"/>
    </row>
    <row r="418" spans="2:9">
      <c r="B418"/>
      <c r="C418"/>
      <c r="D418"/>
      <c r="E418"/>
      <c r="F418"/>
      <c r="G418"/>
      <c r="H418"/>
      <c r="I418"/>
    </row>
    <row r="419" spans="2:9">
      <c r="B419"/>
      <c r="C419"/>
      <c r="D419"/>
      <c r="E419"/>
      <c r="F419"/>
      <c r="G419"/>
      <c r="H419"/>
      <c r="I419"/>
    </row>
    <row r="420" spans="2:9">
      <c r="B420"/>
      <c r="C420"/>
      <c r="D420"/>
      <c r="E420"/>
      <c r="F420"/>
      <c r="G420"/>
      <c r="H420"/>
      <c r="I420"/>
    </row>
    <row r="421" spans="2:9">
      <c r="B421"/>
      <c r="C421"/>
      <c r="D421"/>
      <c r="E421"/>
      <c r="F421"/>
      <c r="G421"/>
      <c r="H421"/>
      <c r="I421"/>
    </row>
    <row r="422" spans="2:9">
      <c r="B422"/>
      <c r="C422"/>
      <c r="D422"/>
      <c r="E422"/>
      <c r="F422"/>
      <c r="G422"/>
      <c r="H422"/>
      <c r="I422"/>
    </row>
    <row r="423" spans="2:9">
      <c r="B423"/>
      <c r="C423"/>
      <c r="D423"/>
      <c r="E423"/>
      <c r="F423"/>
      <c r="G423"/>
      <c r="H423"/>
      <c r="I423"/>
    </row>
    <row r="424" spans="2:9">
      <c r="B424"/>
      <c r="C424"/>
      <c r="D424"/>
      <c r="E424"/>
      <c r="F424"/>
      <c r="G424"/>
      <c r="H424"/>
      <c r="I424"/>
    </row>
    <row r="425" spans="2:9">
      <c r="B425"/>
      <c r="C425"/>
      <c r="D425"/>
      <c r="E425"/>
      <c r="F425"/>
      <c r="G425"/>
      <c r="H425"/>
      <c r="I425"/>
    </row>
    <row r="426" spans="2:9">
      <c r="B426"/>
      <c r="C426"/>
      <c r="D426"/>
      <c r="E426"/>
      <c r="F426"/>
      <c r="G426"/>
      <c r="H426"/>
      <c r="I426"/>
    </row>
    <row r="427" spans="2:9">
      <c r="B427"/>
      <c r="C427"/>
      <c r="D427"/>
      <c r="E427"/>
      <c r="F427"/>
      <c r="G427"/>
      <c r="H427"/>
      <c r="I427"/>
    </row>
    <row r="428" spans="2:9">
      <c r="B428"/>
      <c r="C428"/>
      <c r="D428"/>
      <c r="E428"/>
      <c r="F428"/>
      <c r="G428"/>
      <c r="H428"/>
      <c r="I428"/>
    </row>
    <row r="429" spans="2:9">
      <c r="B429"/>
      <c r="C429"/>
      <c r="D429"/>
      <c r="E429"/>
      <c r="F429"/>
      <c r="G429"/>
      <c r="H429"/>
      <c r="I429"/>
    </row>
    <row r="430" spans="2:9">
      <c r="B430"/>
      <c r="C430"/>
      <c r="D430"/>
      <c r="E430"/>
      <c r="F430"/>
      <c r="G430"/>
      <c r="H430"/>
      <c r="I430"/>
    </row>
    <row r="431" spans="2:9">
      <c r="B431"/>
      <c r="C431"/>
      <c r="D431"/>
      <c r="E431"/>
      <c r="F431"/>
      <c r="G431"/>
      <c r="H431"/>
      <c r="I431"/>
    </row>
    <row r="432" spans="2:9">
      <c r="B432"/>
      <c r="C432"/>
      <c r="D432"/>
      <c r="E432"/>
      <c r="F432"/>
      <c r="G432"/>
      <c r="H432"/>
      <c r="I432"/>
    </row>
    <row r="433" spans="2:9">
      <c r="B433"/>
      <c r="C433"/>
      <c r="D433"/>
      <c r="E433"/>
      <c r="F433"/>
      <c r="G433"/>
      <c r="H433"/>
      <c r="I433"/>
    </row>
    <row r="434" spans="2:9">
      <c r="B434"/>
      <c r="C434"/>
      <c r="D434"/>
      <c r="E434"/>
      <c r="F434"/>
      <c r="G434"/>
      <c r="H434"/>
      <c r="I434"/>
    </row>
    <row r="435" spans="2:9">
      <c r="B435"/>
      <c r="C435"/>
      <c r="D435"/>
      <c r="E435"/>
      <c r="F435"/>
      <c r="G435"/>
      <c r="H435"/>
      <c r="I435"/>
    </row>
    <row r="436" spans="2:9">
      <c r="B436"/>
      <c r="C436"/>
      <c r="D436"/>
      <c r="E436"/>
      <c r="F436"/>
      <c r="G436"/>
      <c r="H436"/>
      <c r="I436"/>
    </row>
    <row r="437" spans="2:9">
      <c r="B437"/>
      <c r="C437"/>
      <c r="D437"/>
      <c r="E437"/>
      <c r="F437"/>
      <c r="G437"/>
      <c r="H437"/>
      <c r="I437"/>
    </row>
    <row r="438" spans="2:9">
      <c r="B438"/>
      <c r="C438"/>
      <c r="D438"/>
      <c r="E438"/>
      <c r="F438"/>
      <c r="G438"/>
      <c r="H438"/>
      <c r="I438"/>
    </row>
    <row r="439" spans="2:9">
      <c r="B439"/>
      <c r="C439"/>
      <c r="D439"/>
      <c r="E439"/>
      <c r="F439"/>
      <c r="G439"/>
      <c r="H439"/>
      <c r="I439"/>
    </row>
    <row r="440" spans="2:9">
      <c r="B440"/>
      <c r="C440"/>
      <c r="D440"/>
      <c r="E440"/>
      <c r="F440"/>
      <c r="G440"/>
      <c r="H440"/>
      <c r="I440"/>
    </row>
    <row r="441" spans="2:9">
      <c r="B441"/>
      <c r="C441"/>
      <c r="D441"/>
      <c r="E441"/>
      <c r="F441"/>
      <c r="G441"/>
      <c r="H441"/>
      <c r="I441"/>
    </row>
    <row r="442" spans="2:9">
      <c r="B442"/>
      <c r="C442"/>
      <c r="D442"/>
      <c r="E442"/>
      <c r="F442"/>
      <c r="G442"/>
      <c r="H442"/>
      <c r="I442"/>
    </row>
    <row r="443" spans="2:9">
      <c r="B443"/>
      <c r="C443"/>
      <c r="D443"/>
      <c r="E443"/>
      <c r="F443"/>
      <c r="G443"/>
      <c r="H443"/>
      <c r="I443"/>
    </row>
    <row r="444" spans="2:9">
      <c r="B444"/>
      <c r="C444"/>
      <c r="D444"/>
      <c r="E444"/>
      <c r="F444"/>
      <c r="G444"/>
      <c r="H444"/>
      <c r="I444"/>
    </row>
    <row r="445" spans="2:9">
      <c r="B445"/>
      <c r="C445"/>
      <c r="D445"/>
      <c r="E445"/>
      <c r="F445"/>
      <c r="G445"/>
      <c r="H445"/>
      <c r="I445"/>
    </row>
    <row r="446" spans="2:9">
      <c r="B446"/>
      <c r="C446"/>
      <c r="D446"/>
      <c r="E446"/>
      <c r="F446"/>
      <c r="G446"/>
      <c r="H446"/>
      <c r="I446"/>
    </row>
    <row r="447" spans="2:9">
      <c r="B447"/>
      <c r="C447"/>
      <c r="D447"/>
      <c r="E447"/>
      <c r="F447"/>
      <c r="G447"/>
      <c r="H447"/>
      <c r="I447"/>
    </row>
    <row r="448" spans="2:9">
      <c r="B448"/>
      <c r="C448"/>
      <c r="D448"/>
      <c r="E448"/>
      <c r="F448"/>
      <c r="G448"/>
      <c r="H448"/>
      <c r="I448"/>
    </row>
    <row r="449" spans="2:9">
      <c r="B449"/>
      <c r="C449"/>
      <c r="D449"/>
      <c r="E449"/>
      <c r="F449"/>
      <c r="G449"/>
      <c r="H449"/>
      <c r="I449"/>
    </row>
    <row r="450" spans="2:9">
      <c r="B450"/>
      <c r="C450"/>
      <c r="D450"/>
      <c r="E450"/>
      <c r="F450"/>
      <c r="G450"/>
      <c r="H450"/>
      <c r="I450"/>
    </row>
    <row r="451" spans="2:9">
      <c r="B451"/>
      <c r="C451"/>
      <c r="D451"/>
      <c r="E451"/>
      <c r="F451"/>
      <c r="G451"/>
      <c r="H451"/>
      <c r="I451"/>
    </row>
    <row r="452" spans="2:9">
      <c r="B452"/>
      <c r="C452"/>
      <c r="D452"/>
      <c r="E452"/>
      <c r="F452"/>
      <c r="G452"/>
      <c r="H452"/>
      <c r="I452"/>
    </row>
    <row r="453" spans="2:9">
      <c r="B453"/>
      <c r="C453"/>
      <c r="D453"/>
      <c r="E453"/>
      <c r="F453"/>
      <c r="G453"/>
      <c r="H453"/>
      <c r="I453"/>
    </row>
    <row r="454" spans="2:9">
      <c r="B454"/>
      <c r="C454"/>
      <c r="D454"/>
      <c r="E454"/>
      <c r="F454"/>
      <c r="G454"/>
      <c r="H454"/>
      <c r="I454"/>
    </row>
    <row r="455" spans="2:9">
      <c r="B455"/>
      <c r="C455"/>
      <c r="D455"/>
      <c r="E455"/>
      <c r="F455"/>
      <c r="G455"/>
      <c r="H455"/>
      <c r="I455"/>
    </row>
    <row r="456" spans="2:9">
      <c r="B456"/>
      <c r="C456"/>
      <c r="D456"/>
      <c r="E456"/>
      <c r="F456"/>
      <c r="G456"/>
      <c r="H456"/>
      <c r="I456"/>
    </row>
    <row r="457" spans="2:9">
      <c r="B457"/>
      <c r="C457"/>
      <c r="D457"/>
      <c r="E457"/>
      <c r="F457"/>
      <c r="G457"/>
      <c r="H457"/>
      <c r="I457"/>
    </row>
    <row r="458" spans="2:9">
      <c r="B458"/>
      <c r="C458"/>
      <c r="D458"/>
      <c r="E458"/>
      <c r="F458"/>
      <c r="G458"/>
      <c r="H458"/>
      <c r="I458"/>
    </row>
    <row r="459" spans="2:9">
      <c r="B459"/>
      <c r="C459"/>
      <c r="D459"/>
      <c r="E459"/>
      <c r="F459"/>
      <c r="G459"/>
      <c r="H459"/>
      <c r="I459"/>
    </row>
    <row r="460" spans="2:9">
      <c r="B460"/>
      <c r="C460"/>
      <c r="D460"/>
      <c r="E460"/>
      <c r="F460"/>
      <c r="G460"/>
      <c r="H460"/>
      <c r="I460"/>
    </row>
    <row r="461" spans="2:9">
      <c r="B461"/>
      <c r="C461"/>
      <c r="D461"/>
      <c r="E461"/>
      <c r="F461"/>
      <c r="G461"/>
      <c r="H461"/>
      <c r="I461"/>
    </row>
    <row r="462" spans="2:9">
      <c r="B462"/>
      <c r="C462"/>
      <c r="D462"/>
      <c r="E462"/>
      <c r="F462"/>
      <c r="G462"/>
      <c r="H462"/>
      <c r="I462"/>
    </row>
    <row r="463" spans="2:9">
      <c r="B463"/>
      <c r="C463"/>
      <c r="D463"/>
      <c r="E463"/>
      <c r="F463"/>
      <c r="G463"/>
      <c r="H463"/>
      <c r="I463"/>
    </row>
    <row r="464" spans="2:9">
      <c r="B464"/>
      <c r="C464"/>
      <c r="D464"/>
      <c r="E464"/>
      <c r="F464"/>
      <c r="G464"/>
      <c r="H464"/>
      <c r="I464"/>
    </row>
    <row r="465" spans="2:9">
      <c r="B465"/>
      <c r="C465"/>
      <c r="D465"/>
      <c r="E465"/>
      <c r="F465"/>
      <c r="G465"/>
      <c r="H465"/>
      <c r="I465"/>
    </row>
    <row r="466" spans="2:9">
      <c r="B466"/>
      <c r="C466"/>
      <c r="D466"/>
      <c r="E466"/>
      <c r="F466"/>
      <c r="G466"/>
      <c r="H466"/>
      <c r="I466"/>
    </row>
    <row r="467" spans="2:9">
      <c r="B467"/>
      <c r="C467"/>
      <c r="D467"/>
      <c r="E467"/>
      <c r="F467"/>
      <c r="G467"/>
      <c r="H467"/>
      <c r="I467"/>
    </row>
    <row r="468" spans="2:9">
      <c r="B468"/>
      <c r="C468"/>
      <c r="D468"/>
      <c r="E468"/>
      <c r="F468"/>
      <c r="G468"/>
      <c r="H468"/>
      <c r="I468"/>
    </row>
    <row r="469" spans="2:9">
      <c r="B469"/>
      <c r="C469"/>
      <c r="D469"/>
      <c r="E469"/>
      <c r="F469"/>
      <c r="G469"/>
      <c r="H469"/>
      <c r="I469"/>
    </row>
    <row r="470" spans="2:9">
      <c r="B470"/>
      <c r="C470"/>
      <c r="D470"/>
      <c r="E470"/>
      <c r="F470"/>
      <c r="G470"/>
      <c r="H470"/>
      <c r="I470"/>
    </row>
    <row r="471" spans="2:9">
      <c r="B471"/>
      <c r="C471"/>
      <c r="D471"/>
      <c r="E471"/>
      <c r="F471"/>
      <c r="G471"/>
      <c r="H471"/>
      <c r="I471"/>
    </row>
    <row r="472" spans="2:9">
      <c r="B472"/>
      <c r="C472"/>
      <c r="D472"/>
      <c r="E472"/>
      <c r="F472"/>
      <c r="G472"/>
      <c r="H472"/>
      <c r="I472"/>
    </row>
    <row r="473" spans="2:9">
      <c r="B473"/>
      <c r="C473"/>
      <c r="D473"/>
      <c r="E473"/>
      <c r="F473"/>
      <c r="G473"/>
      <c r="H473"/>
      <c r="I473"/>
    </row>
    <row r="474" spans="2:9">
      <c r="B474"/>
      <c r="C474"/>
      <c r="D474"/>
      <c r="E474"/>
      <c r="F474"/>
      <c r="G474"/>
      <c r="H474"/>
      <c r="I474"/>
    </row>
    <row r="475" spans="2:9">
      <c r="B475"/>
      <c r="C475"/>
      <c r="D475"/>
      <c r="E475"/>
      <c r="F475"/>
      <c r="G475"/>
      <c r="H475"/>
      <c r="I475"/>
    </row>
    <row r="476" spans="2:9">
      <c r="B476"/>
      <c r="C476"/>
      <c r="D476"/>
      <c r="E476"/>
      <c r="F476"/>
      <c r="G476"/>
      <c r="H476"/>
      <c r="I476"/>
    </row>
    <row r="477" spans="2:9">
      <c r="B477"/>
      <c r="C477"/>
      <c r="D477"/>
      <c r="E477"/>
      <c r="F477"/>
      <c r="G477"/>
      <c r="H477"/>
      <c r="I477"/>
    </row>
    <row r="478" spans="2:9">
      <c r="B478"/>
      <c r="C478"/>
      <c r="D478"/>
      <c r="E478"/>
      <c r="F478"/>
      <c r="G478"/>
      <c r="H478"/>
      <c r="I478"/>
    </row>
    <row r="479" spans="2:9">
      <c r="B479"/>
      <c r="C479"/>
      <c r="D479"/>
      <c r="E479"/>
      <c r="F479"/>
      <c r="G479"/>
      <c r="H479"/>
      <c r="I479"/>
    </row>
    <row r="480" spans="2:9">
      <c r="B480"/>
      <c r="C480"/>
      <c r="D480"/>
      <c r="E480"/>
      <c r="F480"/>
      <c r="G480"/>
      <c r="H480"/>
      <c r="I480"/>
    </row>
    <row r="481" spans="2:9">
      <c r="B481"/>
      <c r="C481"/>
      <c r="D481"/>
      <c r="E481"/>
      <c r="F481"/>
      <c r="G481"/>
      <c r="H481"/>
      <c r="I481"/>
    </row>
    <row r="482" spans="2:9">
      <c r="B482"/>
      <c r="C482"/>
      <c r="D482"/>
      <c r="E482"/>
      <c r="F482"/>
      <c r="G482"/>
      <c r="H482"/>
      <c r="I482"/>
    </row>
    <row r="483" spans="2:9">
      <c r="B483"/>
      <c r="C483"/>
      <c r="D483"/>
      <c r="E483"/>
      <c r="F483"/>
      <c r="G483"/>
      <c r="H483"/>
      <c r="I483"/>
    </row>
    <row r="484" spans="2:9">
      <c r="B484"/>
      <c r="C484"/>
      <c r="D484"/>
      <c r="E484"/>
      <c r="F484"/>
      <c r="G484"/>
      <c r="H484"/>
      <c r="I484"/>
    </row>
    <row r="485" spans="2:9">
      <c r="B485"/>
      <c r="C485"/>
      <c r="D485"/>
      <c r="E485"/>
      <c r="F485"/>
      <c r="G485"/>
      <c r="H485"/>
      <c r="I485"/>
    </row>
    <row r="486" spans="2:9">
      <c r="B486"/>
      <c r="C486"/>
      <c r="D486"/>
      <c r="E486"/>
      <c r="F486"/>
      <c r="G486"/>
      <c r="H486"/>
      <c r="I486"/>
    </row>
    <row r="487" spans="2:9">
      <c r="B487"/>
      <c r="C487"/>
      <c r="D487"/>
      <c r="E487"/>
      <c r="F487"/>
      <c r="G487"/>
      <c r="H487"/>
      <c r="I487"/>
    </row>
    <row r="488" spans="2:9">
      <c r="B488"/>
      <c r="C488"/>
      <c r="D488"/>
      <c r="E488"/>
      <c r="F488"/>
      <c r="G488"/>
      <c r="H488"/>
      <c r="I488"/>
    </row>
    <row r="489" spans="2:9">
      <c r="B489"/>
      <c r="C489"/>
      <c r="D489"/>
      <c r="E489"/>
      <c r="F489"/>
      <c r="G489"/>
      <c r="H489"/>
      <c r="I489"/>
    </row>
    <row r="490" spans="2:9">
      <c r="B490"/>
      <c r="C490"/>
      <c r="D490"/>
      <c r="E490"/>
      <c r="F490"/>
      <c r="G490"/>
      <c r="H490"/>
      <c r="I490"/>
    </row>
    <row r="491" spans="2:9">
      <c r="B491"/>
      <c r="C491"/>
      <c r="D491"/>
      <c r="E491"/>
      <c r="F491"/>
      <c r="G491"/>
      <c r="H491"/>
      <c r="I491"/>
    </row>
    <row r="492" spans="2:9">
      <c r="B492"/>
      <c r="C492"/>
      <c r="D492"/>
      <c r="E492"/>
      <c r="F492"/>
      <c r="G492"/>
      <c r="H492"/>
      <c r="I492"/>
    </row>
    <row r="493" spans="2:9">
      <c r="B493"/>
      <c r="C493"/>
      <c r="D493"/>
      <c r="E493"/>
      <c r="F493"/>
      <c r="G493"/>
      <c r="H493"/>
      <c r="I493"/>
    </row>
    <row r="494" spans="2:9">
      <c r="B494"/>
      <c r="C494"/>
      <c r="D494"/>
      <c r="E494"/>
      <c r="F494"/>
      <c r="G494"/>
      <c r="H494"/>
      <c r="I494"/>
    </row>
    <row r="495" spans="2:9">
      <c r="B495"/>
      <c r="C495"/>
      <c r="D495"/>
      <c r="E495"/>
      <c r="F495"/>
      <c r="G495"/>
      <c r="H495"/>
      <c r="I495"/>
    </row>
    <row r="496" spans="2:9">
      <c r="B496"/>
      <c r="C496"/>
      <c r="D496"/>
      <c r="E496"/>
      <c r="F496"/>
      <c r="G496"/>
      <c r="H496"/>
      <c r="I496"/>
    </row>
    <row r="497" spans="2:9">
      <c r="B497"/>
      <c r="C497"/>
      <c r="D497"/>
      <c r="E497"/>
      <c r="F497"/>
      <c r="G497"/>
      <c r="H497"/>
      <c r="I497"/>
    </row>
    <row r="498" spans="2:9">
      <c r="B498"/>
      <c r="C498"/>
      <c r="D498"/>
      <c r="E498"/>
      <c r="F498"/>
      <c r="G498"/>
      <c r="H498"/>
      <c r="I498"/>
    </row>
    <row r="499" spans="2:9">
      <c r="B499"/>
      <c r="C499"/>
      <c r="D499"/>
      <c r="E499"/>
      <c r="F499"/>
      <c r="G499"/>
      <c r="H499"/>
      <c r="I499"/>
    </row>
    <row r="500" spans="2:9">
      <c r="B500"/>
      <c r="C500"/>
      <c r="D500"/>
      <c r="E500"/>
      <c r="F500"/>
      <c r="G500"/>
      <c r="H500"/>
      <c r="I500"/>
    </row>
    <row r="501" spans="2:9">
      <c r="B501"/>
      <c r="C501"/>
      <c r="D501"/>
      <c r="E501"/>
      <c r="F501"/>
      <c r="G501"/>
      <c r="H501"/>
      <c r="I501"/>
    </row>
    <row r="502" spans="2:9">
      <c r="B502"/>
      <c r="C502"/>
      <c r="D502"/>
      <c r="E502"/>
      <c r="F502"/>
      <c r="G502"/>
      <c r="H502"/>
      <c r="I502"/>
    </row>
    <row r="503" spans="2:9">
      <c r="B503"/>
      <c r="C503"/>
      <c r="D503"/>
      <c r="E503"/>
      <c r="F503"/>
      <c r="G503"/>
      <c r="H503"/>
      <c r="I503"/>
    </row>
    <row r="504" spans="2:9">
      <c r="B504"/>
      <c r="C504"/>
      <c r="D504"/>
      <c r="E504"/>
      <c r="F504"/>
      <c r="G504"/>
      <c r="H504"/>
      <c r="I504"/>
    </row>
    <row r="505" spans="2:9">
      <c r="B505"/>
      <c r="C505"/>
      <c r="D505"/>
      <c r="E505"/>
      <c r="F505"/>
      <c r="G505"/>
      <c r="H505"/>
      <c r="I505"/>
    </row>
    <row r="506" spans="2:9">
      <c r="B506"/>
      <c r="C506"/>
      <c r="D506"/>
      <c r="E506"/>
      <c r="F506"/>
      <c r="G506"/>
      <c r="H506"/>
      <c r="I506"/>
    </row>
    <row r="507" spans="2:9">
      <c r="B507"/>
      <c r="C507"/>
      <c r="D507"/>
      <c r="E507"/>
      <c r="F507"/>
      <c r="G507"/>
      <c r="H507"/>
      <c r="I507"/>
    </row>
    <row r="508" spans="2:9">
      <c r="B508"/>
      <c r="C508"/>
      <c r="D508"/>
      <c r="E508"/>
      <c r="F508"/>
      <c r="G508"/>
      <c r="H508"/>
      <c r="I508"/>
    </row>
    <row r="509" spans="2:9">
      <c r="B509"/>
      <c r="C509"/>
      <c r="D509"/>
      <c r="E509"/>
      <c r="F509"/>
      <c r="G509"/>
      <c r="H509"/>
      <c r="I509"/>
    </row>
    <row r="510" spans="2:9">
      <c r="B510"/>
      <c r="C510"/>
      <c r="D510"/>
      <c r="E510"/>
      <c r="F510"/>
      <c r="G510"/>
      <c r="H510"/>
      <c r="I510"/>
    </row>
    <row r="511" spans="2:9">
      <c r="B511"/>
      <c r="C511"/>
      <c r="D511"/>
      <c r="E511"/>
      <c r="F511"/>
      <c r="G511"/>
      <c r="H511"/>
      <c r="I511"/>
    </row>
    <row r="512" spans="2:9">
      <c r="B512"/>
      <c r="C512"/>
      <c r="D512"/>
      <c r="E512"/>
      <c r="F512"/>
      <c r="G512"/>
      <c r="H512"/>
      <c r="I512"/>
    </row>
    <row r="513" spans="2:9">
      <c r="B513"/>
      <c r="C513"/>
      <c r="D513"/>
      <c r="E513"/>
      <c r="F513"/>
      <c r="G513"/>
      <c r="H513"/>
      <c r="I513"/>
    </row>
    <row r="514" spans="2:9">
      <c r="B514"/>
      <c r="C514"/>
      <c r="D514"/>
      <c r="E514"/>
      <c r="F514"/>
      <c r="G514"/>
      <c r="H514"/>
      <c r="I514"/>
    </row>
    <row r="515" spans="2:9">
      <c r="B515"/>
      <c r="C515"/>
      <c r="D515"/>
      <c r="E515"/>
      <c r="F515"/>
      <c r="G515"/>
      <c r="H515"/>
      <c r="I515"/>
    </row>
    <row r="516" spans="2:9">
      <c r="B516"/>
      <c r="C516"/>
      <c r="D516"/>
      <c r="E516"/>
      <c r="F516"/>
      <c r="G516"/>
      <c r="H516"/>
      <c r="I516"/>
    </row>
    <row r="517" spans="2:9">
      <c r="B517"/>
      <c r="C517"/>
      <c r="D517"/>
      <c r="E517"/>
      <c r="F517"/>
      <c r="G517"/>
      <c r="H517"/>
      <c r="I517"/>
    </row>
    <row r="518" spans="2:9">
      <c r="B518"/>
      <c r="C518"/>
      <c r="D518"/>
      <c r="E518"/>
      <c r="F518"/>
      <c r="G518"/>
      <c r="H518"/>
      <c r="I518"/>
    </row>
    <row r="519" spans="2:9">
      <c r="B519"/>
      <c r="C519"/>
      <c r="D519"/>
      <c r="E519"/>
      <c r="F519"/>
      <c r="G519"/>
      <c r="H519"/>
      <c r="I519"/>
    </row>
    <row r="520" spans="2:9">
      <c r="B520"/>
      <c r="C520"/>
      <c r="D520"/>
      <c r="E520"/>
      <c r="F520"/>
      <c r="G520"/>
      <c r="H520"/>
      <c r="I520"/>
    </row>
    <row r="521" spans="2:9">
      <c r="B521"/>
      <c r="C521"/>
      <c r="D521"/>
      <c r="E521"/>
      <c r="F521"/>
      <c r="G521"/>
      <c r="H521"/>
      <c r="I521"/>
    </row>
    <row r="522" spans="2:9">
      <c r="B522"/>
      <c r="C522"/>
      <c r="D522"/>
      <c r="E522"/>
      <c r="F522"/>
      <c r="G522"/>
      <c r="H522"/>
      <c r="I522"/>
    </row>
    <row r="523" spans="2:9">
      <c r="B523"/>
      <c r="C523"/>
      <c r="D523"/>
      <c r="E523"/>
      <c r="F523"/>
      <c r="G523"/>
      <c r="H523"/>
      <c r="I523"/>
    </row>
    <row r="524" spans="2:9">
      <c r="B524"/>
      <c r="C524"/>
      <c r="D524"/>
      <c r="E524"/>
      <c r="F524"/>
      <c r="G524"/>
      <c r="H524"/>
      <c r="I524"/>
    </row>
    <row r="525" spans="2:9">
      <c r="B525"/>
      <c r="C525"/>
      <c r="D525"/>
      <c r="E525"/>
      <c r="F525"/>
      <c r="G525"/>
      <c r="H525"/>
      <c r="I525"/>
    </row>
    <row r="526" spans="2:9">
      <c r="B526"/>
      <c r="C526"/>
      <c r="D526"/>
      <c r="E526"/>
      <c r="F526"/>
      <c r="G526"/>
      <c r="H526"/>
      <c r="I526"/>
    </row>
    <row r="527" spans="2:9">
      <c r="B527"/>
      <c r="C527"/>
      <c r="D527"/>
      <c r="E527"/>
      <c r="F527"/>
      <c r="G527"/>
      <c r="H527"/>
      <c r="I527"/>
    </row>
    <row r="528" spans="2:9">
      <c r="B528"/>
      <c r="C528"/>
      <c r="D528"/>
      <c r="E528"/>
      <c r="F528"/>
      <c r="G528"/>
      <c r="H528"/>
      <c r="I528"/>
    </row>
    <row r="529" spans="2:9">
      <c r="B529"/>
      <c r="C529"/>
      <c r="D529"/>
      <c r="E529"/>
      <c r="F529"/>
      <c r="G529"/>
      <c r="H529"/>
      <c r="I529"/>
    </row>
    <row r="530" spans="2:9">
      <c r="B530"/>
      <c r="C530"/>
      <c r="D530"/>
      <c r="E530"/>
      <c r="F530"/>
      <c r="G530"/>
      <c r="H530"/>
      <c r="I530"/>
    </row>
    <row r="531" spans="2:9">
      <c r="B531"/>
      <c r="C531"/>
      <c r="D531"/>
      <c r="E531"/>
      <c r="F531"/>
      <c r="G531"/>
      <c r="H531"/>
      <c r="I531"/>
    </row>
    <row r="532" spans="2:9">
      <c r="B532"/>
      <c r="C532"/>
      <c r="D532"/>
      <c r="E532"/>
      <c r="F532"/>
      <c r="G532"/>
      <c r="H532"/>
      <c r="I532"/>
    </row>
    <row r="533" spans="2:9">
      <c r="B533"/>
      <c r="C533"/>
      <c r="D533"/>
      <c r="E533"/>
      <c r="F533"/>
      <c r="G533"/>
      <c r="H533"/>
      <c r="I533"/>
    </row>
    <row r="534" spans="2:9">
      <c r="B534"/>
      <c r="C534"/>
      <c r="D534"/>
      <c r="E534"/>
      <c r="F534"/>
      <c r="G534"/>
      <c r="H534"/>
      <c r="I534"/>
    </row>
    <row r="535" spans="2:9">
      <c r="B535"/>
      <c r="C535"/>
      <c r="D535"/>
      <c r="E535"/>
      <c r="F535"/>
      <c r="G535"/>
      <c r="H535"/>
      <c r="I535"/>
    </row>
    <row r="536" spans="2:9">
      <c r="B536"/>
      <c r="C536"/>
      <c r="D536"/>
      <c r="E536"/>
      <c r="F536"/>
      <c r="G536"/>
      <c r="H536"/>
      <c r="I536"/>
    </row>
    <row r="537" spans="2:9">
      <c r="B537"/>
      <c r="C537"/>
      <c r="D537"/>
      <c r="E537"/>
      <c r="F537"/>
      <c r="G537"/>
      <c r="H537"/>
      <c r="I537"/>
    </row>
    <row r="538" spans="2:9">
      <c r="B538"/>
      <c r="C538"/>
      <c r="D538"/>
      <c r="E538"/>
      <c r="F538"/>
      <c r="G538"/>
      <c r="H538"/>
      <c r="I538"/>
    </row>
    <row r="539" spans="2:9">
      <c r="B539"/>
      <c r="C539"/>
      <c r="D539"/>
      <c r="E539"/>
      <c r="F539"/>
      <c r="G539"/>
      <c r="H539"/>
      <c r="I539"/>
    </row>
    <row r="540" spans="2:9">
      <c r="B540"/>
      <c r="C540"/>
      <c r="D540"/>
      <c r="E540"/>
      <c r="F540"/>
      <c r="G540"/>
      <c r="H540"/>
      <c r="I540"/>
    </row>
    <row r="541" spans="2:9">
      <c r="B541"/>
      <c r="C541"/>
      <c r="D541"/>
      <c r="E541"/>
      <c r="F541"/>
      <c r="G541"/>
      <c r="H541"/>
      <c r="I541"/>
    </row>
    <row r="542" spans="2:9">
      <c r="B542"/>
      <c r="C542"/>
      <c r="D542"/>
      <c r="E542"/>
      <c r="F542"/>
      <c r="G542"/>
      <c r="H542"/>
      <c r="I542"/>
    </row>
    <row r="543" spans="2:9">
      <c r="B543"/>
      <c r="C543"/>
      <c r="D543"/>
      <c r="E543"/>
      <c r="F543"/>
      <c r="G543"/>
      <c r="H543"/>
      <c r="I543"/>
    </row>
    <row r="544" spans="2:9">
      <c r="B544"/>
      <c r="C544"/>
      <c r="D544"/>
      <c r="E544"/>
      <c r="F544"/>
      <c r="G544"/>
      <c r="H544"/>
      <c r="I544"/>
    </row>
    <row r="545" spans="2:9">
      <c r="B545"/>
      <c r="C545"/>
      <c r="D545"/>
      <c r="E545"/>
      <c r="F545"/>
      <c r="G545"/>
      <c r="H545"/>
      <c r="I545"/>
    </row>
    <row r="546" spans="2:9">
      <c r="B546"/>
      <c r="C546"/>
      <c r="D546"/>
      <c r="E546"/>
      <c r="F546"/>
      <c r="G546"/>
      <c r="H546"/>
      <c r="I546"/>
    </row>
    <row r="547" spans="2:9">
      <c r="B547"/>
      <c r="C547"/>
      <c r="D547"/>
      <c r="E547"/>
      <c r="F547"/>
      <c r="G547"/>
      <c r="H547"/>
      <c r="I547"/>
    </row>
    <row r="548" spans="2:9">
      <c r="B548"/>
      <c r="C548"/>
      <c r="D548"/>
      <c r="E548"/>
      <c r="F548"/>
      <c r="G548"/>
      <c r="H548"/>
      <c r="I548"/>
    </row>
    <row r="549" spans="2:9">
      <c r="B549"/>
      <c r="C549"/>
      <c r="D549"/>
      <c r="E549"/>
      <c r="F549"/>
      <c r="G549"/>
      <c r="H549"/>
      <c r="I549"/>
    </row>
    <row r="550" spans="2:9">
      <c r="B550"/>
      <c r="C550"/>
      <c r="D550"/>
      <c r="E550"/>
      <c r="F550"/>
      <c r="G550"/>
      <c r="H550"/>
      <c r="I550"/>
    </row>
    <row r="551" spans="2:9">
      <c r="B551"/>
      <c r="C551"/>
      <c r="D551"/>
      <c r="E551"/>
      <c r="F551"/>
      <c r="G551"/>
      <c r="H551"/>
      <c r="I551"/>
    </row>
    <row r="552" spans="2:9">
      <c r="B552"/>
      <c r="C552"/>
      <c r="D552"/>
      <c r="E552"/>
      <c r="F552"/>
      <c r="G552"/>
      <c r="H552"/>
      <c r="I552"/>
    </row>
    <row r="553" spans="2:9">
      <c r="B553"/>
      <c r="C553"/>
      <c r="D553"/>
      <c r="E553"/>
      <c r="F553"/>
      <c r="G553"/>
      <c r="H553"/>
      <c r="I553"/>
    </row>
    <row r="554" spans="2:9">
      <c r="B554"/>
      <c r="C554"/>
      <c r="D554"/>
      <c r="E554"/>
      <c r="F554"/>
      <c r="G554"/>
      <c r="H554"/>
      <c r="I554"/>
    </row>
    <row r="555" spans="2:9">
      <c r="B555"/>
      <c r="C555"/>
      <c r="D555"/>
      <c r="E555"/>
      <c r="F555"/>
      <c r="G555"/>
      <c r="H555"/>
      <c r="I555"/>
    </row>
    <row r="556" spans="2:9">
      <c r="B556"/>
      <c r="C556"/>
      <c r="D556"/>
      <c r="E556"/>
      <c r="F556"/>
      <c r="G556"/>
      <c r="H556"/>
      <c r="I556"/>
    </row>
    <row r="557" spans="2:9">
      <c r="B557"/>
      <c r="C557"/>
      <c r="D557"/>
      <c r="E557"/>
      <c r="F557"/>
      <c r="G557"/>
      <c r="H557"/>
      <c r="I557"/>
    </row>
    <row r="558" spans="2:9">
      <c r="B558"/>
      <c r="C558"/>
      <c r="D558"/>
      <c r="E558"/>
      <c r="F558"/>
      <c r="G558"/>
      <c r="H558"/>
      <c r="I558"/>
    </row>
    <row r="559" spans="2:9">
      <c r="B559"/>
      <c r="C559"/>
      <c r="D559"/>
      <c r="E559"/>
      <c r="F559"/>
      <c r="G559"/>
      <c r="H559"/>
      <c r="I559"/>
    </row>
    <row r="560" spans="2:9">
      <c r="B560"/>
      <c r="C560"/>
      <c r="D560"/>
      <c r="E560"/>
      <c r="F560"/>
      <c r="G560"/>
      <c r="H560"/>
      <c r="I560"/>
    </row>
    <row r="561" spans="2:9">
      <c r="B561"/>
      <c r="C561"/>
      <c r="D561"/>
      <c r="E561"/>
      <c r="F561"/>
      <c r="G561"/>
      <c r="H561"/>
      <c r="I561"/>
    </row>
    <row r="562" spans="2:9">
      <c r="B562"/>
      <c r="C562"/>
      <c r="D562"/>
      <c r="E562"/>
      <c r="F562"/>
      <c r="G562"/>
      <c r="H562"/>
      <c r="I562"/>
    </row>
    <row r="563" spans="2:9">
      <c r="B563"/>
      <c r="C563"/>
      <c r="D563"/>
      <c r="E563"/>
      <c r="F563"/>
      <c r="G563"/>
      <c r="H563"/>
      <c r="I563"/>
    </row>
    <row r="564" spans="2:9">
      <c r="B564"/>
      <c r="C564"/>
      <c r="D564"/>
      <c r="E564"/>
      <c r="F564"/>
      <c r="G564"/>
      <c r="H564"/>
      <c r="I564"/>
    </row>
    <row r="565" spans="2:9">
      <c r="B565"/>
      <c r="C565"/>
      <c r="D565"/>
      <c r="E565"/>
      <c r="F565"/>
      <c r="G565"/>
      <c r="H565"/>
      <c r="I565"/>
    </row>
    <row r="566" spans="2:9">
      <c r="B566"/>
      <c r="C566"/>
      <c r="D566"/>
      <c r="E566"/>
      <c r="F566"/>
      <c r="G566"/>
      <c r="H566"/>
      <c r="I566"/>
    </row>
    <row r="567" spans="2:9">
      <c r="B567"/>
      <c r="C567"/>
      <c r="D567"/>
      <c r="E567"/>
      <c r="F567"/>
      <c r="G567"/>
      <c r="H567"/>
      <c r="I567"/>
    </row>
    <row r="568" spans="2:9">
      <c r="B568"/>
      <c r="C568"/>
      <c r="D568"/>
      <c r="E568"/>
      <c r="F568"/>
      <c r="G568"/>
      <c r="H568"/>
      <c r="I568"/>
    </row>
    <row r="569" spans="2:9">
      <c r="B569"/>
      <c r="C569"/>
      <c r="D569"/>
      <c r="E569"/>
      <c r="F569"/>
      <c r="G569"/>
      <c r="H569"/>
      <c r="I569"/>
    </row>
    <row r="570" spans="2:9">
      <c r="B570"/>
      <c r="C570"/>
      <c r="D570"/>
      <c r="E570"/>
      <c r="F570"/>
      <c r="G570"/>
      <c r="H570"/>
      <c r="I570"/>
    </row>
    <row r="571" spans="2:9">
      <c r="B571"/>
      <c r="C571"/>
      <c r="D571"/>
      <c r="E571"/>
      <c r="F571"/>
      <c r="G571"/>
      <c r="H571"/>
      <c r="I571"/>
    </row>
    <row r="572" spans="2:9">
      <c r="B572"/>
      <c r="C572"/>
      <c r="D572"/>
      <c r="E572"/>
      <c r="F572"/>
      <c r="G572"/>
      <c r="H572"/>
      <c r="I572"/>
    </row>
    <row r="573" spans="2:9">
      <c r="B573"/>
      <c r="C573"/>
      <c r="D573"/>
      <c r="E573"/>
      <c r="F573"/>
      <c r="G573"/>
      <c r="H573"/>
      <c r="I573"/>
    </row>
    <row r="574" spans="2:9">
      <c r="B574"/>
      <c r="C574"/>
      <c r="D574"/>
      <c r="E574"/>
      <c r="F574"/>
      <c r="G574"/>
      <c r="H574"/>
      <c r="I574"/>
    </row>
    <row r="575" spans="2:9">
      <c r="B575"/>
      <c r="C575"/>
      <c r="D575"/>
      <c r="E575"/>
      <c r="F575"/>
      <c r="G575"/>
      <c r="H575"/>
      <c r="I575"/>
    </row>
    <row r="576" spans="2:9">
      <c r="B576"/>
      <c r="C576"/>
      <c r="D576"/>
      <c r="E576"/>
      <c r="F576"/>
      <c r="G576"/>
      <c r="H576"/>
      <c r="I576"/>
    </row>
    <row r="577" spans="2:9">
      <c r="B577"/>
      <c r="C577"/>
      <c r="D577"/>
      <c r="E577"/>
      <c r="F577"/>
      <c r="G577"/>
      <c r="H577"/>
      <c r="I577"/>
    </row>
    <row r="578" spans="2:9">
      <c r="B578"/>
      <c r="C578"/>
      <c r="D578"/>
      <c r="E578"/>
      <c r="F578"/>
      <c r="G578"/>
      <c r="H578"/>
      <c r="I578"/>
    </row>
    <row r="579" spans="2:9">
      <c r="B579"/>
      <c r="C579"/>
      <c r="D579"/>
      <c r="E579"/>
      <c r="F579"/>
      <c r="G579"/>
      <c r="H579"/>
      <c r="I579"/>
    </row>
    <row r="580" spans="2:9">
      <c r="B580"/>
      <c r="C580"/>
      <c r="D580"/>
      <c r="E580"/>
      <c r="F580"/>
      <c r="G580"/>
      <c r="H580"/>
      <c r="I580"/>
    </row>
    <row r="581" spans="2:9">
      <c r="B581"/>
      <c r="C581"/>
      <c r="D581"/>
      <c r="E581"/>
      <c r="F581"/>
      <c r="G581"/>
      <c r="H581"/>
      <c r="I581"/>
    </row>
    <row r="582" spans="2:9">
      <c r="B582"/>
      <c r="C582"/>
      <c r="D582"/>
      <c r="E582"/>
      <c r="F582"/>
      <c r="G582"/>
      <c r="H582"/>
      <c r="I582"/>
    </row>
    <row r="583" spans="2:9">
      <c r="B583"/>
      <c r="C583"/>
      <c r="D583"/>
      <c r="E583"/>
      <c r="F583"/>
      <c r="G583"/>
      <c r="H583"/>
      <c r="I583"/>
    </row>
    <row r="584" spans="2:9">
      <c r="B584"/>
      <c r="C584"/>
      <c r="D584"/>
      <c r="E584"/>
      <c r="F584"/>
      <c r="G584"/>
      <c r="H584"/>
      <c r="I584"/>
    </row>
    <row r="585" spans="2:9">
      <c r="B585"/>
      <c r="C585"/>
      <c r="D585"/>
      <c r="E585"/>
      <c r="F585"/>
      <c r="G585"/>
      <c r="H585"/>
      <c r="I585"/>
    </row>
    <row r="586" spans="2:9">
      <c r="B586"/>
      <c r="C586"/>
      <c r="D586"/>
      <c r="E586"/>
      <c r="F586"/>
      <c r="G586"/>
      <c r="H586"/>
      <c r="I586"/>
    </row>
    <row r="587" spans="2:9">
      <c r="B587"/>
      <c r="C587"/>
      <c r="D587"/>
      <c r="E587"/>
      <c r="F587"/>
      <c r="G587"/>
      <c r="H587"/>
      <c r="I587"/>
    </row>
    <row r="588" spans="2:9">
      <c r="B588"/>
      <c r="C588"/>
      <c r="D588"/>
      <c r="E588"/>
      <c r="F588"/>
      <c r="G588"/>
      <c r="H588"/>
      <c r="I588"/>
    </row>
    <row r="589" spans="2:9">
      <c r="B589"/>
      <c r="C589"/>
      <c r="D589"/>
      <c r="E589"/>
      <c r="F589"/>
      <c r="G589"/>
      <c r="H589"/>
      <c r="I589"/>
    </row>
    <row r="590" spans="2:9">
      <c r="B590"/>
      <c r="C590"/>
      <c r="D590"/>
      <c r="E590"/>
      <c r="F590"/>
      <c r="G590"/>
      <c r="H590"/>
      <c r="I590"/>
    </row>
    <row r="591" spans="2:9">
      <c r="B591"/>
      <c r="C591"/>
      <c r="D591"/>
      <c r="E591"/>
      <c r="F591"/>
      <c r="G591"/>
      <c r="H591"/>
      <c r="I591"/>
    </row>
    <row r="592" spans="2:9">
      <c r="B592"/>
      <c r="C592"/>
      <c r="D592"/>
      <c r="E592"/>
      <c r="F592"/>
      <c r="G592"/>
      <c r="H592"/>
      <c r="I592"/>
    </row>
    <row r="593" spans="2:9">
      <c r="B593"/>
      <c r="C593"/>
      <c r="D593"/>
      <c r="E593"/>
      <c r="F593"/>
      <c r="G593"/>
      <c r="H593"/>
      <c r="I593"/>
    </row>
    <row r="594" spans="2:9">
      <c r="B594"/>
      <c r="C594"/>
      <c r="D594"/>
      <c r="E594"/>
      <c r="F594"/>
      <c r="G594"/>
      <c r="H594"/>
      <c r="I594"/>
    </row>
    <row r="595" spans="2:9">
      <c r="B595"/>
      <c r="C595"/>
      <c r="D595"/>
      <c r="E595"/>
      <c r="F595"/>
      <c r="G595"/>
      <c r="H595"/>
      <c r="I595"/>
    </row>
    <row r="596" spans="2:9">
      <c r="B596"/>
      <c r="C596"/>
      <c r="D596"/>
      <c r="E596"/>
      <c r="F596"/>
      <c r="G596"/>
      <c r="H596"/>
      <c r="I596"/>
    </row>
    <row r="597" spans="2:9">
      <c r="B597"/>
      <c r="C597"/>
      <c r="D597"/>
      <c r="E597"/>
      <c r="F597"/>
      <c r="G597"/>
      <c r="H597"/>
      <c r="I597"/>
    </row>
    <row r="598" spans="2:9">
      <c r="B598"/>
      <c r="C598"/>
      <c r="D598"/>
      <c r="E598"/>
      <c r="F598"/>
      <c r="G598"/>
      <c r="H598"/>
      <c r="I598"/>
    </row>
    <row r="599" spans="2:9">
      <c r="B599"/>
      <c r="C599"/>
      <c r="D599"/>
      <c r="E599"/>
      <c r="F599"/>
      <c r="G599"/>
      <c r="H599"/>
      <c r="I599"/>
    </row>
    <row r="600" spans="2:9">
      <c r="B600"/>
      <c r="C600"/>
      <c r="D600"/>
      <c r="E600"/>
      <c r="F600"/>
      <c r="G600"/>
      <c r="H600"/>
      <c r="I600"/>
    </row>
    <row r="601" spans="2:9">
      <c r="B601"/>
      <c r="C601"/>
      <c r="D601"/>
      <c r="E601"/>
      <c r="F601"/>
      <c r="G601"/>
      <c r="H601"/>
      <c r="I601"/>
    </row>
    <row r="602" spans="2:9">
      <c r="B602"/>
      <c r="C602"/>
      <c r="D602"/>
      <c r="E602"/>
      <c r="F602"/>
      <c r="G602"/>
      <c r="H602"/>
      <c r="I602"/>
    </row>
    <row r="603" spans="2:9">
      <c r="B603"/>
      <c r="C603"/>
      <c r="D603"/>
      <c r="E603"/>
      <c r="F603"/>
      <c r="G603"/>
      <c r="H603"/>
      <c r="I603"/>
    </row>
    <row r="604" spans="2:9">
      <c r="B604"/>
      <c r="C604"/>
      <c r="D604"/>
      <c r="E604"/>
      <c r="F604"/>
      <c r="G604"/>
      <c r="H604"/>
      <c r="I604"/>
    </row>
    <row r="605" spans="2:9">
      <c r="B605"/>
      <c r="C605"/>
      <c r="D605"/>
      <c r="E605"/>
      <c r="F605"/>
      <c r="G605"/>
      <c r="H605"/>
      <c r="I605"/>
    </row>
    <row r="606" spans="2:9">
      <c r="B606"/>
      <c r="C606"/>
      <c r="D606"/>
      <c r="E606"/>
      <c r="F606"/>
      <c r="G606"/>
      <c r="H606"/>
      <c r="I606"/>
    </row>
    <row r="607" spans="2:9">
      <c r="B607"/>
      <c r="C607"/>
      <c r="D607"/>
      <c r="E607"/>
      <c r="F607"/>
      <c r="G607"/>
      <c r="H607"/>
      <c r="I607"/>
    </row>
    <row r="608" spans="2:9">
      <c r="B608"/>
      <c r="C608"/>
      <c r="D608"/>
      <c r="E608"/>
      <c r="F608"/>
      <c r="G608"/>
      <c r="H608"/>
      <c r="I608"/>
    </row>
    <row r="609" spans="2:9">
      <c r="B609"/>
      <c r="C609"/>
      <c r="D609"/>
      <c r="E609"/>
      <c r="F609"/>
      <c r="G609"/>
      <c r="H609"/>
      <c r="I609"/>
    </row>
    <row r="610" spans="2:9">
      <c r="B610"/>
      <c r="C610"/>
      <c r="D610"/>
      <c r="E610"/>
      <c r="F610"/>
      <c r="G610"/>
      <c r="H610"/>
      <c r="I610"/>
    </row>
    <row r="611" spans="2:9">
      <c r="B611"/>
      <c r="C611"/>
      <c r="D611"/>
      <c r="E611"/>
      <c r="F611"/>
      <c r="G611"/>
      <c r="H611"/>
      <c r="I611"/>
    </row>
    <row r="612" spans="2:9">
      <c r="B612"/>
      <c r="C612"/>
      <c r="D612"/>
      <c r="E612"/>
      <c r="F612"/>
      <c r="G612"/>
      <c r="H612"/>
      <c r="I612"/>
    </row>
    <row r="613" spans="2:9">
      <c r="B613"/>
      <c r="C613"/>
      <c r="D613"/>
      <c r="E613"/>
      <c r="F613"/>
      <c r="G613"/>
      <c r="H613"/>
      <c r="I613"/>
    </row>
    <row r="614" spans="2:9">
      <c r="B614"/>
      <c r="C614"/>
      <c r="D614"/>
      <c r="E614"/>
      <c r="F614"/>
      <c r="G614"/>
      <c r="H614"/>
      <c r="I614"/>
    </row>
    <row r="615" spans="2:9">
      <c r="B615"/>
      <c r="C615"/>
      <c r="D615"/>
      <c r="E615"/>
      <c r="F615"/>
      <c r="G615"/>
      <c r="H615"/>
      <c r="I615"/>
    </row>
    <row r="616" spans="2:9">
      <c r="B616"/>
      <c r="C616"/>
      <c r="D616"/>
      <c r="E616"/>
      <c r="F616"/>
      <c r="G616"/>
      <c r="H616"/>
      <c r="I616"/>
    </row>
    <row r="617" spans="2:9">
      <c r="B617"/>
      <c r="C617"/>
      <c r="D617"/>
      <c r="E617"/>
      <c r="F617"/>
      <c r="G617"/>
      <c r="H617"/>
      <c r="I617"/>
    </row>
    <row r="618" spans="2:9">
      <c r="B618"/>
      <c r="C618"/>
      <c r="D618"/>
      <c r="E618"/>
      <c r="F618"/>
      <c r="G618"/>
      <c r="H618"/>
      <c r="I618"/>
    </row>
    <row r="619" spans="2:9">
      <c r="B619"/>
      <c r="C619"/>
      <c r="D619"/>
      <c r="E619"/>
      <c r="F619"/>
      <c r="G619"/>
      <c r="H619"/>
      <c r="I619"/>
    </row>
    <row r="620" spans="2:9">
      <c r="B620"/>
      <c r="C620"/>
      <c r="D620"/>
      <c r="E620"/>
      <c r="F620"/>
      <c r="G620"/>
      <c r="H620"/>
      <c r="I620"/>
    </row>
    <row r="621" spans="2:9">
      <c r="B621"/>
      <c r="C621"/>
      <c r="D621"/>
      <c r="E621"/>
      <c r="F621"/>
      <c r="G621"/>
      <c r="H621"/>
      <c r="I621"/>
    </row>
    <row r="622" spans="2:9">
      <c r="B622"/>
      <c r="C622"/>
      <c r="D622"/>
      <c r="E622"/>
      <c r="F622"/>
      <c r="G622"/>
      <c r="H622"/>
      <c r="I622"/>
    </row>
    <row r="623" spans="2:9">
      <c r="B623"/>
      <c r="C623"/>
      <c r="D623"/>
      <c r="E623"/>
      <c r="F623"/>
      <c r="G623"/>
      <c r="H623"/>
      <c r="I623"/>
    </row>
    <row r="624" spans="2:9">
      <c r="B624"/>
      <c r="C624"/>
      <c r="D624"/>
      <c r="E624"/>
      <c r="F624"/>
      <c r="G624"/>
      <c r="H624"/>
      <c r="I624"/>
    </row>
    <row r="625" spans="2:9">
      <c r="B625"/>
      <c r="C625"/>
      <c r="D625"/>
      <c r="E625"/>
      <c r="F625"/>
      <c r="G625"/>
      <c r="H625"/>
      <c r="I625"/>
    </row>
    <row r="626" spans="2:9">
      <c r="B626"/>
      <c r="C626"/>
      <c r="D626"/>
      <c r="E626"/>
      <c r="F626"/>
      <c r="G626"/>
      <c r="H626"/>
      <c r="I626"/>
    </row>
    <row r="627" spans="2:9">
      <c r="B627"/>
      <c r="C627"/>
      <c r="D627"/>
      <c r="E627"/>
      <c r="F627"/>
      <c r="G627"/>
      <c r="H627"/>
      <c r="I627"/>
    </row>
    <row r="628" spans="2:9">
      <c r="B628"/>
      <c r="C628"/>
      <c r="D628"/>
      <c r="E628"/>
      <c r="F628"/>
      <c r="G628"/>
      <c r="H628"/>
      <c r="I628"/>
    </row>
    <row r="629" spans="2:9">
      <c r="B629"/>
      <c r="C629"/>
      <c r="D629"/>
      <c r="E629"/>
      <c r="F629"/>
      <c r="G629"/>
      <c r="H629"/>
      <c r="I629"/>
    </row>
    <row r="630" spans="2:9">
      <c r="B630"/>
      <c r="C630"/>
      <c r="D630"/>
      <c r="E630"/>
      <c r="F630"/>
      <c r="G630"/>
      <c r="H630"/>
      <c r="I630"/>
    </row>
    <row r="631" spans="2:9">
      <c r="B631"/>
      <c r="C631"/>
      <c r="D631"/>
      <c r="E631"/>
      <c r="F631"/>
      <c r="G631"/>
      <c r="H631"/>
      <c r="I631"/>
    </row>
    <row r="632" spans="2:9">
      <c r="B632"/>
      <c r="C632"/>
      <c r="D632"/>
      <c r="E632"/>
      <c r="F632"/>
      <c r="G632"/>
      <c r="H632"/>
      <c r="I632"/>
    </row>
    <row r="633" spans="2:9">
      <c r="B633"/>
      <c r="C633"/>
      <c r="D633"/>
      <c r="E633"/>
      <c r="F633"/>
      <c r="G633"/>
      <c r="H633"/>
      <c r="I633"/>
    </row>
    <row r="634" spans="2:9">
      <c r="B634"/>
      <c r="C634"/>
      <c r="D634"/>
      <c r="E634"/>
      <c r="F634"/>
      <c r="G634"/>
      <c r="H634"/>
      <c r="I634"/>
    </row>
    <row r="635" spans="2:9">
      <c r="B635"/>
      <c r="C635"/>
      <c r="D635"/>
      <c r="E635"/>
      <c r="F635"/>
      <c r="G635"/>
      <c r="H635"/>
      <c r="I635"/>
    </row>
    <row r="636" spans="2:9">
      <c r="B636"/>
      <c r="C636"/>
      <c r="D636"/>
      <c r="E636"/>
      <c r="F636"/>
      <c r="G636"/>
      <c r="H636"/>
      <c r="I636"/>
    </row>
    <row r="637" spans="2:9">
      <c r="B637"/>
      <c r="C637"/>
      <c r="D637"/>
      <c r="E637"/>
      <c r="F637"/>
      <c r="G637"/>
      <c r="H637"/>
      <c r="I637"/>
    </row>
    <row r="638" spans="2:9">
      <c r="B638"/>
      <c r="C638"/>
      <c r="D638"/>
      <c r="E638"/>
      <c r="F638"/>
      <c r="G638"/>
      <c r="H638"/>
      <c r="I638"/>
    </row>
    <row r="639" spans="2:9">
      <c r="B639"/>
      <c r="C639"/>
      <c r="D639"/>
      <c r="E639"/>
      <c r="F639"/>
      <c r="G639"/>
      <c r="H639"/>
      <c r="I639"/>
    </row>
    <row r="640" spans="2:9">
      <c r="B640"/>
      <c r="C640"/>
      <c r="D640"/>
      <c r="E640"/>
      <c r="F640"/>
      <c r="G640"/>
      <c r="H640"/>
      <c r="I640"/>
    </row>
    <row r="641" spans="2:9">
      <c r="B641"/>
      <c r="C641"/>
      <c r="D641"/>
      <c r="E641"/>
      <c r="F641"/>
      <c r="G641"/>
      <c r="H641"/>
      <c r="I641"/>
    </row>
    <row r="642" spans="2:9">
      <c r="B642"/>
      <c r="C642"/>
      <c r="D642"/>
      <c r="E642"/>
      <c r="F642"/>
      <c r="G642"/>
      <c r="H642"/>
      <c r="I642"/>
    </row>
    <row r="643" spans="2:9">
      <c r="B643"/>
      <c r="C643"/>
      <c r="D643"/>
      <c r="E643"/>
      <c r="F643"/>
      <c r="G643"/>
      <c r="H643"/>
      <c r="I643"/>
    </row>
    <row r="644" spans="2:9">
      <c r="B644"/>
      <c r="C644"/>
      <c r="D644"/>
      <c r="E644"/>
      <c r="F644"/>
      <c r="G644"/>
      <c r="H644"/>
      <c r="I644"/>
    </row>
    <row r="645" spans="2:9">
      <c r="B645"/>
      <c r="C645"/>
      <c r="D645"/>
      <c r="E645"/>
      <c r="F645"/>
      <c r="G645"/>
      <c r="H645"/>
      <c r="I645"/>
    </row>
    <row r="646" spans="2:9">
      <c r="B646"/>
      <c r="C646"/>
      <c r="D646"/>
      <c r="E646"/>
      <c r="F646"/>
      <c r="G646"/>
      <c r="H646"/>
      <c r="I646"/>
    </row>
    <row r="647" spans="2:9">
      <c r="B647"/>
      <c r="C647"/>
      <c r="D647"/>
      <c r="E647"/>
      <c r="F647"/>
      <c r="G647"/>
      <c r="H647"/>
      <c r="I647"/>
    </row>
    <row r="648" spans="2:9">
      <c r="B648"/>
      <c r="C648"/>
      <c r="D648"/>
      <c r="E648"/>
      <c r="F648"/>
      <c r="G648"/>
      <c r="H648"/>
      <c r="I648"/>
    </row>
    <row r="649" spans="2:9">
      <c r="B649"/>
      <c r="C649"/>
      <c r="D649"/>
      <c r="E649"/>
      <c r="F649"/>
      <c r="G649"/>
      <c r="H649"/>
      <c r="I649"/>
    </row>
    <row r="650" spans="2:9">
      <c r="B650"/>
      <c r="C650"/>
      <c r="D650"/>
      <c r="E650"/>
      <c r="F650"/>
      <c r="G650"/>
      <c r="H650"/>
      <c r="I650"/>
    </row>
    <row r="651" spans="2:9">
      <c r="B651"/>
      <c r="C651"/>
      <c r="D651"/>
      <c r="E651"/>
      <c r="F651"/>
      <c r="G651"/>
      <c r="H651"/>
      <c r="I651"/>
    </row>
    <row r="652" spans="2:9">
      <c r="B652"/>
      <c r="C652"/>
      <c r="D652"/>
      <c r="E652"/>
      <c r="F652"/>
      <c r="G652"/>
      <c r="H652"/>
      <c r="I652"/>
    </row>
    <row r="653" spans="2:9">
      <c r="B653"/>
      <c r="C653"/>
      <c r="D653"/>
      <c r="E653"/>
      <c r="F653"/>
      <c r="G653"/>
      <c r="H653"/>
      <c r="I653"/>
    </row>
    <row r="654" spans="2:9">
      <c r="B654"/>
      <c r="C654"/>
      <c r="D654"/>
      <c r="E654"/>
      <c r="F654"/>
      <c r="G654"/>
      <c r="H654"/>
      <c r="I654"/>
    </row>
    <row r="655" spans="2:9">
      <c r="B655"/>
      <c r="C655"/>
      <c r="D655"/>
      <c r="E655"/>
      <c r="F655"/>
      <c r="G655"/>
      <c r="H655"/>
      <c r="I655"/>
    </row>
    <row r="656" spans="2:9">
      <c r="B656"/>
      <c r="C656"/>
      <c r="D656"/>
      <c r="E656"/>
      <c r="F656"/>
      <c r="G656"/>
      <c r="H656"/>
      <c r="I656"/>
    </row>
    <row r="657" spans="2:9">
      <c r="B657"/>
      <c r="C657"/>
      <c r="D657"/>
      <c r="E657"/>
      <c r="F657"/>
      <c r="G657"/>
      <c r="H657"/>
      <c r="I657"/>
    </row>
    <row r="658" spans="2:9">
      <c r="B658"/>
      <c r="C658"/>
      <c r="D658"/>
      <c r="E658"/>
      <c r="F658"/>
      <c r="G658"/>
      <c r="H658"/>
      <c r="I658"/>
    </row>
    <row r="659" spans="2:9">
      <c r="B659"/>
      <c r="C659"/>
      <c r="D659"/>
      <c r="E659"/>
      <c r="F659"/>
      <c r="G659"/>
      <c r="H659"/>
      <c r="I659"/>
    </row>
    <row r="660" spans="2:9">
      <c r="B660"/>
      <c r="C660"/>
      <c r="D660"/>
      <c r="E660"/>
      <c r="F660"/>
      <c r="G660"/>
      <c r="H660"/>
      <c r="I660"/>
    </row>
    <row r="661" spans="2:9">
      <c r="B661"/>
      <c r="C661"/>
      <c r="D661"/>
      <c r="E661"/>
      <c r="F661"/>
      <c r="G661"/>
      <c r="H661"/>
      <c r="I661"/>
    </row>
    <row r="662" spans="2:9">
      <c r="B662"/>
      <c r="C662"/>
      <c r="D662"/>
      <c r="E662"/>
      <c r="F662"/>
      <c r="G662"/>
      <c r="H662"/>
      <c r="I662"/>
    </row>
    <row r="663" spans="2:9">
      <c r="B663"/>
      <c r="C663"/>
      <c r="D663"/>
      <c r="E663"/>
      <c r="F663"/>
      <c r="G663"/>
      <c r="H663"/>
      <c r="I663"/>
    </row>
    <row r="664" spans="2:9">
      <c r="B664"/>
      <c r="C664"/>
      <c r="D664"/>
      <c r="E664"/>
      <c r="F664"/>
      <c r="G664"/>
      <c r="H664"/>
      <c r="I664"/>
    </row>
    <row r="665" spans="2:9">
      <c r="B665"/>
      <c r="C665"/>
      <c r="D665"/>
      <c r="E665"/>
      <c r="F665"/>
      <c r="G665"/>
      <c r="H665"/>
      <c r="I665"/>
    </row>
    <row r="666" spans="2:9">
      <c r="B666"/>
      <c r="C666"/>
      <c r="D666"/>
      <c r="E666"/>
      <c r="F666"/>
      <c r="G666"/>
      <c r="H666"/>
      <c r="I666"/>
    </row>
    <row r="667" spans="2:9">
      <c r="B667"/>
      <c r="C667"/>
      <c r="D667"/>
      <c r="E667"/>
      <c r="F667"/>
      <c r="G667"/>
      <c r="H667"/>
      <c r="I667"/>
    </row>
    <row r="668" spans="2:9">
      <c r="B668"/>
      <c r="C668"/>
      <c r="D668"/>
      <c r="E668"/>
      <c r="F668"/>
      <c r="G668"/>
      <c r="H668"/>
      <c r="I668"/>
    </row>
    <row r="669" spans="2:9">
      <c r="B669"/>
      <c r="C669"/>
      <c r="D669"/>
      <c r="E669"/>
      <c r="F669"/>
      <c r="G669"/>
      <c r="H669"/>
      <c r="I669"/>
    </row>
    <row r="670" spans="2:9">
      <c r="B670"/>
      <c r="C670"/>
      <c r="D670"/>
      <c r="E670"/>
      <c r="F670"/>
      <c r="G670"/>
      <c r="H670"/>
      <c r="I670"/>
    </row>
    <row r="671" spans="2:9">
      <c r="B671"/>
      <c r="C671"/>
      <c r="D671"/>
      <c r="E671"/>
      <c r="F671"/>
      <c r="G671"/>
      <c r="H671"/>
      <c r="I671"/>
    </row>
    <row r="672" spans="2:9">
      <c r="B672"/>
      <c r="C672"/>
      <c r="D672"/>
      <c r="E672"/>
      <c r="F672"/>
      <c r="G672"/>
      <c r="H672"/>
      <c r="I672"/>
    </row>
    <row r="673" spans="2:9">
      <c r="B673"/>
      <c r="C673"/>
      <c r="D673"/>
      <c r="E673"/>
      <c r="F673"/>
      <c r="G673"/>
      <c r="H673"/>
      <c r="I673"/>
    </row>
    <row r="674" spans="2:9">
      <c r="B674"/>
      <c r="C674"/>
      <c r="D674"/>
      <c r="E674"/>
      <c r="F674"/>
      <c r="G674"/>
      <c r="H674"/>
      <c r="I674"/>
    </row>
    <row r="675" spans="2:9">
      <c r="B675"/>
      <c r="C675"/>
      <c r="D675"/>
      <c r="E675"/>
      <c r="F675"/>
      <c r="G675"/>
      <c r="H675"/>
      <c r="I675"/>
    </row>
    <row r="676" spans="2:9">
      <c r="B676"/>
      <c r="C676"/>
      <c r="D676"/>
      <c r="E676"/>
      <c r="F676"/>
      <c r="G676"/>
      <c r="H676"/>
      <c r="I676"/>
    </row>
    <row r="677" spans="2:9">
      <c r="B677"/>
      <c r="C677"/>
      <c r="D677"/>
      <c r="E677"/>
      <c r="F677"/>
      <c r="G677"/>
      <c r="H677"/>
      <c r="I677"/>
    </row>
    <row r="678" spans="2:9">
      <c r="B678"/>
      <c r="C678"/>
      <c r="D678"/>
      <c r="E678"/>
      <c r="F678"/>
      <c r="G678"/>
      <c r="H678"/>
      <c r="I678"/>
    </row>
    <row r="679" spans="2:9">
      <c r="B679"/>
      <c r="C679"/>
      <c r="D679"/>
      <c r="E679"/>
      <c r="F679"/>
      <c r="G679"/>
      <c r="H679"/>
      <c r="I679"/>
    </row>
    <row r="680" spans="2:9">
      <c r="B680"/>
      <c r="C680"/>
      <c r="D680"/>
      <c r="E680"/>
      <c r="F680"/>
      <c r="G680"/>
      <c r="H680"/>
      <c r="I680"/>
    </row>
    <row r="681" spans="2:9">
      <c r="B681"/>
      <c r="C681"/>
      <c r="D681"/>
      <c r="E681"/>
      <c r="F681"/>
      <c r="G681"/>
      <c r="H681"/>
      <c r="I681"/>
    </row>
    <row r="682" spans="2:9">
      <c r="B682"/>
      <c r="C682"/>
      <c r="D682"/>
      <c r="E682"/>
      <c r="F682"/>
      <c r="G682"/>
      <c r="H682"/>
      <c r="I682"/>
    </row>
    <row r="683" spans="2:9">
      <c r="B683"/>
      <c r="C683"/>
      <c r="D683"/>
      <c r="E683"/>
      <c r="F683"/>
      <c r="G683"/>
      <c r="H683"/>
      <c r="I683"/>
    </row>
    <row r="684" spans="2:9">
      <c r="B684"/>
      <c r="C684"/>
      <c r="D684"/>
      <c r="E684"/>
      <c r="F684"/>
      <c r="G684"/>
      <c r="H684"/>
      <c r="I684"/>
    </row>
    <row r="685" spans="2:9">
      <c r="B685"/>
      <c r="C685"/>
      <c r="D685"/>
      <c r="E685"/>
      <c r="F685"/>
      <c r="G685"/>
      <c r="H685"/>
      <c r="I685"/>
    </row>
    <row r="686" spans="2:9">
      <c r="B686"/>
      <c r="C686"/>
      <c r="D686"/>
      <c r="E686"/>
      <c r="F686"/>
      <c r="G686"/>
      <c r="H686"/>
      <c r="I686"/>
    </row>
    <row r="687" spans="2:9">
      <c r="B687"/>
      <c r="C687"/>
      <c r="D687"/>
      <c r="E687"/>
      <c r="F687"/>
      <c r="G687"/>
      <c r="H687"/>
      <c r="I687"/>
    </row>
    <row r="688" spans="2:9">
      <c r="B688"/>
      <c r="C688"/>
      <c r="D688"/>
      <c r="E688"/>
      <c r="F688"/>
      <c r="G688"/>
      <c r="H688"/>
      <c r="I688"/>
    </row>
    <row r="689" spans="2:9">
      <c r="B689"/>
      <c r="C689"/>
      <c r="D689"/>
      <c r="E689"/>
      <c r="F689"/>
      <c r="G689"/>
      <c r="H689"/>
      <c r="I689"/>
    </row>
    <row r="690" spans="2:9">
      <c r="B690"/>
      <c r="C690"/>
      <c r="D690"/>
      <c r="E690"/>
      <c r="F690"/>
      <c r="G690"/>
      <c r="H690"/>
      <c r="I690"/>
    </row>
    <row r="691" spans="2:9">
      <c r="B691"/>
      <c r="C691"/>
      <c r="D691"/>
      <c r="E691"/>
      <c r="F691"/>
      <c r="G691"/>
      <c r="H691"/>
      <c r="I691"/>
    </row>
    <row r="692" spans="2:9">
      <c r="B692"/>
      <c r="C692"/>
      <c r="D692"/>
      <c r="E692"/>
      <c r="F692"/>
      <c r="G692"/>
      <c r="H692"/>
      <c r="I692"/>
    </row>
    <row r="693" spans="2:9">
      <c r="B693"/>
      <c r="C693"/>
      <c r="D693"/>
      <c r="E693"/>
      <c r="F693"/>
      <c r="G693"/>
      <c r="H693"/>
      <c r="I693"/>
    </row>
    <row r="694" spans="2:9">
      <c r="B694"/>
      <c r="C694"/>
      <c r="D694"/>
      <c r="E694"/>
      <c r="F694"/>
      <c r="G694"/>
      <c r="H694"/>
      <c r="I694"/>
    </row>
    <row r="695" spans="2:9">
      <c r="B695"/>
      <c r="C695"/>
      <c r="D695"/>
      <c r="E695"/>
      <c r="F695"/>
      <c r="G695"/>
      <c r="H695"/>
      <c r="I695"/>
    </row>
    <row r="696" spans="2:9">
      <c r="B696"/>
      <c r="C696"/>
      <c r="D696"/>
      <c r="E696"/>
      <c r="F696"/>
      <c r="G696"/>
      <c r="H696"/>
      <c r="I696"/>
    </row>
    <row r="697" spans="2:9">
      <c r="B697"/>
      <c r="C697"/>
      <c r="D697"/>
      <c r="E697"/>
      <c r="F697"/>
      <c r="G697"/>
      <c r="H697"/>
      <c r="I697"/>
    </row>
    <row r="698" spans="2:9">
      <c r="B698"/>
      <c r="C698"/>
      <c r="D698"/>
      <c r="E698"/>
      <c r="F698"/>
      <c r="G698"/>
      <c r="H698"/>
      <c r="I698"/>
    </row>
    <row r="699" spans="2:9">
      <c r="B699"/>
      <c r="C699"/>
      <c r="D699"/>
      <c r="E699"/>
      <c r="F699"/>
      <c r="G699"/>
      <c r="H699"/>
      <c r="I699"/>
    </row>
    <row r="700" spans="2:9">
      <c r="B700"/>
      <c r="C700"/>
      <c r="D700"/>
      <c r="E700"/>
      <c r="F700"/>
      <c r="G700"/>
      <c r="H700"/>
      <c r="I700"/>
    </row>
    <row r="701" spans="2:9">
      <c r="B701"/>
      <c r="C701"/>
      <c r="D701"/>
      <c r="E701"/>
      <c r="F701"/>
      <c r="G701"/>
      <c r="H701"/>
      <c r="I701"/>
    </row>
    <row r="702" spans="2:9">
      <c r="B702"/>
      <c r="C702"/>
      <c r="D702"/>
      <c r="E702"/>
      <c r="F702"/>
      <c r="G702"/>
      <c r="H702"/>
      <c r="I702"/>
    </row>
    <row r="703" spans="2:9">
      <c r="B703"/>
      <c r="C703"/>
      <c r="D703"/>
      <c r="E703"/>
      <c r="F703"/>
      <c r="G703"/>
      <c r="H703"/>
      <c r="I703"/>
    </row>
    <row r="704" spans="2:9">
      <c r="B704"/>
      <c r="C704"/>
      <c r="D704"/>
      <c r="E704"/>
      <c r="F704"/>
      <c r="G704"/>
      <c r="H704"/>
      <c r="I704"/>
    </row>
    <row r="705" spans="2:9">
      <c r="B705"/>
      <c r="C705"/>
      <c r="D705"/>
      <c r="E705"/>
      <c r="F705"/>
      <c r="G705"/>
      <c r="H705"/>
      <c r="I705"/>
    </row>
    <row r="706" spans="2:9">
      <c r="B706"/>
      <c r="C706"/>
      <c r="D706"/>
      <c r="E706"/>
      <c r="F706"/>
      <c r="G706"/>
      <c r="H706"/>
      <c r="I706"/>
    </row>
    <row r="707" spans="2:9">
      <c r="B707"/>
      <c r="C707"/>
      <c r="D707"/>
      <c r="E707"/>
      <c r="F707"/>
      <c r="G707"/>
      <c r="H707"/>
      <c r="I707"/>
    </row>
    <row r="708" spans="2:9">
      <c r="B708"/>
      <c r="C708"/>
      <c r="D708"/>
      <c r="E708"/>
      <c r="F708"/>
      <c r="G708"/>
      <c r="H708"/>
      <c r="I708"/>
    </row>
    <row r="709" spans="2:9">
      <c r="B709"/>
      <c r="C709"/>
      <c r="D709"/>
      <c r="E709"/>
      <c r="F709"/>
      <c r="G709"/>
      <c r="H709"/>
      <c r="I709"/>
    </row>
    <row r="710" spans="2:9">
      <c r="B710"/>
      <c r="C710"/>
      <c r="D710"/>
      <c r="E710"/>
      <c r="F710"/>
      <c r="G710"/>
      <c r="H710"/>
      <c r="I710"/>
    </row>
    <row r="711" spans="2:9">
      <c r="B711"/>
      <c r="C711"/>
      <c r="D711"/>
      <c r="E711"/>
      <c r="F711"/>
      <c r="G711"/>
      <c r="H711"/>
      <c r="I711"/>
    </row>
    <row r="712" spans="2:9">
      <c r="B712"/>
      <c r="C712"/>
      <c r="D712"/>
      <c r="E712"/>
      <c r="F712"/>
      <c r="G712"/>
      <c r="H712"/>
      <c r="I712"/>
    </row>
    <row r="713" spans="2:9">
      <c r="B713"/>
      <c r="C713"/>
      <c r="D713"/>
      <c r="E713"/>
      <c r="F713"/>
      <c r="G713"/>
      <c r="H713"/>
      <c r="I713"/>
    </row>
    <row r="714" spans="2:9">
      <c r="B714"/>
      <c r="C714"/>
      <c r="D714"/>
      <c r="E714"/>
      <c r="F714"/>
      <c r="G714"/>
      <c r="H714"/>
      <c r="I714"/>
    </row>
    <row r="715" spans="2:9">
      <c r="B715"/>
      <c r="C715"/>
      <c r="D715"/>
      <c r="E715"/>
      <c r="F715"/>
      <c r="G715"/>
      <c r="H715"/>
      <c r="I715"/>
    </row>
    <row r="716" spans="2:9">
      <c r="B716"/>
      <c r="C716"/>
      <c r="D716"/>
      <c r="E716"/>
      <c r="F716"/>
      <c r="G716"/>
      <c r="H716"/>
      <c r="I716"/>
    </row>
    <row r="717" spans="2:9">
      <c r="B717"/>
      <c r="C717"/>
      <c r="D717"/>
      <c r="E717"/>
      <c r="F717"/>
      <c r="G717"/>
      <c r="H717"/>
      <c r="I717"/>
    </row>
    <row r="718" spans="2:9">
      <c r="B718"/>
      <c r="C718"/>
      <c r="D718"/>
      <c r="E718"/>
      <c r="F718"/>
      <c r="G718"/>
      <c r="H718"/>
      <c r="I718"/>
    </row>
    <row r="719" spans="2:9">
      <c r="B719"/>
      <c r="C719"/>
      <c r="D719"/>
      <c r="E719"/>
      <c r="F719"/>
      <c r="G719"/>
      <c r="H719"/>
      <c r="I719"/>
    </row>
    <row r="720" spans="2:9">
      <c r="B720"/>
      <c r="C720"/>
      <c r="D720"/>
      <c r="E720"/>
      <c r="F720"/>
      <c r="G720"/>
      <c r="H720"/>
      <c r="I720"/>
    </row>
    <row r="721" spans="2:9">
      <c r="B721"/>
      <c r="C721"/>
      <c r="D721"/>
      <c r="E721"/>
      <c r="F721"/>
      <c r="G721"/>
      <c r="H721"/>
      <c r="I721"/>
    </row>
    <row r="722" spans="2:9">
      <c r="B722"/>
      <c r="C722"/>
      <c r="D722"/>
      <c r="E722"/>
      <c r="F722"/>
      <c r="G722"/>
      <c r="H722"/>
      <c r="I722"/>
    </row>
    <row r="723" spans="2:9">
      <c r="B723"/>
      <c r="C723"/>
      <c r="D723"/>
      <c r="E723"/>
      <c r="F723"/>
      <c r="G723"/>
      <c r="H723"/>
      <c r="I723"/>
    </row>
    <row r="724" spans="2:9">
      <c r="B724"/>
      <c r="C724"/>
      <c r="D724"/>
      <c r="E724"/>
      <c r="F724"/>
      <c r="G724"/>
      <c r="H724"/>
      <c r="I724"/>
    </row>
    <row r="725" spans="2:9">
      <c r="B725"/>
      <c r="C725"/>
      <c r="D725"/>
      <c r="E725"/>
      <c r="F725"/>
      <c r="G725"/>
      <c r="H725"/>
      <c r="I725"/>
    </row>
    <row r="726" spans="2:9">
      <c r="B726"/>
      <c r="C726"/>
      <c r="D726"/>
      <c r="E726"/>
      <c r="F726"/>
      <c r="G726"/>
      <c r="H726"/>
      <c r="I726"/>
    </row>
    <row r="727" spans="2:9">
      <c r="B727"/>
      <c r="C727"/>
      <c r="D727"/>
      <c r="E727"/>
      <c r="F727"/>
      <c r="G727"/>
      <c r="H727"/>
      <c r="I727"/>
    </row>
    <row r="728" spans="2:9">
      <c r="B728"/>
      <c r="C728"/>
      <c r="D728"/>
      <c r="E728"/>
      <c r="F728"/>
      <c r="G728"/>
      <c r="H728"/>
      <c r="I728"/>
    </row>
    <row r="729" spans="2:9">
      <c r="B729"/>
      <c r="C729"/>
      <c r="D729"/>
      <c r="E729"/>
      <c r="F729"/>
      <c r="G729"/>
      <c r="H729"/>
      <c r="I729"/>
    </row>
    <row r="730" spans="2:9">
      <c r="B730"/>
      <c r="C730"/>
      <c r="D730"/>
      <c r="E730"/>
      <c r="F730"/>
      <c r="G730"/>
      <c r="H730"/>
      <c r="I730"/>
    </row>
    <row r="731" spans="2:9">
      <c r="B731"/>
      <c r="C731"/>
      <c r="D731"/>
      <c r="E731"/>
      <c r="F731"/>
      <c r="G731"/>
      <c r="H731"/>
      <c r="I731"/>
    </row>
    <row r="732" spans="2:9">
      <c r="B732"/>
      <c r="C732"/>
      <c r="D732"/>
      <c r="E732"/>
      <c r="F732"/>
      <c r="G732"/>
      <c r="H732"/>
      <c r="I732"/>
    </row>
    <row r="733" spans="2:9">
      <c r="B733"/>
      <c r="C733"/>
      <c r="D733"/>
      <c r="E733"/>
      <c r="F733"/>
      <c r="G733"/>
      <c r="H733"/>
      <c r="I733"/>
    </row>
    <row r="734" spans="2:9">
      <c r="B734"/>
      <c r="C734"/>
      <c r="D734"/>
      <c r="E734"/>
      <c r="F734"/>
      <c r="G734"/>
      <c r="H734"/>
      <c r="I734"/>
    </row>
    <row r="735" spans="2:9">
      <c r="B735"/>
      <c r="C735"/>
      <c r="D735"/>
      <c r="E735"/>
      <c r="F735"/>
      <c r="G735"/>
      <c r="H735"/>
      <c r="I735"/>
    </row>
    <row r="736" spans="2:9">
      <c r="B736"/>
      <c r="C736"/>
      <c r="D736"/>
      <c r="E736"/>
      <c r="F736"/>
      <c r="G736"/>
      <c r="H736"/>
      <c r="I736"/>
    </row>
    <row r="737" spans="2:9">
      <c r="B737"/>
      <c r="C737"/>
      <c r="D737"/>
      <c r="E737"/>
      <c r="F737"/>
      <c r="G737"/>
      <c r="H737"/>
      <c r="I737"/>
    </row>
    <row r="738" spans="2:9">
      <c r="B738"/>
      <c r="C738"/>
      <c r="D738"/>
      <c r="E738"/>
      <c r="F738"/>
      <c r="G738"/>
      <c r="H738"/>
      <c r="I738"/>
    </row>
    <row r="739" spans="2:9">
      <c r="B739"/>
      <c r="C739"/>
      <c r="D739"/>
      <c r="E739"/>
      <c r="F739"/>
      <c r="G739"/>
      <c r="H739"/>
      <c r="I739"/>
    </row>
    <row r="740" spans="2:9">
      <c r="B740"/>
      <c r="C740"/>
      <c r="D740"/>
      <c r="E740"/>
      <c r="F740"/>
      <c r="G740"/>
      <c r="H740"/>
      <c r="I740"/>
    </row>
    <row r="741" spans="2:9">
      <c r="B741"/>
      <c r="C741"/>
      <c r="D741"/>
      <c r="E741"/>
      <c r="F741"/>
      <c r="G741"/>
      <c r="H741"/>
      <c r="I741"/>
    </row>
    <row r="742" spans="2:9">
      <c r="B742"/>
      <c r="C742"/>
      <c r="D742"/>
      <c r="E742"/>
      <c r="F742"/>
      <c r="G742"/>
      <c r="H742"/>
      <c r="I742"/>
    </row>
    <row r="743" spans="2:9">
      <c r="B743"/>
      <c r="C743"/>
      <c r="D743"/>
      <c r="E743"/>
      <c r="F743"/>
      <c r="G743"/>
      <c r="H743"/>
      <c r="I743"/>
    </row>
    <row r="744" spans="2:9">
      <c r="B744"/>
      <c r="C744"/>
      <c r="D744"/>
      <c r="E744"/>
      <c r="F744"/>
      <c r="G744"/>
      <c r="H744"/>
      <c r="I744"/>
    </row>
    <row r="745" spans="2:9">
      <c r="B745"/>
      <c r="C745"/>
      <c r="D745"/>
      <c r="E745"/>
      <c r="F745"/>
      <c r="G745"/>
      <c r="H745"/>
      <c r="I745"/>
    </row>
    <row r="746" spans="2:9">
      <c r="B746"/>
      <c r="C746"/>
      <c r="D746"/>
      <c r="E746"/>
      <c r="F746"/>
      <c r="G746"/>
      <c r="H746"/>
      <c r="I746"/>
    </row>
    <row r="747" spans="2:9">
      <c r="B747"/>
      <c r="C747"/>
      <c r="D747"/>
      <c r="E747"/>
      <c r="F747"/>
      <c r="G747"/>
      <c r="H747"/>
      <c r="I747"/>
    </row>
    <row r="748" spans="2:9">
      <c r="B748"/>
      <c r="C748"/>
      <c r="D748"/>
      <c r="E748"/>
      <c r="F748"/>
      <c r="G748"/>
      <c r="H748"/>
      <c r="I748"/>
    </row>
    <row r="749" spans="2:9">
      <c r="B749"/>
      <c r="C749"/>
      <c r="D749"/>
      <c r="E749"/>
      <c r="F749"/>
      <c r="G749"/>
      <c r="H749"/>
      <c r="I749"/>
    </row>
    <row r="750" spans="2:9">
      <c r="B750"/>
      <c r="C750"/>
      <c r="D750"/>
      <c r="E750"/>
      <c r="F750"/>
      <c r="G750"/>
      <c r="H750"/>
      <c r="I750"/>
    </row>
    <row r="751" spans="2:9">
      <c r="B751"/>
      <c r="C751"/>
      <c r="D751"/>
      <c r="E751"/>
      <c r="F751"/>
      <c r="G751"/>
      <c r="H751"/>
      <c r="I751"/>
    </row>
    <row r="752" spans="2:9">
      <c r="B752"/>
      <c r="C752"/>
      <c r="D752"/>
      <c r="E752"/>
      <c r="F752"/>
      <c r="G752"/>
      <c r="H752"/>
      <c r="I752"/>
    </row>
    <row r="753" spans="2:9">
      <c r="B753"/>
      <c r="C753"/>
      <c r="D753"/>
      <c r="E753"/>
      <c r="F753"/>
      <c r="G753"/>
      <c r="H753"/>
      <c r="I753"/>
    </row>
    <row r="754" spans="2:9">
      <c r="B754"/>
      <c r="C754"/>
      <c r="D754"/>
      <c r="E754"/>
      <c r="F754"/>
      <c r="G754"/>
      <c r="H754"/>
      <c r="I754"/>
    </row>
    <row r="755" spans="2:9">
      <c r="B755"/>
      <c r="C755"/>
      <c r="D755"/>
      <c r="E755"/>
      <c r="F755"/>
      <c r="G755"/>
      <c r="H755"/>
      <c r="I755"/>
    </row>
    <row r="756" spans="2:9">
      <c r="B756"/>
      <c r="C756"/>
      <c r="D756"/>
      <c r="E756"/>
      <c r="F756"/>
      <c r="G756"/>
      <c r="H756"/>
      <c r="I756"/>
    </row>
    <row r="757" spans="2:9">
      <c r="B757"/>
      <c r="C757"/>
      <c r="D757"/>
      <c r="E757"/>
      <c r="F757"/>
      <c r="G757"/>
      <c r="H757"/>
      <c r="I757"/>
    </row>
    <row r="758" spans="2:9">
      <c r="B758"/>
      <c r="C758"/>
      <c r="D758"/>
      <c r="E758"/>
      <c r="F758"/>
      <c r="G758"/>
      <c r="H758"/>
      <c r="I758"/>
    </row>
    <row r="759" spans="2:9">
      <c r="B759"/>
      <c r="C759"/>
      <c r="D759"/>
      <c r="E759"/>
      <c r="F759"/>
      <c r="G759"/>
      <c r="H759"/>
      <c r="I759"/>
    </row>
    <row r="760" spans="2:9">
      <c r="B760"/>
      <c r="C760"/>
      <c r="D760"/>
      <c r="E760"/>
      <c r="F760"/>
      <c r="G760"/>
      <c r="H760"/>
      <c r="I760"/>
    </row>
    <row r="761" spans="2:9">
      <c r="B761"/>
      <c r="C761"/>
      <c r="D761"/>
      <c r="E761"/>
      <c r="F761"/>
      <c r="G761"/>
      <c r="H761"/>
      <c r="I761"/>
    </row>
    <row r="762" spans="2:9">
      <c r="B762"/>
      <c r="C762"/>
      <c r="D762"/>
      <c r="E762"/>
      <c r="F762"/>
      <c r="G762"/>
      <c r="H762"/>
      <c r="I762"/>
    </row>
    <row r="763" spans="2:9">
      <c r="B763"/>
      <c r="C763"/>
      <c r="D763"/>
      <c r="E763"/>
      <c r="F763"/>
      <c r="G763"/>
      <c r="H763"/>
      <c r="I763"/>
    </row>
    <row r="764" spans="2:9">
      <c r="B764"/>
      <c r="C764"/>
      <c r="D764"/>
      <c r="E764"/>
      <c r="F764"/>
      <c r="G764"/>
      <c r="H764"/>
      <c r="I764"/>
    </row>
    <row r="765" spans="2:9">
      <c r="B765"/>
      <c r="C765"/>
      <c r="D765"/>
      <c r="E765"/>
      <c r="F765"/>
      <c r="G765"/>
      <c r="H765"/>
      <c r="I765"/>
    </row>
    <row r="766" spans="2:9">
      <c r="B766"/>
      <c r="C766"/>
      <c r="D766"/>
      <c r="E766"/>
      <c r="F766"/>
      <c r="G766"/>
      <c r="H766"/>
      <c r="I766"/>
    </row>
    <row r="767" spans="2:9">
      <c r="B767"/>
      <c r="C767"/>
      <c r="D767"/>
      <c r="E767"/>
      <c r="F767"/>
      <c r="G767"/>
      <c r="H767"/>
      <c r="I767"/>
    </row>
    <row r="768" spans="2:9">
      <c r="B768"/>
      <c r="C768"/>
      <c r="D768"/>
      <c r="E768"/>
      <c r="F768"/>
      <c r="G768"/>
      <c r="H768"/>
      <c r="I768"/>
    </row>
    <row r="769" spans="2:9">
      <c r="B769"/>
      <c r="C769"/>
      <c r="D769"/>
      <c r="E769"/>
      <c r="F769"/>
      <c r="G769"/>
      <c r="H769"/>
      <c r="I769"/>
    </row>
    <row r="770" spans="2:9">
      <c r="B770"/>
      <c r="C770"/>
      <c r="D770"/>
      <c r="E770"/>
      <c r="F770"/>
      <c r="G770"/>
      <c r="H770"/>
      <c r="I770"/>
    </row>
    <row r="771" spans="2:9">
      <c r="B771"/>
      <c r="C771"/>
      <c r="D771"/>
      <c r="E771"/>
      <c r="F771"/>
      <c r="G771"/>
      <c r="H771"/>
      <c r="I771"/>
    </row>
    <row r="772" spans="2:9">
      <c r="B772"/>
      <c r="C772"/>
      <c r="D772"/>
      <c r="E772"/>
      <c r="F772"/>
      <c r="G772"/>
      <c r="H772"/>
      <c r="I772"/>
    </row>
    <row r="773" spans="2:9">
      <c r="B773"/>
      <c r="C773"/>
      <c r="D773"/>
      <c r="E773"/>
      <c r="F773"/>
      <c r="G773"/>
      <c r="H773"/>
      <c r="I773"/>
    </row>
    <row r="774" spans="2:9">
      <c r="B774"/>
      <c r="C774"/>
      <c r="D774"/>
      <c r="E774"/>
      <c r="F774"/>
      <c r="G774"/>
      <c r="H774"/>
      <c r="I774"/>
    </row>
    <row r="775" spans="2:9">
      <c r="B775"/>
      <c r="C775"/>
      <c r="D775"/>
      <c r="E775"/>
      <c r="F775"/>
      <c r="G775"/>
      <c r="H775"/>
      <c r="I775"/>
    </row>
    <row r="776" spans="2:9">
      <c r="B776"/>
      <c r="C776"/>
      <c r="D776"/>
      <c r="E776"/>
      <c r="F776"/>
      <c r="G776"/>
      <c r="H776"/>
      <c r="I776"/>
    </row>
    <row r="777" spans="2:9">
      <c r="B777"/>
      <c r="C777"/>
      <c r="D777"/>
      <c r="E777"/>
      <c r="F777"/>
      <c r="G777"/>
      <c r="H777"/>
      <c r="I777"/>
    </row>
    <row r="778" spans="2:9">
      <c r="B778"/>
      <c r="C778"/>
      <c r="D778"/>
      <c r="E778"/>
      <c r="F778"/>
      <c r="G778"/>
      <c r="H778"/>
      <c r="I778"/>
    </row>
    <row r="779" spans="2:9">
      <c r="B779"/>
      <c r="C779"/>
      <c r="D779"/>
      <c r="E779"/>
      <c r="F779"/>
      <c r="G779"/>
      <c r="H779"/>
      <c r="I779"/>
    </row>
    <row r="780" spans="2:9">
      <c r="B780"/>
      <c r="C780"/>
      <c r="D780"/>
      <c r="E780"/>
      <c r="F780"/>
      <c r="G780"/>
      <c r="H780"/>
      <c r="I780"/>
    </row>
    <row r="781" spans="2:9">
      <c r="B781"/>
      <c r="C781"/>
      <c r="D781"/>
      <c r="E781"/>
      <c r="F781"/>
      <c r="G781"/>
      <c r="H781"/>
      <c r="I781"/>
    </row>
    <row r="782" spans="2:9">
      <c r="B782"/>
      <c r="C782"/>
      <c r="D782"/>
      <c r="E782"/>
      <c r="F782"/>
      <c r="G782"/>
      <c r="H782"/>
      <c r="I782"/>
    </row>
    <row r="783" spans="2:9">
      <c r="B783"/>
      <c r="C783"/>
      <c r="D783"/>
      <c r="E783"/>
      <c r="F783"/>
      <c r="G783"/>
      <c r="H783"/>
      <c r="I783"/>
    </row>
    <row r="784" spans="2:9">
      <c r="B784"/>
      <c r="C784"/>
      <c r="D784"/>
      <c r="E784"/>
      <c r="F784"/>
      <c r="G784"/>
      <c r="H784"/>
      <c r="I784"/>
    </row>
    <row r="785" spans="2:9">
      <c r="B785"/>
      <c r="C785"/>
      <c r="D785"/>
      <c r="E785"/>
      <c r="F785"/>
      <c r="G785"/>
      <c r="H785"/>
      <c r="I785"/>
    </row>
    <row r="786" spans="2:9">
      <c r="B786"/>
      <c r="C786"/>
      <c r="D786"/>
      <c r="E786"/>
      <c r="F786"/>
      <c r="G786"/>
      <c r="H786"/>
      <c r="I786"/>
    </row>
    <row r="787" spans="2:9">
      <c r="B787"/>
      <c r="C787"/>
      <c r="D787"/>
      <c r="E787"/>
      <c r="F787"/>
      <c r="G787"/>
      <c r="H787"/>
      <c r="I787"/>
    </row>
    <row r="788" spans="2:9">
      <c r="B788"/>
      <c r="C788"/>
      <c r="D788"/>
      <c r="E788"/>
      <c r="F788"/>
      <c r="G788"/>
      <c r="H788"/>
      <c r="I788"/>
    </row>
    <row r="789" spans="2:9">
      <c r="B789"/>
      <c r="C789"/>
      <c r="D789"/>
      <c r="E789"/>
      <c r="F789"/>
      <c r="G789"/>
      <c r="H789"/>
      <c r="I789"/>
    </row>
    <row r="790" spans="2:9">
      <c r="B790"/>
      <c r="C790"/>
      <c r="D790"/>
      <c r="E790"/>
      <c r="F790"/>
      <c r="G790"/>
      <c r="H790"/>
      <c r="I790"/>
    </row>
    <row r="791" spans="2:9">
      <c r="B791"/>
      <c r="C791"/>
      <c r="D791"/>
      <c r="E791"/>
      <c r="F791"/>
      <c r="G791"/>
      <c r="H791"/>
      <c r="I791"/>
    </row>
    <row r="792" spans="2:9">
      <c r="B792"/>
      <c r="C792"/>
      <c r="D792"/>
      <c r="E792"/>
      <c r="F792"/>
      <c r="G792"/>
      <c r="H792"/>
      <c r="I792"/>
    </row>
    <row r="793" spans="2:9">
      <c r="B793"/>
      <c r="C793"/>
      <c r="D793"/>
      <c r="E793"/>
      <c r="F793"/>
      <c r="G793"/>
      <c r="H793"/>
      <c r="I793"/>
    </row>
    <row r="794" spans="2:9">
      <c r="B794"/>
      <c r="C794"/>
      <c r="D794"/>
      <c r="E794"/>
      <c r="F794"/>
      <c r="G794"/>
      <c r="H794"/>
      <c r="I794"/>
    </row>
    <row r="795" spans="2:9">
      <c r="B795"/>
      <c r="C795"/>
      <c r="D795"/>
      <c r="E795"/>
      <c r="F795"/>
      <c r="G795"/>
      <c r="H795"/>
      <c r="I795"/>
    </row>
    <row r="796" spans="2:9">
      <c r="B796"/>
      <c r="C796"/>
      <c r="D796"/>
      <c r="E796"/>
      <c r="F796"/>
      <c r="G796"/>
      <c r="H796"/>
      <c r="I796"/>
    </row>
    <row r="797" spans="2:9">
      <c r="B797"/>
      <c r="C797"/>
      <c r="D797"/>
      <c r="E797"/>
      <c r="F797"/>
      <c r="G797"/>
      <c r="H797"/>
      <c r="I797"/>
    </row>
    <row r="798" spans="2:9">
      <c r="B798"/>
      <c r="C798"/>
      <c r="D798"/>
      <c r="E798"/>
      <c r="F798"/>
      <c r="G798"/>
      <c r="H798"/>
      <c r="I798"/>
    </row>
    <row r="799" spans="2:9">
      <c r="B799"/>
      <c r="C799"/>
      <c r="D799"/>
      <c r="E799"/>
      <c r="F799"/>
      <c r="G799"/>
      <c r="H799"/>
      <c r="I799"/>
    </row>
    <row r="800" spans="2:9">
      <c r="B800"/>
      <c r="C800"/>
      <c r="D800"/>
      <c r="E800"/>
      <c r="F800"/>
      <c r="G800"/>
      <c r="H800"/>
      <c r="I800"/>
    </row>
    <row r="801" spans="2:9">
      <c r="B801"/>
      <c r="C801"/>
      <c r="D801"/>
      <c r="E801"/>
      <c r="F801"/>
      <c r="G801"/>
      <c r="H801"/>
      <c r="I801"/>
    </row>
    <row r="802" spans="2:9">
      <c r="B802"/>
      <c r="C802"/>
      <c r="D802"/>
      <c r="E802"/>
      <c r="F802"/>
      <c r="G802"/>
      <c r="H802"/>
      <c r="I802"/>
    </row>
    <row r="803" spans="2:9">
      <c r="B803"/>
      <c r="C803"/>
      <c r="D803"/>
      <c r="E803"/>
      <c r="F803"/>
      <c r="G803"/>
      <c r="H803"/>
      <c r="I803"/>
    </row>
    <row r="804" spans="2:9">
      <c r="B804"/>
      <c r="C804"/>
      <c r="D804"/>
      <c r="E804"/>
      <c r="F804"/>
      <c r="G804"/>
      <c r="H804"/>
      <c r="I804"/>
    </row>
    <row r="805" spans="2:9">
      <c r="B805"/>
      <c r="C805"/>
      <c r="D805"/>
      <c r="E805"/>
      <c r="F805"/>
      <c r="G805"/>
      <c r="H805"/>
      <c r="I805"/>
    </row>
    <row r="806" spans="2:9">
      <c r="B806"/>
      <c r="C806"/>
      <c r="D806"/>
      <c r="E806"/>
      <c r="F806"/>
      <c r="G806"/>
      <c r="H806"/>
      <c r="I806"/>
    </row>
    <row r="807" spans="2:9">
      <c r="B807"/>
      <c r="C807"/>
      <c r="D807"/>
      <c r="E807"/>
      <c r="F807"/>
      <c r="G807"/>
      <c r="H807"/>
      <c r="I807"/>
    </row>
    <row r="808" spans="2:9">
      <c r="B808"/>
      <c r="C808"/>
      <c r="D808"/>
      <c r="E808"/>
      <c r="F808"/>
      <c r="G808"/>
      <c r="H808"/>
      <c r="I808"/>
    </row>
    <row r="809" spans="2:9">
      <c r="B809"/>
      <c r="C809"/>
      <c r="D809"/>
      <c r="E809"/>
      <c r="F809"/>
      <c r="G809"/>
      <c r="H809"/>
      <c r="I809"/>
    </row>
    <row r="810" spans="2:9">
      <c r="B810"/>
      <c r="C810"/>
      <c r="D810"/>
      <c r="E810"/>
      <c r="F810"/>
      <c r="G810"/>
      <c r="H810"/>
      <c r="I810"/>
    </row>
    <row r="811" spans="2:9">
      <c r="B811"/>
      <c r="C811"/>
      <c r="D811"/>
      <c r="E811"/>
      <c r="F811"/>
      <c r="G811"/>
      <c r="H811"/>
      <c r="I811"/>
    </row>
    <row r="812" spans="2:9">
      <c r="B812"/>
      <c r="C812"/>
      <c r="D812"/>
      <c r="E812"/>
      <c r="F812"/>
      <c r="G812"/>
      <c r="H812"/>
      <c r="I812"/>
    </row>
    <row r="813" spans="2:9">
      <c r="B813"/>
      <c r="C813"/>
      <c r="D813"/>
      <c r="E813"/>
      <c r="F813"/>
      <c r="G813"/>
      <c r="H813"/>
      <c r="I813"/>
    </row>
    <row r="814" spans="2:9">
      <c r="B814"/>
      <c r="C814"/>
      <c r="D814"/>
      <c r="E814"/>
      <c r="F814"/>
      <c r="G814"/>
      <c r="H814"/>
      <c r="I814"/>
    </row>
    <row r="815" spans="2:9">
      <c r="B815"/>
      <c r="C815"/>
      <c r="D815"/>
      <c r="E815"/>
      <c r="F815"/>
      <c r="G815"/>
      <c r="H815"/>
      <c r="I815"/>
    </row>
    <row r="816" spans="2:9">
      <c r="B816"/>
      <c r="C816"/>
      <c r="D816"/>
      <c r="E816"/>
      <c r="F816"/>
      <c r="G816"/>
      <c r="H816"/>
      <c r="I816"/>
    </row>
    <row r="817" spans="2:9">
      <c r="B817"/>
      <c r="C817"/>
      <c r="D817"/>
      <c r="E817"/>
      <c r="F817"/>
      <c r="G817"/>
      <c r="H817"/>
      <c r="I817"/>
    </row>
    <row r="818" spans="2:9">
      <c r="B818"/>
      <c r="C818"/>
      <c r="D818"/>
      <c r="E818"/>
      <c r="F818"/>
      <c r="G818"/>
      <c r="H818"/>
      <c r="I818"/>
    </row>
    <row r="819" spans="2:9">
      <c r="B819"/>
      <c r="C819"/>
      <c r="D819"/>
      <c r="E819"/>
      <c r="F819"/>
      <c r="G819"/>
      <c r="H819"/>
      <c r="I819"/>
    </row>
    <row r="820" spans="2:9">
      <c r="B820"/>
      <c r="C820"/>
      <c r="D820"/>
      <c r="E820"/>
      <c r="F820"/>
      <c r="G820"/>
      <c r="H820"/>
      <c r="I820"/>
    </row>
    <row r="821" spans="2:9">
      <c r="B821"/>
      <c r="C821"/>
      <c r="D821"/>
      <c r="E821"/>
      <c r="F821"/>
      <c r="G821"/>
      <c r="H821"/>
      <c r="I821"/>
    </row>
    <row r="822" spans="2:9">
      <c r="B822"/>
      <c r="C822"/>
      <c r="D822"/>
      <c r="E822"/>
      <c r="F822"/>
      <c r="G822"/>
      <c r="H822"/>
      <c r="I822"/>
    </row>
    <row r="823" spans="2:9">
      <c r="B823"/>
      <c r="C823"/>
      <c r="D823"/>
      <c r="E823"/>
      <c r="F823"/>
      <c r="G823"/>
      <c r="H823"/>
      <c r="I823"/>
    </row>
    <row r="824" spans="2:9">
      <c r="B824"/>
      <c r="C824"/>
      <c r="D824"/>
      <c r="E824"/>
      <c r="F824"/>
      <c r="G824"/>
      <c r="H824"/>
      <c r="I824"/>
    </row>
    <row r="825" spans="2:9">
      <c r="B825"/>
      <c r="C825"/>
      <c r="D825"/>
      <c r="E825"/>
      <c r="F825"/>
      <c r="G825"/>
      <c r="H825"/>
      <c r="I825"/>
    </row>
    <row r="826" spans="2:9">
      <c r="B826"/>
      <c r="C826"/>
      <c r="D826"/>
      <c r="E826"/>
      <c r="F826"/>
      <c r="G826"/>
      <c r="H826"/>
      <c r="I826"/>
    </row>
    <row r="827" spans="2:9">
      <c r="B827"/>
      <c r="C827"/>
      <c r="D827"/>
      <c r="E827"/>
      <c r="F827"/>
      <c r="G827"/>
      <c r="H827"/>
      <c r="I827"/>
    </row>
    <row r="828" spans="2:9">
      <c r="B828"/>
      <c r="C828"/>
      <c r="D828"/>
      <c r="E828"/>
      <c r="F828"/>
      <c r="G828"/>
      <c r="H828"/>
      <c r="I828"/>
    </row>
    <row r="829" spans="2:9">
      <c r="B829"/>
      <c r="C829"/>
      <c r="D829"/>
      <c r="E829"/>
      <c r="F829"/>
      <c r="G829"/>
      <c r="H829"/>
      <c r="I829"/>
    </row>
    <row r="830" spans="2:9">
      <c r="B830"/>
      <c r="C830"/>
      <c r="D830"/>
      <c r="E830"/>
      <c r="F830"/>
      <c r="G830"/>
      <c r="H830"/>
      <c r="I830"/>
    </row>
    <row r="831" spans="2:9">
      <c r="B831"/>
      <c r="C831"/>
      <c r="D831"/>
      <c r="E831"/>
      <c r="F831"/>
      <c r="G831"/>
      <c r="H831"/>
      <c r="I831"/>
    </row>
    <row r="832" spans="2:9">
      <c r="B832"/>
      <c r="C832"/>
      <c r="D832"/>
      <c r="E832"/>
      <c r="F832"/>
      <c r="G832"/>
      <c r="H832"/>
      <c r="I832"/>
    </row>
    <row r="833" spans="2:9">
      <c r="B833"/>
      <c r="C833"/>
      <c r="D833"/>
      <c r="E833"/>
      <c r="F833"/>
      <c r="G833"/>
      <c r="H833"/>
      <c r="I833"/>
    </row>
    <row r="834" spans="2:9">
      <c r="B834"/>
      <c r="C834"/>
      <c r="D834"/>
      <c r="E834"/>
      <c r="F834"/>
      <c r="G834"/>
      <c r="H834"/>
      <c r="I834"/>
    </row>
    <row r="835" spans="2:9">
      <c r="B835"/>
      <c r="C835"/>
      <c r="D835"/>
      <c r="E835"/>
      <c r="F835"/>
      <c r="G835"/>
      <c r="H835"/>
      <c r="I835"/>
    </row>
    <row r="836" spans="2:9">
      <c r="B836"/>
      <c r="C836"/>
      <c r="D836"/>
      <c r="E836"/>
      <c r="F836"/>
      <c r="G836"/>
      <c r="H836"/>
      <c r="I836"/>
    </row>
    <row r="837" spans="2:9">
      <c r="B837"/>
      <c r="C837"/>
      <c r="D837"/>
      <c r="E837"/>
      <c r="F837"/>
      <c r="G837"/>
      <c r="H837"/>
      <c r="I837"/>
    </row>
    <row r="838" spans="2:9">
      <c r="B838"/>
      <c r="C838"/>
      <c r="D838"/>
      <c r="E838"/>
      <c r="F838"/>
      <c r="G838"/>
      <c r="H838"/>
      <c r="I838"/>
    </row>
    <row r="839" spans="2:9">
      <c r="B839"/>
      <c r="C839"/>
      <c r="D839"/>
      <c r="E839"/>
      <c r="F839"/>
      <c r="G839"/>
      <c r="H839"/>
      <c r="I839"/>
    </row>
    <row r="840" spans="2:9">
      <c r="B840"/>
      <c r="C840"/>
      <c r="D840"/>
      <c r="E840"/>
      <c r="F840"/>
      <c r="G840"/>
      <c r="H840"/>
      <c r="I840"/>
    </row>
    <row r="841" spans="2:9">
      <c r="B841"/>
      <c r="C841"/>
      <c r="D841"/>
      <c r="E841"/>
      <c r="F841"/>
      <c r="G841"/>
      <c r="H841"/>
      <c r="I841"/>
    </row>
    <row r="842" spans="2:9">
      <c r="B842"/>
      <c r="C842"/>
      <c r="D842"/>
      <c r="E842"/>
      <c r="F842"/>
      <c r="G842"/>
      <c r="H842"/>
      <c r="I842"/>
    </row>
    <row r="843" spans="2:9">
      <c r="B843"/>
      <c r="C843"/>
      <c r="D843"/>
      <c r="E843"/>
      <c r="F843"/>
      <c r="G843"/>
      <c r="H843"/>
      <c r="I843"/>
    </row>
    <row r="844" spans="2:9">
      <c r="B844"/>
      <c r="C844"/>
      <c r="D844"/>
      <c r="E844"/>
      <c r="F844"/>
      <c r="G844"/>
      <c r="H844"/>
      <c r="I844"/>
    </row>
    <row r="845" spans="2:9">
      <c r="B845"/>
      <c r="C845"/>
      <c r="D845"/>
      <c r="E845"/>
      <c r="F845"/>
      <c r="G845"/>
      <c r="H845"/>
      <c r="I845"/>
    </row>
    <row r="846" spans="2:9">
      <c r="B846"/>
      <c r="C846"/>
      <c r="D846"/>
      <c r="E846"/>
      <c r="F846"/>
      <c r="G846"/>
      <c r="H846"/>
      <c r="I846"/>
    </row>
    <row r="847" spans="2:9">
      <c r="B847"/>
      <c r="C847"/>
      <c r="D847"/>
      <c r="E847"/>
      <c r="F847"/>
      <c r="G847"/>
      <c r="H847"/>
      <c r="I847"/>
    </row>
    <row r="848" spans="2:9">
      <c r="B848"/>
      <c r="C848"/>
      <c r="D848"/>
      <c r="E848"/>
      <c r="F848"/>
      <c r="G848"/>
      <c r="H848"/>
      <c r="I848"/>
    </row>
    <row r="849" spans="2:9">
      <c r="B849"/>
      <c r="C849"/>
      <c r="D849"/>
      <c r="E849"/>
      <c r="F849"/>
      <c r="G849"/>
      <c r="H849"/>
      <c r="I849"/>
    </row>
    <row r="850" spans="2:9">
      <c r="B850"/>
      <c r="C850"/>
      <c r="D850"/>
      <c r="E850"/>
      <c r="F850"/>
      <c r="G850"/>
      <c r="H850"/>
      <c r="I850"/>
    </row>
    <row r="851" spans="2:9">
      <c r="B851"/>
      <c r="C851"/>
      <c r="D851"/>
      <c r="E851"/>
      <c r="F851"/>
      <c r="G851"/>
      <c r="H851"/>
      <c r="I851"/>
    </row>
    <row r="852" spans="2:9">
      <c r="B852"/>
      <c r="C852"/>
      <c r="D852"/>
      <c r="E852"/>
      <c r="F852"/>
      <c r="G852"/>
      <c r="H852"/>
      <c r="I852"/>
    </row>
    <row r="853" spans="2:9">
      <c r="B853"/>
      <c r="C853"/>
      <c r="D853"/>
      <c r="E853"/>
      <c r="F853"/>
      <c r="G853"/>
      <c r="H853"/>
      <c r="I853"/>
    </row>
    <row r="854" spans="2:9">
      <c r="B854"/>
      <c r="C854"/>
      <c r="D854"/>
      <c r="E854"/>
      <c r="F854"/>
      <c r="G854"/>
      <c r="H854"/>
      <c r="I854"/>
    </row>
    <row r="855" spans="2:9">
      <c r="B855"/>
      <c r="C855"/>
      <c r="D855"/>
      <c r="E855"/>
      <c r="F855"/>
      <c r="G855"/>
      <c r="H855"/>
      <c r="I855"/>
    </row>
    <row r="856" spans="2:9">
      <c r="B856"/>
      <c r="C856"/>
      <c r="D856"/>
      <c r="E856"/>
      <c r="F856"/>
      <c r="G856"/>
      <c r="H856"/>
      <c r="I856"/>
    </row>
    <row r="857" spans="2:9">
      <c r="B857"/>
      <c r="C857"/>
      <c r="D857"/>
      <c r="E857"/>
      <c r="F857"/>
      <c r="G857"/>
      <c r="H857"/>
      <c r="I857"/>
    </row>
    <row r="858" spans="2:9">
      <c r="B858"/>
      <c r="C858"/>
      <c r="D858"/>
      <c r="E858"/>
      <c r="F858"/>
      <c r="G858"/>
      <c r="H858"/>
      <c r="I858"/>
    </row>
    <row r="859" spans="2:9">
      <c r="B859"/>
      <c r="C859"/>
      <c r="D859"/>
      <c r="E859"/>
      <c r="F859"/>
      <c r="G859"/>
      <c r="H859"/>
      <c r="I859"/>
    </row>
    <row r="860" spans="2:9">
      <c r="B860"/>
      <c r="C860"/>
      <c r="D860"/>
      <c r="E860"/>
      <c r="F860"/>
      <c r="G860"/>
      <c r="H860"/>
      <c r="I860"/>
    </row>
    <row r="861" spans="2:9">
      <c r="B861"/>
      <c r="C861"/>
      <c r="D861"/>
      <c r="E861"/>
      <c r="F861"/>
      <c r="G861"/>
      <c r="H861"/>
      <c r="I861"/>
    </row>
    <row r="862" spans="2:9">
      <c r="B862"/>
      <c r="C862"/>
      <c r="D862"/>
      <c r="E862"/>
      <c r="F862"/>
      <c r="G862"/>
      <c r="H862"/>
      <c r="I862"/>
    </row>
    <row r="863" spans="2:9">
      <c r="B863"/>
      <c r="C863"/>
      <c r="D863"/>
      <c r="E863"/>
      <c r="F863"/>
      <c r="G863"/>
      <c r="H863"/>
      <c r="I863"/>
    </row>
    <row r="864" spans="2:9">
      <c r="B864"/>
      <c r="C864"/>
      <c r="D864"/>
      <c r="E864"/>
      <c r="F864"/>
      <c r="G864"/>
      <c r="H864"/>
      <c r="I864"/>
    </row>
    <row r="865" spans="2:9">
      <c r="B865"/>
      <c r="C865"/>
      <c r="D865"/>
      <c r="E865"/>
      <c r="F865"/>
      <c r="G865"/>
      <c r="H865"/>
      <c r="I865"/>
    </row>
    <row r="866" spans="2:9">
      <c r="B866"/>
      <c r="C866"/>
      <c r="D866"/>
      <c r="E866"/>
      <c r="F866"/>
      <c r="G866"/>
      <c r="H866"/>
      <c r="I866"/>
    </row>
    <row r="867" spans="2:9">
      <c r="B867"/>
      <c r="C867"/>
      <c r="D867"/>
      <c r="E867"/>
      <c r="F867"/>
      <c r="G867"/>
      <c r="H867"/>
      <c r="I867"/>
    </row>
    <row r="868" spans="2:9">
      <c r="B868"/>
      <c r="C868"/>
      <c r="D868"/>
      <c r="E868"/>
      <c r="F868"/>
      <c r="G868"/>
      <c r="H868"/>
      <c r="I868"/>
    </row>
    <row r="869" spans="2:9">
      <c r="B869"/>
      <c r="C869"/>
      <c r="D869"/>
      <c r="E869"/>
      <c r="F869"/>
      <c r="G869"/>
      <c r="H869"/>
      <c r="I869"/>
    </row>
    <row r="870" spans="2:9">
      <c r="B870"/>
      <c r="C870"/>
      <c r="D870"/>
      <c r="E870"/>
      <c r="F870"/>
      <c r="G870"/>
      <c r="H870"/>
      <c r="I870"/>
    </row>
    <row r="871" spans="2:9">
      <c r="B871"/>
      <c r="C871"/>
      <c r="D871"/>
      <c r="E871"/>
      <c r="F871"/>
      <c r="G871"/>
      <c r="H871"/>
      <c r="I871"/>
    </row>
    <row r="872" spans="2:9">
      <c r="B872"/>
      <c r="C872"/>
      <c r="D872"/>
      <c r="E872"/>
      <c r="F872"/>
      <c r="G872"/>
      <c r="H872"/>
      <c r="I872"/>
    </row>
    <row r="873" spans="2:9">
      <c r="B873"/>
      <c r="C873"/>
      <c r="D873"/>
      <c r="E873"/>
      <c r="F873"/>
      <c r="G873"/>
      <c r="H873"/>
      <c r="I873"/>
    </row>
    <row r="874" spans="2:9">
      <c r="B874"/>
      <c r="C874"/>
      <c r="D874"/>
      <c r="E874"/>
      <c r="F874"/>
      <c r="G874"/>
      <c r="H874"/>
      <c r="I874"/>
    </row>
    <row r="875" spans="2:9">
      <c r="B875"/>
      <c r="C875"/>
      <c r="D875"/>
      <c r="E875"/>
      <c r="F875"/>
      <c r="G875"/>
      <c r="H875"/>
      <c r="I875"/>
    </row>
    <row r="876" spans="2:9">
      <c r="B876"/>
      <c r="C876"/>
      <c r="D876"/>
      <c r="E876"/>
      <c r="F876"/>
      <c r="G876"/>
      <c r="H876"/>
      <c r="I876"/>
    </row>
    <row r="877" spans="2:9">
      <c r="B877"/>
      <c r="C877"/>
      <c r="D877"/>
      <c r="E877"/>
      <c r="F877"/>
      <c r="G877"/>
      <c r="H877"/>
      <c r="I877"/>
    </row>
    <row r="878" spans="2:9">
      <c r="B878"/>
      <c r="C878"/>
      <c r="D878"/>
      <c r="E878"/>
      <c r="F878"/>
      <c r="G878"/>
      <c r="H878"/>
      <c r="I878"/>
    </row>
    <row r="879" spans="2:9">
      <c r="B879"/>
      <c r="C879"/>
      <c r="D879"/>
      <c r="E879"/>
      <c r="F879"/>
      <c r="G879"/>
      <c r="H879"/>
      <c r="I879"/>
    </row>
    <row r="880" spans="2:9">
      <c r="B880"/>
      <c r="C880"/>
      <c r="D880"/>
      <c r="E880"/>
      <c r="F880"/>
      <c r="G880"/>
      <c r="H880"/>
      <c r="I880"/>
    </row>
    <row r="881" spans="2:9">
      <c r="B881"/>
      <c r="C881"/>
      <c r="D881"/>
      <c r="E881"/>
      <c r="F881"/>
      <c r="G881"/>
      <c r="H881"/>
      <c r="I881"/>
    </row>
    <row r="882" spans="2:9">
      <c r="B882"/>
      <c r="C882"/>
      <c r="D882"/>
      <c r="E882"/>
      <c r="F882"/>
      <c r="G882"/>
      <c r="H882"/>
      <c r="I882"/>
    </row>
    <row r="883" spans="2:9">
      <c r="B883"/>
      <c r="C883"/>
      <c r="D883"/>
      <c r="E883"/>
      <c r="F883"/>
      <c r="G883"/>
      <c r="H883"/>
      <c r="I883"/>
    </row>
    <row r="884" spans="2:9">
      <c r="B884"/>
      <c r="C884"/>
      <c r="D884"/>
      <c r="E884"/>
      <c r="F884"/>
      <c r="G884"/>
      <c r="H884"/>
    </row>
    <row r="885" spans="2:9">
      <c r="B885"/>
      <c r="C885"/>
      <c r="D885"/>
      <c r="E885"/>
      <c r="F885"/>
      <c r="G885"/>
      <c r="H885"/>
    </row>
    <row r="886" spans="2:9">
      <c r="B886"/>
      <c r="C886"/>
      <c r="D886"/>
      <c r="E886"/>
      <c r="F886"/>
      <c r="G886"/>
      <c r="H886"/>
    </row>
    <row r="887" spans="2:9">
      <c r="B887"/>
      <c r="C887"/>
      <c r="D887"/>
      <c r="E887"/>
      <c r="F887"/>
      <c r="G887"/>
      <c r="H887"/>
    </row>
    <row r="888" spans="2:9">
      <c r="B888"/>
      <c r="C888"/>
      <c r="D888"/>
      <c r="E888"/>
      <c r="F888"/>
      <c r="G888"/>
      <c r="H888"/>
    </row>
    <row r="889" spans="2:9">
      <c r="B889"/>
      <c r="C889"/>
      <c r="D889"/>
      <c r="E889"/>
      <c r="F889"/>
      <c r="G889"/>
      <c r="H889"/>
    </row>
    <row r="890" spans="2:9">
      <c r="B890"/>
      <c r="C890"/>
      <c r="D890"/>
      <c r="E890"/>
      <c r="F890"/>
      <c r="G890"/>
      <c r="H890"/>
    </row>
    <row r="891" spans="2:9">
      <c r="B891"/>
      <c r="C891"/>
      <c r="D891"/>
      <c r="E891"/>
      <c r="F891"/>
      <c r="G891"/>
      <c r="H891"/>
    </row>
    <row r="892" spans="2:9">
      <c r="B892"/>
      <c r="C892"/>
      <c r="D892"/>
      <c r="E892"/>
      <c r="F892"/>
      <c r="G892"/>
      <c r="H892"/>
    </row>
    <row r="893" spans="2:9">
      <c r="B893"/>
      <c r="C893"/>
      <c r="D893"/>
      <c r="E893"/>
      <c r="F893"/>
      <c r="G893"/>
      <c r="H893"/>
    </row>
    <row r="894" spans="2:9">
      <c r="B894"/>
      <c r="C894"/>
      <c r="D894"/>
      <c r="E894"/>
      <c r="F894"/>
      <c r="G894"/>
      <c r="H894"/>
    </row>
    <row r="895" spans="2:9">
      <c r="B895"/>
      <c r="C895"/>
      <c r="D895"/>
      <c r="E895"/>
      <c r="F895"/>
      <c r="G895"/>
      <c r="H895"/>
    </row>
    <row r="896" spans="2:9">
      <c r="B896"/>
      <c r="C896"/>
      <c r="D896"/>
      <c r="E896"/>
      <c r="F896"/>
      <c r="G896"/>
      <c r="H896"/>
    </row>
    <row r="897" spans="2:8">
      <c r="B897"/>
      <c r="C897"/>
      <c r="D897"/>
      <c r="E897"/>
      <c r="F897"/>
      <c r="G897"/>
      <c r="H897"/>
    </row>
    <row r="898" spans="2:8">
      <c r="B898"/>
      <c r="C898"/>
      <c r="D898"/>
      <c r="E898"/>
      <c r="F898"/>
      <c r="G898"/>
      <c r="H898"/>
    </row>
    <row r="899" spans="2:8">
      <c r="B899"/>
      <c r="C899"/>
      <c r="D899"/>
      <c r="E899"/>
      <c r="F899"/>
      <c r="G899"/>
      <c r="H899"/>
    </row>
    <row r="900" spans="2:8">
      <c r="B900"/>
      <c r="C900"/>
      <c r="D900"/>
      <c r="E900"/>
      <c r="F900"/>
      <c r="G900"/>
      <c r="H900"/>
    </row>
    <row r="901" spans="2:8">
      <c r="B901"/>
      <c r="C901"/>
      <c r="D901"/>
      <c r="E901"/>
      <c r="F901"/>
      <c r="G901"/>
      <c r="H901"/>
    </row>
    <row r="902" spans="2:8">
      <c r="B902"/>
      <c r="C902"/>
      <c r="D902"/>
      <c r="E902"/>
      <c r="F902"/>
      <c r="G902"/>
      <c r="H902"/>
    </row>
    <row r="903" spans="2:8">
      <c r="B903"/>
      <c r="C903"/>
      <c r="D903"/>
      <c r="E903"/>
      <c r="F903"/>
      <c r="G903"/>
      <c r="H903"/>
    </row>
    <row r="904" spans="2:8">
      <c r="B904"/>
      <c r="C904"/>
      <c r="D904"/>
      <c r="E904"/>
      <c r="F904"/>
      <c r="G904"/>
      <c r="H904"/>
    </row>
    <row r="905" spans="2:8">
      <c r="B905"/>
      <c r="C905"/>
      <c r="D905"/>
      <c r="E905"/>
      <c r="F905"/>
      <c r="G905"/>
      <c r="H905"/>
    </row>
    <row r="906" spans="2:8">
      <c r="B906"/>
      <c r="C906"/>
      <c r="D906"/>
      <c r="E906"/>
      <c r="F906"/>
      <c r="G906"/>
      <c r="H906"/>
    </row>
    <row r="907" spans="2:8">
      <c r="B907"/>
      <c r="C907"/>
      <c r="D907"/>
      <c r="E907"/>
      <c r="F907"/>
      <c r="G907"/>
      <c r="H907"/>
    </row>
    <row r="908" spans="2:8">
      <c r="B908"/>
      <c r="C908"/>
      <c r="D908"/>
      <c r="E908"/>
      <c r="F908"/>
      <c r="G908"/>
      <c r="H908"/>
    </row>
    <row r="909" spans="2:8">
      <c r="B909"/>
      <c r="C909"/>
      <c r="D909"/>
      <c r="E909"/>
      <c r="F909"/>
      <c r="G909"/>
      <c r="H909"/>
    </row>
    <row r="910" spans="2:8">
      <c r="B910"/>
      <c r="C910"/>
      <c r="D910"/>
      <c r="E910"/>
      <c r="F910"/>
      <c r="G910"/>
      <c r="H910"/>
    </row>
    <row r="911" spans="2:8">
      <c r="B911"/>
      <c r="C911"/>
      <c r="D911"/>
      <c r="E911"/>
      <c r="F911"/>
      <c r="G911"/>
      <c r="H911"/>
    </row>
    <row r="912" spans="2:8">
      <c r="B912"/>
      <c r="C912"/>
      <c r="D912"/>
      <c r="E912"/>
      <c r="F912"/>
      <c r="G912"/>
      <c r="H912"/>
    </row>
    <row r="913" spans="2:8">
      <c r="B913"/>
      <c r="C913"/>
      <c r="D913"/>
      <c r="E913"/>
      <c r="F913"/>
      <c r="G913"/>
      <c r="H913"/>
    </row>
    <row r="914" spans="2:8">
      <c r="B914"/>
      <c r="C914"/>
      <c r="D914"/>
      <c r="E914"/>
      <c r="F914"/>
      <c r="G914"/>
      <c r="H914"/>
    </row>
    <row r="915" spans="2:8">
      <c r="B915"/>
      <c r="C915"/>
      <c r="D915"/>
      <c r="E915"/>
      <c r="F915"/>
      <c r="G915"/>
      <c r="H915"/>
    </row>
    <row r="916" spans="2:8">
      <c r="B916"/>
      <c r="C916"/>
      <c r="D916"/>
      <c r="E916"/>
      <c r="F916"/>
      <c r="G916"/>
      <c r="H916"/>
    </row>
    <row r="917" spans="2:8">
      <c r="B917"/>
      <c r="C917"/>
      <c r="D917"/>
      <c r="E917"/>
      <c r="F917"/>
      <c r="G917"/>
      <c r="H917"/>
    </row>
    <row r="918" spans="2:8">
      <c r="B918"/>
      <c r="C918"/>
      <c r="D918"/>
      <c r="E918"/>
      <c r="F918"/>
      <c r="G918"/>
      <c r="H918"/>
    </row>
    <row r="919" spans="2:8">
      <c r="B919"/>
      <c r="C919"/>
      <c r="D919"/>
      <c r="E919"/>
      <c r="F919"/>
      <c r="G919"/>
      <c r="H919"/>
    </row>
    <row r="920" spans="2:8">
      <c r="B920"/>
      <c r="C920"/>
      <c r="D920"/>
      <c r="E920"/>
      <c r="F920"/>
      <c r="G920"/>
      <c r="H920"/>
    </row>
    <row r="921" spans="2:8">
      <c r="B921"/>
      <c r="C921"/>
      <c r="D921"/>
      <c r="E921"/>
      <c r="F921"/>
      <c r="G921"/>
      <c r="H921"/>
    </row>
    <row r="922" spans="2:8">
      <c r="B922"/>
      <c r="C922"/>
      <c r="D922"/>
      <c r="E922"/>
      <c r="F922"/>
      <c r="G922"/>
      <c r="H922"/>
    </row>
    <row r="923" spans="2:8">
      <c r="B923"/>
      <c r="C923"/>
      <c r="D923"/>
      <c r="E923"/>
      <c r="F923"/>
      <c r="G923"/>
      <c r="H923"/>
    </row>
    <row r="924" spans="2:8">
      <c r="B924"/>
      <c r="C924"/>
      <c r="D924"/>
      <c r="E924"/>
      <c r="F924"/>
      <c r="G924"/>
      <c r="H924"/>
    </row>
    <row r="925" spans="2:8">
      <c r="B925"/>
      <c r="C925"/>
      <c r="D925"/>
      <c r="E925"/>
      <c r="F925"/>
      <c r="G925"/>
      <c r="H925"/>
    </row>
    <row r="926" spans="2:8">
      <c r="B926"/>
      <c r="C926"/>
      <c r="D926"/>
      <c r="E926"/>
      <c r="F926"/>
      <c r="G926"/>
      <c r="H926"/>
    </row>
    <row r="927" spans="2:8">
      <c r="B927"/>
      <c r="C927"/>
      <c r="D927"/>
      <c r="E927"/>
      <c r="F927"/>
      <c r="G927"/>
      <c r="H927"/>
    </row>
    <row r="928" spans="2:8">
      <c r="B928"/>
      <c r="C928"/>
      <c r="D928"/>
      <c r="E928"/>
      <c r="F928"/>
      <c r="G928"/>
      <c r="H928"/>
    </row>
    <row r="929" spans="2:8">
      <c r="B929"/>
      <c r="C929"/>
      <c r="D929"/>
      <c r="E929"/>
      <c r="F929"/>
      <c r="G929"/>
      <c r="H929"/>
    </row>
    <row r="930" spans="2:8">
      <c r="B930"/>
      <c r="C930"/>
      <c r="D930"/>
      <c r="E930"/>
      <c r="F930"/>
      <c r="G930"/>
      <c r="H930"/>
    </row>
    <row r="931" spans="2:8">
      <c r="B931"/>
      <c r="C931"/>
      <c r="D931"/>
      <c r="E931"/>
      <c r="F931"/>
      <c r="G931"/>
      <c r="H931"/>
    </row>
    <row r="932" spans="2:8">
      <c r="B932"/>
      <c r="C932"/>
      <c r="D932"/>
      <c r="E932"/>
      <c r="F932"/>
      <c r="G932"/>
      <c r="H932"/>
    </row>
    <row r="933" spans="2:8">
      <c r="B933"/>
      <c r="C933"/>
      <c r="D933"/>
      <c r="E933"/>
      <c r="F933"/>
      <c r="G933"/>
      <c r="H933"/>
    </row>
    <row r="934" spans="2:8">
      <c r="B934"/>
      <c r="C934"/>
      <c r="D934"/>
      <c r="E934"/>
      <c r="F934"/>
      <c r="G934"/>
      <c r="H934"/>
    </row>
    <row r="935" spans="2:8">
      <c r="B935"/>
      <c r="C935"/>
      <c r="D935"/>
      <c r="E935"/>
      <c r="F935"/>
      <c r="G935"/>
      <c r="H935"/>
    </row>
    <row r="936" spans="2:8">
      <c r="B936"/>
      <c r="C936"/>
      <c r="D936"/>
      <c r="E936"/>
      <c r="F936"/>
      <c r="G936"/>
      <c r="H936"/>
    </row>
    <row r="937" spans="2:8">
      <c r="B937"/>
      <c r="C937"/>
      <c r="D937"/>
      <c r="E937"/>
      <c r="F937"/>
      <c r="G937"/>
      <c r="H937"/>
    </row>
    <row r="938" spans="2:8">
      <c r="B938"/>
      <c r="C938"/>
      <c r="D938"/>
      <c r="E938"/>
      <c r="F938"/>
      <c r="G938"/>
      <c r="H938"/>
    </row>
    <row r="939" spans="2:8">
      <c r="B939"/>
      <c r="C939"/>
      <c r="D939"/>
      <c r="E939"/>
      <c r="F939"/>
      <c r="G939"/>
      <c r="H939"/>
    </row>
    <row r="940" spans="2:8">
      <c r="B940"/>
      <c r="C940"/>
      <c r="D940"/>
      <c r="E940"/>
      <c r="F940"/>
      <c r="G940"/>
      <c r="H940"/>
    </row>
    <row r="941" spans="2:8">
      <c r="B941"/>
      <c r="C941"/>
      <c r="D941"/>
      <c r="E941"/>
      <c r="F941"/>
      <c r="G941"/>
      <c r="H941"/>
    </row>
    <row r="942" spans="2:8">
      <c r="B942"/>
      <c r="C942"/>
      <c r="D942"/>
      <c r="E942"/>
      <c r="F942"/>
      <c r="G942"/>
      <c r="H942"/>
    </row>
    <row r="943" spans="2:8">
      <c r="B943"/>
      <c r="C943"/>
      <c r="D943"/>
      <c r="E943"/>
      <c r="F943"/>
      <c r="G943"/>
      <c r="H943"/>
    </row>
    <row r="944" spans="2:8">
      <c r="B944"/>
      <c r="C944"/>
      <c r="D944"/>
      <c r="E944"/>
      <c r="F944"/>
      <c r="G944"/>
      <c r="H944"/>
    </row>
    <row r="945" spans="2:8">
      <c r="B945"/>
      <c r="C945"/>
      <c r="D945"/>
      <c r="E945"/>
      <c r="F945"/>
      <c r="G945"/>
      <c r="H945"/>
    </row>
    <row r="946" spans="2:8">
      <c r="B946"/>
      <c r="C946"/>
      <c r="D946"/>
      <c r="E946"/>
      <c r="F946"/>
      <c r="G946"/>
      <c r="H946"/>
    </row>
    <row r="947" spans="2:8">
      <c r="B947"/>
      <c r="C947"/>
      <c r="D947"/>
      <c r="E947"/>
      <c r="F947"/>
      <c r="G947"/>
      <c r="H947"/>
    </row>
    <row r="948" spans="2:8">
      <c r="B948"/>
      <c r="C948"/>
      <c r="D948"/>
      <c r="E948"/>
      <c r="F948"/>
      <c r="G948"/>
      <c r="H948"/>
    </row>
    <row r="949" spans="2:8">
      <c r="B949"/>
      <c r="C949"/>
      <c r="D949"/>
      <c r="E949"/>
      <c r="F949"/>
      <c r="G949"/>
      <c r="H949"/>
    </row>
    <row r="950" spans="2:8">
      <c r="B950"/>
      <c r="C950"/>
      <c r="D950"/>
      <c r="E950"/>
      <c r="F950"/>
      <c r="G950"/>
      <c r="H950"/>
    </row>
    <row r="951" spans="2:8">
      <c r="B951"/>
      <c r="C951"/>
      <c r="D951"/>
      <c r="E951"/>
      <c r="F951"/>
      <c r="G951"/>
      <c r="H951"/>
    </row>
    <row r="952" spans="2:8">
      <c r="B952"/>
      <c r="C952"/>
      <c r="D952"/>
      <c r="E952"/>
      <c r="F952"/>
      <c r="G952"/>
      <c r="H952"/>
    </row>
    <row r="953" spans="2:8">
      <c r="B953"/>
      <c r="C953"/>
      <c r="D953"/>
      <c r="E953"/>
      <c r="F953"/>
      <c r="G953"/>
      <c r="H953"/>
    </row>
    <row r="954" spans="2:8">
      <c r="B954"/>
      <c r="C954"/>
      <c r="D954"/>
      <c r="E954"/>
      <c r="F954"/>
      <c r="G954"/>
      <c r="H954"/>
    </row>
    <row r="955" spans="2:8">
      <c r="B955"/>
      <c r="C955"/>
      <c r="D955"/>
      <c r="E955"/>
      <c r="F955"/>
      <c r="G955"/>
      <c r="H955"/>
    </row>
    <row r="956" spans="2:8">
      <c r="B956"/>
      <c r="C956"/>
      <c r="D956"/>
      <c r="E956"/>
      <c r="F956"/>
      <c r="G956"/>
      <c r="H956"/>
    </row>
    <row r="957" spans="2:8">
      <c r="B957"/>
      <c r="C957"/>
      <c r="D957"/>
      <c r="E957"/>
      <c r="F957"/>
      <c r="G957"/>
      <c r="H957"/>
    </row>
    <row r="958" spans="2:8">
      <c r="B958"/>
      <c r="C958"/>
      <c r="D958"/>
      <c r="E958"/>
      <c r="F958"/>
      <c r="G958"/>
      <c r="H958"/>
    </row>
    <row r="959" spans="2:8">
      <c r="B959"/>
      <c r="C959"/>
      <c r="D959"/>
      <c r="E959"/>
      <c r="F959"/>
      <c r="G959"/>
      <c r="H959"/>
    </row>
    <row r="960" spans="2:8">
      <c r="B960"/>
      <c r="C960"/>
      <c r="D960"/>
      <c r="E960"/>
      <c r="F960"/>
      <c r="G960"/>
      <c r="H960"/>
    </row>
    <row r="961" spans="2:8">
      <c r="B961"/>
      <c r="C961"/>
      <c r="D961"/>
      <c r="E961"/>
      <c r="F961"/>
      <c r="G961"/>
      <c r="H961"/>
    </row>
    <row r="962" spans="2:8">
      <c r="B962"/>
      <c r="C962"/>
      <c r="D962"/>
      <c r="E962"/>
      <c r="F962"/>
      <c r="G962"/>
      <c r="H962"/>
    </row>
    <row r="963" spans="2:8">
      <c r="B963"/>
      <c r="C963"/>
      <c r="D963"/>
      <c r="E963"/>
      <c r="F963"/>
      <c r="G963"/>
      <c r="H963"/>
    </row>
    <row r="964" spans="2:8">
      <c r="B964"/>
      <c r="C964"/>
      <c r="D964"/>
      <c r="E964"/>
      <c r="F964"/>
      <c r="G964"/>
      <c r="H964"/>
    </row>
    <row r="965" spans="2:8">
      <c r="B965"/>
      <c r="C965"/>
      <c r="D965"/>
      <c r="E965"/>
      <c r="F965"/>
      <c r="G965"/>
      <c r="H965"/>
    </row>
    <row r="966" spans="2:8">
      <c r="B966"/>
      <c r="C966"/>
      <c r="D966"/>
      <c r="E966"/>
      <c r="F966"/>
      <c r="G966"/>
      <c r="H966"/>
    </row>
    <row r="967" spans="2:8">
      <c r="B967"/>
      <c r="C967"/>
      <c r="D967"/>
      <c r="E967"/>
      <c r="F967"/>
      <c r="G967"/>
      <c r="H967"/>
    </row>
    <row r="968" spans="2:8">
      <c r="B968"/>
      <c r="C968"/>
      <c r="D968"/>
      <c r="E968"/>
      <c r="F968"/>
      <c r="G968"/>
      <c r="H968"/>
    </row>
    <row r="969" spans="2:8">
      <c r="B969"/>
      <c r="C969"/>
      <c r="D969"/>
      <c r="E969"/>
      <c r="F969"/>
      <c r="G969"/>
      <c r="H969"/>
    </row>
    <row r="970" spans="2:8">
      <c r="B970"/>
      <c r="C970"/>
      <c r="D970"/>
      <c r="E970"/>
      <c r="F970"/>
      <c r="G970"/>
      <c r="H970"/>
    </row>
    <row r="971" spans="2:8">
      <c r="B971"/>
      <c r="C971"/>
      <c r="D971"/>
      <c r="E971"/>
      <c r="F971"/>
      <c r="G971"/>
      <c r="H971"/>
    </row>
    <row r="972" spans="2:8">
      <c r="B972"/>
      <c r="C972"/>
      <c r="D972"/>
      <c r="E972"/>
      <c r="F972"/>
      <c r="G972"/>
      <c r="H972"/>
    </row>
    <row r="973" spans="2:8">
      <c r="B973"/>
      <c r="C973"/>
      <c r="D973"/>
      <c r="E973"/>
      <c r="F973"/>
      <c r="G973"/>
      <c r="H973"/>
    </row>
    <row r="974" spans="2:8">
      <c r="B974"/>
      <c r="C974"/>
      <c r="D974"/>
      <c r="E974"/>
      <c r="F974"/>
      <c r="G974"/>
      <c r="H974"/>
    </row>
    <row r="975" spans="2:8">
      <c r="B975"/>
      <c r="C975"/>
      <c r="D975"/>
      <c r="E975"/>
      <c r="F975"/>
      <c r="G975"/>
      <c r="H975"/>
    </row>
    <row r="976" spans="2:8">
      <c r="B976"/>
      <c r="C976"/>
      <c r="D976"/>
      <c r="E976"/>
      <c r="F976"/>
      <c r="G976"/>
      <c r="H976"/>
    </row>
    <row r="977" spans="2:8">
      <c r="B977"/>
      <c r="C977"/>
      <c r="D977"/>
      <c r="E977"/>
      <c r="F977"/>
      <c r="G977"/>
      <c r="H977"/>
    </row>
    <row r="978" spans="2:8">
      <c r="B978"/>
      <c r="C978"/>
      <c r="D978"/>
      <c r="E978"/>
      <c r="F978"/>
      <c r="G978"/>
      <c r="H978"/>
    </row>
    <row r="979" spans="2:8">
      <c r="B979"/>
      <c r="C979"/>
      <c r="D979"/>
      <c r="E979"/>
      <c r="F979"/>
      <c r="G979"/>
      <c r="H979"/>
    </row>
    <row r="980" spans="2:8">
      <c r="B980"/>
      <c r="C980"/>
      <c r="D980"/>
      <c r="E980"/>
      <c r="F980"/>
      <c r="G980"/>
      <c r="H980"/>
    </row>
    <row r="981" spans="2:8">
      <c r="B981"/>
      <c r="C981"/>
      <c r="D981"/>
      <c r="E981"/>
      <c r="F981"/>
      <c r="G981"/>
      <c r="H981"/>
    </row>
    <row r="982" spans="2:8">
      <c r="B982"/>
      <c r="C982"/>
      <c r="D982"/>
      <c r="E982"/>
      <c r="F982"/>
      <c r="G982"/>
      <c r="H982"/>
    </row>
    <row r="983" spans="2:8">
      <c r="B983"/>
      <c r="C983"/>
      <c r="D983"/>
      <c r="E983"/>
      <c r="F983"/>
      <c r="G983"/>
      <c r="H983"/>
    </row>
    <row r="984" spans="2:8">
      <c r="B984"/>
      <c r="C984"/>
      <c r="D984"/>
      <c r="E984"/>
      <c r="F984"/>
      <c r="G984"/>
      <c r="H984"/>
    </row>
    <row r="985" spans="2:8">
      <c r="B985"/>
      <c r="C985"/>
      <c r="D985"/>
      <c r="E985"/>
      <c r="F985"/>
      <c r="G985"/>
      <c r="H985"/>
    </row>
    <row r="986" spans="2:8">
      <c r="B986"/>
      <c r="C986"/>
      <c r="D986"/>
      <c r="E986"/>
      <c r="F986"/>
      <c r="G986"/>
      <c r="H986"/>
    </row>
    <row r="987" spans="2:8">
      <c r="B987"/>
      <c r="C987"/>
      <c r="D987"/>
      <c r="E987"/>
      <c r="F987"/>
      <c r="G987"/>
      <c r="H987"/>
    </row>
    <row r="988" spans="2:8">
      <c r="B988"/>
      <c r="C988"/>
      <c r="D988"/>
      <c r="E988"/>
      <c r="F988"/>
      <c r="G988"/>
      <c r="H988"/>
    </row>
    <row r="989" spans="2:8">
      <c r="B989"/>
      <c r="C989"/>
      <c r="D989"/>
      <c r="E989"/>
      <c r="F989"/>
      <c r="G989"/>
      <c r="H989"/>
    </row>
    <row r="990" spans="2:8">
      <c r="B990"/>
      <c r="C990"/>
      <c r="D990"/>
      <c r="E990"/>
      <c r="F990"/>
      <c r="G990"/>
      <c r="H990"/>
    </row>
    <row r="991" spans="2:8">
      <c r="B991"/>
      <c r="C991"/>
      <c r="D991"/>
      <c r="E991"/>
      <c r="F991"/>
      <c r="G991"/>
      <c r="H991"/>
    </row>
    <row r="992" spans="2:8">
      <c r="B992"/>
      <c r="C992"/>
      <c r="D992"/>
      <c r="E992"/>
      <c r="F992"/>
      <c r="G992"/>
      <c r="H992"/>
    </row>
    <row r="993" spans="2:8">
      <c r="B993"/>
      <c r="C993"/>
      <c r="D993"/>
      <c r="E993"/>
      <c r="F993"/>
      <c r="G993"/>
      <c r="H993"/>
    </row>
    <row r="994" spans="2:8">
      <c r="B994"/>
      <c r="C994"/>
      <c r="D994"/>
      <c r="E994"/>
      <c r="F994"/>
      <c r="G994"/>
      <c r="H994"/>
    </row>
    <row r="995" spans="2:8">
      <c r="B995"/>
      <c r="C995"/>
      <c r="D995"/>
      <c r="E995"/>
      <c r="F995"/>
      <c r="G995"/>
      <c r="H995"/>
    </row>
    <row r="996" spans="2:8">
      <c r="B996"/>
      <c r="C996"/>
      <c r="D996"/>
      <c r="E996"/>
      <c r="F996"/>
      <c r="G996"/>
      <c r="H996"/>
    </row>
    <row r="997" spans="2:8">
      <c r="B997"/>
      <c r="C997"/>
      <c r="D997"/>
      <c r="E997"/>
      <c r="F997"/>
      <c r="G997"/>
      <c r="H997"/>
    </row>
    <row r="998" spans="2:8">
      <c r="B998"/>
      <c r="C998"/>
      <c r="D998"/>
      <c r="E998"/>
      <c r="F998"/>
      <c r="G998"/>
      <c r="H998"/>
    </row>
    <row r="999" spans="2:8">
      <c r="B999"/>
      <c r="C999"/>
      <c r="D999"/>
      <c r="E999"/>
      <c r="F999"/>
      <c r="G999"/>
      <c r="H999"/>
    </row>
    <row r="1000" spans="2:8">
      <c r="B1000"/>
      <c r="C1000"/>
      <c r="D1000"/>
      <c r="E1000"/>
      <c r="F1000"/>
      <c r="G1000"/>
      <c r="H1000"/>
    </row>
    <row r="1001" spans="2:8">
      <c r="B1001"/>
      <c r="C1001"/>
      <c r="D1001"/>
      <c r="E1001"/>
      <c r="F1001"/>
      <c r="G1001"/>
      <c r="H1001"/>
    </row>
    <row r="1002" spans="2:8">
      <c r="B1002"/>
      <c r="C1002"/>
      <c r="D1002"/>
      <c r="E1002"/>
      <c r="F1002"/>
      <c r="G1002"/>
      <c r="H1002"/>
    </row>
    <row r="1003" spans="2:8">
      <c r="B1003"/>
      <c r="C1003"/>
      <c r="D1003"/>
      <c r="E1003"/>
      <c r="F1003"/>
      <c r="G1003"/>
      <c r="H1003"/>
    </row>
    <row r="1004" spans="2:8">
      <c r="B1004"/>
      <c r="C1004"/>
      <c r="D1004"/>
      <c r="E1004"/>
      <c r="F1004"/>
      <c r="G1004"/>
      <c r="H1004"/>
    </row>
    <row r="1005" spans="2:8">
      <c r="B1005"/>
      <c r="C1005"/>
      <c r="D1005"/>
      <c r="E1005"/>
      <c r="F1005"/>
      <c r="G1005"/>
      <c r="H1005"/>
    </row>
    <row r="1006" spans="2:8">
      <c r="B1006"/>
      <c r="C1006"/>
      <c r="D1006"/>
      <c r="E1006"/>
      <c r="F1006"/>
      <c r="G1006"/>
      <c r="H1006"/>
    </row>
    <row r="1007" spans="2:8">
      <c r="B1007"/>
      <c r="C1007"/>
      <c r="D1007"/>
      <c r="E1007"/>
      <c r="F1007"/>
      <c r="G1007"/>
      <c r="H1007"/>
    </row>
    <row r="1008" spans="2:8">
      <c r="B1008"/>
      <c r="C1008"/>
      <c r="D1008"/>
      <c r="E1008"/>
      <c r="F1008"/>
      <c r="G1008"/>
      <c r="H1008"/>
    </row>
    <row r="1009" spans="2:8">
      <c r="B1009"/>
      <c r="C1009"/>
      <c r="D1009"/>
      <c r="E1009"/>
      <c r="F1009"/>
      <c r="G1009"/>
      <c r="H1009"/>
    </row>
    <row r="1010" spans="2:8">
      <c r="B1010"/>
      <c r="C1010"/>
      <c r="D1010"/>
      <c r="E1010"/>
      <c r="F1010"/>
      <c r="G1010"/>
      <c r="H1010"/>
    </row>
    <row r="1011" spans="2:8">
      <c r="B1011"/>
      <c r="C1011"/>
      <c r="D1011"/>
      <c r="E1011"/>
      <c r="F1011"/>
      <c r="G1011"/>
      <c r="H1011"/>
    </row>
    <row r="1012" spans="2:8">
      <c r="B1012"/>
      <c r="C1012"/>
      <c r="D1012"/>
      <c r="E1012"/>
      <c r="F1012"/>
      <c r="G1012"/>
      <c r="H1012"/>
    </row>
    <row r="1013" spans="2:8">
      <c r="B1013"/>
      <c r="C1013"/>
      <c r="D1013"/>
      <c r="E1013"/>
      <c r="F1013"/>
      <c r="G1013"/>
      <c r="H1013"/>
    </row>
    <row r="1014" spans="2:8">
      <c r="B1014"/>
      <c r="C1014"/>
      <c r="D1014"/>
      <c r="E1014"/>
      <c r="F1014"/>
      <c r="G1014"/>
      <c r="H1014"/>
    </row>
    <row r="1015" spans="2:8">
      <c r="B1015"/>
      <c r="C1015"/>
      <c r="D1015"/>
      <c r="E1015"/>
      <c r="F1015"/>
      <c r="G1015"/>
      <c r="H1015"/>
    </row>
    <row r="1016" spans="2:8">
      <c r="B1016"/>
      <c r="C1016"/>
      <c r="D1016"/>
      <c r="E1016"/>
      <c r="F1016"/>
      <c r="G1016"/>
      <c r="H1016"/>
    </row>
    <row r="1017" spans="2:8">
      <c r="B1017"/>
      <c r="C1017"/>
      <c r="D1017"/>
      <c r="E1017"/>
      <c r="F1017"/>
      <c r="G1017"/>
      <c r="H1017"/>
    </row>
    <row r="1018" spans="2:8">
      <c r="B1018"/>
      <c r="C1018"/>
      <c r="D1018"/>
      <c r="E1018"/>
      <c r="F1018"/>
      <c r="G1018"/>
      <c r="H1018"/>
    </row>
    <row r="1019" spans="2:8">
      <c r="B1019"/>
      <c r="C1019"/>
      <c r="D1019"/>
      <c r="E1019"/>
      <c r="F1019"/>
      <c r="G1019"/>
      <c r="H1019"/>
    </row>
    <row r="1020" spans="2:8">
      <c r="B1020"/>
      <c r="C1020"/>
      <c r="D1020"/>
      <c r="E1020"/>
      <c r="F1020"/>
      <c r="G1020"/>
      <c r="H1020"/>
    </row>
    <row r="1021" spans="2:8">
      <c r="B1021"/>
      <c r="C1021"/>
      <c r="D1021"/>
      <c r="E1021"/>
      <c r="F1021"/>
      <c r="G1021"/>
      <c r="H1021"/>
    </row>
    <row r="1022" spans="2:8">
      <c r="B1022"/>
      <c r="C1022"/>
      <c r="D1022"/>
      <c r="E1022"/>
      <c r="F1022"/>
      <c r="G1022"/>
      <c r="H1022"/>
    </row>
    <row r="1023" spans="2:8">
      <c r="B1023"/>
      <c r="C1023"/>
      <c r="D1023"/>
      <c r="E1023"/>
      <c r="F1023"/>
      <c r="G1023"/>
      <c r="H1023"/>
    </row>
    <row r="1024" spans="2:8">
      <c r="B1024"/>
      <c r="C1024"/>
      <c r="D1024"/>
      <c r="E1024"/>
      <c r="F1024"/>
      <c r="G1024"/>
      <c r="H1024"/>
    </row>
    <row r="1025" spans="2:8">
      <c r="B1025"/>
      <c r="C1025"/>
      <c r="D1025"/>
      <c r="E1025"/>
      <c r="F1025"/>
      <c r="G1025"/>
      <c r="H1025"/>
    </row>
    <row r="1026" spans="2:8">
      <c r="B1026"/>
      <c r="C1026"/>
      <c r="D1026"/>
      <c r="E1026"/>
      <c r="F1026"/>
      <c r="G1026"/>
      <c r="H1026"/>
    </row>
    <row r="1027" spans="2:8">
      <c r="B1027"/>
      <c r="C1027"/>
      <c r="D1027"/>
      <c r="E1027"/>
      <c r="F1027"/>
      <c r="G1027"/>
      <c r="H1027"/>
    </row>
    <row r="1028" spans="2:8">
      <c r="B1028"/>
      <c r="C1028"/>
      <c r="D1028"/>
      <c r="E1028"/>
      <c r="F1028"/>
      <c r="G1028"/>
      <c r="H1028"/>
    </row>
    <row r="1029" spans="2:8">
      <c r="B1029"/>
      <c r="C1029"/>
      <c r="D1029"/>
      <c r="E1029"/>
      <c r="F1029"/>
      <c r="G1029"/>
      <c r="H1029"/>
    </row>
    <row r="1030" spans="2:8">
      <c r="B1030"/>
      <c r="C1030"/>
      <c r="D1030"/>
      <c r="E1030"/>
      <c r="F1030"/>
      <c r="G1030"/>
      <c r="H1030"/>
    </row>
    <row r="1031" spans="2:8">
      <c r="B1031"/>
      <c r="C1031"/>
      <c r="D1031"/>
      <c r="E1031"/>
      <c r="F1031"/>
      <c r="G1031"/>
      <c r="H1031"/>
    </row>
    <row r="1032" spans="2:8">
      <c r="B1032"/>
      <c r="C1032"/>
      <c r="D1032"/>
      <c r="E1032"/>
      <c r="F1032"/>
      <c r="G1032"/>
      <c r="H1032"/>
    </row>
    <row r="1033" spans="2:8">
      <c r="B1033"/>
      <c r="C1033"/>
      <c r="D1033"/>
      <c r="E1033"/>
      <c r="F1033"/>
      <c r="G1033"/>
      <c r="H1033"/>
    </row>
    <row r="1034" spans="2:8">
      <c r="B1034"/>
      <c r="C1034"/>
      <c r="D1034"/>
      <c r="E1034"/>
      <c r="F1034"/>
      <c r="G1034"/>
      <c r="H1034"/>
    </row>
    <row r="1035" spans="2:8">
      <c r="B1035"/>
      <c r="C1035"/>
      <c r="D1035"/>
      <c r="E1035"/>
      <c r="F1035"/>
      <c r="G1035"/>
      <c r="H1035"/>
    </row>
    <row r="1036" spans="2:8">
      <c r="B1036"/>
      <c r="C1036"/>
      <c r="D1036"/>
      <c r="E1036"/>
      <c r="F1036"/>
      <c r="G1036"/>
      <c r="H1036"/>
    </row>
    <row r="1037" spans="2:8">
      <c r="B1037"/>
      <c r="C1037"/>
      <c r="D1037"/>
      <c r="E1037"/>
      <c r="F1037"/>
      <c r="G1037"/>
      <c r="H1037"/>
    </row>
    <row r="1038" spans="2:8">
      <c r="B1038"/>
      <c r="C1038"/>
      <c r="D1038"/>
      <c r="E1038"/>
      <c r="F1038"/>
      <c r="G1038"/>
      <c r="H1038"/>
    </row>
    <row r="1039" spans="2:8">
      <c r="B1039"/>
      <c r="C1039"/>
      <c r="D1039"/>
      <c r="E1039"/>
      <c r="F1039"/>
      <c r="G1039"/>
      <c r="H1039"/>
    </row>
    <row r="1040" spans="2:8">
      <c r="B1040"/>
      <c r="C1040"/>
      <c r="D1040"/>
      <c r="E1040"/>
      <c r="F1040"/>
      <c r="G1040"/>
      <c r="H1040"/>
    </row>
    <row r="1041" spans="2:8">
      <c r="B1041"/>
      <c r="C1041"/>
      <c r="D1041"/>
      <c r="E1041"/>
      <c r="F1041"/>
      <c r="G1041"/>
      <c r="H1041"/>
    </row>
    <row r="1042" spans="2:8">
      <c r="B1042"/>
      <c r="C1042"/>
      <c r="D1042"/>
      <c r="E1042"/>
      <c r="F1042"/>
      <c r="G1042"/>
      <c r="H1042"/>
    </row>
    <row r="1043" spans="2:8">
      <c r="B1043"/>
      <c r="C1043"/>
      <c r="D1043"/>
      <c r="E1043"/>
      <c r="F1043"/>
      <c r="G1043"/>
      <c r="H1043"/>
    </row>
    <row r="1044" spans="2:8">
      <c r="B1044"/>
      <c r="C1044"/>
      <c r="D1044"/>
      <c r="E1044"/>
      <c r="F1044"/>
      <c r="G1044"/>
      <c r="H1044"/>
    </row>
    <row r="1045" spans="2:8">
      <c r="B1045"/>
      <c r="C1045"/>
      <c r="D1045"/>
      <c r="E1045"/>
      <c r="F1045"/>
      <c r="G1045"/>
      <c r="H1045"/>
    </row>
    <row r="1046" spans="2:8">
      <c r="B1046"/>
      <c r="C1046"/>
      <c r="D1046"/>
      <c r="E1046"/>
      <c r="F1046"/>
      <c r="G1046"/>
      <c r="H1046"/>
    </row>
    <row r="1047" spans="2:8">
      <c r="B1047"/>
      <c r="C1047"/>
      <c r="D1047"/>
      <c r="E1047"/>
      <c r="F1047"/>
      <c r="G1047"/>
      <c r="H1047"/>
    </row>
    <row r="1048" spans="2:8">
      <c r="B1048"/>
      <c r="C1048"/>
      <c r="D1048"/>
      <c r="E1048"/>
      <c r="F1048"/>
      <c r="G1048"/>
      <c r="H1048"/>
    </row>
    <row r="1049" spans="2:8">
      <c r="B1049"/>
      <c r="C1049"/>
      <c r="D1049"/>
      <c r="E1049"/>
      <c r="F1049"/>
      <c r="G1049"/>
      <c r="H1049"/>
    </row>
    <row r="1050" spans="2:8">
      <c r="B1050"/>
      <c r="C1050"/>
      <c r="D1050"/>
      <c r="E1050"/>
      <c r="F1050"/>
      <c r="G1050"/>
      <c r="H1050"/>
    </row>
    <row r="1051" spans="2:8">
      <c r="B1051"/>
      <c r="C1051"/>
      <c r="D1051"/>
      <c r="E1051"/>
      <c r="F1051"/>
      <c r="G1051"/>
      <c r="H1051"/>
    </row>
    <row r="1052" spans="2:8">
      <c r="B1052"/>
      <c r="C1052"/>
      <c r="D1052"/>
      <c r="E1052"/>
      <c r="F1052"/>
      <c r="G1052"/>
      <c r="H1052"/>
    </row>
    <row r="1053" spans="2:8">
      <c r="B1053"/>
      <c r="C1053"/>
      <c r="D1053"/>
      <c r="E1053"/>
      <c r="F1053"/>
      <c r="G1053"/>
      <c r="H1053"/>
    </row>
    <row r="1054" spans="2:8">
      <c r="B1054"/>
      <c r="C1054"/>
      <c r="D1054"/>
      <c r="E1054"/>
      <c r="F1054"/>
      <c r="G1054"/>
      <c r="H1054"/>
    </row>
    <row r="1055" spans="2:8">
      <c r="B1055"/>
      <c r="C1055"/>
      <c r="D1055"/>
      <c r="E1055"/>
      <c r="F1055"/>
      <c r="G1055"/>
      <c r="H1055"/>
    </row>
    <row r="1056" spans="2:8">
      <c r="B1056"/>
      <c r="C1056"/>
      <c r="D1056"/>
      <c r="E1056"/>
      <c r="F1056"/>
      <c r="G1056"/>
      <c r="H1056"/>
    </row>
    <row r="1057" spans="2:8">
      <c r="B1057"/>
      <c r="C1057"/>
      <c r="D1057"/>
      <c r="E1057"/>
      <c r="F1057"/>
      <c r="G1057"/>
      <c r="H1057"/>
    </row>
    <row r="1058" spans="2:8">
      <c r="B1058"/>
      <c r="C1058"/>
      <c r="D1058"/>
      <c r="E1058"/>
      <c r="F1058"/>
      <c r="G1058"/>
      <c r="H1058"/>
    </row>
    <row r="1059" spans="2:8">
      <c r="B1059"/>
      <c r="C1059"/>
      <c r="D1059"/>
      <c r="E1059"/>
      <c r="F1059"/>
      <c r="G1059"/>
      <c r="H1059"/>
    </row>
    <row r="1060" spans="2:8">
      <c r="B1060"/>
      <c r="C1060"/>
      <c r="D1060"/>
      <c r="E1060"/>
      <c r="F1060"/>
      <c r="G1060"/>
      <c r="H1060"/>
    </row>
    <row r="1061" spans="2:8">
      <c r="B1061"/>
      <c r="C1061"/>
      <c r="D1061"/>
      <c r="E1061"/>
      <c r="F1061"/>
      <c r="G1061"/>
      <c r="H1061"/>
    </row>
    <row r="1062" spans="2:8">
      <c r="B1062"/>
      <c r="C1062"/>
      <c r="D1062"/>
      <c r="E1062"/>
      <c r="F1062"/>
      <c r="G1062"/>
      <c r="H1062"/>
    </row>
    <row r="1063" spans="2:8">
      <c r="B1063"/>
      <c r="C1063"/>
      <c r="D1063"/>
      <c r="E1063"/>
      <c r="F1063"/>
      <c r="G1063"/>
      <c r="H1063"/>
    </row>
    <row r="1064" spans="2:8">
      <c r="B1064"/>
      <c r="C1064"/>
      <c r="D1064"/>
      <c r="E1064"/>
      <c r="F1064"/>
      <c r="G1064"/>
      <c r="H1064"/>
    </row>
    <row r="1065" spans="2:8">
      <c r="B1065"/>
      <c r="C1065"/>
      <c r="D1065"/>
      <c r="E1065"/>
      <c r="F1065"/>
      <c r="G1065"/>
      <c r="H1065"/>
    </row>
    <row r="1066" spans="2:8">
      <c r="B1066"/>
      <c r="C1066"/>
      <c r="D1066"/>
      <c r="E1066"/>
      <c r="F1066"/>
      <c r="G1066"/>
      <c r="H1066"/>
    </row>
    <row r="1067" spans="2:8">
      <c r="B1067"/>
      <c r="C1067"/>
      <c r="D1067"/>
      <c r="E1067"/>
      <c r="F1067"/>
      <c r="G1067"/>
      <c r="H1067"/>
    </row>
    <row r="1068" spans="2:8">
      <c r="B1068"/>
      <c r="C1068"/>
      <c r="D1068"/>
      <c r="E1068"/>
      <c r="F1068"/>
      <c r="G1068"/>
      <c r="H1068"/>
    </row>
    <row r="1069" spans="2:8">
      <c r="B1069"/>
      <c r="C1069"/>
      <c r="D1069"/>
      <c r="E1069"/>
      <c r="F1069"/>
      <c r="G1069"/>
      <c r="H1069"/>
    </row>
    <row r="1070" spans="2:8">
      <c r="B1070"/>
      <c r="C1070"/>
      <c r="D1070"/>
      <c r="E1070"/>
      <c r="F1070"/>
      <c r="G1070"/>
      <c r="H1070"/>
    </row>
    <row r="1071" spans="2:8">
      <c r="B1071"/>
      <c r="C1071"/>
      <c r="D1071"/>
      <c r="E1071"/>
      <c r="F1071"/>
      <c r="G1071"/>
      <c r="H1071"/>
    </row>
    <row r="1072" spans="2:8">
      <c r="B1072"/>
      <c r="C1072"/>
      <c r="D1072"/>
      <c r="E1072"/>
      <c r="F1072"/>
      <c r="G1072"/>
      <c r="H1072"/>
    </row>
    <row r="1073" spans="2:8">
      <c r="B1073"/>
      <c r="C1073"/>
      <c r="D1073"/>
      <c r="E1073"/>
      <c r="F1073"/>
      <c r="G1073"/>
      <c r="H1073"/>
    </row>
    <row r="1074" spans="2:8">
      <c r="B1074"/>
      <c r="C1074"/>
      <c r="D1074"/>
      <c r="E1074"/>
      <c r="F1074"/>
      <c r="G1074"/>
      <c r="H1074"/>
    </row>
    <row r="1075" spans="2:8">
      <c r="B1075"/>
      <c r="C1075"/>
      <c r="D1075"/>
      <c r="E1075"/>
      <c r="F1075"/>
      <c r="G1075"/>
      <c r="H1075"/>
    </row>
    <row r="1076" spans="2:8">
      <c r="B1076"/>
      <c r="C1076"/>
      <c r="D1076"/>
      <c r="E1076"/>
      <c r="F1076"/>
      <c r="G1076"/>
      <c r="H1076"/>
    </row>
    <row r="1077" spans="2:8">
      <c r="B1077"/>
      <c r="C1077"/>
      <c r="D1077"/>
      <c r="E1077"/>
      <c r="F1077"/>
      <c r="G1077"/>
      <c r="H1077"/>
    </row>
    <row r="1078" spans="2:8">
      <c r="B1078"/>
      <c r="C1078"/>
      <c r="D1078"/>
      <c r="E1078"/>
      <c r="F1078"/>
      <c r="G1078"/>
      <c r="H1078"/>
    </row>
    <row r="1079" spans="2:8">
      <c r="B1079"/>
      <c r="C1079"/>
      <c r="D1079"/>
      <c r="E1079"/>
      <c r="F1079"/>
      <c r="G1079"/>
      <c r="H1079"/>
    </row>
    <row r="1080" spans="2:8">
      <c r="B1080"/>
      <c r="C1080"/>
      <c r="D1080"/>
      <c r="E1080"/>
      <c r="F1080"/>
      <c r="G1080"/>
      <c r="H1080"/>
    </row>
    <row r="1081" spans="2:8">
      <c r="B1081"/>
      <c r="C1081"/>
      <c r="D1081"/>
      <c r="E1081"/>
      <c r="F1081"/>
      <c r="G1081"/>
      <c r="H1081"/>
    </row>
    <row r="1082" spans="2:8">
      <c r="B1082"/>
      <c r="C1082"/>
      <c r="D1082"/>
      <c r="E1082"/>
      <c r="F1082"/>
      <c r="G1082"/>
      <c r="H1082"/>
    </row>
    <row r="1083" spans="2:8">
      <c r="B1083"/>
      <c r="C1083"/>
      <c r="D1083"/>
      <c r="E1083"/>
      <c r="F1083"/>
      <c r="G1083"/>
      <c r="H1083"/>
    </row>
    <row r="1084" spans="2:8">
      <c r="B1084"/>
      <c r="C1084"/>
      <c r="D1084"/>
      <c r="E1084"/>
      <c r="F1084"/>
      <c r="G1084"/>
      <c r="H1084"/>
    </row>
    <row r="1085" spans="2:8">
      <c r="B1085"/>
      <c r="C1085"/>
      <c r="D1085"/>
      <c r="E1085"/>
      <c r="F1085"/>
      <c r="G1085"/>
      <c r="H1085"/>
    </row>
    <row r="1086" spans="2:8">
      <c r="B1086"/>
      <c r="C1086"/>
      <c r="D1086"/>
      <c r="E1086"/>
      <c r="F1086"/>
      <c r="G1086"/>
      <c r="H1086"/>
    </row>
    <row r="1087" spans="2:8">
      <c r="B1087"/>
      <c r="C1087"/>
      <c r="D1087"/>
      <c r="E1087"/>
      <c r="F1087"/>
      <c r="G1087"/>
      <c r="H1087"/>
    </row>
    <row r="1088" spans="2:8">
      <c r="B1088"/>
      <c r="C1088"/>
      <c r="D1088"/>
      <c r="E1088"/>
      <c r="F1088"/>
      <c r="G1088"/>
      <c r="H1088"/>
    </row>
    <row r="1089" spans="2:8">
      <c r="B1089"/>
      <c r="C1089"/>
      <c r="D1089"/>
      <c r="E1089"/>
      <c r="F1089"/>
      <c r="G1089"/>
      <c r="H1089"/>
    </row>
    <row r="1090" spans="2:8">
      <c r="B1090"/>
      <c r="C1090"/>
      <c r="D1090"/>
      <c r="E1090"/>
      <c r="F1090"/>
      <c r="G1090"/>
      <c r="H1090"/>
    </row>
    <row r="1091" spans="2:8">
      <c r="B1091"/>
      <c r="C1091"/>
      <c r="D1091"/>
      <c r="E1091"/>
      <c r="F1091"/>
      <c r="G1091"/>
      <c r="H1091"/>
    </row>
    <row r="1092" spans="2:8">
      <c r="B1092"/>
      <c r="C1092"/>
      <c r="D1092"/>
      <c r="E1092"/>
      <c r="F1092"/>
      <c r="G1092"/>
      <c r="H1092"/>
    </row>
    <row r="1093" spans="2:8">
      <c r="B1093"/>
      <c r="C1093"/>
      <c r="D1093"/>
      <c r="E1093"/>
      <c r="F1093"/>
      <c r="G1093"/>
      <c r="H1093"/>
    </row>
    <row r="1094" spans="2:8">
      <c r="B1094"/>
      <c r="C1094"/>
      <c r="D1094"/>
      <c r="E1094"/>
      <c r="F1094"/>
      <c r="G1094"/>
      <c r="H1094"/>
    </row>
    <row r="1095" spans="2:8">
      <c r="B1095"/>
      <c r="C1095"/>
      <c r="D1095"/>
      <c r="E1095"/>
      <c r="F1095"/>
      <c r="G1095"/>
      <c r="H1095"/>
    </row>
    <row r="1096" spans="2:8">
      <c r="B1096"/>
      <c r="C1096"/>
      <c r="D1096"/>
      <c r="E1096"/>
      <c r="F1096"/>
      <c r="G1096"/>
      <c r="H1096"/>
    </row>
    <row r="1097" spans="2:8">
      <c r="B1097"/>
      <c r="C1097"/>
      <c r="D1097"/>
      <c r="E1097"/>
      <c r="F1097"/>
      <c r="G1097"/>
      <c r="H1097"/>
    </row>
    <row r="1098" spans="2:8">
      <c r="B1098"/>
      <c r="C1098"/>
      <c r="D1098"/>
      <c r="E1098"/>
      <c r="F1098"/>
      <c r="G1098"/>
      <c r="H1098"/>
    </row>
    <row r="1099" spans="2:8">
      <c r="B1099"/>
      <c r="C1099"/>
      <c r="D1099"/>
      <c r="E1099"/>
      <c r="F1099"/>
      <c r="G1099"/>
      <c r="H1099"/>
    </row>
    <row r="1100" spans="2:8">
      <c r="B1100"/>
      <c r="C1100"/>
      <c r="D1100"/>
      <c r="E1100"/>
      <c r="F1100"/>
      <c r="G1100"/>
      <c r="H1100"/>
    </row>
    <row r="1101" spans="2:8">
      <c r="B1101"/>
      <c r="C1101"/>
      <c r="D1101"/>
      <c r="E1101"/>
      <c r="F1101"/>
      <c r="G1101"/>
      <c r="H1101"/>
    </row>
    <row r="1102" spans="2:8">
      <c r="B1102"/>
      <c r="C1102"/>
      <c r="D1102"/>
      <c r="E1102"/>
      <c r="F1102"/>
      <c r="G1102"/>
      <c r="H1102"/>
    </row>
    <row r="1103" spans="2:8">
      <c r="B1103"/>
      <c r="C1103"/>
      <c r="D1103"/>
      <c r="E1103"/>
      <c r="F1103"/>
      <c r="G1103"/>
      <c r="H1103"/>
    </row>
    <row r="1104" spans="2:8">
      <c r="B1104"/>
      <c r="C1104"/>
      <c r="D1104"/>
      <c r="E1104"/>
      <c r="F1104"/>
      <c r="G1104"/>
      <c r="H1104"/>
    </row>
    <row r="1105" spans="2:8">
      <c r="B1105"/>
      <c r="C1105"/>
      <c r="D1105"/>
      <c r="E1105"/>
      <c r="F1105"/>
      <c r="G1105"/>
      <c r="H1105"/>
    </row>
    <row r="1106" spans="2:8">
      <c r="B1106"/>
      <c r="C1106"/>
      <c r="D1106"/>
      <c r="E1106"/>
      <c r="F1106"/>
      <c r="G1106"/>
      <c r="H1106"/>
    </row>
    <row r="1107" spans="2:8">
      <c r="B1107"/>
      <c r="C1107"/>
      <c r="D1107"/>
      <c r="E1107"/>
      <c r="F1107"/>
      <c r="G1107"/>
      <c r="H1107"/>
    </row>
    <row r="1108" spans="2:8">
      <c r="B1108"/>
      <c r="C1108"/>
      <c r="D1108"/>
      <c r="E1108"/>
      <c r="F1108"/>
      <c r="G1108"/>
      <c r="H1108"/>
    </row>
    <row r="1109" spans="2:8">
      <c r="B1109"/>
      <c r="C1109"/>
      <c r="D1109"/>
      <c r="E1109"/>
      <c r="F1109"/>
      <c r="G1109"/>
      <c r="H1109"/>
    </row>
    <row r="1110" spans="2:8">
      <c r="B1110"/>
      <c r="C1110"/>
      <c r="D1110"/>
      <c r="E1110"/>
      <c r="F1110"/>
      <c r="G1110"/>
      <c r="H1110"/>
    </row>
    <row r="1111" spans="2:8">
      <c r="B1111"/>
      <c r="C1111"/>
      <c r="D1111"/>
      <c r="E1111"/>
      <c r="F1111"/>
      <c r="G1111"/>
      <c r="H1111"/>
    </row>
    <row r="1112" spans="2:8">
      <c r="B1112"/>
      <c r="C1112"/>
      <c r="D1112"/>
      <c r="E1112"/>
      <c r="F1112"/>
      <c r="G1112"/>
      <c r="H1112"/>
    </row>
    <row r="1113" spans="2:8">
      <c r="B1113"/>
      <c r="C1113"/>
      <c r="D1113"/>
      <c r="E1113"/>
      <c r="F1113"/>
      <c r="G1113"/>
      <c r="H1113"/>
    </row>
    <row r="1114" spans="2:8">
      <c r="B1114"/>
      <c r="C1114"/>
      <c r="D1114"/>
      <c r="E1114"/>
      <c r="F1114"/>
      <c r="G1114"/>
      <c r="H1114"/>
    </row>
    <row r="1115" spans="2:8">
      <c r="B1115"/>
      <c r="C1115"/>
      <c r="D1115"/>
      <c r="E1115"/>
      <c r="F1115"/>
      <c r="G1115"/>
      <c r="H1115"/>
    </row>
    <row r="1116" spans="2:8">
      <c r="B1116"/>
      <c r="C1116"/>
      <c r="D1116"/>
      <c r="E1116"/>
      <c r="F1116"/>
      <c r="G1116"/>
      <c r="H1116"/>
    </row>
    <row r="1117" spans="2:8">
      <c r="B1117"/>
      <c r="C1117"/>
      <c r="D1117"/>
      <c r="E1117"/>
      <c r="F1117"/>
      <c r="G1117"/>
      <c r="H1117"/>
    </row>
    <row r="1118" spans="2:8">
      <c r="B1118"/>
      <c r="C1118"/>
      <c r="D1118"/>
      <c r="E1118"/>
      <c r="F1118"/>
      <c r="G1118"/>
      <c r="H1118"/>
    </row>
    <row r="1119" spans="2:8">
      <c r="B1119"/>
      <c r="C1119"/>
      <c r="D1119"/>
      <c r="E1119"/>
      <c r="F1119"/>
      <c r="G1119"/>
      <c r="H1119"/>
    </row>
    <row r="1120" spans="2:8">
      <c r="B1120"/>
      <c r="C1120"/>
      <c r="D1120"/>
      <c r="E1120"/>
      <c r="F1120"/>
      <c r="G1120"/>
      <c r="H1120"/>
    </row>
    <row r="1121" spans="2:8">
      <c r="B1121"/>
      <c r="C1121"/>
      <c r="D1121"/>
      <c r="E1121"/>
      <c r="F1121"/>
      <c r="G1121"/>
      <c r="H1121"/>
    </row>
    <row r="1122" spans="2:8">
      <c r="B1122"/>
      <c r="C1122"/>
      <c r="D1122"/>
      <c r="E1122"/>
      <c r="F1122"/>
      <c r="G1122"/>
      <c r="H1122"/>
    </row>
    <row r="1123" spans="2:8">
      <c r="B1123"/>
      <c r="C1123"/>
      <c r="D1123"/>
      <c r="E1123"/>
      <c r="F1123"/>
      <c r="G1123"/>
      <c r="H1123"/>
    </row>
    <row r="1124" spans="2:8">
      <c r="B1124"/>
      <c r="C1124"/>
      <c r="D1124"/>
      <c r="E1124"/>
      <c r="F1124"/>
      <c r="G1124"/>
      <c r="H1124"/>
    </row>
    <row r="1125" spans="2:8">
      <c r="B1125"/>
      <c r="C1125"/>
      <c r="D1125"/>
      <c r="E1125"/>
      <c r="F1125"/>
      <c r="G1125"/>
      <c r="H1125"/>
    </row>
    <row r="1126" spans="2:8">
      <c r="B1126"/>
      <c r="C1126"/>
      <c r="D1126"/>
      <c r="E1126"/>
      <c r="F1126"/>
      <c r="G1126"/>
      <c r="H1126"/>
    </row>
    <row r="1127" spans="2:8">
      <c r="B1127"/>
      <c r="C1127"/>
      <c r="D1127"/>
      <c r="E1127"/>
      <c r="F1127"/>
      <c r="G1127"/>
      <c r="H1127"/>
    </row>
    <row r="1128" spans="2:8">
      <c r="B1128"/>
      <c r="C1128"/>
      <c r="D1128"/>
      <c r="E1128"/>
      <c r="F1128"/>
      <c r="G1128"/>
      <c r="H1128"/>
    </row>
    <row r="1129" spans="2:8">
      <c r="B1129"/>
      <c r="C1129"/>
      <c r="D1129"/>
      <c r="E1129"/>
      <c r="F1129"/>
      <c r="G1129"/>
      <c r="H1129"/>
    </row>
    <row r="1130" spans="2:8">
      <c r="B1130"/>
      <c r="C1130"/>
      <c r="D1130"/>
      <c r="E1130"/>
      <c r="F1130"/>
      <c r="G1130"/>
      <c r="H1130"/>
    </row>
    <row r="1131" spans="2:8">
      <c r="B1131"/>
      <c r="C1131"/>
      <c r="D1131"/>
      <c r="E1131"/>
      <c r="F1131"/>
      <c r="G1131"/>
      <c r="H1131"/>
    </row>
    <row r="1132" spans="2:8">
      <c r="B1132"/>
      <c r="C1132"/>
      <c r="D1132"/>
      <c r="E1132"/>
      <c r="F1132"/>
      <c r="G1132"/>
      <c r="H1132"/>
    </row>
    <row r="1133" spans="2:8">
      <c r="B1133"/>
      <c r="C1133"/>
      <c r="D1133"/>
      <c r="E1133"/>
      <c r="F1133"/>
      <c r="G1133"/>
      <c r="H1133"/>
    </row>
    <row r="1134" spans="2:8">
      <c r="B1134"/>
      <c r="C1134"/>
      <c r="D1134"/>
      <c r="E1134"/>
      <c r="F1134"/>
      <c r="G1134"/>
      <c r="H1134"/>
    </row>
    <row r="1135" spans="2:8">
      <c r="B1135"/>
      <c r="C1135"/>
      <c r="D1135"/>
      <c r="E1135"/>
      <c r="F1135"/>
      <c r="G1135"/>
      <c r="H1135"/>
    </row>
    <row r="1136" spans="2:8">
      <c r="B1136"/>
      <c r="C1136"/>
      <c r="D1136"/>
      <c r="E1136"/>
      <c r="F1136"/>
      <c r="G1136"/>
      <c r="H1136"/>
    </row>
    <row r="1137" spans="2:8">
      <c r="B1137"/>
      <c r="C1137"/>
      <c r="D1137"/>
      <c r="E1137"/>
      <c r="F1137"/>
      <c r="G1137"/>
      <c r="H1137"/>
    </row>
    <row r="1138" spans="2:8">
      <c r="B1138"/>
      <c r="C1138"/>
      <c r="D1138"/>
      <c r="E1138"/>
      <c r="F1138"/>
      <c r="G1138"/>
      <c r="H1138"/>
    </row>
    <row r="1139" spans="2:8">
      <c r="B1139"/>
      <c r="C1139"/>
      <c r="D1139"/>
      <c r="E1139"/>
      <c r="F1139"/>
      <c r="G1139"/>
      <c r="H1139"/>
    </row>
    <row r="1140" spans="2:8">
      <c r="B1140"/>
      <c r="C1140"/>
      <c r="D1140"/>
      <c r="E1140"/>
      <c r="F1140"/>
      <c r="G1140"/>
      <c r="H1140"/>
    </row>
    <row r="1141" spans="2:8">
      <c r="B1141"/>
      <c r="C1141"/>
      <c r="D1141"/>
      <c r="E1141"/>
      <c r="F1141"/>
      <c r="G1141"/>
      <c r="H1141"/>
    </row>
    <row r="1142" spans="2:8">
      <c r="B1142"/>
      <c r="C1142"/>
      <c r="D1142"/>
      <c r="E1142"/>
      <c r="F1142"/>
      <c r="G1142"/>
      <c r="H1142"/>
    </row>
    <row r="1143" spans="2:8">
      <c r="B1143"/>
      <c r="C1143"/>
      <c r="D1143"/>
      <c r="E1143"/>
      <c r="F1143"/>
      <c r="G1143"/>
      <c r="H1143"/>
    </row>
    <row r="1144" spans="2:8">
      <c r="B1144"/>
      <c r="C1144"/>
      <c r="D1144"/>
      <c r="E1144"/>
      <c r="F1144"/>
      <c r="G1144"/>
      <c r="H1144"/>
    </row>
    <row r="1145" spans="2:8">
      <c r="B1145"/>
      <c r="C1145"/>
      <c r="D1145"/>
      <c r="E1145"/>
      <c r="F1145"/>
      <c r="G1145"/>
      <c r="H1145"/>
    </row>
    <row r="1146" spans="2:8">
      <c r="B1146"/>
      <c r="C1146"/>
      <c r="D1146"/>
      <c r="E1146"/>
      <c r="F1146"/>
      <c r="G1146"/>
      <c r="H1146"/>
    </row>
    <row r="1147" spans="2:8">
      <c r="B1147"/>
      <c r="C1147"/>
      <c r="D1147"/>
      <c r="E1147"/>
      <c r="F1147"/>
      <c r="G1147"/>
      <c r="H1147"/>
    </row>
    <row r="1148" spans="2:8">
      <c r="B1148"/>
      <c r="C1148"/>
      <c r="D1148"/>
      <c r="E1148"/>
      <c r="F1148"/>
      <c r="G1148"/>
      <c r="H1148"/>
    </row>
    <row r="1149" spans="2:8">
      <c r="B1149"/>
      <c r="C1149"/>
      <c r="D1149"/>
      <c r="E1149"/>
      <c r="F1149"/>
      <c r="G1149"/>
      <c r="H1149"/>
    </row>
    <row r="1150" spans="2:8">
      <c r="B1150"/>
      <c r="C1150"/>
      <c r="D1150"/>
      <c r="E1150"/>
      <c r="F1150"/>
      <c r="G1150"/>
      <c r="H1150"/>
    </row>
    <row r="1151" spans="2:8">
      <c r="B1151"/>
      <c r="C1151"/>
      <c r="D1151"/>
      <c r="E1151"/>
      <c r="F1151"/>
      <c r="G1151"/>
      <c r="H1151"/>
    </row>
    <row r="1152" spans="2:8">
      <c r="B1152"/>
      <c r="C1152"/>
      <c r="D1152"/>
      <c r="E1152"/>
      <c r="F1152"/>
      <c r="G1152"/>
      <c r="H1152"/>
    </row>
    <row r="1153" spans="2:8">
      <c r="B1153"/>
      <c r="C1153"/>
      <c r="D1153"/>
      <c r="E1153"/>
      <c r="F1153"/>
      <c r="G1153"/>
      <c r="H1153"/>
    </row>
    <row r="1154" spans="2:8">
      <c r="B1154"/>
      <c r="C1154"/>
      <c r="D1154"/>
      <c r="E1154"/>
      <c r="F1154"/>
      <c r="G1154"/>
      <c r="H1154"/>
    </row>
    <row r="1155" spans="2:8">
      <c r="B1155"/>
      <c r="C1155"/>
      <c r="D1155"/>
      <c r="E1155"/>
      <c r="F1155"/>
      <c r="G1155"/>
      <c r="H1155"/>
    </row>
    <row r="1156" spans="2:8">
      <c r="B1156"/>
      <c r="C1156"/>
      <c r="D1156"/>
      <c r="E1156"/>
      <c r="F1156"/>
      <c r="G1156"/>
      <c r="H1156"/>
    </row>
    <row r="1157" spans="2:8">
      <c r="B1157"/>
      <c r="C1157"/>
      <c r="D1157"/>
      <c r="E1157"/>
      <c r="F1157"/>
      <c r="G1157"/>
      <c r="H1157"/>
    </row>
    <row r="1158" spans="2:8">
      <c r="B1158"/>
      <c r="C1158"/>
      <c r="D1158"/>
      <c r="E1158"/>
      <c r="F1158"/>
      <c r="G1158"/>
      <c r="H1158"/>
    </row>
    <row r="1159" spans="2:8">
      <c r="B1159"/>
      <c r="C1159"/>
      <c r="D1159"/>
      <c r="E1159"/>
      <c r="F1159"/>
      <c r="G1159"/>
      <c r="H1159"/>
    </row>
    <row r="1160" spans="2:8">
      <c r="B1160"/>
      <c r="C1160"/>
      <c r="D1160"/>
      <c r="E1160"/>
      <c r="F1160"/>
      <c r="G1160"/>
      <c r="H1160"/>
    </row>
    <row r="1161" spans="2:8">
      <c r="B1161"/>
      <c r="C1161"/>
      <c r="D1161"/>
      <c r="E1161"/>
      <c r="F1161"/>
      <c r="G1161"/>
      <c r="H1161"/>
    </row>
    <row r="1162" spans="2:8">
      <c r="B1162"/>
      <c r="C1162"/>
      <c r="D1162"/>
      <c r="E1162"/>
      <c r="F1162"/>
      <c r="G1162"/>
      <c r="H1162"/>
    </row>
    <row r="1163" spans="2:8">
      <c r="B1163"/>
      <c r="C1163"/>
      <c r="D1163"/>
      <c r="E1163"/>
      <c r="F1163"/>
      <c r="G1163"/>
      <c r="H1163"/>
    </row>
    <row r="1164" spans="2:8">
      <c r="B1164"/>
      <c r="C1164"/>
      <c r="D1164"/>
      <c r="E1164"/>
      <c r="F1164"/>
      <c r="G1164"/>
      <c r="H1164"/>
    </row>
    <row r="1165" spans="2:8">
      <c r="B1165"/>
      <c r="C1165"/>
      <c r="D1165"/>
      <c r="E1165"/>
      <c r="F1165"/>
      <c r="G1165"/>
      <c r="H1165"/>
    </row>
    <row r="1166" spans="2:8">
      <c r="B1166"/>
      <c r="C1166"/>
      <c r="D1166"/>
      <c r="E1166"/>
      <c r="F1166"/>
      <c r="G1166"/>
      <c r="H1166"/>
    </row>
    <row r="1167" spans="2:8">
      <c r="B1167"/>
      <c r="C1167"/>
      <c r="D1167"/>
      <c r="E1167"/>
      <c r="F1167"/>
      <c r="G1167"/>
      <c r="H1167"/>
    </row>
    <row r="1168" spans="2:8">
      <c r="B1168"/>
      <c r="C1168"/>
      <c r="D1168"/>
      <c r="E1168"/>
      <c r="F1168"/>
      <c r="G1168"/>
      <c r="H1168"/>
    </row>
    <row r="1169" spans="2:8">
      <c r="B1169"/>
      <c r="C1169"/>
      <c r="D1169"/>
      <c r="E1169"/>
      <c r="F1169"/>
      <c r="G1169"/>
      <c r="H1169"/>
    </row>
    <row r="1170" spans="2:8">
      <c r="B1170"/>
      <c r="C1170"/>
      <c r="D1170"/>
      <c r="E1170"/>
      <c r="F1170"/>
      <c r="G1170"/>
      <c r="H1170"/>
    </row>
    <row r="1171" spans="2:8">
      <c r="B1171"/>
      <c r="C1171"/>
      <c r="D1171"/>
      <c r="E1171"/>
      <c r="F1171"/>
      <c r="G1171"/>
      <c r="H1171"/>
    </row>
    <row r="1172" spans="2:8">
      <c r="B1172"/>
      <c r="C1172"/>
      <c r="D1172"/>
      <c r="E1172"/>
      <c r="F1172"/>
      <c r="G1172"/>
      <c r="H1172"/>
    </row>
    <row r="1173" spans="2:8">
      <c r="B1173"/>
      <c r="C1173"/>
      <c r="D1173"/>
      <c r="E1173"/>
      <c r="F1173"/>
      <c r="G1173"/>
      <c r="H1173"/>
    </row>
    <row r="1174" spans="2:8">
      <c r="B1174"/>
      <c r="C1174"/>
      <c r="D1174"/>
      <c r="E1174"/>
      <c r="F1174"/>
      <c r="G1174"/>
      <c r="H1174"/>
    </row>
    <row r="1175" spans="2:8">
      <c r="B1175"/>
      <c r="C1175"/>
      <c r="D1175"/>
      <c r="E1175"/>
      <c r="F1175"/>
      <c r="G1175"/>
      <c r="H1175"/>
    </row>
    <row r="1176" spans="2:8">
      <c r="B1176"/>
      <c r="C1176"/>
      <c r="D1176"/>
      <c r="E1176"/>
      <c r="F1176"/>
      <c r="G1176"/>
      <c r="H1176"/>
    </row>
    <row r="1177" spans="2:8">
      <c r="B1177"/>
      <c r="C1177"/>
      <c r="D1177"/>
      <c r="E1177"/>
      <c r="F1177"/>
      <c r="G1177"/>
      <c r="H1177"/>
    </row>
    <row r="1178" spans="2:8">
      <c r="B1178"/>
      <c r="C1178"/>
      <c r="D1178"/>
      <c r="E1178"/>
      <c r="F1178"/>
      <c r="G1178"/>
      <c r="H1178"/>
    </row>
    <row r="1179" spans="2:8">
      <c r="B1179"/>
      <c r="C1179"/>
      <c r="D1179"/>
      <c r="E1179"/>
      <c r="F1179"/>
      <c r="G1179"/>
      <c r="H1179"/>
    </row>
    <row r="1180" spans="2:8">
      <c r="B1180"/>
      <c r="C1180"/>
      <c r="D1180"/>
      <c r="E1180"/>
      <c r="F1180"/>
      <c r="G1180"/>
      <c r="H1180"/>
    </row>
    <row r="1181" spans="2:8">
      <c r="B1181"/>
      <c r="C1181"/>
      <c r="D1181"/>
      <c r="E1181"/>
      <c r="F1181"/>
      <c r="G1181"/>
      <c r="H1181"/>
    </row>
    <row r="1182" spans="2:8">
      <c r="B1182"/>
      <c r="C1182"/>
      <c r="D1182"/>
      <c r="E1182"/>
      <c r="F1182"/>
      <c r="G1182"/>
      <c r="H1182"/>
    </row>
    <row r="1183" spans="2:8">
      <c r="B1183"/>
      <c r="C1183"/>
      <c r="D1183"/>
      <c r="E1183"/>
      <c r="F1183"/>
      <c r="G1183"/>
      <c r="H1183"/>
    </row>
    <row r="1184" spans="2:8">
      <c r="B1184"/>
      <c r="C1184"/>
      <c r="D1184"/>
      <c r="E1184"/>
      <c r="F1184"/>
      <c r="G1184"/>
      <c r="H1184"/>
    </row>
    <row r="1185" spans="2:8">
      <c r="B1185"/>
      <c r="C1185"/>
      <c r="D1185"/>
      <c r="E1185"/>
      <c r="F1185"/>
      <c r="G1185"/>
      <c r="H1185"/>
    </row>
    <row r="1186" spans="2:8">
      <c r="B1186"/>
      <c r="C1186"/>
      <c r="D1186"/>
      <c r="E1186"/>
      <c r="F1186"/>
      <c r="G1186"/>
      <c r="H1186"/>
    </row>
    <row r="1187" spans="2:8">
      <c r="B1187"/>
      <c r="C1187"/>
      <c r="D1187"/>
      <c r="E1187"/>
      <c r="F1187"/>
      <c r="G1187"/>
      <c r="H1187"/>
    </row>
    <row r="1188" spans="2:8">
      <c r="B1188"/>
      <c r="C1188"/>
      <c r="D1188"/>
      <c r="E1188"/>
      <c r="F1188"/>
      <c r="G1188"/>
      <c r="H1188"/>
    </row>
    <row r="1189" spans="2:8">
      <c r="B1189"/>
      <c r="C1189"/>
      <c r="D1189"/>
      <c r="E1189"/>
      <c r="F1189"/>
      <c r="G1189"/>
      <c r="H1189"/>
    </row>
    <row r="1190" spans="2:8">
      <c r="B1190"/>
      <c r="C1190"/>
      <c r="D1190"/>
      <c r="E1190"/>
      <c r="F1190"/>
      <c r="G1190"/>
      <c r="H1190"/>
    </row>
    <row r="1191" spans="2:8">
      <c r="B1191"/>
      <c r="C1191"/>
      <c r="D1191"/>
      <c r="E1191"/>
      <c r="F1191"/>
      <c r="G1191"/>
      <c r="H1191"/>
    </row>
    <row r="1192" spans="2:8">
      <c r="B1192"/>
      <c r="C1192"/>
      <c r="D1192"/>
      <c r="E1192"/>
      <c r="F1192"/>
      <c r="G1192"/>
      <c r="H1192"/>
    </row>
    <row r="1193" spans="2:8">
      <c r="B1193"/>
      <c r="C1193"/>
      <c r="D1193"/>
      <c r="E1193"/>
      <c r="F1193"/>
      <c r="G1193"/>
      <c r="H1193"/>
    </row>
    <row r="1194" spans="2:8">
      <c r="B1194"/>
      <c r="C1194"/>
      <c r="D1194"/>
      <c r="E1194"/>
      <c r="F1194"/>
      <c r="G1194"/>
      <c r="H1194"/>
    </row>
    <row r="1195" spans="2:8">
      <c r="B1195"/>
      <c r="C1195"/>
      <c r="D1195"/>
      <c r="E1195"/>
      <c r="F1195"/>
      <c r="G1195"/>
      <c r="H1195"/>
    </row>
    <row r="1196" spans="2:8">
      <c r="B1196"/>
      <c r="C1196"/>
      <c r="D1196"/>
      <c r="E1196"/>
      <c r="F1196"/>
      <c r="G1196"/>
      <c r="H1196"/>
    </row>
    <row r="1197" spans="2:8">
      <c r="B1197"/>
      <c r="C1197"/>
      <c r="D1197"/>
      <c r="E1197"/>
      <c r="F1197"/>
      <c r="G1197"/>
      <c r="H1197"/>
    </row>
    <row r="1198" spans="2:8">
      <c r="B1198"/>
      <c r="C1198"/>
      <c r="D1198"/>
      <c r="E1198"/>
      <c r="F1198"/>
      <c r="G1198"/>
      <c r="H1198"/>
    </row>
    <row r="1199" spans="2:8">
      <c r="B1199"/>
      <c r="C1199"/>
      <c r="D1199"/>
      <c r="E1199"/>
      <c r="F1199"/>
      <c r="G1199"/>
      <c r="H1199"/>
    </row>
    <row r="1200" spans="2:8">
      <c r="B1200"/>
      <c r="C1200"/>
      <c r="D1200"/>
      <c r="E1200"/>
      <c r="F1200"/>
      <c r="G1200"/>
      <c r="H1200"/>
    </row>
    <row r="1201" spans="2:8">
      <c r="B1201"/>
      <c r="C1201"/>
      <c r="D1201"/>
      <c r="E1201"/>
      <c r="F1201"/>
      <c r="G1201"/>
      <c r="H1201"/>
    </row>
    <row r="1202" spans="2:8">
      <c r="B1202"/>
      <c r="C1202"/>
      <c r="D1202"/>
      <c r="E1202"/>
      <c r="F1202"/>
      <c r="G1202"/>
      <c r="H1202"/>
    </row>
    <row r="1203" spans="2:8">
      <c r="B1203"/>
      <c r="C1203"/>
      <c r="D1203"/>
      <c r="E1203"/>
      <c r="F1203"/>
      <c r="G1203"/>
      <c r="H1203"/>
    </row>
    <row r="1204" spans="2:8">
      <c r="B1204"/>
      <c r="C1204"/>
      <c r="D1204"/>
      <c r="E1204"/>
      <c r="F1204"/>
      <c r="G1204"/>
      <c r="H1204"/>
    </row>
    <row r="1205" spans="2:8">
      <c r="B1205"/>
      <c r="C1205"/>
      <c r="D1205"/>
      <c r="E1205"/>
      <c r="F1205"/>
      <c r="G1205"/>
      <c r="H1205"/>
    </row>
    <row r="1206" spans="2:8">
      <c r="B1206"/>
      <c r="C1206"/>
      <c r="D1206"/>
      <c r="E1206"/>
      <c r="F1206"/>
      <c r="G1206"/>
      <c r="H1206"/>
    </row>
    <row r="1207" spans="2:8">
      <c r="B1207"/>
      <c r="C1207"/>
      <c r="D1207"/>
      <c r="E1207"/>
      <c r="F1207"/>
      <c r="G1207"/>
      <c r="H1207"/>
    </row>
    <row r="1208" spans="2:8">
      <c r="B1208"/>
      <c r="C1208"/>
      <c r="D1208"/>
      <c r="E1208"/>
      <c r="F1208"/>
      <c r="G1208"/>
      <c r="H1208"/>
    </row>
    <row r="1209" spans="2:8">
      <c r="B1209"/>
      <c r="C1209"/>
      <c r="D1209"/>
      <c r="E1209"/>
      <c r="F1209"/>
      <c r="G1209"/>
      <c r="H1209"/>
    </row>
    <row r="1210" spans="2:8">
      <c r="B1210"/>
      <c r="C1210"/>
      <c r="D1210"/>
      <c r="E1210"/>
      <c r="F1210"/>
      <c r="G1210"/>
      <c r="H1210"/>
    </row>
    <row r="1211" spans="2:8">
      <c r="B1211"/>
      <c r="C1211"/>
      <c r="D1211"/>
      <c r="E1211"/>
      <c r="F1211"/>
      <c r="G1211"/>
      <c r="H1211"/>
    </row>
    <row r="1212" spans="2:8">
      <c r="B1212"/>
      <c r="C1212"/>
      <c r="D1212"/>
      <c r="E1212"/>
      <c r="F1212"/>
      <c r="G1212"/>
      <c r="H1212"/>
    </row>
    <row r="1213" spans="2:8">
      <c r="B1213"/>
      <c r="C1213"/>
      <c r="D1213"/>
      <c r="E1213"/>
      <c r="F1213"/>
      <c r="G1213"/>
      <c r="H1213"/>
    </row>
    <row r="1214" spans="2:8">
      <c r="B1214"/>
      <c r="C1214"/>
      <c r="D1214"/>
      <c r="E1214"/>
      <c r="F1214"/>
      <c r="G1214"/>
      <c r="H1214"/>
    </row>
    <row r="1215" spans="2:8">
      <c r="B1215"/>
      <c r="C1215"/>
      <c r="D1215"/>
      <c r="E1215"/>
      <c r="F1215"/>
      <c r="G1215"/>
      <c r="H1215"/>
    </row>
    <row r="1216" spans="2:8">
      <c r="B1216"/>
      <c r="C1216"/>
      <c r="D1216"/>
      <c r="E1216"/>
      <c r="F1216"/>
      <c r="G1216"/>
      <c r="H1216"/>
    </row>
    <row r="1217" spans="2:8">
      <c r="B1217"/>
      <c r="C1217"/>
      <c r="D1217"/>
      <c r="E1217"/>
      <c r="F1217"/>
      <c r="G1217"/>
      <c r="H1217"/>
    </row>
    <row r="1218" spans="2:8">
      <c r="B1218"/>
      <c r="C1218"/>
      <c r="D1218"/>
      <c r="E1218"/>
      <c r="F1218"/>
      <c r="G1218"/>
      <c r="H1218"/>
    </row>
    <row r="1219" spans="2:8">
      <c r="B1219"/>
      <c r="C1219"/>
      <c r="D1219"/>
      <c r="E1219"/>
      <c r="F1219"/>
      <c r="G1219"/>
      <c r="H1219"/>
    </row>
    <row r="1220" spans="2:8">
      <c r="B1220"/>
      <c r="C1220"/>
      <c r="D1220"/>
      <c r="E1220"/>
      <c r="F1220"/>
      <c r="G1220"/>
      <c r="H1220"/>
    </row>
    <row r="1221" spans="2:8">
      <c r="B1221"/>
      <c r="C1221"/>
      <c r="D1221"/>
      <c r="E1221"/>
      <c r="F1221"/>
      <c r="G1221"/>
      <c r="H1221"/>
    </row>
    <row r="1222" spans="2:8">
      <c r="B1222"/>
      <c r="C1222"/>
      <c r="D1222"/>
      <c r="E1222"/>
      <c r="F1222"/>
      <c r="G1222"/>
      <c r="H1222"/>
    </row>
    <row r="1223" spans="2:8">
      <c r="B1223"/>
      <c r="C1223"/>
      <c r="D1223"/>
      <c r="E1223"/>
      <c r="F1223"/>
      <c r="G1223"/>
      <c r="H1223"/>
    </row>
    <row r="1224" spans="2:8">
      <c r="B1224"/>
      <c r="C1224"/>
      <c r="D1224"/>
      <c r="E1224"/>
      <c r="F1224"/>
      <c r="G1224"/>
      <c r="H1224"/>
    </row>
    <row r="1225" spans="2:8">
      <c r="B1225"/>
      <c r="C1225"/>
      <c r="D1225"/>
      <c r="E1225"/>
      <c r="F1225"/>
      <c r="G1225"/>
      <c r="H1225"/>
    </row>
    <row r="1226" spans="2:8">
      <c r="B1226"/>
      <c r="C1226"/>
      <c r="D1226"/>
      <c r="E1226"/>
      <c r="F1226"/>
      <c r="G1226"/>
      <c r="H1226"/>
    </row>
    <row r="1227" spans="2:8">
      <c r="B1227"/>
      <c r="C1227"/>
      <c r="D1227"/>
      <c r="E1227"/>
      <c r="F1227"/>
      <c r="G1227"/>
      <c r="H1227"/>
    </row>
    <row r="1228" spans="2:8">
      <c r="B1228"/>
      <c r="C1228"/>
      <c r="D1228"/>
      <c r="E1228"/>
      <c r="F1228"/>
      <c r="G1228"/>
      <c r="H1228"/>
    </row>
    <row r="1229" spans="2:8">
      <c r="B1229"/>
      <c r="C1229"/>
      <c r="D1229"/>
      <c r="E1229"/>
      <c r="F1229"/>
      <c r="G1229"/>
      <c r="H1229"/>
    </row>
    <row r="1230" spans="2:8">
      <c r="B1230"/>
      <c r="C1230"/>
      <c r="D1230"/>
      <c r="E1230"/>
      <c r="F1230"/>
      <c r="G1230"/>
      <c r="H1230"/>
    </row>
    <row r="1231" spans="2:8">
      <c r="B1231"/>
      <c r="C1231"/>
      <c r="D1231"/>
      <c r="E1231"/>
      <c r="F1231"/>
      <c r="G1231"/>
      <c r="H1231"/>
    </row>
    <row r="1232" spans="2:8">
      <c r="B1232"/>
      <c r="C1232"/>
      <c r="D1232"/>
      <c r="E1232"/>
      <c r="F1232"/>
      <c r="G1232"/>
      <c r="H1232"/>
    </row>
    <row r="1233" spans="2:8">
      <c r="B1233"/>
      <c r="C1233"/>
      <c r="D1233"/>
      <c r="E1233"/>
      <c r="F1233"/>
      <c r="G1233"/>
      <c r="H1233"/>
    </row>
    <row r="1234" spans="2:8">
      <c r="B1234"/>
      <c r="C1234"/>
      <c r="D1234"/>
      <c r="E1234"/>
      <c r="F1234"/>
      <c r="G1234"/>
      <c r="H1234"/>
    </row>
    <row r="1235" spans="2:8">
      <c r="B1235"/>
      <c r="C1235"/>
      <c r="D1235"/>
      <c r="E1235"/>
      <c r="F1235"/>
      <c r="G1235"/>
      <c r="H1235"/>
    </row>
    <row r="1236" spans="2:8">
      <c r="B1236"/>
      <c r="C1236"/>
      <c r="D1236"/>
      <c r="E1236"/>
      <c r="F1236"/>
      <c r="G1236"/>
      <c r="H1236"/>
    </row>
    <row r="1237" spans="2:8">
      <c r="B1237"/>
      <c r="C1237"/>
      <c r="D1237"/>
      <c r="E1237"/>
      <c r="F1237"/>
      <c r="G1237"/>
      <c r="H1237"/>
    </row>
    <row r="1238" spans="2:8">
      <c r="B1238"/>
      <c r="C1238"/>
      <c r="D1238"/>
      <c r="E1238"/>
      <c r="F1238"/>
      <c r="G1238"/>
      <c r="H1238"/>
    </row>
    <row r="1239" spans="2:8">
      <c r="B1239"/>
      <c r="C1239"/>
      <c r="D1239"/>
      <c r="E1239"/>
      <c r="F1239"/>
      <c r="G1239"/>
      <c r="H1239"/>
    </row>
    <row r="1240" spans="2:8">
      <c r="B1240"/>
      <c r="C1240"/>
      <c r="D1240"/>
      <c r="E1240"/>
      <c r="F1240"/>
      <c r="G1240"/>
      <c r="H1240"/>
    </row>
    <row r="1241" spans="2:8">
      <c r="B1241"/>
      <c r="C1241"/>
      <c r="D1241"/>
      <c r="E1241"/>
      <c r="F1241"/>
      <c r="G1241"/>
      <c r="H1241"/>
    </row>
    <row r="1242" spans="2:8">
      <c r="B1242"/>
      <c r="C1242"/>
      <c r="D1242"/>
      <c r="E1242"/>
      <c r="F1242"/>
      <c r="G1242"/>
      <c r="H1242"/>
    </row>
    <row r="1243" spans="2:8">
      <c r="B1243"/>
      <c r="C1243"/>
      <c r="D1243"/>
      <c r="E1243"/>
      <c r="F1243"/>
      <c r="G1243"/>
      <c r="H1243"/>
    </row>
    <row r="1244" spans="2:8">
      <c r="B1244"/>
      <c r="C1244"/>
      <c r="D1244"/>
      <c r="E1244"/>
      <c r="F1244"/>
      <c r="G1244"/>
      <c r="H1244"/>
    </row>
    <row r="1245" spans="2:8">
      <c r="B1245"/>
      <c r="C1245"/>
      <c r="D1245"/>
      <c r="E1245"/>
      <c r="F1245"/>
      <c r="G1245"/>
      <c r="H1245"/>
    </row>
    <row r="1246" spans="2:8">
      <c r="B1246"/>
      <c r="C1246"/>
      <c r="D1246"/>
      <c r="E1246"/>
      <c r="F1246"/>
      <c r="G1246"/>
      <c r="H1246"/>
    </row>
    <row r="1247" spans="2:8">
      <c r="B1247"/>
      <c r="C1247"/>
      <c r="D1247"/>
      <c r="E1247"/>
      <c r="F1247"/>
      <c r="G1247"/>
      <c r="H1247"/>
    </row>
    <row r="1248" spans="2:8">
      <c r="B1248"/>
      <c r="C1248"/>
      <c r="D1248"/>
      <c r="E1248"/>
      <c r="F1248"/>
      <c r="G1248"/>
      <c r="H1248"/>
    </row>
    <row r="1249" spans="2:8">
      <c r="B1249"/>
      <c r="C1249"/>
      <c r="D1249"/>
      <c r="E1249"/>
      <c r="F1249"/>
      <c r="G1249"/>
      <c r="H1249"/>
    </row>
    <row r="1250" spans="2:8">
      <c r="B1250"/>
      <c r="C1250"/>
      <c r="D1250"/>
      <c r="E1250"/>
      <c r="F1250"/>
      <c r="G1250"/>
      <c r="H1250"/>
    </row>
    <row r="1251" spans="2:8">
      <c r="B1251"/>
      <c r="C1251"/>
      <c r="D1251"/>
      <c r="E1251"/>
      <c r="F1251"/>
      <c r="G1251"/>
      <c r="H1251"/>
    </row>
    <row r="1252" spans="2:8">
      <c r="B1252"/>
      <c r="C1252"/>
      <c r="D1252"/>
      <c r="E1252"/>
      <c r="F1252"/>
      <c r="G1252"/>
      <c r="H1252"/>
    </row>
    <row r="1253" spans="2:8">
      <c r="B1253"/>
      <c r="C1253"/>
      <c r="D1253"/>
      <c r="E1253"/>
      <c r="F1253"/>
      <c r="G1253"/>
      <c r="H1253"/>
    </row>
    <row r="1254" spans="2:8">
      <c r="B1254"/>
      <c r="C1254"/>
      <c r="D1254"/>
      <c r="E1254"/>
      <c r="F1254"/>
      <c r="G1254"/>
      <c r="H1254"/>
    </row>
    <row r="1255" spans="2:8">
      <c r="B1255"/>
      <c r="C1255"/>
      <c r="D1255"/>
      <c r="E1255"/>
      <c r="F1255"/>
      <c r="G1255"/>
      <c r="H1255"/>
    </row>
    <row r="1256" spans="2:8">
      <c r="B1256"/>
      <c r="C1256"/>
      <c r="D1256"/>
      <c r="E1256"/>
      <c r="F1256"/>
      <c r="G1256"/>
      <c r="H1256"/>
    </row>
    <row r="1257" spans="2:8">
      <c r="B1257"/>
      <c r="C1257"/>
      <c r="D1257"/>
      <c r="E1257"/>
      <c r="F1257"/>
      <c r="G1257"/>
      <c r="H1257"/>
    </row>
    <row r="1258" spans="2:8">
      <c r="B1258"/>
      <c r="C1258"/>
      <c r="D1258"/>
      <c r="E1258"/>
      <c r="F1258"/>
      <c r="G1258"/>
      <c r="H1258"/>
    </row>
    <row r="1259" spans="2:8">
      <c r="B1259"/>
      <c r="C1259"/>
      <c r="D1259"/>
      <c r="E1259"/>
      <c r="F1259"/>
      <c r="G1259"/>
      <c r="H1259"/>
    </row>
    <row r="1260" spans="2:8">
      <c r="B1260"/>
      <c r="C1260"/>
      <c r="D1260"/>
      <c r="E1260"/>
      <c r="F1260"/>
      <c r="G1260"/>
      <c r="H1260"/>
    </row>
    <row r="1261" spans="2:8">
      <c r="B1261"/>
      <c r="C1261"/>
      <c r="D1261"/>
      <c r="E1261"/>
      <c r="F1261"/>
      <c r="G1261"/>
      <c r="H1261"/>
    </row>
    <row r="1262" spans="2:8">
      <c r="B1262"/>
      <c r="C1262"/>
      <c r="D1262"/>
      <c r="E1262"/>
      <c r="F1262"/>
      <c r="G1262"/>
      <c r="H1262"/>
    </row>
    <row r="1263" spans="2:8">
      <c r="B1263"/>
      <c r="C1263"/>
      <c r="D1263"/>
      <c r="E1263"/>
      <c r="F1263"/>
      <c r="G1263"/>
      <c r="H1263"/>
    </row>
    <row r="1264" spans="2:8">
      <c r="B1264"/>
      <c r="C1264"/>
      <c r="D1264"/>
      <c r="E1264"/>
      <c r="F1264"/>
      <c r="G1264"/>
      <c r="H1264"/>
    </row>
    <row r="1265" spans="2:8">
      <c r="B1265"/>
      <c r="C1265"/>
      <c r="D1265"/>
      <c r="E1265"/>
      <c r="F1265"/>
      <c r="G1265"/>
      <c r="H1265"/>
    </row>
    <row r="1266" spans="2:8">
      <c r="B1266"/>
      <c r="C1266"/>
      <c r="D1266"/>
      <c r="E1266"/>
      <c r="F1266"/>
      <c r="G1266"/>
      <c r="H1266"/>
    </row>
    <row r="1267" spans="2:8">
      <c r="B1267"/>
      <c r="C1267"/>
      <c r="D1267"/>
      <c r="E1267"/>
      <c r="F1267"/>
      <c r="G1267"/>
      <c r="H1267"/>
    </row>
    <row r="1268" spans="2:8">
      <c r="B1268"/>
      <c r="C1268"/>
      <c r="D1268"/>
      <c r="E1268"/>
      <c r="F1268"/>
      <c r="G1268"/>
      <c r="H1268"/>
    </row>
    <row r="1269" spans="2:8">
      <c r="B1269"/>
      <c r="C1269"/>
      <c r="D1269"/>
      <c r="E1269"/>
      <c r="F1269"/>
      <c r="G1269"/>
      <c r="H1269"/>
    </row>
    <row r="1270" spans="2:8">
      <c r="B1270"/>
      <c r="C1270"/>
      <c r="D1270"/>
      <c r="E1270"/>
      <c r="F1270"/>
      <c r="G1270"/>
      <c r="H1270"/>
    </row>
    <row r="1271" spans="2:8">
      <c r="B1271"/>
      <c r="C1271"/>
      <c r="D1271"/>
      <c r="E1271"/>
      <c r="F1271"/>
      <c r="G1271"/>
      <c r="H1271"/>
    </row>
    <row r="1272" spans="2:8">
      <c r="B1272"/>
      <c r="C1272"/>
      <c r="D1272"/>
      <c r="E1272"/>
      <c r="F1272"/>
      <c r="G1272"/>
      <c r="H1272"/>
    </row>
    <row r="1273" spans="2:8">
      <c r="B1273"/>
      <c r="C1273"/>
      <c r="D1273"/>
      <c r="E1273"/>
      <c r="F1273"/>
      <c r="G1273"/>
      <c r="H1273"/>
    </row>
    <row r="1274" spans="2:8">
      <c r="B1274"/>
      <c r="C1274"/>
      <c r="D1274"/>
      <c r="E1274"/>
      <c r="F1274"/>
      <c r="G1274"/>
      <c r="H1274"/>
    </row>
    <row r="1275" spans="2:8">
      <c r="B1275"/>
      <c r="C1275"/>
      <c r="D1275"/>
      <c r="E1275"/>
      <c r="F1275"/>
      <c r="G1275"/>
      <c r="H1275"/>
    </row>
    <row r="1276" spans="2:8">
      <c r="B1276"/>
      <c r="C1276"/>
      <c r="D1276"/>
      <c r="E1276"/>
      <c r="F1276"/>
      <c r="G1276"/>
      <c r="H1276"/>
    </row>
    <row r="1277" spans="2:8">
      <c r="B1277"/>
      <c r="C1277"/>
      <c r="D1277"/>
      <c r="E1277"/>
      <c r="F1277"/>
      <c r="G1277"/>
      <c r="H1277"/>
    </row>
    <row r="1278" spans="2:8">
      <c r="B1278"/>
      <c r="C1278"/>
      <c r="D1278"/>
      <c r="E1278"/>
      <c r="F1278"/>
      <c r="G1278"/>
      <c r="H1278"/>
    </row>
    <row r="1279" spans="2:8">
      <c r="B1279"/>
      <c r="C1279"/>
      <c r="D1279"/>
      <c r="E1279"/>
      <c r="F1279"/>
      <c r="G1279"/>
      <c r="H1279"/>
    </row>
    <row r="1280" spans="2:8">
      <c r="B1280"/>
      <c r="C1280"/>
      <c r="D1280"/>
      <c r="E1280"/>
      <c r="F1280"/>
      <c r="G1280"/>
      <c r="H1280"/>
    </row>
    <row r="1281" spans="2:8">
      <c r="B1281"/>
      <c r="C1281"/>
      <c r="D1281"/>
      <c r="E1281"/>
      <c r="F1281"/>
      <c r="G1281"/>
      <c r="H1281"/>
    </row>
    <row r="1282" spans="2:8">
      <c r="B1282"/>
      <c r="C1282"/>
      <c r="D1282"/>
      <c r="E1282"/>
      <c r="F1282"/>
      <c r="G1282"/>
      <c r="H1282"/>
    </row>
    <row r="1283" spans="2:8">
      <c r="B1283"/>
      <c r="C1283"/>
      <c r="D1283"/>
      <c r="E1283"/>
      <c r="F1283"/>
      <c r="G1283"/>
      <c r="H1283"/>
    </row>
    <row r="1284" spans="2:8">
      <c r="B1284"/>
      <c r="C1284"/>
      <c r="D1284"/>
      <c r="E1284"/>
      <c r="F1284"/>
      <c r="G1284"/>
      <c r="H1284"/>
    </row>
    <row r="1285" spans="2:8">
      <c r="B1285"/>
      <c r="C1285"/>
      <c r="D1285"/>
      <c r="E1285"/>
      <c r="F1285"/>
      <c r="G1285"/>
      <c r="H1285"/>
    </row>
    <row r="1286" spans="2:8">
      <c r="B1286"/>
      <c r="C1286"/>
      <c r="D1286"/>
      <c r="E1286"/>
      <c r="F1286"/>
      <c r="G1286"/>
      <c r="H1286"/>
    </row>
    <row r="1287" spans="2:8">
      <c r="B1287"/>
      <c r="C1287"/>
      <c r="D1287"/>
      <c r="E1287"/>
      <c r="F1287"/>
      <c r="G1287"/>
      <c r="H1287"/>
    </row>
    <row r="1288" spans="2:8">
      <c r="B1288"/>
      <c r="C1288"/>
      <c r="D1288"/>
      <c r="E1288"/>
      <c r="F1288"/>
      <c r="G1288"/>
      <c r="H1288"/>
    </row>
    <row r="1289" spans="2:8">
      <c r="B1289"/>
      <c r="C1289"/>
      <c r="D1289"/>
      <c r="E1289"/>
      <c r="F1289"/>
      <c r="G1289"/>
      <c r="H1289"/>
    </row>
    <row r="1290" spans="2:8">
      <c r="B1290"/>
      <c r="C1290"/>
      <c r="D1290"/>
      <c r="E1290"/>
      <c r="F1290"/>
      <c r="G1290"/>
      <c r="H1290"/>
    </row>
    <row r="1291" spans="2:8">
      <c r="B1291"/>
      <c r="C1291"/>
      <c r="D1291"/>
      <c r="E1291"/>
      <c r="F1291"/>
      <c r="G1291"/>
      <c r="H1291"/>
    </row>
    <row r="1292" spans="2:8">
      <c r="B1292"/>
      <c r="C1292"/>
      <c r="D1292"/>
      <c r="E1292"/>
      <c r="F1292"/>
      <c r="G1292"/>
      <c r="H1292"/>
    </row>
    <row r="1293" spans="2:8">
      <c r="B1293"/>
      <c r="C1293"/>
      <c r="D1293"/>
      <c r="E1293"/>
      <c r="F1293"/>
      <c r="G1293"/>
      <c r="H1293"/>
    </row>
    <row r="1294" spans="2:8">
      <c r="B1294"/>
      <c r="C1294"/>
      <c r="D1294"/>
      <c r="E1294"/>
      <c r="F1294"/>
      <c r="G1294"/>
      <c r="H1294"/>
    </row>
    <row r="1295" spans="2:8">
      <c r="B1295"/>
      <c r="C1295"/>
      <c r="D1295"/>
      <c r="E1295"/>
      <c r="F1295"/>
      <c r="G1295"/>
      <c r="H1295"/>
    </row>
    <row r="1296" spans="2:8">
      <c r="B1296"/>
      <c r="C1296"/>
      <c r="D1296"/>
      <c r="E1296"/>
      <c r="F1296"/>
      <c r="G1296"/>
      <c r="H1296"/>
    </row>
    <row r="1297" spans="2:8">
      <c r="B1297"/>
      <c r="C1297"/>
      <c r="D1297"/>
      <c r="E1297"/>
      <c r="F1297"/>
      <c r="G1297"/>
      <c r="H1297"/>
    </row>
    <row r="1298" spans="2:8">
      <c r="B1298"/>
      <c r="C1298"/>
      <c r="D1298"/>
      <c r="E1298"/>
      <c r="F1298"/>
      <c r="G1298"/>
      <c r="H1298"/>
    </row>
    <row r="1299" spans="2:8">
      <c r="B1299"/>
      <c r="C1299"/>
      <c r="D1299"/>
      <c r="E1299"/>
      <c r="F1299"/>
      <c r="G1299"/>
      <c r="H1299"/>
    </row>
    <row r="1300" spans="2:8">
      <c r="B1300"/>
      <c r="C1300"/>
      <c r="D1300"/>
      <c r="E1300"/>
      <c r="F1300"/>
      <c r="G1300"/>
      <c r="H1300"/>
    </row>
    <row r="1301" spans="2:8">
      <c r="B1301"/>
      <c r="C1301"/>
      <c r="D1301"/>
      <c r="E1301"/>
      <c r="F1301"/>
      <c r="G1301"/>
      <c r="H1301"/>
    </row>
    <row r="1302" spans="2:8">
      <c r="B1302"/>
      <c r="C1302"/>
      <c r="D1302"/>
      <c r="E1302"/>
      <c r="F1302"/>
      <c r="G1302"/>
      <c r="H1302"/>
    </row>
    <row r="1303" spans="2:8">
      <c r="B1303"/>
      <c r="C1303"/>
      <c r="D1303"/>
      <c r="E1303"/>
      <c r="F1303"/>
      <c r="G1303"/>
      <c r="H1303"/>
    </row>
    <row r="1304" spans="2:8">
      <c r="B1304"/>
      <c r="C1304"/>
      <c r="D1304"/>
      <c r="E1304"/>
      <c r="F1304"/>
      <c r="G1304"/>
      <c r="H1304"/>
    </row>
    <row r="1305" spans="2:8">
      <c r="B1305"/>
      <c r="C1305"/>
      <c r="D1305"/>
      <c r="E1305"/>
      <c r="F1305"/>
      <c r="G1305"/>
      <c r="H1305"/>
    </row>
    <row r="1306" spans="2:8">
      <c r="B1306"/>
      <c r="C1306"/>
      <c r="D1306"/>
      <c r="E1306"/>
      <c r="F1306"/>
      <c r="G1306"/>
      <c r="H1306"/>
    </row>
    <row r="1307" spans="2:8">
      <c r="B1307"/>
      <c r="C1307"/>
      <c r="D1307"/>
      <c r="E1307"/>
      <c r="F1307"/>
      <c r="G1307"/>
      <c r="H1307"/>
    </row>
    <row r="1308" spans="2:8">
      <c r="B1308"/>
      <c r="C1308"/>
      <c r="D1308"/>
      <c r="E1308"/>
      <c r="F1308"/>
      <c r="G1308"/>
      <c r="H1308"/>
    </row>
    <row r="1309" spans="2:8">
      <c r="B1309"/>
      <c r="C1309"/>
      <c r="D1309"/>
      <c r="E1309"/>
      <c r="F1309"/>
      <c r="G1309"/>
      <c r="H1309"/>
    </row>
    <row r="1310" spans="2:8">
      <c r="B1310"/>
      <c r="C1310"/>
      <c r="D1310"/>
      <c r="E1310"/>
      <c r="F1310"/>
      <c r="G1310"/>
      <c r="H1310"/>
    </row>
    <row r="1311" spans="2:8">
      <c r="B1311"/>
      <c r="C1311"/>
      <c r="D1311"/>
      <c r="E1311"/>
      <c r="F1311"/>
      <c r="G1311"/>
      <c r="H1311"/>
    </row>
    <row r="1312" spans="2:8">
      <c r="B1312"/>
      <c r="C1312"/>
      <c r="D1312"/>
      <c r="E1312"/>
      <c r="F1312"/>
      <c r="G1312"/>
      <c r="H1312"/>
    </row>
    <row r="1313" spans="2:8">
      <c r="B1313"/>
      <c r="C1313"/>
      <c r="D1313"/>
      <c r="E1313"/>
      <c r="F1313"/>
      <c r="G1313"/>
      <c r="H1313"/>
    </row>
    <row r="1314" spans="2:8">
      <c r="B1314"/>
      <c r="C1314"/>
      <c r="D1314"/>
      <c r="E1314"/>
      <c r="F1314"/>
      <c r="G1314"/>
      <c r="H1314"/>
    </row>
    <row r="1315" spans="2:8">
      <c r="B1315"/>
      <c r="C1315"/>
      <c r="D1315"/>
      <c r="E1315"/>
      <c r="F1315"/>
      <c r="G1315"/>
      <c r="H1315"/>
    </row>
    <row r="1316" spans="2:8">
      <c r="B1316"/>
      <c r="C1316"/>
      <c r="D1316"/>
      <c r="E1316"/>
      <c r="F1316"/>
      <c r="G1316"/>
      <c r="H1316"/>
    </row>
    <row r="1317" spans="2:8">
      <c r="B1317"/>
      <c r="C1317"/>
      <c r="D1317"/>
      <c r="E1317"/>
      <c r="F1317"/>
      <c r="G1317"/>
      <c r="H1317"/>
    </row>
    <row r="1318" spans="2:8">
      <c r="B1318"/>
      <c r="C1318"/>
      <c r="D1318"/>
      <c r="E1318"/>
      <c r="F1318"/>
      <c r="G1318"/>
      <c r="H1318"/>
    </row>
    <row r="1319" spans="2:8">
      <c r="B1319"/>
      <c r="C1319"/>
      <c r="D1319"/>
      <c r="E1319"/>
      <c r="F1319"/>
      <c r="G1319"/>
      <c r="H1319"/>
    </row>
    <row r="1320" spans="2:8">
      <c r="B1320"/>
      <c r="C1320"/>
      <c r="D1320"/>
      <c r="E1320"/>
      <c r="F1320"/>
      <c r="G1320"/>
      <c r="H1320"/>
    </row>
    <row r="1321" spans="2:8">
      <c r="B1321"/>
      <c r="C1321"/>
      <c r="D1321"/>
      <c r="E1321"/>
      <c r="F1321"/>
      <c r="G1321"/>
      <c r="H1321"/>
    </row>
    <row r="1322" spans="2:8">
      <c r="B1322"/>
      <c r="C1322"/>
      <c r="D1322"/>
      <c r="E1322"/>
      <c r="F1322"/>
      <c r="G1322"/>
      <c r="H1322"/>
    </row>
    <row r="1323" spans="2:8">
      <c r="B1323"/>
      <c r="C1323"/>
      <c r="D1323"/>
      <c r="E1323"/>
      <c r="F1323"/>
      <c r="G1323"/>
      <c r="H1323"/>
    </row>
    <row r="1324" spans="2:8">
      <c r="B1324"/>
      <c r="C1324"/>
      <c r="D1324"/>
      <c r="E1324"/>
      <c r="F1324"/>
      <c r="G1324"/>
      <c r="H1324"/>
    </row>
    <row r="1325" spans="2:8">
      <c r="B1325"/>
      <c r="C1325"/>
      <c r="D1325"/>
      <c r="E1325"/>
      <c r="F1325"/>
      <c r="G1325"/>
      <c r="H1325"/>
    </row>
    <row r="1326" spans="2:8">
      <c r="B1326"/>
      <c r="C1326"/>
      <c r="D1326"/>
      <c r="E1326"/>
      <c r="F1326"/>
      <c r="G1326"/>
      <c r="H1326"/>
    </row>
    <row r="1327" spans="2:8">
      <c r="B1327"/>
      <c r="C1327"/>
      <c r="D1327"/>
      <c r="E1327"/>
      <c r="F1327"/>
      <c r="G1327"/>
      <c r="H1327"/>
    </row>
    <row r="1328" spans="2:8">
      <c r="B1328"/>
      <c r="C1328"/>
      <c r="D1328"/>
      <c r="E1328"/>
      <c r="F1328"/>
      <c r="G1328"/>
      <c r="H1328"/>
    </row>
    <row r="1329" spans="2:8">
      <c r="B1329"/>
      <c r="C1329"/>
      <c r="D1329"/>
      <c r="E1329"/>
      <c r="F1329"/>
      <c r="G1329"/>
      <c r="H1329"/>
    </row>
    <row r="1330" spans="2:8">
      <c r="B1330"/>
      <c r="C1330"/>
      <c r="D1330"/>
      <c r="E1330"/>
      <c r="F1330"/>
      <c r="G1330"/>
      <c r="H1330"/>
    </row>
    <row r="1331" spans="2:8">
      <c r="B1331"/>
      <c r="C1331"/>
      <c r="D1331"/>
      <c r="E1331"/>
      <c r="F1331"/>
      <c r="G1331"/>
      <c r="H1331"/>
    </row>
    <row r="1332" spans="2:8">
      <c r="B1332"/>
      <c r="C1332"/>
      <c r="D1332"/>
      <c r="E1332"/>
      <c r="F1332"/>
      <c r="G1332"/>
      <c r="H1332"/>
    </row>
    <row r="1333" spans="2:8">
      <c r="B1333"/>
      <c r="C1333"/>
      <c r="D1333"/>
      <c r="E1333"/>
      <c r="F1333"/>
      <c r="G1333"/>
      <c r="H1333"/>
    </row>
    <row r="1334" spans="2:8">
      <c r="B1334"/>
      <c r="C1334"/>
      <c r="D1334"/>
      <c r="E1334"/>
      <c r="F1334"/>
      <c r="G1334"/>
      <c r="H1334"/>
    </row>
    <row r="1335" spans="2:8">
      <c r="B1335"/>
      <c r="C1335"/>
      <c r="D1335"/>
      <c r="E1335"/>
      <c r="F1335"/>
      <c r="G1335"/>
      <c r="H1335"/>
    </row>
    <row r="1336" spans="2:8">
      <c r="B1336"/>
      <c r="C1336"/>
      <c r="D1336"/>
      <c r="E1336"/>
      <c r="F1336"/>
      <c r="G1336"/>
      <c r="H1336"/>
    </row>
    <row r="1337" spans="2:8">
      <c r="B1337"/>
      <c r="C1337"/>
      <c r="D1337"/>
      <c r="E1337"/>
      <c r="F1337"/>
      <c r="G1337"/>
      <c r="H1337"/>
    </row>
    <row r="1338" spans="2:8">
      <c r="B1338"/>
      <c r="C1338"/>
      <c r="D1338"/>
      <c r="E1338"/>
      <c r="F1338"/>
      <c r="G1338"/>
      <c r="H1338"/>
    </row>
    <row r="1339" spans="2:8">
      <c r="B1339"/>
      <c r="C1339"/>
      <c r="D1339"/>
      <c r="E1339"/>
      <c r="F1339"/>
      <c r="G1339"/>
      <c r="H1339"/>
    </row>
    <row r="1340" spans="2:8">
      <c r="B1340"/>
      <c r="C1340"/>
      <c r="D1340"/>
      <c r="E1340"/>
      <c r="F1340"/>
      <c r="G1340"/>
      <c r="H1340"/>
    </row>
    <row r="1341" spans="2:8">
      <c r="B1341"/>
      <c r="C1341"/>
      <c r="D1341"/>
      <c r="E1341"/>
      <c r="F1341"/>
      <c r="G1341"/>
      <c r="H1341"/>
    </row>
    <row r="1342" spans="2:8">
      <c r="B1342"/>
      <c r="C1342"/>
      <c r="D1342"/>
      <c r="E1342"/>
      <c r="F1342"/>
      <c r="G1342"/>
      <c r="H1342"/>
    </row>
    <row r="1343" spans="2:8">
      <c r="B1343"/>
      <c r="C1343"/>
      <c r="D1343"/>
      <c r="E1343"/>
      <c r="F1343"/>
      <c r="G1343"/>
      <c r="H1343"/>
    </row>
    <row r="1344" spans="2:8">
      <c r="B1344"/>
      <c r="C1344"/>
      <c r="D1344"/>
      <c r="E1344"/>
      <c r="F1344"/>
      <c r="G1344"/>
      <c r="H1344"/>
    </row>
    <row r="1345" spans="2:8">
      <c r="B1345"/>
      <c r="C1345"/>
      <c r="D1345"/>
      <c r="E1345"/>
      <c r="F1345"/>
      <c r="G1345"/>
      <c r="H1345"/>
    </row>
    <row r="1346" spans="2:8">
      <c r="B1346"/>
      <c r="C1346"/>
      <c r="D1346"/>
      <c r="E1346"/>
      <c r="F1346"/>
      <c r="G1346"/>
      <c r="H1346"/>
    </row>
    <row r="1347" spans="2:8">
      <c r="B1347"/>
      <c r="C1347"/>
      <c r="D1347"/>
      <c r="E1347"/>
      <c r="F1347"/>
      <c r="G1347"/>
      <c r="H1347"/>
    </row>
    <row r="1348" spans="2:8">
      <c r="B1348"/>
      <c r="C1348"/>
      <c r="D1348"/>
      <c r="E1348"/>
      <c r="F1348"/>
      <c r="G1348"/>
      <c r="H1348"/>
    </row>
    <row r="1349" spans="2:8">
      <c r="B1349"/>
      <c r="C1349"/>
      <c r="D1349"/>
      <c r="E1349"/>
      <c r="F1349"/>
      <c r="G1349"/>
      <c r="H1349"/>
    </row>
    <row r="1350" spans="2:8">
      <c r="B1350"/>
      <c r="C1350"/>
      <c r="D1350"/>
      <c r="E1350"/>
      <c r="F1350"/>
      <c r="G1350"/>
      <c r="H1350"/>
    </row>
    <row r="1351" spans="2:8">
      <c r="B1351"/>
      <c r="C1351"/>
      <c r="D1351"/>
      <c r="E1351"/>
      <c r="F1351"/>
      <c r="G1351"/>
      <c r="H1351"/>
    </row>
    <row r="1352" spans="2:8">
      <c r="B1352"/>
      <c r="C1352"/>
      <c r="D1352"/>
      <c r="E1352"/>
      <c r="F1352"/>
      <c r="G1352"/>
      <c r="H1352"/>
    </row>
    <row r="1353" spans="2:8">
      <c r="B1353"/>
      <c r="C1353"/>
      <c r="D1353"/>
      <c r="E1353"/>
      <c r="F1353"/>
      <c r="G1353"/>
      <c r="H1353"/>
    </row>
    <row r="1354" spans="2:8">
      <c r="B1354"/>
      <c r="C1354"/>
      <c r="D1354"/>
      <c r="E1354"/>
      <c r="F1354"/>
      <c r="G1354"/>
      <c r="H1354"/>
    </row>
    <row r="1355" spans="2:8">
      <c r="B1355"/>
      <c r="C1355"/>
      <c r="D1355"/>
      <c r="E1355"/>
      <c r="F1355"/>
      <c r="G1355"/>
      <c r="H1355"/>
    </row>
    <row r="1356" spans="2:8">
      <c r="B1356"/>
      <c r="C1356"/>
      <c r="D1356"/>
      <c r="E1356"/>
      <c r="F1356"/>
      <c r="G1356"/>
      <c r="H1356"/>
    </row>
    <row r="1357" spans="2:8">
      <c r="B1357"/>
      <c r="C1357"/>
      <c r="D1357"/>
      <c r="E1357"/>
      <c r="F1357"/>
      <c r="G1357"/>
      <c r="H1357"/>
    </row>
    <row r="1358" spans="2:8">
      <c r="B1358"/>
      <c r="C1358"/>
      <c r="D1358"/>
      <c r="E1358"/>
      <c r="F1358"/>
      <c r="G1358"/>
      <c r="H1358"/>
    </row>
    <row r="1359" spans="2:8">
      <c r="B1359"/>
      <c r="C1359"/>
      <c r="D1359"/>
      <c r="E1359"/>
      <c r="F1359"/>
      <c r="G1359"/>
      <c r="H1359"/>
    </row>
    <row r="1360" spans="2:8">
      <c r="B1360"/>
      <c r="C1360"/>
      <c r="D1360"/>
      <c r="E1360"/>
      <c r="F1360"/>
      <c r="G1360"/>
      <c r="H1360"/>
    </row>
    <row r="1361" spans="2:8">
      <c r="B1361"/>
      <c r="C1361"/>
      <c r="D1361"/>
      <c r="E1361"/>
      <c r="F1361"/>
      <c r="G1361"/>
      <c r="H1361"/>
    </row>
    <row r="1362" spans="2:8">
      <c r="B1362"/>
      <c r="C1362"/>
      <c r="D1362"/>
      <c r="E1362"/>
      <c r="F1362"/>
      <c r="G1362"/>
      <c r="H1362"/>
    </row>
    <row r="1363" spans="2:8">
      <c r="B1363"/>
      <c r="C1363"/>
      <c r="D1363"/>
      <c r="E1363"/>
      <c r="F1363"/>
      <c r="G1363"/>
      <c r="H1363"/>
    </row>
    <row r="1364" spans="2:8">
      <c r="B1364"/>
      <c r="C1364"/>
      <c r="D1364"/>
      <c r="E1364"/>
      <c r="F1364"/>
      <c r="G1364"/>
      <c r="H1364"/>
    </row>
    <row r="1365" spans="2:8">
      <c r="B1365"/>
      <c r="C1365"/>
      <c r="D1365"/>
      <c r="E1365"/>
      <c r="F1365"/>
      <c r="G1365"/>
      <c r="H1365"/>
    </row>
    <row r="1366" spans="2:8">
      <c r="B1366"/>
      <c r="C1366"/>
      <c r="D1366"/>
      <c r="E1366"/>
      <c r="F1366"/>
      <c r="G1366"/>
      <c r="H1366"/>
    </row>
    <row r="1367" spans="2:8">
      <c r="B1367"/>
      <c r="C1367"/>
      <c r="D1367"/>
      <c r="E1367"/>
      <c r="F1367"/>
      <c r="G1367"/>
      <c r="H1367"/>
    </row>
    <row r="1368" spans="2:8">
      <c r="B1368"/>
      <c r="C1368"/>
      <c r="D1368"/>
      <c r="E1368"/>
      <c r="F1368"/>
      <c r="G1368"/>
      <c r="H1368"/>
    </row>
    <row r="1369" spans="2:8">
      <c r="B1369"/>
      <c r="C1369"/>
      <c r="D1369"/>
      <c r="E1369"/>
      <c r="F1369"/>
      <c r="G1369"/>
      <c r="H1369"/>
    </row>
    <row r="1370" spans="2:8">
      <c r="B1370"/>
      <c r="C1370"/>
      <c r="D1370"/>
      <c r="E1370"/>
      <c r="F1370"/>
      <c r="G1370"/>
      <c r="H1370"/>
    </row>
    <row r="1371" spans="2:8">
      <c r="B1371"/>
      <c r="C1371"/>
      <c r="D1371"/>
      <c r="E1371"/>
      <c r="F1371"/>
      <c r="G1371"/>
      <c r="H1371"/>
    </row>
    <row r="1372" spans="2:8">
      <c r="B1372"/>
      <c r="C1372"/>
      <c r="D1372"/>
      <c r="E1372"/>
      <c r="F1372"/>
      <c r="G1372"/>
      <c r="H1372"/>
    </row>
    <row r="1373" spans="2:8">
      <c r="B1373"/>
      <c r="C1373"/>
      <c r="D1373"/>
      <c r="E1373"/>
      <c r="F1373"/>
      <c r="G1373"/>
      <c r="H1373"/>
    </row>
    <row r="1374" spans="2:8">
      <c r="B1374"/>
      <c r="C1374"/>
      <c r="D1374"/>
      <c r="E1374"/>
      <c r="F1374"/>
      <c r="G1374"/>
      <c r="H1374"/>
    </row>
    <row r="1375" spans="2:8">
      <c r="B1375"/>
      <c r="C1375"/>
      <c r="D1375"/>
      <c r="E1375"/>
      <c r="F1375"/>
      <c r="G1375"/>
      <c r="H1375"/>
    </row>
    <row r="1376" spans="2:8">
      <c r="B1376"/>
      <c r="C1376"/>
      <c r="D1376"/>
      <c r="E1376"/>
      <c r="F1376"/>
      <c r="G1376"/>
      <c r="H1376"/>
    </row>
    <row r="1377" spans="2:8">
      <c r="B1377"/>
      <c r="C1377"/>
      <c r="D1377"/>
      <c r="E1377"/>
      <c r="F1377"/>
      <c r="G1377"/>
      <c r="H1377"/>
    </row>
    <row r="1378" spans="2:8">
      <c r="B1378"/>
      <c r="C1378"/>
      <c r="D1378"/>
      <c r="E1378"/>
      <c r="F1378"/>
      <c r="G1378"/>
      <c r="H1378"/>
    </row>
    <row r="1379" spans="2:8">
      <c r="B1379"/>
      <c r="C1379"/>
      <c r="D1379"/>
      <c r="E1379"/>
      <c r="F1379"/>
      <c r="G1379"/>
      <c r="H1379"/>
    </row>
    <row r="1380" spans="2:8">
      <c r="B1380"/>
      <c r="C1380"/>
      <c r="D1380"/>
      <c r="E1380"/>
      <c r="F1380"/>
      <c r="G1380"/>
      <c r="H1380"/>
    </row>
    <row r="1381" spans="2:8">
      <c r="B1381"/>
      <c r="C1381"/>
      <c r="D1381"/>
      <c r="E1381"/>
      <c r="F1381"/>
      <c r="G1381"/>
      <c r="H1381"/>
    </row>
    <row r="1382" spans="2:8">
      <c r="B1382"/>
      <c r="C1382"/>
      <c r="D1382"/>
      <c r="E1382"/>
      <c r="F1382"/>
      <c r="G1382"/>
      <c r="H1382"/>
    </row>
    <row r="1383" spans="2:8">
      <c r="B1383"/>
      <c r="C1383"/>
      <c r="D1383"/>
      <c r="E1383"/>
      <c r="F1383"/>
      <c r="G1383"/>
      <c r="H1383"/>
    </row>
    <row r="1384" spans="2:8">
      <c r="B1384"/>
      <c r="C1384"/>
      <c r="D1384"/>
      <c r="E1384"/>
      <c r="F1384"/>
      <c r="G1384"/>
      <c r="H1384"/>
    </row>
    <row r="1385" spans="2:8">
      <c r="B1385"/>
      <c r="C1385"/>
      <c r="D1385"/>
      <c r="E1385"/>
      <c r="F1385"/>
      <c r="G1385"/>
      <c r="H1385"/>
    </row>
    <row r="1386" spans="2:8">
      <c r="B1386"/>
      <c r="C1386"/>
      <c r="D1386"/>
      <c r="E1386"/>
      <c r="F1386"/>
      <c r="G1386"/>
      <c r="H1386"/>
    </row>
    <row r="1387" spans="2:8">
      <c r="B1387"/>
      <c r="C1387"/>
      <c r="D1387"/>
      <c r="E1387"/>
      <c r="F1387"/>
      <c r="G1387"/>
      <c r="H1387"/>
    </row>
    <row r="1388" spans="2:8">
      <c r="B1388"/>
      <c r="C1388"/>
      <c r="D1388"/>
      <c r="E1388"/>
      <c r="F1388"/>
      <c r="G1388"/>
      <c r="H1388"/>
    </row>
    <row r="1389" spans="2:8">
      <c r="B1389"/>
      <c r="C1389"/>
      <c r="D1389"/>
      <c r="E1389"/>
      <c r="F1389"/>
      <c r="G1389"/>
      <c r="H1389"/>
    </row>
    <row r="1390" spans="2:8">
      <c r="B1390"/>
      <c r="C1390"/>
      <c r="D1390"/>
      <c r="E1390"/>
      <c r="F1390"/>
      <c r="G1390"/>
      <c r="H1390"/>
    </row>
    <row r="1391" spans="2:8">
      <c r="B1391"/>
      <c r="C1391"/>
      <c r="D1391"/>
      <c r="E1391"/>
      <c r="F1391"/>
      <c r="G1391"/>
      <c r="H1391"/>
    </row>
    <row r="1392" spans="2:8">
      <c r="B1392"/>
      <c r="C1392"/>
      <c r="D1392"/>
      <c r="E1392"/>
      <c r="F1392"/>
      <c r="G1392"/>
      <c r="H1392"/>
    </row>
    <row r="1393" spans="2:11">
      <c r="B1393"/>
      <c r="C1393"/>
      <c r="D1393"/>
      <c r="E1393"/>
      <c r="F1393"/>
      <c r="G1393"/>
      <c r="H1393"/>
    </row>
    <row r="1394" spans="2:11">
      <c r="B1394"/>
      <c r="C1394"/>
      <c r="D1394"/>
      <c r="E1394"/>
      <c r="F1394"/>
      <c r="G1394"/>
      <c r="H1394"/>
    </row>
    <row r="1395" spans="2:11">
      <c r="B1395"/>
      <c r="C1395"/>
      <c r="D1395"/>
      <c r="E1395"/>
      <c r="F1395"/>
      <c r="G1395"/>
      <c r="H1395"/>
    </row>
    <row r="1396" spans="2:11" s="3" customFormat="1">
      <c r="B1396"/>
      <c r="C1396"/>
      <c r="D1396"/>
      <c r="E1396"/>
      <c r="F1396"/>
      <c r="G1396"/>
      <c r="H1396"/>
      <c r="K1396" s="62"/>
    </row>
    <row r="1397" spans="2:11" s="3" customFormat="1">
      <c r="B1397"/>
      <c r="C1397"/>
      <c r="D1397"/>
      <c r="E1397"/>
      <c r="F1397"/>
      <c r="G1397"/>
      <c r="H1397"/>
      <c r="K1397" s="62"/>
    </row>
    <row r="1398" spans="2:11" s="3" customFormat="1">
      <c r="B1398"/>
      <c r="C1398"/>
      <c r="D1398"/>
      <c r="E1398"/>
      <c r="F1398"/>
      <c r="G1398"/>
      <c r="H1398"/>
      <c r="K1398" s="62"/>
    </row>
    <row r="1399" spans="2:11" s="3" customFormat="1">
      <c r="B1399"/>
      <c r="C1399"/>
      <c r="D1399"/>
      <c r="E1399"/>
      <c r="F1399"/>
      <c r="G1399"/>
      <c r="H1399"/>
      <c r="K1399" s="62"/>
    </row>
    <row r="1400" spans="2:11" s="3" customFormat="1">
      <c r="B1400"/>
      <c r="C1400"/>
      <c r="D1400"/>
      <c r="E1400"/>
      <c r="F1400"/>
      <c r="G1400"/>
      <c r="H1400"/>
      <c r="K1400" s="62"/>
    </row>
    <row r="1401" spans="2:11" s="3" customFormat="1">
      <c r="B1401"/>
      <c r="C1401"/>
      <c r="D1401"/>
      <c r="E1401"/>
      <c r="F1401"/>
      <c r="G1401"/>
      <c r="H1401"/>
      <c r="K1401" s="62"/>
    </row>
    <row r="1402" spans="2:11" s="3" customFormat="1">
      <c r="B1402"/>
      <c r="C1402"/>
      <c r="D1402"/>
      <c r="E1402"/>
      <c r="F1402"/>
      <c r="G1402"/>
      <c r="H1402"/>
      <c r="K1402" s="62"/>
    </row>
    <row r="1403" spans="2:11" s="3" customFormat="1">
      <c r="B1403"/>
      <c r="C1403"/>
      <c r="D1403"/>
      <c r="E1403"/>
      <c r="F1403"/>
      <c r="G1403"/>
      <c r="H1403"/>
      <c r="K1403" s="62"/>
    </row>
    <row r="1404" spans="2:11" s="3" customFormat="1">
      <c r="B1404"/>
      <c r="C1404"/>
      <c r="D1404"/>
      <c r="E1404"/>
      <c r="F1404"/>
      <c r="G1404"/>
      <c r="H1404"/>
      <c r="K1404" s="62"/>
    </row>
    <row r="1405" spans="2:11" s="3" customFormat="1">
      <c r="B1405"/>
      <c r="C1405"/>
      <c r="D1405"/>
      <c r="E1405"/>
      <c r="F1405"/>
      <c r="G1405"/>
      <c r="H1405"/>
      <c r="K1405" s="62"/>
    </row>
    <row r="1406" spans="2:11" s="3" customFormat="1">
      <c r="B1406"/>
      <c r="C1406"/>
      <c r="D1406"/>
      <c r="E1406"/>
      <c r="F1406"/>
      <c r="G1406"/>
      <c r="H1406"/>
      <c r="K1406" s="62"/>
    </row>
    <row r="1407" spans="2:11" s="3" customFormat="1">
      <c r="B1407"/>
      <c r="C1407"/>
      <c r="D1407"/>
      <c r="E1407"/>
      <c r="F1407"/>
      <c r="G1407"/>
      <c r="H1407"/>
      <c r="K1407" s="62"/>
    </row>
    <row r="1408" spans="2:11" s="3" customFormat="1">
      <c r="B1408"/>
      <c r="C1408"/>
      <c r="D1408"/>
      <c r="E1408"/>
      <c r="F1408"/>
      <c r="G1408"/>
      <c r="H1408"/>
      <c r="K1408" s="62"/>
    </row>
    <row r="1409" spans="2:11" s="3" customFormat="1">
      <c r="B1409"/>
      <c r="C1409"/>
      <c r="D1409"/>
      <c r="E1409"/>
      <c r="F1409"/>
      <c r="G1409"/>
      <c r="H1409"/>
      <c r="K1409" s="62"/>
    </row>
    <row r="1410" spans="2:11" s="3" customFormat="1">
      <c r="B1410"/>
      <c r="C1410"/>
      <c r="D1410"/>
      <c r="E1410"/>
      <c r="F1410"/>
      <c r="G1410"/>
      <c r="H1410"/>
      <c r="K1410" s="62"/>
    </row>
    <row r="1411" spans="2:11" s="3" customFormat="1">
      <c r="B1411"/>
      <c r="C1411"/>
      <c r="D1411"/>
      <c r="E1411"/>
      <c r="F1411"/>
      <c r="G1411"/>
      <c r="H1411"/>
      <c r="K1411" s="62"/>
    </row>
    <row r="1412" spans="2:11" s="3" customFormat="1">
      <c r="B1412"/>
      <c r="C1412"/>
      <c r="D1412"/>
      <c r="E1412"/>
      <c r="F1412"/>
      <c r="G1412"/>
      <c r="H1412"/>
      <c r="K1412" s="62"/>
    </row>
    <row r="1413" spans="2:11" s="3" customFormat="1">
      <c r="B1413"/>
      <c r="C1413"/>
      <c r="D1413"/>
      <c r="E1413"/>
      <c r="F1413"/>
      <c r="G1413"/>
      <c r="H1413"/>
      <c r="K1413" s="62"/>
    </row>
    <row r="1414" spans="2:11" s="3" customFormat="1">
      <c r="B1414"/>
      <c r="C1414"/>
      <c r="D1414"/>
      <c r="E1414"/>
      <c r="F1414"/>
      <c r="G1414"/>
      <c r="H1414"/>
      <c r="K1414" s="62"/>
    </row>
    <row r="1415" spans="2:11" s="3" customFormat="1">
      <c r="B1415"/>
      <c r="C1415"/>
      <c r="D1415"/>
      <c r="E1415"/>
      <c r="F1415"/>
      <c r="G1415"/>
      <c r="H1415"/>
      <c r="K1415" s="62"/>
    </row>
    <row r="1416" spans="2:11" s="3" customFormat="1">
      <c r="B1416"/>
      <c r="C1416"/>
      <c r="D1416"/>
      <c r="E1416"/>
      <c r="F1416"/>
      <c r="G1416"/>
      <c r="H1416"/>
      <c r="K1416" s="62"/>
    </row>
    <row r="1417" spans="2:11" s="3" customFormat="1">
      <c r="B1417"/>
      <c r="C1417"/>
      <c r="D1417"/>
      <c r="E1417"/>
      <c r="F1417"/>
      <c r="G1417"/>
      <c r="H1417"/>
      <c r="K1417" s="62"/>
    </row>
    <row r="1418" spans="2:11" s="3" customFormat="1">
      <c r="B1418"/>
      <c r="C1418"/>
      <c r="D1418"/>
      <c r="E1418"/>
      <c r="F1418"/>
      <c r="G1418"/>
      <c r="H1418"/>
      <c r="K1418" s="62"/>
    </row>
    <row r="1419" spans="2:11" s="3" customFormat="1">
      <c r="B1419"/>
      <c r="C1419"/>
      <c r="D1419"/>
      <c r="E1419"/>
      <c r="F1419"/>
      <c r="G1419"/>
      <c r="H1419"/>
      <c r="K1419" s="62"/>
    </row>
    <row r="1420" spans="2:11" s="3" customFormat="1">
      <c r="B1420"/>
      <c r="C1420"/>
      <c r="D1420"/>
      <c r="E1420"/>
      <c r="F1420"/>
      <c r="G1420"/>
      <c r="H1420"/>
      <c r="K1420" s="62"/>
    </row>
    <row r="1421" spans="2:11" s="3" customFormat="1">
      <c r="B1421"/>
      <c r="C1421"/>
      <c r="D1421"/>
      <c r="E1421"/>
      <c r="F1421"/>
      <c r="G1421"/>
      <c r="H1421"/>
      <c r="K1421" s="62"/>
    </row>
    <row r="1422" spans="2:11" s="3" customFormat="1">
      <c r="B1422"/>
      <c r="C1422"/>
      <c r="D1422"/>
      <c r="E1422"/>
      <c r="F1422"/>
      <c r="G1422"/>
      <c r="H1422"/>
      <c r="K1422" s="62"/>
    </row>
    <row r="1423" spans="2:11" s="3" customFormat="1">
      <c r="B1423"/>
      <c r="C1423"/>
      <c r="D1423"/>
      <c r="E1423"/>
      <c r="F1423"/>
      <c r="G1423"/>
      <c r="H1423"/>
      <c r="K1423" s="62"/>
    </row>
    <row r="1424" spans="2:11" s="3" customFormat="1">
      <c r="B1424"/>
      <c r="C1424"/>
      <c r="D1424"/>
      <c r="E1424"/>
      <c r="F1424"/>
      <c r="G1424"/>
      <c r="H1424"/>
      <c r="K1424" s="62"/>
    </row>
    <row r="1425" spans="2:11" s="3" customFormat="1">
      <c r="B1425"/>
      <c r="C1425"/>
      <c r="D1425"/>
      <c r="E1425"/>
      <c r="F1425"/>
      <c r="G1425"/>
      <c r="H1425"/>
      <c r="K1425" s="62"/>
    </row>
    <row r="1426" spans="2:11" s="3" customFormat="1">
      <c r="B1426"/>
      <c r="C1426"/>
      <c r="D1426"/>
      <c r="E1426"/>
      <c r="F1426"/>
      <c r="G1426"/>
      <c r="H1426"/>
      <c r="K1426" s="62"/>
    </row>
    <row r="1427" spans="2:11" s="3" customFormat="1">
      <c r="B1427"/>
      <c r="C1427"/>
      <c r="D1427"/>
      <c r="E1427"/>
      <c r="F1427"/>
      <c r="G1427"/>
      <c r="H1427"/>
      <c r="K1427" s="62"/>
    </row>
    <row r="1428" spans="2:11" s="3" customFormat="1">
      <c r="B1428"/>
      <c r="C1428"/>
      <c r="D1428"/>
      <c r="E1428"/>
      <c r="F1428"/>
      <c r="G1428"/>
      <c r="H1428"/>
      <c r="K1428" s="62"/>
    </row>
    <row r="1429" spans="2:11" s="3" customFormat="1">
      <c r="B1429"/>
      <c r="C1429"/>
      <c r="D1429"/>
      <c r="E1429"/>
      <c r="F1429"/>
      <c r="G1429"/>
      <c r="H1429"/>
      <c r="K1429" s="62"/>
    </row>
    <row r="1430" spans="2:11" s="3" customFormat="1">
      <c r="B1430"/>
      <c r="C1430"/>
      <c r="D1430"/>
      <c r="E1430"/>
      <c r="F1430"/>
      <c r="G1430"/>
      <c r="H1430"/>
      <c r="K1430" s="62"/>
    </row>
    <row r="1431" spans="2:11" s="3" customFormat="1">
      <c r="B1431"/>
      <c r="C1431"/>
      <c r="D1431"/>
      <c r="E1431"/>
      <c r="F1431"/>
      <c r="G1431"/>
      <c r="H1431"/>
      <c r="K1431" s="62"/>
    </row>
    <row r="1432" spans="2:11" s="3" customFormat="1">
      <c r="B1432"/>
      <c r="C1432"/>
      <c r="D1432"/>
      <c r="E1432"/>
      <c r="F1432"/>
      <c r="G1432"/>
      <c r="H1432"/>
      <c r="K1432" s="62"/>
    </row>
    <row r="1433" spans="2:11" s="3" customFormat="1">
      <c r="B1433"/>
      <c r="C1433"/>
      <c r="D1433"/>
      <c r="E1433"/>
      <c r="F1433"/>
      <c r="G1433"/>
      <c r="H1433"/>
      <c r="K1433" s="62"/>
    </row>
    <row r="1434" spans="2:11" s="3" customFormat="1">
      <c r="B1434"/>
      <c r="C1434"/>
      <c r="D1434"/>
      <c r="E1434"/>
      <c r="F1434"/>
      <c r="G1434"/>
      <c r="H1434"/>
      <c r="K1434" s="62"/>
    </row>
    <row r="1435" spans="2:11" s="3" customFormat="1">
      <c r="B1435"/>
      <c r="C1435"/>
      <c r="D1435"/>
      <c r="E1435"/>
      <c r="F1435"/>
      <c r="G1435"/>
      <c r="H1435"/>
      <c r="K1435" s="62"/>
    </row>
    <row r="1436" spans="2:11" s="3" customFormat="1">
      <c r="B1436"/>
      <c r="C1436"/>
      <c r="D1436"/>
      <c r="E1436"/>
      <c r="F1436"/>
      <c r="G1436"/>
      <c r="H1436"/>
      <c r="K1436" s="62"/>
    </row>
    <row r="1437" spans="2:11" s="3" customFormat="1">
      <c r="B1437"/>
      <c r="C1437"/>
      <c r="D1437"/>
      <c r="E1437"/>
      <c r="F1437"/>
      <c r="G1437"/>
      <c r="H1437"/>
      <c r="K1437" s="62"/>
    </row>
    <row r="1438" spans="2:11" s="3" customFormat="1">
      <c r="B1438"/>
      <c r="C1438"/>
      <c r="D1438"/>
      <c r="E1438"/>
      <c r="F1438"/>
      <c r="G1438"/>
      <c r="H1438"/>
      <c r="K1438" s="62"/>
    </row>
    <row r="1439" spans="2:11" s="3" customFormat="1">
      <c r="B1439"/>
      <c r="C1439"/>
      <c r="D1439"/>
      <c r="E1439"/>
      <c r="F1439"/>
      <c r="G1439"/>
      <c r="H1439"/>
      <c r="K1439" s="62"/>
    </row>
    <row r="1440" spans="2:11" s="3" customFormat="1">
      <c r="B1440"/>
      <c r="C1440"/>
      <c r="D1440"/>
      <c r="E1440"/>
      <c r="F1440"/>
      <c r="G1440"/>
      <c r="H1440"/>
      <c r="K1440" s="62"/>
    </row>
    <row r="1441" spans="2:11" s="3" customFormat="1">
      <c r="B1441"/>
      <c r="C1441"/>
      <c r="D1441"/>
      <c r="E1441"/>
      <c r="F1441"/>
      <c r="G1441"/>
      <c r="H1441"/>
      <c r="K1441" s="62"/>
    </row>
    <row r="1442" spans="2:11" s="3" customFormat="1">
      <c r="B1442"/>
      <c r="C1442"/>
      <c r="D1442"/>
      <c r="E1442"/>
      <c r="F1442"/>
      <c r="G1442"/>
      <c r="H1442"/>
      <c r="K1442" s="62"/>
    </row>
    <row r="1443" spans="2:11" s="3" customFormat="1">
      <c r="B1443"/>
      <c r="C1443"/>
      <c r="D1443"/>
      <c r="E1443"/>
      <c r="F1443"/>
      <c r="G1443"/>
      <c r="H1443"/>
      <c r="K1443" s="62"/>
    </row>
    <row r="1444" spans="2:11" s="3" customFormat="1">
      <c r="B1444"/>
      <c r="C1444"/>
      <c r="D1444"/>
      <c r="E1444"/>
      <c r="F1444"/>
      <c r="G1444"/>
      <c r="H1444"/>
      <c r="K1444" s="62"/>
    </row>
    <row r="1445" spans="2:11" s="3" customFormat="1">
      <c r="B1445"/>
      <c r="C1445"/>
      <c r="D1445"/>
      <c r="E1445"/>
      <c r="F1445"/>
      <c r="G1445"/>
      <c r="H1445"/>
      <c r="K1445" s="62"/>
    </row>
    <row r="1446" spans="2:11" s="3" customFormat="1">
      <c r="B1446"/>
      <c r="C1446"/>
      <c r="D1446"/>
      <c r="E1446"/>
      <c r="F1446"/>
      <c r="G1446"/>
      <c r="H1446"/>
      <c r="K1446" s="62"/>
    </row>
    <row r="1447" spans="2:11" s="3" customFormat="1">
      <c r="B1447"/>
      <c r="C1447"/>
      <c r="D1447"/>
      <c r="E1447"/>
      <c r="F1447"/>
      <c r="G1447"/>
      <c r="H1447"/>
      <c r="K1447" s="62"/>
    </row>
    <row r="1448" spans="2:11" s="3" customFormat="1">
      <c r="B1448"/>
      <c r="C1448"/>
      <c r="D1448"/>
      <c r="E1448"/>
      <c r="F1448"/>
      <c r="G1448"/>
      <c r="H1448"/>
      <c r="K1448" s="62"/>
    </row>
    <row r="1449" spans="2:11" s="3" customFormat="1">
      <c r="B1449"/>
      <c r="C1449"/>
      <c r="D1449"/>
      <c r="E1449"/>
      <c r="F1449"/>
      <c r="G1449"/>
      <c r="H1449"/>
      <c r="K1449" s="62"/>
    </row>
    <row r="1450" spans="2:11" s="3" customFormat="1">
      <c r="B1450"/>
      <c r="C1450"/>
      <c r="D1450"/>
      <c r="E1450"/>
      <c r="F1450"/>
      <c r="G1450"/>
      <c r="H1450"/>
      <c r="K1450" s="62"/>
    </row>
    <row r="1451" spans="2:11" s="3" customFormat="1">
      <c r="B1451"/>
      <c r="C1451"/>
      <c r="D1451"/>
      <c r="E1451"/>
      <c r="F1451"/>
      <c r="G1451"/>
      <c r="H1451"/>
      <c r="K1451" s="62"/>
    </row>
    <row r="1452" spans="2:11" s="3" customFormat="1">
      <c r="B1452"/>
      <c r="C1452"/>
      <c r="D1452"/>
      <c r="E1452"/>
      <c r="F1452"/>
      <c r="G1452"/>
      <c r="H1452"/>
      <c r="K1452" s="62"/>
    </row>
    <row r="1453" spans="2:11" s="3" customFormat="1">
      <c r="B1453"/>
      <c r="C1453"/>
      <c r="D1453"/>
      <c r="E1453"/>
      <c r="F1453"/>
      <c r="G1453"/>
      <c r="H1453"/>
      <c r="K1453" s="62"/>
    </row>
    <row r="1454" spans="2:11" s="3" customFormat="1">
      <c r="B1454"/>
      <c r="C1454"/>
      <c r="D1454"/>
      <c r="E1454"/>
      <c r="F1454"/>
      <c r="G1454"/>
      <c r="H1454"/>
      <c r="K1454" s="62"/>
    </row>
    <row r="1455" spans="2:11" s="3" customFormat="1">
      <c r="B1455"/>
      <c r="C1455"/>
      <c r="D1455"/>
      <c r="E1455"/>
      <c r="F1455"/>
      <c r="G1455"/>
      <c r="H1455"/>
      <c r="K1455" s="62"/>
    </row>
    <row r="1456" spans="2:11" s="3" customFormat="1">
      <c r="B1456"/>
      <c r="C1456"/>
      <c r="D1456"/>
      <c r="E1456"/>
      <c r="F1456"/>
      <c r="G1456"/>
      <c r="H1456"/>
      <c r="K1456" s="62"/>
    </row>
    <row r="1457" spans="2:11" s="3" customFormat="1">
      <c r="B1457"/>
      <c r="C1457"/>
      <c r="D1457"/>
      <c r="E1457"/>
      <c r="F1457"/>
      <c r="G1457"/>
      <c r="H1457"/>
      <c r="K1457" s="62"/>
    </row>
    <row r="1458" spans="2:11" s="3" customFormat="1">
      <c r="B1458"/>
      <c r="C1458"/>
      <c r="D1458"/>
      <c r="E1458"/>
      <c r="F1458"/>
      <c r="G1458"/>
      <c r="H1458"/>
      <c r="K1458" s="62"/>
    </row>
    <row r="1459" spans="2:11" s="3" customFormat="1">
      <c r="B1459"/>
      <c r="C1459"/>
      <c r="D1459"/>
      <c r="E1459"/>
      <c r="F1459"/>
      <c r="G1459"/>
      <c r="H1459"/>
      <c r="K1459" s="62"/>
    </row>
    <row r="1460" spans="2:11" s="3" customFormat="1">
      <c r="B1460"/>
      <c r="C1460"/>
      <c r="D1460"/>
      <c r="E1460"/>
      <c r="F1460"/>
      <c r="G1460"/>
      <c r="H1460"/>
      <c r="K1460" s="62"/>
    </row>
    <row r="1461" spans="2:11" s="3" customFormat="1">
      <c r="B1461"/>
      <c r="C1461"/>
      <c r="D1461"/>
      <c r="E1461"/>
      <c r="F1461"/>
      <c r="G1461"/>
      <c r="H1461"/>
      <c r="K1461" s="62"/>
    </row>
    <row r="1462" spans="2:11" s="3" customFormat="1">
      <c r="B1462"/>
      <c r="C1462"/>
      <c r="D1462"/>
      <c r="E1462"/>
      <c r="F1462"/>
      <c r="G1462"/>
      <c r="H1462"/>
      <c r="K1462" s="62"/>
    </row>
    <row r="1463" spans="2:11" s="3" customFormat="1">
      <c r="B1463"/>
      <c r="C1463"/>
      <c r="D1463"/>
      <c r="E1463"/>
      <c r="F1463"/>
      <c r="G1463"/>
      <c r="H1463"/>
      <c r="K1463" s="62"/>
    </row>
    <row r="1464" spans="2:11" s="3" customFormat="1">
      <c r="B1464"/>
      <c r="C1464"/>
      <c r="D1464"/>
      <c r="E1464"/>
      <c r="F1464"/>
      <c r="G1464"/>
      <c r="H1464"/>
      <c r="K1464" s="62"/>
    </row>
    <row r="1465" spans="2:11" s="3" customFormat="1">
      <c r="B1465"/>
      <c r="C1465"/>
      <c r="D1465"/>
      <c r="E1465"/>
      <c r="F1465"/>
      <c r="G1465"/>
      <c r="H1465"/>
      <c r="K1465" s="62"/>
    </row>
    <row r="1466" spans="2:11" s="3" customFormat="1">
      <c r="B1466"/>
      <c r="C1466"/>
      <c r="D1466"/>
      <c r="E1466"/>
      <c r="F1466"/>
      <c r="G1466"/>
      <c r="H1466"/>
      <c r="K1466" s="62"/>
    </row>
    <row r="1467" spans="2:11" s="3" customFormat="1">
      <c r="B1467"/>
      <c r="C1467"/>
      <c r="D1467"/>
      <c r="E1467"/>
      <c r="F1467"/>
      <c r="G1467"/>
      <c r="H1467"/>
      <c r="K1467" s="62"/>
    </row>
    <row r="1468" spans="2:11" s="3" customFormat="1">
      <c r="B1468"/>
      <c r="C1468"/>
      <c r="D1468"/>
      <c r="E1468"/>
      <c r="F1468"/>
      <c r="G1468"/>
      <c r="H1468"/>
      <c r="K1468" s="62"/>
    </row>
    <row r="1469" spans="2:11" s="3" customFormat="1">
      <c r="B1469"/>
      <c r="C1469"/>
      <c r="D1469"/>
      <c r="E1469"/>
      <c r="F1469"/>
      <c r="G1469"/>
      <c r="H1469"/>
      <c r="K1469" s="62"/>
    </row>
    <row r="1470" spans="2:11" s="3" customFormat="1">
      <c r="B1470"/>
      <c r="C1470"/>
      <c r="D1470"/>
      <c r="E1470"/>
      <c r="F1470"/>
      <c r="G1470"/>
      <c r="H1470"/>
      <c r="K1470" s="62"/>
    </row>
    <row r="1471" spans="2:11" s="3" customFormat="1">
      <c r="B1471"/>
      <c r="C1471"/>
      <c r="D1471"/>
      <c r="E1471"/>
      <c r="F1471"/>
      <c r="G1471"/>
      <c r="H1471"/>
      <c r="K1471" s="62"/>
    </row>
    <row r="1472" spans="2:11" s="3" customFormat="1">
      <c r="B1472"/>
      <c r="C1472"/>
      <c r="D1472"/>
      <c r="E1472"/>
      <c r="F1472"/>
      <c r="G1472"/>
      <c r="H1472"/>
      <c r="K1472" s="62"/>
    </row>
    <row r="1473" spans="2:11" s="3" customFormat="1">
      <c r="B1473"/>
      <c r="C1473"/>
      <c r="D1473"/>
      <c r="E1473"/>
      <c r="F1473"/>
      <c r="G1473"/>
      <c r="H1473"/>
      <c r="K1473" s="62"/>
    </row>
    <row r="1474" spans="2:11" s="3" customFormat="1">
      <c r="B1474"/>
      <c r="C1474"/>
      <c r="D1474"/>
      <c r="E1474"/>
      <c r="F1474"/>
      <c r="G1474"/>
      <c r="H1474"/>
      <c r="K1474" s="62"/>
    </row>
    <row r="1475" spans="2:11" s="3" customFormat="1">
      <c r="B1475"/>
      <c r="C1475"/>
      <c r="D1475"/>
      <c r="E1475"/>
      <c r="F1475"/>
      <c r="G1475"/>
      <c r="H1475"/>
      <c r="K1475" s="62"/>
    </row>
    <row r="1476" spans="2:11" s="3" customFormat="1">
      <c r="B1476"/>
      <c r="C1476"/>
      <c r="D1476"/>
      <c r="E1476"/>
      <c r="F1476"/>
      <c r="G1476"/>
      <c r="H1476"/>
      <c r="K1476" s="62"/>
    </row>
    <row r="1477" spans="2:11" s="3" customFormat="1">
      <c r="B1477"/>
      <c r="C1477"/>
      <c r="D1477"/>
      <c r="E1477"/>
      <c r="F1477"/>
      <c r="G1477"/>
      <c r="H1477"/>
      <c r="K1477" s="62"/>
    </row>
    <row r="1478" spans="2:11" s="3" customFormat="1">
      <c r="B1478"/>
      <c r="C1478"/>
      <c r="D1478"/>
      <c r="E1478"/>
      <c r="F1478"/>
      <c r="G1478"/>
      <c r="H1478"/>
      <c r="K1478" s="62"/>
    </row>
    <row r="1479" spans="2:11" s="3" customFormat="1">
      <c r="B1479"/>
      <c r="C1479"/>
      <c r="D1479"/>
      <c r="E1479"/>
      <c r="F1479"/>
      <c r="G1479"/>
      <c r="H1479"/>
      <c r="K1479" s="62"/>
    </row>
    <row r="1480" spans="2:11" s="3" customFormat="1">
      <c r="B1480"/>
      <c r="C1480"/>
      <c r="D1480"/>
      <c r="E1480"/>
      <c r="F1480"/>
      <c r="G1480"/>
      <c r="H1480"/>
      <c r="K1480" s="62"/>
    </row>
    <row r="1481" spans="2:11" s="3" customFormat="1">
      <c r="B1481"/>
      <c r="C1481"/>
      <c r="D1481"/>
      <c r="E1481"/>
      <c r="F1481"/>
      <c r="G1481"/>
      <c r="H1481"/>
      <c r="K1481" s="62"/>
    </row>
    <row r="1482" spans="2:11" s="3" customFormat="1">
      <c r="B1482"/>
      <c r="C1482"/>
      <c r="D1482"/>
      <c r="E1482"/>
      <c r="F1482"/>
      <c r="G1482"/>
      <c r="H1482"/>
      <c r="K1482" s="62"/>
    </row>
    <row r="1483" spans="2:11" s="3" customFormat="1">
      <c r="B1483"/>
      <c r="C1483"/>
      <c r="D1483"/>
      <c r="E1483"/>
      <c r="F1483"/>
      <c r="G1483"/>
      <c r="H1483"/>
      <c r="K1483" s="62"/>
    </row>
    <row r="1484" spans="2:11" s="3" customFormat="1">
      <c r="B1484"/>
      <c r="C1484"/>
      <c r="D1484"/>
      <c r="E1484"/>
      <c r="F1484"/>
      <c r="G1484"/>
      <c r="H1484"/>
      <c r="K1484" s="62"/>
    </row>
    <row r="1485" spans="2:11" s="3" customFormat="1">
      <c r="B1485"/>
      <c r="C1485"/>
      <c r="D1485"/>
      <c r="E1485"/>
      <c r="F1485"/>
      <c r="G1485"/>
      <c r="H1485"/>
      <c r="K1485" s="62"/>
    </row>
    <row r="1486" spans="2:11" s="3" customFormat="1">
      <c r="B1486"/>
      <c r="C1486"/>
      <c r="D1486"/>
      <c r="E1486"/>
      <c r="F1486"/>
      <c r="G1486"/>
      <c r="H1486"/>
      <c r="K1486" s="62"/>
    </row>
    <row r="1487" spans="2:11" s="3" customFormat="1">
      <c r="B1487"/>
      <c r="C1487"/>
      <c r="D1487"/>
      <c r="E1487"/>
      <c r="F1487"/>
      <c r="G1487"/>
      <c r="H1487"/>
      <c r="K1487" s="62"/>
    </row>
    <row r="1488" spans="2:11" s="3" customFormat="1">
      <c r="B1488"/>
      <c r="C1488"/>
      <c r="D1488"/>
      <c r="E1488"/>
      <c r="F1488"/>
      <c r="G1488"/>
      <c r="H1488"/>
      <c r="K1488" s="62"/>
    </row>
    <row r="1489" spans="2:11" s="3" customFormat="1">
      <c r="B1489"/>
      <c r="C1489"/>
      <c r="D1489"/>
      <c r="E1489"/>
      <c r="F1489"/>
      <c r="G1489"/>
      <c r="H1489"/>
      <c r="K1489" s="62"/>
    </row>
    <row r="1490" spans="2:11" s="3" customFormat="1">
      <c r="B1490"/>
      <c r="C1490"/>
      <c r="D1490"/>
      <c r="E1490"/>
      <c r="F1490"/>
      <c r="G1490"/>
      <c r="H1490"/>
      <c r="K1490" s="62"/>
    </row>
    <row r="1491" spans="2:11" s="3" customFormat="1">
      <c r="B1491"/>
      <c r="C1491"/>
      <c r="D1491"/>
      <c r="E1491"/>
      <c r="F1491"/>
      <c r="G1491"/>
      <c r="H1491"/>
      <c r="K1491" s="62"/>
    </row>
    <row r="1492" spans="2:11" s="3" customFormat="1">
      <c r="B1492"/>
      <c r="C1492"/>
      <c r="D1492"/>
      <c r="E1492"/>
      <c r="F1492"/>
      <c r="G1492"/>
      <c r="H1492"/>
      <c r="K1492" s="62"/>
    </row>
    <row r="1493" spans="2:11" s="3" customFormat="1">
      <c r="B1493"/>
      <c r="C1493"/>
      <c r="D1493"/>
      <c r="E1493"/>
      <c r="F1493"/>
      <c r="G1493"/>
      <c r="H1493"/>
      <c r="K1493" s="62"/>
    </row>
    <row r="1494" spans="2:11" s="3" customFormat="1">
      <c r="B1494"/>
      <c r="C1494"/>
      <c r="D1494"/>
      <c r="E1494"/>
      <c r="F1494"/>
      <c r="G1494"/>
      <c r="H1494"/>
      <c r="K1494" s="62"/>
    </row>
    <row r="1495" spans="2:11" s="3" customFormat="1">
      <c r="B1495"/>
      <c r="C1495"/>
      <c r="D1495"/>
      <c r="E1495"/>
      <c r="F1495"/>
      <c r="G1495"/>
      <c r="H1495"/>
      <c r="K1495" s="62"/>
    </row>
    <row r="1496" spans="2:11" s="3" customFormat="1">
      <c r="B1496"/>
      <c r="C1496"/>
      <c r="D1496"/>
      <c r="E1496"/>
      <c r="F1496"/>
      <c r="G1496"/>
      <c r="H1496"/>
      <c r="K1496" s="62"/>
    </row>
    <row r="1497" spans="2:11" s="3" customFormat="1">
      <c r="B1497"/>
      <c r="C1497"/>
      <c r="D1497"/>
      <c r="E1497"/>
      <c r="F1497"/>
      <c r="G1497"/>
      <c r="H1497"/>
      <c r="K1497" s="62"/>
    </row>
    <row r="1498" spans="2:11" s="3" customFormat="1">
      <c r="B1498"/>
      <c r="C1498"/>
      <c r="D1498"/>
      <c r="E1498"/>
      <c r="F1498"/>
      <c r="G1498"/>
      <c r="H1498"/>
      <c r="K1498" s="62"/>
    </row>
    <row r="1499" spans="2:11" s="3" customFormat="1">
      <c r="B1499"/>
      <c r="C1499"/>
      <c r="D1499"/>
      <c r="E1499"/>
      <c r="F1499"/>
      <c r="G1499"/>
      <c r="H1499"/>
      <c r="K1499" s="62"/>
    </row>
    <row r="1500" spans="2:11" s="3" customFormat="1">
      <c r="B1500"/>
      <c r="C1500"/>
      <c r="D1500"/>
      <c r="E1500"/>
      <c r="F1500"/>
      <c r="G1500"/>
      <c r="H1500"/>
      <c r="K1500" s="62"/>
    </row>
    <row r="1501" spans="2:11" s="3" customFormat="1">
      <c r="B1501"/>
      <c r="C1501"/>
      <c r="D1501"/>
      <c r="E1501"/>
      <c r="F1501"/>
      <c r="G1501"/>
      <c r="H1501"/>
      <c r="K1501" s="62"/>
    </row>
    <row r="1502" spans="2:11" s="3" customFormat="1">
      <c r="B1502"/>
      <c r="C1502"/>
      <c r="D1502"/>
      <c r="E1502"/>
      <c r="F1502"/>
      <c r="G1502"/>
      <c r="H1502"/>
      <c r="K1502" s="62"/>
    </row>
    <row r="1503" spans="2:11" s="3" customFormat="1">
      <c r="B1503"/>
      <c r="C1503"/>
      <c r="D1503"/>
      <c r="E1503"/>
      <c r="F1503"/>
      <c r="G1503"/>
      <c r="H1503"/>
      <c r="K1503" s="62"/>
    </row>
    <row r="1504" spans="2:11" s="3" customFormat="1">
      <c r="B1504"/>
      <c r="C1504"/>
      <c r="D1504"/>
      <c r="E1504"/>
      <c r="F1504"/>
      <c r="G1504"/>
      <c r="H1504"/>
      <c r="K1504" s="62"/>
    </row>
    <row r="1505" spans="2:11" s="3" customFormat="1">
      <c r="B1505"/>
      <c r="C1505"/>
      <c r="D1505"/>
      <c r="E1505"/>
      <c r="F1505"/>
      <c r="G1505"/>
      <c r="H1505"/>
      <c r="K1505" s="62"/>
    </row>
    <row r="1506" spans="2:11" s="3" customFormat="1">
      <c r="B1506"/>
      <c r="C1506"/>
      <c r="D1506"/>
      <c r="E1506"/>
      <c r="F1506"/>
      <c r="G1506"/>
      <c r="H1506"/>
      <c r="K1506" s="62"/>
    </row>
    <row r="1507" spans="2:11" s="3" customFormat="1">
      <c r="B1507"/>
      <c r="C1507"/>
      <c r="D1507"/>
      <c r="E1507"/>
      <c r="F1507"/>
      <c r="G1507"/>
      <c r="H1507"/>
      <c r="K1507" s="62"/>
    </row>
    <row r="1508" spans="2:11" s="3" customFormat="1">
      <c r="B1508"/>
      <c r="C1508"/>
      <c r="D1508"/>
      <c r="E1508"/>
      <c r="F1508"/>
      <c r="G1508"/>
      <c r="H1508"/>
      <c r="K1508" s="62"/>
    </row>
    <row r="1509" spans="2:11" s="3" customFormat="1">
      <c r="B1509"/>
      <c r="C1509"/>
      <c r="D1509"/>
      <c r="E1509"/>
      <c r="F1509"/>
      <c r="G1509"/>
      <c r="H1509"/>
      <c r="K1509" s="62"/>
    </row>
    <row r="1510" spans="2:11" s="3" customFormat="1">
      <c r="B1510"/>
      <c r="C1510"/>
      <c r="D1510"/>
      <c r="E1510"/>
      <c r="F1510"/>
      <c r="G1510"/>
      <c r="H1510"/>
      <c r="K1510" s="62"/>
    </row>
    <row r="1511" spans="2:11" s="3" customFormat="1">
      <c r="B1511"/>
      <c r="C1511"/>
      <c r="D1511"/>
      <c r="E1511"/>
      <c r="F1511"/>
      <c r="G1511"/>
      <c r="H1511"/>
      <c r="K1511" s="62"/>
    </row>
    <row r="1512" spans="2:11" s="3" customFormat="1">
      <c r="B1512"/>
      <c r="C1512"/>
      <c r="D1512"/>
      <c r="E1512"/>
      <c r="F1512"/>
      <c r="G1512"/>
      <c r="H1512"/>
      <c r="K1512" s="62"/>
    </row>
    <row r="1513" spans="2:11" s="3" customFormat="1">
      <c r="B1513"/>
      <c r="C1513"/>
      <c r="D1513"/>
      <c r="E1513"/>
      <c r="F1513"/>
      <c r="G1513"/>
      <c r="H1513"/>
      <c r="K1513" s="62"/>
    </row>
    <row r="1514" spans="2:11" s="3" customFormat="1">
      <c r="B1514"/>
      <c r="C1514"/>
      <c r="D1514"/>
      <c r="E1514"/>
      <c r="F1514"/>
      <c r="G1514"/>
      <c r="H1514"/>
      <c r="K1514" s="62"/>
    </row>
    <row r="1515" spans="2:11" s="3" customFormat="1">
      <c r="B1515"/>
      <c r="C1515"/>
      <c r="D1515"/>
      <c r="E1515"/>
      <c r="F1515"/>
      <c r="G1515"/>
      <c r="H1515"/>
      <c r="K1515" s="62"/>
    </row>
    <row r="1516" spans="2:11" s="3" customFormat="1">
      <c r="B1516"/>
      <c r="C1516"/>
      <c r="D1516"/>
      <c r="E1516"/>
      <c r="F1516"/>
      <c r="G1516"/>
      <c r="H1516"/>
      <c r="K1516" s="62"/>
    </row>
    <row r="1517" spans="2:11" s="3" customFormat="1">
      <c r="B1517"/>
      <c r="C1517"/>
      <c r="D1517"/>
      <c r="E1517"/>
      <c r="F1517"/>
      <c r="G1517"/>
      <c r="H1517"/>
      <c r="K1517" s="62"/>
    </row>
    <row r="1518" spans="2:11" s="3" customFormat="1">
      <c r="B1518"/>
      <c r="C1518"/>
      <c r="D1518"/>
      <c r="E1518"/>
      <c r="F1518"/>
      <c r="G1518"/>
      <c r="H1518"/>
      <c r="K1518" s="62"/>
    </row>
    <row r="1519" spans="2:11" s="3" customFormat="1">
      <c r="B1519"/>
      <c r="C1519"/>
      <c r="D1519"/>
      <c r="E1519"/>
      <c r="F1519"/>
      <c r="G1519"/>
      <c r="H1519"/>
      <c r="K1519" s="62"/>
    </row>
    <row r="1520" spans="2:11" s="3" customFormat="1">
      <c r="B1520"/>
      <c r="C1520"/>
      <c r="D1520"/>
      <c r="E1520"/>
      <c r="F1520"/>
      <c r="G1520"/>
      <c r="H1520"/>
      <c r="K1520" s="62"/>
    </row>
    <row r="1521" spans="2:11" s="3" customFormat="1">
      <c r="B1521"/>
      <c r="C1521"/>
      <c r="D1521"/>
      <c r="E1521"/>
      <c r="F1521"/>
      <c r="G1521"/>
      <c r="H1521"/>
      <c r="K1521" s="62"/>
    </row>
    <row r="1522" spans="2:11" s="3" customFormat="1">
      <c r="B1522"/>
      <c r="C1522"/>
      <c r="D1522"/>
      <c r="E1522"/>
      <c r="F1522"/>
      <c r="G1522"/>
      <c r="H1522"/>
      <c r="K1522" s="62"/>
    </row>
    <row r="1523" spans="2:11" s="3" customFormat="1">
      <c r="B1523"/>
      <c r="C1523"/>
      <c r="D1523"/>
      <c r="E1523"/>
      <c r="F1523"/>
      <c r="G1523"/>
      <c r="H1523"/>
      <c r="K1523" s="62"/>
    </row>
    <row r="1524" spans="2:11" s="3" customFormat="1">
      <c r="B1524"/>
      <c r="C1524"/>
      <c r="D1524"/>
      <c r="E1524"/>
      <c r="F1524"/>
      <c r="G1524"/>
      <c r="H1524"/>
      <c r="K1524" s="62"/>
    </row>
    <row r="1525" spans="2:11" s="3" customFormat="1">
      <c r="B1525"/>
      <c r="C1525"/>
      <c r="D1525"/>
      <c r="E1525"/>
      <c r="F1525"/>
      <c r="G1525"/>
      <c r="H1525"/>
      <c r="K1525" s="62"/>
    </row>
    <row r="1526" spans="2:11" s="3" customFormat="1">
      <c r="B1526"/>
      <c r="C1526"/>
      <c r="D1526"/>
      <c r="E1526"/>
      <c r="F1526"/>
      <c r="G1526"/>
      <c r="H1526"/>
      <c r="K1526" s="62"/>
    </row>
    <row r="1527" spans="2:11" s="3" customFormat="1">
      <c r="B1527"/>
      <c r="C1527"/>
      <c r="D1527"/>
      <c r="E1527"/>
      <c r="F1527"/>
      <c r="G1527"/>
      <c r="H1527"/>
      <c r="K1527" s="62"/>
    </row>
    <row r="1528" spans="2:11" s="3" customFormat="1">
      <c r="B1528"/>
      <c r="C1528"/>
      <c r="D1528"/>
      <c r="E1528"/>
      <c r="F1528"/>
      <c r="G1528"/>
      <c r="H1528"/>
      <c r="K1528" s="62"/>
    </row>
    <row r="1529" spans="2:11" s="3" customFormat="1">
      <c r="B1529"/>
      <c r="C1529"/>
      <c r="D1529"/>
      <c r="E1529"/>
      <c r="F1529"/>
      <c r="G1529"/>
      <c r="H1529"/>
      <c r="K1529" s="62"/>
    </row>
    <row r="1530" spans="2:11" s="3" customFormat="1">
      <c r="B1530"/>
      <c r="C1530"/>
      <c r="D1530"/>
      <c r="E1530"/>
      <c r="F1530"/>
      <c r="G1530"/>
      <c r="H1530"/>
      <c r="K1530" s="62"/>
    </row>
    <row r="1531" spans="2:11" s="3" customFormat="1">
      <c r="B1531"/>
      <c r="C1531"/>
      <c r="D1531"/>
      <c r="E1531"/>
      <c r="F1531"/>
      <c r="G1531"/>
      <c r="H1531"/>
      <c r="K1531" s="62"/>
    </row>
    <row r="1532" spans="2:11" s="3" customFormat="1">
      <c r="B1532"/>
      <c r="C1532"/>
      <c r="D1532"/>
      <c r="E1532"/>
      <c r="F1532"/>
      <c r="G1532"/>
      <c r="H1532"/>
      <c r="K1532" s="62"/>
    </row>
    <row r="1533" spans="2:11" s="3" customFormat="1">
      <c r="B1533"/>
      <c r="C1533"/>
      <c r="D1533"/>
      <c r="E1533"/>
      <c r="F1533"/>
      <c r="G1533"/>
      <c r="H1533"/>
      <c r="K1533" s="62"/>
    </row>
    <row r="1534" spans="2:11" s="3" customFormat="1">
      <c r="B1534"/>
      <c r="C1534"/>
      <c r="D1534"/>
      <c r="E1534"/>
      <c r="F1534"/>
      <c r="G1534"/>
      <c r="H1534"/>
      <c r="K1534" s="62"/>
    </row>
    <row r="1535" spans="2:11" s="3" customFormat="1">
      <c r="B1535"/>
      <c r="C1535"/>
      <c r="D1535"/>
      <c r="E1535"/>
      <c r="F1535"/>
      <c r="G1535"/>
      <c r="H1535"/>
      <c r="K1535" s="62"/>
    </row>
    <row r="1536" spans="2:11" s="3" customFormat="1">
      <c r="B1536"/>
      <c r="C1536"/>
      <c r="D1536"/>
      <c r="E1536"/>
      <c r="F1536"/>
      <c r="G1536"/>
      <c r="H1536"/>
      <c r="K1536" s="62"/>
    </row>
    <row r="1537" spans="2:11" s="3" customFormat="1">
      <c r="B1537"/>
      <c r="C1537"/>
      <c r="D1537"/>
      <c r="E1537"/>
      <c r="F1537"/>
      <c r="G1537"/>
      <c r="H1537"/>
      <c r="K1537" s="62"/>
    </row>
    <row r="1538" spans="2:11" s="3" customFormat="1">
      <c r="B1538"/>
      <c r="C1538"/>
      <c r="D1538"/>
      <c r="E1538"/>
      <c r="F1538"/>
      <c r="G1538"/>
      <c r="H1538"/>
      <c r="K1538" s="62"/>
    </row>
    <row r="1539" spans="2:11" s="3" customFormat="1">
      <c r="B1539"/>
      <c r="C1539"/>
      <c r="D1539"/>
      <c r="E1539"/>
      <c r="F1539"/>
      <c r="G1539"/>
      <c r="H1539"/>
      <c r="K1539" s="62"/>
    </row>
    <row r="1540" spans="2:11" s="3" customFormat="1">
      <c r="B1540"/>
      <c r="C1540"/>
      <c r="D1540"/>
      <c r="E1540"/>
      <c r="F1540"/>
      <c r="G1540"/>
      <c r="H1540"/>
      <c r="K1540" s="62"/>
    </row>
    <row r="1541" spans="2:11" s="3" customFormat="1">
      <c r="B1541"/>
      <c r="C1541"/>
      <c r="D1541"/>
      <c r="E1541"/>
      <c r="F1541"/>
      <c r="G1541"/>
      <c r="H1541"/>
      <c r="K1541" s="62"/>
    </row>
    <row r="1542" spans="2:11" s="3" customFormat="1">
      <c r="B1542"/>
      <c r="C1542"/>
      <c r="D1542"/>
      <c r="E1542"/>
      <c r="F1542"/>
      <c r="G1542"/>
      <c r="H1542"/>
      <c r="K1542" s="62"/>
    </row>
    <row r="1543" spans="2:11" s="3" customFormat="1">
      <c r="B1543"/>
      <c r="C1543"/>
      <c r="D1543"/>
      <c r="E1543"/>
      <c r="F1543"/>
      <c r="G1543"/>
      <c r="H1543"/>
      <c r="K1543" s="62"/>
    </row>
    <row r="1544" spans="2:11" s="3" customFormat="1">
      <c r="B1544"/>
      <c r="C1544"/>
      <c r="D1544"/>
      <c r="E1544"/>
      <c r="F1544"/>
      <c r="G1544"/>
      <c r="H1544"/>
      <c r="K1544" s="62"/>
    </row>
    <row r="1545" spans="2:11" s="3" customFormat="1">
      <c r="B1545"/>
      <c r="C1545"/>
      <c r="D1545"/>
      <c r="E1545"/>
      <c r="F1545"/>
      <c r="G1545"/>
      <c r="H1545"/>
      <c r="K1545" s="62"/>
    </row>
    <row r="1546" spans="2:11" s="3" customFormat="1">
      <c r="B1546"/>
      <c r="C1546"/>
      <c r="D1546"/>
      <c r="E1546"/>
      <c r="F1546"/>
      <c r="G1546"/>
      <c r="H1546"/>
      <c r="K1546" s="62"/>
    </row>
    <row r="1547" spans="2:11" s="3" customFormat="1">
      <c r="B1547"/>
      <c r="C1547"/>
      <c r="D1547"/>
      <c r="E1547"/>
      <c r="F1547"/>
      <c r="G1547"/>
      <c r="H1547"/>
      <c r="K1547" s="62"/>
    </row>
    <row r="1548" spans="2:11" s="3" customFormat="1">
      <c r="B1548"/>
      <c r="C1548"/>
      <c r="D1548"/>
      <c r="E1548"/>
      <c r="F1548"/>
      <c r="G1548"/>
      <c r="H1548"/>
      <c r="K1548" s="62"/>
    </row>
    <row r="1549" spans="2:11" s="3" customFormat="1">
      <c r="B1549"/>
      <c r="C1549"/>
      <c r="D1549"/>
      <c r="E1549"/>
      <c r="F1549"/>
      <c r="G1549"/>
      <c r="H1549"/>
      <c r="K1549" s="62"/>
    </row>
    <row r="1550" spans="2:11" s="3" customFormat="1">
      <c r="B1550"/>
      <c r="C1550"/>
      <c r="D1550"/>
      <c r="E1550"/>
      <c r="F1550"/>
      <c r="G1550"/>
      <c r="H1550"/>
      <c r="K1550" s="62"/>
    </row>
    <row r="1551" spans="2:11" s="3" customFormat="1">
      <c r="B1551"/>
      <c r="C1551"/>
      <c r="D1551"/>
      <c r="E1551"/>
      <c r="F1551"/>
      <c r="G1551"/>
      <c r="H1551"/>
      <c r="K1551" s="62"/>
    </row>
    <row r="1552" spans="2:11" s="3" customFormat="1">
      <c r="B1552"/>
      <c r="C1552"/>
      <c r="D1552"/>
      <c r="E1552"/>
      <c r="F1552"/>
      <c r="G1552"/>
      <c r="H1552"/>
      <c r="K1552" s="62"/>
    </row>
    <row r="1553" spans="2:11" s="3" customFormat="1">
      <c r="B1553"/>
      <c r="C1553"/>
      <c r="D1553"/>
      <c r="E1553"/>
      <c r="F1553"/>
      <c r="G1553"/>
      <c r="H1553"/>
      <c r="K1553" s="62"/>
    </row>
    <row r="1554" spans="2:11" s="3" customFormat="1">
      <c r="B1554"/>
      <c r="C1554"/>
      <c r="D1554"/>
      <c r="E1554"/>
      <c r="F1554"/>
      <c r="G1554"/>
      <c r="H1554"/>
      <c r="K1554" s="62"/>
    </row>
    <row r="1555" spans="2:11" s="3" customFormat="1">
      <c r="B1555"/>
      <c r="C1555"/>
      <c r="D1555"/>
      <c r="E1555"/>
      <c r="F1555"/>
      <c r="G1555"/>
      <c r="H1555"/>
      <c r="K1555" s="62"/>
    </row>
    <row r="1556" spans="2:11" s="3" customFormat="1">
      <c r="B1556"/>
      <c r="C1556"/>
      <c r="D1556"/>
      <c r="E1556"/>
      <c r="F1556"/>
      <c r="G1556"/>
      <c r="H1556"/>
      <c r="K1556" s="62"/>
    </row>
    <row r="1557" spans="2:11" s="3" customFormat="1">
      <c r="B1557"/>
      <c r="C1557"/>
      <c r="D1557"/>
      <c r="E1557"/>
      <c r="F1557"/>
      <c r="G1557"/>
      <c r="H1557"/>
      <c r="K1557" s="62"/>
    </row>
    <row r="1558" spans="2:11" s="3" customFormat="1">
      <c r="B1558"/>
      <c r="C1558"/>
      <c r="D1558"/>
      <c r="E1558"/>
      <c r="F1558"/>
      <c r="G1558"/>
      <c r="H1558"/>
      <c r="K1558" s="62"/>
    </row>
    <row r="1559" spans="2:11" s="3" customFormat="1">
      <c r="B1559"/>
      <c r="C1559"/>
      <c r="D1559"/>
      <c r="E1559"/>
      <c r="F1559"/>
      <c r="G1559"/>
      <c r="H1559"/>
      <c r="K1559" s="62"/>
    </row>
    <row r="1560" spans="2:11" s="3" customFormat="1">
      <c r="B1560"/>
      <c r="C1560"/>
      <c r="D1560"/>
      <c r="E1560"/>
      <c r="F1560"/>
      <c r="G1560"/>
      <c r="H1560"/>
      <c r="K1560" s="62"/>
    </row>
    <row r="1561" spans="2:11" s="3" customFormat="1">
      <c r="B1561"/>
      <c r="C1561"/>
      <c r="D1561"/>
      <c r="E1561"/>
      <c r="F1561"/>
      <c r="G1561"/>
      <c r="H1561"/>
      <c r="K1561" s="62"/>
    </row>
    <row r="1562" spans="2:11" s="3" customFormat="1">
      <c r="B1562"/>
      <c r="C1562"/>
      <c r="D1562"/>
      <c r="E1562"/>
      <c r="F1562"/>
      <c r="G1562"/>
      <c r="H1562"/>
      <c r="K1562" s="62"/>
    </row>
    <row r="1563" spans="2:11" s="3" customFormat="1">
      <c r="B1563"/>
      <c r="C1563"/>
      <c r="D1563"/>
      <c r="E1563"/>
      <c r="F1563"/>
      <c r="G1563"/>
      <c r="H1563"/>
      <c r="K1563" s="62"/>
    </row>
    <row r="1564" spans="2:11" s="3" customFormat="1">
      <c r="B1564"/>
      <c r="C1564"/>
      <c r="D1564"/>
      <c r="E1564"/>
      <c r="F1564"/>
      <c r="G1564"/>
      <c r="H1564"/>
      <c r="K1564" s="62"/>
    </row>
    <row r="1565" spans="2:11" s="3" customFormat="1">
      <c r="B1565"/>
      <c r="C1565"/>
      <c r="D1565"/>
      <c r="E1565"/>
      <c r="F1565"/>
      <c r="G1565"/>
      <c r="H1565"/>
      <c r="K1565" s="62"/>
    </row>
    <row r="1566" spans="2:11" s="3" customFormat="1">
      <c r="B1566"/>
      <c r="C1566"/>
      <c r="D1566"/>
      <c r="E1566"/>
      <c r="F1566"/>
      <c r="G1566"/>
      <c r="H1566"/>
      <c r="K1566" s="62"/>
    </row>
    <row r="1567" spans="2:11" s="3" customFormat="1">
      <c r="B1567"/>
      <c r="C1567"/>
      <c r="D1567"/>
      <c r="E1567"/>
      <c r="F1567"/>
      <c r="G1567"/>
      <c r="H1567"/>
      <c r="K1567" s="62"/>
    </row>
    <row r="1568" spans="2:11" s="3" customFormat="1">
      <c r="B1568"/>
      <c r="C1568"/>
      <c r="D1568"/>
      <c r="E1568"/>
      <c r="F1568"/>
      <c r="G1568"/>
      <c r="H1568"/>
      <c r="K1568" s="62"/>
    </row>
    <row r="1569" spans="2:11" s="3" customFormat="1">
      <c r="B1569"/>
      <c r="C1569"/>
      <c r="D1569"/>
      <c r="E1569"/>
      <c r="F1569"/>
      <c r="G1569"/>
      <c r="H1569"/>
      <c r="K1569" s="62"/>
    </row>
    <row r="1570" spans="2:11" s="3" customFormat="1">
      <c r="B1570"/>
      <c r="C1570"/>
      <c r="D1570"/>
      <c r="E1570"/>
      <c r="F1570"/>
      <c r="G1570"/>
      <c r="H1570"/>
      <c r="K1570" s="62"/>
    </row>
    <row r="1571" spans="2:11" s="3" customFormat="1">
      <c r="B1571"/>
      <c r="C1571"/>
      <c r="D1571"/>
      <c r="E1571"/>
      <c r="F1571"/>
      <c r="G1571"/>
      <c r="H1571"/>
      <c r="K1571" s="62"/>
    </row>
    <row r="1572" spans="2:11" s="3" customFormat="1">
      <c r="B1572"/>
      <c r="C1572"/>
      <c r="D1572"/>
      <c r="E1572"/>
      <c r="F1572"/>
      <c r="G1572"/>
      <c r="H1572"/>
      <c r="K1572" s="62"/>
    </row>
    <row r="1573" spans="2:11" s="3" customFormat="1">
      <c r="B1573"/>
      <c r="C1573"/>
      <c r="D1573"/>
      <c r="E1573"/>
      <c r="F1573"/>
      <c r="G1573"/>
      <c r="H1573"/>
      <c r="K1573" s="62"/>
    </row>
    <row r="1574" spans="2:11" s="3" customFormat="1">
      <c r="B1574"/>
      <c r="C1574"/>
      <c r="D1574"/>
      <c r="E1574"/>
      <c r="F1574"/>
      <c r="G1574"/>
      <c r="H1574"/>
      <c r="K1574" s="62"/>
    </row>
    <row r="1575" spans="2:11" s="3" customFormat="1">
      <c r="B1575"/>
      <c r="C1575"/>
      <c r="D1575"/>
      <c r="E1575"/>
      <c r="F1575"/>
      <c r="G1575"/>
      <c r="H1575"/>
      <c r="K1575" s="62"/>
    </row>
    <row r="1576" spans="2:11" s="3" customFormat="1">
      <c r="B1576"/>
      <c r="C1576"/>
      <c r="D1576"/>
      <c r="E1576"/>
      <c r="F1576"/>
      <c r="G1576"/>
      <c r="H1576"/>
      <c r="K1576" s="62"/>
    </row>
    <row r="1577" spans="2:11" s="3" customFormat="1">
      <c r="B1577"/>
      <c r="C1577"/>
      <c r="D1577"/>
      <c r="E1577"/>
      <c r="F1577"/>
      <c r="G1577"/>
      <c r="H1577"/>
      <c r="K1577" s="62"/>
    </row>
    <row r="1578" spans="2:11" s="3" customFormat="1">
      <c r="B1578"/>
      <c r="C1578"/>
      <c r="D1578"/>
      <c r="E1578"/>
      <c r="F1578"/>
      <c r="G1578"/>
      <c r="H1578"/>
      <c r="K1578" s="62"/>
    </row>
    <row r="1579" spans="2:11" s="3" customFormat="1">
      <c r="B1579"/>
      <c r="C1579"/>
      <c r="D1579"/>
      <c r="E1579"/>
      <c r="F1579"/>
      <c r="G1579"/>
      <c r="H1579"/>
      <c r="K1579" s="62"/>
    </row>
    <row r="1580" spans="2:11" s="3" customFormat="1">
      <c r="B1580"/>
      <c r="C1580"/>
      <c r="D1580"/>
      <c r="E1580"/>
      <c r="F1580"/>
      <c r="G1580"/>
      <c r="H1580"/>
      <c r="K1580" s="62"/>
    </row>
    <row r="1581" spans="2:11" s="3" customFormat="1">
      <c r="B1581"/>
      <c r="C1581"/>
      <c r="D1581"/>
      <c r="E1581"/>
      <c r="F1581"/>
      <c r="G1581"/>
      <c r="H1581"/>
      <c r="K1581" s="62"/>
    </row>
    <row r="1582" spans="2:11" s="3" customFormat="1">
      <c r="B1582"/>
      <c r="C1582"/>
      <c r="D1582"/>
      <c r="E1582"/>
      <c r="F1582"/>
      <c r="G1582"/>
      <c r="H1582"/>
      <c r="K1582" s="62"/>
    </row>
    <row r="1583" spans="2:11" s="3" customFormat="1">
      <c r="B1583"/>
      <c r="C1583"/>
      <c r="D1583"/>
      <c r="E1583"/>
      <c r="F1583"/>
      <c r="G1583"/>
      <c r="H1583"/>
      <c r="K1583" s="62"/>
    </row>
    <row r="1584" spans="2:11" s="3" customFormat="1">
      <c r="B1584"/>
      <c r="C1584"/>
      <c r="D1584"/>
      <c r="E1584"/>
      <c r="F1584"/>
      <c r="G1584"/>
      <c r="H1584"/>
      <c r="K1584" s="62"/>
    </row>
    <row r="1585" spans="2:11" s="3" customFormat="1">
      <c r="B1585"/>
      <c r="C1585"/>
      <c r="D1585"/>
      <c r="E1585"/>
      <c r="F1585"/>
      <c r="G1585"/>
      <c r="H1585"/>
      <c r="K1585" s="62"/>
    </row>
    <row r="1586" spans="2:11" s="3" customFormat="1">
      <c r="B1586"/>
      <c r="C1586"/>
      <c r="D1586"/>
      <c r="E1586"/>
      <c r="F1586"/>
      <c r="G1586"/>
      <c r="H1586"/>
      <c r="K1586" s="62"/>
    </row>
    <row r="1587" spans="2:11" s="3" customFormat="1">
      <c r="B1587"/>
      <c r="C1587"/>
      <c r="D1587"/>
      <c r="E1587"/>
      <c r="F1587"/>
      <c r="G1587"/>
      <c r="H1587"/>
      <c r="K1587" s="62"/>
    </row>
    <row r="1588" spans="2:11" s="3" customFormat="1">
      <c r="B1588"/>
      <c r="C1588"/>
      <c r="D1588"/>
      <c r="E1588"/>
      <c r="F1588"/>
      <c r="G1588"/>
      <c r="H1588"/>
      <c r="K1588" s="62"/>
    </row>
    <row r="1589" spans="2:11" s="3" customFormat="1">
      <c r="B1589"/>
      <c r="C1589"/>
      <c r="D1589"/>
      <c r="E1589"/>
      <c r="F1589"/>
      <c r="G1589"/>
      <c r="H1589"/>
      <c r="K1589" s="62"/>
    </row>
    <row r="1590" spans="2:11" s="3" customFormat="1">
      <c r="B1590"/>
      <c r="C1590"/>
      <c r="D1590"/>
      <c r="E1590"/>
      <c r="F1590"/>
      <c r="G1590"/>
      <c r="H1590"/>
      <c r="K1590" s="62"/>
    </row>
    <row r="1591" spans="2:11" s="3" customFormat="1">
      <c r="B1591"/>
      <c r="C1591"/>
      <c r="D1591"/>
      <c r="E1591"/>
      <c r="F1591"/>
      <c r="G1591"/>
      <c r="H1591"/>
      <c r="K1591" s="62"/>
    </row>
    <row r="1592" spans="2:11" s="3" customFormat="1">
      <c r="B1592"/>
      <c r="C1592"/>
      <c r="D1592"/>
      <c r="E1592"/>
      <c r="F1592"/>
      <c r="G1592"/>
      <c r="H1592"/>
      <c r="K1592" s="62"/>
    </row>
    <row r="1593" spans="2:11" s="3" customFormat="1">
      <c r="B1593"/>
      <c r="C1593"/>
      <c r="D1593"/>
      <c r="E1593"/>
      <c r="F1593"/>
      <c r="G1593"/>
      <c r="H1593"/>
      <c r="K1593" s="62"/>
    </row>
    <row r="1594" spans="2:11" s="3" customFormat="1">
      <c r="B1594"/>
      <c r="C1594"/>
      <c r="D1594"/>
      <c r="E1594"/>
      <c r="F1594"/>
      <c r="G1594"/>
      <c r="H1594"/>
      <c r="K1594" s="62"/>
    </row>
    <row r="1595" spans="2:11" s="3" customFormat="1">
      <c r="B1595"/>
      <c r="C1595"/>
      <c r="D1595"/>
      <c r="E1595"/>
      <c r="F1595"/>
      <c r="G1595"/>
      <c r="H1595"/>
      <c r="K1595" s="62"/>
    </row>
    <row r="1596" spans="2:11" s="3" customFormat="1">
      <c r="B1596"/>
      <c r="C1596"/>
      <c r="D1596"/>
      <c r="E1596"/>
      <c r="F1596"/>
      <c r="G1596"/>
      <c r="H1596"/>
      <c r="K1596" s="62"/>
    </row>
    <row r="1597" spans="2:11" s="3" customFormat="1">
      <c r="B1597"/>
      <c r="C1597"/>
      <c r="D1597"/>
      <c r="E1597"/>
      <c r="F1597"/>
      <c r="G1597"/>
      <c r="H1597"/>
      <c r="K1597" s="62"/>
    </row>
    <row r="1598" spans="2:11" s="3" customFormat="1">
      <c r="B1598"/>
      <c r="C1598"/>
      <c r="D1598"/>
      <c r="E1598"/>
      <c r="F1598"/>
      <c r="G1598"/>
      <c r="H1598"/>
      <c r="K1598" s="62"/>
    </row>
    <row r="1599" spans="2:11" s="3" customFormat="1">
      <c r="B1599"/>
      <c r="C1599"/>
      <c r="D1599"/>
      <c r="E1599"/>
      <c r="F1599"/>
      <c r="G1599"/>
      <c r="H1599"/>
      <c r="K1599" s="62"/>
    </row>
    <row r="1600" spans="2:11" s="3" customFormat="1">
      <c r="B1600"/>
      <c r="C1600"/>
      <c r="D1600"/>
      <c r="E1600"/>
      <c r="F1600"/>
      <c r="G1600"/>
      <c r="H1600"/>
      <c r="K1600" s="62"/>
    </row>
    <row r="1601" spans="2:11" s="3" customFormat="1">
      <c r="B1601"/>
      <c r="C1601"/>
      <c r="D1601"/>
      <c r="E1601"/>
      <c r="F1601"/>
      <c r="G1601"/>
      <c r="H1601"/>
      <c r="K1601" s="62"/>
    </row>
    <row r="1602" spans="2:11" s="3" customFormat="1">
      <c r="B1602"/>
      <c r="C1602"/>
      <c r="D1602"/>
      <c r="E1602"/>
      <c r="F1602"/>
      <c r="G1602"/>
      <c r="H1602"/>
      <c r="K1602" s="62"/>
    </row>
    <row r="1603" spans="2:11" s="3" customFormat="1">
      <c r="B1603"/>
      <c r="C1603"/>
      <c r="D1603"/>
      <c r="E1603"/>
      <c r="F1603"/>
      <c r="G1603"/>
      <c r="H1603"/>
      <c r="K1603" s="62"/>
    </row>
    <row r="1604" spans="2:11" s="3" customFormat="1">
      <c r="B1604"/>
      <c r="C1604"/>
      <c r="D1604"/>
      <c r="E1604"/>
      <c r="F1604"/>
      <c r="G1604"/>
      <c r="H1604"/>
      <c r="K1604" s="62"/>
    </row>
    <row r="1605" spans="2:11" s="3" customFormat="1">
      <c r="B1605"/>
      <c r="C1605"/>
      <c r="D1605"/>
      <c r="E1605"/>
      <c r="F1605"/>
      <c r="G1605"/>
      <c r="H1605"/>
      <c r="K1605" s="62"/>
    </row>
    <row r="1606" spans="2:11" s="3" customFormat="1">
      <c r="B1606"/>
      <c r="C1606"/>
      <c r="D1606"/>
      <c r="E1606"/>
      <c r="F1606"/>
      <c r="G1606"/>
      <c r="H1606"/>
      <c r="K1606" s="62"/>
    </row>
    <row r="1607" spans="2:11" s="3" customFormat="1">
      <c r="B1607"/>
      <c r="C1607"/>
      <c r="D1607"/>
      <c r="E1607"/>
      <c r="F1607"/>
      <c r="G1607"/>
      <c r="H1607"/>
      <c r="K1607" s="62"/>
    </row>
    <row r="1608" spans="2:11" s="3" customFormat="1">
      <c r="B1608"/>
      <c r="C1608"/>
      <c r="D1608"/>
      <c r="E1608"/>
      <c r="F1608"/>
      <c r="G1608"/>
      <c r="H1608"/>
      <c r="K1608" s="62"/>
    </row>
    <row r="1609" spans="2:11" s="3" customFormat="1">
      <c r="B1609"/>
      <c r="C1609"/>
      <c r="D1609"/>
      <c r="E1609"/>
      <c r="F1609"/>
      <c r="G1609"/>
      <c r="H1609"/>
      <c r="K1609" s="62"/>
    </row>
    <row r="1610" spans="2:11" s="3" customFormat="1">
      <c r="B1610"/>
      <c r="C1610"/>
      <c r="D1610"/>
      <c r="E1610"/>
      <c r="F1610"/>
      <c r="G1610"/>
      <c r="H1610"/>
      <c r="K1610" s="62"/>
    </row>
    <row r="1611" spans="2:11" s="3" customFormat="1">
      <c r="B1611"/>
      <c r="C1611"/>
      <c r="D1611"/>
      <c r="E1611"/>
      <c r="F1611"/>
      <c r="G1611"/>
      <c r="H1611"/>
      <c r="K1611" s="62"/>
    </row>
    <row r="1612" spans="2:11" s="3" customFormat="1">
      <c r="B1612"/>
      <c r="C1612"/>
      <c r="D1612"/>
      <c r="E1612"/>
      <c r="F1612"/>
      <c r="G1612"/>
      <c r="H1612"/>
      <c r="K1612" s="62"/>
    </row>
    <row r="1613" spans="2:11" s="3" customFormat="1">
      <c r="B1613"/>
      <c r="C1613"/>
      <c r="D1613"/>
      <c r="E1613"/>
      <c r="F1613"/>
      <c r="G1613"/>
      <c r="H1613"/>
      <c r="K1613" s="62"/>
    </row>
    <row r="1614" spans="2:11" s="3" customFormat="1">
      <c r="B1614"/>
      <c r="C1614"/>
      <c r="D1614"/>
      <c r="E1614"/>
      <c r="F1614"/>
      <c r="G1614"/>
      <c r="H1614"/>
      <c r="K1614" s="62"/>
    </row>
    <row r="1615" spans="2:11" s="3" customFormat="1">
      <c r="B1615"/>
      <c r="C1615"/>
      <c r="D1615"/>
      <c r="E1615"/>
      <c r="F1615"/>
      <c r="G1615"/>
      <c r="H1615"/>
      <c r="K1615" s="62"/>
    </row>
    <row r="1616" spans="2:11" s="3" customFormat="1">
      <c r="B1616"/>
      <c r="C1616"/>
      <c r="D1616"/>
      <c r="E1616"/>
      <c r="F1616"/>
      <c r="G1616"/>
      <c r="H1616"/>
      <c r="K1616" s="62"/>
    </row>
    <row r="1617" spans="2:11" s="3" customFormat="1">
      <c r="B1617"/>
      <c r="C1617"/>
      <c r="D1617"/>
      <c r="E1617"/>
      <c r="F1617"/>
      <c r="G1617"/>
      <c r="H1617"/>
      <c r="K1617" s="62"/>
    </row>
    <row r="1618" spans="2:11" s="3" customFormat="1">
      <c r="B1618"/>
      <c r="C1618"/>
      <c r="D1618"/>
      <c r="E1618"/>
      <c r="F1618"/>
      <c r="G1618"/>
      <c r="H1618"/>
      <c r="K1618" s="62"/>
    </row>
    <row r="1619" spans="2:11" s="3" customFormat="1">
      <c r="B1619"/>
      <c r="C1619"/>
      <c r="D1619"/>
      <c r="E1619"/>
      <c r="F1619"/>
      <c r="G1619"/>
      <c r="H1619"/>
      <c r="K1619" s="62"/>
    </row>
    <row r="1620" spans="2:11" s="3" customFormat="1">
      <c r="B1620"/>
      <c r="C1620"/>
      <c r="D1620"/>
      <c r="E1620"/>
      <c r="F1620"/>
      <c r="G1620"/>
      <c r="H1620"/>
      <c r="K1620" s="62"/>
    </row>
    <row r="1621" spans="2:11" s="3" customFormat="1">
      <c r="B1621"/>
      <c r="C1621"/>
      <c r="D1621"/>
      <c r="E1621"/>
      <c r="F1621"/>
      <c r="G1621"/>
      <c r="H1621"/>
      <c r="K1621" s="62"/>
    </row>
    <row r="1622" spans="2:11" s="3" customFormat="1">
      <c r="B1622"/>
      <c r="C1622"/>
      <c r="D1622"/>
      <c r="E1622"/>
      <c r="F1622"/>
      <c r="G1622"/>
      <c r="H1622"/>
      <c r="K1622" s="62"/>
    </row>
    <row r="1623" spans="2:11" s="3" customFormat="1">
      <c r="B1623"/>
      <c r="C1623"/>
      <c r="D1623"/>
      <c r="E1623"/>
      <c r="F1623"/>
      <c r="G1623"/>
      <c r="H1623"/>
      <c r="K1623" s="62"/>
    </row>
    <row r="1624" spans="2:11" s="3" customFormat="1">
      <c r="B1624"/>
      <c r="C1624"/>
      <c r="D1624"/>
      <c r="E1624"/>
      <c r="F1624"/>
      <c r="G1624"/>
      <c r="H1624"/>
      <c r="K1624" s="62"/>
    </row>
    <row r="1625" spans="2:11" s="3" customFormat="1">
      <c r="B1625"/>
      <c r="C1625"/>
      <c r="D1625"/>
      <c r="E1625"/>
      <c r="F1625"/>
      <c r="G1625"/>
      <c r="H1625"/>
      <c r="K1625" s="62"/>
    </row>
    <row r="1626" spans="2:11" s="3" customFormat="1">
      <c r="B1626"/>
      <c r="C1626"/>
      <c r="D1626"/>
      <c r="E1626"/>
      <c r="F1626"/>
      <c r="G1626"/>
      <c r="H1626"/>
      <c r="K1626" s="62"/>
    </row>
    <row r="1627" spans="2:11" s="3" customFormat="1">
      <c r="B1627"/>
      <c r="C1627"/>
      <c r="D1627"/>
      <c r="E1627"/>
      <c r="F1627"/>
      <c r="G1627"/>
      <c r="H1627"/>
      <c r="K1627" s="62"/>
    </row>
    <row r="1628" spans="2:11" s="3" customFormat="1">
      <c r="B1628"/>
      <c r="C1628"/>
      <c r="D1628"/>
      <c r="E1628"/>
      <c r="F1628"/>
      <c r="G1628"/>
      <c r="H1628"/>
      <c r="K1628" s="62"/>
    </row>
    <row r="1629" spans="2:11" s="3" customFormat="1">
      <c r="B1629"/>
      <c r="C1629"/>
      <c r="D1629"/>
      <c r="E1629"/>
      <c r="F1629"/>
      <c r="G1629"/>
      <c r="H1629"/>
      <c r="K1629" s="62"/>
    </row>
    <row r="1630" spans="2:11" s="3" customFormat="1">
      <c r="B1630"/>
      <c r="C1630"/>
      <c r="D1630"/>
      <c r="E1630"/>
      <c r="F1630"/>
      <c r="G1630"/>
      <c r="H1630"/>
      <c r="K1630" s="62"/>
    </row>
    <row r="1631" spans="2:11" s="3" customFormat="1">
      <c r="B1631"/>
      <c r="C1631"/>
      <c r="D1631"/>
      <c r="E1631"/>
      <c r="F1631"/>
      <c r="G1631"/>
      <c r="H1631"/>
      <c r="K1631" s="62"/>
    </row>
    <row r="1632" spans="2:11" s="3" customFormat="1">
      <c r="B1632"/>
      <c r="C1632"/>
      <c r="D1632"/>
      <c r="E1632"/>
      <c r="F1632"/>
      <c r="G1632"/>
      <c r="H1632"/>
      <c r="K1632" s="62"/>
    </row>
    <row r="1633" spans="2:11" s="3" customFormat="1">
      <c r="B1633"/>
      <c r="C1633"/>
      <c r="D1633"/>
      <c r="E1633"/>
      <c r="F1633"/>
      <c r="G1633"/>
      <c r="H1633"/>
      <c r="K1633" s="62"/>
    </row>
    <row r="1634" spans="2:11" s="3" customFormat="1">
      <c r="B1634"/>
      <c r="C1634"/>
      <c r="D1634"/>
      <c r="E1634"/>
      <c r="F1634"/>
      <c r="G1634"/>
      <c r="H1634"/>
      <c r="K1634" s="62"/>
    </row>
    <row r="1635" spans="2:11" s="3" customFormat="1">
      <c r="B1635"/>
      <c r="C1635"/>
      <c r="D1635"/>
      <c r="E1635"/>
      <c r="F1635"/>
      <c r="G1635"/>
      <c r="H1635"/>
      <c r="K1635" s="62"/>
    </row>
    <row r="1636" spans="2:11" s="3" customFormat="1">
      <c r="B1636"/>
      <c r="C1636"/>
      <c r="D1636"/>
      <c r="E1636"/>
      <c r="F1636"/>
      <c r="G1636"/>
      <c r="H1636"/>
      <c r="K1636" s="62"/>
    </row>
    <row r="1637" spans="2:11" s="3" customFormat="1">
      <c r="B1637"/>
      <c r="C1637"/>
      <c r="D1637"/>
      <c r="E1637"/>
      <c r="F1637"/>
      <c r="G1637"/>
      <c r="H1637"/>
      <c r="K1637" s="62"/>
    </row>
    <row r="1638" spans="2:11" s="3" customFormat="1">
      <c r="B1638"/>
      <c r="C1638"/>
      <c r="D1638"/>
      <c r="E1638"/>
      <c r="F1638"/>
      <c r="G1638"/>
      <c r="H1638"/>
      <c r="K1638" s="62"/>
    </row>
    <row r="1639" spans="2:11" s="3" customFormat="1">
      <c r="B1639"/>
      <c r="C1639"/>
      <c r="D1639"/>
      <c r="E1639"/>
      <c r="F1639"/>
      <c r="G1639"/>
      <c r="H1639"/>
      <c r="K1639" s="62"/>
    </row>
    <row r="1640" spans="2:11" s="3" customFormat="1">
      <c r="B1640"/>
      <c r="C1640"/>
      <c r="D1640"/>
      <c r="E1640"/>
      <c r="F1640"/>
      <c r="G1640"/>
      <c r="H1640"/>
      <c r="K1640" s="62"/>
    </row>
    <row r="1641" spans="2:11" s="3" customFormat="1">
      <c r="B1641"/>
      <c r="C1641"/>
      <c r="D1641"/>
      <c r="E1641"/>
      <c r="F1641"/>
      <c r="G1641"/>
      <c r="H1641"/>
      <c r="K1641" s="62"/>
    </row>
    <row r="1642" spans="2:11" s="3" customFormat="1">
      <c r="B1642"/>
      <c r="C1642"/>
      <c r="D1642"/>
      <c r="E1642"/>
      <c r="F1642"/>
      <c r="G1642"/>
      <c r="H1642"/>
      <c r="K1642" s="62"/>
    </row>
    <row r="1643" spans="2:11" s="3" customFormat="1">
      <c r="B1643"/>
      <c r="C1643"/>
      <c r="D1643"/>
      <c r="E1643"/>
      <c r="F1643"/>
      <c r="G1643"/>
      <c r="H1643"/>
      <c r="K1643" s="62"/>
    </row>
    <row r="1644" spans="2:11" s="3" customFormat="1">
      <c r="B1644"/>
      <c r="C1644"/>
      <c r="D1644"/>
      <c r="E1644"/>
      <c r="F1644"/>
      <c r="G1644"/>
      <c r="H1644"/>
      <c r="K1644" s="62"/>
    </row>
    <row r="1645" spans="2:11" s="3" customFormat="1">
      <c r="B1645"/>
      <c r="C1645"/>
      <c r="D1645"/>
      <c r="E1645"/>
      <c r="F1645"/>
      <c r="G1645"/>
      <c r="H1645"/>
      <c r="K1645" s="62"/>
    </row>
    <row r="1646" spans="2:11" s="3" customFormat="1">
      <c r="B1646"/>
      <c r="C1646"/>
      <c r="D1646"/>
      <c r="E1646"/>
      <c r="F1646"/>
      <c r="G1646"/>
      <c r="H1646"/>
      <c r="K1646" s="62"/>
    </row>
    <row r="1647" spans="2:11" s="3" customFormat="1">
      <c r="B1647"/>
      <c r="C1647"/>
      <c r="D1647"/>
      <c r="E1647"/>
      <c r="F1647"/>
      <c r="G1647"/>
      <c r="H1647"/>
      <c r="K1647" s="62"/>
    </row>
    <row r="1648" spans="2:11" s="3" customFormat="1">
      <c r="B1648"/>
      <c r="C1648"/>
      <c r="D1648"/>
      <c r="E1648"/>
      <c r="F1648"/>
      <c r="G1648"/>
      <c r="H1648"/>
      <c r="K1648" s="62"/>
    </row>
    <row r="1649" spans="2:11" s="3" customFormat="1">
      <c r="B1649"/>
      <c r="C1649"/>
      <c r="D1649"/>
      <c r="E1649"/>
      <c r="F1649"/>
      <c r="G1649"/>
      <c r="H1649"/>
      <c r="K1649" s="62"/>
    </row>
    <row r="1650" spans="2:11" s="3" customFormat="1">
      <c r="B1650"/>
      <c r="C1650"/>
      <c r="D1650"/>
      <c r="E1650"/>
      <c r="F1650"/>
      <c r="G1650"/>
      <c r="H1650"/>
      <c r="K1650" s="62"/>
    </row>
    <row r="1651" spans="2:11" s="3" customFormat="1">
      <c r="B1651"/>
      <c r="C1651"/>
      <c r="D1651"/>
      <c r="E1651"/>
      <c r="F1651"/>
      <c r="G1651"/>
      <c r="H1651"/>
      <c r="K1651" s="62"/>
    </row>
    <row r="1652" spans="2:11" s="3" customFormat="1">
      <c r="B1652"/>
      <c r="C1652"/>
      <c r="D1652"/>
      <c r="E1652"/>
      <c r="F1652"/>
      <c r="G1652"/>
      <c r="H1652"/>
      <c r="K1652" s="62"/>
    </row>
    <row r="1653" spans="2:11" s="3" customFormat="1">
      <c r="B1653"/>
      <c r="C1653"/>
      <c r="D1653"/>
      <c r="E1653"/>
      <c r="F1653"/>
      <c r="G1653"/>
      <c r="H1653"/>
      <c r="K1653" s="62"/>
    </row>
    <row r="1654" spans="2:11" s="3" customFormat="1">
      <c r="B1654"/>
      <c r="C1654"/>
      <c r="D1654"/>
      <c r="E1654"/>
      <c r="F1654"/>
      <c r="G1654"/>
      <c r="H1654"/>
      <c r="K1654" s="62"/>
    </row>
    <row r="1655" spans="2:11" s="3" customFormat="1">
      <c r="B1655"/>
      <c r="C1655"/>
      <c r="D1655"/>
      <c r="E1655"/>
      <c r="F1655"/>
      <c r="G1655"/>
      <c r="H1655"/>
      <c r="K1655" s="62"/>
    </row>
    <row r="1656" spans="2:11" s="3" customFormat="1">
      <c r="B1656"/>
      <c r="C1656"/>
      <c r="D1656"/>
      <c r="E1656"/>
      <c r="F1656"/>
      <c r="G1656"/>
      <c r="H1656"/>
      <c r="K1656" s="62"/>
    </row>
    <row r="1657" spans="2:11" s="3" customFormat="1">
      <c r="B1657"/>
      <c r="C1657"/>
      <c r="D1657"/>
      <c r="E1657"/>
      <c r="F1657"/>
      <c r="G1657"/>
      <c r="H1657"/>
      <c r="K1657" s="62"/>
    </row>
    <row r="1658" spans="2:11" s="3" customFormat="1">
      <c r="B1658"/>
      <c r="C1658"/>
      <c r="D1658"/>
      <c r="E1658"/>
      <c r="F1658"/>
      <c r="G1658"/>
      <c r="H1658"/>
      <c r="K1658" s="62"/>
    </row>
    <row r="1659" spans="2:11" s="3" customFormat="1">
      <c r="B1659"/>
      <c r="C1659"/>
      <c r="D1659"/>
      <c r="E1659"/>
      <c r="F1659"/>
      <c r="G1659"/>
      <c r="H1659"/>
      <c r="K1659" s="62"/>
    </row>
    <row r="1660" spans="2:11" s="3" customFormat="1">
      <c r="B1660"/>
      <c r="C1660"/>
      <c r="D1660"/>
      <c r="E1660"/>
      <c r="F1660"/>
      <c r="G1660"/>
      <c r="H1660"/>
      <c r="K1660" s="62"/>
    </row>
    <row r="1661" spans="2:11" s="3" customFormat="1">
      <c r="B1661"/>
      <c r="C1661"/>
      <c r="D1661"/>
      <c r="E1661"/>
      <c r="F1661"/>
      <c r="G1661"/>
      <c r="H1661"/>
      <c r="K1661" s="62"/>
    </row>
    <row r="1662" spans="2:11" s="3" customFormat="1">
      <c r="B1662"/>
      <c r="C1662"/>
      <c r="D1662"/>
      <c r="E1662"/>
      <c r="F1662"/>
      <c r="G1662"/>
      <c r="H1662"/>
      <c r="K1662" s="62"/>
    </row>
    <row r="1663" spans="2:11" s="3" customFormat="1">
      <c r="B1663"/>
      <c r="C1663"/>
      <c r="D1663"/>
      <c r="E1663"/>
      <c r="F1663"/>
      <c r="G1663"/>
      <c r="H1663"/>
      <c r="K1663" s="62"/>
    </row>
    <row r="1664" spans="2:11" s="3" customFormat="1">
      <c r="B1664"/>
      <c r="C1664"/>
      <c r="D1664"/>
      <c r="E1664"/>
      <c r="F1664"/>
      <c r="G1664"/>
      <c r="H1664"/>
      <c r="K1664" s="62"/>
    </row>
    <row r="1665" spans="2:11" s="3" customFormat="1">
      <c r="B1665"/>
      <c r="C1665"/>
      <c r="D1665"/>
      <c r="E1665"/>
      <c r="F1665"/>
      <c r="G1665"/>
      <c r="H1665"/>
      <c r="K1665" s="62"/>
    </row>
    <row r="1666" spans="2:11" s="3" customFormat="1">
      <c r="B1666"/>
      <c r="C1666"/>
      <c r="D1666"/>
      <c r="E1666"/>
      <c r="F1666"/>
      <c r="G1666"/>
      <c r="H1666"/>
      <c r="K1666" s="62"/>
    </row>
    <row r="1667" spans="2:11" s="3" customFormat="1">
      <c r="B1667"/>
      <c r="C1667"/>
      <c r="D1667"/>
      <c r="E1667"/>
      <c r="F1667"/>
      <c r="G1667"/>
      <c r="H1667"/>
      <c r="K1667" s="62"/>
    </row>
    <row r="1668" spans="2:11" s="3" customFormat="1">
      <c r="B1668"/>
      <c r="C1668"/>
      <c r="D1668"/>
      <c r="E1668"/>
      <c r="F1668"/>
      <c r="G1668"/>
      <c r="H1668"/>
      <c r="K1668" s="62"/>
    </row>
    <row r="1669" spans="2:11" s="3" customFormat="1">
      <c r="B1669"/>
      <c r="C1669"/>
      <c r="D1669"/>
      <c r="E1669"/>
      <c r="F1669"/>
      <c r="G1669"/>
      <c r="H1669"/>
      <c r="K1669" s="62"/>
    </row>
    <row r="1670" spans="2:11" s="3" customFormat="1">
      <c r="B1670"/>
      <c r="C1670"/>
      <c r="D1670"/>
      <c r="E1670"/>
      <c r="F1670"/>
      <c r="G1670"/>
      <c r="H1670"/>
      <c r="K1670" s="62"/>
    </row>
    <row r="1671" spans="2:11" s="3" customFormat="1">
      <c r="B1671"/>
      <c r="C1671"/>
      <c r="D1671"/>
      <c r="E1671"/>
      <c r="F1671"/>
      <c r="G1671"/>
      <c r="H1671"/>
      <c r="K1671" s="62"/>
    </row>
    <row r="1672" spans="2:11" s="3" customFormat="1">
      <c r="B1672"/>
      <c r="C1672"/>
      <c r="D1672"/>
      <c r="E1672"/>
      <c r="F1672"/>
      <c r="G1672"/>
      <c r="H1672"/>
      <c r="K1672" s="62"/>
    </row>
    <row r="1673" spans="2:11" s="3" customFormat="1">
      <c r="B1673"/>
      <c r="C1673"/>
      <c r="D1673"/>
      <c r="E1673"/>
      <c r="F1673"/>
      <c r="G1673"/>
      <c r="H1673"/>
      <c r="K1673" s="62"/>
    </row>
    <row r="1674" spans="2:11" s="3" customFormat="1">
      <c r="B1674"/>
      <c r="C1674"/>
      <c r="D1674"/>
      <c r="E1674"/>
      <c r="F1674"/>
      <c r="G1674"/>
      <c r="H1674"/>
      <c r="K1674" s="62"/>
    </row>
    <row r="1675" spans="2:11" s="3" customFormat="1">
      <c r="B1675"/>
      <c r="C1675"/>
      <c r="D1675"/>
      <c r="E1675"/>
      <c r="F1675"/>
      <c r="G1675"/>
      <c r="H1675"/>
      <c r="K1675" s="62"/>
    </row>
    <row r="1676" spans="2:11" s="3" customFormat="1">
      <c r="B1676"/>
      <c r="C1676"/>
      <c r="D1676"/>
      <c r="E1676"/>
      <c r="F1676"/>
      <c r="G1676"/>
      <c r="H1676"/>
      <c r="K1676" s="62"/>
    </row>
    <row r="1677" spans="2:11" s="3" customFormat="1">
      <c r="B1677"/>
      <c r="C1677"/>
      <c r="D1677"/>
      <c r="E1677"/>
      <c r="F1677"/>
      <c r="G1677"/>
      <c r="H1677"/>
      <c r="K1677" s="62"/>
    </row>
    <row r="1678" spans="2:11" s="3" customFormat="1">
      <c r="B1678"/>
      <c r="C1678"/>
      <c r="D1678"/>
      <c r="E1678"/>
      <c r="F1678"/>
      <c r="G1678"/>
      <c r="H1678"/>
      <c r="K1678" s="62"/>
    </row>
    <row r="1679" spans="2:11" s="3" customFormat="1">
      <c r="B1679"/>
      <c r="C1679"/>
      <c r="D1679"/>
      <c r="E1679"/>
      <c r="F1679"/>
      <c r="G1679"/>
      <c r="H1679"/>
      <c r="K1679" s="62"/>
    </row>
    <row r="1680" spans="2:11" s="3" customFormat="1">
      <c r="B1680"/>
      <c r="C1680"/>
      <c r="D1680"/>
      <c r="E1680"/>
      <c r="F1680"/>
      <c r="G1680"/>
      <c r="H1680"/>
      <c r="K1680" s="62"/>
    </row>
    <row r="1681" spans="2:11" s="3" customFormat="1">
      <c r="B1681"/>
      <c r="C1681"/>
      <c r="D1681"/>
      <c r="E1681"/>
      <c r="F1681"/>
      <c r="G1681"/>
      <c r="H1681"/>
      <c r="K1681" s="62"/>
    </row>
    <row r="1682" spans="2:11" s="3" customFormat="1">
      <c r="B1682"/>
      <c r="C1682"/>
      <c r="D1682"/>
      <c r="E1682"/>
      <c r="F1682"/>
      <c r="G1682"/>
      <c r="H1682"/>
      <c r="K1682" s="62"/>
    </row>
    <row r="1683" spans="2:11" s="3" customFormat="1">
      <c r="B1683"/>
      <c r="C1683"/>
      <c r="D1683"/>
      <c r="E1683"/>
      <c r="F1683"/>
      <c r="G1683"/>
      <c r="H1683"/>
      <c r="K1683" s="62"/>
    </row>
    <row r="1684" spans="2:11" s="3" customFormat="1">
      <c r="B1684"/>
      <c r="C1684"/>
      <c r="D1684"/>
      <c r="E1684"/>
      <c r="F1684"/>
      <c r="G1684"/>
      <c r="H1684"/>
      <c r="K1684" s="62"/>
    </row>
    <row r="1685" spans="2:11" s="3" customFormat="1">
      <c r="B1685"/>
      <c r="C1685"/>
      <c r="D1685"/>
      <c r="E1685"/>
      <c r="F1685"/>
      <c r="G1685"/>
      <c r="H1685"/>
      <c r="K1685" s="62"/>
    </row>
    <row r="1686" spans="2:11" s="3" customFormat="1">
      <c r="B1686"/>
      <c r="C1686"/>
      <c r="D1686"/>
      <c r="E1686"/>
      <c r="F1686"/>
      <c r="G1686"/>
      <c r="H1686"/>
      <c r="K1686" s="62"/>
    </row>
    <row r="1687" spans="2:11" s="3" customFormat="1">
      <c r="B1687"/>
      <c r="C1687"/>
      <c r="D1687"/>
      <c r="E1687"/>
      <c r="F1687"/>
      <c r="G1687"/>
      <c r="H1687"/>
      <c r="K1687" s="62"/>
    </row>
    <row r="1688" spans="2:11" s="3" customFormat="1">
      <c r="B1688"/>
      <c r="C1688"/>
      <c r="D1688"/>
      <c r="E1688"/>
      <c r="F1688"/>
      <c r="G1688"/>
      <c r="H1688"/>
      <c r="K1688" s="62"/>
    </row>
    <row r="1689" spans="2:11" s="3" customFormat="1">
      <c r="B1689"/>
      <c r="C1689"/>
      <c r="D1689"/>
      <c r="E1689"/>
      <c r="F1689"/>
      <c r="G1689"/>
      <c r="H1689"/>
      <c r="K1689" s="62"/>
    </row>
    <row r="1690" spans="2:11" s="3" customFormat="1">
      <c r="B1690"/>
      <c r="C1690"/>
      <c r="D1690"/>
      <c r="E1690"/>
      <c r="F1690"/>
      <c r="G1690"/>
      <c r="H1690"/>
      <c r="K1690" s="62"/>
    </row>
    <row r="1691" spans="2:11" s="3" customFormat="1">
      <c r="B1691"/>
      <c r="C1691"/>
      <c r="D1691"/>
      <c r="E1691"/>
      <c r="F1691"/>
      <c r="G1691"/>
      <c r="H1691"/>
      <c r="K1691" s="62"/>
    </row>
    <row r="1692" spans="2:11" s="3" customFormat="1">
      <c r="B1692"/>
      <c r="C1692"/>
      <c r="D1692"/>
      <c r="E1692"/>
      <c r="F1692"/>
      <c r="G1692"/>
      <c r="H1692"/>
      <c r="K1692" s="62"/>
    </row>
    <row r="1693" spans="2:11" s="3" customFormat="1">
      <c r="B1693"/>
      <c r="C1693"/>
      <c r="D1693"/>
      <c r="E1693"/>
      <c r="F1693"/>
      <c r="G1693"/>
      <c r="H1693"/>
      <c r="K1693" s="62"/>
    </row>
    <row r="1694" spans="2:11" s="3" customFormat="1">
      <c r="B1694"/>
      <c r="C1694"/>
      <c r="D1694"/>
      <c r="E1694"/>
      <c r="F1694"/>
      <c r="G1694"/>
      <c r="H1694"/>
      <c r="K1694" s="62"/>
    </row>
    <row r="1695" spans="2:11" s="3" customFormat="1">
      <c r="B1695"/>
      <c r="C1695"/>
      <c r="D1695"/>
      <c r="E1695"/>
      <c r="F1695"/>
      <c r="G1695"/>
      <c r="H1695"/>
      <c r="K1695" s="62"/>
    </row>
    <row r="1696" spans="2:11" s="3" customFormat="1">
      <c r="B1696"/>
      <c r="C1696"/>
      <c r="D1696"/>
      <c r="E1696"/>
      <c r="F1696"/>
      <c r="G1696"/>
      <c r="H1696"/>
      <c r="K1696" s="62"/>
    </row>
    <row r="1697" spans="2:11" s="3" customFormat="1">
      <c r="B1697"/>
      <c r="C1697"/>
      <c r="D1697"/>
      <c r="E1697"/>
      <c r="F1697"/>
      <c r="G1697"/>
      <c r="H1697"/>
      <c r="K1697" s="62"/>
    </row>
    <row r="1698" spans="2:11" s="3" customFormat="1">
      <c r="B1698"/>
      <c r="C1698"/>
      <c r="D1698"/>
      <c r="E1698"/>
      <c r="F1698"/>
      <c r="G1698"/>
      <c r="H1698"/>
      <c r="K1698" s="62"/>
    </row>
    <row r="1699" spans="2:11" s="3" customFormat="1">
      <c r="B1699"/>
      <c r="C1699"/>
      <c r="D1699"/>
      <c r="E1699"/>
      <c r="F1699"/>
      <c r="G1699"/>
      <c r="H1699"/>
      <c r="K1699" s="62"/>
    </row>
    <row r="1700" spans="2:11" s="3" customFormat="1">
      <c r="B1700"/>
      <c r="C1700"/>
      <c r="D1700"/>
      <c r="E1700"/>
      <c r="F1700"/>
      <c r="G1700"/>
      <c r="H1700"/>
      <c r="K1700" s="62"/>
    </row>
    <row r="1701" spans="2:11" s="3" customFormat="1">
      <c r="B1701"/>
      <c r="C1701"/>
      <c r="D1701"/>
      <c r="E1701"/>
      <c r="F1701"/>
      <c r="G1701"/>
      <c r="H1701"/>
      <c r="K1701" s="62"/>
    </row>
    <row r="1702" spans="2:11" s="3" customFormat="1">
      <c r="B1702"/>
      <c r="C1702"/>
      <c r="D1702"/>
      <c r="E1702"/>
      <c r="F1702"/>
      <c r="G1702"/>
      <c r="H1702"/>
      <c r="K1702" s="62"/>
    </row>
    <row r="1703" spans="2:11" s="3" customFormat="1">
      <c r="B1703"/>
      <c r="C1703"/>
      <c r="D1703"/>
      <c r="E1703"/>
      <c r="F1703"/>
      <c r="G1703"/>
      <c r="H1703"/>
      <c r="K1703" s="62"/>
    </row>
    <row r="1704" spans="2:11" s="3" customFormat="1">
      <c r="B1704"/>
      <c r="C1704"/>
      <c r="D1704"/>
      <c r="E1704"/>
      <c r="F1704"/>
      <c r="G1704"/>
      <c r="H1704"/>
      <c r="K1704" s="62"/>
    </row>
    <row r="1705" spans="2:11" s="3" customFormat="1">
      <c r="B1705"/>
      <c r="C1705"/>
      <c r="D1705"/>
      <c r="E1705"/>
      <c r="F1705"/>
      <c r="G1705"/>
      <c r="H1705"/>
      <c r="K1705" s="62"/>
    </row>
    <row r="1706" spans="2:11" s="3" customFormat="1">
      <c r="B1706"/>
      <c r="C1706"/>
      <c r="D1706"/>
      <c r="E1706"/>
      <c r="F1706"/>
      <c r="G1706"/>
      <c r="H1706"/>
      <c r="K1706" s="62"/>
    </row>
    <row r="1707" spans="2:11" s="3" customFormat="1">
      <c r="B1707"/>
      <c r="C1707"/>
      <c r="D1707"/>
      <c r="E1707"/>
      <c r="F1707"/>
      <c r="G1707"/>
      <c r="H1707"/>
      <c r="K1707" s="62"/>
    </row>
    <row r="1708" spans="2:11" s="3" customFormat="1">
      <c r="B1708"/>
      <c r="C1708"/>
      <c r="D1708"/>
      <c r="E1708"/>
      <c r="F1708"/>
      <c r="G1708"/>
      <c r="H1708"/>
      <c r="K1708" s="62"/>
    </row>
    <row r="1709" spans="2:11" s="3" customFormat="1">
      <c r="B1709"/>
      <c r="C1709"/>
      <c r="D1709"/>
      <c r="E1709"/>
      <c r="F1709"/>
      <c r="G1709"/>
      <c r="H1709"/>
      <c r="K1709" s="62"/>
    </row>
    <row r="1710" spans="2:11" s="3" customFormat="1">
      <c r="B1710"/>
      <c r="C1710"/>
      <c r="D1710"/>
      <c r="E1710"/>
      <c r="F1710"/>
      <c r="G1710"/>
      <c r="H1710"/>
      <c r="K1710" s="62"/>
    </row>
    <row r="1711" spans="2:11" s="3" customFormat="1">
      <c r="B1711"/>
      <c r="C1711"/>
      <c r="D1711"/>
      <c r="E1711"/>
      <c r="F1711"/>
      <c r="G1711"/>
      <c r="H1711"/>
      <c r="K1711" s="62"/>
    </row>
    <row r="1712" spans="2:11" s="3" customFormat="1">
      <c r="B1712"/>
      <c r="C1712"/>
      <c r="D1712"/>
      <c r="E1712"/>
      <c r="F1712"/>
      <c r="G1712"/>
      <c r="H1712"/>
      <c r="K1712" s="62"/>
    </row>
    <row r="1713" spans="2:11" s="3" customFormat="1">
      <c r="B1713"/>
      <c r="C1713"/>
      <c r="D1713"/>
      <c r="E1713"/>
      <c r="F1713"/>
      <c r="G1713"/>
      <c r="H1713"/>
      <c r="K1713" s="62"/>
    </row>
    <row r="1714" spans="2:11" s="3" customFormat="1">
      <c r="B1714"/>
      <c r="C1714"/>
      <c r="D1714"/>
      <c r="E1714"/>
      <c r="F1714"/>
      <c r="G1714"/>
      <c r="H1714"/>
      <c r="K1714" s="62"/>
    </row>
    <row r="1715" spans="2:11" s="3" customFormat="1">
      <c r="B1715"/>
      <c r="C1715"/>
      <c r="D1715"/>
      <c r="E1715"/>
      <c r="F1715"/>
      <c r="G1715"/>
      <c r="H1715"/>
      <c r="K1715" s="62"/>
    </row>
    <row r="1716" spans="2:11" s="3" customFormat="1">
      <c r="B1716"/>
      <c r="C1716"/>
      <c r="D1716"/>
      <c r="E1716"/>
      <c r="F1716"/>
      <c r="G1716"/>
      <c r="H1716"/>
      <c r="K1716" s="62"/>
    </row>
    <row r="1717" spans="2:11" s="3" customFormat="1">
      <c r="B1717"/>
      <c r="C1717"/>
      <c r="D1717"/>
      <c r="E1717"/>
      <c r="F1717"/>
      <c r="G1717"/>
      <c r="H1717"/>
      <c r="K1717" s="62"/>
    </row>
    <row r="1718" spans="2:11" s="3" customFormat="1">
      <c r="B1718"/>
      <c r="C1718"/>
      <c r="D1718"/>
      <c r="E1718"/>
      <c r="F1718"/>
      <c r="G1718"/>
      <c r="H1718"/>
      <c r="K1718" s="62"/>
    </row>
    <row r="1719" spans="2:11" s="3" customFormat="1">
      <c r="B1719"/>
      <c r="C1719"/>
      <c r="D1719"/>
      <c r="E1719"/>
      <c r="F1719"/>
      <c r="G1719"/>
      <c r="H1719"/>
      <c r="K1719" s="62"/>
    </row>
    <row r="1720" spans="2:11" s="3" customFormat="1">
      <c r="B1720"/>
      <c r="C1720"/>
      <c r="D1720"/>
      <c r="E1720"/>
      <c r="F1720"/>
      <c r="G1720"/>
      <c r="H1720"/>
      <c r="K1720" s="62"/>
    </row>
    <row r="1721" spans="2:11" s="3" customFormat="1">
      <c r="B1721"/>
      <c r="C1721"/>
      <c r="D1721"/>
      <c r="E1721"/>
      <c r="F1721"/>
      <c r="G1721"/>
      <c r="H1721"/>
      <c r="K1721" s="62"/>
    </row>
    <row r="1722" spans="2:11" s="3" customFormat="1">
      <c r="B1722"/>
      <c r="C1722"/>
      <c r="D1722"/>
      <c r="E1722"/>
      <c r="F1722"/>
      <c r="G1722"/>
      <c r="H1722"/>
      <c r="K1722" s="62"/>
    </row>
    <row r="1723" spans="2:11" s="3" customFormat="1">
      <c r="B1723"/>
      <c r="C1723"/>
      <c r="D1723"/>
      <c r="E1723"/>
      <c r="F1723"/>
      <c r="G1723"/>
      <c r="H1723"/>
      <c r="K1723" s="62"/>
    </row>
    <row r="1724" spans="2:11" s="3" customFormat="1">
      <c r="B1724"/>
      <c r="C1724"/>
      <c r="D1724"/>
      <c r="E1724"/>
      <c r="F1724"/>
      <c r="G1724"/>
      <c r="H1724"/>
      <c r="K1724" s="62"/>
    </row>
    <row r="1725" spans="2:11" s="3" customFormat="1">
      <c r="B1725"/>
      <c r="C1725"/>
      <c r="D1725"/>
      <c r="E1725"/>
      <c r="F1725"/>
      <c r="G1725"/>
      <c r="H1725"/>
      <c r="K1725" s="62"/>
    </row>
    <row r="1726" spans="2:11" s="3" customFormat="1">
      <c r="B1726"/>
      <c r="C1726"/>
      <c r="D1726"/>
      <c r="E1726"/>
      <c r="F1726"/>
      <c r="G1726"/>
      <c r="H1726"/>
      <c r="K1726" s="62"/>
    </row>
    <row r="1727" spans="2:11" s="3" customFormat="1">
      <c r="B1727"/>
      <c r="C1727"/>
      <c r="D1727"/>
      <c r="E1727"/>
      <c r="F1727"/>
      <c r="G1727"/>
      <c r="H1727"/>
      <c r="K1727" s="62"/>
    </row>
    <row r="1728" spans="2:11" s="3" customFormat="1">
      <c r="B1728"/>
      <c r="C1728"/>
      <c r="D1728"/>
      <c r="E1728"/>
      <c r="F1728"/>
      <c r="G1728"/>
      <c r="H1728"/>
      <c r="K1728" s="62"/>
    </row>
    <row r="1729" spans="2:11" s="3" customFormat="1">
      <c r="B1729"/>
      <c r="C1729"/>
      <c r="D1729"/>
      <c r="E1729"/>
      <c r="F1729"/>
      <c r="G1729"/>
      <c r="H1729"/>
      <c r="K1729" s="62"/>
    </row>
    <row r="1730" spans="2:11" s="3" customFormat="1">
      <c r="B1730"/>
      <c r="C1730"/>
      <c r="D1730"/>
      <c r="E1730"/>
      <c r="F1730"/>
      <c r="G1730"/>
      <c r="H1730"/>
      <c r="K1730" s="62"/>
    </row>
    <row r="1731" spans="2:11" s="3" customFormat="1">
      <c r="B1731"/>
      <c r="C1731"/>
      <c r="D1731"/>
      <c r="E1731"/>
      <c r="F1731"/>
      <c r="G1731"/>
      <c r="H1731"/>
      <c r="K1731" s="62"/>
    </row>
    <row r="1732" spans="2:11" s="3" customFormat="1">
      <c r="B1732"/>
      <c r="C1732"/>
      <c r="D1732"/>
      <c r="E1732"/>
      <c r="F1732"/>
      <c r="G1732"/>
      <c r="H1732"/>
      <c r="K1732" s="62"/>
    </row>
    <row r="1733" spans="2:11" s="3" customFormat="1">
      <c r="B1733"/>
      <c r="C1733"/>
      <c r="D1733"/>
      <c r="E1733"/>
      <c r="F1733"/>
      <c r="G1733"/>
      <c r="H1733"/>
      <c r="K1733" s="62"/>
    </row>
    <row r="1734" spans="2:11" s="3" customFormat="1">
      <c r="B1734"/>
      <c r="C1734"/>
      <c r="D1734"/>
      <c r="E1734"/>
      <c r="F1734"/>
      <c r="G1734"/>
      <c r="H1734"/>
      <c r="K1734" s="62"/>
    </row>
    <row r="1735" spans="2:11" s="3" customFormat="1">
      <c r="B1735"/>
      <c r="C1735"/>
      <c r="D1735"/>
      <c r="E1735"/>
      <c r="F1735"/>
      <c r="G1735"/>
      <c r="H1735"/>
      <c r="K1735" s="62"/>
    </row>
    <row r="1736" spans="2:11" s="3" customFormat="1">
      <c r="B1736"/>
      <c r="C1736"/>
      <c r="D1736"/>
      <c r="E1736"/>
      <c r="F1736"/>
      <c r="G1736"/>
      <c r="H1736"/>
      <c r="K1736" s="62"/>
    </row>
    <row r="1737" spans="2:11" s="3" customFormat="1">
      <c r="B1737"/>
      <c r="C1737"/>
      <c r="D1737"/>
      <c r="E1737"/>
      <c r="F1737"/>
      <c r="G1737"/>
      <c r="H1737"/>
      <c r="K1737" s="62"/>
    </row>
    <row r="1738" spans="2:11" s="3" customFormat="1">
      <c r="B1738"/>
      <c r="C1738"/>
      <c r="D1738"/>
      <c r="E1738"/>
      <c r="F1738"/>
      <c r="G1738"/>
      <c r="H1738"/>
      <c r="K1738" s="62"/>
    </row>
    <row r="1739" spans="2:11" s="3" customFormat="1">
      <c r="B1739"/>
      <c r="C1739"/>
      <c r="D1739"/>
      <c r="E1739"/>
      <c r="F1739"/>
      <c r="G1739"/>
      <c r="H1739"/>
      <c r="K1739" s="62"/>
    </row>
    <row r="1740" spans="2:11" s="3" customFormat="1">
      <c r="B1740"/>
      <c r="C1740"/>
      <c r="D1740"/>
      <c r="E1740"/>
      <c r="F1740"/>
      <c r="G1740"/>
      <c r="H1740"/>
      <c r="K1740" s="62"/>
    </row>
    <row r="1741" spans="2:11" s="3" customFormat="1">
      <c r="B1741"/>
      <c r="C1741"/>
      <c r="D1741"/>
      <c r="E1741"/>
      <c r="F1741"/>
      <c r="G1741"/>
      <c r="H1741"/>
      <c r="K1741" s="62"/>
    </row>
    <row r="1742" spans="2:11" s="3" customFormat="1">
      <c r="B1742"/>
      <c r="C1742"/>
      <c r="D1742"/>
      <c r="E1742"/>
      <c r="F1742"/>
      <c r="G1742"/>
      <c r="H1742"/>
      <c r="K1742" s="62"/>
    </row>
    <row r="1743" spans="2:11" s="3" customFormat="1">
      <c r="B1743"/>
      <c r="C1743"/>
      <c r="D1743"/>
      <c r="E1743"/>
      <c r="F1743"/>
      <c r="G1743"/>
      <c r="H1743"/>
      <c r="K1743" s="62"/>
    </row>
    <row r="1744" spans="2:11" s="3" customFormat="1">
      <c r="B1744"/>
      <c r="C1744"/>
      <c r="D1744"/>
      <c r="E1744"/>
      <c r="F1744"/>
      <c r="G1744"/>
      <c r="H1744"/>
      <c r="K1744" s="62"/>
    </row>
    <row r="1745" spans="2:11" s="3" customFormat="1">
      <c r="B1745"/>
      <c r="C1745"/>
      <c r="D1745"/>
      <c r="E1745"/>
      <c r="F1745"/>
      <c r="G1745"/>
      <c r="H1745"/>
      <c r="K1745" s="62"/>
    </row>
    <row r="1746" spans="2:11" s="3" customFormat="1">
      <c r="B1746"/>
      <c r="C1746"/>
      <c r="D1746"/>
      <c r="E1746"/>
      <c r="F1746"/>
      <c r="G1746"/>
      <c r="H1746"/>
      <c r="K1746" s="62"/>
    </row>
    <row r="1747" spans="2:11" s="3" customFormat="1">
      <c r="B1747"/>
      <c r="C1747"/>
      <c r="D1747"/>
      <c r="E1747"/>
      <c r="F1747"/>
      <c r="G1747"/>
      <c r="H1747"/>
      <c r="K1747" s="62"/>
    </row>
    <row r="1748" spans="2:11" s="3" customFormat="1">
      <c r="B1748"/>
      <c r="C1748"/>
      <c r="D1748"/>
      <c r="E1748"/>
      <c r="F1748"/>
      <c r="G1748"/>
      <c r="H1748"/>
      <c r="K1748" s="62"/>
    </row>
    <row r="1749" spans="2:11" s="3" customFormat="1">
      <c r="B1749"/>
      <c r="C1749"/>
      <c r="D1749"/>
      <c r="E1749"/>
      <c r="F1749"/>
      <c r="G1749"/>
      <c r="H1749"/>
      <c r="K1749" s="62"/>
    </row>
    <row r="1750" spans="2:11" s="3" customFormat="1">
      <c r="B1750"/>
      <c r="C1750"/>
      <c r="D1750"/>
      <c r="E1750"/>
      <c r="F1750"/>
      <c r="G1750"/>
      <c r="H1750"/>
      <c r="K1750" s="62"/>
    </row>
    <row r="1751" spans="2:11" s="3" customFormat="1">
      <c r="B1751"/>
      <c r="C1751"/>
      <c r="D1751"/>
      <c r="E1751"/>
      <c r="F1751"/>
      <c r="G1751"/>
      <c r="H1751"/>
      <c r="K1751" s="62"/>
    </row>
    <row r="1752" spans="2:11" s="3" customFormat="1">
      <c r="B1752"/>
      <c r="C1752"/>
      <c r="D1752"/>
      <c r="E1752"/>
      <c r="F1752"/>
      <c r="G1752"/>
      <c r="H1752"/>
      <c r="K1752" s="62"/>
    </row>
    <row r="1753" spans="2:11" s="3" customFormat="1">
      <c r="B1753"/>
      <c r="C1753"/>
      <c r="D1753"/>
      <c r="E1753"/>
      <c r="F1753"/>
      <c r="G1753"/>
      <c r="H1753"/>
      <c r="K1753" s="62"/>
    </row>
    <row r="1754" spans="2:11" s="3" customFormat="1">
      <c r="B1754"/>
      <c r="C1754"/>
      <c r="D1754"/>
      <c r="E1754"/>
      <c r="F1754"/>
      <c r="G1754"/>
      <c r="H1754"/>
      <c r="K1754" s="62"/>
    </row>
    <row r="1755" spans="2:11" s="3" customFormat="1">
      <c r="B1755"/>
      <c r="C1755"/>
      <c r="D1755"/>
      <c r="E1755"/>
      <c r="F1755"/>
      <c r="G1755"/>
      <c r="H1755"/>
      <c r="K1755" s="62"/>
    </row>
    <row r="1756" spans="2:11" s="3" customFormat="1">
      <c r="B1756"/>
      <c r="C1756"/>
      <c r="D1756"/>
      <c r="E1756"/>
      <c r="F1756"/>
      <c r="G1756"/>
      <c r="H1756"/>
      <c r="K1756" s="62"/>
    </row>
    <row r="1757" spans="2:11" s="3" customFormat="1">
      <c r="B1757"/>
      <c r="C1757"/>
      <c r="D1757"/>
      <c r="E1757"/>
      <c r="F1757"/>
      <c r="G1757"/>
      <c r="H1757"/>
      <c r="K1757" s="62"/>
    </row>
    <row r="1758" spans="2:11" s="3" customFormat="1">
      <c r="B1758"/>
      <c r="C1758"/>
      <c r="D1758"/>
      <c r="E1758"/>
      <c r="F1758"/>
      <c r="G1758"/>
      <c r="H1758"/>
      <c r="K1758" s="62"/>
    </row>
    <row r="1759" spans="2:11" s="3" customFormat="1">
      <c r="B1759"/>
      <c r="C1759"/>
      <c r="D1759"/>
      <c r="E1759"/>
      <c r="F1759"/>
      <c r="G1759"/>
      <c r="H1759"/>
      <c r="K1759" s="62"/>
    </row>
    <row r="1760" spans="2:11" s="3" customFormat="1">
      <c r="B1760"/>
      <c r="C1760"/>
      <c r="D1760"/>
      <c r="E1760"/>
      <c r="F1760"/>
      <c r="G1760"/>
      <c r="H1760"/>
      <c r="K1760" s="62"/>
    </row>
    <row r="1761" spans="2:11" s="3" customFormat="1">
      <c r="B1761"/>
      <c r="C1761"/>
      <c r="D1761"/>
      <c r="E1761"/>
      <c r="F1761"/>
      <c r="G1761"/>
      <c r="H1761"/>
      <c r="K1761" s="62"/>
    </row>
    <row r="1762" spans="2:11" s="3" customFormat="1">
      <c r="B1762"/>
      <c r="C1762"/>
      <c r="D1762"/>
      <c r="E1762"/>
      <c r="F1762"/>
      <c r="G1762"/>
      <c r="H1762"/>
      <c r="K1762" s="62"/>
    </row>
    <row r="1763" spans="2:11" s="3" customFormat="1">
      <c r="B1763"/>
      <c r="C1763"/>
      <c r="D1763"/>
      <c r="E1763"/>
      <c r="F1763"/>
      <c r="G1763"/>
      <c r="H1763"/>
      <c r="K1763" s="62"/>
    </row>
    <row r="1764" spans="2:11" s="3" customFormat="1">
      <c r="B1764"/>
      <c r="C1764"/>
      <c r="D1764"/>
      <c r="E1764"/>
      <c r="F1764"/>
      <c r="G1764"/>
      <c r="H1764"/>
      <c r="K1764" s="62"/>
    </row>
    <row r="1765" spans="2:11" s="3" customFormat="1">
      <c r="B1765"/>
      <c r="C1765"/>
      <c r="D1765"/>
      <c r="E1765"/>
      <c r="F1765"/>
      <c r="G1765"/>
      <c r="H1765"/>
      <c r="K1765" s="62"/>
    </row>
    <row r="1766" spans="2:11" s="3" customFormat="1">
      <c r="B1766"/>
      <c r="C1766"/>
      <c r="D1766"/>
      <c r="E1766"/>
      <c r="F1766"/>
      <c r="G1766"/>
      <c r="H1766"/>
      <c r="K1766" s="62"/>
    </row>
    <row r="1767" spans="2:11" s="3" customFormat="1">
      <c r="B1767"/>
      <c r="C1767"/>
      <c r="D1767"/>
      <c r="E1767"/>
      <c r="F1767"/>
      <c r="G1767"/>
      <c r="H1767"/>
      <c r="K1767" s="62"/>
    </row>
    <row r="1768" spans="2:11" s="3" customFormat="1">
      <c r="B1768"/>
      <c r="C1768"/>
      <c r="D1768"/>
      <c r="E1768"/>
      <c r="F1768"/>
      <c r="G1768"/>
      <c r="H1768"/>
      <c r="K1768" s="62"/>
    </row>
    <row r="1769" spans="2:11" s="3" customFormat="1">
      <c r="B1769"/>
      <c r="C1769"/>
      <c r="D1769"/>
      <c r="E1769"/>
      <c r="F1769"/>
      <c r="G1769"/>
      <c r="H1769"/>
      <c r="K1769" s="62"/>
    </row>
    <row r="1770" spans="2:11" s="3" customFormat="1">
      <c r="B1770"/>
      <c r="C1770"/>
      <c r="D1770"/>
      <c r="E1770"/>
      <c r="F1770"/>
      <c r="G1770"/>
      <c r="H1770"/>
      <c r="K1770" s="62"/>
    </row>
    <row r="1771" spans="2:11" s="3" customFormat="1">
      <c r="B1771"/>
      <c r="C1771"/>
      <c r="D1771"/>
      <c r="E1771"/>
      <c r="F1771"/>
      <c r="G1771"/>
      <c r="H1771"/>
      <c r="K1771" s="62"/>
    </row>
    <row r="1772" spans="2:11" s="3" customFormat="1">
      <c r="B1772"/>
      <c r="C1772"/>
      <c r="D1772"/>
      <c r="E1772"/>
      <c r="F1772"/>
      <c r="G1772"/>
      <c r="H1772"/>
      <c r="K1772" s="62"/>
    </row>
    <row r="1773" spans="2:11" s="3" customFormat="1">
      <c r="B1773"/>
      <c r="C1773"/>
      <c r="D1773"/>
      <c r="E1773"/>
      <c r="F1773"/>
      <c r="G1773"/>
      <c r="H1773"/>
      <c r="K1773" s="62"/>
    </row>
    <row r="1774" spans="2:11" s="3" customFormat="1">
      <c r="B1774"/>
      <c r="C1774"/>
      <c r="D1774"/>
      <c r="E1774"/>
      <c r="F1774"/>
      <c r="G1774"/>
      <c r="H1774"/>
      <c r="K1774" s="62"/>
    </row>
    <row r="1775" spans="2:11" s="3" customFormat="1">
      <c r="B1775"/>
      <c r="C1775"/>
      <c r="D1775"/>
      <c r="E1775"/>
      <c r="F1775"/>
      <c r="G1775"/>
      <c r="H1775"/>
      <c r="K1775" s="62"/>
    </row>
    <row r="1776" spans="2:11" s="3" customFormat="1">
      <c r="B1776"/>
      <c r="C1776"/>
      <c r="D1776"/>
      <c r="E1776"/>
      <c r="F1776"/>
      <c r="G1776"/>
      <c r="H1776"/>
      <c r="K1776" s="62"/>
    </row>
    <row r="1777" spans="2:11" s="3" customFormat="1">
      <c r="B1777"/>
      <c r="C1777"/>
      <c r="D1777"/>
      <c r="E1777"/>
      <c r="F1777"/>
      <c r="G1777"/>
      <c r="H1777"/>
      <c r="K1777" s="62"/>
    </row>
    <row r="1778" spans="2:11" s="3" customFormat="1">
      <c r="B1778"/>
      <c r="C1778"/>
      <c r="D1778"/>
      <c r="E1778"/>
      <c r="F1778"/>
      <c r="G1778"/>
      <c r="H1778"/>
      <c r="K1778" s="62"/>
    </row>
    <row r="1779" spans="2:11" s="3" customFormat="1">
      <c r="B1779"/>
      <c r="C1779"/>
      <c r="D1779"/>
      <c r="E1779"/>
      <c r="F1779"/>
      <c r="G1779"/>
      <c r="H1779"/>
      <c r="K1779" s="62"/>
    </row>
    <row r="1780" spans="2:11" s="3" customFormat="1">
      <c r="B1780"/>
      <c r="C1780"/>
      <c r="D1780"/>
      <c r="E1780"/>
      <c r="F1780"/>
      <c r="G1780"/>
      <c r="H1780"/>
      <c r="K1780" s="62"/>
    </row>
    <row r="1781" spans="2:11" s="3" customFormat="1">
      <c r="B1781"/>
      <c r="C1781"/>
      <c r="D1781"/>
      <c r="E1781"/>
      <c r="F1781"/>
      <c r="G1781"/>
      <c r="H1781"/>
      <c r="K1781" s="62"/>
    </row>
    <row r="1782" spans="2:11" s="3" customFormat="1">
      <c r="B1782"/>
      <c r="C1782"/>
      <c r="D1782"/>
      <c r="E1782"/>
      <c r="F1782"/>
      <c r="G1782"/>
      <c r="H1782"/>
      <c r="K1782" s="62"/>
    </row>
    <row r="1783" spans="2:11" s="3" customFormat="1">
      <c r="B1783"/>
      <c r="C1783"/>
      <c r="D1783"/>
      <c r="E1783"/>
      <c r="F1783"/>
      <c r="G1783"/>
      <c r="H1783"/>
      <c r="K1783" s="62"/>
    </row>
    <row r="1784" spans="2:11" s="3" customFormat="1">
      <c r="B1784"/>
      <c r="C1784"/>
      <c r="D1784"/>
      <c r="E1784"/>
      <c r="F1784"/>
      <c r="G1784"/>
      <c r="H1784"/>
      <c r="K1784" s="62"/>
    </row>
    <row r="1785" spans="2:11" s="3" customFormat="1">
      <c r="B1785"/>
      <c r="C1785"/>
      <c r="D1785"/>
      <c r="E1785"/>
      <c r="F1785"/>
      <c r="G1785"/>
      <c r="H1785"/>
      <c r="K1785" s="62"/>
    </row>
    <row r="1786" spans="2:11" s="3" customFormat="1">
      <c r="B1786"/>
      <c r="C1786"/>
      <c r="D1786"/>
      <c r="E1786"/>
      <c r="F1786"/>
      <c r="G1786"/>
      <c r="H1786"/>
      <c r="K1786" s="62"/>
    </row>
    <row r="1787" spans="2:11" s="3" customFormat="1">
      <c r="B1787"/>
      <c r="C1787"/>
      <c r="D1787"/>
      <c r="E1787"/>
      <c r="F1787"/>
      <c r="G1787"/>
      <c r="H1787"/>
      <c r="K1787" s="62"/>
    </row>
    <row r="1788" spans="2:11" s="3" customFormat="1">
      <c r="B1788"/>
      <c r="C1788"/>
      <c r="D1788"/>
      <c r="E1788"/>
      <c r="F1788"/>
      <c r="G1788"/>
      <c r="H1788"/>
      <c r="K1788" s="62"/>
    </row>
    <row r="1789" spans="2:11" s="3" customFormat="1">
      <c r="B1789"/>
      <c r="C1789"/>
      <c r="D1789"/>
      <c r="E1789"/>
      <c r="F1789"/>
      <c r="G1789"/>
      <c r="H1789"/>
      <c r="K1789" s="62"/>
    </row>
    <row r="1790" spans="2:11" s="3" customFormat="1">
      <c r="B1790"/>
      <c r="C1790"/>
      <c r="D1790"/>
      <c r="E1790"/>
      <c r="F1790"/>
      <c r="G1790"/>
      <c r="H1790"/>
      <c r="K1790" s="62"/>
    </row>
    <row r="1791" spans="2:11" s="3" customFormat="1">
      <c r="B1791"/>
      <c r="C1791"/>
      <c r="D1791"/>
      <c r="E1791"/>
      <c r="F1791"/>
      <c r="G1791"/>
      <c r="H1791"/>
      <c r="K1791" s="62"/>
    </row>
    <row r="1792" spans="2:11" s="3" customFormat="1">
      <c r="B1792"/>
      <c r="C1792"/>
      <c r="D1792"/>
      <c r="E1792"/>
      <c r="F1792"/>
      <c r="G1792"/>
      <c r="H1792"/>
      <c r="K1792" s="62"/>
    </row>
    <row r="1793" spans="2:11" s="3" customFormat="1">
      <c r="B1793"/>
      <c r="C1793"/>
      <c r="D1793"/>
      <c r="E1793"/>
      <c r="F1793"/>
      <c r="G1793"/>
      <c r="H1793"/>
      <c r="K1793" s="62"/>
    </row>
    <row r="1794" spans="2:11" s="3" customFormat="1">
      <c r="B1794"/>
      <c r="C1794"/>
      <c r="D1794"/>
      <c r="E1794"/>
      <c r="F1794"/>
      <c r="G1794"/>
      <c r="H1794"/>
      <c r="K1794" s="62"/>
    </row>
    <row r="1795" spans="2:11" s="3" customFormat="1">
      <c r="B1795"/>
      <c r="C1795"/>
      <c r="D1795"/>
      <c r="E1795"/>
      <c r="F1795"/>
      <c r="G1795"/>
      <c r="H1795"/>
      <c r="K1795" s="62"/>
    </row>
    <row r="1796" spans="2:11" s="3" customFormat="1">
      <c r="B1796"/>
      <c r="C1796"/>
      <c r="D1796"/>
      <c r="E1796"/>
      <c r="F1796"/>
      <c r="G1796"/>
      <c r="H1796"/>
      <c r="K1796" s="62"/>
    </row>
    <row r="1797" spans="2:11" s="3" customFormat="1">
      <c r="B1797"/>
      <c r="C1797"/>
      <c r="D1797"/>
      <c r="E1797"/>
      <c r="F1797"/>
      <c r="G1797"/>
      <c r="H1797"/>
      <c r="K1797" s="62"/>
    </row>
    <row r="1798" spans="2:11" s="3" customFormat="1">
      <c r="B1798"/>
      <c r="C1798"/>
      <c r="D1798"/>
      <c r="E1798"/>
      <c r="F1798"/>
      <c r="G1798"/>
      <c r="H1798"/>
      <c r="K1798" s="62"/>
    </row>
    <row r="1799" spans="2:11" s="3" customFormat="1">
      <c r="B1799"/>
      <c r="C1799"/>
      <c r="D1799"/>
      <c r="E1799"/>
      <c r="F1799"/>
      <c r="G1799"/>
      <c r="H1799"/>
      <c r="K1799" s="62"/>
    </row>
    <row r="1800" spans="2:11" s="3" customFormat="1">
      <c r="B1800"/>
      <c r="C1800"/>
      <c r="D1800"/>
      <c r="E1800"/>
      <c r="F1800"/>
      <c r="G1800"/>
      <c r="H1800"/>
      <c r="K1800" s="62"/>
    </row>
    <row r="1801" spans="2:11" s="3" customFormat="1">
      <c r="B1801"/>
      <c r="C1801"/>
      <c r="D1801"/>
      <c r="E1801"/>
      <c r="F1801"/>
      <c r="G1801"/>
      <c r="H1801"/>
      <c r="K1801" s="62"/>
    </row>
    <row r="1802" spans="2:11" s="3" customFormat="1">
      <c r="B1802"/>
      <c r="C1802"/>
      <c r="D1802"/>
      <c r="E1802"/>
      <c r="F1802"/>
      <c r="G1802"/>
      <c r="H1802"/>
      <c r="K1802" s="62"/>
    </row>
    <row r="1803" spans="2:11" s="3" customFormat="1">
      <c r="B1803"/>
      <c r="C1803"/>
      <c r="D1803"/>
      <c r="E1803"/>
      <c r="F1803"/>
      <c r="G1803"/>
      <c r="H1803"/>
      <c r="K1803" s="62"/>
    </row>
    <row r="1804" spans="2:11" s="3" customFormat="1">
      <c r="B1804"/>
      <c r="C1804"/>
      <c r="D1804"/>
      <c r="E1804"/>
      <c r="F1804"/>
      <c r="G1804"/>
      <c r="H1804"/>
      <c r="K1804" s="62"/>
    </row>
    <row r="1805" spans="2:11" s="3" customFormat="1">
      <c r="B1805"/>
      <c r="C1805"/>
      <c r="D1805"/>
      <c r="E1805"/>
      <c r="F1805"/>
      <c r="G1805"/>
      <c r="H1805"/>
      <c r="K1805" s="62"/>
    </row>
    <row r="1806" spans="2:11" s="3" customFormat="1">
      <c r="B1806"/>
      <c r="C1806"/>
      <c r="D1806"/>
      <c r="E1806"/>
      <c r="F1806"/>
      <c r="G1806"/>
      <c r="H1806"/>
      <c r="K1806" s="62"/>
    </row>
    <row r="1807" spans="2:11" s="3" customFormat="1">
      <c r="B1807"/>
      <c r="C1807"/>
      <c r="D1807"/>
      <c r="E1807"/>
      <c r="F1807"/>
      <c r="G1807"/>
      <c r="H1807"/>
      <c r="K1807" s="62"/>
    </row>
    <row r="1808" spans="2:11" s="3" customFormat="1">
      <c r="B1808"/>
      <c r="C1808"/>
      <c r="D1808"/>
      <c r="E1808"/>
      <c r="F1808"/>
      <c r="G1808"/>
      <c r="H1808"/>
      <c r="K1808" s="62"/>
    </row>
    <row r="1809" spans="2:11" s="3" customFormat="1">
      <c r="B1809"/>
      <c r="C1809"/>
      <c r="D1809"/>
      <c r="E1809"/>
      <c r="F1809"/>
      <c r="G1809"/>
      <c r="H1809"/>
      <c r="K1809" s="62"/>
    </row>
    <row r="1810" spans="2:11" s="3" customFormat="1">
      <c r="B1810"/>
      <c r="C1810"/>
      <c r="D1810"/>
      <c r="E1810"/>
      <c r="F1810"/>
      <c r="G1810"/>
      <c r="H1810"/>
      <c r="K1810" s="62"/>
    </row>
    <row r="1811" spans="2:11" s="3" customFormat="1">
      <c r="B1811"/>
      <c r="C1811"/>
      <c r="D1811"/>
      <c r="E1811"/>
      <c r="F1811"/>
      <c r="G1811"/>
      <c r="H1811"/>
      <c r="K1811" s="62"/>
    </row>
    <row r="1812" spans="2:11" s="3" customFormat="1">
      <c r="B1812"/>
      <c r="C1812"/>
      <c r="D1812"/>
      <c r="E1812"/>
      <c r="F1812"/>
      <c r="G1812"/>
      <c r="H1812"/>
      <c r="K1812" s="62"/>
    </row>
    <row r="1813" spans="2:11" s="3" customFormat="1">
      <c r="B1813"/>
      <c r="C1813"/>
      <c r="D1813"/>
      <c r="E1813"/>
      <c r="F1813"/>
      <c r="G1813"/>
      <c r="H1813"/>
      <c r="K1813" s="62"/>
    </row>
    <row r="1814" spans="2:11" s="3" customFormat="1">
      <c r="B1814"/>
      <c r="C1814"/>
      <c r="D1814"/>
      <c r="E1814"/>
      <c r="F1814"/>
      <c r="G1814"/>
      <c r="H1814"/>
      <c r="K1814" s="62"/>
    </row>
    <row r="1815" spans="2:11" s="3" customFormat="1">
      <c r="B1815"/>
      <c r="C1815"/>
      <c r="D1815"/>
      <c r="E1815"/>
      <c r="F1815"/>
      <c r="G1815"/>
      <c r="H1815"/>
      <c r="K1815" s="62"/>
    </row>
    <row r="1816" spans="2:11" s="3" customFormat="1">
      <c r="B1816"/>
      <c r="C1816"/>
      <c r="D1816"/>
      <c r="E1816"/>
      <c r="F1816"/>
      <c r="G1816"/>
      <c r="H1816"/>
      <c r="K1816" s="62"/>
    </row>
    <row r="1817" spans="2:11" s="3" customFormat="1">
      <c r="B1817"/>
      <c r="C1817"/>
      <c r="D1817"/>
      <c r="E1817"/>
      <c r="F1817"/>
      <c r="G1817"/>
      <c r="H1817"/>
      <c r="K1817" s="62"/>
    </row>
    <row r="1818" spans="2:11" s="3" customFormat="1">
      <c r="B1818"/>
      <c r="C1818"/>
      <c r="D1818"/>
      <c r="E1818"/>
      <c r="F1818"/>
      <c r="G1818"/>
      <c r="H1818"/>
      <c r="K1818" s="62"/>
    </row>
    <row r="1819" spans="2:11" s="3" customFormat="1">
      <c r="B1819"/>
      <c r="C1819"/>
      <c r="D1819"/>
      <c r="E1819"/>
      <c r="F1819"/>
      <c r="G1819"/>
      <c r="H1819"/>
      <c r="K1819" s="62"/>
    </row>
    <row r="1820" spans="2:11" s="3" customFormat="1">
      <c r="B1820"/>
      <c r="C1820"/>
      <c r="D1820"/>
      <c r="E1820"/>
      <c r="F1820"/>
      <c r="G1820"/>
      <c r="H1820"/>
      <c r="K1820" s="62"/>
    </row>
    <row r="1821" spans="2:11" s="3" customFormat="1">
      <c r="B1821"/>
      <c r="C1821"/>
      <c r="D1821"/>
      <c r="E1821"/>
      <c r="F1821"/>
      <c r="G1821"/>
      <c r="H1821"/>
      <c r="K1821" s="62"/>
    </row>
    <row r="1822" spans="2:11" s="3" customFormat="1">
      <c r="B1822"/>
      <c r="C1822"/>
      <c r="D1822"/>
      <c r="E1822"/>
      <c r="F1822"/>
      <c r="G1822"/>
      <c r="H1822"/>
      <c r="K1822" s="62"/>
    </row>
    <row r="1823" spans="2:11" s="3" customFormat="1">
      <c r="B1823"/>
      <c r="C1823"/>
      <c r="D1823"/>
      <c r="E1823"/>
      <c r="F1823"/>
      <c r="G1823"/>
      <c r="H1823"/>
      <c r="K1823" s="62"/>
    </row>
    <row r="1824" spans="2:11" s="3" customFormat="1">
      <c r="B1824"/>
      <c r="C1824"/>
      <c r="D1824"/>
      <c r="E1824"/>
      <c r="F1824"/>
      <c r="G1824"/>
      <c r="H1824"/>
      <c r="K1824" s="62"/>
    </row>
    <row r="1825" spans="2:11" s="3" customFormat="1">
      <c r="B1825"/>
      <c r="C1825"/>
      <c r="D1825"/>
      <c r="E1825"/>
      <c r="F1825"/>
      <c r="G1825"/>
      <c r="H1825"/>
      <c r="K1825" s="62"/>
    </row>
    <row r="1826" spans="2:11" s="3" customFormat="1">
      <c r="B1826"/>
      <c r="C1826"/>
      <c r="D1826"/>
      <c r="E1826"/>
      <c r="F1826"/>
      <c r="G1826"/>
      <c r="H1826"/>
      <c r="K1826" s="62"/>
    </row>
    <row r="1827" spans="2:11" s="3" customFormat="1">
      <c r="B1827"/>
      <c r="C1827"/>
      <c r="D1827"/>
      <c r="E1827"/>
      <c r="F1827"/>
      <c r="G1827"/>
      <c r="H1827"/>
      <c r="K1827" s="62"/>
    </row>
    <row r="1828" spans="2:11" s="3" customFormat="1">
      <c r="B1828"/>
      <c r="C1828"/>
      <c r="D1828"/>
      <c r="E1828"/>
      <c r="F1828"/>
      <c r="G1828"/>
      <c r="H1828"/>
      <c r="K1828" s="62"/>
    </row>
    <row r="1829" spans="2:11" s="3" customFormat="1">
      <c r="B1829"/>
      <c r="C1829"/>
      <c r="D1829"/>
      <c r="E1829"/>
      <c r="F1829"/>
      <c r="G1829"/>
      <c r="H1829"/>
      <c r="K1829" s="62"/>
    </row>
    <row r="1830" spans="2:11" s="3" customFormat="1">
      <c r="B1830"/>
      <c r="C1830"/>
      <c r="D1830"/>
      <c r="E1830"/>
      <c r="F1830"/>
      <c r="G1830"/>
      <c r="H1830"/>
      <c r="K1830" s="62"/>
    </row>
    <row r="1831" spans="2:11" s="3" customFormat="1">
      <c r="B1831"/>
      <c r="C1831"/>
      <c r="D1831"/>
      <c r="E1831"/>
      <c r="F1831"/>
      <c r="G1831"/>
      <c r="H1831"/>
      <c r="K1831" s="62"/>
    </row>
    <row r="1832" spans="2:11" s="3" customFormat="1">
      <c r="B1832"/>
      <c r="C1832"/>
      <c r="D1832"/>
      <c r="E1832"/>
      <c r="F1832"/>
      <c r="G1832"/>
      <c r="H1832"/>
      <c r="K1832" s="62"/>
    </row>
    <row r="1833" spans="2:11" s="3" customFormat="1">
      <c r="B1833"/>
      <c r="C1833"/>
      <c r="D1833"/>
      <c r="E1833"/>
      <c r="F1833"/>
      <c r="G1833"/>
      <c r="H1833"/>
      <c r="K1833" s="62"/>
    </row>
    <row r="1834" spans="2:11" s="3" customFormat="1">
      <c r="B1834"/>
      <c r="C1834"/>
      <c r="D1834"/>
      <c r="E1834"/>
      <c r="F1834"/>
      <c r="G1834"/>
      <c r="H1834"/>
      <c r="K1834" s="62"/>
    </row>
    <row r="1835" spans="2:11" s="3" customFormat="1">
      <c r="B1835"/>
      <c r="C1835"/>
      <c r="D1835"/>
      <c r="E1835"/>
      <c r="F1835"/>
      <c r="G1835"/>
      <c r="H1835"/>
      <c r="K1835" s="62"/>
    </row>
    <row r="1836" spans="2:11" s="3" customFormat="1">
      <c r="B1836"/>
      <c r="C1836"/>
      <c r="D1836"/>
      <c r="E1836"/>
      <c r="F1836"/>
      <c r="G1836"/>
      <c r="H1836"/>
      <c r="K1836" s="62"/>
    </row>
    <row r="1837" spans="2:11" s="3" customFormat="1">
      <c r="B1837"/>
      <c r="C1837"/>
      <c r="D1837"/>
      <c r="E1837"/>
      <c r="F1837"/>
      <c r="G1837"/>
      <c r="H1837"/>
      <c r="K1837" s="62"/>
    </row>
    <row r="1838" spans="2:11" s="3" customFormat="1">
      <c r="B1838"/>
      <c r="C1838"/>
      <c r="D1838"/>
      <c r="E1838"/>
      <c r="F1838"/>
      <c r="G1838"/>
      <c r="H1838"/>
      <c r="K1838" s="62"/>
    </row>
    <row r="1839" spans="2:11" s="3" customFormat="1">
      <c r="B1839"/>
      <c r="C1839"/>
      <c r="D1839"/>
      <c r="E1839"/>
      <c r="F1839"/>
      <c r="G1839"/>
      <c r="H1839"/>
      <c r="K1839" s="62"/>
    </row>
    <row r="1840" spans="2:11" s="3" customFormat="1">
      <c r="B1840"/>
      <c r="C1840"/>
      <c r="D1840"/>
      <c r="E1840"/>
      <c r="F1840"/>
      <c r="G1840"/>
      <c r="H1840"/>
      <c r="K1840" s="62"/>
    </row>
    <row r="1841" spans="2:11" s="3" customFormat="1">
      <c r="B1841"/>
      <c r="C1841"/>
      <c r="D1841"/>
      <c r="E1841"/>
      <c r="F1841"/>
      <c r="G1841"/>
      <c r="H1841"/>
      <c r="K1841" s="62"/>
    </row>
    <row r="1842" spans="2:11" s="3" customFormat="1">
      <c r="B1842"/>
      <c r="C1842"/>
      <c r="D1842"/>
      <c r="E1842"/>
      <c r="F1842"/>
      <c r="G1842"/>
      <c r="H1842"/>
      <c r="K1842" s="62"/>
    </row>
    <row r="1843" spans="2:11" s="3" customFormat="1">
      <c r="B1843"/>
      <c r="C1843"/>
      <c r="D1843"/>
      <c r="E1843"/>
      <c r="F1843"/>
      <c r="G1843"/>
      <c r="H1843"/>
      <c r="K1843" s="62"/>
    </row>
    <row r="1844" spans="2:11" s="3" customFormat="1">
      <c r="B1844"/>
      <c r="C1844"/>
      <c r="D1844"/>
      <c r="E1844"/>
      <c r="F1844"/>
      <c r="G1844"/>
      <c r="H1844"/>
      <c r="K1844" s="62"/>
    </row>
    <row r="1845" spans="2:11" s="3" customFormat="1">
      <c r="B1845"/>
      <c r="C1845"/>
      <c r="D1845"/>
      <c r="E1845"/>
      <c r="F1845"/>
      <c r="G1845"/>
      <c r="H1845"/>
      <c r="K1845" s="62"/>
    </row>
    <row r="1846" spans="2:11" s="3" customFormat="1">
      <c r="B1846"/>
      <c r="C1846"/>
      <c r="D1846"/>
      <c r="E1846"/>
      <c r="F1846"/>
      <c r="G1846"/>
      <c r="H1846"/>
      <c r="K1846" s="62"/>
    </row>
    <row r="1847" spans="2:11" s="3" customFormat="1">
      <c r="B1847"/>
      <c r="C1847"/>
      <c r="D1847"/>
      <c r="E1847"/>
      <c r="F1847"/>
      <c r="G1847"/>
      <c r="H1847"/>
      <c r="K1847" s="62"/>
    </row>
    <row r="1848" spans="2:11" s="3" customFormat="1">
      <c r="B1848"/>
      <c r="C1848"/>
      <c r="D1848"/>
      <c r="E1848"/>
      <c r="F1848"/>
      <c r="G1848"/>
      <c r="H1848"/>
      <c r="K1848" s="62"/>
    </row>
    <row r="1849" spans="2:11" s="3" customFormat="1">
      <c r="B1849"/>
      <c r="C1849"/>
      <c r="D1849"/>
      <c r="E1849"/>
      <c r="F1849"/>
      <c r="G1849"/>
      <c r="H1849"/>
      <c r="K1849" s="62"/>
    </row>
    <row r="1850" spans="2:11" s="3" customFormat="1">
      <c r="B1850"/>
      <c r="C1850"/>
      <c r="D1850"/>
      <c r="E1850"/>
      <c r="F1850"/>
      <c r="G1850"/>
      <c r="H1850"/>
      <c r="K1850" s="62"/>
    </row>
    <row r="1851" spans="2:11" s="3" customFormat="1">
      <c r="B1851"/>
      <c r="C1851"/>
      <c r="D1851"/>
      <c r="E1851"/>
      <c r="F1851"/>
      <c r="G1851"/>
      <c r="H1851"/>
      <c r="K1851" s="62"/>
    </row>
    <row r="1852" spans="2:11" s="3" customFormat="1">
      <c r="B1852"/>
      <c r="C1852"/>
      <c r="D1852"/>
      <c r="E1852"/>
      <c r="F1852"/>
      <c r="G1852"/>
      <c r="H1852"/>
      <c r="K1852" s="62"/>
    </row>
    <row r="1853" spans="2:11" s="3" customFormat="1">
      <c r="B1853"/>
      <c r="C1853"/>
      <c r="D1853"/>
      <c r="E1853"/>
      <c r="F1853"/>
      <c r="G1853"/>
      <c r="H1853"/>
      <c r="K1853" s="62"/>
    </row>
    <row r="1854" spans="2:11" s="3" customFormat="1">
      <c r="B1854"/>
      <c r="C1854"/>
      <c r="D1854"/>
      <c r="E1854"/>
      <c r="F1854"/>
      <c r="G1854"/>
      <c r="K1854" s="62"/>
    </row>
    <row r="1855" spans="2:11" s="3" customFormat="1">
      <c r="B1855"/>
      <c r="C1855"/>
      <c r="D1855"/>
      <c r="E1855"/>
      <c r="F1855"/>
      <c r="G1855"/>
      <c r="K1855" s="62"/>
    </row>
    <row r="1856" spans="2:11" s="3" customFormat="1">
      <c r="B1856"/>
      <c r="C1856"/>
      <c r="D1856"/>
      <c r="E1856"/>
      <c r="F1856"/>
      <c r="G1856"/>
      <c r="K1856" s="62"/>
    </row>
    <row r="1857" spans="2:11" s="3" customFormat="1">
      <c r="B1857"/>
      <c r="C1857"/>
      <c r="D1857"/>
      <c r="E1857"/>
      <c r="F1857"/>
      <c r="G1857"/>
      <c r="K1857" s="62"/>
    </row>
    <row r="1858" spans="2:11" s="3" customFormat="1">
      <c r="B1858"/>
      <c r="C1858"/>
      <c r="D1858"/>
      <c r="E1858"/>
      <c r="F1858"/>
      <c r="G1858"/>
      <c r="K1858" s="62"/>
    </row>
    <row r="1859" spans="2:11" s="3" customFormat="1">
      <c r="B1859"/>
      <c r="C1859"/>
      <c r="D1859"/>
      <c r="E1859"/>
      <c r="F1859"/>
      <c r="G1859"/>
      <c r="K1859" s="62"/>
    </row>
    <row r="1860" spans="2:11" s="3" customFormat="1">
      <c r="B1860"/>
      <c r="C1860"/>
      <c r="D1860"/>
      <c r="E1860"/>
      <c r="F1860"/>
      <c r="G1860"/>
      <c r="K1860" s="62"/>
    </row>
    <row r="1861" spans="2:11" s="3" customFormat="1">
      <c r="B1861"/>
      <c r="C1861"/>
      <c r="D1861"/>
      <c r="E1861"/>
      <c r="F1861"/>
      <c r="G1861"/>
      <c r="K1861" s="62"/>
    </row>
    <row r="1862" spans="2:11" s="3" customFormat="1">
      <c r="B1862"/>
      <c r="C1862"/>
      <c r="D1862"/>
      <c r="E1862"/>
      <c r="F1862"/>
      <c r="G1862"/>
      <c r="K1862" s="62"/>
    </row>
    <row r="1863" spans="2:11" s="3" customFormat="1">
      <c r="B1863"/>
      <c r="C1863"/>
      <c r="D1863"/>
      <c r="E1863"/>
      <c r="F1863"/>
      <c r="G1863"/>
      <c r="K1863" s="62"/>
    </row>
    <row r="1864" spans="2:11" s="3" customFormat="1">
      <c r="B1864"/>
      <c r="C1864"/>
      <c r="D1864"/>
      <c r="E1864"/>
      <c r="F1864"/>
      <c r="G1864"/>
      <c r="K1864" s="62"/>
    </row>
    <row r="1865" spans="2:11" s="3" customFormat="1">
      <c r="B1865"/>
      <c r="C1865"/>
      <c r="D1865"/>
      <c r="E1865"/>
      <c r="F1865"/>
      <c r="G1865"/>
      <c r="K1865" s="62"/>
    </row>
    <row r="1866" spans="2:11" s="3" customFormat="1">
      <c r="B1866"/>
      <c r="C1866"/>
      <c r="D1866"/>
      <c r="E1866"/>
      <c r="F1866"/>
      <c r="G1866"/>
      <c r="K1866" s="62"/>
    </row>
    <row r="1867" spans="2:11" s="3" customFormat="1">
      <c r="B1867"/>
      <c r="C1867"/>
      <c r="D1867"/>
      <c r="E1867"/>
      <c r="F1867"/>
      <c r="G1867"/>
      <c r="K1867" s="62"/>
    </row>
    <row r="1868" spans="2:11" s="3" customFormat="1">
      <c r="B1868"/>
      <c r="C1868"/>
      <c r="D1868"/>
      <c r="E1868"/>
      <c r="F1868"/>
      <c r="G1868"/>
      <c r="K1868" s="62"/>
    </row>
    <row r="1869" spans="2:11" s="3" customFormat="1">
      <c r="B1869"/>
      <c r="C1869"/>
      <c r="D1869"/>
      <c r="E1869"/>
      <c r="F1869"/>
      <c r="G1869"/>
      <c r="K1869" s="62"/>
    </row>
    <row r="1870" spans="2:11" s="3" customFormat="1">
      <c r="B1870"/>
      <c r="C1870"/>
      <c r="D1870"/>
      <c r="E1870"/>
      <c r="F1870"/>
      <c r="G1870"/>
      <c r="K1870" s="62"/>
    </row>
    <row r="1871" spans="2:11" s="3" customFormat="1">
      <c r="B1871"/>
      <c r="C1871"/>
      <c r="D1871"/>
      <c r="E1871"/>
      <c r="F1871"/>
      <c r="G1871"/>
      <c r="K1871" s="62"/>
    </row>
    <row r="1872" spans="2:11" s="3" customFormat="1">
      <c r="B1872"/>
      <c r="C1872"/>
      <c r="D1872"/>
      <c r="E1872"/>
      <c r="F1872"/>
      <c r="G1872"/>
      <c r="K1872" s="62"/>
    </row>
    <row r="1873" spans="2:11" s="3" customFormat="1">
      <c r="B1873"/>
      <c r="C1873"/>
      <c r="D1873"/>
      <c r="E1873"/>
      <c r="F1873"/>
      <c r="G1873"/>
      <c r="K1873" s="62"/>
    </row>
    <row r="1874" spans="2:11" s="3" customFormat="1">
      <c r="B1874"/>
      <c r="C1874"/>
      <c r="D1874"/>
      <c r="E1874"/>
      <c r="F1874"/>
      <c r="G1874"/>
      <c r="K1874" s="62"/>
    </row>
    <row r="1875" spans="2:11" s="3" customFormat="1">
      <c r="B1875"/>
      <c r="C1875"/>
      <c r="D1875"/>
      <c r="E1875"/>
      <c r="F1875"/>
      <c r="G1875"/>
      <c r="K1875" s="62"/>
    </row>
    <row r="1876" spans="2:11" s="3" customFormat="1">
      <c r="B1876"/>
      <c r="C1876"/>
      <c r="D1876"/>
      <c r="E1876"/>
      <c r="F1876"/>
      <c r="G1876"/>
      <c r="K1876" s="62"/>
    </row>
    <row r="1877" spans="2:11" s="3" customFormat="1">
      <c r="B1877"/>
      <c r="C1877"/>
      <c r="D1877"/>
      <c r="E1877"/>
      <c r="F1877"/>
      <c r="G1877"/>
      <c r="K1877" s="62"/>
    </row>
    <row r="1878" spans="2:11" s="3" customFormat="1">
      <c r="B1878"/>
      <c r="C1878"/>
      <c r="D1878"/>
      <c r="E1878"/>
      <c r="F1878"/>
      <c r="G1878"/>
      <c r="K1878" s="62"/>
    </row>
    <row r="1879" spans="2:11" s="3" customFormat="1">
      <c r="B1879"/>
      <c r="C1879"/>
      <c r="D1879"/>
      <c r="E1879"/>
      <c r="F1879"/>
      <c r="G1879"/>
      <c r="K1879" s="62"/>
    </row>
    <row r="1880" spans="2:11" s="3" customFormat="1">
      <c r="B1880"/>
      <c r="C1880"/>
      <c r="D1880"/>
      <c r="E1880"/>
      <c r="F1880"/>
      <c r="G1880"/>
      <c r="K1880" s="62"/>
    </row>
    <row r="1881" spans="2:11" s="3" customFormat="1">
      <c r="B1881"/>
      <c r="C1881"/>
      <c r="D1881"/>
      <c r="E1881"/>
      <c r="F1881"/>
      <c r="G1881"/>
      <c r="K1881" s="62"/>
    </row>
    <row r="1882" spans="2:11" s="3" customFormat="1">
      <c r="B1882"/>
      <c r="C1882"/>
      <c r="D1882"/>
      <c r="E1882"/>
      <c r="F1882"/>
      <c r="G1882"/>
      <c r="K1882" s="62"/>
    </row>
    <row r="1883" spans="2:11" s="3" customFormat="1">
      <c r="B1883"/>
      <c r="C1883"/>
      <c r="D1883"/>
      <c r="E1883"/>
      <c r="F1883"/>
      <c r="G1883"/>
      <c r="K1883" s="62"/>
    </row>
    <row r="1884" spans="2:11" s="3" customFormat="1">
      <c r="B1884"/>
      <c r="C1884"/>
      <c r="D1884"/>
      <c r="E1884"/>
      <c r="F1884"/>
      <c r="G1884"/>
      <c r="K1884" s="62"/>
    </row>
    <row r="1885" spans="2:11" s="3" customFormat="1">
      <c r="B1885"/>
      <c r="C1885"/>
      <c r="D1885"/>
      <c r="E1885"/>
      <c r="F1885"/>
      <c r="G1885"/>
      <c r="K1885" s="62"/>
    </row>
    <row r="1886" spans="2:11" s="3" customFormat="1">
      <c r="B1886"/>
      <c r="C1886"/>
      <c r="D1886"/>
      <c r="E1886"/>
      <c r="F1886"/>
      <c r="G1886"/>
      <c r="K1886" s="62"/>
    </row>
    <row r="1887" spans="2:11" s="3" customFormat="1">
      <c r="B1887"/>
      <c r="C1887"/>
      <c r="D1887"/>
      <c r="E1887"/>
      <c r="F1887"/>
      <c r="G1887"/>
      <c r="K1887" s="62"/>
    </row>
    <row r="1888" spans="2:11" s="3" customFormat="1">
      <c r="B1888"/>
      <c r="C1888"/>
      <c r="D1888"/>
      <c r="E1888"/>
      <c r="F1888"/>
      <c r="G1888"/>
      <c r="K1888" s="62"/>
    </row>
    <row r="1889" spans="2:11" s="3" customFormat="1">
      <c r="B1889"/>
      <c r="C1889"/>
      <c r="D1889"/>
      <c r="E1889"/>
      <c r="F1889"/>
      <c r="G1889"/>
      <c r="K1889" s="62"/>
    </row>
    <row r="1890" spans="2:11" s="3" customFormat="1">
      <c r="B1890"/>
      <c r="C1890"/>
      <c r="D1890"/>
      <c r="E1890"/>
      <c r="F1890"/>
      <c r="G1890"/>
      <c r="K1890" s="62"/>
    </row>
    <row r="1891" spans="2:11" s="3" customFormat="1">
      <c r="B1891"/>
      <c r="C1891"/>
      <c r="D1891"/>
      <c r="E1891"/>
      <c r="F1891"/>
      <c r="G1891"/>
      <c r="K1891" s="62"/>
    </row>
    <row r="1892" spans="2:11" s="3" customFormat="1">
      <c r="B1892"/>
      <c r="C1892"/>
      <c r="D1892"/>
      <c r="E1892"/>
      <c r="F1892"/>
      <c r="G1892"/>
      <c r="K1892" s="62"/>
    </row>
    <row r="1893" spans="2:11" s="3" customFormat="1">
      <c r="B1893"/>
      <c r="C1893"/>
      <c r="D1893"/>
      <c r="E1893"/>
      <c r="F1893"/>
      <c r="G1893"/>
      <c r="K1893" s="62"/>
    </row>
    <row r="1894" spans="2:11" s="3" customFormat="1">
      <c r="B1894"/>
      <c r="C1894"/>
      <c r="D1894"/>
      <c r="E1894"/>
      <c r="F1894"/>
      <c r="G1894"/>
      <c r="K1894" s="62"/>
    </row>
    <row r="1895" spans="2:11" s="3" customFormat="1">
      <c r="B1895"/>
      <c r="C1895"/>
      <c r="D1895"/>
      <c r="E1895"/>
      <c r="F1895"/>
      <c r="G1895"/>
      <c r="K1895" s="62"/>
    </row>
    <row r="1896" spans="2:11" s="3" customFormat="1">
      <c r="B1896"/>
      <c r="C1896"/>
      <c r="D1896"/>
      <c r="E1896"/>
      <c r="F1896"/>
      <c r="G1896"/>
      <c r="K1896" s="62"/>
    </row>
    <row r="1897" spans="2:11" s="3" customFormat="1">
      <c r="B1897"/>
      <c r="C1897"/>
      <c r="D1897"/>
      <c r="E1897"/>
      <c r="F1897"/>
      <c r="G1897"/>
      <c r="K1897" s="62"/>
    </row>
    <row r="1898" spans="2:11" s="3" customFormat="1">
      <c r="B1898"/>
      <c r="C1898"/>
      <c r="D1898"/>
      <c r="E1898"/>
      <c r="F1898"/>
      <c r="G1898"/>
      <c r="K1898" s="62"/>
    </row>
    <row r="1899" spans="2:11" s="3" customFormat="1">
      <c r="B1899"/>
      <c r="C1899"/>
      <c r="D1899"/>
      <c r="E1899"/>
      <c r="F1899"/>
      <c r="G1899"/>
      <c r="K1899" s="62"/>
    </row>
    <row r="1900" spans="2:11" s="3" customFormat="1">
      <c r="B1900"/>
      <c r="C1900"/>
      <c r="D1900"/>
      <c r="E1900"/>
      <c r="F1900"/>
      <c r="G1900"/>
      <c r="K1900" s="62"/>
    </row>
    <row r="1901" spans="2:11" s="3" customFormat="1">
      <c r="B1901"/>
      <c r="C1901"/>
      <c r="D1901"/>
      <c r="E1901"/>
      <c r="F1901"/>
      <c r="G1901"/>
      <c r="K1901" s="62"/>
    </row>
    <row r="1902" spans="2:11" s="3" customFormat="1">
      <c r="B1902"/>
      <c r="C1902"/>
      <c r="D1902"/>
      <c r="E1902"/>
      <c r="F1902"/>
      <c r="G1902"/>
      <c r="K1902" s="62"/>
    </row>
    <row r="1903" spans="2:11" s="3" customFormat="1">
      <c r="B1903"/>
      <c r="C1903"/>
      <c r="D1903"/>
      <c r="E1903"/>
      <c r="F1903"/>
      <c r="G1903"/>
      <c r="K1903" s="62"/>
    </row>
    <row r="1904" spans="2:11" s="3" customFormat="1">
      <c r="B1904"/>
      <c r="C1904"/>
      <c r="D1904"/>
      <c r="E1904"/>
      <c r="F1904"/>
      <c r="G1904"/>
      <c r="K1904" s="62"/>
    </row>
    <row r="1905" spans="2:11" s="3" customFormat="1">
      <c r="B1905"/>
      <c r="C1905"/>
      <c r="D1905"/>
      <c r="E1905"/>
      <c r="F1905"/>
      <c r="G1905"/>
      <c r="K1905" s="62"/>
    </row>
    <row r="1906" spans="2:11" s="3" customFormat="1">
      <c r="B1906"/>
      <c r="C1906"/>
      <c r="D1906"/>
      <c r="E1906"/>
      <c r="F1906"/>
      <c r="G1906"/>
      <c r="K1906" s="62"/>
    </row>
    <row r="1907" spans="2:11" s="3" customFormat="1">
      <c r="B1907"/>
      <c r="C1907"/>
      <c r="D1907"/>
      <c r="E1907"/>
      <c r="F1907"/>
      <c r="G1907"/>
      <c r="K1907" s="62"/>
    </row>
    <row r="1908" spans="2:11" s="3" customFormat="1">
      <c r="B1908"/>
      <c r="C1908"/>
      <c r="D1908"/>
      <c r="E1908"/>
      <c r="F1908"/>
      <c r="G1908"/>
      <c r="K1908" s="62"/>
    </row>
    <row r="1909" spans="2:11" s="3" customFormat="1">
      <c r="B1909"/>
      <c r="C1909"/>
      <c r="D1909"/>
      <c r="E1909"/>
      <c r="F1909"/>
      <c r="G1909"/>
      <c r="K1909" s="62"/>
    </row>
    <row r="1910" spans="2:11" s="3" customFormat="1">
      <c r="B1910"/>
      <c r="C1910"/>
      <c r="D1910"/>
      <c r="E1910"/>
      <c r="F1910"/>
      <c r="G1910"/>
      <c r="K1910" s="62"/>
    </row>
    <row r="1911" spans="2:11" s="3" customFormat="1">
      <c r="B1911"/>
      <c r="C1911"/>
      <c r="D1911"/>
      <c r="E1911"/>
      <c r="F1911"/>
      <c r="G1911"/>
      <c r="K1911" s="62"/>
    </row>
    <row r="1912" spans="2:11" s="3" customFormat="1">
      <c r="B1912"/>
      <c r="C1912"/>
      <c r="D1912"/>
      <c r="E1912"/>
      <c r="F1912"/>
      <c r="G1912"/>
      <c r="K1912" s="62"/>
    </row>
    <row r="1913" spans="2:11" s="3" customFormat="1">
      <c r="B1913"/>
      <c r="C1913"/>
      <c r="D1913"/>
      <c r="E1913"/>
      <c r="F1913"/>
      <c r="G1913"/>
      <c r="K1913" s="62"/>
    </row>
    <row r="1914" spans="2:11" s="3" customFormat="1">
      <c r="B1914"/>
      <c r="C1914"/>
      <c r="D1914"/>
      <c r="E1914"/>
      <c r="F1914"/>
      <c r="G1914"/>
      <c r="K1914" s="62"/>
    </row>
    <row r="1915" spans="2:11" s="3" customFormat="1">
      <c r="B1915"/>
      <c r="C1915"/>
      <c r="D1915"/>
      <c r="E1915"/>
      <c r="F1915"/>
      <c r="G1915"/>
      <c r="K1915" s="62"/>
    </row>
    <row r="1916" spans="2:11" s="3" customFormat="1">
      <c r="B1916"/>
      <c r="C1916"/>
      <c r="D1916"/>
      <c r="E1916"/>
      <c r="F1916"/>
      <c r="G1916"/>
      <c r="K1916" s="62"/>
    </row>
    <row r="1917" spans="2:11" s="3" customFormat="1">
      <c r="B1917"/>
      <c r="C1917"/>
      <c r="D1917"/>
      <c r="E1917"/>
      <c r="F1917"/>
      <c r="G1917"/>
      <c r="K1917" s="62"/>
    </row>
    <row r="1918" spans="2:11" s="3" customFormat="1">
      <c r="B1918"/>
      <c r="C1918"/>
      <c r="D1918"/>
      <c r="E1918"/>
      <c r="F1918"/>
      <c r="G1918"/>
      <c r="K1918" s="62"/>
    </row>
    <row r="1919" spans="2:11" s="3" customFormat="1">
      <c r="B1919"/>
      <c r="C1919"/>
      <c r="D1919"/>
      <c r="E1919"/>
      <c r="F1919"/>
      <c r="G1919"/>
      <c r="K1919" s="62"/>
    </row>
    <row r="1920" spans="2:11" s="3" customFormat="1">
      <c r="B1920"/>
      <c r="C1920"/>
      <c r="D1920"/>
      <c r="E1920"/>
      <c r="F1920"/>
      <c r="G1920"/>
      <c r="K1920" s="62"/>
    </row>
    <row r="1921" spans="2:11" s="3" customFormat="1">
      <c r="B1921"/>
      <c r="C1921"/>
      <c r="D1921"/>
      <c r="E1921"/>
      <c r="F1921"/>
      <c r="G1921"/>
      <c r="K1921" s="62"/>
    </row>
    <row r="1922" spans="2:11" s="3" customFormat="1">
      <c r="B1922"/>
      <c r="C1922"/>
      <c r="D1922"/>
      <c r="E1922"/>
      <c r="F1922"/>
      <c r="G1922"/>
      <c r="K1922" s="62"/>
    </row>
    <row r="1923" spans="2:11" s="3" customFormat="1">
      <c r="B1923"/>
      <c r="C1923"/>
      <c r="D1923"/>
      <c r="E1923"/>
      <c r="F1923"/>
      <c r="G1923"/>
      <c r="K1923" s="62"/>
    </row>
    <row r="1924" spans="2:11" s="3" customFormat="1">
      <c r="B1924"/>
      <c r="C1924"/>
      <c r="D1924"/>
      <c r="E1924"/>
      <c r="F1924"/>
      <c r="G1924"/>
      <c r="K1924" s="62"/>
    </row>
    <row r="1925" spans="2:11" s="3" customFormat="1">
      <c r="B1925"/>
      <c r="C1925"/>
      <c r="D1925"/>
      <c r="E1925"/>
      <c r="F1925"/>
      <c r="G1925"/>
      <c r="K1925" s="62"/>
    </row>
    <row r="1926" spans="2:11" s="3" customFormat="1">
      <c r="B1926"/>
      <c r="C1926"/>
      <c r="D1926"/>
      <c r="E1926"/>
      <c r="F1926"/>
      <c r="G1926"/>
      <c r="K1926" s="62"/>
    </row>
    <row r="1927" spans="2:11" s="3" customFormat="1">
      <c r="B1927"/>
      <c r="C1927"/>
      <c r="D1927"/>
      <c r="E1927"/>
      <c r="F1927"/>
      <c r="G1927"/>
      <c r="K1927" s="62"/>
    </row>
    <row r="1928" spans="2:11" s="3" customFormat="1">
      <c r="B1928"/>
      <c r="C1928"/>
      <c r="D1928"/>
      <c r="E1928"/>
      <c r="F1928"/>
      <c r="G1928"/>
      <c r="K1928" s="62"/>
    </row>
    <row r="1929" spans="2:11" s="3" customFormat="1">
      <c r="B1929"/>
      <c r="C1929"/>
      <c r="D1929"/>
      <c r="E1929"/>
      <c r="F1929"/>
      <c r="G1929"/>
      <c r="K1929" s="62"/>
    </row>
    <row r="1930" spans="2:11" s="3" customFormat="1">
      <c r="B1930"/>
      <c r="C1930"/>
      <c r="D1930"/>
      <c r="E1930"/>
      <c r="F1930"/>
      <c r="G1930"/>
      <c r="K1930" s="62"/>
    </row>
    <row r="1931" spans="2:11" s="3" customFormat="1">
      <c r="B1931"/>
      <c r="C1931"/>
      <c r="D1931"/>
      <c r="E1931"/>
      <c r="F1931"/>
      <c r="G1931"/>
      <c r="K1931" s="62"/>
    </row>
    <row r="1932" spans="2:11" s="3" customFormat="1">
      <c r="B1932"/>
      <c r="C1932"/>
      <c r="D1932"/>
      <c r="E1932"/>
      <c r="F1932"/>
      <c r="G1932"/>
      <c r="K1932" s="62"/>
    </row>
    <row r="1933" spans="2:11" s="3" customFormat="1">
      <c r="B1933"/>
      <c r="C1933"/>
      <c r="D1933"/>
      <c r="E1933"/>
      <c r="F1933"/>
      <c r="G1933"/>
      <c r="K1933" s="62"/>
    </row>
    <row r="1934" spans="2:11" s="3" customFormat="1">
      <c r="B1934"/>
      <c r="C1934"/>
      <c r="D1934"/>
      <c r="E1934"/>
      <c r="F1934"/>
      <c r="G1934"/>
      <c r="K1934" s="62"/>
    </row>
    <row r="1935" spans="2:11" s="3" customFormat="1">
      <c r="B1935"/>
      <c r="C1935"/>
      <c r="D1935"/>
      <c r="E1935"/>
      <c r="F1935"/>
      <c r="G1935"/>
      <c r="K1935" s="62"/>
    </row>
    <row r="1936" spans="2:11" s="3" customFormat="1">
      <c r="B1936"/>
      <c r="C1936"/>
      <c r="D1936"/>
      <c r="E1936"/>
      <c r="F1936"/>
      <c r="G1936"/>
      <c r="K1936" s="62"/>
    </row>
    <row r="1937" spans="2:11" s="3" customFormat="1">
      <c r="B1937"/>
      <c r="C1937"/>
      <c r="D1937"/>
      <c r="E1937"/>
      <c r="F1937"/>
      <c r="G1937"/>
      <c r="K1937" s="62"/>
    </row>
    <row r="1938" spans="2:11" s="3" customFormat="1">
      <c r="B1938"/>
      <c r="C1938"/>
      <c r="D1938"/>
      <c r="E1938"/>
      <c r="F1938"/>
      <c r="G1938"/>
      <c r="K1938" s="62"/>
    </row>
    <row r="1939" spans="2:11" s="3" customFormat="1">
      <c r="B1939"/>
      <c r="C1939"/>
      <c r="D1939"/>
      <c r="E1939"/>
      <c r="F1939"/>
      <c r="G1939"/>
      <c r="K1939" s="62"/>
    </row>
    <row r="1940" spans="2:11" s="3" customFormat="1">
      <c r="B1940"/>
      <c r="C1940"/>
      <c r="D1940"/>
      <c r="E1940"/>
      <c r="F1940"/>
      <c r="G1940"/>
      <c r="K1940" s="62"/>
    </row>
    <row r="1941" spans="2:11" s="3" customFormat="1">
      <c r="B1941"/>
      <c r="C1941"/>
      <c r="D1941"/>
      <c r="E1941"/>
      <c r="F1941"/>
      <c r="G1941"/>
      <c r="K1941" s="62"/>
    </row>
    <row r="1942" spans="2:11" s="3" customFormat="1">
      <c r="B1942"/>
      <c r="C1942"/>
      <c r="D1942"/>
      <c r="E1942"/>
      <c r="F1942"/>
      <c r="G1942"/>
      <c r="K1942" s="62"/>
    </row>
    <row r="1943" spans="2:11" s="3" customFormat="1">
      <c r="B1943"/>
      <c r="C1943"/>
      <c r="D1943"/>
      <c r="E1943"/>
      <c r="F1943"/>
      <c r="G1943"/>
      <c r="K1943" s="62"/>
    </row>
    <row r="1944" spans="2:11" s="3" customFormat="1">
      <c r="B1944"/>
      <c r="C1944"/>
      <c r="D1944"/>
      <c r="E1944"/>
      <c r="F1944"/>
      <c r="G1944"/>
      <c r="K1944" s="62"/>
    </row>
    <row r="1945" spans="2:11" s="3" customFormat="1">
      <c r="B1945"/>
      <c r="C1945"/>
      <c r="D1945"/>
      <c r="E1945"/>
      <c r="F1945"/>
      <c r="G1945"/>
      <c r="K1945" s="62"/>
    </row>
    <row r="1946" spans="2:11" s="3" customFormat="1">
      <c r="B1946"/>
      <c r="C1946"/>
      <c r="D1946"/>
      <c r="E1946"/>
      <c r="F1946"/>
      <c r="G1946"/>
      <c r="K1946" s="62"/>
    </row>
    <row r="1947" spans="2:11" s="3" customFormat="1">
      <c r="B1947"/>
      <c r="C1947"/>
      <c r="D1947"/>
      <c r="E1947"/>
      <c r="F1947"/>
      <c r="G1947"/>
      <c r="K1947" s="62"/>
    </row>
    <row r="1948" spans="2:11" s="3" customFormat="1">
      <c r="B1948"/>
      <c r="C1948"/>
      <c r="D1948"/>
      <c r="E1948"/>
      <c r="F1948"/>
      <c r="G1948"/>
      <c r="K1948" s="62"/>
    </row>
    <row r="1949" spans="2:11" s="3" customFormat="1">
      <c r="B1949"/>
      <c r="C1949"/>
      <c r="D1949"/>
      <c r="E1949"/>
      <c r="F1949"/>
      <c r="G1949"/>
      <c r="K1949" s="62"/>
    </row>
    <row r="1950" spans="2:11" s="3" customFormat="1">
      <c r="B1950"/>
      <c r="C1950"/>
      <c r="D1950"/>
      <c r="E1950"/>
      <c r="F1950"/>
      <c r="G1950"/>
      <c r="K1950" s="62"/>
    </row>
    <row r="1951" spans="2:11" s="3" customFormat="1">
      <c r="B1951"/>
      <c r="C1951"/>
      <c r="D1951"/>
      <c r="E1951"/>
      <c r="F1951"/>
      <c r="G1951"/>
      <c r="K1951" s="62"/>
    </row>
    <row r="1952" spans="2:11" s="3" customFormat="1">
      <c r="B1952"/>
      <c r="C1952"/>
      <c r="D1952"/>
      <c r="E1952"/>
      <c r="F1952"/>
      <c r="G1952"/>
      <c r="K1952" s="62"/>
    </row>
    <row r="1953" spans="2:11" s="3" customFormat="1">
      <c r="B1953"/>
      <c r="C1953"/>
      <c r="D1953"/>
      <c r="E1953"/>
      <c r="F1953"/>
      <c r="G1953"/>
      <c r="K1953" s="62"/>
    </row>
    <row r="1954" spans="2:11" s="3" customFormat="1">
      <c r="B1954"/>
      <c r="C1954"/>
      <c r="D1954"/>
      <c r="E1954"/>
      <c r="F1954"/>
      <c r="G1954"/>
      <c r="K1954" s="62"/>
    </row>
    <row r="1955" spans="2:11" s="3" customFormat="1">
      <c r="B1955"/>
      <c r="C1955"/>
      <c r="D1955"/>
      <c r="E1955"/>
      <c r="F1955"/>
      <c r="G1955"/>
      <c r="K1955" s="62"/>
    </row>
    <row r="1956" spans="2:11" s="3" customFormat="1">
      <c r="B1956"/>
      <c r="C1956"/>
      <c r="D1956"/>
      <c r="E1956"/>
      <c r="F1956"/>
      <c r="G1956"/>
      <c r="K1956" s="62"/>
    </row>
    <row r="1957" spans="2:11" s="3" customFormat="1">
      <c r="B1957"/>
      <c r="C1957"/>
      <c r="D1957"/>
      <c r="E1957"/>
      <c r="F1957"/>
      <c r="G1957"/>
      <c r="K1957" s="62"/>
    </row>
    <row r="1958" spans="2:11" s="3" customFormat="1">
      <c r="B1958"/>
      <c r="C1958"/>
      <c r="D1958"/>
      <c r="E1958"/>
      <c r="F1958"/>
      <c r="G1958"/>
      <c r="K1958" s="62"/>
    </row>
    <row r="1959" spans="2:11" s="3" customFormat="1">
      <c r="B1959"/>
      <c r="C1959"/>
      <c r="D1959"/>
      <c r="E1959"/>
      <c r="F1959"/>
      <c r="G1959"/>
      <c r="K1959" s="62"/>
    </row>
    <row r="1960" spans="2:11" s="3" customFormat="1">
      <c r="B1960"/>
      <c r="C1960"/>
      <c r="D1960"/>
      <c r="E1960"/>
      <c r="F1960"/>
      <c r="G1960"/>
      <c r="K1960" s="62"/>
    </row>
    <row r="1961" spans="2:11" s="3" customFormat="1">
      <c r="B1961"/>
      <c r="C1961"/>
      <c r="D1961"/>
      <c r="E1961"/>
      <c r="F1961"/>
      <c r="G1961"/>
      <c r="K1961" s="62"/>
    </row>
    <row r="1962" spans="2:11" s="3" customFormat="1">
      <c r="B1962"/>
      <c r="C1962"/>
      <c r="D1962"/>
      <c r="E1962"/>
      <c r="F1962"/>
      <c r="G1962"/>
      <c r="K1962" s="62"/>
    </row>
    <row r="1963" spans="2:11" s="3" customFormat="1">
      <c r="B1963"/>
      <c r="C1963"/>
      <c r="D1963"/>
      <c r="E1963"/>
      <c r="F1963"/>
      <c r="G1963"/>
      <c r="K1963" s="62"/>
    </row>
    <row r="1964" spans="2:11" s="3" customFormat="1">
      <c r="B1964"/>
      <c r="C1964"/>
      <c r="D1964"/>
      <c r="E1964"/>
      <c r="F1964"/>
      <c r="G1964"/>
      <c r="K1964" s="62"/>
    </row>
    <row r="1965" spans="2:11" s="3" customFormat="1">
      <c r="B1965"/>
      <c r="C1965"/>
      <c r="D1965"/>
      <c r="E1965"/>
      <c r="F1965"/>
      <c r="G1965"/>
      <c r="K1965" s="62"/>
    </row>
    <row r="1966" spans="2:11" s="3" customFormat="1">
      <c r="B1966"/>
      <c r="C1966"/>
      <c r="D1966"/>
      <c r="E1966"/>
      <c r="F1966"/>
      <c r="G1966"/>
      <c r="K1966" s="62"/>
    </row>
    <row r="1967" spans="2:11" s="3" customFormat="1">
      <c r="B1967"/>
      <c r="C1967"/>
      <c r="D1967"/>
      <c r="E1967"/>
      <c r="F1967"/>
      <c r="G1967"/>
      <c r="K1967" s="62"/>
    </row>
    <row r="1968" spans="2:11" s="3" customFormat="1">
      <c r="B1968"/>
      <c r="C1968"/>
      <c r="D1968"/>
      <c r="E1968"/>
      <c r="F1968"/>
      <c r="G1968"/>
      <c r="K1968" s="62"/>
    </row>
    <row r="1969" spans="2:11" s="3" customFormat="1">
      <c r="B1969"/>
      <c r="C1969"/>
      <c r="D1969"/>
      <c r="E1969"/>
      <c r="F1969"/>
      <c r="G1969"/>
      <c r="K1969" s="62"/>
    </row>
    <row r="1970" spans="2:11" s="3" customFormat="1">
      <c r="B1970"/>
      <c r="C1970"/>
      <c r="D1970"/>
      <c r="E1970"/>
      <c r="F1970"/>
      <c r="G1970"/>
      <c r="K1970" s="62"/>
    </row>
    <row r="1971" spans="2:11" s="3" customFormat="1">
      <c r="B1971"/>
      <c r="C1971"/>
      <c r="D1971"/>
      <c r="E1971"/>
      <c r="F1971"/>
      <c r="G1971"/>
      <c r="K1971" s="62"/>
    </row>
    <row r="1972" spans="2:11" s="3" customFormat="1">
      <c r="B1972"/>
      <c r="C1972"/>
      <c r="D1972"/>
      <c r="E1972"/>
      <c r="F1972"/>
      <c r="G1972"/>
      <c r="K1972" s="62"/>
    </row>
    <row r="1973" spans="2:11" s="3" customFormat="1">
      <c r="B1973"/>
      <c r="C1973"/>
      <c r="D1973"/>
      <c r="E1973"/>
      <c r="F1973"/>
      <c r="G1973"/>
      <c r="K1973" s="62"/>
    </row>
    <row r="1974" spans="2:11" s="3" customFormat="1">
      <c r="B1974"/>
      <c r="C1974"/>
      <c r="D1974"/>
      <c r="E1974"/>
      <c r="F1974"/>
      <c r="G1974"/>
      <c r="K1974" s="62"/>
    </row>
    <row r="1975" spans="2:11" s="3" customFormat="1">
      <c r="B1975"/>
      <c r="C1975"/>
      <c r="D1975"/>
      <c r="E1975"/>
      <c r="F1975"/>
      <c r="G1975"/>
      <c r="K1975" s="62"/>
    </row>
    <row r="1976" spans="2:11" s="3" customFormat="1">
      <c r="B1976"/>
      <c r="C1976"/>
      <c r="D1976"/>
      <c r="E1976"/>
      <c r="F1976"/>
      <c r="G1976"/>
      <c r="K1976" s="62"/>
    </row>
    <row r="1977" spans="2:11" s="3" customFormat="1">
      <c r="B1977"/>
      <c r="C1977"/>
      <c r="D1977"/>
      <c r="E1977"/>
      <c r="F1977"/>
      <c r="G1977"/>
      <c r="K1977" s="62"/>
    </row>
    <row r="1978" spans="2:11" s="3" customFormat="1">
      <c r="B1978"/>
      <c r="C1978"/>
      <c r="D1978"/>
      <c r="E1978"/>
      <c r="F1978"/>
      <c r="G1978"/>
      <c r="K1978" s="62"/>
    </row>
    <row r="1979" spans="2:11" s="3" customFormat="1">
      <c r="B1979"/>
      <c r="C1979"/>
      <c r="D1979"/>
      <c r="E1979"/>
      <c r="F1979"/>
      <c r="G1979"/>
      <c r="K1979" s="62"/>
    </row>
    <row r="1980" spans="2:11" s="3" customFormat="1">
      <c r="B1980"/>
      <c r="C1980"/>
      <c r="D1980"/>
      <c r="E1980"/>
      <c r="F1980"/>
      <c r="G1980"/>
      <c r="K1980" s="62"/>
    </row>
    <row r="1981" spans="2:11" s="3" customFormat="1">
      <c r="B1981"/>
      <c r="C1981"/>
      <c r="D1981"/>
      <c r="E1981"/>
      <c r="F1981"/>
      <c r="G1981"/>
      <c r="K1981" s="62"/>
    </row>
    <row r="1982" spans="2:11" s="3" customFormat="1">
      <c r="B1982"/>
      <c r="C1982"/>
      <c r="D1982"/>
      <c r="E1982"/>
      <c r="F1982"/>
      <c r="G1982"/>
      <c r="K1982" s="62"/>
    </row>
    <row r="1983" spans="2:11" s="3" customFormat="1">
      <c r="B1983"/>
      <c r="C1983"/>
      <c r="D1983"/>
      <c r="E1983"/>
      <c r="F1983"/>
      <c r="G1983"/>
      <c r="K1983" s="62"/>
    </row>
    <row r="1984" spans="2:11" s="3" customFormat="1">
      <c r="B1984"/>
      <c r="C1984"/>
      <c r="D1984"/>
      <c r="E1984"/>
      <c r="F1984"/>
      <c r="G1984"/>
      <c r="K1984" s="62"/>
    </row>
    <row r="1985" spans="2:11" s="3" customFormat="1">
      <c r="B1985"/>
      <c r="C1985"/>
      <c r="D1985"/>
      <c r="E1985"/>
      <c r="F1985"/>
      <c r="G1985"/>
      <c r="K1985" s="62"/>
    </row>
    <row r="1986" spans="2:11" s="3" customFormat="1">
      <c r="B1986"/>
      <c r="C1986"/>
      <c r="D1986"/>
      <c r="E1986"/>
      <c r="F1986"/>
      <c r="G1986"/>
      <c r="K1986" s="62"/>
    </row>
    <row r="1987" spans="2:11" s="3" customFormat="1">
      <c r="B1987"/>
      <c r="C1987"/>
      <c r="D1987"/>
      <c r="E1987"/>
      <c r="F1987"/>
      <c r="G1987"/>
      <c r="K1987" s="62"/>
    </row>
    <row r="1988" spans="2:11" s="3" customFormat="1">
      <c r="B1988"/>
      <c r="C1988"/>
      <c r="D1988"/>
      <c r="E1988"/>
      <c r="F1988"/>
      <c r="G1988"/>
      <c r="K1988" s="62"/>
    </row>
    <row r="1989" spans="2:11" s="3" customFormat="1">
      <c r="B1989"/>
      <c r="C1989"/>
      <c r="D1989"/>
      <c r="E1989"/>
      <c r="F1989"/>
      <c r="G1989"/>
      <c r="K1989" s="62"/>
    </row>
    <row r="1990" spans="2:11" s="3" customFormat="1">
      <c r="B1990"/>
      <c r="C1990"/>
      <c r="D1990"/>
      <c r="E1990"/>
      <c r="F1990"/>
      <c r="G1990"/>
      <c r="K1990" s="62"/>
    </row>
    <row r="1991" spans="2:11" s="3" customFormat="1">
      <c r="B1991"/>
      <c r="C1991"/>
      <c r="D1991"/>
      <c r="E1991"/>
      <c r="F1991"/>
      <c r="G1991"/>
      <c r="K1991" s="62"/>
    </row>
    <row r="1992" spans="2:11" s="3" customFormat="1">
      <c r="B1992"/>
      <c r="C1992"/>
      <c r="D1992"/>
      <c r="E1992"/>
      <c r="F1992"/>
      <c r="G1992"/>
      <c r="K1992" s="62"/>
    </row>
    <row r="1993" spans="2:11" s="3" customFormat="1">
      <c r="B1993"/>
      <c r="C1993"/>
      <c r="D1993"/>
      <c r="E1993"/>
      <c r="F1993"/>
      <c r="G1993"/>
      <c r="K1993" s="62"/>
    </row>
    <row r="1994" spans="2:11" s="3" customFormat="1">
      <c r="B1994"/>
      <c r="C1994"/>
      <c r="D1994"/>
      <c r="E1994"/>
      <c r="F1994"/>
      <c r="G1994"/>
      <c r="K1994" s="62"/>
    </row>
    <row r="1995" spans="2:11" s="3" customFormat="1">
      <c r="B1995"/>
      <c r="C1995"/>
      <c r="D1995"/>
      <c r="E1995"/>
      <c r="F1995"/>
      <c r="G1995"/>
      <c r="K1995" s="62"/>
    </row>
    <row r="1996" spans="2:11" s="3" customFormat="1">
      <c r="B1996"/>
      <c r="C1996"/>
      <c r="D1996"/>
      <c r="E1996"/>
      <c r="F1996"/>
      <c r="G1996"/>
      <c r="K1996" s="62"/>
    </row>
    <row r="1997" spans="2:11" s="3" customFormat="1">
      <c r="B1997"/>
      <c r="C1997"/>
      <c r="D1997"/>
      <c r="E1997"/>
      <c r="F1997"/>
      <c r="G1997"/>
      <c r="K1997" s="62"/>
    </row>
    <row r="1998" spans="2:11" s="3" customFormat="1">
      <c r="B1998"/>
      <c r="C1998"/>
      <c r="D1998"/>
      <c r="E1998"/>
      <c r="F1998"/>
      <c r="G1998"/>
      <c r="K1998" s="62"/>
    </row>
    <row r="1999" spans="2:11" s="3" customFormat="1">
      <c r="B1999"/>
      <c r="C1999"/>
      <c r="D1999"/>
      <c r="E1999"/>
      <c r="F1999"/>
      <c r="G1999"/>
      <c r="K1999" s="62"/>
    </row>
    <row r="2000" spans="2:11" s="3" customFormat="1">
      <c r="B2000"/>
      <c r="C2000"/>
      <c r="D2000"/>
      <c r="E2000"/>
      <c r="F2000"/>
      <c r="G2000"/>
      <c r="K2000" s="62"/>
    </row>
    <row r="2001" spans="2:11" s="3" customFormat="1">
      <c r="B2001"/>
      <c r="C2001"/>
      <c r="D2001"/>
      <c r="E2001"/>
      <c r="F2001"/>
      <c r="G2001"/>
      <c r="K2001" s="62"/>
    </row>
    <row r="2002" spans="2:11" s="3" customFormat="1">
      <c r="B2002"/>
      <c r="C2002"/>
      <c r="D2002"/>
      <c r="E2002"/>
      <c r="F2002"/>
      <c r="G2002"/>
      <c r="K2002" s="62"/>
    </row>
    <row r="2003" spans="2:11" s="3" customFormat="1">
      <c r="B2003"/>
      <c r="C2003"/>
      <c r="D2003"/>
      <c r="E2003"/>
      <c r="F2003"/>
      <c r="G2003"/>
      <c r="K2003" s="62"/>
    </row>
    <row r="2004" spans="2:11" s="3" customFormat="1">
      <c r="B2004"/>
      <c r="C2004"/>
      <c r="D2004"/>
      <c r="E2004"/>
      <c r="F2004"/>
      <c r="G2004"/>
      <c r="K2004" s="62"/>
    </row>
    <row r="2005" spans="2:11" s="3" customFormat="1">
      <c r="B2005"/>
      <c r="C2005"/>
      <c r="D2005"/>
      <c r="E2005"/>
      <c r="F2005"/>
      <c r="G2005"/>
      <c r="K2005" s="62"/>
    </row>
    <row r="2006" spans="2:11" s="3" customFormat="1">
      <c r="B2006"/>
      <c r="C2006"/>
      <c r="D2006"/>
      <c r="E2006"/>
      <c r="F2006"/>
      <c r="G2006"/>
      <c r="K2006" s="62"/>
    </row>
    <row r="2007" spans="2:11" s="3" customFormat="1">
      <c r="B2007"/>
      <c r="C2007"/>
      <c r="D2007"/>
      <c r="E2007"/>
      <c r="F2007"/>
      <c r="G2007"/>
      <c r="K2007" s="62"/>
    </row>
    <row r="2008" spans="2:11" s="3" customFormat="1">
      <c r="B2008"/>
      <c r="C2008"/>
      <c r="D2008"/>
      <c r="E2008"/>
      <c r="F2008"/>
      <c r="G2008"/>
      <c r="K2008" s="62"/>
    </row>
    <row r="2009" spans="2:11" s="3" customFormat="1">
      <c r="B2009"/>
      <c r="C2009"/>
      <c r="D2009"/>
      <c r="E2009"/>
      <c r="F2009"/>
      <c r="G2009"/>
      <c r="K2009" s="62"/>
    </row>
    <row r="2010" spans="2:11" s="3" customFormat="1">
      <c r="B2010"/>
      <c r="C2010"/>
      <c r="D2010"/>
      <c r="E2010"/>
      <c r="F2010"/>
      <c r="G2010"/>
      <c r="K2010" s="62"/>
    </row>
    <row r="2011" spans="2:11" s="3" customFormat="1">
      <c r="B2011"/>
      <c r="C2011"/>
      <c r="D2011"/>
      <c r="E2011"/>
      <c r="F2011"/>
      <c r="G2011"/>
      <c r="K2011" s="62"/>
    </row>
    <row r="2012" spans="2:11" s="3" customFormat="1">
      <c r="B2012"/>
      <c r="C2012"/>
      <c r="D2012"/>
      <c r="E2012"/>
      <c r="F2012"/>
      <c r="G2012"/>
      <c r="K2012" s="62"/>
    </row>
    <row r="2013" spans="2:11" s="3" customFormat="1">
      <c r="B2013"/>
      <c r="C2013"/>
      <c r="D2013"/>
      <c r="E2013"/>
      <c r="F2013"/>
      <c r="G2013"/>
      <c r="K2013" s="62"/>
    </row>
    <row r="2014" spans="2:11" s="3" customFormat="1">
      <c r="B2014"/>
      <c r="C2014"/>
      <c r="D2014"/>
      <c r="E2014"/>
      <c r="F2014"/>
      <c r="G2014"/>
      <c r="K2014" s="62"/>
    </row>
    <row r="2015" spans="2:11" s="3" customFormat="1">
      <c r="B2015"/>
      <c r="C2015"/>
      <c r="D2015"/>
      <c r="E2015"/>
      <c r="F2015"/>
      <c r="G2015"/>
      <c r="K2015" s="62"/>
    </row>
    <row r="2016" spans="2:11" s="3" customFormat="1">
      <c r="B2016"/>
      <c r="C2016"/>
      <c r="D2016"/>
      <c r="E2016"/>
      <c r="F2016"/>
      <c r="G2016"/>
      <c r="K2016" s="62"/>
    </row>
    <row r="2017" spans="2:11" s="3" customFormat="1">
      <c r="B2017"/>
      <c r="C2017"/>
      <c r="D2017"/>
      <c r="E2017"/>
      <c r="F2017"/>
      <c r="G2017"/>
      <c r="K2017" s="62"/>
    </row>
    <row r="2018" spans="2:11" s="3" customFormat="1">
      <c r="B2018"/>
      <c r="C2018"/>
      <c r="D2018"/>
      <c r="E2018"/>
      <c r="F2018"/>
      <c r="G2018"/>
      <c r="K2018" s="62"/>
    </row>
    <row r="2019" spans="2:11" s="3" customFormat="1">
      <c r="B2019"/>
      <c r="C2019"/>
      <c r="D2019"/>
      <c r="E2019"/>
      <c r="F2019"/>
      <c r="G2019"/>
      <c r="K2019" s="62"/>
    </row>
    <row r="2020" spans="2:11" s="3" customFormat="1">
      <c r="B2020"/>
      <c r="C2020"/>
      <c r="D2020"/>
      <c r="E2020"/>
      <c r="F2020"/>
      <c r="G2020"/>
      <c r="K2020" s="62"/>
    </row>
    <row r="2021" spans="2:11" s="3" customFormat="1">
      <c r="B2021"/>
      <c r="C2021"/>
      <c r="D2021"/>
      <c r="E2021"/>
      <c r="F2021"/>
      <c r="G2021"/>
      <c r="K2021" s="62"/>
    </row>
    <row r="2022" spans="2:11" s="3" customFormat="1">
      <c r="B2022"/>
      <c r="C2022"/>
      <c r="D2022"/>
      <c r="E2022"/>
      <c r="F2022"/>
      <c r="G2022"/>
      <c r="K2022" s="62"/>
    </row>
    <row r="2023" spans="2:11" s="3" customFormat="1">
      <c r="B2023"/>
      <c r="C2023"/>
      <c r="D2023"/>
      <c r="E2023"/>
      <c r="F2023"/>
      <c r="G2023"/>
      <c r="K2023" s="62"/>
    </row>
    <row r="2024" spans="2:11" s="3" customFormat="1">
      <c r="B2024"/>
      <c r="C2024"/>
      <c r="D2024"/>
      <c r="E2024"/>
      <c r="F2024"/>
      <c r="G2024"/>
      <c r="K2024" s="62"/>
    </row>
    <row r="2025" spans="2:11" s="3" customFormat="1">
      <c r="B2025"/>
      <c r="C2025"/>
      <c r="D2025"/>
      <c r="E2025"/>
      <c r="F2025"/>
      <c r="G2025"/>
      <c r="K2025" s="62"/>
    </row>
    <row r="2026" spans="2:11" s="3" customFormat="1">
      <c r="B2026"/>
      <c r="C2026"/>
      <c r="D2026"/>
      <c r="E2026"/>
      <c r="F2026"/>
      <c r="G2026"/>
      <c r="K2026" s="62"/>
    </row>
    <row r="2027" spans="2:11" s="3" customFormat="1">
      <c r="B2027"/>
      <c r="C2027"/>
      <c r="D2027"/>
      <c r="E2027"/>
      <c r="F2027"/>
      <c r="G2027"/>
      <c r="K2027" s="62"/>
    </row>
    <row r="2028" spans="2:11" s="3" customFormat="1">
      <c r="B2028"/>
      <c r="C2028"/>
      <c r="D2028"/>
      <c r="E2028"/>
      <c r="F2028"/>
      <c r="G2028"/>
      <c r="K2028" s="62"/>
    </row>
    <row r="2029" spans="2:11" s="3" customFormat="1">
      <c r="B2029"/>
      <c r="C2029"/>
      <c r="D2029"/>
      <c r="E2029"/>
      <c r="F2029"/>
      <c r="G2029"/>
      <c r="K2029" s="62"/>
    </row>
    <row r="2030" spans="2:11" s="3" customFormat="1">
      <c r="B2030"/>
      <c r="C2030"/>
      <c r="D2030"/>
      <c r="E2030"/>
      <c r="F2030"/>
      <c r="G2030"/>
      <c r="K2030" s="62"/>
    </row>
    <row r="2031" spans="2:11" s="3" customFormat="1">
      <c r="B2031"/>
      <c r="C2031"/>
      <c r="D2031"/>
      <c r="E2031"/>
      <c r="F2031"/>
      <c r="G2031"/>
      <c r="K2031" s="62"/>
    </row>
    <row r="2032" spans="2:11" s="3" customFormat="1">
      <c r="B2032"/>
      <c r="C2032"/>
      <c r="D2032"/>
      <c r="E2032"/>
      <c r="F2032"/>
      <c r="G2032"/>
      <c r="K2032" s="62"/>
    </row>
    <row r="2033" spans="2:11" s="3" customFormat="1">
      <c r="B2033"/>
      <c r="C2033"/>
      <c r="D2033"/>
      <c r="E2033"/>
      <c r="F2033"/>
      <c r="G2033"/>
      <c r="K2033" s="62"/>
    </row>
    <row r="2034" spans="2:11" s="3" customFormat="1">
      <c r="B2034"/>
      <c r="C2034"/>
      <c r="D2034"/>
      <c r="E2034"/>
      <c r="F2034"/>
      <c r="G2034"/>
      <c r="K2034" s="62"/>
    </row>
    <row r="2035" spans="2:11" s="3" customFormat="1">
      <c r="B2035"/>
      <c r="C2035"/>
      <c r="D2035"/>
      <c r="E2035"/>
      <c r="F2035"/>
      <c r="G2035"/>
      <c r="K2035" s="62"/>
    </row>
    <row r="2036" spans="2:11" s="3" customFormat="1">
      <c r="B2036"/>
      <c r="C2036"/>
      <c r="D2036"/>
      <c r="E2036"/>
      <c r="F2036"/>
      <c r="G2036"/>
      <c r="K2036" s="62"/>
    </row>
    <row r="2037" spans="2:11" s="3" customFormat="1">
      <c r="B2037"/>
      <c r="C2037"/>
      <c r="D2037"/>
      <c r="E2037"/>
      <c r="F2037"/>
      <c r="G2037"/>
      <c r="K2037" s="62"/>
    </row>
    <row r="2038" spans="2:11" s="3" customFormat="1">
      <c r="B2038"/>
      <c r="C2038"/>
      <c r="D2038"/>
      <c r="E2038"/>
      <c r="F2038"/>
      <c r="G2038"/>
      <c r="K2038" s="62"/>
    </row>
    <row r="2039" spans="2:11" s="3" customFormat="1">
      <c r="B2039"/>
      <c r="C2039"/>
      <c r="D2039"/>
      <c r="E2039"/>
      <c r="F2039"/>
      <c r="G2039"/>
      <c r="K2039" s="62"/>
    </row>
    <row r="2040" spans="2:11" s="3" customFormat="1">
      <c r="B2040"/>
      <c r="C2040"/>
      <c r="D2040"/>
      <c r="E2040"/>
      <c r="F2040"/>
      <c r="G2040"/>
      <c r="K2040" s="62"/>
    </row>
    <row r="2041" spans="2:11" s="3" customFormat="1">
      <c r="B2041"/>
      <c r="C2041"/>
      <c r="D2041"/>
      <c r="E2041"/>
      <c r="F2041"/>
      <c r="G2041"/>
      <c r="K2041" s="62"/>
    </row>
    <row r="2042" spans="2:11" s="3" customFormat="1">
      <c r="B2042"/>
      <c r="C2042"/>
      <c r="D2042"/>
      <c r="E2042"/>
      <c r="F2042"/>
      <c r="G2042"/>
      <c r="K2042" s="62"/>
    </row>
    <row r="2043" spans="2:11" s="3" customFormat="1">
      <c r="B2043"/>
      <c r="C2043"/>
      <c r="D2043"/>
      <c r="E2043"/>
      <c r="F2043"/>
      <c r="G2043"/>
      <c r="K2043" s="62"/>
    </row>
    <row r="2044" spans="2:11" s="3" customFormat="1">
      <c r="B2044"/>
      <c r="C2044"/>
      <c r="D2044"/>
      <c r="E2044"/>
      <c r="F2044"/>
      <c r="G2044"/>
      <c r="K2044" s="62"/>
    </row>
    <row r="2045" spans="2:11" s="3" customFormat="1">
      <c r="B2045"/>
      <c r="C2045"/>
      <c r="D2045"/>
      <c r="E2045"/>
      <c r="F2045"/>
      <c r="G2045"/>
      <c r="K2045" s="62"/>
    </row>
    <row r="2046" spans="2:11" s="3" customFormat="1">
      <c r="B2046"/>
      <c r="C2046"/>
      <c r="D2046"/>
      <c r="E2046"/>
      <c r="F2046"/>
      <c r="G2046"/>
      <c r="K2046" s="62"/>
    </row>
    <row r="2047" spans="2:11" s="3" customFormat="1">
      <c r="B2047"/>
      <c r="C2047"/>
      <c r="D2047"/>
      <c r="E2047"/>
      <c r="F2047"/>
      <c r="G2047"/>
      <c r="K2047" s="62"/>
    </row>
    <row r="2048" spans="2:11" s="3" customFormat="1">
      <c r="B2048"/>
      <c r="C2048"/>
      <c r="D2048"/>
      <c r="E2048"/>
      <c r="F2048"/>
      <c r="G2048"/>
      <c r="K2048" s="62"/>
    </row>
    <row r="2049" spans="2:11" s="3" customFormat="1">
      <c r="B2049"/>
      <c r="C2049"/>
      <c r="D2049"/>
      <c r="E2049"/>
      <c r="F2049"/>
      <c r="G2049"/>
      <c r="K2049" s="62"/>
    </row>
    <row r="2050" spans="2:11" s="3" customFormat="1">
      <c r="B2050"/>
      <c r="C2050"/>
      <c r="D2050"/>
      <c r="E2050"/>
      <c r="F2050"/>
      <c r="G2050"/>
      <c r="K2050" s="62"/>
    </row>
    <row r="2051" spans="2:11" s="3" customFormat="1">
      <c r="B2051"/>
      <c r="C2051"/>
      <c r="D2051"/>
      <c r="E2051"/>
      <c r="F2051"/>
      <c r="G2051"/>
      <c r="K2051" s="62"/>
    </row>
    <row r="2052" spans="2:11" s="3" customFormat="1">
      <c r="B2052"/>
      <c r="C2052"/>
      <c r="D2052"/>
      <c r="E2052"/>
      <c r="F2052"/>
      <c r="G2052"/>
      <c r="K2052" s="62"/>
    </row>
    <row r="2053" spans="2:11" s="3" customFormat="1">
      <c r="B2053"/>
      <c r="C2053"/>
      <c r="D2053"/>
      <c r="E2053"/>
      <c r="F2053"/>
      <c r="G2053"/>
      <c r="K2053" s="62"/>
    </row>
    <row r="2054" spans="2:11" s="3" customFormat="1">
      <c r="B2054"/>
      <c r="C2054"/>
      <c r="D2054"/>
      <c r="E2054"/>
      <c r="F2054"/>
      <c r="G2054"/>
      <c r="K2054" s="62"/>
    </row>
    <row r="2055" spans="2:11" s="3" customFormat="1">
      <c r="B2055"/>
      <c r="C2055"/>
      <c r="D2055"/>
      <c r="E2055"/>
      <c r="F2055"/>
      <c r="G2055"/>
      <c r="K2055" s="62"/>
    </row>
    <row r="2056" spans="2:11" s="3" customFormat="1">
      <c r="B2056"/>
      <c r="C2056"/>
      <c r="D2056"/>
      <c r="E2056"/>
      <c r="F2056"/>
      <c r="G2056"/>
      <c r="K2056" s="62"/>
    </row>
    <row r="2057" spans="2:11" s="3" customFormat="1">
      <c r="B2057"/>
      <c r="C2057"/>
      <c r="D2057"/>
      <c r="E2057"/>
      <c r="F2057"/>
      <c r="G2057"/>
      <c r="K2057" s="62"/>
    </row>
    <row r="2058" spans="2:11" s="3" customFormat="1">
      <c r="B2058"/>
      <c r="C2058"/>
      <c r="D2058"/>
      <c r="E2058"/>
      <c r="F2058"/>
      <c r="G2058"/>
      <c r="K2058" s="62"/>
    </row>
    <row r="2059" spans="2:11" s="3" customFormat="1">
      <c r="B2059"/>
      <c r="C2059"/>
      <c r="D2059"/>
      <c r="E2059"/>
      <c r="F2059"/>
      <c r="G2059"/>
      <c r="K2059" s="62"/>
    </row>
    <row r="2060" spans="2:11" s="3" customFormat="1">
      <c r="B2060"/>
      <c r="C2060"/>
      <c r="D2060"/>
      <c r="E2060"/>
      <c r="F2060"/>
      <c r="G2060"/>
      <c r="K2060" s="62"/>
    </row>
    <row r="2061" spans="2:11" s="3" customFormat="1">
      <c r="B2061"/>
      <c r="C2061"/>
      <c r="D2061"/>
      <c r="E2061"/>
      <c r="F2061"/>
      <c r="G2061"/>
      <c r="K2061" s="62"/>
    </row>
    <row r="2062" spans="2:11" s="3" customFormat="1">
      <c r="B2062"/>
      <c r="C2062"/>
      <c r="D2062"/>
      <c r="E2062"/>
      <c r="F2062"/>
      <c r="G2062"/>
      <c r="K2062" s="62"/>
    </row>
    <row r="2063" spans="2:11" s="3" customFormat="1">
      <c r="B2063"/>
      <c r="C2063"/>
      <c r="D2063"/>
      <c r="E2063"/>
      <c r="F2063"/>
      <c r="G2063"/>
      <c r="K2063" s="62"/>
    </row>
    <row r="2064" spans="2:11" s="3" customFormat="1">
      <c r="B2064"/>
      <c r="C2064"/>
      <c r="D2064"/>
      <c r="E2064"/>
      <c r="F2064"/>
      <c r="G2064"/>
      <c r="K2064" s="62"/>
    </row>
    <row r="2065" spans="2:11" s="3" customFormat="1">
      <c r="B2065"/>
      <c r="C2065"/>
      <c r="D2065"/>
      <c r="E2065"/>
      <c r="F2065"/>
      <c r="G2065"/>
      <c r="K2065" s="62"/>
    </row>
    <row r="2066" spans="2:11" s="3" customFormat="1">
      <c r="B2066"/>
      <c r="C2066"/>
      <c r="D2066"/>
      <c r="E2066"/>
      <c r="F2066"/>
      <c r="G2066"/>
      <c r="K2066" s="62"/>
    </row>
    <row r="2067" spans="2:11" s="3" customFormat="1">
      <c r="B2067"/>
      <c r="C2067"/>
      <c r="D2067"/>
      <c r="E2067"/>
      <c r="F2067"/>
      <c r="G2067"/>
      <c r="K2067" s="62"/>
    </row>
    <row r="2068" spans="2:11" s="3" customFormat="1">
      <c r="B2068"/>
      <c r="C2068"/>
      <c r="D2068"/>
      <c r="E2068"/>
      <c r="F2068"/>
      <c r="G2068"/>
      <c r="K2068" s="62"/>
    </row>
    <row r="2069" spans="2:11" s="3" customFormat="1">
      <c r="B2069"/>
      <c r="C2069"/>
      <c r="D2069"/>
      <c r="E2069"/>
      <c r="F2069"/>
      <c r="G2069"/>
      <c r="K2069" s="62"/>
    </row>
    <row r="2070" spans="2:11" s="3" customFormat="1">
      <c r="B2070"/>
      <c r="C2070"/>
      <c r="D2070"/>
      <c r="E2070"/>
      <c r="F2070"/>
      <c r="G2070"/>
      <c r="K2070" s="62"/>
    </row>
    <row r="2071" spans="2:11" s="3" customFormat="1">
      <c r="B2071"/>
      <c r="C2071"/>
      <c r="D2071"/>
      <c r="E2071"/>
      <c r="F2071"/>
      <c r="G2071"/>
      <c r="K2071" s="62"/>
    </row>
    <row r="2072" spans="2:11" s="3" customFormat="1">
      <c r="B2072"/>
      <c r="C2072"/>
      <c r="D2072"/>
      <c r="E2072"/>
      <c r="F2072"/>
      <c r="G2072"/>
      <c r="K2072" s="62"/>
    </row>
    <row r="2073" spans="2:11" s="3" customFormat="1">
      <c r="B2073"/>
      <c r="C2073"/>
      <c r="D2073"/>
      <c r="E2073"/>
      <c r="F2073"/>
      <c r="G2073"/>
      <c r="K2073" s="62"/>
    </row>
    <row r="2074" spans="2:11" s="3" customFormat="1">
      <c r="B2074"/>
      <c r="C2074"/>
      <c r="D2074"/>
      <c r="E2074"/>
      <c r="F2074"/>
      <c r="G2074"/>
      <c r="K2074" s="62"/>
    </row>
    <row r="2075" spans="2:11" s="3" customFormat="1">
      <c r="B2075"/>
      <c r="C2075"/>
      <c r="D2075"/>
      <c r="E2075"/>
      <c r="F2075"/>
      <c r="G2075"/>
      <c r="K2075" s="62"/>
    </row>
    <row r="2076" spans="2:11" s="3" customFormat="1">
      <c r="B2076"/>
      <c r="C2076"/>
      <c r="D2076"/>
      <c r="E2076"/>
      <c r="F2076"/>
      <c r="G2076"/>
      <c r="K2076" s="62"/>
    </row>
    <row r="2077" spans="2:11" s="3" customFormat="1">
      <c r="B2077"/>
      <c r="C2077"/>
      <c r="D2077"/>
      <c r="E2077"/>
      <c r="F2077"/>
      <c r="G2077"/>
      <c r="K2077" s="62"/>
    </row>
    <row r="2078" spans="2:11" s="3" customFormat="1">
      <c r="B2078"/>
      <c r="C2078"/>
      <c r="D2078"/>
      <c r="E2078"/>
      <c r="F2078"/>
      <c r="G2078"/>
      <c r="K2078" s="62"/>
    </row>
    <row r="2079" spans="2:11" s="3" customFormat="1">
      <c r="B2079"/>
      <c r="C2079"/>
      <c r="D2079"/>
      <c r="E2079"/>
      <c r="F2079"/>
      <c r="G2079"/>
      <c r="K2079" s="62"/>
    </row>
    <row r="2080" spans="2:11" s="3" customFormat="1">
      <c r="B2080"/>
      <c r="C2080"/>
      <c r="D2080"/>
      <c r="E2080"/>
      <c r="F2080"/>
      <c r="G2080"/>
      <c r="K2080" s="62"/>
    </row>
    <row r="2081" spans="2:11" s="3" customFormat="1">
      <c r="B2081"/>
      <c r="C2081"/>
      <c r="D2081"/>
      <c r="E2081"/>
      <c r="F2081"/>
      <c r="G2081"/>
      <c r="K2081" s="62"/>
    </row>
    <row r="2082" spans="2:11" s="3" customFormat="1">
      <c r="B2082"/>
      <c r="C2082"/>
      <c r="D2082"/>
      <c r="E2082"/>
      <c r="F2082"/>
      <c r="G2082"/>
      <c r="K2082" s="62"/>
    </row>
    <row r="2083" spans="2:11" s="3" customFormat="1">
      <c r="B2083"/>
      <c r="C2083"/>
      <c r="D2083"/>
      <c r="E2083"/>
      <c r="F2083"/>
      <c r="G2083"/>
      <c r="K2083" s="62"/>
    </row>
    <row r="2084" spans="2:11" s="3" customFormat="1">
      <c r="B2084"/>
      <c r="C2084"/>
      <c r="D2084"/>
      <c r="E2084"/>
      <c r="F2084"/>
      <c r="G2084"/>
      <c r="K2084" s="62"/>
    </row>
    <row r="2085" spans="2:11" s="3" customFormat="1">
      <c r="B2085"/>
      <c r="C2085"/>
      <c r="D2085"/>
      <c r="E2085"/>
      <c r="F2085"/>
      <c r="G2085"/>
      <c r="K2085" s="62"/>
    </row>
    <row r="2086" spans="2:11" s="3" customFormat="1">
      <c r="B2086"/>
      <c r="C2086"/>
      <c r="D2086"/>
      <c r="E2086"/>
      <c r="F2086"/>
      <c r="G2086"/>
      <c r="K2086" s="62"/>
    </row>
    <row r="2087" spans="2:11" s="3" customFormat="1">
      <c r="B2087"/>
      <c r="C2087"/>
      <c r="D2087"/>
      <c r="E2087"/>
      <c r="F2087"/>
      <c r="G2087"/>
      <c r="K2087" s="62"/>
    </row>
    <row r="2088" spans="2:11" s="3" customFormat="1">
      <c r="B2088"/>
      <c r="C2088"/>
      <c r="D2088"/>
      <c r="E2088"/>
      <c r="F2088"/>
      <c r="G2088"/>
      <c r="K2088" s="62"/>
    </row>
    <row r="2089" spans="2:11" s="3" customFormat="1">
      <c r="B2089"/>
      <c r="C2089"/>
      <c r="D2089"/>
      <c r="E2089"/>
      <c r="F2089"/>
      <c r="G2089"/>
      <c r="K2089" s="62"/>
    </row>
    <row r="2090" spans="2:11" s="3" customFormat="1">
      <c r="B2090"/>
      <c r="C2090"/>
      <c r="D2090"/>
      <c r="E2090"/>
      <c r="F2090"/>
      <c r="G2090"/>
      <c r="K2090" s="62"/>
    </row>
    <row r="2091" spans="2:11" s="3" customFormat="1">
      <c r="B2091"/>
      <c r="C2091"/>
      <c r="D2091"/>
      <c r="E2091"/>
      <c r="F2091"/>
      <c r="G2091"/>
      <c r="K2091" s="62"/>
    </row>
    <row r="2092" spans="2:11" s="3" customFormat="1">
      <c r="B2092"/>
      <c r="C2092"/>
      <c r="D2092"/>
      <c r="E2092"/>
      <c r="F2092"/>
      <c r="G2092"/>
      <c r="K2092" s="62"/>
    </row>
    <row r="2093" spans="2:11" s="3" customFormat="1">
      <c r="B2093"/>
      <c r="C2093"/>
      <c r="D2093"/>
      <c r="E2093"/>
      <c r="F2093"/>
      <c r="G2093"/>
      <c r="K2093" s="62"/>
    </row>
    <row r="2094" spans="2:11" s="3" customFormat="1">
      <c r="B2094"/>
      <c r="C2094"/>
      <c r="D2094"/>
      <c r="E2094"/>
      <c r="F2094"/>
      <c r="G2094"/>
      <c r="K2094" s="62"/>
    </row>
    <row r="2095" spans="2:11" s="3" customFormat="1">
      <c r="B2095"/>
      <c r="C2095"/>
      <c r="D2095"/>
      <c r="E2095"/>
      <c r="F2095"/>
      <c r="G2095"/>
      <c r="K2095" s="62"/>
    </row>
    <row r="2096" spans="2:11" s="3" customFormat="1">
      <c r="B2096"/>
      <c r="C2096"/>
      <c r="D2096"/>
      <c r="E2096"/>
      <c r="F2096"/>
      <c r="G2096"/>
      <c r="K2096" s="62"/>
    </row>
    <row r="2097" spans="2:11" s="3" customFormat="1">
      <c r="B2097"/>
      <c r="C2097"/>
      <c r="D2097"/>
      <c r="E2097"/>
      <c r="F2097"/>
      <c r="G2097"/>
      <c r="K2097" s="62"/>
    </row>
    <row r="2098" spans="2:11" s="3" customFormat="1">
      <c r="B2098"/>
      <c r="C2098"/>
      <c r="D2098"/>
      <c r="E2098"/>
      <c r="F2098"/>
      <c r="G2098"/>
      <c r="K2098" s="62"/>
    </row>
    <row r="2099" spans="2:11" s="3" customFormat="1">
      <c r="B2099"/>
      <c r="C2099"/>
      <c r="D2099"/>
      <c r="E2099"/>
      <c r="F2099"/>
      <c r="G2099"/>
      <c r="K2099" s="62"/>
    </row>
    <row r="2100" spans="2:11" s="3" customFormat="1">
      <c r="B2100"/>
      <c r="C2100"/>
      <c r="D2100"/>
      <c r="E2100"/>
      <c r="F2100"/>
      <c r="G2100"/>
      <c r="K2100" s="62"/>
    </row>
    <row r="2101" spans="2:11" s="3" customFormat="1">
      <c r="B2101"/>
      <c r="C2101"/>
      <c r="D2101"/>
      <c r="E2101"/>
      <c r="F2101"/>
      <c r="G2101"/>
      <c r="K2101" s="62"/>
    </row>
    <row r="2102" spans="2:11" s="3" customFormat="1">
      <c r="B2102"/>
      <c r="C2102"/>
      <c r="D2102"/>
      <c r="E2102"/>
      <c r="F2102"/>
      <c r="G2102"/>
      <c r="K2102" s="62"/>
    </row>
    <row r="2103" spans="2:11" s="3" customFormat="1">
      <c r="B2103"/>
      <c r="C2103"/>
      <c r="D2103"/>
      <c r="E2103"/>
      <c r="F2103"/>
      <c r="G2103"/>
      <c r="K2103" s="62"/>
    </row>
    <row r="2104" spans="2:11" s="3" customFormat="1">
      <c r="B2104"/>
      <c r="C2104"/>
      <c r="D2104"/>
      <c r="E2104"/>
      <c r="F2104"/>
      <c r="G2104"/>
      <c r="K2104" s="62"/>
    </row>
    <row r="2105" spans="2:11" s="3" customFormat="1">
      <c r="B2105"/>
      <c r="C2105"/>
      <c r="D2105"/>
      <c r="E2105"/>
      <c r="F2105"/>
      <c r="G2105"/>
      <c r="K2105" s="62"/>
    </row>
    <row r="2106" spans="2:11" s="3" customFormat="1">
      <c r="B2106"/>
      <c r="C2106"/>
      <c r="D2106"/>
      <c r="E2106"/>
      <c r="F2106"/>
      <c r="G2106"/>
      <c r="K2106" s="62"/>
    </row>
    <row r="2107" spans="2:11" s="3" customFormat="1">
      <c r="B2107"/>
      <c r="C2107"/>
      <c r="D2107"/>
      <c r="E2107"/>
      <c r="F2107"/>
      <c r="G2107"/>
      <c r="K2107" s="62"/>
    </row>
    <row r="2108" spans="2:11" s="3" customFormat="1">
      <c r="B2108"/>
      <c r="C2108"/>
      <c r="D2108"/>
      <c r="E2108"/>
      <c r="F2108"/>
      <c r="G2108"/>
      <c r="K2108" s="62"/>
    </row>
    <row r="2109" spans="2:11" s="3" customFormat="1">
      <c r="B2109"/>
      <c r="C2109"/>
      <c r="D2109"/>
      <c r="E2109"/>
      <c r="F2109"/>
      <c r="G2109"/>
      <c r="K2109" s="62"/>
    </row>
    <row r="2110" spans="2:11" s="3" customFormat="1">
      <c r="B2110"/>
      <c r="C2110"/>
      <c r="D2110"/>
      <c r="E2110"/>
      <c r="F2110"/>
      <c r="G2110"/>
      <c r="K2110" s="62"/>
    </row>
    <row r="2111" spans="2:11" s="3" customFormat="1">
      <c r="B2111"/>
      <c r="C2111"/>
      <c r="D2111"/>
      <c r="E2111"/>
      <c r="F2111"/>
      <c r="G2111"/>
      <c r="K2111" s="62"/>
    </row>
    <row r="2112" spans="2:11" s="3" customFormat="1">
      <c r="B2112"/>
      <c r="C2112"/>
      <c r="D2112"/>
      <c r="E2112"/>
      <c r="F2112"/>
      <c r="G2112"/>
      <c r="K2112" s="62"/>
    </row>
    <row r="2113" spans="2:11" s="3" customFormat="1">
      <c r="B2113"/>
      <c r="C2113"/>
      <c r="D2113"/>
      <c r="E2113"/>
      <c r="F2113"/>
      <c r="G2113"/>
      <c r="K2113" s="62"/>
    </row>
    <row r="2114" spans="2:11" s="3" customFormat="1">
      <c r="B2114"/>
      <c r="C2114"/>
      <c r="D2114"/>
      <c r="E2114"/>
      <c r="F2114"/>
      <c r="G2114"/>
      <c r="K2114" s="62"/>
    </row>
    <row r="2115" spans="2:11" s="3" customFormat="1">
      <c r="B2115"/>
      <c r="C2115"/>
      <c r="D2115"/>
      <c r="E2115"/>
      <c r="F2115"/>
      <c r="G2115"/>
      <c r="K2115" s="62"/>
    </row>
    <row r="2116" spans="2:11" s="3" customFormat="1">
      <c r="B2116"/>
      <c r="C2116"/>
      <c r="D2116"/>
      <c r="E2116"/>
      <c r="F2116"/>
      <c r="G2116"/>
      <c r="K2116" s="62"/>
    </row>
    <row r="2117" spans="2:11" s="3" customFormat="1">
      <c r="B2117"/>
      <c r="C2117"/>
      <c r="D2117"/>
      <c r="E2117"/>
      <c r="F2117"/>
      <c r="G2117"/>
      <c r="K2117" s="62"/>
    </row>
    <row r="2118" spans="2:11" s="3" customFormat="1">
      <c r="B2118"/>
      <c r="C2118"/>
      <c r="D2118"/>
      <c r="E2118"/>
      <c r="F2118"/>
      <c r="G2118"/>
      <c r="K2118" s="62"/>
    </row>
    <row r="2119" spans="2:11" s="3" customFormat="1">
      <c r="B2119"/>
      <c r="C2119"/>
      <c r="D2119"/>
      <c r="E2119"/>
      <c r="F2119"/>
      <c r="G2119"/>
      <c r="K2119" s="62"/>
    </row>
    <row r="2120" spans="2:11" s="3" customFormat="1">
      <c r="B2120"/>
      <c r="C2120"/>
      <c r="D2120"/>
      <c r="E2120"/>
      <c r="F2120"/>
      <c r="G2120"/>
      <c r="K2120" s="62"/>
    </row>
    <row r="2121" spans="2:11" s="3" customFormat="1">
      <c r="B2121"/>
      <c r="C2121"/>
      <c r="D2121"/>
      <c r="E2121"/>
      <c r="F2121"/>
      <c r="G2121"/>
      <c r="K2121" s="62"/>
    </row>
    <row r="2122" spans="2:11" s="3" customFormat="1">
      <c r="B2122"/>
      <c r="C2122"/>
      <c r="D2122"/>
      <c r="E2122"/>
      <c r="F2122"/>
      <c r="G2122"/>
      <c r="K2122" s="62"/>
    </row>
    <row r="2123" spans="2:11" s="3" customFormat="1">
      <c r="B2123"/>
      <c r="C2123"/>
      <c r="D2123"/>
      <c r="E2123"/>
      <c r="F2123"/>
      <c r="G2123"/>
      <c r="K2123" s="62"/>
    </row>
    <row r="2124" spans="2:11" s="3" customFormat="1">
      <c r="B2124"/>
      <c r="C2124"/>
      <c r="D2124"/>
      <c r="E2124"/>
      <c r="F2124"/>
      <c r="G2124"/>
      <c r="K2124" s="62"/>
    </row>
    <row r="2125" spans="2:11" s="3" customFormat="1">
      <c r="B2125"/>
      <c r="C2125"/>
      <c r="D2125"/>
      <c r="E2125"/>
      <c r="F2125"/>
      <c r="G2125"/>
      <c r="K2125" s="62"/>
    </row>
    <row r="2126" spans="2:11" s="3" customFormat="1">
      <c r="B2126"/>
      <c r="C2126"/>
      <c r="D2126"/>
      <c r="E2126"/>
      <c r="F2126"/>
      <c r="G2126"/>
      <c r="K2126" s="62"/>
    </row>
    <row r="2127" spans="2:11" s="3" customFormat="1">
      <c r="B2127"/>
      <c r="C2127"/>
      <c r="D2127"/>
      <c r="E2127"/>
      <c r="F2127"/>
      <c r="G2127"/>
      <c r="K2127" s="62"/>
    </row>
    <row r="2128" spans="2:11" s="3" customFormat="1">
      <c r="B2128"/>
      <c r="C2128"/>
      <c r="D2128"/>
      <c r="E2128"/>
      <c r="F2128"/>
      <c r="G2128"/>
      <c r="K2128" s="62"/>
    </row>
    <row r="2129" spans="2:11" s="3" customFormat="1">
      <c r="B2129"/>
      <c r="C2129"/>
      <c r="D2129"/>
      <c r="E2129"/>
      <c r="F2129"/>
      <c r="G2129"/>
      <c r="K2129" s="62"/>
    </row>
    <row r="2130" spans="2:11" s="3" customFormat="1">
      <c r="B2130"/>
      <c r="C2130"/>
      <c r="D2130"/>
      <c r="E2130"/>
      <c r="F2130"/>
      <c r="G2130"/>
      <c r="K2130" s="62"/>
    </row>
    <row r="2131" spans="2:11" s="3" customFormat="1">
      <c r="B2131"/>
      <c r="C2131"/>
      <c r="D2131"/>
      <c r="E2131"/>
      <c r="F2131"/>
      <c r="G2131"/>
      <c r="K2131" s="62"/>
    </row>
    <row r="2132" spans="2:11" s="3" customFormat="1">
      <c r="B2132"/>
      <c r="C2132"/>
      <c r="D2132"/>
      <c r="E2132"/>
      <c r="F2132"/>
      <c r="G2132"/>
      <c r="K2132" s="62"/>
    </row>
    <row r="2133" spans="2:11" s="3" customFormat="1">
      <c r="B2133"/>
      <c r="C2133"/>
      <c r="D2133"/>
      <c r="E2133"/>
      <c r="F2133"/>
      <c r="G2133"/>
      <c r="K2133" s="62"/>
    </row>
    <row r="2134" spans="2:11" s="3" customFormat="1">
      <c r="B2134"/>
      <c r="C2134"/>
      <c r="D2134"/>
      <c r="E2134"/>
      <c r="F2134"/>
      <c r="G2134"/>
      <c r="K2134" s="62"/>
    </row>
    <row r="2135" spans="2:11" s="3" customFormat="1">
      <c r="B2135"/>
      <c r="C2135"/>
      <c r="D2135"/>
      <c r="E2135"/>
      <c r="F2135"/>
      <c r="G2135"/>
      <c r="K2135" s="62"/>
    </row>
    <row r="2136" spans="2:11" s="3" customFormat="1">
      <c r="B2136"/>
      <c r="C2136"/>
      <c r="D2136"/>
      <c r="E2136"/>
      <c r="F2136"/>
      <c r="G2136"/>
      <c r="K2136" s="62"/>
    </row>
    <row r="2137" spans="2:11" s="3" customFormat="1">
      <c r="B2137"/>
      <c r="C2137"/>
      <c r="D2137"/>
      <c r="E2137"/>
      <c r="F2137"/>
      <c r="G2137"/>
      <c r="K2137" s="62"/>
    </row>
    <row r="2138" spans="2:11" s="3" customFormat="1">
      <c r="B2138"/>
      <c r="C2138"/>
      <c r="D2138"/>
      <c r="E2138"/>
      <c r="F2138"/>
      <c r="G2138"/>
      <c r="K2138" s="62"/>
    </row>
    <row r="2139" spans="2:11" s="3" customFormat="1">
      <c r="B2139"/>
      <c r="C2139"/>
      <c r="D2139"/>
      <c r="E2139"/>
      <c r="F2139"/>
      <c r="G2139"/>
      <c r="K2139" s="62"/>
    </row>
    <row r="2140" spans="2:11" s="3" customFormat="1">
      <c r="B2140"/>
      <c r="C2140"/>
      <c r="D2140"/>
      <c r="E2140"/>
      <c r="F2140"/>
      <c r="G2140"/>
      <c r="K2140" s="62"/>
    </row>
    <row r="2141" spans="2:11" s="3" customFormat="1">
      <c r="B2141"/>
      <c r="C2141"/>
      <c r="D2141"/>
      <c r="E2141"/>
      <c r="F2141"/>
      <c r="G2141"/>
      <c r="K2141" s="62"/>
    </row>
    <row r="2142" spans="2:11" s="3" customFormat="1">
      <c r="B2142"/>
      <c r="C2142"/>
      <c r="D2142"/>
      <c r="E2142"/>
      <c r="F2142"/>
      <c r="G2142"/>
      <c r="K2142" s="62"/>
    </row>
    <row r="2143" spans="2:11" s="3" customFormat="1">
      <c r="B2143"/>
      <c r="C2143"/>
      <c r="D2143"/>
      <c r="E2143"/>
      <c r="F2143"/>
      <c r="G2143"/>
      <c r="K2143" s="62"/>
    </row>
    <row r="2144" spans="2:11" s="3" customFormat="1">
      <c r="B2144"/>
      <c r="C2144"/>
      <c r="D2144"/>
      <c r="E2144"/>
      <c r="F2144"/>
      <c r="G2144"/>
      <c r="K2144" s="62"/>
    </row>
    <row r="2145" spans="2:11" s="3" customFormat="1">
      <c r="B2145"/>
      <c r="C2145"/>
      <c r="D2145"/>
      <c r="E2145"/>
      <c r="F2145"/>
      <c r="G2145"/>
      <c r="K2145" s="62"/>
    </row>
    <row r="2146" spans="2:11" s="3" customFormat="1">
      <c r="B2146"/>
      <c r="C2146"/>
      <c r="D2146"/>
      <c r="E2146"/>
      <c r="F2146"/>
      <c r="G2146"/>
      <c r="K2146" s="62"/>
    </row>
    <row r="2147" spans="2:11" s="3" customFormat="1">
      <c r="B2147"/>
      <c r="C2147"/>
      <c r="D2147"/>
      <c r="E2147"/>
      <c r="F2147"/>
      <c r="G2147"/>
      <c r="K2147" s="62"/>
    </row>
    <row r="2148" spans="2:11" s="3" customFormat="1">
      <c r="B2148"/>
      <c r="C2148"/>
      <c r="D2148"/>
      <c r="E2148"/>
      <c r="F2148"/>
      <c r="G2148"/>
      <c r="K2148" s="62"/>
    </row>
    <row r="2149" spans="2:11" s="3" customFormat="1">
      <c r="B2149"/>
      <c r="C2149"/>
      <c r="D2149"/>
      <c r="E2149"/>
      <c r="F2149"/>
      <c r="G2149"/>
      <c r="K2149" s="62"/>
    </row>
    <row r="2150" spans="2:11" s="3" customFormat="1">
      <c r="B2150"/>
      <c r="C2150"/>
      <c r="D2150"/>
      <c r="E2150"/>
      <c r="F2150"/>
      <c r="G2150"/>
      <c r="K2150" s="62"/>
    </row>
    <row r="2151" spans="2:11" s="3" customFormat="1">
      <c r="B2151"/>
      <c r="C2151"/>
      <c r="D2151"/>
      <c r="E2151"/>
      <c r="F2151"/>
      <c r="G2151"/>
      <c r="K2151" s="62"/>
    </row>
    <row r="2152" spans="2:11" s="3" customFormat="1">
      <c r="B2152"/>
      <c r="C2152"/>
      <c r="D2152"/>
      <c r="E2152"/>
      <c r="F2152"/>
      <c r="G2152"/>
      <c r="K2152" s="62"/>
    </row>
    <row r="2153" spans="2:11" s="3" customFormat="1">
      <c r="B2153"/>
      <c r="C2153"/>
      <c r="D2153"/>
      <c r="E2153"/>
      <c r="F2153"/>
      <c r="G2153"/>
      <c r="K2153" s="62"/>
    </row>
    <row r="2154" spans="2:11" s="3" customFormat="1">
      <c r="B2154"/>
      <c r="C2154"/>
      <c r="D2154"/>
      <c r="E2154"/>
      <c r="F2154"/>
      <c r="G2154"/>
      <c r="K2154" s="62"/>
    </row>
    <row r="2155" spans="2:11" s="3" customFormat="1">
      <c r="B2155"/>
      <c r="C2155"/>
      <c r="D2155"/>
      <c r="E2155"/>
      <c r="F2155"/>
      <c r="G2155"/>
      <c r="K2155" s="62"/>
    </row>
    <row r="2156" spans="2:11" s="3" customFormat="1">
      <c r="B2156"/>
      <c r="C2156"/>
      <c r="D2156"/>
      <c r="E2156"/>
      <c r="F2156"/>
      <c r="G2156"/>
      <c r="K2156" s="62"/>
    </row>
    <row r="2157" spans="2:11" s="3" customFormat="1">
      <c r="B2157"/>
      <c r="C2157"/>
      <c r="D2157"/>
      <c r="E2157"/>
      <c r="F2157"/>
      <c r="G2157"/>
      <c r="K2157" s="62"/>
    </row>
    <row r="2158" spans="2:11" s="3" customFormat="1">
      <c r="B2158"/>
      <c r="C2158"/>
      <c r="D2158"/>
      <c r="E2158"/>
      <c r="F2158"/>
      <c r="G2158"/>
      <c r="K2158" s="62"/>
    </row>
    <row r="2159" spans="2:11" s="3" customFormat="1">
      <c r="B2159"/>
      <c r="C2159"/>
      <c r="D2159"/>
      <c r="E2159"/>
      <c r="F2159"/>
      <c r="G2159"/>
      <c r="K2159" s="62"/>
    </row>
    <row r="2160" spans="2:11" s="3" customFormat="1">
      <c r="B2160"/>
      <c r="C2160"/>
      <c r="D2160"/>
      <c r="E2160"/>
      <c r="F2160"/>
      <c r="G2160"/>
      <c r="K2160" s="62"/>
    </row>
    <row r="2161" spans="2:11" s="3" customFormat="1">
      <c r="B2161"/>
      <c r="C2161"/>
      <c r="D2161"/>
      <c r="E2161"/>
      <c r="F2161"/>
      <c r="G2161"/>
      <c r="K2161" s="62"/>
    </row>
    <row r="2162" spans="2:11" s="3" customFormat="1">
      <c r="B2162"/>
      <c r="C2162"/>
      <c r="D2162"/>
      <c r="E2162"/>
      <c r="F2162"/>
      <c r="G2162"/>
      <c r="K2162" s="62"/>
    </row>
    <row r="2163" spans="2:11" s="3" customFormat="1">
      <c r="B2163"/>
      <c r="C2163"/>
      <c r="D2163"/>
      <c r="E2163"/>
      <c r="F2163"/>
      <c r="G2163"/>
      <c r="K2163" s="62"/>
    </row>
    <row r="2164" spans="2:11" s="3" customFormat="1">
      <c r="B2164"/>
      <c r="C2164"/>
      <c r="D2164"/>
      <c r="E2164"/>
      <c r="F2164"/>
      <c r="G2164"/>
      <c r="K2164" s="62"/>
    </row>
    <row r="2165" spans="2:11" s="3" customFormat="1">
      <c r="B2165"/>
      <c r="C2165"/>
      <c r="D2165"/>
      <c r="E2165"/>
      <c r="F2165"/>
      <c r="G2165"/>
      <c r="K2165" s="62"/>
    </row>
    <row r="2166" spans="2:11" s="3" customFormat="1">
      <c r="B2166"/>
      <c r="C2166"/>
      <c r="D2166"/>
      <c r="E2166"/>
      <c r="F2166"/>
      <c r="G2166"/>
      <c r="K2166" s="62"/>
    </row>
    <row r="2167" spans="2:11" s="3" customFormat="1">
      <c r="B2167"/>
      <c r="C2167"/>
      <c r="D2167"/>
      <c r="E2167"/>
      <c r="F2167"/>
      <c r="G2167"/>
      <c r="K2167" s="62"/>
    </row>
    <row r="2168" spans="2:11" s="3" customFormat="1">
      <c r="B2168"/>
      <c r="C2168"/>
      <c r="D2168"/>
      <c r="E2168"/>
      <c r="F2168"/>
      <c r="G2168"/>
      <c r="K2168" s="62"/>
    </row>
    <row r="2169" spans="2:11" s="3" customFormat="1">
      <c r="B2169"/>
      <c r="C2169"/>
      <c r="D2169"/>
      <c r="E2169"/>
      <c r="F2169"/>
      <c r="G2169"/>
      <c r="K2169" s="62"/>
    </row>
    <row r="2170" spans="2:11" s="3" customFormat="1">
      <c r="B2170"/>
      <c r="C2170"/>
      <c r="D2170"/>
      <c r="E2170"/>
      <c r="F2170"/>
      <c r="G2170"/>
      <c r="K2170" s="62"/>
    </row>
    <row r="2171" spans="2:11" s="3" customFormat="1">
      <c r="B2171"/>
      <c r="C2171"/>
      <c r="D2171"/>
      <c r="E2171"/>
      <c r="F2171"/>
      <c r="G2171"/>
      <c r="K2171" s="62"/>
    </row>
    <row r="2172" spans="2:11" s="3" customFormat="1">
      <c r="B2172"/>
      <c r="C2172"/>
      <c r="D2172"/>
      <c r="E2172"/>
      <c r="F2172"/>
      <c r="G2172"/>
      <c r="K2172" s="62"/>
    </row>
    <row r="2173" spans="2:11" s="3" customFormat="1">
      <c r="B2173"/>
      <c r="C2173"/>
      <c r="D2173"/>
      <c r="E2173"/>
      <c r="F2173"/>
      <c r="G2173"/>
      <c r="K2173" s="62"/>
    </row>
    <row r="2174" spans="2:11" s="3" customFormat="1">
      <c r="B2174"/>
      <c r="C2174"/>
      <c r="D2174"/>
      <c r="E2174"/>
      <c r="F2174"/>
      <c r="G2174"/>
      <c r="K2174" s="62"/>
    </row>
    <row r="2175" spans="2:11" s="3" customFormat="1">
      <c r="B2175"/>
      <c r="C2175"/>
      <c r="D2175"/>
      <c r="E2175"/>
      <c r="F2175"/>
      <c r="G2175"/>
      <c r="K2175" s="62"/>
    </row>
    <row r="2176" spans="2:11" s="3" customFormat="1">
      <c r="B2176"/>
      <c r="C2176"/>
      <c r="D2176"/>
      <c r="E2176"/>
      <c r="F2176"/>
      <c r="G2176"/>
      <c r="K2176" s="62"/>
    </row>
    <row r="2177" spans="2:11" s="3" customFormat="1">
      <c r="B2177"/>
      <c r="C2177"/>
      <c r="D2177"/>
      <c r="E2177"/>
      <c r="F2177"/>
      <c r="G2177"/>
      <c r="K2177" s="62"/>
    </row>
    <row r="2178" spans="2:11" s="3" customFormat="1">
      <c r="B2178"/>
      <c r="C2178"/>
      <c r="D2178"/>
      <c r="E2178"/>
      <c r="F2178"/>
      <c r="G2178"/>
      <c r="K2178" s="62"/>
    </row>
    <row r="2179" spans="2:11" s="3" customFormat="1">
      <c r="B2179"/>
      <c r="C2179"/>
      <c r="D2179"/>
      <c r="E2179"/>
      <c r="F2179"/>
      <c r="G2179"/>
      <c r="K2179" s="62"/>
    </row>
    <row r="2180" spans="2:11" s="3" customFormat="1">
      <c r="B2180"/>
      <c r="C2180"/>
      <c r="D2180"/>
      <c r="E2180"/>
      <c r="F2180"/>
      <c r="G2180"/>
      <c r="K2180" s="62"/>
    </row>
    <row r="2181" spans="2:11" s="3" customFormat="1">
      <c r="B2181"/>
      <c r="C2181"/>
      <c r="D2181"/>
      <c r="E2181"/>
      <c r="F2181"/>
      <c r="G2181"/>
      <c r="K2181" s="62"/>
    </row>
    <row r="2182" spans="2:11" s="3" customFormat="1">
      <c r="B2182"/>
      <c r="C2182"/>
      <c r="D2182"/>
      <c r="E2182"/>
      <c r="F2182"/>
      <c r="G2182"/>
      <c r="K2182" s="62"/>
    </row>
    <row r="2183" spans="2:11" s="3" customFormat="1">
      <c r="B2183"/>
      <c r="C2183"/>
      <c r="D2183"/>
      <c r="E2183"/>
      <c r="F2183"/>
      <c r="G2183"/>
      <c r="K2183" s="62"/>
    </row>
    <row r="2184" spans="2:11" s="3" customFormat="1">
      <c r="B2184"/>
      <c r="C2184"/>
      <c r="D2184"/>
      <c r="E2184"/>
      <c r="F2184"/>
      <c r="G2184"/>
      <c r="K2184" s="62"/>
    </row>
    <row r="2185" spans="2:11" s="3" customFormat="1">
      <c r="B2185"/>
      <c r="C2185"/>
      <c r="D2185"/>
      <c r="E2185"/>
      <c r="F2185"/>
      <c r="G2185"/>
      <c r="K2185" s="62"/>
    </row>
    <row r="2186" spans="2:11" s="3" customFormat="1">
      <c r="B2186"/>
      <c r="C2186"/>
      <c r="D2186"/>
      <c r="E2186"/>
      <c r="F2186"/>
      <c r="G2186"/>
      <c r="K2186" s="62"/>
    </row>
    <row r="2187" spans="2:11" s="3" customFormat="1">
      <c r="B2187"/>
      <c r="C2187"/>
      <c r="D2187"/>
      <c r="E2187"/>
      <c r="F2187"/>
      <c r="G2187"/>
      <c r="K2187" s="62"/>
    </row>
    <row r="2188" spans="2:11" s="3" customFormat="1">
      <c r="B2188"/>
      <c r="C2188"/>
      <c r="D2188"/>
      <c r="E2188"/>
      <c r="F2188"/>
      <c r="G2188"/>
      <c r="K2188" s="62"/>
    </row>
    <row r="2189" spans="2:11" s="3" customFormat="1">
      <c r="B2189"/>
      <c r="C2189"/>
      <c r="D2189"/>
      <c r="E2189"/>
      <c r="F2189"/>
      <c r="G2189"/>
      <c r="K2189" s="62"/>
    </row>
    <row r="2190" spans="2:11" s="3" customFormat="1">
      <c r="B2190"/>
      <c r="C2190"/>
      <c r="D2190"/>
      <c r="E2190"/>
      <c r="F2190"/>
      <c r="G2190"/>
      <c r="K2190" s="62"/>
    </row>
    <row r="2191" spans="2:11" s="3" customFormat="1">
      <c r="B2191"/>
      <c r="C2191"/>
      <c r="D2191"/>
      <c r="E2191"/>
      <c r="F2191"/>
      <c r="G2191"/>
      <c r="K2191" s="62"/>
    </row>
    <row r="2192" spans="2:11" s="3" customFormat="1">
      <c r="B2192"/>
      <c r="C2192"/>
      <c r="D2192"/>
      <c r="E2192"/>
      <c r="F2192"/>
      <c r="G2192"/>
      <c r="K2192" s="62"/>
    </row>
    <row r="2193" spans="2:11" s="3" customFormat="1">
      <c r="B2193"/>
      <c r="C2193"/>
      <c r="D2193"/>
      <c r="E2193"/>
      <c r="F2193"/>
      <c r="G2193"/>
      <c r="K2193" s="62"/>
    </row>
    <row r="2194" spans="2:11" s="3" customFormat="1">
      <c r="B2194"/>
      <c r="C2194"/>
      <c r="D2194"/>
      <c r="E2194"/>
      <c r="F2194"/>
      <c r="G2194"/>
      <c r="K2194" s="62"/>
    </row>
    <row r="2195" spans="2:11" s="3" customFormat="1">
      <c r="B2195"/>
      <c r="C2195"/>
      <c r="D2195"/>
      <c r="E2195"/>
      <c r="F2195"/>
      <c r="G2195"/>
      <c r="K2195" s="62"/>
    </row>
    <row r="2196" spans="2:11" s="3" customFormat="1">
      <c r="B2196"/>
      <c r="C2196"/>
      <c r="D2196"/>
      <c r="E2196"/>
      <c r="F2196"/>
      <c r="G2196"/>
      <c r="K2196" s="62"/>
    </row>
    <row r="2197" spans="2:11" s="3" customFormat="1">
      <c r="B2197"/>
      <c r="C2197"/>
      <c r="D2197"/>
      <c r="E2197"/>
      <c r="F2197"/>
      <c r="G2197"/>
      <c r="K2197" s="62"/>
    </row>
    <row r="2198" spans="2:11" s="3" customFormat="1">
      <c r="B2198"/>
      <c r="C2198"/>
      <c r="D2198"/>
      <c r="E2198"/>
      <c r="F2198"/>
      <c r="G2198"/>
      <c r="K2198" s="62"/>
    </row>
    <row r="2199" spans="2:11" s="3" customFormat="1">
      <c r="B2199"/>
      <c r="C2199"/>
      <c r="D2199"/>
      <c r="E2199"/>
      <c r="F2199"/>
      <c r="G2199"/>
      <c r="K2199" s="62"/>
    </row>
    <row r="2200" spans="2:11" s="3" customFormat="1">
      <c r="B2200"/>
      <c r="C2200"/>
      <c r="D2200"/>
      <c r="E2200"/>
      <c r="F2200"/>
      <c r="G2200"/>
      <c r="K2200" s="62"/>
    </row>
    <row r="2201" spans="2:11" s="3" customFormat="1">
      <c r="B2201"/>
      <c r="C2201"/>
      <c r="D2201"/>
      <c r="E2201"/>
      <c r="F2201"/>
      <c r="G2201"/>
      <c r="K2201" s="62"/>
    </row>
    <row r="2202" spans="2:11" s="3" customFormat="1">
      <c r="B2202"/>
      <c r="C2202"/>
      <c r="D2202"/>
      <c r="E2202"/>
      <c r="F2202"/>
      <c r="G2202"/>
      <c r="K2202" s="62"/>
    </row>
    <row r="2203" spans="2:11" s="3" customFormat="1">
      <c r="B2203"/>
      <c r="C2203"/>
      <c r="D2203"/>
      <c r="E2203"/>
      <c r="F2203"/>
      <c r="G2203"/>
      <c r="K2203" s="62"/>
    </row>
    <row r="2204" spans="2:11" s="3" customFormat="1">
      <c r="B2204"/>
      <c r="C2204"/>
      <c r="D2204"/>
      <c r="E2204"/>
      <c r="F2204"/>
      <c r="G2204"/>
      <c r="K2204" s="62"/>
    </row>
    <row r="2205" spans="2:11" s="3" customFormat="1">
      <c r="B2205"/>
      <c r="C2205"/>
      <c r="D2205"/>
      <c r="E2205"/>
      <c r="F2205"/>
      <c r="G2205"/>
      <c r="K2205" s="62"/>
    </row>
    <row r="2206" spans="2:11" s="3" customFormat="1">
      <c r="B2206"/>
      <c r="C2206"/>
      <c r="D2206"/>
      <c r="E2206"/>
      <c r="F2206"/>
      <c r="G2206"/>
      <c r="K2206" s="62"/>
    </row>
    <row r="2207" spans="2:11" s="3" customFormat="1">
      <c r="B2207"/>
      <c r="C2207"/>
      <c r="D2207"/>
      <c r="E2207"/>
      <c r="F2207"/>
      <c r="G2207"/>
      <c r="K2207" s="62"/>
    </row>
    <row r="2208" spans="2:11" s="3" customFormat="1">
      <c r="B2208"/>
      <c r="C2208"/>
      <c r="D2208"/>
      <c r="E2208"/>
      <c r="F2208"/>
      <c r="G2208"/>
      <c r="K2208" s="62"/>
    </row>
    <row r="2209" spans="2:11" s="3" customFormat="1">
      <c r="B2209"/>
      <c r="C2209"/>
      <c r="D2209"/>
      <c r="E2209"/>
      <c r="F2209"/>
      <c r="G2209"/>
      <c r="K2209" s="62"/>
    </row>
    <row r="2210" spans="2:11" s="3" customFormat="1">
      <c r="B2210"/>
      <c r="C2210"/>
      <c r="D2210"/>
      <c r="E2210"/>
      <c r="F2210"/>
      <c r="G2210"/>
      <c r="K2210" s="62"/>
    </row>
    <row r="2211" spans="2:11" s="3" customFormat="1">
      <c r="B2211"/>
      <c r="C2211"/>
      <c r="D2211"/>
      <c r="E2211"/>
      <c r="F2211"/>
      <c r="G2211"/>
      <c r="K2211" s="62"/>
    </row>
    <row r="2212" spans="2:11" s="3" customFormat="1">
      <c r="B2212"/>
      <c r="C2212"/>
      <c r="D2212"/>
      <c r="E2212"/>
      <c r="F2212"/>
      <c r="G2212"/>
      <c r="K2212" s="62"/>
    </row>
    <row r="2213" spans="2:11" s="3" customFormat="1">
      <c r="B2213"/>
      <c r="C2213"/>
      <c r="D2213"/>
      <c r="E2213"/>
      <c r="F2213"/>
      <c r="G2213"/>
      <c r="K2213" s="62"/>
    </row>
    <row r="2214" spans="2:11" s="3" customFormat="1">
      <c r="B2214"/>
      <c r="C2214"/>
      <c r="D2214"/>
      <c r="E2214"/>
      <c r="F2214"/>
      <c r="G2214"/>
      <c r="K2214" s="62"/>
    </row>
    <row r="2215" spans="2:11" s="3" customFormat="1">
      <c r="B2215"/>
      <c r="C2215"/>
      <c r="D2215"/>
      <c r="E2215"/>
      <c r="F2215"/>
      <c r="G2215"/>
      <c r="K2215" s="62"/>
    </row>
    <row r="2216" spans="2:11" s="3" customFormat="1">
      <c r="B2216"/>
      <c r="C2216"/>
      <c r="D2216"/>
      <c r="E2216"/>
      <c r="F2216"/>
      <c r="G2216"/>
      <c r="K2216" s="62"/>
    </row>
    <row r="2217" spans="2:11" s="3" customFormat="1">
      <c r="B2217"/>
      <c r="C2217"/>
      <c r="D2217"/>
      <c r="E2217"/>
      <c r="F2217"/>
      <c r="G2217"/>
      <c r="K2217" s="62"/>
    </row>
    <row r="2218" spans="2:11" s="3" customFormat="1">
      <c r="B2218"/>
      <c r="C2218"/>
      <c r="D2218"/>
      <c r="E2218"/>
      <c r="F2218"/>
      <c r="G2218"/>
      <c r="K2218" s="62"/>
    </row>
    <row r="2219" spans="2:11" s="3" customFormat="1">
      <c r="B2219"/>
      <c r="C2219"/>
      <c r="D2219"/>
      <c r="E2219"/>
      <c r="F2219"/>
      <c r="G2219"/>
      <c r="K2219" s="62"/>
    </row>
    <row r="2220" spans="2:11" s="3" customFormat="1">
      <c r="B2220"/>
      <c r="C2220"/>
      <c r="D2220"/>
      <c r="E2220"/>
      <c r="F2220"/>
      <c r="G2220"/>
      <c r="K2220" s="62"/>
    </row>
    <row r="2221" spans="2:11" s="3" customFormat="1">
      <c r="B2221"/>
      <c r="C2221"/>
      <c r="D2221"/>
      <c r="E2221"/>
      <c r="F2221"/>
      <c r="G2221"/>
      <c r="K2221" s="62"/>
    </row>
    <row r="2222" spans="2:11" s="3" customFormat="1">
      <c r="B2222"/>
      <c r="C2222"/>
      <c r="D2222"/>
      <c r="E2222"/>
      <c r="F2222"/>
      <c r="G2222"/>
      <c r="K2222" s="62"/>
    </row>
    <row r="2223" spans="2:11" s="3" customFormat="1">
      <c r="B2223"/>
      <c r="C2223"/>
      <c r="D2223"/>
      <c r="E2223"/>
      <c r="F2223"/>
      <c r="G2223"/>
      <c r="K2223" s="62"/>
    </row>
    <row r="2224" spans="2:11" s="3" customFormat="1">
      <c r="B2224"/>
      <c r="C2224"/>
      <c r="D2224"/>
      <c r="E2224"/>
      <c r="F2224"/>
      <c r="G2224"/>
      <c r="K2224" s="62"/>
    </row>
    <row r="2225" spans="2:11" s="3" customFormat="1">
      <c r="B2225"/>
      <c r="C2225"/>
      <c r="D2225"/>
      <c r="E2225"/>
      <c r="F2225"/>
      <c r="G2225"/>
      <c r="K2225" s="62"/>
    </row>
    <row r="2226" spans="2:11" s="3" customFormat="1">
      <c r="B2226"/>
      <c r="C2226"/>
      <c r="D2226"/>
      <c r="E2226"/>
      <c r="F2226"/>
      <c r="G2226"/>
      <c r="K2226" s="62"/>
    </row>
    <row r="2227" spans="2:11" s="3" customFormat="1">
      <c r="B2227"/>
      <c r="C2227"/>
      <c r="D2227"/>
      <c r="E2227"/>
      <c r="F2227"/>
      <c r="G2227"/>
      <c r="K2227" s="62"/>
    </row>
    <row r="2228" spans="2:11" s="3" customFormat="1">
      <c r="B2228"/>
      <c r="C2228"/>
      <c r="D2228"/>
      <c r="E2228"/>
      <c r="F2228"/>
      <c r="G2228"/>
      <c r="K2228" s="62"/>
    </row>
    <row r="2229" spans="2:11" s="3" customFormat="1">
      <c r="B2229"/>
      <c r="C2229"/>
      <c r="D2229"/>
      <c r="E2229"/>
      <c r="F2229"/>
      <c r="G2229"/>
      <c r="K2229" s="62"/>
    </row>
    <row r="2230" spans="2:11" s="3" customFormat="1">
      <c r="B2230"/>
      <c r="C2230"/>
      <c r="D2230"/>
      <c r="E2230"/>
      <c r="F2230"/>
      <c r="G2230"/>
      <c r="K2230" s="62"/>
    </row>
    <row r="2231" spans="2:11" s="3" customFormat="1">
      <c r="B2231"/>
      <c r="C2231"/>
      <c r="D2231"/>
      <c r="E2231"/>
      <c r="F2231"/>
      <c r="G2231"/>
      <c r="K2231" s="62"/>
    </row>
    <row r="2232" spans="2:11" s="3" customFormat="1">
      <c r="B2232"/>
      <c r="C2232"/>
      <c r="D2232"/>
      <c r="E2232"/>
      <c r="F2232"/>
      <c r="G2232"/>
      <c r="K2232" s="62"/>
    </row>
    <row r="2233" spans="2:11" s="3" customFormat="1">
      <c r="B2233"/>
      <c r="C2233"/>
      <c r="D2233"/>
      <c r="E2233"/>
      <c r="F2233"/>
      <c r="G2233"/>
      <c r="K2233" s="62"/>
    </row>
    <row r="2234" spans="2:11" s="3" customFormat="1">
      <c r="B2234"/>
      <c r="C2234"/>
      <c r="D2234"/>
      <c r="E2234"/>
      <c r="F2234"/>
      <c r="G2234"/>
      <c r="K2234" s="62"/>
    </row>
    <row r="2235" spans="2:11" s="3" customFormat="1">
      <c r="B2235"/>
      <c r="C2235"/>
      <c r="D2235"/>
      <c r="E2235"/>
      <c r="F2235"/>
      <c r="G2235"/>
      <c r="K2235" s="62"/>
    </row>
    <row r="2236" spans="2:11" s="3" customFormat="1">
      <c r="B2236"/>
      <c r="C2236"/>
      <c r="D2236"/>
      <c r="E2236"/>
      <c r="F2236"/>
      <c r="G2236"/>
      <c r="K2236" s="62"/>
    </row>
    <row r="2237" spans="2:11" s="3" customFormat="1">
      <c r="B2237"/>
      <c r="C2237"/>
      <c r="D2237"/>
      <c r="E2237"/>
      <c r="F2237"/>
      <c r="G2237"/>
      <c r="K2237" s="62"/>
    </row>
    <row r="2238" spans="2:11" s="3" customFormat="1">
      <c r="B2238"/>
      <c r="C2238"/>
      <c r="D2238"/>
      <c r="E2238"/>
      <c r="F2238"/>
      <c r="G2238"/>
      <c r="K2238" s="62"/>
    </row>
    <row r="2239" spans="2:11" s="3" customFormat="1">
      <c r="B2239"/>
      <c r="C2239"/>
      <c r="D2239"/>
      <c r="E2239"/>
      <c r="F2239"/>
      <c r="G2239"/>
      <c r="K2239" s="62"/>
    </row>
    <row r="2240" spans="2:11" s="3" customFormat="1">
      <c r="B2240"/>
      <c r="C2240"/>
      <c r="D2240"/>
      <c r="E2240"/>
      <c r="F2240"/>
      <c r="G2240"/>
      <c r="K2240" s="62"/>
    </row>
    <row r="2241" spans="2:11" s="3" customFormat="1">
      <c r="B2241"/>
      <c r="C2241"/>
      <c r="D2241"/>
      <c r="E2241"/>
      <c r="F2241"/>
      <c r="G2241"/>
      <c r="K2241" s="62"/>
    </row>
    <row r="2242" spans="2:11" s="3" customFormat="1">
      <c r="B2242"/>
      <c r="C2242"/>
      <c r="D2242"/>
      <c r="E2242"/>
      <c r="F2242"/>
      <c r="G2242"/>
      <c r="K2242" s="62"/>
    </row>
    <row r="2243" spans="2:11" s="3" customFormat="1">
      <c r="B2243"/>
      <c r="C2243"/>
      <c r="D2243"/>
      <c r="E2243"/>
      <c r="F2243"/>
      <c r="G2243"/>
      <c r="K2243" s="62"/>
    </row>
    <row r="2244" spans="2:11" s="3" customFormat="1">
      <c r="B2244"/>
      <c r="C2244"/>
      <c r="D2244"/>
      <c r="E2244"/>
      <c r="F2244"/>
      <c r="G2244"/>
      <c r="K2244" s="62"/>
    </row>
    <row r="2245" spans="2:11" s="3" customFormat="1">
      <c r="B2245"/>
      <c r="C2245"/>
      <c r="D2245"/>
      <c r="E2245"/>
      <c r="F2245"/>
      <c r="G2245"/>
      <c r="K2245" s="62"/>
    </row>
    <row r="2246" spans="2:11" s="3" customFormat="1">
      <c r="B2246"/>
      <c r="C2246"/>
      <c r="D2246"/>
      <c r="E2246"/>
      <c r="F2246"/>
      <c r="G2246"/>
      <c r="K2246" s="62"/>
    </row>
    <row r="2247" spans="2:11" s="3" customFormat="1">
      <c r="B2247"/>
      <c r="C2247"/>
      <c r="D2247"/>
      <c r="E2247"/>
      <c r="F2247"/>
      <c r="G2247"/>
      <c r="K2247" s="62"/>
    </row>
    <row r="2248" spans="2:11" s="3" customFormat="1">
      <c r="B2248"/>
      <c r="C2248"/>
      <c r="D2248"/>
      <c r="E2248"/>
      <c r="F2248"/>
      <c r="G2248"/>
      <c r="K2248" s="62"/>
    </row>
    <row r="2249" spans="2:11" s="3" customFormat="1">
      <c r="B2249"/>
      <c r="C2249"/>
      <c r="D2249"/>
      <c r="E2249"/>
      <c r="F2249"/>
      <c r="G2249"/>
      <c r="K2249" s="62"/>
    </row>
    <row r="2250" spans="2:11" s="3" customFormat="1">
      <c r="B2250"/>
      <c r="C2250"/>
      <c r="D2250"/>
      <c r="E2250"/>
      <c r="F2250"/>
      <c r="G2250"/>
      <c r="K2250" s="62"/>
    </row>
    <row r="2251" spans="2:11" s="3" customFormat="1">
      <c r="B2251"/>
      <c r="C2251"/>
      <c r="D2251"/>
      <c r="E2251"/>
      <c r="F2251"/>
      <c r="G2251"/>
      <c r="K2251" s="62"/>
    </row>
    <row r="2252" spans="2:11" s="3" customFormat="1">
      <c r="B2252"/>
      <c r="C2252"/>
      <c r="D2252"/>
      <c r="E2252"/>
      <c r="F2252"/>
      <c r="G2252"/>
      <c r="K2252" s="62"/>
    </row>
    <row r="2253" spans="2:11" s="3" customFormat="1">
      <c r="B2253"/>
      <c r="C2253"/>
      <c r="D2253"/>
      <c r="E2253"/>
      <c r="F2253"/>
      <c r="G2253"/>
      <c r="K2253" s="62"/>
    </row>
    <row r="2254" spans="2:11" s="3" customFormat="1">
      <c r="B2254"/>
      <c r="C2254"/>
      <c r="D2254"/>
      <c r="E2254"/>
      <c r="F2254"/>
      <c r="G2254"/>
      <c r="K2254" s="62"/>
    </row>
    <row r="2255" spans="2:11" s="3" customFormat="1">
      <c r="B2255"/>
      <c r="C2255"/>
      <c r="D2255"/>
      <c r="E2255"/>
      <c r="F2255"/>
      <c r="G2255"/>
      <c r="K2255" s="62"/>
    </row>
    <row r="2256" spans="2:11" s="3" customFormat="1">
      <c r="B2256"/>
      <c r="C2256"/>
      <c r="D2256"/>
      <c r="E2256"/>
      <c r="F2256"/>
      <c r="G2256"/>
      <c r="K2256" s="62"/>
    </row>
    <row r="2257" spans="2:11" s="3" customFormat="1">
      <c r="B2257"/>
      <c r="C2257"/>
      <c r="D2257"/>
      <c r="E2257"/>
      <c r="F2257"/>
      <c r="G2257"/>
      <c r="K2257" s="62"/>
    </row>
    <row r="2258" spans="2:11" s="3" customFormat="1">
      <c r="B2258"/>
      <c r="C2258"/>
      <c r="D2258"/>
      <c r="E2258"/>
      <c r="F2258"/>
      <c r="G2258"/>
      <c r="K2258" s="62"/>
    </row>
    <row r="2259" spans="2:11" s="3" customFormat="1">
      <c r="B2259"/>
      <c r="C2259"/>
      <c r="D2259"/>
      <c r="E2259"/>
      <c r="F2259"/>
      <c r="G2259"/>
      <c r="K2259" s="62"/>
    </row>
    <row r="2260" spans="2:11" s="3" customFormat="1">
      <c r="B2260"/>
      <c r="C2260"/>
      <c r="D2260"/>
      <c r="E2260"/>
      <c r="F2260"/>
      <c r="G2260"/>
      <c r="K2260" s="62"/>
    </row>
    <row r="2261" spans="2:11" s="3" customFormat="1">
      <c r="B2261"/>
      <c r="C2261"/>
      <c r="D2261"/>
      <c r="E2261"/>
      <c r="F2261"/>
      <c r="G2261"/>
      <c r="K2261" s="62"/>
    </row>
    <row r="2262" spans="2:11" s="3" customFormat="1">
      <c r="B2262"/>
      <c r="C2262"/>
      <c r="D2262"/>
      <c r="E2262"/>
      <c r="F2262"/>
      <c r="G2262"/>
      <c r="K2262" s="62"/>
    </row>
    <row r="2263" spans="2:11" s="3" customFormat="1">
      <c r="B2263"/>
      <c r="C2263"/>
      <c r="D2263"/>
      <c r="E2263"/>
      <c r="F2263"/>
      <c r="G2263"/>
      <c r="K2263" s="62"/>
    </row>
    <row r="2264" spans="2:11" s="3" customFormat="1">
      <c r="B2264"/>
      <c r="C2264"/>
      <c r="D2264"/>
      <c r="E2264"/>
      <c r="F2264"/>
      <c r="G2264"/>
      <c r="K2264" s="62"/>
    </row>
    <row r="2265" spans="2:11" s="3" customFormat="1">
      <c r="B2265"/>
      <c r="C2265"/>
      <c r="D2265"/>
      <c r="E2265"/>
      <c r="F2265"/>
      <c r="G2265"/>
      <c r="K2265" s="62"/>
    </row>
    <row r="2266" spans="2:11" s="3" customFormat="1">
      <c r="B2266"/>
      <c r="C2266"/>
      <c r="D2266"/>
      <c r="E2266"/>
      <c r="F2266"/>
      <c r="G2266"/>
      <c r="K2266" s="62"/>
    </row>
    <row r="2267" spans="2:11" s="3" customFormat="1">
      <c r="B2267"/>
      <c r="C2267"/>
      <c r="D2267"/>
      <c r="E2267"/>
      <c r="F2267"/>
      <c r="G2267"/>
      <c r="K2267" s="62"/>
    </row>
    <row r="2268" spans="2:11" s="3" customFormat="1">
      <c r="B2268"/>
      <c r="C2268"/>
      <c r="D2268"/>
      <c r="E2268"/>
      <c r="F2268"/>
      <c r="G2268"/>
      <c r="K2268" s="62"/>
    </row>
    <row r="2269" spans="2:11" s="3" customFormat="1">
      <c r="B2269"/>
      <c r="C2269"/>
      <c r="D2269"/>
      <c r="E2269"/>
      <c r="F2269"/>
      <c r="G2269"/>
      <c r="K2269" s="62"/>
    </row>
    <row r="2270" spans="2:11" s="3" customFormat="1">
      <c r="B2270"/>
      <c r="C2270"/>
      <c r="D2270"/>
      <c r="E2270"/>
      <c r="F2270"/>
      <c r="G2270"/>
      <c r="K2270" s="62"/>
    </row>
    <row r="2271" spans="2:11" s="3" customFormat="1">
      <c r="B2271"/>
      <c r="C2271"/>
      <c r="D2271"/>
      <c r="E2271"/>
      <c r="F2271"/>
      <c r="G2271"/>
      <c r="K2271" s="62"/>
    </row>
    <row r="2272" spans="2:11" s="3" customFormat="1">
      <c r="B2272"/>
      <c r="C2272"/>
      <c r="D2272"/>
      <c r="E2272"/>
      <c r="F2272"/>
      <c r="G2272"/>
      <c r="K2272" s="62"/>
    </row>
    <row r="2273" spans="2:11" s="3" customFormat="1">
      <c r="B2273"/>
      <c r="C2273"/>
      <c r="D2273"/>
      <c r="E2273"/>
      <c r="F2273"/>
      <c r="G2273"/>
      <c r="K2273" s="62"/>
    </row>
    <row r="2274" spans="2:11" s="3" customFormat="1">
      <c r="B2274"/>
      <c r="C2274"/>
      <c r="D2274"/>
      <c r="E2274"/>
      <c r="F2274"/>
      <c r="G2274"/>
      <c r="K2274" s="62"/>
    </row>
    <row r="2275" spans="2:11" s="3" customFormat="1">
      <c r="B2275"/>
      <c r="C2275"/>
      <c r="D2275"/>
      <c r="E2275"/>
      <c r="F2275"/>
      <c r="G2275"/>
      <c r="K2275" s="62"/>
    </row>
    <row r="2276" spans="2:11" s="3" customFormat="1">
      <c r="B2276"/>
      <c r="C2276"/>
      <c r="D2276"/>
      <c r="E2276"/>
      <c r="F2276"/>
      <c r="G2276"/>
      <c r="K2276" s="62"/>
    </row>
    <row r="2277" spans="2:11" s="3" customFormat="1">
      <c r="B2277"/>
      <c r="C2277"/>
      <c r="D2277"/>
      <c r="E2277"/>
      <c r="F2277"/>
      <c r="G2277"/>
      <c r="K2277" s="62"/>
    </row>
    <row r="2278" spans="2:11" s="3" customFormat="1">
      <c r="B2278"/>
      <c r="C2278"/>
      <c r="D2278"/>
      <c r="E2278"/>
      <c r="F2278"/>
      <c r="G2278"/>
      <c r="K2278" s="62"/>
    </row>
    <row r="2279" spans="2:11" s="3" customFormat="1">
      <c r="B2279"/>
      <c r="C2279"/>
      <c r="D2279"/>
      <c r="E2279"/>
      <c r="F2279"/>
      <c r="G2279"/>
      <c r="K2279" s="62"/>
    </row>
    <row r="2280" spans="2:11" s="3" customFormat="1">
      <c r="B2280"/>
      <c r="C2280"/>
      <c r="D2280"/>
      <c r="E2280"/>
      <c r="F2280"/>
      <c r="G2280"/>
      <c r="K2280" s="62"/>
    </row>
    <row r="2281" spans="2:11" s="3" customFormat="1">
      <c r="B2281"/>
      <c r="C2281"/>
      <c r="D2281"/>
      <c r="E2281"/>
      <c r="F2281"/>
      <c r="G2281"/>
      <c r="K2281" s="62"/>
    </row>
    <row r="2282" spans="2:11" s="3" customFormat="1">
      <c r="B2282"/>
      <c r="C2282"/>
      <c r="D2282"/>
      <c r="E2282"/>
      <c r="F2282"/>
      <c r="G2282"/>
      <c r="K2282" s="62"/>
    </row>
    <row r="2283" spans="2:11" s="3" customFormat="1">
      <c r="B2283"/>
      <c r="C2283"/>
      <c r="D2283"/>
      <c r="E2283"/>
      <c r="F2283"/>
      <c r="G2283"/>
      <c r="K2283" s="62"/>
    </row>
    <row r="2284" spans="2:11" s="3" customFormat="1">
      <c r="B2284"/>
      <c r="C2284"/>
      <c r="D2284"/>
      <c r="E2284"/>
      <c r="F2284"/>
      <c r="G2284"/>
      <c r="K2284" s="62"/>
    </row>
    <row r="2285" spans="2:11" s="3" customFormat="1">
      <c r="B2285"/>
      <c r="C2285"/>
      <c r="D2285"/>
      <c r="E2285"/>
      <c r="F2285"/>
      <c r="G2285"/>
      <c r="K2285" s="62"/>
    </row>
    <row r="2286" spans="2:11" s="3" customFormat="1">
      <c r="B2286"/>
      <c r="C2286"/>
      <c r="D2286"/>
      <c r="E2286"/>
      <c r="F2286"/>
      <c r="G2286"/>
      <c r="K2286" s="62"/>
    </row>
    <row r="2287" spans="2:11" s="3" customFormat="1">
      <c r="B2287"/>
      <c r="C2287"/>
      <c r="D2287"/>
      <c r="E2287"/>
      <c r="F2287"/>
      <c r="G2287"/>
      <c r="K2287" s="62"/>
    </row>
    <row r="2288" spans="2:11" s="3" customFormat="1">
      <c r="B2288"/>
      <c r="C2288"/>
      <c r="D2288"/>
      <c r="E2288"/>
      <c r="F2288"/>
      <c r="G2288"/>
      <c r="K2288" s="62"/>
    </row>
    <row r="2289" spans="2:11" s="3" customFormat="1">
      <c r="B2289"/>
      <c r="C2289"/>
      <c r="D2289"/>
      <c r="E2289"/>
      <c r="F2289"/>
      <c r="G2289"/>
      <c r="K2289" s="62"/>
    </row>
    <row r="2290" spans="2:11" s="3" customFormat="1">
      <c r="B2290"/>
      <c r="C2290"/>
      <c r="D2290"/>
      <c r="E2290"/>
      <c r="F2290"/>
      <c r="G2290"/>
      <c r="K2290" s="62"/>
    </row>
    <row r="2291" spans="2:11" s="3" customFormat="1">
      <c r="B2291"/>
      <c r="C2291"/>
      <c r="D2291"/>
      <c r="E2291"/>
      <c r="F2291"/>
      <c r="G2291"/>
      <c r="K2291" s="62"/>
    </row>
    <row r="2292" spans="2:11" s="3" customFormat="1">
      <c r="B2292"/>
      <c r="C2292"/>
      <c r="D2292"/>
      <c r="E2292"/>
      <c r="F2292"/>
      <c r="G2292"/>
      <c r="K2292" s="62"/>
    </row>
    <row r="2293" spans="2:11" s="3" customFormat="1">
      <c r="B2293"/>
      <c r="C2293"/>
      <c r="D2293"/>
      <c r="E2293"/>
      <c r="F2293"/>
      <c r="G2293"/>
      <c r="K2293" s="62"/>
    </row>
    <row r="2294" spans="2:11" s="3" customFormat="1">
      <c r="B2294"/>
      <c r="C2294"/>
      <c r="D2294"/>
      <c r="E2294"/>
      <c r="F2294"/>
      <c r="G2294"/>
      <c r="K2294" s="62"/>
    </row>
    <row r="2295" spans="2:11" s="3" customFormat="1">
      <c r="B2295"/>
      <c r="C2295"/>
      <c r="D2295"/>
      <c r="E2295"/>
      <c r="F2295"/>
      <c r="G2295"/>
      <c r="K2295" s="62"/>
    </row>
    <row r="2296" spans="2:11" s="3" customFormat="1">
      <c r="B2296"/>
      <c r="C2296"/>
      <c r="D2296"/>
      <c r="E2296"/>
      <c r="F2296"/>
      <c r="G2296"/>
      <c r="K2296" s="62"/>
    </row>
    <row r="2297" spans="2:11" s="3" customFormat="1">
      <c r="B2297"/>
      <c r="C2297"/>
      <c r="D2297"/>
      <c r="E2297"/>
      <c r="F2297"/>
      <c r="G2297"/>
      <c r="K2297" s="62"/>
    </row>
    <row r="2298" spans="2:11" s="3" customFormat="1">
      <c r="B2298"/>
      <c r="C2298"/>
      <c r="D2298"/>
      <c r="E2298"/>
      <c r="F2298"/>
      <c r="G2298"/>
      <c r="K2298" s="62"/>
    </row>
    <row r="2299" spans="2:11" s="3" customFormat="1">
      <c r="B2299"/>
      <c r="C2299"/>
      <c r="D2299"/>
      <c r="E2299"/>
      <c r="F2299"/>
      <c r="G2299"/>
      <c r="K2299" s="62"/>
    </row>
    <row r="2300" spans="2:11" s="3" customFormat="1">
      <c r="B2300"/>
      <c r="C2300"/>
      <c r="D2300"/>
      <c r="E2300"/>
      <c r="F2300"/>
      <c r="G2300"/>
      <c r="K2300" s="62"/>
    </row>
    <row r="2301" spans="2:11" s="3" customFormat="1">
      <c r="B2301"/>
      <c r="C2301"/>
      <c r="D2301"/>
      <c r="E2301"/>
      <c r="F2301"/>
      <c r="G2301"/>
      <c r="K2301" s="62"/>
    </row>
    <row r="2302" spans="2:11" s="3" customFormat="1">
      <c r="B2302"/>
      <c r="C2302"/>
      <c r="D2302"/>
      <c r="E2302"/>
      <c r="F2302"/>
      <c r="G2302"/>
      <c r="K2302" s="62"/>
    </row>
    <row r="2303" spans="2:11" s="3" customFormat="1">
      <c r="B2303"/>
      <c r="C2303"/>
      <c r="D2303"/>
      <c r="E2303"/>
      <c r="F2303"/>
      <c r="G2303"/>
      <c r="K2303" s="62"/>
    </row>
    <row r="2304" spans="2:11" s="3" customFormat="1">
      <c r="B2304"/>
      <c r="C2304"/>
      <c r="D2304"/>
      <c r="E2304"/>
      <c r="F2304"/>
      <c r="G2304"/>
      <c r="K2304" s="62"/>
    </row>
    <row r="2305" spans="2:11" s="3" customFormat="1">
      <c r="B2305"/>
      <c r="C2305"/>
      <c r="D2305"/>
      <c r="E2305"/>
      <c r="F2305"/>
      <c r="G2305"/>
      <c r="K2305" s="62"/>
    </row>
    <row r="2306" spans="2:11" s="3" customFormat="1">
      <c r="B2306"/>
      <c r="C2306"/>
      <c r="D2306"/>
      <c r="E2306"/>
      <c r="F2306"/>
      <c r="G2306"/>
      <c r="K2306" s="62"/>
    </row>
    <row r="2307" spans="2:11" s="3" customFormat="1">
      <c r="B2307"/>
      <c r="C2307"/>
      <c r="D2307"/>
      <c r="E2307"/>
      <c r="F2307"/>
      <c r="G2307"/>
      <c r="K2307" s="62"/>
    </row>
    <row r="2308" spans="2:11" s="3" customFormat="1">
      <c r="B2308"/>
      <c r="C2308"/>
      <c r="D2308"/>
      <c r="E2308"/>
      <c r="F2308"/>
      <c r="G2308"/>
      <c r="K2308" s="62"/>
    </row>
    <row r="2309" spans="2:11" s="3" customFormat="1">
      <c r="B2309"/>
      <c r="C2309"/>
      <c r="D2309"/>
      <c r="E2309"/>
      <c r="F2309"/>
      <c r="G2309"/>
      <c r="K2309" s="62"/>
    </row>
    <row r="2310" spans="2:11" s="3" customFormat="1">
      <c r="B2310"/>
      <c r="C2310"/>
      <c r="D2310"/>
      <c r="E2310"/>
      <c r="F2310"/>
      <c r="G2310"/>
      <c r="K2310" s="62"/>
    </row>
    <row r="2311" spans="2:11" s="3" customFormat="1">
      <c r="B2311"/>
      <c r="C2311"/>
      <c r="D2311"/>
      <c r="E2311"/>
      <c r="F2311"/>
      <c r="G2311"/>
      <c r="K2311" s="62"/>
    </row>
    <row r="2312" spans="2:11" s="3" customFormat="1">
      <c r="B2312"/>
      <c r="C2312"/>
      <c r="D2312"/>
      <c r="E2312"/>
      <c r="F2312"/>
      <c r="G2312"/>
      <c r="K2312" s="62"/>
    </row>
    <row r="2313" spans="2:11" s="3" customFormat="1">
      <c r="B2313"/>
      <c r="C2313"/>
      <c r="D2313"/>
      <c r="E2313"/>
      <c r="F2313"/>
      <c r="G2313"/>
      <c r="K2313" s="62"/>
    </row>
    <row r="2314" spans="2:11" s="3" customFormat="1">
      <c r="B2314"/>
      <c r="C2314"/>
      <c r="D2314"/>
      <c r="E2314"/>
      <c r="F2314"/>
      <c r="G2314"/>
      <c r="K2314" s="62"/>
    </row>
    <row r="2315" spans="2:11" s="3" customFormat="1">
      <c r="B2315"/>
      <c r="C2315"/>
      <c r="D2315"/>
      <c r="E2315"/>
      <c r="F2315"/>
      <c r="G2315"/>
      <c r="K2315" s="62"/>
    </row>
    <row r="2316" spans="2:11" s="3" customFormat="1">
      <c r="B2316"/>
      <c r="C2316"/>
      <c r="D2316"/>
      <c r="E2316"/>
      <c r="F2316"/>
      <c r="G2316"/>
      <c r="K2316" s="62"/>
    </row>
    <row r="2317" spans="2:11" s="3" customFormat="1">
      <c r="B2317"/>
      <c r="C2317"/>
      <c r="D2317"/>
      <c r="E2317"/>
      <c r="F2317"/>
      <c r="G2317"/>
      <c r="K2317" s="62"/>
    </row>
    <row r="2318" spans="2:11" s="3" customFormat="1">
      <c r="B2318"/>
      <c r="C2318"/>
      <c r="D2318"/>
      <c r="E2318"/>
      <c r="F2318"/>
      <c r="G2318"/>
      <c r="K2318" s="62"/>
    </row>
    <row r="2319" spans="2:11" s="3" customFormat="1">
      <c r="B2319"/>
      <c r="C2319"/>
      <c r="D2319"/>
      <c r="E2319"/>
      <c r="F2319"/>
      <c r="G2319"/>
      <c r="K2319" s="62"/>
    </row>
    <row r="2320" spans="2:11" s="3" customFormat="1">
      <c r="B2320"/>
      <c r="C2320"/>
      <c r="D2320"/>
      <c r="E2320"/>
      <c r="F2320"/>
      <c r="G2320"/>
      <c r="K2320" s="62"/>
    </row>
    <row r="2321" spans="2:11" s="3" customFormat="1">
      <c r="B2321"/>
      <c r="C2321"/>
      <c r="D2321"/>
      <c r="E2321"/>
      <c r="F2321"/>
      <c r="G2321"/>
      <c r="K2321" s="62"/>
    </row>
    <row r="2322" spans="2:11" s="3" customFormat="1">
      <c r="B2322"/>
      <c r="C2322"/>
      <c r="D2322"/>
      <c r="E2322"/>
      <c r="F2322"/>
      <c r="G2322"/>
      <c r="K2322" s="62"/>
    </row>
    <row r="2323" spans="2:11" s="3" customFormat="1">
      <c r="B2323"/>
      <c r="C2323"/>
      <c r="D2323"/>
      <c r="E2323"/>
      <c r="F2323"/>
      <c r="G2323"/>
      <c r="K2323" s="62"/>
    </row>
    <row r="2324" spans="2:11" s="3" customFormat="1">
      <c r="B2324"/>
      <c r="C2324"/>
      <c r="D2324"/>
      <c r="E2324"/>
      <c r="F2324"/>
      <c r="G2324"/>
      <c r="K2324" s="62"/>
    </row>
    <row r="2325" spans="2:11" s="3" customFormat="1">
      <c r="B2325"/>
      <c r="C2325"/>
      <c r="D2325"/>
      <c r="E2325"/>
      <c r="F2325"/>
      <c r="G2325"/>
      <c r="K2325" s="62"/>
    </row>
    <row r="2326" spans="2:11" s="3" customFormat="1">
      <c r="B2326"/>
      <c r="C2326"/>
      <c r="D2326"/>
      <c r="E2326"/>
      <c r="F2326"/>
      <c r="G2326"/>
      <c r="K2326" s="62"/>
    </row>
    <row r="2327" spans="2:11" s="3" customFormat="1">
      <c r="B2327"/>
      <c r="C2327"/>
      <c r="D2327"/>
      <c r="E2327"/>
      <c r="F2327"/>
      <c r="G2327"/>
      <c r="K2327" s="62"/>
    </row>
    <row r="2328" spans="2:11" s="3" customFormat="1">
      <c r="B2328"/>
      <c r="C2328"/>
      <c r="D2328"/>
      <c r="E2328"/>
      <c r="F2328"/>
      <c r="G2328"/>
      <c r="K2328" s="62"/>
    </row>
    <row r="2329" spans="2:11" s="3" customFormat="1">
      <c r="B2329"/>
      <c r="C2329"/>
      <c r="D2329"/>
      <c r="E2329"/>
      <c r="F2329"/>
      <c r="G2329"/>
      <c r="K2329" s="62"/>
    </row>
    <row r="2330" spans="2:11" s="3" customFormat="1">
      <c r="B2330"/>
      <c r="C2330"/>
      <c r="D2330"/>
      <c r="E2330"/>
      <c r="F2330"/>
      <c r="G2330"/>
      <c r="K2330" s="62"/>
    </row>
    <row r="2331" spans="2:11" s="3" customFormat="1">
      <c r="B2331"/>
      <c r="C2331"/>
      <c r="D2331"/>
      <c r="E2331"/>
      <c r="F2331"/>
      <c r="G2331"/>
      <c r="K2331" s="62"/>
    </row>
    <row r="2332" spans="2:11" s="3" customFormat="1">
      <c r="B2332"/>
      <c r="C2332"/>
      <c r="D2332"/>
      <c r="E2332"/>
      <c r="F2332"/>
      <c r="G2332"/>
      <c r="K2332" s="62"/>
    </row>
    <row r="2333" spans="2:11" s="3" customFormat="1">
      <c r="B2333"/>
      <c r="C2333"/>
      <c r="D2333"/>
      <c r="E2333"/>
      <c r="F2333"/>
      <c r="G2333"/>
      <c r="K2333" s="62"/>
    </row>
    <row r="2334" spans="2:11" s="3" customFormat="1">
      <c r="B2334"/>
      <c r="C2334"/>
      <c r="D2334"/>
      <c r="E2334"/>
      <c r="F2334"/>
      <c r="G2334"/>
      <c r="K2334" s="62"/>
    </row>
    <row r="2335" spans="2:11" s="3" customFormat="1">
      <c r="B2335"/>
      <c r="C2335"/>
      <c r="D2335"/>
      <c r="E2335"/>
      <c r="F2335"/>
      <c r="G2335"/>
      <c r="K2335" s="62"/>
    </row>
    <row r="2336" spans="2:11" s="3" customFormat="1">
      <c r="B2336"/>
      <c r="C2336"/>
      <c r="D2336"/>
      <c r="E2336"/>
      <c r="F2336"/>
      <c r="G2336"/>
      <c r="K2336" s="62"/>
    </row>
    <row r="2337" spans="2:11" s="3" customFormat="1">
      <c r="B2337"/>
      <c r="C2337"/>
      <c r="D2337"/>
      <c r="E2337"/>
      <c r="F2337"/>
      <c r="G2337"/>
      <c r="K2337" s="62"/>
    </row>
    <row r="2338" spans="2:11" s="3" customFormat="1">
      <c r="B2338"/>
      <c r="C2338"/>
      <c r="D2338"/>
      <c r="E2338"/>
      <c r="F2338"/>
      <c r="G2338"/>
      <c r="K2338" s="62"/>
    </row>
    <row r="2339" spans="2:11" s="3" customFormat="1">
      <c r="B2339"/>
      <c r="C2339"/>
      <c r="D2339"/>
      <c r="E2339"/>
      <c r="F2339"/>
      <c r="G2339"/>
      <c r="K2339" s="62"/>
    </row>
    <row r="2340" spans="2:11" s="3" customFormat="1">
      <c r="B2340"/>
      <c r="C2340"/>
      <c r="D2340"/>
      <c r="E2340"/>
      <c r="F2340"/>
      <c r="G2340"/>
      <c r="K2340" s="62"/>
    </row>
    <row r="2341" spans="2:11" s="3" customFormat="1">
      <c r="B2341"/>
      <c r="C2341"/>
      <c r="D2341"/>
      <c r="E2341"/>
      <c r="F2341"/>
      <c r="G2341"/>
      <c r="K2341" s="62"/>
    </row>
    <row r="2342" spans="2:11" s="3" customFormat="1">
      <c r="B2342"/>
      <c r="C2342"/>
      <c r="D2342"/>
      <c r="E2342"/>
      <c r="F2342"/>
      <c r="G2342"/>
      <c r="K2342" s="62"/>
    </row>
    <row r="2343" spans="2:11" s="3" customFormat="1">
      <c r="B2343"/>
      <c r="C2343"/>
      <c r="D2343"/>
      <c r="E2343"/>
      <c r="F2343"/>
      <c r="G2343"/>
      <c r="K2343" s="62"/>
    </row>
    <row r="2344" spans="2:11" s="3" customFormat="1">
      <c r="B2344"/>
      <c r="C2344"/>
      <c r="D2344"/>
      <c r="E2344"/>
      <c r="F2344"/>
      <c r="G2344"/>
      <c r="K2344" s="62"/>
    </row>
    <row r="2345" spans="2:11" s="3" customFormat="1">
      <c r="B2345"/>
      <c r="C2345"/>
      <c r="D2345"/>
      <c r="E2345"/>
      <c r="F2345"/>
      <c r="G2345"/>
      <c r="K2345" s="62"/>
    </row>
    <row r="2346" spans="2:11" s="3" customFormat="1">
      <c r="B2346"/>
      <c r="C2346"/>
      <c r="D2346"/>
      <c r="E2346"/>
      <c r="F2346"/>
      <c r="G2346"/>
      <c r="K2346" s="62"/>
    </row>
    <row r="2347" spans="2:11" s="3" customFormat="1">
      <c r="B2347"/>
      <c r="C2347"/>
      <c r="D2347"/>
      <c r="E2347"/>
      <c r="F2347"/>
      <c r="G2347"/>
      <c r="K2347" s="62"/>
    </row>
    <row r="2348" spans="2:11" s="3" customFormat="1">
      <c r="B2348"/>
      <c r="C2348"/>
      <c r="D2348"/>
      <c r="E2348"/>
      <c r="F2348"/>
      <c r="G2348"/>
      <c r="K2348" s="62"/>
    </row>
    <row r="2349" spans="2:11" s="3" customFormat="1">
      <c r="B2349"/>
      <c r="C2349"/>
      <c r="D2349"/>
      <c r="E2349"/>
      <c r="F2349"/>
      <c r="G2349"/>
      <c r="K2349" s="62"/>
    </row>
    <row r="2350" spans="2:11" s="3" customFormat="1">
      <c r="B2350"/>
      <c r="C2350"/>
      <c r="D2350"/>
      <c r="E2350"/>
      <c r="F2350"/>
      <c r="G2350"/>
      <c r="K2350" s="62"/>
    </row>
    <row r="2351" spans="2:11" s="3" customFormat="1">
      <c r="B2351"/>
      <c r="C2351"/>
      <c r="D2351"/>
      <c r="E2351"/>
      <c r="F2351"/>
      <c r="G2351"/>
      <c r="K2351" s="62"/>
    </row>
    <row r="2352" spans="2:11" s="3" customFormat="1">
      <c r="B2352"/>
      <c r="C2352"/>
      <c r="D2352"/>
      <c r="E2352"/>
      <c r="F2352"/>
      <c r="G2352"/>
      <c r="K2352" s="62"/>
    </row>
    <row r="2353" spans="2:11" s="3" customFormat="1">
      <c r="B2353"/>
      <c r="C2353"/>
      <c r="D2353"/>
      <c r="E2353"/>
      <c r="F2353"/>
      <c r="G2353"/>
      <c r="K2353" s="62"/>
    </row>
    <row r="2354" spans="2:11" s="3" customFormat="1">
      <c r="B2354"/>
      <c r="C2354"/>
      <c r="D2354"/>
      <c r="E2354"/>
      <c r="F2354"/>
      <c r="G2354"/>
      <c r="K2354" s="62"/>
    </row>
    <row r="2355" spans="2:11" s="3" customFormat="1">
      <c r="B2355"/>
      <c r="C2355"/>
      <c r="D2355"/>
      <c r="E2355"/>
      <c r="F2355"/>
      <c r="G2355"/>
      <c r="K2355" s="62"/>
    </row>
    <row r="2356" spans="2:11" s="3" customFormat="1">
      <c r="B2356"/>
      <c r="C2356"/>
      <c r="D2356"/>
      <c r="E2356"/>
      <c r="F2356"/>
      <c r="G2356"/>
      <c r="K2356" s="62"/>
    </row>
    <row r="2357" spans="2:11" s="3" customFormat="1">
      <c r="B2357"/>
      <c r="C2357"/>
      <c r="D2357"/>
      <c r="E2357"/>
      <c r="F2357"/>
      <c r="G2357"/>
      <c r="K2357" s="62"/>
    </row>
    <row r="2358" spans="2:11" s="3" customFormat="1">
      <c r="B2358"/>
      <c r="C2358"/>
      <c r="D2358"/>
      <c r="E2358"/>
      <c r="F2358"/>
      <c r="G2358"/>
      <c r="K2358" s="62"/>
    </row>
    <row r="2359" spans="2:11" s="3" customFormat="1">
      <c r="B2359"/>
      <c r="C2359"/>
      <c r="D2359"/>
      <c r="E2359"/>
      <c r="F2359"/>
      <c r="G2359"/>
      <c r="K2359" s="62"/>
    </row>
    <row r="2360" spans="2:11" s="3" customFormat="1">
      <c r="B2360"/>
      <c r="C2360"/>
      <c r="D2360"/>
      <c r="E2360"/>
      <c r="F2360"/>
      <c r="G2360"/>
      <c r="K2360" s="62"/>
    </row>
    <row r="2361" spans="2:11" s="3" customFormat="1">
      <c r="B2361"/>
      <c r="C2361"/>
      <c r="D2361"/>
      <c r="E2361"/>
      <c r="F2361"/>
      <c r="G2361"/>
      <c r="K2361" s="62"/>
    </row>
    <row r="2362" spans="2:11" s="3" customFormat="1">
      <c r="B2362"/>
      <c r="C2362"/>
      <c r="D2362"/>
      <c r="E2362"/>
      <c r="F2362"/>
      <c r="G2362"/>
      <c r="K2362" s="62"/>
    </row>
    <row r="2363" spans="2:11" s="3" customFormat="1">
      <c r="B2363"/>
      <c r="C2363"/>
      <c r="D2363"/>
      <c r="E2363"/>
      <c r="F2363"/>
      <c r="G2363"/>
      <c r="K2363" s="62"/>
    </row>
    <row r="2364" spans="2:11" s="3" customFormat="1">
      <c r="B2364"/>
      <c r="C2364"/>
      <c r="D2364"/>
      <c r="E2364"/>
      <c r="F2364"/>
      <c r="G2364"/>
      <c r="K2364" s="62"/>
    </row>
    <row r="2365" spans="2:11" s="3" customFormat="1">
      <c r="B2365"/>
      <c r="C2365"/>
      <c r="D2365"/>
      <c r="E2365"/>
      <c r="F2365"/>
      <c r="G2365"/>
      <c r="K2365" s="62"/>
    </row>
    <row r="2366" spans="2:11" s="3" customFormat="1">
      <c r="B2366"/>
      <c r="C2366"/>
      <c r="D2366"/>
      <c r="E2366"/>
      <c r="F2366"/>
      <c r="G2366"/>
      <c r="K2366" s="62"/>
    </row>
    <row r="2367" spans="2:11" s="3" customFormat="1">
      <c r="B2367"/>
      <c r="C2367"/>
      <c r="D2367"/>
      <c r="E2367"/>
      <c r="F2367"/>
      <c r="G2367"/>
      <c r="K2367" s="62"/>
    </row>
    <row r="2368" spans="2:11" s="3" customFormat="1">
      <c r="B2368"/>
      <c r="C2368"/>
      <c r="D2368"/>
      <c r="E2368"/>
      <c r="F2368"/>
      <c r="G2368"/>
      <c r="K2368" s="62"/>
    </row>
    <row r="2369" spans="2:11" s="3" customFormat="1">
      <c r="B2369"/>
      <c r="C2369"/>
      <c r="D2369"/>
      <c r="E2369"/>
      <c r="F2369"/>
      <c r="G2369"/>
      <c r="K2369" s="62"/>
    </row>
    <row r="2370" spans="2:11" s="3" customFormat="1">
      <c r="B2370"/>
      <c r="C2370"/>
      <c r="D2370"/>
      <c r="E2370"/>
      <c r="F2370"/>
      <c r="G2370"/>
      <c r="K2370" s="62"/>
    </row>
    <row r="2371" spans="2:11" s="3" customFormat="1">
      <c r="B2371"/>
      <c r="C2371"/>
      <c r="D2371"/>
      <c r="E2371"/>
      <c r="F2371"/>
      <c r="G2371"/>
      <c r="K2371" s="62"/>
    </row>
    <row r="2372" spans="2:11" s="3" customFormat="1">
      <c r="B2372"/>
      <c r="C2372"/>
      <c r="D2372"/>
      <c r="E2372"/>
      <c r="F2372"/>
      <c r="G2372"/>
      <c r="K2372" s="62"/>
    </row>
    <row r="2373" spans="2:11" s="3" customFormat="1">
      <c r="B2373"/>
      <c r="C2373"/>
      <c r="D2373"/>
      <c r="E2373"/>
      <c r="F2373"/>
      <c r="G2373"/>
      <c r="K2373" s="62"/>
    </row>
    <row r="2374" spans="2:11" s="3" customFormat="1">
      <c r="B2374"/>
      <c r="C2374"/>
      <c r="D2374"/>
      <c r="E2374"/>
      <c r="F2374"/>
      <c r="G2374"/>
      <c r="K2374" s="62"/>
    </row>
    <row r="2375" spans="2:11" s="3" customFormat="1">
      <c r="B2375"/>
      <c r="C2375"/>
      <c r="D2375"/>
      <c r="E2375"/>
      <c r="F2375"/>
      <c r="G2375"/>
      <c r="K2375" s="62"/>
    </row>
    <row r="2376" spans="2:11" s="3" customFormat="1">
      <c r="B2376"/>
      <c r="C2376"/>
      <c r="D2376"/>
      <c r="E2376"/>
      <c r="F2376"/>
      <c r="G2376"/>
      <c r="K2376" s="62"/>
    </row>
    <row r="2377" spans="2:11" s="3" customFormat="1">
      <c r="B2377"/>
      <c r="C2377"/>
      <c r="D2377"/>
      <c r="E2377"/>
      <c r="F2377"/>
      <c r="G2377"/>
      <c r="K2377" s="62"/>
    </row>
    <row r="2378" spans="2:11" s="3" customFormat="1">
      <c r="B2378"/>
      <c r="C2378"/>
      <c r="D2378"/>
      <c r="E2378"/>
      <c r="F2378"/>
      <c r="G2378"/>
      <c r="K2378" s="62"/>
    </row>
    <row r="2379" spans="2:11" s="3" customFormat="1">
      <c r="B2379"/>
      <c r="C2379"/>
      <c r="D2379"/>
      <c r="E2379"/>
      <c r="F2379"/>
      <c r="G2379"/>
      <c r="K2379" s="62"/>
    </row>
    <row r="2380" spans="2:11" s="3" customFormat="1">
      <c r="B2380"/>
      <c r="C2380"/>
      <c r="D2380"/>
      <c r="E2380"/>
      <c r="F2380"/>
      <c r="G2380"/>
      <c r="K2380" s="62"/>
    </row>
    <row r="2381" spans="2:11" s="3" customFormat="1">
      <c r="B2381"/>
      <c r="C2381"/>
      <c r="D2381"/>
      <c r="E2381"/>
      <c r="F2381"/>
      <c r="G2381"/>
      <c r="K2381" s="62"/>
    </row>
    <row r="2382" spans="2:11" s="3" customFormat="1">
      <c r="B2382"/>
      <c r="C2382"/>
      <c r="D2382"/>
      <c r="E2382"/>
      <c r="F2382"/>
      <c r="G2382"/>
      <c r="K2382" s="62"/>
    </row>
    <row r="2383" spans="2:11" s="3" customFormat="1">
      <c r="B2383"/>
      <c r="C2383"/>
      <c r="D2383"/>
      <c r="E2383"/>
      <c r="F2383"/>
      <c r="G2383"/>
      <c r="K2383" s="62"/>
    </row>
    <row r="2384" spans="2:11" s="3" customFormat="1">
      <c r="B2384"/>
      <c r="C2384"/>
      <c r="D2384"/>
      <c r="E2384"/>
      <c r="F2384"/>
      <c r="G2384"/>
      <c r="K2384" s="62"/>
    </row>
    <row r="2385" spans="2:11" s="3" customFormat="1">
      <c r="B2385"/>
      <c r="C2385"/>
      <c r="D2385"/>
      <c r="E2385"/>
      <c r="F2385"/>
      <c r="G2385"/>
      <c r="K2385" s="62"/>
    </row>
    <row r="2386" spans="2:11" s="3" customFormat="1">
      <c r="B2386"/>
      <c r="C2386"/>
      <c r="D2386"/>
      <c r="E2386"/>
      <c r="F2386"/>
      <c r="G2386"/>
      <c r="K2386" s="62"/>
    </row>
    <row r="2387" spans="2:11" s="3" customFormat="1">
      <c r="B2387"/>
      <c r="C2387"/>
      <c r="D2387"/>
      <c r="E2387"/>
      <c r="F2387"/>
      <c r="G2387"/>
      <c r="K2387" s="62"/>
    </row>
    <row r="2388" spans="2:11" s="3" customFormat="1">
      <c r="B2388"/>
      <c r="C2388"/>
      <c r="D2388"/>
      <c r="E2388"/>
      <c r="F2388"/>
      <c r="G2388"/>
      <c r="K2388" s="62"/>
    </row>
    <row r="2389" spans="2:11" s="3" customFormat="1">
      <c r="B2389"/>
      <c r="C2389"/>
      <c r="D2389"/>
      <c r="E2389"/>
      <c r="F2389"/>
      <c r="G2389"/>
      <c r="K2389" s="62"/>
    </row>
    <row r="2390" spans="2:11" s="3" customFormat="1">
      <c r="B2390"/>
      <c r="C2390"/>
      <c r="D2390"/>
      <c r="E2390"/>
      <c r="F2390"/>
      <c r="G2390"/>
      <c r="K2390" s="62"/>
    </row>
    <row r="2391" spans="2:11" s="3" customFormat="1">
      <c r="B2391"/>
      <c r="C2391"/>
      <c r="D2391"/>
      <c r="E2391"/>
      <c r="F2391"/>
      <c r="G2391"/>
      <c r="K2391" s="62"/>
    </row>
    <row r="2392" spans="2:11" s="3" customFormat="1">
      <c r="B2392"/>
      <c r="C2392"/>
      <c r="D2392"/>
      <c r="E2392"/>
      <c r="F2392"/>
      <c r="G2392"/>
      <c r="K2392" s="62"/>
    </row>
    <row r="2393" spans="2:11" s="3" customFormat="1">
      <c r="B2393"/>
      <c r="C2393"/>
      <c r="D2393"/>
      <c r="E2393"/>
      <c r="F2393"/>
      <c r="G2393"/>
      <c r="K2393" s="62"/>
    </row>
    <row r="2394" spans="2:11" s="3" customFormat="1">
      <c r="B2394"/>
      <c r="C2394"/>
      <c r="D2394"/>
      <c r="E2394"/>
      <c r="F2394"/>
      <c r="G2394"/>
      <c r="K2394" s="62"/>
    </row>
    <row r="2395" spans="2:11" s="3" customFormat="1">
      <c r="B2395"/>
      <c r="C2395"/>
      <c r="D2395"/>
      <c r="E2395"/>
      <c r="F2395"/>
      <c r="G2395"/>
      <c r="K2395" s="62"/>
    </row>
    <row r="2396" spans="2:11" s="3" customFormat="1">
      <c r="B2396"/>
      <c r="C2396"/>
      <c r="D2396"/>
      <c r="E2396"/>
      <c r="F2396"/>
      <c r="G2396"/>
      <c r="K2396" s="62"/>
    </row>
    <row r="2397" spans="2:11" s="3" customFormat="1">
      <c r="B2397"/>
      <c r="C2397"/>
      <c r="D2397"/>
      <c r="E2397"/>
      <c r="F2397"/>
      <c r="G2397"/>
      <c r="K2397" s="62"/>
    </row>
    <row r="2398" spans="2:11" s="3" customFormat="1">
      <c r="B2398"/>
      <c r="C2398"/>
      <c r="D2398"/>
      <c r="E2398"/>
      <c r="F2398"/>
      <c r="G2398"/>
      <c r="K2398" s="62"/>
    </row>
    <row r="2399" spans="2:11" s="3" customFormat="1">
      <c r="B2399"/>
      <c r="C2399"/>
      <c r="D2399"/>
      <c r="E2399"/>
      <c r="F2399"/>
      <c r="G2399"/>
      <c r="K2399" s="62"/>
    </row>
    <row r="2400" spans="2:11" s="3" customFormat="1">
      <c r="B2400"/>
      <c r="C2400"/>
      <c r="D2400"/>
      <c r="E2400"/>
      <c r="F2400"/>
      <c r="G2400"/>
      <c r="K2400" s="62"/>
    </row>
    <row r="2401" spans="2:11" s="3" customFormat="1">
      <c r="B2401"/>
      <c r="C2401"/>
      <c r="D2401"/>
      <c r="E2401"/>
      <c r="F2401"/>
      <c r="G2401"/>
      <c r="K2401" s="62"/>
    </row>
    <row r="2402" spans="2:11" s="3" customFormat="1">
      <c r="B2402"/>
      <c r="C2402"/>
      <c r="D2402"/>
      <c r="E2402"/>
      <c r="F2402"/>
      <c r="G2402"/>
      <c r="K2402" s="62"/>
    </row>
    <row r="2403" spans="2:11" s="3" customFormat="1">
      <c r="B2403"/>
      <c r="C2403"/>
      <c r="D2403"/>
      <c r="E2403"/>
      <c r="F2403"/>
      <c r="G2403"/>
      <c r="K2403" s="62"/>
    </row>
    <row r="2404" spans="2:11" s="3" customFormat="1">
      <c r="B2404"/>
      <c r="C2404"/>
      <c r="D2404"/>
      <c r="E2404"/>
      <c r="F2404"/>
      <c r="G2404"/>
      <c r="K2404" s="62"/>
    </row>
    <row r="2405" spans="2:11" s="3" customFormat="1">
      <c r="B2405"/>
      <c r="C2405"/>
      <c r="D2405"/>
      <c r="E2405"/>
      <c r="F2405"/>
      <c r="G2405"/>
      <c r="K2405" s="62"/>
    </row>
    <row r="2406" spans="2:11" s="3" customFormat="1">
      <c r="B2406"/>
      <c r="C2406"/>
      <c r="D2406"/>
      <c r="E2406"/>
      <c r="F2406"/>
      <c r="G2406"/>
      <c r="K2406" s="62"/>
    </row>
    <row r="2407" spans="2:11" s="3" customFormat="1">
      <c r="B2407"/>
      <c r="C2407"/>
      <c r="D2407"/>
      <c r="E2407"/>
      <c r="F2407"/>
      <c r="G2407"/>
      <c r="K2407" s="62"/>
    </row>
    <row r="2408" spans="2:11" s="3" customFormat="1">
      <c r="B2408"/>
      <c r="C2408"/>
      <c r="D2408"/>
      <c r="E2408"/>
      <c r="F2408"/>
      <c r="G2408"/>
      <c r="K2408" s="62"/>
    </row>
    <row r="2409" spans="2:11" s="3" customFormat="1">
      <c r="B2409"/>
      <c r="C2409"/>
      <c r="D2409"/>
      <c r="E2409"/>
      <c r="F2409"/>
      <c r="G2409"/>
      <c r="K2409" s="62"/>
    </row>
    <row r="2410" spans="2:11" s="3" customFormat="1">
      <c r="B2410"/>
      <c r="C2410"/>
      <c r="D2410"/>
      <c r="E2410"/>
      <c r="F2410"/>
      <c r="G2410"/>
      <c r="K2410" s="62"/>
    </row>
    <row r="2411" spans="2:11" s="3" customFormat="1">
      <c r="B2411"/>
      <c r="C2411"/>
      <c r="D2411"/>
      <c r="E2411"/>
      <c r="F2411"/>
      <c r="G2411"/>
      <c r="K2411" s="62"/>
    </row>
    <row r="2412" spans="2:11" s="3" customFormat="1">
      <c r="B2412"/>
      <c r="C2412"/>
      <c r="D2412"/>
      <c r="E2412"/>
      <c r="F2412"/>
      <c r="G2412"/>
      <c r="K2412" s="62"/>
    </row>
    <row r="2413" spans="2:11" s="3" customFormat="1">
      <c r="B2413"/>
      <c r="C2413"/>
      <c r="D2413"/>
      <c r="E2413"/>
      <c r="F2413"/>
      <c r="G2413"/>
      <c r="K2413" s="62"/>
    </row>
    <row r="2414" spans="2:11" s="3" customFormat="1">
      <c r="B2414"/>
      <c r="C2414"/>
      <c r="D2414"/>
      <c r="E2414"/>
      <c r="F2414"/>
      <c r="G2414"/>
      <c r="K2414" s="62"/>
    </row>
    <row r="2415" spans="2:11" s="3" customFormat="1">
      <c r="B2415"/>
      <c r="C2415"/>
      <c r="D2415"/>
      <c r="E2415"/>
      <c r="F2415"/>
      <c r="G2415"/>
      <c r="K2415" s="62"/>
    </row>
    <row r="2416" spans="2:11" s="3" customFormat="1">
      <c r="B2416"/>
      <c r="C2416"/>
      <c r="D2416"/>
      <c r="E2416"/>
      <c r="F2416"/>
      <c r="G2416"/>
      <c r="K2416" s="62"/>
    </row>
    <row r="2417" spans="2:11" s="3" customFormat="1">
      <c r="B2417"/>
      <c r="C2417"/>
      <c r="D2417"/>
      <c r="E2417"/>
      <c r="F2417"/>
      <c r="G2417"/>
      <c r="K2417" s="62"/>
    </row>
    <row r="2418" spans="2:11" s="3" customFormat="1">
      <c r="B2418"/>
      <c r="C2418"/>
      <c r="D2418"/>
      <c r="E2418"/>
      <c r="F2418"/>
      <c r="G2418"/>
      <c r="K2418" s="62"/>
    </row>
    <row r="2419" spans="2:11" s="3" customFormat="1">
      <c r="B2419"/>
      <c r="C2419"/>
      <c r="D2419"/>
      <c r="E2419"/>
      <c r="F2419"/>
      <c r="G2419"/>
      <c r="K2419" s="62"/>
    </row>
    <row r="2420" spans="2:11" s="3" customFormat="1">
      <c r="B2420"/>
      <c r="C2420"/>
      <c r="D2420"/>
      <c r="E2420"/>
      <c r="F2420"/>
      <c r="G2420"/>
      <c r="K2420" s="62"/>
    </row>
    <row r="2421" spans="2:11" s="3" customFormat="1">
      <c r="B2421"/>
      <c r="C2421"/>
      <c r="D2421"/>
      <c r="E2421"/>
      <c r="F2421"/>
      <c r="G2421"/>
      <c r="K2421" s="62"/>
    </row>
    <row r="2422" spans="2:11" s="3" customFormat="1">
      <c r="B2422"/>
      <c r="C2422"/>
      <c r="D2422"/>
      <c r="E2422"/>
      <c r="F2422"/>
      <c r="G2422"/>
      <c r="K2422" s="62"/>
    </row>
    <row r="2423" spans="2:11" s="3" customFormat="1">
      <c r="B2423"/>
      <c r="C2423"/>
      <c r="D2423"/>
      <c r="E2423"/>
      <c r="F2423"/>
      <c r="G2423"/>
      <c r="K2423" s="62"/>
    </row>
    <row r="2424" spans="2:11" s="3" customFormat="1">
      <c r="B2424"/>
      <c r="C2424"/>
      <c r="D2424"/>
      <c r="E2424"/>
      <c r="F2424"/>
      <c r="G2424"/>
      <c r="K2424" s="62"/>
    </row>
    <row r="2425" spans="2:11" s="3" customFormat="1">
      <c r="B2425"/>
      <c r="C2425"/>
      <c r="D2425"/>
      <c r="E2425"/>
      <c r="F2425"/>
      <c r="G2425"/>
      <c r="K2425" s="62"/>
    </row>
    <row r="2426" spans="2:11" s="3" customFormat="1">
      <c r="B2426"/>
      <c r="C2426"/>
      <c r="D2426"/>
      <c r="E2426"/>
      <c r="F2426"/>
      <c r="G2426"/>
      <c r="K2426" s="62"/>
    </row>
    <row r="2427" spans="2:11" s="3" customFormat="1">
      <c r="B2427"/>
      <c r="C2427"/>
      <c r="D2427"/>
      <c r="E2427"/>
      <c r="F2427"/>
      <c r="G2427"/>
      <c r="K2427" s="62"/>
    </row>
    <row r="2428" spans="2:11" s="3" customFormat="1">
      <c r="B2428"/>
      <c r="C2428"/>
      <c r="D2428"/>
      <c r="E2428"/>
      <c r="F2428"/>
      <c r="G2428"/>
      <c r="K2428" s="62"/>
    </row>
    <row r="2429" spans="2:11" s="3" customFormat="1">
      <c r="B2429"/>
      <c r="C2429"/>
      <c r="D2429"/>
      <c r="E2429"/>
      <c r="F2429"/>
      <c r="G2429"/>
      <c r="K2429" s="62"/>
    </row>
    <row r="2430" spans="2:11" s="3" customFormat="1">
      <c r="B2430"/>
      <c r="C2430"/>
      <c r="D2430"/>
      <c r="E2430"/>
      <c r="F2430"/>
      <c r="G2430"/>
      <c r="K2430" s="62"/>
    </row>
    <row r="2431" spans="2:11" s="3" customFormat="1">
      <c r="B2431"/>
      <c r="C2431"/>
      <c r="D2431"/>
      <c r="E2431"/>
      <c r="F2431"/>
      <c r="G2431"/>
      <c r="K2431" s="62"/>
    </row>
    <row r="2432" spans="2:11" s="3" customFormat="1">
      <c r="B2432"/>
      <c r="C2432"/>
      <c r="D2432"/>
      <c r="E2432"/>
      <c r="F2432"/>
      <c r="G2432"/>
      <c r="K2432" s="62"/>
    </row>
    <row r="2433" spans="2:11" s="3" customFormat="1">
      <c r="B2433"/>
      <c r="C2433"/>
      <c r="D2433"/>
      <c r="E2433"/>
      <c r="F2433"/>
      <c r="G2433"/>
      <c r="K2433" s="62"/>
    </row>
    <row r="2434" spans="2:11" s="3" customFormat="1">
      <c r="B2434"/>
      <c r="C2434"/>
      <c r="D2434"/>
      <c r="E2434"/>
      <c r="F2434"/>
      <c r="G2434"/>
      <c r="K2434" s="62"/>
    </row>
    <row r="2435" spans="2:11" s="3" customFormat="1">
      <c r="B2435"/>
      <c r="C2435"/>
      <c r="D2435"/>
      <c r="E2435"/>
      <c r="F2435"/>
      <c r="G2435"/>
      <c r="K2435" s="62"/>
    </row>
    <row r="2436" spans="2:11" s="3" customFormat="1">
      <c r="B2436"/>
      <c r="C2436"/>
      <c r="D2436"/>
      <c r="E2436"/>
      <c r="F2436"/>
      <c r="G2436"/>
      <c r="K2436" s="62"/>
    </row>
    <row r="2437" spans="2:11" s="3" customFormat="1">
      <c r="B2437"/>
      <c r="C2437"/>
      <c r="D2437"/>
      <c r="E2437"/>
      <c r="F2437"/>
      <c r="G2437"/>
      <c r="K2437" s="62"/>
    </row>
    <row r="2438" spans="2:11" s="3" customFormat="1">
      <c r="B2438"/>
      <c r="C2438"/>
      <c r="D2438"/>
      <c r="E2438"/>
      <c r="F2438"/>
      <c r="G2438"/>
      <c r="K2438" s="62"/>
    </row>
    <row r="2439" spans="2:11" s="3" customFormat="1">
      <c r="B2439"/>
      <c r="C2439"/>
      <c r="D2439"/>
      <c r="E2439"/>
      <c r="F2439"/>
      <c r="G2439"/>
      <c r="K2439" s="62"/>
    </row>
    <row r="2440" spans="2:11" s="3" customFormat="1">
      <c r="B2440"/>
      <c r="C2440"/>
      <c r="D2440"/>
      <c r="E2440"/>
      <c r="F2440"/>
      <c r="G2440"/>
      <c r="K2440" s="62"/>
    </row>
    <row r="2441" spans="2:11" s="3" customFormat="1">
      <c r="B2441"/>
      <c r="C2441"/>
      <c r="D2441"/>
      <c r="E2441"/>
      <c r="F2441"/>
      <c r="G2441"/>
      <c r="K2441" s="62"/>
    </row>
    <row r="2442" spans="2:11" s="3" customFormat="1">
      <c r="B2442"/>
      <c r="C2442"/>
      <c r="D2442"/>
      <c r="E2442"/>
      <c r="F2442"/>
      <c r="G2442"/>
      <c r="K2442" s="62"/>
    </row>
    <row r="2443" spans="2:11" s="3" customFormat="1">
      <c r="B2443"/>
      <c r="C2443"/>
      <c r="D2443"/>
      <c r="E2443"/>
      <c r="F2443"/>
      <c r="G2443"/>
      <c r="K2443" s="62"/>
    </row>
    <row r="2444" spans="2:11" s="3" customFormat="1">
      <c r="B2444"/>
      <c r="C2444"/>
      <c r="D2444"/>
      <c r="E2444"/>
      <c r="F2444"/>
      <c r="G2444"/>
      <c r="K2444" s="62"/>
    </row>
    <row r="2445" spans="2:11" s="3" customFormat="1">
      <c r="B2445"/>
      <c r="C2445"/>
      <c r="D2445"/>
      <c r="E2445"/>
      <c r="F2445"/>
      <c r="G2445"/>
      <c r="K2445" s="62"/>
    </row>
    <row r="2446" spans="2:11" s="3" customFormat="1">
      <c r="B2446"/>
      <c r="C2446"/>
      <c r="D2446"/>
      <c r="E2446"/>
      <c r="F2446"/>
      <c r="G2446"/>
      <c r="K2446" s="62"/>
    </row>
    <row r="2447" spans="2:11" s="3" customFormat="1">
      <c r="B2447"/>
      <c r="C2447"/>
      <c r="D2447"/>
      <c r="E2447"/>
      <c r="F2447"/>
      <c r="G2447"/>
      <c r="K2447" s="62"/>
    </row>
    <row r="2448" spans="2:11" s="3" customFormat="1">
      <c r="B2448"/>
      <c r="C2448"/>
      <c r="D2448"/>
      <c r="E2448"/>
      <c r="F2448"/>
      <c r="G2448"/>
      <c r="K2448" s="62"/>
    </row>
    <row r="2449" spans="2:11" s="3" customFormat="1">
      <c r="B2449"/>
      <c r="C2449"/>
      <c r="D2449"/>
      <c r="E2449"/>
      <c r="F2449"/>
      <c r="G2449"/>
      <c r="K2449" s="62"/>
    </row>
    <row r="2450" spans="2:11" s="3" customFormat="1">
      <c r="B2450"/>
      <c r="C2450"/>
      <c r="D2450"/>
      <c r="E2450"/>
      <c r="F2450"/>
      <c r="G2450"/>
      <c r="K2450" s="62"/>
    </row>
    <row r="2451" spans="2:11" s="3" customFormat="1">
      <c r="B2451"/>
      <c r="C2451"/>
      <c r="D2451"/>
      <c r="E2451"/>
      <c r="F2451"/>
      <c r="G2451"/>
      <c r="K2451" s="62"/>
    </row>
    <row r="2452" spans="2:11" s="3" customFormat="1">
      <c r="B2452"/>
      <c r="C2452"/>
      <c r="D2452"/>
      <c r="E2452"/>
      <c r="F2452"/>
      <c r="G2452"/>
      <c r="K2452" s="62"/>
    </row>
    <row r="2453" spans="2:11" s="3" customFormat="1">
      <c r="B2453"/>
      <c r="C2453"/>
      <c r="D2453"/>
      <c r="E2453"/>
      <c r="F2453"/>
      <c r="G2453"/>
      <c r="K2453" s="62"/>
    </row>
    <row r="2454" spans="2:11" s="3" customFormat="1">
      <c r="B2454"/>
      <c r="C2454"/>
      <c r="D2454"/>
      <c r="E2454"/>
      <c r="F2454"/>
      <c r="G2454"/>
      <c r="K2454" s="62"/>
    </row>
    <row r="2455" spans="2:11" s="3" customFormat="1">
      <c r="B2455"/>
      <c r="C2455"/>
      <c r="D2455"/>
      <c r="E2455"/>
      <c r="F2455"/>
      <c r="G2455"/>
      <c r="K2455" s="62"/>
    </row>
    <row r="2456" spans="2:11" s="3" customFormat="1">
      <c r="B2456"/>
      <c r="C2456"/>
      <c r="D2456"/>
      <c r="E2456"/>
      <c r="F2456"/>
      <c r="G2456"/>
      <c r="K2456" s="62"/>
    </row>
    <row r="2457" spans="2:11" s="3" customFormat="1">
      <c r="B2457"/>
      <c r="C2457"/>
      <c r="D2457"/>
      <c r="E2457"/>
      <c r="F2457"/>
      <c r="G2457"/>
      <c r="K2457" s="62"/>
    </row>
    <row r="2458" spans="2:11" s="3" customFormat="1">
      <c r="B2458"/>
      <c r="C2458"/>
      <c r="D2458"/>
      <c r="E2458"/>
      <c r="F2458"/>
      <c r="G2458"/>
      <c r="K2458" s="62"/>
    </row>
    <row r="2459" spans="2:11" s="3" customFormat="1">
      <c r="B2459"/>
      <c r="C2459"/>
      <c r="D2459"/>
      <c r="E2459"/>
      <c r="F2459"/>
      <c r="G2459"/>
      <c r="K2459" s="62"/>
    </row>
    <row r="2460" spans="2:11" s="3" customFormat="1">
      <c r="B2460"/>
      <c r="C2460"/>
      <c r="D2460"/>
      <c r="E2460"/>
      <c r="F2460"/>
      <c r="G2460"/>
      <c r="K2460" s="62"/>
    </row>
    <row r="2461" spans="2:11" s="3" customFormat="1">
      <c r="B2461"/>
      <c r="C2461"/>
      <c r="D2461"/>
      <c r="E2461"/>
      <c r="F2461"/>
      <c r="G2461"/>
      <c r="K2461" s="62"/>
    </row>
    <row r="2462" spans="2:11" s="3" customFormat="1">
      <c r="B2462"/>
      <c r="C2462"/>
      <c r="D2462"/>
      <c r="E2462"/>
      <c r="F2462"/>
      <c r="G2462"/>
      <c r="K2462" s="62"/>
    </row>
    <row r="2463" spans="2:11" s="3" customFormat="1">
      <c r="B2463"/>
      <c r="C2463"/>
      <c r="D2463"/>
      <c r="E2463"/>
      <c r="F2463"/>
      <c r="G2463"/>
      <c r="K2463" s="62"/>
    </row>
    <row r="2464" spans="2:11" s="3" customFormat="1">
      <c r="B2464"/>
      <c r="C2464"/>
      <c r="D2464"/>
      <c r="E2464"/>
      <c r="F2464"/>
      <c r="G2464"/>
      <c r="K2464" s="62"/>
    </row>
    <row r="2465" spans="2:11" s="3" customFormat="1">
      <c r="B2465"/>
      <c r="C2465"/>
      <c r="D2465"/>
      <c r="E2465"/>
      <c r="F2465"/>
      <c r="G2465"/>
      <c r="K2465" s="62"/>
    </row>
    <row r="2466" spans="2:11" s="3" customFormat="1">
      <c r="B2466"/>
      <c r="C2466"/>
      <c r="D2466"/>
      <c r="E2466"/>
      <c r="F2466"/>
      <c r="G2466"/>
      <c r="K2466" s="62"/>
    </row>
    <row r="2467" spans="2:11" s="3" customFormat="1">
      <c r="B2467"/>
      <c r="C2467"/>
      <c r="D2467"/>
      <c r="E2467"/>
      <c r="F2467"/>
      <c r="G2467"/>
      <c r="K2467" s="62"/>
    </row>
    <row r="2468" spans="2:11" s="3" customFormat="1">
      <c r="B2468"/>
      <c r="C2468"/>
      <c r="D2468"/>
      <c r="E2468"/>
      <c r="F2468"/>
      <c r="G2468"/>
      <c r="K2468" s="62"/>
    </row>
    <row r="2469" spans="2:11" s="3" customFormat="1">
      <c r="B2469"/>
      <c r="C2469"/>
      <c r="D2469"/>
      <c r="E2469"/>
      <c r="F2469"/>
      <c r="G2469"/>
      <c r="K2469" s="62"/>
    </row>
    <row r="2470" spans="2:11" s="3" customFormat="1">
      <c r="B2470"/>
      <c r="C2470"/>
      <c r="D2470"/>
      <c r="E2470"/>
      <c r="F2470"/>
      <c r="G2470"/>
      <c r="K2470" s="62"/>
    </row>
    <row r="2471" spans="2:11" s="3" customFormat="1">
      <c r="B2471"/>
      <c r="C2471"/>
      <c r="D2471"/>
      <c r="E2471"/>
      <c r="F2471"/>
      <c r="G2471"/>
      <c r="K2471" s="62"/>
    </row>
    <row r="2472" spans="2:11" s="3" customFormat="1">
      <c r="B2472"/>
      <c r="C2472"/>
      <c r="D2472"/>
      <c r="E2472"/>
      <c r="F2472"/>
      <c r="G2472"/>
      <c r="K2472" s="62"/>
    </row>
    <row r="2473" spans="2:11" s="3" customFormat="1">
      <c r="B2473"/>
      <c r="C2473"/>
      <c r="D2473"/>
      <c r="E2473"/>
      <c r="F2473"/>
      <c r="G2473"/>
      <c r="K2473" s="62"/>
    </row>
    <row r="2474" spans="2:11" s="3" customFormat="1">
      <c r="B2474"/>
      <c r="C2474"/>
      <c r="D2474"/>
      <c r="E2474"/>
      <c r="F2474"/>
      <c r="G2474"/>
      <c r="K2474" s="62"/>
    </row>
    <row r="2475" spans="2:11" s="3" customFormat="1">
      <c r="B2475"/>
      <c r="C2475"/>
      <c r="D2475"/>
      <c r="E2475"/>
      <c r="F2475"/>
      <c r="G2475"/>
      <c r="K2475" s="62"/>
    </row>
    <row r="2476" spans="2:11" s="3" customFormat="1">
      <c r="B2476"/>
      <c r="C2476"/>
      <c r="D2476"/>
      <c r="E2476"/>
      <c r="F2476"/>
      <c r="G2476"/>
      <c r="K2476" s="62"/>
    </row>
    <row r="2477" spans="2:11" s="3" customFormat="1">
      <c r="B2477"/>
      <c r="C2477"/>
      <c r="D2477"/>
      <c r="E2477"/>
      <c r="F2477"/>
      <c r="G2477"/>
      <c r="K2477" s="62"/>
    </row>
    <row r="2478" spans="2:11" s="3" customFormat="1">
      <c r="B2478"/>
      <c r="C2478"/>
      <c r="D2478"/>
      <c r="E2478"/>
      <c r="F2478"/>
      <c r="G2478"/>
      <c r="K2478" s="62"/>
    </row>
    <row r="2479" spans="2:11" s="3" customFormat="1">
      <c r="B2479"/>
      <c r="C2479"/>
      <c r="D2479"/>
      <c r="E2479"/>
      <c r="F2479"/>
      <c r="G2479"/>
      <c r="K2479" s="62"/>
    </row>
    <row r="2480" spans="2:11" s="3" customFormat="1">
      <c r="B2480"/>
      <c r="C2480"/>
      <c r="D2480"/>
      <c r="E2480"/>
      <c r="F2480"/>
      <c r="G2480"/>
      <c r="K2480" s="62"/>
    </row>
    <row r="2481" spans="2:11" s="3" customFormat="1">
      <c r="B2481"/>
      <c r="C2481"/>
      <c r="D2481"/>
      <c r="E2481"/>
      <c r="F2481"/>
      <c r="G2481"/>
      <c r="K2481" s="62"/>
    </row>
    <row r="2482" spans="2:11" s="3" customFormat="1">
      <c r="B2482"/>
      <c r="C2482"/>
      <c r="D2482"/>
      <c r="E2482"/>
      <c r="F2482"/>
      <c r="G2482"/>
      <c r="K2482" s="62"/>
    </row>
    <row r="2483" spans="2:11" s="3" customFormat="1">
      <c r="B2483"/>
      <c r="C2483"/>
      <c r="D2483"/>
      <c r="E2483"/>
      <c r="F2483"/>
      <c r="G2483"/>
      <c r="K2483" s="62"/>
    </row>
    <row r="2484" spans="2:11" s="3" customFormat="1">
      <c r="B2484"/>
      <c r="C2484"/>
      <c r="D2484"/>
      <c r="E2484"/>
      <c r="F2484"/>
      <c r="G2484"/>
      <c r="K2484" s="62"/>
    </row>
    <row r="2485" spans="2:11" s="3" customFormat="1">
      <c r="B2485"/>
      <c r="C2485"/>
      <c r="D2485"/>
      <c r="E2485"/>
      <c r="F2485"/>
      <c r="G2485"/>
      <c r="K2485" s="62"/>
    </row>
    <row r="2486" spans="2:11" s="3" customFormat="1">
      <c r="B2486"/>
      <c r="C2486"/>
      <c r="D2486"/>
      <c r="E2486"/>
      <c r="F2486"/>
      <c r="G2486"/>
      <c r="K2486" s="62"/>
    </row>
    <row r="2487" spans="2:11" s="3" customFormat="1">
      <c r="B2487"/>
      <c r="C2487"/>
      <c r="D2487"/>
      <c r="E2487"/>
      <c r="F2487"/>
      <c r="G2487"/>
      <c r="K2487" s="62"/>
    </row>
    <row r="2488" spans="2:11" s="3" customFormat="1">
      <c r="B2488"/>
      <c r="C2488"/>
      <c r="D2488"/>
      <c r="E2488"/>
      <c r="F2488"/>
      <c r="G2488"/>
      <c r="K2488" s="62"/>
    </row>
    <row r="2489" spans="2:11" s="3" customFormat="1">
      <c r="B2489"/>
      <c r="C2489"/>
      <c r="D2489"/>
      <c r="E2489"/>
      <c r="F2489"/>
      <c r="G2489"/>
      <c r="K2489" s="62"/>
    </row>
    <row r="2490" spans="2:11" s="3" customFormat="1">
      <c r="B2490"/>
      <c r="C2490"/>
      <c r="D2490"/>
      <c r="E2490"/>
      <c r="F2490"/>
      <c r="G2490"/>
      <c r="K2490" s="62"/>
    </row>
    <row r="2491" spans="2:11" s="3" customFormat="1">
      <c r="B2491"/>
      <c r="C2491"/>
      <c r="D2491"/>
      <c r="E2491"/>
      <c r="F2491"/>
      <c r="G2491"/>
      <c r="K2491" s="62"/>
    </row>
    <row r="2492" spans="2:11" s="3" customFormat="1">
      <c r="B2492"/>
      <c r="C2492"/>
      <c r="D2492"/>
      <c r="E2492"/>
      <c r="F2492"/>
      <c r="G2492"/>
      <c r="K2492" s="62"/>
    </row>
    <row r="2493" spans="2:11" s="3" customFormat="1">
      <c r="B2493"/>
      <c r="C2493"/>
      <c r="D2493"/>
      <c r="E2493"/>
      <c r="F2493"/>
      <c r="G2493"/>
      <c r="K2493" s="62"/>
    </row>
    <row r="2494" spans="2:11" s="3" customFormat="1">
      <c r="B2494"/>
      <c r="C2494"/>
      <c r="D2494"/>
      <c r="E2494"/>
      <c r="F2494"/>
      <c r="G2494"/>
      <c r="K2494" s="62"/>
    </row>
    <row r="2495" spans="2:11" s="3" customFormat="1">
      <c r="B2495"/>
      <c r="C2495"/>
      <c r="D2495"/>
      <c r="E2495"/>
      <c r="F2495"/>
      <c r="G2495"/>
      <c r="K2495" s="62"/>
    </row>
    <row r="2496" spans="2:11" s="3" customFormat="1">
      <c r="B2496"/>
      <c r="C2496"/>
      <c r="D2496"/>
      <c r="E2496"/>
      <c r="F2496"/>
      <c r="G2496"/>
      <c r="K2496" s="62"/>
    </row>
    <row r="2497" spans="2:11" s="3" customFormat="1">
      <c r="B2497"/>
      <c r="C2497"/>
      <c r="D2497"/>
      <c r="E2497"/>
      <c r="F2497"/>
      <c r="G2497"/>
      <c r="K2497" s="62"/>
    </row>
    <row r="2498" spans="2:11" s="3" customFormat="1">
      <c r="B2498"/>
      <c r="C2498"/>
      <c r="D2498"/>
      <c r="E2498"/>
      <c r="F2498"/>
      <c r="G2498"/>
      <c r="K2498" s="62"/>
    </row>
    <row r="2499" spans="2:11" s="3" customFormat="1">
      <c r="B2499"/>
      <c r="C2499"/>
      <c r="D2499"/>
      <c r="E2499"/>
      <c r="F2499"/>
      <c r="G2499"/>
      <c r="K2499" s="62"/>
    </row>
    <row r="2500" spans="2:11" s="3" customFormat="1">
      <c r="B2500"/>
      <c r="C2500"/>
      <c r="D2500"/>
      <c r="E2500"/>
      <c r="F2500"/>
      <c r="G2500"/>
      <c r="K2500" s="62"/>
    </row>
    <row r="2501" spans="2:11" s="3" customFormat="1">
      <c r="B2501"/>
      <c r="C2501"/>
      <c r="D2501"/>
      <c r="E2501"/>
      <c r="F2501"/>
      <c r="G2501"/>
      <c r="K2501" s="62"/>
    </row>
    <row r="2502" spans="2:11" s="3" customFormat="1">
      <c r="B2502"/>
      <c r="C2502"/>
      <c r="D2502"/>
      <c r="E2502"/>
      <c r="F2502"/>
      <c r="G2502"/>
      <c r="K2502" s="62"/>
    </row>
    <row r="2503" spans="2:11" s="3" customFormat="1">
      <c r="B2503"/>
      <c r="C2503"/>
      <c r="D2503"/>
      <c r="E2503"/>
      <c r="F2503"/>
      <c r="G2503"/>
      <c r="K2503" s="62"/>
    </row>
    <row r="2504" spans="2:11" s="3" customFormat="1">
      <c r="B2504"/>
      <c r="C2504"/>
      <c r="D2504"/>
      <c r="E2504"/>
      <c r="F2504"/>
      <c r="G2504"/>
      <c r="K2504" s="62"/>
    </row>
    <row r="2505" spans="2:11" s="3" customFormat="1">
      <c r="B2505"/>
      <c r="C2505"/>
      <c r="D2505"/>
      <c r="E2505"/>
      <c r="F2505"/>
      <c r="G2505"/>
      <c r="K2505" s="62"/>
    </row>
    <row r="2506" spans="2:11" s="3" customFormat="1">
      <c r="B2506"/>
      <c r="C2506"/>
      <c r="D2506"/>
      <c r="E2506"/>
      <c r="F2506"/>
      <c r="G2506"/>
      <c r="K2506" s="62"/>
    </row>
    <row r="2507" spans="2:11" s="3" customFormat="1">
      <c r="B2507"/>
      <c r="C2507"/>
      <c r="D2507"/>
      <c r="E2507"/>
      <c r="F2507"/>
      <c r="G2507"/>
      <c r="K2507" s="62"/>
    </row>
    <row r="2508" spans="2:11" s="3" customFormat="1">
      <c r="B2508"/>
      <c r="C2508"/>
      <c r="D2508"/>
      <c r="E2508"/>
      <c r="F2508"/>
      <c r="G2508"/>
      <c r="K2508" s="62"/>
    </row>
    <row r="2509" spans="2:11" s="3" customFormat="1">
      <c r="B2509"/>
      <c r="C2509"/>
      <c r="D2509"/>
      <c r="E2509"/>
      <c r="F2509"/>
      <c r="G2509"/>
      <c r="K2509" s="62"/>
    </row>
    <row r="2510" spans="2:11" s="3" customFormat="1">
      <c r="B2510"/>
      <c r="C2510"/>
      <c r="D2510"/>
      <c r="E2510"/>
      <c r="F2510"/>
      <c r="G2510"/>
      <c r="K2510" s="62"/>
    </row>
    <row r="2511" spans="2:11" s="3" customFormat="1">
      <c r="B2511"/>
      <c r="C2511"/>
      <c r="D2511"/>
      <c r="E2511"/>
      <c r="F2511"/>
      <c r="G2511"/>
      <c r="K2511" s="62"/>
    </row>
    <row r="2512" spans="2:11" s="3" customFormat="1">
      <c r="B2512"/>
      <c r="C2512"/>
      <c r="D2512"/>
      <c r="E2512"/>
      <c r="F2512"/>
      <c r="G2512"/>
      <c r="K2512" s="62"/>
    </row>
    <row r="2513" spans="2:11" s="3" customFormat="1">
      <c r="B2513"/>
      <c r="C2513"/>
      <c r="D2513"/>
      <c r="E2513"/>
      <c r="F2513"/>
      <c r="G2513"/>
      <c r="K2513" s="62"/>
    </row>
    <row r="2514" spans="2:11" s="3" customFormat="1">
      <c r="B2514"/>
      <c r="C2514"/>
      <c r="D2514"/>
      <c r="E2514"/>
      <c r="F2514"/>
      <c r="G2514"/>
      <c r="K2514" s="62"/>
    </row>
    <row r="2515" spans="2:11" s="3" customFormat="1">
      <c r="B2515"/>
      <c r="C2515"/>
      <c r="D2515"/>
      <c r="E2515"/>
      <c r="F2515"/>
      <c r="G2515"/>
      <c r="K2515" s="62"/>
    </row>
    <row r="2516" spans="2:11" s="3" customFormat="1">
      <c r="B2516"/>
      <c r="C2516"/>
      <c r="D2516"/>
      <c r="E2516"/>
      <c r="F2516"/>
      <c r="G2516"/>
      <c r="K2516" s="62"/>
    </row>
    <row r="2517" spans="2:11" s="3" customFormat="1">
      <c r="B2517"/>
      <c r="C2517"/>
      <c r="D2517"/>
      <c r="E2517"/>
      <c r="F2517"/>
      <c r="G2517"/>
      <c r="K2517" s="62"/>
    </row>
    <row r="2518" spans="2:11" s="3" customFormat="1">
      <c r="B2518"/>
      <c r="C2518"/>
      <c r="D2518"/>
      <c r="E2518"/>
      <c r="F2518"/>
      <c r="G2518"/>
      <c r="K2518" s="62"/>
    </row>
    <row r="2519" spans="2:11" s="3" customFormat="1">
      <c r="B2519"/>
      <c r="C2519"/>
      <c r="D2519"/>
      <c r="E2519"/>
      <c r="F2519"/>
      <c r="G2519"/>
      <c r="K2519" s="62"/>
    </row>
    <row r="2520" spans="2:11" s="3" customFormat="1">
      <c r="B2520"/>
      <c r="C2520"/>
      <c r="D2520"/>
      <c r="E2520"/>
      <c r="F2520"/>
      <c r="G2520"/>
      <c r="K2520" s="62"/>
    </row>
    <row r="2521" spans="2:11" s="3" customFormat="1">
      <c r="B2521"/>
      <c r="C2521"/>
      <c r="D2521"/>
      <c r="E2521"/>
      <c r="F2521"/>
      <c r="G2521"/>
      <c r="K2521" s="62"/>
    </row>
    <row r="2522" spans="2:11" s="3" customFormat="1">
      <c r="B2522"/>
      <c r="C2522"/>
      <c r="D2522"/>
      <c r="E2522"/>
      <c r="F2522"/>
      <c r="G2522"/>
      <c r="K2522" s="62"/>
    </row>
    <row r="2523" spans="2:11" s="3" customFormat="1">
      <c r="B2523"/>
      <c r="C2523"/>
      <c r="D2523"/>
      <c r="E2523"/>
      <c r="F2523"/>
      <c r="G2523"/>
      <c r="K2523" s="62"/>
    </row>
    <row r="2524" spans="2:11" s="3" customFormat="1">
      <c r="B2524"/>
      <c r="C2524"/>
      <c r="D2524"/>
      <c r="E2524"/>
      <c r="F2524"/>
      <c r="G2524"/>
      <c r="K2524" s="62"/>
    </row>
    <row r="2525" spans="2:11" s="3" customFormat="1">
      <c r="B2525"/>
      <c r="C2525"/>
      <c r="D2525"/>
      <c r="E2525"/>
      <c r="F2525"/>
      <c r="G2525"/>
      <c r="K2525" s="62"/>
    </row>
    <row r="2526" spans="2:11" s="3" customFormat="1">
      <c r="B2526"/>
      <c r="C2526"/>
      <c r="D2526"/>
      <c r="E2526"/>
      <c r="F2526"/>
      <c r="G2526"/>
      <c r="K2526" s="62"/>
    </row>
    <row r="2527" spans="2:11" s="3" customFormat="1">
      <c r="B2527"/>
      <c r="C2527"/>
      <c r="D2527"/>
      <c r="E2527"/>
      <c r="F2527"/>
      <c r="G2527"/>
      <c r="K2527" s="62"/>
    </row>
    <row r="2528" spans="2:11" s="3" customFormat="1">
      <c r="B2528"/>
      <c r="C2528"/>
      <c r="D2528"/>
      <c r="E2528"/>
      <c r="F2528"/>
      <c r="G2528"/>
      <c r="K2528" s="62"/>
    </row>
    <row r="2529" spans="2:11" s="3" customFormat="1">
      <c r="B2529"/>
      <c r="C2529"/>
      <c r="D2529"/>
      <c r="E2529"/>
      <c r="F2529"/>
      <c r="G2529"/>
      <c r="K2529" s="62"/>
    </row>
    <row r="2530" spans="2:11" s="3" customFormat="1">
      <c r="B2530"/>
      <c r="C2530"/>
      <c r="D2530"/>
      <c r="E2530"/>
      <c r="F2530"/>
      <c r="G2530"/>
      <c r="K2530" s="62"/>
    </row>
    <row r="2531" spans="2:11" s="3" customFormat="1">
      <c r="B2531"/>
      <c r="C2531"/>
      <c r="D2531"/>
      <c r="E2531"/>
      <c r="F2531"/>
      <c r="G2531"/>
      <c r="K2531" s="62"/>
    </row>
    <row r="2532" spans="2:11" s="3" customFormat="1">
      <c r="B2532"/>
      <c r="C2532"/>
      <c r="D2532"/>
      <c r="E2532"/>
      <c r="F2532"/>
      <c r="G2532"/>
      <c r="K2532" s="62"/>
    </row>
    <row r="2533" spans="2:11" s="3" customFormat="1">
      <c r="B2533"/>
      <c r="C2533"/>
      <c r="D2533"/>
      <c r="E2533"/>
      <c r="F2533"/>
      <c r="G2533"/>
      <c r="K2533" s="62"/>
    </row>
    <row r="2534" spans="2:11" s="3" customFormat="1">
      <c r="B2534"/>
      <c r="C2534"/>
      <c r="D2534"/>
      <c r="E2534"/>
      <c r="F2534"/>
      <c r="G2534"/>
      <c r="K2534" s="62"/>
    </row>
    <row r="2535" spans="2:11" s="3" customFormat="1">
      <c r="B2535"/>
      <c r="C2535"/>
      <c r="D2535"/>
      <c r="E2535"/>
      <c r="F2535"/>
      <c r="G2535"/>
      <c r="K2535" s="62"/>
    </row>
    <row r="2536" spans="2:11" s="3" customFormat="1">
      <c r="B2536"/>
      <c r="C2536"/>
      <c r="D2536"/>
      <c r="E2536"/>
      <c r="F2536"/>
      <c r="G2536"/>
      <c r="K2536" s="62"/>
    </row>
    <row r="2537" spans="2:11" s="3" customFormat="1">
      <c r="B2537"/>
      <c r="C2537"/>
      <c r="D2537"/>
      <c r="E2537"/>
      <c r="F2537"/>
      <c r="G2537"/>
      <c r="K2537" s="62"/>
    </row>
    <row r="2538" spans="2:11" s="3" customFormat="1">
      <c r="B2538"/>
      <c r="C2538"/>
      <c r="D2538"/>
      <c r="E2538"/>
      <c r="F2538"/>
      <c r="G2538"/>
      <c r="K2538" s="62"/>
    </row>
    <row r="2539" spans="2:11" s="3" customFormat="1">
      <c r="B2539"/>
      <c r="C2539"/>
      <c r="D2539"/>
      <c r="E2539"/>
      <c r="F2539"/>
      <c r="G2539"/>
      <c r="K2539" s="62"/>
    </row>
    <row r="2540" spans="2:11" s="3" customFormat="1">
      <c r="B2540"/>
      <c r="C2540"/>
      <c r="D2540"/>
      <c r="E2540"/>
      <c r="F2540"/>
      <c r="G2540"/>
      <c r="K2540" s="62"/>
    </row>
    <row r="2541" spans="2:11" s="3" customFormat="1">
      <c r="B2541"/>
      <c r="C2541"/>
      <c r="D2541"/>
      <c r="E2541"/>
      <c r="F2541"/>
      <c r="G2541"/>
      <c r="K2541" s="62"/>
    </row>
    <row r="2542" spans="2:11" s="3" customFormat="1">
      <c r="B2542"/>
      <c r="C2542"/>
      <c r="D2542"/>
      <c r="E2542"/>
      <c r="F2542"/>
      <c r="G2542"/>
      <c r="K2542" s="62"/>
    </row>
    <row r="2543" spans="2:11" s="3" customFormat="1">
      <c r="B2543"/>
      <c r="C2543"/>
      <c r="D2543"/>
      <c r="E2543"/>
      <c r="F2543"/>
      <c r="G2543"/>
      <c r="K2543" s="62"/>
    </row>
    <row r="2544" spans="2:11" s="3" customFormat="1">
      <c r="B2544"/>
      <c r="C2544"/>
      <c r="D2544"/>
      <c r="E2544"/>
      <c r="F2544"/>
      <c r="G2544"/>
      <c r="K2544" s="62"/>
    </row>
    <row r="2545" spans="2:11" s="3" customFormat="1">
      <c r="B2545"/>
      <c r="C2545"/>
      <c r="D2545"/>
      <c r="E2545"/>
      <c r="F2545"/>
      <c r="G2545"/>
      <c r="K2545" s="62"/>
    </row>
    <row r="2546" spans="2:11" s="3" customFormat="1">
      <c r="B2546"/>
      <c r="C2546"/>
      <c r="D2546"/>
      <c r="E2546"/>
      <c r="F2546"/>
      <c r="G2546"/>
      <c r="K2546" s="62"/>
    </row>
    <row r="2547" spans="2:11" s="3" customFormat="1">
      <c r="B2547"/>
      <c r="C2547"/>
      <c r="D2547"/>
      <c r="E2547"/>
      <c r="F2547"/>
      <c r="G2547"/>
      <c r="K2547" s="62"/>
    </row>
    <row r="2548" spans="2:11" s="3" customFormat="1">
      <c r="B2548"/>
      <c r="C2548"/>
      <c r="D2548"/>
      <c r="E2548"/>
      <c r="F2548"/>
      <c r="G2548"/>
      <c r="K2548" s="62"/>
    </row>
    <row r="2549" spans="2:11" s="3" customFormat="1">
      <c r="B2549"/>
      <c r="C2549"/>
      <c r="D2549"/>
      <c r="E2549"/>
      <c r="F2549"/>
      <c r="G2549"/>
      <c r="K2549" s="62"/>
    </row>
    <row r="2550" spans="2:11" s="3" customFormat="1">
      <c r="B2550"/>
      <c r="C2550"/>
      <c r="D2550"/>
      <c r="E2550"/>
      <c r="F2550"/>
      <c r="G2550"/>
      <c r="K2550" s="62"/>
    </row>
    <row r="2551" spans="2:11" s="3" customFormat="1">
      <c r="B2551"/>
      <c r="C2551"/>
      <c r="D2551"/>
      <c r="E2551"/>
      <c r="F2551"/>
      <c r="G2551"/>
      <c r="K2551" s="62"/>
    </row>
    <row r="2552" spans="2:11" s="3" customFormat="1">
      <c r="B2552"/>
      <c r="C2552"/>
      <c r="D2552"/>
      <c r="E2552"/>
      <c r="F2552"/>
      <c r="G2552"/>
      <c r="K2552" s="62"/>
    </row>
    <row r="2553" spans="2:11" s="3" customFormat="1">
      <c r="B2553"/>
      <c r="C2553"/>
      <c r="D2553"/>
      <c r="E2553"/>
      <c r="F2553"/>
      <c r="G2553"/>
      <c r="K2553" s="62"/>
    </row>
    <row r="2554" spans="2:11" s="3" customFormat="1">
      <c r="B2554"/>
      <c r="C2554"/>
      <c r="D2554"/>
      <c r="E2554"/>
      <c r="F2554"/>
      <c r="G2554"/>
      <c r="K2554" s="62"/>
    </row>
    <row r="2555" spans="2:11" s="3" customFormat="1">
      <c r="B2555"/>
      <c r="C2555"/>
      <c r="D2555"/>
      <c r="E2555"/>
      <c r="F2555"/>
      <c r="G2555"/>
      <c r="K2555" s="62"/>
    </row>
    <row r="2556" spans="2:11" s="3" customFormat="1">
      <c r="B2556"/>
      <c r="C2556"/>
      <c r="D2556"/>
      <c r="E2556"/>
      <c r="F2556"/>
      <c r="G2556"/>
      <c r="K2556" s="62"/>
    </row>
    <row r="2557" spans="2:11" s="3" customFormat="1">
      <c r="B2557"/>
      <c r="C2557"/>
      <c r="D2557"/>
      <c r="E2557"/>
      <c r="F2557"/>
      <c r="G2557"/>
      <c r="K2557" s="62"/>
    </row>
    <row r="2558" spans="2:11" s="3" customFormat="1">
      <c r="B2558"/>
      <c r="C2558"/>
      <c r="D2558"/>
      <c r="E2558"/>
      <c r="F2558"/>
      <c r="G2558"/>
      <c r="K2558" s="62"/>
    </row>
    <row r="2559" spans="2:11" s="3" customFormat="1">
      <c r="B2559"/>
      <c r="C2559"/>
      <c r="D2559"/>
      <c r="E2559"/>
      <c r="F2559"/>
      <c r="G2559"/>
      <c r="K2559" s="62"/>
    </row>
    <row r="2560" spans="2:11" s="3" customFormat="1">
      <c r="B2560"/>
      <c r="C2560"/>
      <c r="D2560"/>
      <c r="E2560"/>
      <c r="F2560"/>
      <c r="G2560"/>
      <c r="K2560" s="62"/>
    </row>
    <row r="2561" spans="2:11" s="3" customFormat="1">
      <c r="B2561"/>
      <c r="C2561"/>
      <c r="D2561"/>
      <c r="E2561"/>
      <c r="F2561"/>
      <c r="G2561"/>
      <c r="K2561" s="62"/>
    </row>
    <row r="2562" spans="2:11" s="3" customFormat="1">
      <c r="B2562"/>
      <c r="C2562"/>
      <c r="D2562"/>
      <c r="E2562"/>
      <c r="F2562"/>
      <c r="G2562"/>
      <c r="K2562" s="62"/>
    </row>
    <row r="2563" spans="2:11" s="3" customFormat="1">
      <c r="B2563"/>
      <c r="C2563"/>
      <c r="D2563"/>
      <c r="E2563"/>
      <c r="F2563"/>
      <c r="G2563"/>
      <c r="K2563" s="62"/>
    </row>
    <row r="2564" spans="2:11" s="3" customFormat="1">
      <c r="B2564"/>
      <c r="C2564"/>
      <c r="D2564"/>
      <c r="E2564"/>
      <c r="F2564"/>
      <c r="G2564"/>
      <c r="K2564" s="62"/>
    </row>
    <row r="2565" spans="2:11" s="3" customFormat="1">
      <c r="B2565"/>
      <c r="C2565"/>
      <c r="D2565"/>
      <c r="E2565"/>
      <c r="F2565"/>
      <c r="G2565"/>
      <c r="K2565" s="62"/>
    </row>
    <row r="2566" spans="2:11" s="3" customFormat="1">
      <c r="B2566"/>
      <c r="C2566"/>
      <c r="D2566"/>
      <c r="E2566"/>
      <c r="F2566"/>
      <c r="G2566"/>
      <c r="K2566" s="62"/>
    </row>
    <row r="2567" spans="2:11" s="3" customFormat="1">
      <c r="B2567"/>
      <c r="C2567"/>
      <c r="D2567"/>
      <c r="E2567"/>
      <c r="F2567"/>
      <c r="G2567"/>
      <c r="K2567" s="62"/>
    </row>
    <row r="2568" spans="2:11" s="3" customFormat="1">
      <c r="B2568"/>
      <c r="C2568"/>
      <c r="D2568"/>
      <c r="E2568"/>
      <c r="F2568"/>
      <c r="G2568"/>
      <c r="K2568" s="62"/>
    </row>
    <row r="2569" spans="2:11" s="3" customFormat="1">
      <c r="B2569"/>
      <c r="C2569"/>
      <c r="D2569"/>
      <c r="E2569"/>
      <c r="F2569"/>
      <c r="G2569"/>
      <c r="K2569" s="62"/>
    </row>
    <row r="2570" spans="2:11" s="3" customFormat="1">
      <c r="B2570"/>
      <c r="C2570"/>
      <c r="D2570"/>
      <c r="E2570"/>
      <c r="F2570"/>
      <c r="G2570"/>
      <c r="K2570" s="62"/>
    </row>
    <row r="2571" spans="2:11" s="3" customFormat="1">
      <c r="B2571"/>
      <c r="C2571"/>
      <c r="D2571"/>
      <c r="E2571"/>
      <c r="F2571"/>
      <c r="G2571"/>
      <c r="K2571" s="62"/>
    </row>
    <row r="2572" spans="2:11" s="3" customFormat="1">
      <c r="B2572"/>
      <c r="C2572"/>
      <c r="D2572"/>
      <c r="E2572"/>
      <c r="F2572"/>
      <c r="G2572"/>
      <c r="K2572" s="62"/>
    </row>
    <row r="2573" spans="2:11" s="3" customFormat="1">
      <c r="B2573"/>
      <c r="C2573"/>
      <c r="D2573"/>
      <c r="E2573"/>
      <c r="F2573"/>
      <c r="G2573"/>
      <c r="K2573" s="62"/>
    </row>
    <row r="2574" spans="2:11" s="3" customFormat="1">
      <c r="B2574"/>
      <c r="C2574"/>
      <c r="D2574"/>
      <c r="E2574"/>
      <c r="F2574"/>
      <c r="G2574"/>
      <c r="K2574" s="62"/>
    </row>
    <row r="2575" spans="2:11" s="3" customFormat="1">
      <c r="B2575"/>
      <c r="C2575"/>
      <c r="D2575"/>
      <c r="E2575"/>
      <c r="F2575"/>
      <c r="G2575"/>
      <c r="K2575" s="62"/>
    </row>
    <row r="2576" spans="2:11" s="3" customFormat="1">
      <c r="B2576"/>
      <c r="C2576"/>
      <c r="D2576"/>
      <c r="E2576"/>
      <c r="F2576"/>
      <c r="G2576"/>
      <c r="K2576" s="62"/>
    </row>
    <row r="2577" spans="2:11" s="3" customFormat="1">
      <c r="B2577"/>
      <c r="C2577"/>
      <c r="D2577"/>
      <c r="E2577"/>
      <c r="F2577"/>
      <c r="G2577"/>
      <c r="K2577" s="62"/>
    </row>
    <row r="2578" spans="2:11" s="3" customFormat="1">
      <c r="B2578"/>
      <c r="C2578"/>
      <c r="D2578"/>
      <c r="E2578"/>
      <c r="F2578"/>
      <c r="G2578"/>
      <c r="K2578" s="62"/>
    </row>
    <row r="2579" spans="2:11" s="3" customFormat="1">
      <c r="B2579"/>
      <c r="C2579"/>
      <c r="D2579"/>
      <c r="E2579"/>
      <c r="F2579"/>
      <c r="G2579"/>
      <c r="K2579" s="62"/>
    </row>
    <row r="2580" spans="2:11" s="3" customFormat="1">
      <c r="B2580"/>
      <c r="C2580"/>
      <c r="D2580"/>
      <c r="E2580"/>
      <c r="F2580"/>
      <c r="G2580"/>
      <c r="K2580" s="62"/>
    </row>
    <row r="2581" spans="2:11" s="3" customFormat="1">
      <c r="B2581"/>
      <c r="C2581"/>
      <c r="D2581"/>
      <c r="E2581"/>
      <c r="F2581"/>
      <c r="G2581"/>
      <c r="K2581" s="62"/>
    </row>
    <row r="2582" spans="2:11" s="3" customFormat="1">
      <c r="B2582"/>
      <c r="C2582"/>
      <c r="D2582"/>
      <c r="E2582"/>
      <c r="F2582"/>
      <c r="G2582"/>
      <c r="K2582" s="62"/>
    </row>
    <row r="2583" spans="2:11" s="3" customFormat="1">
      <c r="B2583"/>
      <c r="C2583"/>
      <c r="D2583"/>
      <c r="E2583"/>
      <c r="F2583"/>
      <c r="G2583"/>
      <c r="K2583" s="62"/>
    </row>
    <row r="2584" spans="2:11" s="3" customFormat="1">
      <c r="B2584"/>
      <c r="C2584"/>
      <c r="D2584"/>
      <c r="E2584"/>
      <c r="F2584"/>
      <c r="G2584"/>
      <c r="K2584" s="62"/>
    </row>
    <row r="2585" spans="2:11" s="3" customFormat="1">
      <c r="B2585"/>
      <c r="C2585"/>
      <c r="D2585"/>
      <c r="E2585"/>
      <c r="F2585"/>
      <c r="G2585"/>
      <c r="K2585" s="62"/>
    </row>
    <row r="2586" spans="2:11" s="3" customFormat="1">
      <c r="B2586"/>
      <c r="C2586"/>
      <c r="D2586"/>
      <c r="E2586"/>
      <c r="F2586"/>
      <c r="G2586"/>
      <c r="K2586" s="62"/>
    </row>
    <row r="2587" spans="2:11" s="3" customFormat="1">
      <c r="B2587"/>
      <c r="C2587"/>
      <c r="D2587"/>
      <c r="E2587"/>
      <c r="F2587"/>
      <c r="G2587"/>
      <c r="K2587" s="62"/>
    </row>
    <row r="2588" spans="2:11" s="3" customFormat="1">
      <c r="B2588"/>
      <c r="C2588"/>
      <c r="D2588"/>
      <c r="E2588"/>
      <c r="F2588"/>
      <c r="G2588"/>
      <c r="K2588" s="62"/>
    </row>
    <row r="2589" spans="2:11" s="3" customFormat="1">
      <c r="B2589"/>
      <c r="C2589"/>
      <c r="D2589"/>
      <c r="E2589"/>
      <c r="F2589"/>
      <c r="G2589"/>
      <c r="K2589" s="62"/>
    </row>
    <row r="2590" spans="2:11" s="3" customFormat="1">
      <c r="B2590"/>
      <c r="C2590"/>
      <c r="D2590"/>
      <c r="E2590"/>
      <c r="F2590"/>
      <c r="G2590"/>
      <c r="K2590" s="62"/>
    </row>
    <row r="2591" spans="2:11" s="3" customFormat="1">
      <c r="B2591"/>
      <c r="C2591"/>
      <c r="D2591"/>
      <c r="E2591"/>
      <c r="F2591"/>
      <c r="G2591"/>
      <c r="K2591" s="62"/>
    </row>
    <row r="2592" spans="2:11" s="3" customFormat="1">
      <c r="B2592"/>
      <c r="C2592"/>
      <c r="D2592"/>
      <c r="E2592"/>
      <c r="F2592"/>
      <c r="G2592"/>
      <c r="K2592" s="62"/>
    </row>
    <row r="2593" spans="2:11" s="3" customFormat="1">
      <c r="B2593"/>
      <c r="C2593"/>
      <c r="D2593"/>
      <c r="E2593"/>
      <c r="F2593"/>
      <c r="G2593"/>
      <c r="K2593" s="62"/>
    </row>
    <row r="2594" spans="2:11" s="3" customFormat="1">
      <c r="B2594"/>
      <c r="C2594"/>
      <c r="D2594"/>
      <c r="E2594"/>
      <c r="F2594"/>
      <c r="G2594"/>
      <c r="K2594" s="62"/>
    </row>
    <row r="2595" spans="2:11" s="3" customFormat="1">
      <c r="B2595"/>
      <c r="C2595"/>
      <c r="D2595"/>
      <c r="E2595"/>
      <c r="F2595"/>
      <c r="G2595"/>
      <c r="K2595" s="62"/>
    </row>
    <row r="2596" spans="2:11" s="3" customFormat="1">
      <c r="B2596"/>
      <c r="C2596"/>
      <c r="D2596"/>
      <c r="E2596"/>
      <c r="F2596"/>
      <c r="G2596"/>
      <c r="K2596" s="62"/>
    </row>
    <row r="2597" spans="2:11" s="3" customFormat="1">
      <c r="B2597"/>
      <c r="C2597"/>
      <c r="D2597"/>
      <c r="E2597"/>
      <c r="F2597"/>
      <c r="G2597"/>
      <c r="K2597" s="62"/>
    </row>
    <row r="2598" spans="2:11" s="3" customFormat="1">
      <c r="B2598"/>
      <c r="C2598"/>
      <c r="D2598"/>
      <c r="E2598"/>
      <c r="F2598"/>
      <c r="G2598"/>
      <c r="K2598" s="62"/>
    </row>
    <row r="2599" spans="2:11" s="3" customFormat="1">
      <c r="B2599"/>
      <c r="C2599"/>
      <c r="D2599"/>
      <c r="E2599"/>
      <c r="F2599"/>
      <c r="G2599"/>
      <c r="K2599" s="62"/>
    </row>
    <row r="2600" spans="2:11" s="3" customFormat="1">
      <c r="B2600"/>
      <c r="C2600"/>
      <c r="D2600"/>
      <c r="E2600"/>
      <c r="F2600"/>
      <c r="G2600"/>
      <c r="K2600" s="62"/>
    </row>
    <row r="2601" spans="2:11" s="3" customFormat="1">
      <c r="B2601"/>
      <c r="C2601"/>
      <c r="D2601"/>
      <c r="E2601"/>
      <c r="F2601"/>
      <c r="G2601"/>
      <c r="K2601" s="62"/>
    </row>
    <row r="2602" spans="2:11" s="3" customFormat="1">
      <c r="B2602"/>
      <c r="C2602"/>
      <c r="D2602"/>
      <c r="E2602"/>
      <c r="F2602"/>
      <c r="G2602"/>
      <c r="K2602" s="62"/>
    </row>
    <row r="2603" spans="2:11" s="3" customFormat="1">
      <c r="B2603"/>
      <c r="C2603"/>
      <c r="D2603"/>
      <c r="E2603"/>
      <c r="F2603"/>
      <c r="G2603"/>
      <c r="K2603" s="62"/>
    </row>
    <row r="2604" spans="2:11" s="3" customFormat="1">
      <c r="B2604"/>
      <c r="C2604"/>
      <c r="D2604"/>
      <c r="E2604"/>
      <c r="F2604"/>
      <c r="G2604"/>
      <c r="K2604" s="62"/>
    </row>
    <row r="2605" spans="2:11" s="3" customFormat="1">
      <c r="B2605"/>
      <c r="C2605"/>
      <c r="D2605"/>
      <c r="E2605"/>
      <c r="F2605"/>
      <c r="G2605"/>
      <c r="K2605" s="62"/>
    </row>
    <row r="2606" spans="2:11" s="3" customFormat="1">
      <c r="B2606"/>
      <c r="C2606"/>
      <c r="D2606"/>
      <c r="E2606"/>
      <c r="F2606"/>
      <c r="G2606"/>
      <c r="K2606" s="62"/>
    </row>
    <row r="2607" spans="2:11" s="3" customFormat="1">
      <c r="B2607"/>
      <c r="C2607"/>
      <c r="D2607"/>
      <c r="E2607"/>
      <c r="F2607"/>
      <c r="G2607"/>
      <c r="K2607" s="62"/>
    </row>
    <row r="2608" spans="2:11" s="3" customFormat="1">
      <c r="B2608"/>
      <c r="C2608"/>
      <c r="D2608"/>
      <c r="E2608"/>
      <c r="F2608"/>
      <c r="G2608"/>
      <c r="K2608" s="62"/>
    </row>
    <row r="2609" spans="2:11" s="3" customFormat="1">
      <c r="B2609"/>
      <c r="C2609"/>
      <c r="D2609"/>
      <c r="E2609"/>
      <c r="F2609"/>
      <c r="G2609"/>
      <c r="K2609" s="62"/>
    </row>
    <row r="2610" spans="2:11" s="3" customFormat="1">
      <c r="B2610"/>
      <c r="C2610"/>
      <c r="D2610"/>
      <c r="E2610"/>
      <c r="F2610"/>
      <c r="G2610"/>
      <c r="K2610" s="62"/>
    </row>
    <row r="2611" spans="2:11" s="3" customFormat="1">
      <c r="B2611"/>
      <c r="C2611"/>
      <c r="D2611"/>
      <c r="E2611"/>
      <c r="F2611"/>
      <c r="G2611"/>
      <c r="K2611" s="62"/>
    </row>
    <row r="2612" spans="2:11" s="3" customFormat="1">
      <c r="B2612"/>
      <c r="C2612"/>
      <c r="D2612"/>
      <c r="E2612"/>
      <c r="F2612"/>
      <c r="G2612"/>
      <c r="K2612" s="62"/>
    </row>
    <row r="2613" spans="2:11" s="3" customFormat="1">
      <c r="B2613"/>
      <c r="C2613"/>
      <c r="D2613"/>
      <c r="E2613"/>
      <c r="F2613"/>
      <c r="G2613"/>
      <c r="K2613" s="62"/>
    </row>
    <row r="2614" spans="2:11" s="3" customFormat="1">
      <c r="B2614"/>
      <c r="C2614"/>
      <c r="D2614"/>
      <c r="E2614"/>
      <c r="F2614"/>
      <c r="G2614"/>
      <c r="K2614" s="62"/>
    </row>
    <row r="2615" spans="2:11" s="3" customFormat="1">
      <c r="B2615"/>
      <c r="C2615"/>
      <c r="D2615"/>
      <c r="E2615"/>
      <c r="F2615"/>
      <c r="G2615"/>
      <c r="K2615" s="62"/>
    </row>
    <row r="2616" spans="2:11" s="3" customFormat="1">
      <c r="B2616"/>
      <c r="C2616"/>
      <c r="D2616"/>
      <c r="E2616"/>
      <c r="F2616"/>
      <c r="G2616"/>
      <c r="K2616" s="62"/>
    </row>
    <row r="2617" spans="2:11" s="3" customFormat="1">
      <c r="B2617"/>
      <c r="C2617"/>
      <c r="D2617"/>
      <c r="E2617"/>
      <c r="F2617"/>
      <c r="G2617"/>
      <c r="K2617" s="62"/>
    </row>
    <row r="2618" spans="2:11" s="3" customFormat="1">
      <c r="B2618"/>
      <c r="C2618"/>
      <c r="D2618"/>
      <c r="E2618"/>
      <c r="F2618"/>
      <c r="G2618"/>
      <c r="K2618" s="62"/>
    </row>
    <row r="2619" spans="2:11" s="3" customFormat="1">
      <c r="B2619"/>
      <c r="C2619"/>
      <c r="D2619"/>
      <c r="E2619"/>
      <c r="F2619"/>
      <c r="G2619"/>
      <c r="K2619" s="62"/>
    </row>
    <row r="2620" spans="2:11" s="3" customFormat="1">
      <c r="B2620"/>
      <c r="C2620"/>
      <c r="D2620"/>
      <c r="E2620"/>
      <c r="F2620"/>
      <c r="G2620"/>
      <c r="K2620" s="62"/>
    </row>
    <row r="2621" spans="2:11" s="3" customFormat="1">
      <c r="B2621"/>
      <c r="C2621"/>
      <c r="D2621"/>
      <c r="E2621"/>
      <c r="F2621"/>
      <c r="G2621"/>
      <c r="K2621" s="62"/>
    </row>
    <row r="2622" spans="2:11" s="3" customFormat="1">
      <c r="B2622"/>
      <c r="C2622"/>
      <c r="D2622"/>
      <c r="E2622"/>
      <c r="F2622"/>
      <c r="G2622"/>
      <c r="K2622" s="62"/>
    </row>
    <row r="2623" spans="2:11" s="3" customFormat="1">
      <c r="B2623"/>
      <c r="C2623"/>
      <c r="D2623"/>
      <c r="E2623"/>
      <c r="F2623"/>
      <c r="G2623"/>
      <c r="K2623" s="62"/>
    </row>
    <row r="2624" spans="2:11" s="3" customFormat="1">
      <c r="B2624"/>
      <c r="C2624"/>
      <c r="D2624"/>
      <c r="E2624"/>
      <c r="F2624"/>
      <c r="G2624"/>
      <c r="K2624" s="62"/>
    </row>
    <row r="2625" spans="2:11" s="3" customFormat="1">
      <c r="B2625"/>
      <c r="C2625"/>
      <c r="D2625"/>
      <c r="E2625"/>
      <c r="F2625"/>
      <c r="G2625"/>
      <c r="K2625" s="62"/>
    </row>
    <row r="2626" spans="2:11" s="3" customFormat="1">
      <c r="B2626"/>
      <c r="C2626"/>
      <c r="D2626"/>
      <c r="E2626"/>
      <c r="F2626"/>
      <c r="G2626"/>
      <c r="K2626" s="62"/>
    </row>
    <row r="2627" spans="2:11" s="3" customFormat="1">
      <c r="B2627"/>
      <c r="C2627"/>
      <c r="D2627"/>
      <c r="E2627"/>
      <c r="F2627"/>
      <c r="G2627"/>
      <c r="K2627" s="62"/>
    </row>
    <row r="2628" spans="2:11" s="3" customFormat="1">
      <c r="B2628"/>
      <c r="C2628"/>
      <c r="D2628"/>
      <c r="E2628"/>
      <c r="F2628"/>
      <c r="G2628"/>
      <c r="K2628" s="62"/>
    </row>
    <row r="2629" spans="2:11" s="3" customFormat="1">
      <c r="B2629"/>
      <c r="C2629"/>
      <c r="D2629"/>
      <c r="E2629"/>
      <c r="F2629"/>
      <c r="G2629"/>
      <c r="K2629" s="62"/>
    </row>
    <row r="2630" spans="2:11" s="3" customFormat="1">
      <c r="B2630"/>
      <c r="C2630"/>
      <c r="D2630"/>
      <c r="E2630"/>
      <c r="F2630"/>
      <c r="G2630"/>
      <c r="K2630" s="62"/>
    </row>
    <row r="2631" spans="2:11" s="3" customFormat="1">
      <c r="B2631"/>
      <c r="C2631"/>
      <c r="D2631"/>
      <c r="E2631"/>
      <c r="F2631"/>
      <c r="G2631"/>
      <c r="K2631" s="62"/>
    </row>
    <row r="2632" spans="2:11" s="3" customFormat="1">
      <c r="B2632"/>
      <c r="C2632"/>
      <c r="D2632"/>
      <c r="E2632"/>
      <c r="F2632"/>
      <c r="G2632"/>
      <c r="K2632" s="62"/>
    </row>
    <row r="2633" spans="2:11" s="3" customFormat="1">
      <c r="B2633"/>
      <c r="C2633"/>
      <c r="D2633"/>
      <c r="E2633"/>
      <c r="F2633"/>
      <c r="G2633"/>
      <c r="K2633" s="62"/>
    </row>
    <row r="2634" spans="2:11" s="3" customFormat="1">
      <c r="B2634"/>
      <c r="C2634"/>
      <c r="D2634"/>
      <c r="E2634"/>
      <c r="F2634"/>
      <c r="G2634"/>
      <c r="K2634" s="62"/>
    </row>
    <row r="2635" spans="2:11" s="3" customFormat="1">
      <c r="B2635"/>
      <c r="C2635"/>
      <c r="D2635"/>
      <c r="E2635"/>
      <c r="F2635"/>
      <c r="G2635"/>
      <c r="K2635" s="62"/>
    </row>
    <row r="2636" spans="2:11" s="3" customFormat="1">
      <c r="B2636"/>
      <c r="C2636"/>
      <c r="D2636"/>
      <c r="E2636"/>
      <c r="F2636"/>
      <c r="G2636"/>
      <c r="K2636" s="62"/>
    </row>
    <row r="2637" spans="2:11" s="3" customFormat="1">
      <c r="B2637"/>
      <c r="C2637"/>
      <c r="D2637"/>
      <c r="E2637"/>
      <c r="F2637"/>
      <c r="G2637"/>
      <c r="K2637" s="62"/>
    </row>
    <row r="2638" spans="2:11" s="3" customFormat="1">
      <c r="B2638"/>
      <c r="C2638"/>
      <c r="D2638"/>
      <c r="E2638"/>
      <c r="F2638"/>
      <c r="G2638"/>
      <c r="K2638" s="62"/>
    </row>
    <row r="2639" spans="2:11" s="3" customFormat="1">
      <c r="B2639"/>
      <c r="C2639"/>
      <c r="D2639"/>
      <c r="E2639"/>
      <c r="F2639"/>
      <c r="G2639"/>
      <c r="K2639" s="62"/>
    </row>
    <row r="2640" spans="2:11" s="3" customFormat="1">
      <c r="B2640"/>
      <c r="C2640"/>
      <c r="D2640"/>
      <c r="E2640"/>
      <c r="F2640"/>
      <c r="G2640"/>
      <c r="K2640" s="62"/>
    </row>
    <row r="2641" spans="2:11" s="3" customFormat="1">
      <c r="B2641"/>
      <c r="C2641"/>
      <c r="D2641"/>
      <c r="E2641"/>
      <c r="F2641"/>
      <c r="G2641"/>
      <c r="K2641" s="62"/>
    </row>
    <row r="2642" spans="2:11" s="3" customFormat="1">
      <c r="B2642"/>
      <c r="C2642"/>
      <c r="D2642"/>
      <c r="E2642"/>
      <c r="F2642"/>
      <c r="G2642"/>
      <c r="K2642" s="62"/>
    </row>
    <row r="2643" spans="2:11" s="3" customFormat="1">
      <c r="B2643"/>
      <c r="C2643"/>
      <c r="D2643"/>
      <c r="E2643"/>
      <c r="F2643"/>
      <c r="G2643"/>
      <c r="K2643" s="62"/>
    </row>
    <row r="2644" spans="2:11" s="3" customFormat="1">
      <c r="B2644"/>
      <c r="C2644"/>
      <c r="D2644"/>
      <c r="E2644"/>
      <c r="F2644"/>
      <c r="G2644"/>
      <c r="K2644" s="62"/>
    </row>
    <row r="2645" spans="2:11" s="3" customFormat="1">
      <c r="B2645"/>
      <c r="C2645"/>
      <c r="D2645"/>
      <c r="E2645"/>
      <c r="F2645"/>
      <c r="G2645"/>
      <c r="K2645" s="62"/>
    </row>
    <row r="2646" spans="2:11" s="3" customFormat="1">
      <c r="B2646"/>
      <c r="C2646"/>
      <c r="D2646"/>
      <c r="E2646"/>
      <c r="F2646"/>
      <c r="G2646"/>
      <c r="K2646" s="62"/>
    </row>
    <row r="2647" spans="2:11" s="3" customFormat="1">
      <c r="B2647"/>
      <c r="C2647"/>
      <c r="D2647"/>
      <c r="E2647"/>
      <c r="F2647"/>
      <c r="G2647"/>
      <c r="K2647" s="62"/>
    </row>
    <row r="2648" spans="2:11" s="3" customFormat="1">
      <c r="B2648"/>
      <c r="C2648"/>
      <c r="D2648"/>
      <c r="E2648"/>
      <c r="F2648"/>
      <c r="G2648"/>
      <c r="K2648" s="62"/>
    </row>
    <row r="2649" spans="2:11" s="3" customFormat="1">
      <c r="B2649"/>
      <c r="C2649"/>
      <c r="D2649"/>
      <c r="E2649"/>
      <c r="F2649"/>
      <c r="G2649"/>
      <c r="K2649" s="62"/>
    </row>
    <row r="2650" spans="2:11" s="3" customFormat="1">
      <c r="B2650"/>
      <c r="C2650"/>
      <c r="D2650"/>
      <c r="E2650"/>
      <c r="F2650"/>
      <c r="G2650"/>
      <c r="K2650" s="62"/>
    </row>
    <row r="2651" spans="2:11" s="3" customFormat="1">
      <c r="B2651"/>
      <c r="C2651"/>
      <c r="D2651"/>
      <c r="E2651"/>
      <c r="F2651"/>
      <c r="G2651"/>
      <c r="K2651" s="62"/>
    </row>
    <row r="2652" spans="2:11" s="3" customFormat="1">
      <c r="B2652"/>
      <c r="C2652"/>
      <c r="D2652"/>
      <c r="E2652"/>
      <c r="F2652"/>
      <c r="G2652"/>
      <c r="K2652" s="62"/>
    </row>
    <row r="2653" spans="2:11" s="3" customFormat="1">
      <c r="B2653"/>
      <c r="C2653"/>
      <c r="D2653"/>
      <c r="E2653"/>
      <c r="F2653"/>
      <c r="G2653"/>
      <c r="K2653" s="62"/>
    </row>
    <row r="2654" spans="2:11" s="3" customFormat="1">
      <c r="B2654"/>
      <c r="C2654"/>
      <c r="D2654"/>
      <c r="E2654"/>
      <c r="F2654"/>
      <c r="G2654"/>
      <c r="K2654" s="62"/>
    </row>
    <row r="2655" spans="2:11" s="3" customFormat="1">
      <c r="B2655"/>
      <c r="C2655"/>
      <c r="D2655"/>
      <c r="E2655"/>
      <c r="F2655"/>
      <c r="G2655"/>
      <c r="K2655" s="62"/>
    </row>
    <row r="2656" spans="2:11" s="3" customFormat="1">
      <c r="B2656"/>
      <c r="C2656"/>
      <c r="D2656"/>
      <c r="E2656"/>
      <c r="F2656"/>
      <c r="G2656"/>
      <c r="K2656" s="62"/>
    </row>
    <row r="2657" spans="2:11" s="3" customFormat="1">
      <c r="B2657"/>
      <c r="C2657"/>
      <c r="D2657"/>
      <c r="E2657"/>
      <c r="F2657"/>
      <c r="G2657"/>
      <c r="K2657" s="62"/>
    </row>
    <row r="2658" spans="2:11" s="3" customFormat="1">
      <c r="B2658"/>
      <c r="C2658"/>
      <c r="D2658"/>
      <c r="E2658"/>
      <c r="F2658"/>
      <c r="G2658"/>
      <c r="K2658" s="62"/>
    </row>
    <row r="2659" spans="2:11" s="3" customFormat="1">
      <c r="B2659"/>
      <c r="C2659"/>
      <c r="D2659"/>
      <c r="E2659"/>
      <c r="F2659"/>
      <c r="G2659"/>
      <c r="K2659" s="62"/>
    </row>
    <row r="2660" spans="2:11" s="3" customFormat="1">
      <c r="B2660"/>
      <c r="C2660"/>
      <c r="D2660"/>
      <c r="E2660"/>
      <c r="F2660"/>
      <c r="G2660"/>
      <c r="K2660" s="62"/>
    </row>
    <row r="2661" spans="2:11" s="3" customFormat="1">
      <c r="B2661"/>
      <c r="C2661"/>
      <c r="D2661"/>
      <c r="E2661"/>
      <c r="F2661"/>
      <c r="G2661"/>
      <c r="K2661" s="62"/>
    </row>
    <row r="2662" spans="2:11" s="3" customFormat="1">
      <c r="B2662"/>
      <c r="C2662"/>
      <c r="D2662"/>
      <c r="E2662"/>
      <c r="F2662"/>
      <c r="G2662"/>
      <c r="K2662" s="62"/>
    </row>
    <row r="2663" spans="2:11" s="3" customFormat="1">
      <c r="B2663"/>
      <c r="C2663"/>
      <c r="D2663"/>
      <c r="E2663"/>
      <c r="F2663"/>
      <c r="G2663"/>
      <c r="K2663" s="62"/>
    </row>
    <row r="2664" spans="2:11" s="3" customFormat="1">
      <c r="B2664"/>
      <c r="C2664"/>
      <c r="D2664"/>
      <c r="E2664"/>
      <c r="F2664"/>
      <c r="G2664"/>
      <c r="K2664" s="62"/>
    </row>
    <row r="2665" spans="2:11" s="3" customFormat="1">
      <c r="B2665"/>
      <c r="C2665"/>
      <c r="D2665"/>
      <c r="E2665"/>
      <c r="F2665"/>
      <c r="G2665"/>
      <c r="K2665" s="62"/>
    </row>
    <row r="2666" spans="2:11" s="3" customFormat="1">
      <c r="B2666"/>
      <c r="C2666"/>
      <c r="D2666"/>
      <c r="E2666"/>
      <c r="F2666"/>
      <c r="G2666"/>
      <c r="K2666" s="62"/>
    </row>
    <row r="2667" spans="2:11" s="3" customFormat="1">
      <c r="B2667"/>
      <c r="C2667"/>
      <c r="D2667"/>
      <c r="E2667"/>
      <c r="F2667"/>
      <c r="G2667"/>
      <c r="K2667" s="62"/>
    </row>
    <row r="2668" spans="2:11" s="3" customFormat="1">
      <c r="B2668"/>
      <c r="C2668"/>
      <c r="D2668"/>
      <c r="E2668"/>
      <c r="F2668"/>
      <c r="G2668"/>
      <c r="K2668" s="62"/>
    </row>
    <row r="2669" spans="2:11" s="3" customFormat="1">
      <c r="B2669"/>
      <c r="C2669"/>
      <c r="D2669"/>
      <c r="E2669"/>
      <c r="F2669"/>
      <c r="G2669"/>
      <c r="K2669" s="62"/>
    </row>
    <row r="2670" spans="2:11" s="3" customFormat="1">
      <c r="B2670"/>
      <c r="C2670"/>
      <c r="D2670"/>
      <c r="E2670"/>
      <c r="F2670"/>
      <c r="G2670"/>
      <c r="K2670" s="62"/>
    </row>
    <row r="2671" spans="2:11" s="3" customFormat="1">
      <c r="B2671"/>
      <c r="C2671"/>
      <c r="D2671"/>
      <c r="E2671"/>
      <c r="F2671"/>
      <c r="G2671"/>
      <c r="K2671" s="62"/>
    </row>
    <row r="2672" spans="2:11" s="3" customFormat="1">
      <c r="B2672"/>
      <c r="C2672"/>
      <c r="D2672"/>
      <c r="E2672"/>
      <c r="F2672"/>
      <c r="G2672"/>
      <c r="K2672" s="62"/>
    </row>
    <row r="2673" spans="2:11" s="3" customFormat="1">
      <c r="B2673"/>
      <c r="C2673"/>
      <c r="D2673"/>
      <c r="E2673"/>
      <c r="F2673"/>
      <c r="G2673"/>
      <c r="K2673" s="62"/>
    </row>
    <row r="2674" spans="2:11" s="3" customFormat="1">
      <c r="B2674"/>
      <c r="C2674"/>
      <c r="D2674"/>
      <c r="E2674"/>
      <c r="F2674"/>
      <c r="G2674"/>
      <c r="K2674" s="62"/>
    </row>
    <row r="2675" spans="2:11" s="3" customFormat="1">
      <c r="B2675"/>
      <c r="C2675"/>
      <c r="D2675"/>
      <c r="E2675"/>
      <c r="F2675"/>
      <c r="G2675"/>
      <c r="K2675" s="62"/>
    </row>
    <row r="2676" spans="2:11" s="3" customFormat="1">
      <c r="B2676"/>
      <c r="C2676"/>
      <c r="D2676"/>
      <c r="E2676"/>
      <c r="F2676"/>
      <c r="G2676"/>
      <c r="K2676" s="62"/>
    </row>
    <row r="2677" spans="2:11" s="3" customFormat="1">
      <c r="B2677"/>
      <c r="C2677"/>
      <c r="D2677"/>
      <c r="E2677"/>
      <c r="F2677"/>
      <c r="G2677"/>
      <c r="K2677" s="62"/>
    </row>
    <row r="2678" spans="2:11" s="3" customFormat="1">
      <c r="B2678"/>
      <c r="C2678"/>
      <c r="D2678"/>
      <c r="E2678"/>
      <c r="F2678"/>
      <c r="G2678"/>
      <c r="K2678" s="62"/>
    </row>
    <row r="2679" spans="2:11" s="3" customFormat="1">
      <c r="B2679"/>
      <c r="C2679"/>
      <c r="D2679"/>
      <c r="E2679"/>
      <c r="F2679"/>
      <c r="G2679"/>
      <c r="K2679" s="62"/>
    </row>
    <row r="2680" spans="2:11" s="3" customFormat="1">
      <c r="B2680"/>
      <c r="C2680"/>
      <c r="D2680"/>
      <c r="E2680"/>
      <c r="F2680"/>
      <c r="G2680"/>
      <c r="K2680" s="62"/>
    </row>
    <row r="2681" spans="2:11" s="3" customFormat="1">
      <c r="B2681"/>
      <c r="C2681"/>
      <c r="D2681"/>
      <c r="E2681"/>
      <c r="F2681"/>
      <c r="G2681"/>
      <c r="K2681" s="62"/>
    </row>
    <row r="2682" spans="2:11" s="3" customFormat="1">
      <c r="B2682"/>
      <c r="C2682"/>
      <c r="D2682"/>
      <c r="E2682"/>
      <c r="F2682"/>
      <c r="G2682"/>
      <c r="K2682" s="62"/>
    </row>
    <row r="2683" spans="2:11" s="3" customFormat="1">
      <c r="B2683"/>
      <c r="C2683"/>
      <c r="D2683"/>
      <c r="E2683"/>
      <c r="F2683"/>
      <c r="G2683"/>
      <c r="K2683" s="62"/>
    </row>
    <row r="2684" spans="2:11" s="3" customFormat="1">
      <c r="B2684"/>
      <c r="C2684"/>
      <c r="D2684"/>
      <c r="E2684"/>
      <c r="F2684"/>
      <c r="G2684"/>
      <c r="K2684" s="62"/>
    </row>
    <row r="2685" spans="2:11" s="3" customFormat="1">
      <c r="B2685"/>
      <c r="C2685"/>
      <c r="D2685"/>
      <c r="E2685"/>
      <c r="F2685"/>
      <c r="G2685"/>
      <c r="K2685" s="62"/>
    </row>
    <row r="2686" spans="2:11" s="3" customFormat="1">
      <c r="B2686"/>
      <c r="C2686"/>
      <c r="D2686"/>
      <c r="E2686"/>
      <c r="F2686"/>
      <c r="G2686"/>
      <c r="K2686" s="62"/>
    </row>
    <row r="2687" spans="2:11" s="3" customFormat="1">
      <c r="B2687"/>
      <c r="C2687"/>
      <c r="D2687"/>
      <c r="E2687"/>
      <c r="F2687"/>
      <c r="G2687"/>
      <c r="K2687" s="62"/>
    </row>
    <row r="2688" spans="2:11" s="3" customFormat="1">
      <c r="B2688"/>
      <c r="C2688"/>
      <c r="D2688"/>
      <c r="E2688"/>
      <c r="F2688"/>
      <c r="G2688"/>
      <c r="K2688" s="62"/>
    </row>
    <row r="2689" spans="2:11" s="3" customFormat="1">
      <c r="B2689"/>
      <c r="C2689"/>
      <c r="D2689"/>
      <c r="E2689"/>
      <c r="F2689"/>
      <c r="G2689"/>
      <c r="K2689" s="62"/>
    </row>
    <row r="2690" spans="2:11" s="3" customFormat="1">
      <c r="B2690"/>
      <c r="C2690"/>
      <c r="D2690"/>
      <c r="E2690"/>
      <c r="F2690"/>
      <c r="G2690"/>
      <c r="K2690" s="62"/>
    </row>
    <row r="2691" spans="2:11" s="3" customFormat="1">
      <c r="B2691"/>
      <c r="C2691"/>
      <c r="D2691"/>
      <c r="E2691"/>
      <c r="F2691"/>
      <c r="G2691"/>
      <c r="K2691" s="62"/>
    </row>
    <row r="2692" spans="2:11" s="3" customFormat="1">
      <c r="B2692"/>
      <c r="C2692"/>
      <c r="D2692"/>
      <c r="E2692"/>
      <c r="F2692"/>
      <c r="G2692"/>
      <c r="K2692" s="62"/>
    </row>
    <row r="2693" spans="2:11" s="3" customFormat="1">
      <c r="B2693"/>
      <c r="C2693"/>
      <c r="D2693"/>
      <c r="E2693"/>
      <c r="F2693"/>
      <c r="G2693"/>
      <c r="K2693" s="62"/>
    </row>
    <row r="2694" spans="2:11" s="3" customFormat="1">
      <c r="B2694"/>
      <c r="C2694"/>
      <c r="D2694"/>
      <c r="E2694"/>
      <c r="F2694"/>
      <c r="G2694"/>
      <c r="K2694" s="62"/>
    </row>
    <row r="2695" spans="2:11" s="3" customFormat="1">
      <c r="B2695"/>
      <c r="C2695"/>
      <c r="D2695"/>
      <c r="E2695"/>
      <c r="F2695"/>
      <c r="G2695"/>
      <c r="K2695" s="62"/>
    </row>
    <row r="2696" spans="2:11" s="3" customFormat="1">
      <c r="B2696"/>
      <c r="C2696"/>
      <c r="D2696"/>
      <c r="E2696"/>
      <c r="F2696"/>
      <c r="G2696"/>
      <c r="K2696" s="62"/>
    </row>
    <row r="2697" spans="2:11" s="3" customFormat="1">
      <c r="B2697"/>
      <c r="C2697"/>
      <c r="D2697"/>
      <c r="E2697"/>
      <c r="F2697"/>
      <c r="G2697"/>
      <c r="K2697" s="62"/>
    </row>
    <row r="2698" spans="2:11" s="3" customFormat="1">
      <c r="B2698"/>
      <c r="C2698"/>
      <c r="D2698"/>
      <c r="E2698"/>
      <c r="F2698"/>
      <c r="G2698"/>
      <c r="K2698" s="62"/>
    </row>
    <row r="2699" spans="2:11" s="3" customFormat="1">
      <c r="B2699"/>
      <c r="C2699"/>
      <c r="D2699"/>
      <c r="E2699"/>
      <c r="F2699"/>
      <c r="G2699"/>
      <c r="K2699" s="62"/>
    </row>
    <row r="2700" spans="2:11" s="3" customFormat="1">
      <c r="B2700"/>
      <c r="C2700"/>
      <c r="D2700"/>
      <c r="E2700"/>
      <c r="F2700"/>
      <c r="G2700"/>
      <c r="K2700" s="62"/>
    </row>
    <row r="2701" spans="2:11" s="3" customFormat="1">
      <c r="B2701"/>
      <c r="C2701"/>
      <c r="D2701"/>
      <c r="E2701"/>
      <c r="F2701"/>
      <c r="G2701"/>
      <c r="K2701" s="62"/>
    </row>
    <row r="2702" spans="2:11" s="3" customFormat="1">
      <c r="B2702"/>
      <c r="C2702"/>
      <c r="D2702"/>
      <c r="E2702"/>
      <c r="F2702"/>
      <c r="G2702"/>
      <c r="K2702" s="62"/>
    </row>
    <row r="2703" spans="2:11" s="3" customFormat="1">
      <c r="B2703"/>
      <c r="C2703"/>
      <c r="D2703"/>
      <c r="E2703"/>
      <c r="F2703"/>
      <c r="G2703"/>
      <c r="K2703" s="62"/>
    </row>
    <row r="2704" spans="2:11" s="3" customFormat="1">
      <c r="B2704"/>
      <c r="C2704"/>
      <c r="D2704"/>
      <c r="E2704"/>
      <c r="F2704"/>
      <c r="G2704"/>
      <c r="K2704" s="62"/>
    </row>
    <row r="2705" spans="2:11" s="3" customFormat="1">
      <c r="B2705"/>
      <c r="C2705"/>
      <c r="D2705"/>
      <c r="E2705"/>
      <c r="F2705"/>
      <c r="G2705"/>
      <c r="K2705" s="62"/>
    </row>
    <row r="2706" spans="2:11" s="3" customFormat="1">
      <c r="B2706"/>
      <c r="C2706"/>
      <c r="D2706"/>
      <c r="E2706"/>
      <c r="F2706"/>
      <c r="G2706"/>
      <c r="K2706" s="62"/>
    </row>
    <row r="2707" spans="2:11" s="3" customFormat="1">
      <c r="B2707"/>
      <c r="C2707"/>
      <c r="D2707"/>
      <c r="E2707"/>
      <c r="F2707"/>
      <c r="G2707"/>
      <c r="K2707" s="62"/>
    </row>
    <row r="2708" spans="2:11" s="3" customFormat="1">
      <c r="B2708"/>
      <c r="C2708"/>
      <c r="D2708"/>
      <c r="E2708"/>
      <c r="F2708"/>
      <c r="G2708"/>
      <c r="K2708" s="62"/>
    </row>
    <row r="2709" spans="2:11" s="3" customFormat="1">
      <c r="B2709"/>
      <c r="C2709"/>
      <c r="D2709"/>
      <c r="E2709"/>
      <c r="F2709"/>
      <c r="G2709"/>
      <c r="K2709" s="62"/>
    </row>
    <row r="2710" spans="2:11" s="3" customFormat="1">
      <c r="B2710"/>
      <c r="C2710"/>
      <c r="D2710"/>
      <c r="E2710"/>
      <c r="F2710"/>
      <c r="G2710"/>
      <c r="K2710" s="62"/>
    </row>
    <row r="2711" spans="2:11" s="3" customFormat="1">
      <c r="B2711"/>
      <c r="C2711"/>
      <c r="D2711"/>
      <c r="E2711"/>
      <c r="F2711"/>
      <c r="G2711"/>
      <c r="K2711" s="62"/>
    </row>
    <row r="2712" spans="2:11" s="3" customFormat="1">
      <c r="B2712"/>
      <c r="C2712"/>
      <c r="D2712"/>
      <c r="E2712"/>
      <c r="F2712"/>
      <c r="G2712"/>
      <c r="K2712" s="62"/>
    </row>
    <row r="2713" spans="2:11" s="3" customFormat="1">
      <c r="B2713"/>
      <c r="C2713"/>
      <c r="D2713"/>
      <c r="E2713"/>
      <c r="F2713"/>
      <c r="G2713"/>
      <c r="K2713" s="62"/>
    </row>
    <row r="2714" spans="2:11" s="3" customFormat="1">
      <c r="B2714"/>
      <c r="C2714"/>
      <c r="D2714"/>
      <c r="E2714"/>
      <c r="F2714"/>
      <c r="G2714"/>
      <c r="K2714" s="62"/>
    </row>
    <row r="2715" spans="2:11" s="3" customFormat="1">
      <c r="B2715"/>
      <c r="C2715"/>
      <c r="D2715"/>
      <c r="E2715"/>
      <c r="F2715"/>
      <c r="G2715"/>
      <c r="K2715" s="62"/>
    </row>
    <row r="2716" spans="2:11" s="3" customFormat="1">
      <c r="B2716"/>
      <c r="C2716"/>
      <c r="D2716"/>
      <c r="E2716"/>
      <c r="F2716"/>
      <c r="G2716"/>
      <c r="K2716" s="62"/>
    </row>
    <row r="2717" spans="2:11" s="3" customFormat="1">
      <c r="B2717"/>
      <c r="C2717"/>
      <c r="D2717"/>
      <c r="E2717"/>
      <c r="F2717"/>
      <c r="G2717"/>
      <c r="K2717" s="62"/>
    </row>
    <row r="2718" spans="2:11" s="3" customFormat="1">
      <c r="B2718"/>
      <c r="C2718"/>
      <c r="D2718"/>
      <c r="E2718"/>
      <c r="F2718"/>
      <c r="G2718"/>
      <c r="K2718" s="62"/>
    </row>
    <row r="2719" spans="2:11" s="3" customFormat="1">
      <c r="B2719"/>
      <c r="C2719"/>
      <c r="D2719"/>
      <c r="E2719"/>
      <c r="F2719"/>
      <c r="G2719"/>
      <c r="K2719" s="62"/>
    </row>
    <row r="2720" spans="2:11" s="3" customFormat="1">
      <c r="B2720"/>
      <c r="C2720"/>
      <c r="D2720"/>
      <c r="E2720"/>
      <c r="F2720"/>
      <c r="G2720"/>
      <c r="K2720" s="62"/>
    </row>
    <row r="2721" spans="2:11" s="3" customFormat="1">
      <c r="B2721"/>
      <c r="C2721"/>
      <c r="D2721"/>
      <c r="E2721"/>
      <c r="F2721"/>
      <c r="G2721"/>
      <c r="K2721" s="62"/>
    </row>
    <row r="2722" spans="2:11" s="3" customFormat="1">
      <c r="B2722"/>
      <c r="C2722"/>
      <c r="D2722"/>
      <c r="E2722"/>
      <c r="F2722"/>
      <c r="G2722"/>
      <c r="K2722" s="62"/>
    </row>
    <row r="2723" spans="2:11" s="3" customFormat="1">
      <c r="B2723"/>
      <c r="C2723"/>
      <c r="D2723"/>
      <c r="E2723"/>
      <c r="F2723"/>
      <c r="G2723"/>
      <c r="K2723" s="62"/>
    </row>
    <row r="2724" spans="2:11" s="3" customFormat="1">
      <c r="B2724"/>
      <c r="C2724"/>
      <c r="D2724"/>
      <c r="E2724"/>
      <c r="F2724"/>
      <c r="G2724"/>
      <c r="K2724" s="62"/>
    </row>
    <row r="2725" spans="2:11" s="3" customFormat="1">
      <c r="B2725"/>
      <c r="C2725"/>
      <c r="D2725"/>
      <c r="E2725"/>
      <c r="F2725"/>
      <c r="G2725"/>
      <c r="K2725" s="62"/>
    </row>
    <row r="2726" spans="2:11" s="3" customFormat="1">
      <c r="B2726"/>
      <c r="C2726"/>
      <c r="D2726"/>
      <c r="E2726"/>
      <c r="F2726"/>
      <c r="G2726"/>
      <c r="K2726" s="62"/>
    </row>
    <row r="2727" spans="2:11" s="3" customFormat="1">
      <c r="B2727"/>
      <c r="C2727"/>
      <c r="D2727"/>
      <c r="E2727"/>
      <c r="F2727"/>
      <c r="G2727"/>
      <c r="K2727" s="62"/>
    </row>
    <row r="2728" spans="2:11" s="3" customFormat="1">
      <c r="B2728"/>
      <c r="C2728"/>
      <c r="D2728"/>
      <c r="E2728"/>
      <c r="F2728"/>
      <c r="G2728"/>
      <c r="K2728" s="62"/>
    </row>
    <row r="2729" spans="2:11" s="3" customFormat="1">
      <c r="B2729"/>
      <c r="C2729"/>
      <c r="D2729"/>
      <c r="E2729"/>
      <c r="F2729"/>
      <c r="G2729"/>
      <c r="K2729" s="62"/>
    </row>
    <row r="2730" spans="2:11" s="3" customFormat="1">
      <c r="B2730"/>
      <c r="C2730"/>
      <c r="D2730"/>
      <c r="E2730"/>
      <c r="F2730"/>
      <c r="G2730"/>
      <c r="K2730" s="62"/>
    </row>
    <row r="2731" spans="2:11" s="3" customFormat="1">
      <c r="B2731"/>
      <c r="C2731"/>
      <c r="D2731"/>
      <c r="E2731"/>
      <c r="F2731"/>
      <c r="G2731"/>
      <c r="K2731" s="62"/>
    </row>
    <row r="2732" spans="2:11" s="3" customFormat="1">
      <c r="B2732"/>
      <c r="C2732"/>
      <c r="D2732"/>
      <c r="E2732"/>
      <c r="F2732"/>
      <c r="G2732"/>
      <c r="K2732" s="62"/>
    </row>
    <row r="2733" spans="2:11" s="3" customFormat="1">
      <c r="B2733"/>
      <c r="C2733"/>
      <c r="D2733"/>
      <c r="E2733"/>
      <c r="F2733"/>
      <c r="G2733"/>
      <c r="K2733" s="62"/>
    </row>
    <row r="2734" spans="2:11" s="3" customFormat="1">
      <c r="B2734"/>
      <c r="C2734"/>
      <c r="D2734"/>
      <c r="E2734"/>
      <c r="F2734"/>
      <c r="G2734"/>
      <c r="K2734" s="62"/>
    </row>
    <row r="2735" spans="2:11" s="3" customFormat="1">
      <c r="B2735"/>
      <c r="C2735"/>
      <c r="D2735"/>
      <c r="E2735"/>
      <c r="F2735"/>
      <c r="G2735"/>
      <c r="K2735" s="62"/>
    </row>
    <row r="2736" spans="2:11" s="3" customFormat="1">
      <c r="B2736"/>
      <c r="C2736"/>
      <c r="D2736"/>
      <c r="E2736"/>
      <c r="F2736"/>
      <c r="G2736"/>
      <c r="K2736" s="62"/>
    </row>
    <row r="2737" spans="2:11" s="3" customFormat="1">
      <c r="B2737"/>
      <c r="C2737"/>
      <c r="D2737"/>
      <c r="E2737"/>
      <c r="F2737"/>
      <c r="G2737"/>
      <c r="K2737" s="62"/>
    </row>
    <row r="2738" spans="2:11" s="3" customFormat="1">
      <c r="B2738"/>
      <c r="C2738"/>
      <c r="D2738"/>
      <c r="E2738"/>
      <c r="F2738"/>
      <c r="G2738"/>
      <c r="K2738" s="62"/>
    </row>
    <row r="2739" spans="2:11" s="3" customFormat="1">
      <c r="B2739"/>
      <c r="C2739"/>
      <c r="D2739"/>
      <c r="E2739"/>
      <c r="F2739"/>
      <c r="G2739"/>
      <c r="K2739" s="62"/>
    </row>
    <row r="2740" spans="2:11" s="3" customFormat="1">
      <c r="B2740"/>
      <c r="C2740"/>
      <c r="D2740"/>
      <c r="E2740"/>
      <c r="F2740"/>
      <c r="G2740"/>
      <c r="K2740" s="62"/>
    </row>
    <row r="2741" spans="2:11" s="3" customFormat="1">
      <c r="B2741"/>
      <c r="C2741"/>
      <c r="D2741"/>
      <c r="E2741"/>
      <c r="F2741"/>
      <c r="G2741"/>
      <c r="K2741" s="62"/>
    </row>
    <row r="2742" spans="2:11" s="3" customFormat="1">
      <c r="B2742"/>
      <c r="C2742"/>
      <c r="D2742"/>
      <c r="E2742"/>
      <c r="F2742"/>
      <c r="G2742"/>
      <c r="K2742" s="62"/>
    </row>
    <row r="2743" spans="2:11" s="3" customFormat="1">
      <c r="B2743"/>
      <c r="C2743"/>
      <c r="D2743"/>
      <c r="E2743"/>
      <c r="F2743"/>
      <c r="G2743"/>
      <c r="K2743" s="62"/>
    </row>
    <row r="2744" spans="2:11" s="3" customFormat="1">
      <c r="B2744"/>
      <c r="C2744"/>
      <c r="D2744"/>
      <c r="E2744"/>
      <c r="F2744"/>
      <c r="G2744"/>
      <c r="K2744" s="62"/>
    </row>
    <row r="2745" spans="2:11" s="3" customFormat="1">
      <c r="B2745"/>
      <c r="C2745"/>
      <c r="D2745"/>
      <c r="E2745"/>
      <c r="F2745"/>
      <c r="G2745"/>
      <c r="K2745" s="62"/>
    </row>
    <row r="2746" spans="2:11" s="3" customFormat="1">
      <c r="B2746"/>
      <c r="C2746"/>
      <c r="D2746"/>
      <c r="E2746"/>
      <c r="F2746"/>
      <c r="G2746"/>
      <c r="K2746" s="62"/>
    </row>
    <row r="2747" spans="2:11" s="3" customFormat="1">
      <c r="B2747"/>
      <c r="C2747"/>
      <c r="D2747"/>
      <c r="E2747"/>
      <c r="F2747"/>
      <c r="G2747"/>
      <c r="K2747" s="62"/>
    </row>
    <row r="2748" spans="2:11" s="3" customFormat="1">
      <c r="B2748"/>
      <c r="C2748"/>
      <c r="D2748"/>
      <c r="E2748"/>
      <c r="F2748"/>
      <c r="G2748"/>
      <c r="K2748" s="62"/>
    </row>
    <row r="2749" spans="2:11" s="3" customFormat="1">
      <c r="B2749"/>
      <c r="C2749"/>
      <c r="D2749"/>
      <c r="E2749"/>
      <c r="F2749"/>
      <c r="G2749"/>
      <c r="K2749" s="62"/>
    </row>
    <row r="2750" spans="2:11" s="3" customFormat="1">
      <c r="B2750"/>
      <c r="C2750"/>
      <c r="D2750"/>
      <c r="E2750"/>
      <c r="F2750"/>
      <c r="G2750"/>
      <c r="K2750" s="62"/>
    </row>
    <row r="2751" spans="2:11" s="3" customFormat="1">
      <c r="B2751"/>
      <c r="C2751"/>
      <c r="D2751"/>
      <c r="E2751"/>
      <c r="F2751"/>
      <c r="G2751"/>
      <c r="K2751" s="62"/>
    </row>
    <row r="2752" spans="2:11" s="3" customFormat="1">
      <c r="B2752"/>
      <c r="C2752"/>
      <c r="D2752"/>
      <c r="E2752"/>
      <c r="F2752"/>
      <c r="G2752"/>
      <c r="K2752" s="62"/>
    </row>
    <row r="2753" spans="2:11" s="3" customFormat="1">
      <c r="B2753"/>
      <c r="C2753"/>
      <c r="D2753"/>
      <c r="E2753"/>
      <c r="F2753"/>
      <c r="G2753"/>
      <c r="K2753" s="62"/>
    </row>
    <row r="2754" spans="2:11" s="3" customFormat="1">
      <c r="B2754"/>
      <c r="C2754"/>
      <c r="D2754"/>
      <c r="E2754"/>
      <c r="F2754"/>
      <c r="G2754"/>
      <c r="K2754" s="62"/>
    </row>
    <row r="2755" spans="2:11" s="3" customFormat="1">
      <c r="B2755"/>
      <c r="C2755"/>
      <c r="D2755"/>
      <c r="E2755"/>
      <c r="F2755"/>
      <c r="G2755"/>
      <c r="K2755" s="62"/>
    </row>
    <row r="2756" spans="2:11" s="3" customFormat="1">
      <c r="B2756"/>
      <c r="C2756"/>
      <c r="D2756"/>
      <c r="E2756"/>
      <c r="F2756"/>
      <c r="G2756"/>
      <c r="K2756" s="62"/>
    </row>
    <row r="2757" spans="2:11" s="3" customFormat="1">
      <c r="B2757"/>
      <c r="C2757"/>
      <c r="D2757"/>
      <c r="E2757"/>
      <c r="F2757"/>
      <c r="G2757"/>
      <c r="K2757" s="62"/>
    </row>
    <row r="2758" spans="2:11" s="3" customFormat="1">
      <c r="B2758"/>
      <c r="C2758"/>
      <c r="D2758"/>
      <c r="E2758"/>
      <c r="F2758"/>
      <c r="G2758"/>
      <c r="K2758" s="62"/>
    </row>
    <row r="2759" spans="2:11" s="3" customFormat="1">
      <c r="B2759"/>
      <c r="C2759"/>
      <c r="D2759"/>
      <c r="E2759"/>
      <c r="F2759"/>
      <c r="G2759"/>
      <c r="K2759" s="62"/>
    </row>
    <row r="2760" spans="2:11" s="3" customFormat="1">
      <c r="B2760"/>
      <c r="C2760"/>
      <c r="D2760"/>
      <c r="E2760"/>
      <c r="F2760"/>
      <c r="G2760"/>
      <c r="K2760" s="62"/>
    </row>
    <row r="2761" spans="2:11" s="3" customFormat="1">
      <c r="B2761"/>
      <c r="C2761"/>
      <c r="D2761"/>
      <c r="E2761"/>
      <c r="F2761"/>
      <c r="G2761"/>
      <c r="K2761" s="62"/>
    </row>
    <row r="2762" spans="2:11" s="3" customFormat="1">
      <c r="B2762"/>
      <c r="C2762"/>
      <c r="D2762"/>
      <c r="E2762"/>
      <c r="F2762"/>
      <c r="G2762"/>
      <c r="K2762" s="62"/>
    </row>
    <row r="2763" spans="2:11" s="3" customFormat="1">
      <c r="B2763"/>
      <c r="C2763"/>
      <c r="D2763"/>
      <c r="E2763"/>
      <c r="F2763"/>
      <c r="G2763"/>
      <c r="K2763" s="62"/>
    </row>
    <row r="2764" spans="2:11" s="3" customFormat="1">
      <c r="B2764"/>
      <c r="C2764"/>
      <c r="D2764"/>
      <c r="E2764"/>
      <c r="F2764"/>
      <c r="G2764"/>
      <c r="K2764" s="62"/>
    </row>
    <row r="2765" spans="2:11" s="3" customFormat="1">
      <c r="B2765"/>
      <c r="C2765"/>
      <c r="D2765"/>
      <c r="E2765"/>
      <c r="F2765"/>
      <c r="G2765"/>
      <c r="K2765" s="62"/>
    </row>
    <row r="2766" spans="2:11" s="3" customFormat="1">
      <c r="B2766"/>
      <c r="C2766"/>
      <c r="D2766"/>
      <c r="E2766"/>
      <c r="F2766"/>
      <c r="G2766"/>
      <c r="K2766" s="62"/>
    </row>
    <row r="2767" spans="2:11" s="3" customFormat="1">
      <c r="B2767"/>
      <c r="C2767"/>
      <c r="D2767"/>
      <c r="E2767"/>
      <c r="F2767"/>
      <c r="G2767"/>
      <c r="K2767" s="62"/>
    </row>
    <row r="2768" spans="2:11" s="3" customFormat="1">
      <c r="B2768"/>
      <c r="C2768"/>
      <c r="D2768"/>
      <c r="E2768"/>
      <c r="F2768"/>
      <c r="G2768"/>
      <c r="K2768" s="62"/>
    </row>
    <row r="2769" spans="2:11" s="3" customFormat="1">
      <c r="B2769"/>
      <c r="C2769"/>
      <c r="D2769"/>
      <c r="E2769"/>
      <c r="F2769"/>
      <c r="G2769"/>
      <c r="K2769" s="62"/>
    </row>
    <row r="2770" spans="2:11" s="3" customFormat="1">
      <c r="B2770"/>
      <c r="C2770"/>
      <c r="D2770"/>
      <c r="E2770"/>
      <c r="F2770"/>
      <c r="G2770"/>
      <c r="K2770" s="62"/>
    </row>
    <row r="2771" spans="2:11" s="3" customFormat="1">
      <c r="B2771"/>
      <c r="C2771"/>
      <c r="D2771"/>
      <c r="E2771"/>
      <c r="F2771"/>
      <c r="G2771"/>
      <c r="K2771" s="62"/>
    </row>
    <row r="2772" spans="2:11" s="3" customFormat="1">
      <c r="B2772"/>
      <c r="C2772"/>
      <c r="D2772"/>
      <c r="E2772"/>
      <c r="F2772"/>
      <c r="G2772"/>
      <c r="K2772" s="62"/>
    </row>
    <row r="2773" spans="2:11" s="3" customFormat="1">
      <c r="B2773"/>
      <c r="C2773"/>
      <c r="D2773"/>
      <c r="E2773"/>
      <c r="F2773"/>
      <c r="G2773"/>
      <c r="K2773" s="62"/>
    </row>
    <row r="2774" spans="2:11" s="3" customFormat="1">
      <c r="B2774"/>
      <c r="C2774"/>
      <c r="D2774"/>
      <c r="E2774"/>
      <c r="F2774"/>
      <c r="G2774"/>
      <c r="K2774" s="62"/>
    </row>
    <row r="2775" spans="2:11" s="3" customFormat="1">
      <c r="B2775"/>
      <c r="C2775"/>
      <c r="D2775"/>
      <c r="E2775"/>
      <c r="F2775"/>
      <c r="G2775"/>
      <c r="K2775" s="62"/>
    </row>
    <row r="2776" spans="2:11" s="3" customFormat="1">
      <c r="B2776"/>
      <c r="C2776"/>
      <c r="D2776"/>
      <c r="E2776"/>
      <c r="F2776"/>
      <c r="G2776"/>
      <c r="K2776" s="62"/>
    </row>
    <row r="2777" spans="2:11" s="3" customFormat="1">
      <c r="B2777"/>
      <c r="C2777"/>
      <c r="D2777"/>
      <c r="E2777"/>
      <c r="F2777"/>
      <c r="G2777"/>
      <c r="K2777" s="62"/>
    </row>
    <row r="2778" spans="2:11" s="3" customFormat="1">
      <c r="B2778"/>
      <c r="C2778"/>
      <c r="D2778"/>
      <c r="E2778"/>
      <c r="F2778"/>
      <c r="G2778"/>
      <c r="K2778" s="62"/>
    </row>
    <row r="2779" spans="2:11" s="3" customFormat="1">
      <c r="B2779"/>
      <c r="C2779"/>
      <c r="D2779"/>
      <c r="E2779"/>
      <c r="F2779"/>
      <c r="G2779"/>
      <c r="K2779" s="62"/>
    </row>
    <row r="2780" spans="2:11" s="3" customFormat="1">
      <c r="B2780"/>
      <c r="C2780"/>
      <c r="D2780"/>
      <c r="E2780"/>
      <c r="F2780"/>
      <c r="G2780"/>
      <c r="K2780" s="62"/>
    </row>
    <row r="2781" spans="2:11" s="3" customFormat="1">
      <c r="B2781"/>
      <c r="C2781"/>
      <c r="D2781"/>
      <c r="E2781"/>
      <c r="F2781"/>
      <c r="G2781"/>
      <c r="K2781" s="62"/>
    </row>
    <row r="2782" spans="2:11" s="3" customFormat="1">
      <c r="B2782"/>
      <c r="C2782"/>
      <c r="D2782"/>
      <c r="E2782"/>
      <c r="F2782"/>
      <c r="G2782"/>
      <c r="K2782" s="62"/>
    </row>
    <row r="2783" spans="2:11" s="3" customFormat="1">
      <c r="B2783"/>
      <c r="C2783"/>
      <c r="D2783"/>
      <c r="E2783"/>
      <c r="F2783"/>
      <c r="G2783"/>
      <c r="K2783" s="62"/>
    </row>
    <row r="2784" spans="2:11" s="3" customFormat="1">
      <c r="B2784"/>
      <c r="C2784"/>
      <c r="D2784"/>
      <c r="E2784"/>
      <c r="F2784"/>
      <c r="G2784"/>
      <c r="K2784" s="62"/>
    </row>
    <row r="2785" spans="2:11" s="3" customFormat="1">
      <c r="B2785"/>
      <c r="C2785"/>
      <c r="D2785"/>
      <c r="E2785"/>
      <c r="F2785"/>
      <c r="G2785"/>
      <c r="K2785" s="62"/>
    </row>
    <row r="2786" spans="2:11" s="3" customFormat="1">
      <c r="B2786"/>
      <c r="C2786"/>
      <c r="D2786"/>
      <c r="E2786"/>
      <c r="F2786"/>
      <c r="G2786"/>
      <c r="K2786" s="62"/>
    </row>
    <row r="2787" spans="2:11" s="3" customFormat="1">
      <c r="B2787"/>
      <c r="C2787"/>
      <c r="D2787"/>
      <c r="E2787"/>
      <c r="F2787"/>
      <c r="G2787"/>
      <c r="K2787" s="62"/>
    </row>
    <row r="2788" spans="2:11" s="3" customFormat="1">
      <c r="B2788"/>
      <c r="C2788"/>
      <c r="D2788"/>
      <c r="E2788"/>
      <c r="F2788"/>
      <c r="G2788"/>
      <c r="K2788" s="62"/>
    </row>
    <row r="2789" spans="2:11" s="3" customFormat="1">
      <c r="B2789"/>
      <c r="C2789"/>
      <c r="D2789"/>
      <c r="E2789"/>
      <c r="F2789"/>
      <c r="G2789"/>
      <c r="K2789" s="62"/>
    </row>
    <row r="2790" spans="2:11" s="3" customFormat="1">
      <c r="B2790"/>
      <c r="C2790"/>
      <c r="D2790"/>
      <c r="E2790"/>
      <c r="F2790"/>
      <c r="G2790"/>
      <c r="K2790" s="62"/>
    </row>
    <row r="2791" spans="2:11" s="3" customFormat="1">
      <c r="B2791"/>
      <c r="C2791"/>
      <c r="D2791"/>
      <c r="E2791"/>
      <c r="F2791"/>
      <c r="G2791"/>
      <c r="K2791" s="62"/>
    </row>
    <row r="2792" spans="2:11" s="3" customFormat="1">
      <c r="B2792"/>
      <c r="C2792"/>
      <c r="D2792"/>
      <c r="E2792"/>
      <c r="F2792"/>
      <c r="G2792"/>
      <c r="K2792" s="62"/>
    </row>
    <row r="2793" spans="2:11" s="3" customFormat="1">
      <c r="B2793"/>
      <c r="C2793"/>
      <c r="D2793"/>
      <c r="E2793"/>
      <c r="F2793"/>
      <c r="G2793"/>
      <c r="K2793" s="62"/>
    </row>
    <row r="2794" spans="2:11" s="3" customFormat="1">
      <c r="B2794"/>
      <c r="C2794"/>
      <c r="D2794"/>
      <c r="E2794"/>
      <c r="F2794"/>
      <c r="G2794"/>
      <c r="K2794" s="62"/>
    </row>
    <row r="2795" spans="2:11" s="3" customFormat="1">
      <c r="B2795"/>
      <c r="C2795"/>
      <c r="D2795"/>
      <c r="E2795"/>
      <c r="F2795"/>
      <c r="G2795"/>
      <c r="K2795" s="62"/>
    </row>
    <row r="2796" spans="2:11" s="3" customFormat="1">
      <c r="B2796"/>
      <c r="C2796"/>
      <c r="D2796"/>
      <c r="E2796"/>
      <c r="F2796"/>
      <c r="G2796"/>
      <c r="K2796" s="62"/>
    </row>
    <row r="2797" spans="2:11" s="3" customFormat="1">
      <c r="B2797"/>
      <c r="C2797"/>
      <c r="D2797"/>
      <c r="E2797"/>
      <c r="F2797"/>
      <c r="G2797"/>
      <c r="K2797" s="62"/>
    </row>
    <row r="2798" spans="2:11" s="3" customFormat="1">
      <c r="B2798"/>
      <c r="C2798"/>
      <c r="D2798"/>
      <c r="E2798"/>
      <c r="F2798"/>
      <c r="G2798"/>
      <c r="K2798" s="62"/>
    </row>
    <row r="2799" spans="2:11" s="3" customFormat="1">
      <c r="B2799"/>
      <c r="C2799"/>
      <c r="D2799"/>
      <c r="E2799"/>
      <c r="F2799"/>
      <c r="G2799"/>
      <c r="K2799" s="62"/>
    </row>
    <row r="2800" spans="2:11" s="3" customFormat="1">
      <c r="B2800"/>
      <c r="C2800"/>
      <c r="D2800"/>
      <c r="E2800"/>
      <c r="F2800"/>
      <c r="G2800"/>
      <c r="K2800" s="62"/>
    </row>
    <row r="2801" spans="2:11" s="3" customFormat="1">
      <c r="B2801"/>
      <c r="C2801"/>
      <c r="D2801"/>
      <c r="E2801"/>
      <c r="F2801"/>
      <c r="G2801"/>
      <c r="K2801" s="62"/>
    </row>
    <row r="2802" spans="2:11" s="3" customFormat="1">
      <c r="B2802"/>
      <c r="C2802"/>
      <c r="D2802"/>
      <c r="E2802"/>
      <c r="F2802"/>
      <c r="G2802"/>
      <c r="K2802" s="62"/>
    </row>
    <row r="2803" spans="2:11" s="3" customFormat="1">
      <c r="B2803"/>
      <c r="C2803"/>
      <c r="D2803"/>
      <c r="E2803"/>
      <c r="F2803"/>
      <c r="G2803"/>
      <c r="K2803" s="62"/>
    </row>
    <row r="2804" spans="2:11" s="3" customFormat="1">
      <c r="B2804"/>
      <c r="C2804"/>
      <c r="D2804"/>
      <c r="E2804"/>
      <c r="F2804"/>
      <c r="G2804"/>
      <c r="K2804" s="62"/>
    </row>
    <row r="2805" spans="2:11" s="3" customFormat="1">
      <c r="B2805"/>
      <c r="C2805"/>
      <c r="D2805"/>
      <c r="E2805"/>
      <c r="F2805"/>
      <c r="G2805"/>
      <c r="K2805" s="62"/>
    </row>
    <row r="2806" spans="2:11" s="3" customFormat="1">
      <c r="B2806"/>
      <c r="C2806"/>
      <c r="D2806"/>
      <c r="E2806"/>
      <c r="F2806"/>
      <c r="G2806"/>
      <c r="K2806" s="62"/>
    </row>
    <row r="2807" spans="2:11" s="3" customFormat="1">
      <c r="B2807"/>
      <c r="C2807"/>
      <c r="D2807"/>
      <c r="E2807"/>
      <c r="F2807"/>
      <c r="G2807"/>
      <c r="K2807" s="62"/>
    </row>
    <row r="2808" spans="2:11" s="3" customFormat="1">
      <c r="B2808"/>
      <c r="C2808"/>
      <c r="D2808"/>
      <c r="E2808"/>
      <c r="F2808"/>
      <c r="G2808"/>
      <c r="K2808" s="62"/>
    </row>
    <row r="2809" spans="2:11" s="3" customFormat="1">
      <c r="B2809"/>
      <c r="C2809"/>
      <c r="D2809"/>
      <c r="E2809"/>
      <c r="F2809"/>
      <c r="G2809"/>
      <c r="K2809" s="62"/>
    </row>
    <row r="2810" spans="2:11" s="3" customFormat="1">
      <c r="B2810"/>
      <c r="C2810"/>
      <c r="D2810"/>
      <c r="E2810"/>
      <c r="F2810"/>
      <c r="G2810"/>
      <c r="K2810" s="62"/>
    </row>
    <row r="2811" spans="2:11" s="3" customFormat="1">
      <c r="B2811"/>
      <c r="C2811"/>
      <c r="D2811"/>
      <c r="E2811"/>
      <c r="F2811"/>
      <c r="G2811"/>
      <c r="K2811" s="62"/>
    </row>
    <row r="2812" spans="2:11" s="3" customFormat="1">
      <c r="B2812"/>
      <c r="C2812"/>
      <c r="D2812"/>
      <c r="E2812"/>
      <c r="F2812"/>
      <c r="G2812"/>
      <c r="K2812" s="62"/>
    </row>
    <row r="2813" spans="2:11" s="3" customFormat="1">
      <c r="B2813"/>
      <c r="C2813"/>
      <c r="D2813"/>
      <c r="E2813"/>
      <c r="F2813"/>
      <c r="G2813"/>
      <c r="K2813" s="62"/>
    </row>
    <row r="2814" spans="2:11" s="3" customFormat="1">
      <c r="B2814"/>
      <c r="C2814"/>
      <c r="D2814"/>
      <c r="E2814"/>
      <c r="F2814"/>
      <c r="G2814"/>
      <c r="K2814" s="62"/>
    </row>
    <row r="2815" spans="2:11" s="3" customFormat="1">
      <c r="B2815"/>
      <c r="C2815"/>
      <c r="D2815"/>
      <c r="E2815"/>
      <c r="F2815"/>
      <c r="G2815"/>
      <c r="K2815" s="62"/>
    </row>
    <row r="2816" spans="2:11" s="3" customFormat="1">
      <c r="B2816"/>
      <c r="C2816"/>
      <c r="D2816"/>
      <c r="E2816"/>
      <c r="F2816"/>
      <c r="G2816"/>
      <c r="K2816" s="62"/>
    </row>
    <row r="2817" spans="2:11" s="3" customFormat="1">
      <c r="B2817"/>
      <c r="C2817"/>
      <c r="D2817"/>
      <c r="E2817"/>
      <c r="F2817"/>
      <c r="G2817"/>
      <c r="K2817" s="62"/>
    </row>
    <row r="2818" spans="2:11" s="3" customFormat="1">
      <c r="B2818"/>
      <c r="C2818"/>
      <c r="D2818"/>
      <c r="E2818"/>
      <c r="F2818"/>
      <c r="G2818"/>
      <c r="K2818" s="62"/>
    </row>
    <row r="2819" spans="2:11" s="3" customFormat="1">
      <c r="B2819"/>
      <c r="C2819"/>
      <c r="D2819"/>
      <c r="E2819"/>
      <c r="F2819"/>
      <c r="G2819"/>
      <c r="K2819" s="62"/>
    </row>
    <row r="2820" spans="2:11" s="3" customFormat="1">
      <c r="B2820"/>
      <c r="C2820"/>
      <c r="D2820"/>
      <c r="E2820"/>
      <c r="F2820"/>
      <c r="G2820"/>
      <c r="K2820" s="62"/>
    </row>
    <row r="2821" spans="2:11" s="3" customFormat="1">
      <c r="B2821"/>
      <c r="C2821"/>
      <c r="D2821"/>
      <c r="E2821"/>
      <c r="F2821"/>
      <c r="G2821"/>
      <c r="K2821" s="62"/>
    </row>
    <row r="2822" spans="2:11" s="3" customFormat="1">
      <c r="B2822"/>
      <c r="C2822"/>
      <c r="D2822"/>
      <c r="E2822"/>
      <c r="F2822"/>
      <c r="G2822"/>
      <c r="K2822" s="62"/>
    </row>
    <row r="2823" spans="2:11" s="3" customFormat="1">
      <c r="B2823"/>
      <c r="C2823"/>
      <c r="D2823"/>
      <c r="E2823"/>
      <c r="F2823"/>
      <c r="G2823"/>
      <c r="K2823" s="62"/>
    </row>
    <row r="2824" spans="2:11" s="3" customFormat="1">
      <c r="B2824"/>
      <c r="C2824"/>
      <c r="D2824"/>
      <c r="E2824"/>
      <c r="F2824"/>
      <c r="G2824"/>
      <c r="K2824" s="62"/>
    </row>
    <row r="2825" spans="2:11" s="3" customFormat="1">
      <c r="B2825"/>
      <c r="C2825"/>
      <c r="D2825"/>
      <c r="E2825"/>
      <c r="F2825"/>
      <c r="G2825"/>
      <c r="K2825" s="62"/>
    </row>
    <row r="2826" spans="2:11" s="3" customFormat="1">
      <c r="B2826"/>
      <c r="C2826"/>
      <c r="D2826"/>
      <c r="E2826"/>
      <c r="F2826"/>
      <c r="G2826"/>
      <c r="K2826" s="62"/>
    </row>
    <row r="2827" spans="2:11" s="3" customFormat="1">
      <c r="B2827"/>
      <c r="C2827"/>
      <c r="D2827"/>
      <c r="E2827"/>
      <c r="F2827"/>
      <c r="G2827"/>
      <c r="K2827" s="62"/>
    </row>
    <row r="2828" spans="2:11" s="3" customFormat="1">
      <c r="B2828"/>
      <c r="C2828"/>
      <c r="D2828"/>
      <c r="E2828"/>
      <c r="F2828"/>
      <c r="G2828"/>
      <c r="K2828" s="62"/>
    </row>
    <row r="2829" spans="2:11" s="3" customFormat="1">
      <c r="B2829"/>
      <c r="C2829"/>
      <c r="D2829"/>
      <c r="E2829"/>
      <c r="F2829"/>
      <c r="G2829"/>
      <c r="K2829" s="62"/>
    </row>
    <row r="2830" spans="2:11" s="3" customFormat="1">
      <c r="B2830"/>
      <c r="C2830"/>
      <c r="D2830"/>
      <c r="E2830"/>
      <c r="F2830"/>
      <c r="G2830"/>
      <c r="K2830" s="62"/>
    </row>
    <row r="2831" spans="2:11" s="3" customFormat="1">
      <c r="B2831"/>
      <c r="C2831"/>
      <c r="D2831"/>
      <c r="E2831"/>
      <c r="F2831"/>
      <c r="G2831"/>
      <c r="K2831" s="62"/>
    </row>
    <row r="2832" spans="2:11" s="3" customFormat="1">
      <c r="B2832"/>
      <c r="C2832"/>
      <c r="D2832"/>
      <c r="E2832"/>
      <c r="F2832"/>
      <c r="G2832"/>
      <c r="K2832" s="62"/>
    </row>
    <row r="2833" spans="2:11" s="3" customFormat="1">
      <c r="B2833"/>
      <c r="C2833"/>
      <c r="D2833"/>
      <c r="E2833"/>
      <c r="F2833"/>
      <c r="G2833"/>
      <c r="K2833" s="62"/>
    </row>
    <row r="2834" spans="2:11" s="3" customFormat="1">
      <c r="B2834"/>
      <c r="C2834"/>
      <c r="D2834"/>
      <c r="E2834"/>
      <c r="F2834"/>
      <c r="G2834"/>
      <c r="K2834" s="62"/>
    </row>
    <row r="2835" spans="2:11" s="3" customFormat="1">
      <c r="B2835"/>
      <c r="C2835"/>
      <c r="D2835"/>
      <c r="E2835"/>
      <c r="F2835"/>
      <c r="G2835"/>
      <c r="K2835" s="62"/>
    </row>
    <row r="2836" spans="2:11" s="3" customFormat="1">
      <c r="B2836"/>
      <c r="C2836"/>
      <c r="D2836"/>
      <c r="E2836"/>
      <c r="F2836"/>
      <c r="G2836"/>
      <c r="K2836" s="62"/>
    </row>
    <row r="2837" spans="2:11" s="3" customFormat="1">
      <c r="B2837"/>
      <c r="C2837"/>
      <c r="D2837"/>
      <c r="E2837"/>
      <c r="F2837"/>
      <c r="G2837"/>
      <c r="K2837" s="62"/>
    </row>
    <row r="2838" spans="2:11" s="3" customFormat="1">
      <c r="B2838"/>
      <c r="C2838"/>
      <c r="D2838"/>
      <c r="E2838"/>
      <c r="F2838"/>
      <c r="G2838"/>
      <c r="K2838" s="62"/>
    </row>
    <row r="2839" spans="2:11" s="3" customFormat="1">
      <c r="B2839"/>
      <c r="C2839"/>
      <c r="D2839"/>
      <c r="E2839"/>
      <c r="F2839"/>
      <c r="G2839"/>
      <c r="K2839" s="62"/>
    </row>
    <row r="2840" spans="2:11" s="3" customFormat="1">
      <c r="B2840"/>
      <c r="C2840"/>
      <c r="D2840"/>
      <c r="E2840"/>
      <c r="F2840"/>
      <c r="G2840"/>
      <c r="K2840" s="62"/>
    </row>
    <row r="2841" spans="2:11" s="3" customFormat="1">
      <c r="B2841"/>
      <c r="C2841"/>
      <c r="D2841"/>
      <c r="E2841"/>
      <c r="F2841"/>
      <c r="G2841"/>
      <c r="K2841" s="62"/>
    </row>
    <row r="2842" spans="2:11" s="3" customFormat="1">
      <c r="B2842"/>
      <c r="C2842"/>
      <c r="D2842"/>
      <c r="E2842"/>
      <c r="F2842"/>
      <c r="G2842"/>
      <c r="K2842" s="62"/>
    </row>
    <row r="2843" spans="2:11" s="3" customFormat="1">
      <c r="B2843"/>
      <c r="C2843"/>
      <c r="D2843"/>
      <c r="E2843"/>
      <c r="F2843"/>
      <c r="G2843"/>
      <c r="K2843" s="62"/>
    </row>
    <row r="2844" spans="2:11" s="3" customFormat="1">
      <c r="B2844"/>
      <c r="C2844"/>
      <c r="D2844"/>
      <c r="E2844"/>
      <c r="F2844"/>
      <c r="G2844"/>
      <c r="K2844" s="62"/>
    </row>
    <row r="2845" spans="2:11" s="3" customFormat="1">
      <c r="B2845"/>
      <c r="C2845"/>
      <c r="D2845"/>
      <c r="E2845"/>
      <c r="F2845"/>
      <c r="G2845"/>
      <c r="K2845" s="62"/>
    </row>
    <row r="2846" spans="2:11" s="3" customFormat="1">
      <c r="B2846"/>
      <c r="C2846"/>
      <c r="D2846"/>
      <c r="E2846"/>
      <c r="F2846"/>
      <c r="G2846"/>
      <c r="K2846" s="62"/>
    </row>
    <row r="2847" spans="2:11" s="3" customFormat="1">
      <c r="B2847"/>
      <c r="C2847"/>
      <c r="D2847"/>
      <c r="E2847"/>
      <c r="F2847"/>
      <c r="G2847"/>
      <c r="K2847" s="62"/>
    </row>
    <row r="2848" spans="2:11" s="3" customFormat="1">
      <c r="B2848"/>
      <c r="C2848"/>
      <c r="D2848"/>
      <c r="E2848"/>
      <c r="F2848"/>
      <c r="G2848"/>
      <c r="K2848" s="62"/>
    </row>
    <row r="2849" spans="2:11" s="3" customFormat="1">
      <c r="B2849"/>
      <c r="C2849"/>
      <c r="D2849"/>
      <c r="E2849"/>
      <c r="F2849"/>
      <c r="G2849"/>
      <c r="K2849" s="62"/>
    </row>
    <row r="2850" spans="2:11" s="3" customFormat="1">
      <c r="B2850"/>
      <c r="C2850"/>
      <c r="D2850"/>
      <c r="E2850"/>
      <c r="F2850"/>
      <c r="G2850"/>
      <c r="K2850" s="62"/>
    </row>
    <row r="2851" spans="2:11" s="3" customFormat="1">
      <c r="B2851"/>
      <c r="C2851"/>
      <c r="D2851"/>
      <c r="E2851"/>
      <c r="F2851"/>
      <c r="G2851"/>
      <c r="K2851" s="62"/>
    </row>
    <row r="2852" spans="2:11" s="3" customFormat="1">
      <c r="B2852"/>
      <c r="C2852"/>
      <c r="D2852"/>
      <c r="E2852"/>
      <c r="F2852"/>
      <c r="G2852"/>
      <c r="K2852" s="62"/>
    </row>
    <row r="2853" spans="2:11" s="3" customFormat="1">
      <c r="B2853"/>
      <c r="C2853"/>
      <c r="D2853"/>
      <c r="E2853"/>
      <c r="F2853"/>
      <c r="G2853"/>
      <c r="K2853" s="62"/>
    </row>
    <row r="2854" spans="2:11" s="3" customFormat="1">
      <c r="B2854"/>
      <c r="C2854"/>
      <c r="D2854"/>
      <c r="E2854"/>
      <c r="F2854"/>
      <c r="G2854"/>
      <c r="K2854" s="62"/>
    </row>
    <row r="2855" spans="2:11" s="3" customFormat="1">
      <c r="B2855"/>
      <c r="C2855"/>
      <c r="D2855"/>
      <c r="E2855"/>
      <c r="F2855"/>
      <c r="G2855"/>
      <c r="K2855" s="62"/>
    </row>
    <row r="2856" spans="2:11" s="3" customFormat="1">
      <c r="B2856"/>
      <c r="C2856"/>
      <c r="D2856"/>
      <c r="E2856"/>
      <c r="F2856"/>
      <c r="G2856"/>
      <c r="K2856" s="62"/>
    </row>
    <row r="2857" spans="2:11" s="3" customFormat="1">
      <c r="B2857"/>
      <c r="C2857"/>
      <c r="D2857"/>
      <c r="E2857"/>
      <c r="F2857"/>
      <c r="G2857"/>
      <c r="K2857" s="62"/>
    </row>
    <row r="2858" spans="2:11" s="3" customFormat="1">
      <c r="B2858"/>
      <c r="C2858"/>
      <c r="D2858"/>
      <c r="E2858"/>
      <c r="F2858"/>
      <c r="G2858"/>
      <c r="K2858" s="62"/>
    </row>
    <row r="2859" spans="2:11" s="3" customFormat="1">
      <c r="B2859"/>
      <c r="C2859"/>
      <c r="D2859"/>
      <c r="E2859"/>
      <c r="F2859"/>
      <c r="G2859"/>
      <c r="K2859" s="62"/>
    </row>
    <row r="2860" spans="2:11" s="3" customFormat="1">
      <c r="B2860"/>
      <c r="C2860"/>
      <c r="D2860"/>
      <c r="E2860"/>
      <c r="F2860"/>
      <c r="G2860"/>
      <c r="K2860" s="62"/>
    </row>
    <row r="2861" spans="2:11" s="3" customFormat="1">
      <c r="B2861"/>
      <c r="C2861"/>
      <c r="D2861"/>
      <c r="E2861"/>
      <c r="F2861"/>
      <c r="G2861"/>
      <c r="K2861" s="62"/>
    </row>
    <row r="2862" spans="2:11" s="3" customFormat="1">
      <c r="B2862"/>
      <c r="C2862"/>
      <c r="D2862"/>
      <c r="E2862"/>
      <c r="F2862"/>
      <c r="G2862"/>
      <c r="K2862" s="62"/>
    </row>
    <row r="2863" spans="2:11" s="3" customFormat="1">
      <c r="B2863"/>
      <c r="C2863"/>
      <c r="D2863"/>
      <c r="E2863"/>
      <c r="F2863"/>
      <c r="G2863"/>
      <c r="K2863" s="62"/>
    </row>
    <row r="2864" spans="2:11" s="3" customFormat="1">
      <c r="B2864"/>
      <c r="C2864"/>
      <c r="D2864"/>
      <c r="E2864"/>
      <c r="F2864"/>
      <c r="G2864"/>
      <c r="K2864" s="62"/>
    </row>
    <row r="2865" spans="2:11" s="3" customFormat="1">
      <c r="B2865"/>
      <c r="C2865"/>
      <c r="D2865"/>
      <c r="E2865"/>
      <c r="F2865"/>
      <c r="G2865"/>
      <c r="K2865" s="62"/>
    </row>
    <row r="2866" spans="2:11" s="3" customFormat="1">
      <c r="B2866"/>
      <c r="C2866"/>
      <c r="D2866"/>
      <c r="E2866"/>
      <c r="F2866"/>
      <c r="G2866"/>
      <c r="K2866" s="62"/>
    </row>
    <row r="2867" spans="2:11" s="3" customFormat="1">
      <c r="B2867"/>
      <c r="C2867"/>
      <c r="D2867"/>
      <c r="E2867"/>
      <c r="F2867"/>
      <c r="G2867"/>
      <c r="K2867" s="62"/>
    </row>
    <row r="2868" spans="2:11" s="3" customFormat="1">
      <c r="B2868"/>
      <c r="C2868"/>
      <c r="D2868"/>
      <c r="E2868"/>
      <c r="F2868"/>
      <c r="G2868"/>
      <c r="K2868" s="62"/>
    </row>
    <row r="2869" spans="2:11" s="3" customFormat="1">
      <c r="B2869"/>
      <c r="C2869"/>
      <c r="D2869"/>
      <c r="E2869"/>
      <c r="F2869"/>
      <c r="G2869"/>
      <c r="K2869" s="62"/>
    </row>
    <row r="2870" spans="2:11" s="3" customFormat="1">
      <c r="B2870"/>
      <c r="C2870"/>
      <c r="D2870"/>
      <c r="E2870"/>
      <c r="F2870"/>
      <c r="G2870"/>
      <c r="K2870" s="62"/>
    </row>
    <row r="2871" spans="2:11" s="3" customFormat="1">
      <c r="B2871"/>
      <c r="C2871"/>
      <c r="D2871"/>
      <c r="E2871"/>
      <c r="F2871"/>
      <c r="G2871"/>
      <c r="K2871" s="62"/>
    </row>
    <row r="2872" spans="2:11" s="3" customFormat="1">
      <c r="B2872"/>
      <c r="C2872"/>
      <c r="D2872"/>
      <c r="E2872"/>
      <c r="F2872"/>
      <c r="G2872"/>
      <c r="K2872" s="62"/>
    </row>
    <row r="2873" spans="2:11" s="3" customFormat="1">
      <c r="B2873"/>
      <c r="C2873"/>
      <c r="D2873"/>
      <c r="E2873"/>
      <c r="F2873"/>
      <c r="G2873"/>
      <c r="K2873" s="62"/>
    </row>
    <row r="2874" spans="2:11" s="3" customFormat="1">
      <c r="B2874"/>
      <c r="C2874"/>
      <c r="D2874"/>
      <c r="E2874"/>
      <c r="F2874"/>
      <c r="G2874"/>
      <c r="K2874" s="62"/>
    </row>
    <row r="2875" spans="2:11" s="3" customFormat="1">
      <c r="B2875"/>
      <c r="C2875"/>
      <c r="D2875"/>
      <c r="E2875"/>
      <c r="F2875"/>
      <c r="G2875"/>
      <c r="K2875" s="62"/>
    </row>
    <row r="2876" spans="2:11" s="3" customFormat="1">
      <c r="B2876"/>
      <c r="C2876"/>
      <c r="D2876"/>
      <c r="E2876"/>
      <c r="F2876"/>
      <c r="G2876"/>
      <c r="K2876" s="62"/>
    </row>
    <row r="2877" spans="2:11" s="3" customFormat="1">
      <c r="B2877"/>
      <c r="C2877"/>
      <c r="D2877"/>
      <c r="E2877"/>
      <c r="F2877"/>
      <c r="G2877"/>
      <c r="K2877" s="62"/>
    </row>
    <row r="2878" spans="2:11" s="3" customFormat="1">
      <c r="B2878"/>
      <c r="C2878"/>
      <c r="D2878"/>
      <c r="E2878"/>
      <c r="F2878"/>
      <c r="G2878"/>
      <c r="K2878" s="62"/>
    </row>
    <row r="2879" spans="2:11" s="3" customFormat="1">
      <c r="B2879"/>
      <c r="C2879"/>
      <c r="D2879"/>
      <c r="E2879"/>
      <c r="F2879"/>
      <c r="G2879"/>
      <c r="K2879" s="62"/>
    </row>
    <row r="2880" spans="2:11" s="3" customFormat="1">
      <c r="B2880"/>
      <c r="C2880"/>
      <c r="D2880"/>
      <c r="E2880"/>
      <c r="F2880"/>
      <c r="G2880"/>
      <c r="K2880" s="62"/>
    </row>
    <row r="2881" spans="2:11" s="3" customFormat="1">
      <c r="B2881"/>
      <c r="C2881"/>
      <c r="D2881"/>
      <c r="E2881"/>
      <c r="F2881"/>
      <c r="G2881"/>
      <c r="K2881" s="62"/>
    </row>
    <row r="2882" spans="2:11" s="3" customFormat="1">
      <c r="B2882"/>
      <c r="C2882"/>
      <c r="D2882"/>
      <c r="E2882"/>
      <c r="F2882"/>
      <c r="G2882"/>
      <c r="K2882" s="62"/>
    </row>
    <row r="2883" spans="2:11" s="3" customFormat="1">
      <c r="B2883"/>
      <c r="C2883"/>
      <c r="D2883"/>
      <c r="E2883"/>
      <c r="F2883"/>
      <c r="G2883"/>
      <c r="K2883" s="62"/>
    </row>
    <row r="2884" spans="2:11" s="3" customFormat="1">
      <c r="B2884"/>
      <c r="C2884"/>
      <c r="D2884"/>
      <c r="E2884"/>
      <c r="F2884"/>
      <c r="G2884"/>
      <c r="K2884" s="62"/>
    </row>
    <row r="2885" spans="2:11" s="3" customFormat="1">
      <c r="B2885"/>
      <c r="C2885"/>
      <c r="D2885"/>
      <c r="E2885"/>
      <c r="F2885"/>
      <c r="G2885"/>
      <c r="K2885" s="62"/>
    </row>
    <row r="2886" spans="2:11" s="3" customFormat="1">
      <c r="B2886"/>
      <c r="C2886"/>
      <c r="D2886"/>
      <c r="E2886"/>
      <c r="F2886"/>
      <c r="G2886"/>
      <c r="K2886" s="62"/>
    </row>
    <row r="2887" spans="2:11" s="3" customFormat="1">
      <c r="B2887"/>
      <c r="C2887"/>
      <c r="D2887"/>
      <c r="E2887"/>
      <c r="F2887"/>
      <c r="G2887"/>
      <c r="K2887" s="62"/>
    </row>
    <row r="2888" spans="2:11" s="3" customFormat="1">
      <c r="B2888"/>
      <c r="C2888"/>
      <c r="D2888"/>
      <c r="E2888"/>
      <c r="F2888"/>
      <c r="G2888"/>
      <c r="K2888" s="62"/>
    </row>
    <row r="2889" spans="2:11" s="3" customFormat="1">
      <c r="B2889"/>
      <c r="C2889"/>
      <c r="D2889"/>
      <c r="E2889"/>
      <c r="F2889"/>
      <c r="G2889"/>
      <c r="K2889" s="62"/>
    </row>
    <row r="2890" spans="2:11" s="3" customFormat="1">
      <c r="B2890"/>
      <c r="C2890"/>
      <c r="D2890"/>
      <c r="E2890"/>
      <c r="F2890"/>
      <c r="G2890"/>
      <c r="K2890" s="62"/>
    </row>
    <row r="2891" spans="2:11" s="3" customFormat="1">
      <c r="B2891"/>
      <c r="C2891"/>
      <c r="D2891"/>
      <c r="E2891"/>
      <c r="F2891"/>
      <c r="G2891"/>
      <c r="K2891" s="62"/>
    </row>
    <row r="2892" spans="2:11" s="3" customFormat="1">
      <c r="B2892"/>
      <c r="C2892"/>
      <c r="D2892"/>
      <c r="E2892"/>
      <c r="F2892"/>
      <c r="G2892"/>
      <c r="K2892" s="62"/>
    </row>
    <row r="2893" spans="2:11" s="3" customFormat="1">
      <c r="B2893"/>
      <c r="C2893"/>
      <c r="D2893"/>
      <c r="E2893"/>
      <c r="F2893"/>
      <c r="G2893"/>
      <c r="K2893" s="62"/>
    </row>
    <row r="2894" spans="2:11" s="3" customFormat="1">
      <c r="B2894"/>
      <c r="C2894"/>
      <c r="D2894"/>
      <c r="E2894"/>
      <c r="F2894"/>
      <c r="G2894"/>
      <c r="K2894" s="62"/>
    </row>
    <row r="2895" spans="2:11" s="3" customFormat="1">
      <c r="B2895"/>
      <c r="C2895"/>
      <c r="D2895"/>
      <c r="E2895"/>
      <c r="F2895"/>
      <c r="G2895"/>
      <c r="K2895" s="62"/>
    </row>
    <row r="2896" spans="2:11" s="3" customFormat="1">
      <c r="B2896"/>
      <c r="C2896"/>
      <c r="D2896"/>
      <c r="E2896"/>
      <c r="F2896"/>
      <c r="G2896"/>
      <c r="K2896" s="62"/>
    </row>
    <row r="2897" spans="2:11" s="3" customFormat="1">
      <c r="B2897"/>
      <c r="C2897"/>
      <c r="D2897"/>
      <c r="E2897"/>
      <c r="F2897"/>
      <c r="G2897"/>
      <c r="K2897" s="62"/>
    </row>
    <row r="2898" spans="2:11" s="3" customFormat="1">
      <c r="B2898"/>
      <c r="C2898"/>
      <c r="D2898"/>
      <c r="E2898"/>
      <c r="F2898"/>
      <c r="G2898"/>
      <c r="K2898" s="62"/>
    </row>
    <row r="2899" spans="2:11" s="3" customFormat="1">
      <c r="B2899"/>
      <c r="C2899"/>
      <c r="D2899"/>
      <c r="E2899"/>
      <c r="F2899"/>
      <c r="G2899"/>
      <c r="K2899" s="62"/>
    </row>
    <row r="2900" spans="2:11" s="3" customFormat="1">
      <c r="B2900"/>
      <c r="C2900"/>
      <c r="D2900"/>
      <c r="E2900"/>
      <c r="F2900"/>
      <c r="G2900"/>
      <c r="K2900" s="62"/>
    </row>
    <row r="2901" spans="2:11" s="3" customFormat="1">
      <c r="B2901"/>
      <c r="C2901"/>
      <c r="D2901"/>
      <c r="E2901"/>
      <c r="F2901"/>
      <c r="G2901"/>
      <c r="K2901" s="62"/>
    </row>
    <row r="2902" spans="2:11" s="3" customFormat="1">
      <c r="B2902"/>
      <c r="C2902"/>
      <c r="D2902"/>
      <c r="E2902"/>
      <c r="F2902"/>
      <c r="G2902"/>
      <c r="K2902" s="62"/>
    </row>
    <row r="2903" spans="2:11" s="3" customFormat="1">
      <c r="B2903"/>
      <c r="C2903"/>
      <c r="D2903"/>
      <c r="E2903"/>
      <c r="F2903"/>
      <c r="G2903"/>
      <c r="K2903" s="62"/>
    </row>
    <row r="2904" spans="2:11" s="3" customFormat="1">
      <c r="B2904"/>
      <c r="C2904"/>
      <c r="D2904"/>
      <c r="E2904"/>
      <c r="F2904"/>
      <c r="G2904"/>
      <c r="K2904" s="62"/>
    </row>
    <row r="2905" spans="2:11" s="3" customFormat="1">
      <c r="B2905"/>
      <c r="C2905"/>
      <c r="D2905"/>
      <c r="E2905"/>
      <c r="F2905"/>
      <c r="G2905"/>
      <c r="K2905" s="62"/>
    </row>
    <row r="2906" spans="2:11" s="3" customFormat="1">
      <c r="B2906"/>
      <c r="C2906"/>
      <c r="D2906"/>
      <c r="E2906"/>
      <c r="F2906"/>
      <c r="G2906"/>
      <c r="K2906" s="62"/>
    </row>
    <row r="2907" spans="2:11" s="3" customFormat="1">
      <c r="B2907"/>
      <c r="C2907"/>
      <c r="D2907"/>
      <c r="E2907"/>
      <c r="F2907"/>
      <c r="G2907"/>
      <c r="K2907" s="62"/>
    </row>
    <row r="2908" spans="2:11" s="3" customFormat="1">
      <c r="B2908"/>
      <c r="C2908"/>
      <c r="D2908"/>
      <c r="E2908"/>
      <c r="F2908"/>
      <c r="G2908"/>
      <c r="K2908" s="62"/>
    </row>
    <row r="2909" spans="2:11" s="3" customFormat="1">
      <c r="B2909"/>
      <c r="C2909"/>
      <c r="D2909"/>
      <c r="E2909"/>
      <c r="F2909"/>
      <c r="G2909"/>
      <c r="K2909" s="62"/>
    </row>
    <row r="2910" spans="2:11" s="3" customFormat="1">
      <c r="B2910"/>
      <c r="C2910"/>
      <c r="D2910"/>
      <c r="E2910"/>
      <c r="F2910"/>
      <c r="G2910"/>
      <c r="K2910" s="62"/>
    </row>
    <row r="2911" spans="2:11" s="3" customFormat="1">
      <c r="B2911"/>
      <c r="C2911"/>
      <c r="D2911"/>
      <c r="E2911"/>
      <c r="F2911"/>
      <c r="G2911"/>
      <c r="K2911" s="62"/>
    </row>
    <row r="2912" spans="2:11" s="3" customFormat="1">
      <c r="B2912"/>
      <c r="C2912"/>
      <c r="D2912"/>
      <c r="E2912"/>
      <c r="F2912"/>
      <c r="G2912"/>
      <c r="K2912" s="62"/>
    </row>
    <row r="2913" spans="2:11" s="3" customFormat="1">
      <c r="B2913"/>
      <c r="C2913"/>
      <c r="D2913"/>
      <c r="E2913"/>
      <c r="F2913"/>
      <c r="G2913"/>
      <c r="K2913" s="62"/>
    </row>
    <row r="2914" spans="2:11" s="3" customFormat="1">
      <c r="B2914"/>
      <c r="C2914"/>
      <c r="D2914"/>
      <c r="E2914"/>
      <c r="F2914"/>
      <c r="G2914"/>
      <c r="K2914" s="62"/>
    </row>
    <row r="2915" spans="2:11" s="3" customFormat="1">
      <c r="B2915"/>
      <c r="C2915"/>
      <c r="D2915"/>
      <c r="E2915"/>
      <c r="F2915"/>
      <c r="G2915"/>
      <c r="K2915" s="62"/>
    </row>
    <row r="2916" spans="2:11" s="3" customFormat="1">
      <c r="B2916"/>
      <c r="C2916"/>
      <c r="D2916"/>
      <c r="E2916"/>
      <c r="F2916"/>
      <c r="G2916"/>
      <c r="K2916" s="62"/>
    </row>
    <row r="2917" spans="2:11" s="3" customFormat="1">
      <c r="B2917"/>
      <c r="C2917"/>
      <c r="D2917"/>
      <c r="E2917"/>
      <c r="F2917"/>
      <c r="G2917"/>
      <c r="K2917" s="62"/>
    </row>
    <row r="2918" spans="2:11" s="3" customFormat="1">
      <c r="B2918"/>
      <c r="C2918"/>
      <c r="D2918"/>
      <c r="E2918"/>
      <c r="F2918"/>
      <c r="G2918"/>
      <c r="K2918" s="62"/>
    </row>
    <row r="2919" spans="2:11" s="3" customFormat="1">
      <c r="B2919"/>
      <c r="C2919"/>
      <c r="D2919"/>
      <c r="E2919"/>
      <c r="F2919"/>
      <c r="G2919"/>
      <c r="K2919" s="62"/>
    </row>
    <row r="2920" spans="2:11" s="3" customFormat="1">
      <c r="B2920"/>
      <c r="C2920"/>
      <c r="D2920"/>
      <c r="E2920"/>
      <c r="F2920"/>
      <c r="G2920"/>
      <c r="K2920" s="62"/>
    </row>
    <row r="2921" spans="2:11" s="3" customFormat="1">
      <c r="B2921"/>
      <c r="C2921"/>
      <c r="D2921"/>
      <c r="E2921"/>
      <c r="F2921"/>
      <c r="G2921"/>
      <c r="K2921" s="62"/>
    </row>
    <row r="2922" spans="2:11" s="3" customFormat="1">
      <c r="B2922"/>
      <c r="C2922"/>
      <c r="D2922"/>
      <c r="E2922"/>
      <c r="F2922"/>
      <c r="G2922"/>
      <c r="K2922" s="62"/>
    </row>
    <row r="2923" spans="2:11" s="3" customFormat="1">
      <c r="B2923"/>
      <c r="C2923"/>
      <c r="D2923"/>
      <c r="E2923"/>
      <c r="F2923"/>
      <c r="G2923"/>
      <c r="K2923" s="62"/>
    </row>
    <row r="2924" spans="2:11" s="3" customFormat="1">
      <c r="B2924"/>
      <c r="C2924"/>
      <c r="D2924"/>
      <c r="E2924"/>
      <c r="F2924"/>
      <c r="G2924"/>
      <c r="K2924" s="62"/>
    </row>
    <row r="2925" spans="2:11" s="3" customFormat="1">
      <c r="B2925"/>
      <c r="C2925"/>
      <c r="D2925"/>
      <c r="E2925"/>
      <c r="F2925"/>
      <c r="G2925"/>
      <c r="K2925" s="62"/>
    </row>
    <row r="2926" spans="2:11" s="3" customFormat="1">
      <c r="B2926"/>
      <c r="C2926"/>
      <c r="D2926"/>
      <c r="E2926"/>
      <c r="F2926"/>
      <c r="G2926"/>
      <c r="K2926" s="62"/>
    </row>
    <row r="2927" spans="2:11" s="3" customFormat="1">
      <c r="B2927"/>
      <c r="C2927"/>
      <c r="D2927"/>
      <c r="E2927"/>
      <c r="F2927"/>
      <c r="G2927"/>
      <c r="K2927" s="62"/>
    </row>
    <row r="2928" spans="2:11" s="3" customFormat="1">
      <c r="B2928"/>
      <c r="C2928"/>
      <c r="D2928"/>
      <c r="E2928"/>
      <c r="F2928"/>
      <c r="G2928"/>
      <c r="K2928" s="62"/>
    </row>
    <row r="2929" spans="2:11" s="3" customFormat="1">
      <c r="B2929"/>
      <c r="C2929"/>
      <c r="D2929"/>
      <c r="E2929"/>
      <c r="F2929"/>
      <c r="G2929"/>
      <c r="K2929" s="62"/>
    </row>
    <row r="2930" spans="2:11" s="3" customFormat="1">
      <c r="B2930"/>
      <c r="C2930"/>
      <c r="D2930"/>
      <c r="E2930"/>
      <c r="F2930"/>
      <c r="G2930"/>
      <c r="K2930" s="62"/>
    </row>
    <row r="2931" spans="2:11" s="3" customFormat="1">
      <c r="B2931"/>
      <c r="C2931"/>
      <c r="D2931"/>
      <c r="E2931"/>
      <c r="F2931"/>
      <c r="G2931"/>
      <c r="K2931" s="62"/>
    </row>
    <row r="2932" spans="2:11" s="3" customFormat="1">
      <c r="B2932"/>
      <c r="C2932"/>
      <c r="D2932"/>
      <c r="E2932"/>
      <c r="F2932"/>
      <c r="G2932"/>
      <c r="K2932" s="62"/>
    </row>
    <row r="2933" spans="2:11" s="3" customFormat="1">
      <c r="B2933"/>
      <c r="C2933"/>
      <c r="D2933"/>
      <c r="E2933"/>
      <c r="F2933"/>
      <c r="G2933"/>
      <c r="K2933" s="62"/>
    </row>
    <row r="2934" spans="2:11" s="3" customFormat="1">
      <c r="B2934"/>
      <c r="C2934"/>
      <c r="D2934"/>
      <c r="E2934"/>
      <c r="F2934"/>
      <c r="G2934"/>
      <c r="K2934" s="62"/>
    </row>
    <row r="2935" spans="2:11" s="3" customFormat="1">
      <c r="B2935"/>
      <c r="C2935"/>
      <c r="D2935"/>
      <c r="E2935"/>
      <c r="F2935"/>
      <c r="G2935"/>
      <c r="K2935" s="62"/>
    </row>
    <row r="2936" spans="2:11" s="3" customFormat="1">
      <c r="B2936"/>
      <c r="C2936"/>
      <c r="D2936"/>
      <c r="E2936"/>
      <c r="F2936"/>
      <c r="G2936"/>
      <c r="K2936" s="62"/>
    </row>
    <row r="2937" spans="2:11" s="3" customFormat="1">
      <c r="B2937"/>
      <c r="C2937"/>
      <c r="D2937"/>
      <c r="E2937"/>
      <c r="F2937"/>
      <c r="G2937"/>
      <c r="K2937" s="62"/>
    </row>
    <row r="2938" spans="2:11" s="3" customFormat="1">
      <c r="B2938"/>
      <c r="C2938"/>
      <c r="D2938"/>
      <c r="E2938"/>
      <c r="F2938"/>
      <c r="G2938"/>
      <c r="K2938" s="62"/>
    </row>
    <row r="2939" spans="2:11" s="3" customFormat="1">
      <c r="B2939"/>
      <c r="C2939"/>
      <c r="D2939"/>
      <c r="E2939"/>
      <c r="F2939"/>
      <c r="G2939"/>
      <c r="K2939" s="62"/>
    </row>
    <row r="2940" spans="2:11" s="3" customFormat="1">
      <c r="B2940"/>
      <c r="C2940"/>
      <c r="D2940"/>
      <c r="E2940"/>
      <c r="F2940"/>
      <c r="G2940"/>
      <c r="K2940" s="62"/>
    </row>
    <row r="2941" spans="2:11" s="3" customFormat="1">
      <c r="B2941"/>
      <c r="C2941"/>
      <c r="D2941"/>
      <c r="E2941"/>
      <c r="F2941"/>
      <c r="G2941"/>
      <c r="K2941" s="62"/>
    </row>
    <row r="2942" spans="2:11" s="3" customFormat="1">
      <c r="B2942"/>
      <c r="C2942"/>
      <c r="D2942"/>
      <c r="E2942"/>
      <c r="F2942"/>
      <c r="G2942"/>
      <c r="K2942" s="62"/>
    </row>
    <row r="2943" spans="2:11" s="3" customFormat="1">
      <c r="B2943"/>
      <c r="C2943"/>
      <c r="D2943"/>
      <c r="E2943"/>
      <c r="F2943"/>
      <c r="G2943"/>
      <c r="K2943" s="62"/>
    </row>
    <row r="2944" spans="2:11" s="3" customFormat="1">
      <c r="B2944"/>
      <c r="C2944"/>
      <c r="D2944"/>
      <c r="E2944"/>
      <c r="F2944"/>
      <c r="G2944"/>
      <c r="K2944" s="62"/>
    </row>
    <row r="2945" spans="2:11" s="3" customFormat="1">
      <c r="B2945"/>
      <c r="C2945"/>
      <c r="D2945"/>
      <c r="E2945"/>
      <c r="F2945"/>
      <c r="G2945"/>
      <c r="K2945" s="62"/>
    </row>
    <row r="2946" spans="2:11" s="3" customFormat="1">
      <c r="B2946"/>
      <c r="C2946"/>
      <c r="D2946"/>
      <c r="E2946"/>
      <c r="F2946"/>
      <c r="G2946"/>
      <c r="K2946" s="62"/>
    </row>
    <row r="2947" spans="2:11" s="3" customFormat="1">
      <c r="B2947"/>
      <c r="C2947"/>
      <c r="D2947"/>
      <c r="E2947"/>
      <c r="F2947"/>
      <c r="G2947"/>
      <c r="K2947" s="62"/>
    </row>
    <row r="2948" spans="2:11" s="3" customFormat="1">
      <c r="B2948"/>
      <c r="C2948"/>
      <c r="D2948"/>
      <c r="E2948"/>
      <c r="F2948"/>
      <c r="G2948"/>
      <c r="K2948" s="62"/>
    </row>
    <row r="2949" spans="2:11" s="3" customFormat="1">
      <c r="B2949"/>
      <c r="C2949"/>
      <c r="D2949"/>
      <c r="E2949"/>
      <c r="F2949"/>
      <c r="G2949"/>
      <c r="K2949" s="62"/>
    </row>
    <row r="2950" spans="2:11" s="3" customFormat="1">
      <c r="B2950"/>
      <c r="C2950"/>
      <c r="D2950"/>
      <c r="E2950"/>
      <c r="F2950"/>
      <c r="G2950"/>
      <c r="K2950" s="62"/>
    </row>
    <row r="2951" spans="2:11" s="3" customFormat="1">
      <c r="B2951"/>
      <c r="C2951"/>
      <c r="D2951"/>
      <c r="E2951"/>
      <c r="F2951"/>
      <c r="G2951"/>
      <c r="K2951" s="62"/>
    </row>
    <row r="2952" spans="2:11" s="3" customFormat="1">
      <c r="B2952"/>
      <c r="C2952"/>
      <c r="D2952"/>
      <c r="E2952"/>
      <c r="F2952"/>
      <c r="G2952"/>
      <c r="K2952" s="62"/>
    </row>
    <row r="2953" spans="2:11" s="3" customFormat="1">
      <c r="B2953"/>
      <c r="C2953"/>
      <c r="D2953"/>
      <c r="E2953"/>
      <c r="F2953"/>
      <c r="G2953"/>
      <c r="K2953" s="62"/>
    </row>
    <row r="2954" spans="2:11" s="3" customFormat="1">
      <c r="B2954"/>
      <c r="C2954"/>
      <c r="D2954"/>
      <c r="E2954"/>
      <c r="F2954"/>
      <c r="G2954"/>
      <c r="K2954" s="62"/>
    </row>
    <row r="2955" spans="2:11" s="3" customFormat="1">
      <c r="B2955"/>
      <c r="C2955"/>
      <c r="D2955"/>
      <c r="E2955"/>
      <c r="F2955"/>
      <c r="G2955"/>
      <c r="K2955" s="62"/>
    </row>
    <row r="2956" spans="2:11" s="3" customFormat="1">
      <c r="B2956"/>
      <c r="C2956"/>
      <c r="D2956"/>
      <c r="E2956"/>
      <c r="F2956"/>
      <c r="G2956"/>
      <c r="K2956" s="62"/>
    </row>
    <row r="2957" spans="2:11" s="3" customFormat="1">
      <c r="B2957"/>
      <c r="C2957"/>
      <c r="D2957"/>
      <c r="E2957"/>
      <c r="F2957"/>
      <c r="G2957"/>
      <c r="K2957" s="62"/>
    </row>
    <row r="2958" spans="2:11" s="3" customFormat="1">
      <c r="B2958"/>
      <c r="C2958"/>
      <c r="D2958"/>
      <c r="E2958"/>
      <c r="F2958"/>
      <c r="G2958"/>
      <c r="K2958" s="62"/>
    </row>
    <row r="2959" spans="2:11" s="3" customFormat="1">
      <c r="B2959"/>
      <c r="C2959"/>
      <c r="D2959"/>
      <c r="E2959"/>
      <c r="F2959"/>
      <c r="G2959"/>
      <c r="K2959" s="62"/>
    </row>
    <row r="2960" spans="2:11" s="3" customFormat="1">
      <c r="B2960"/>
      <c r="C2960"/>
      <c r="D2960"/>
      <c r="E2960"/>
      <c r="F2960"/>
      <c r="G2960"/>
      <c r="K2960" s="62"/>
    </row>
    <row r="2961" spans="2:11" s="3" customFormat="1">
      <c r="B2961"/>
      <c r="C2961"/>
      <c r="D2961"/>
      <c r="E2961"/>
      <c r="F2961"/>
      <c r="G2961"/>
      <c r="K2961" s="62"/>
    </row>
    <row r="2962" spans="2:11" s="3" customFormat="1">
      <c r="B2962"/>
      <c r="C2962"/>
      <c r="D2962"/>
      <c r="E2962"/>
      <c r="F2962"/>
      <c r="G2962"/>
      <c r="K2962" s="62"/>
    </row>
    <row r="2963" spans="2:11" s="3" customFormat="1">
      <c r="B2963"/>
      <c r="C2963"/>
      <c r="D2963"/>
      <c r="E2963"/>
      <c r="F2963"/>
      <c r="G2963"/>
      <c r="K2963" s="62"/>
    </row>
    <row r="2964" spans="2:11" s="3" customFormat="1">
      <c r="B2964"/>
      <c r="C2964"/>
      <c r="D2964"/>
      <c r="E2964"/>
      <c r="F2964"/>
      <c r="G2964"/>
      <c r="K2964" s="62"/>
    </row>
    <row r="2965" spans="2:11" s="3" customFormat="1">
      <c r="B2965"/>
      <c r="C2965"/>
      <c r="D2965"/>
      <c r="E2965"/>
      <c r="F2965"/>
      <c r="G2965"/>
      <c r="K2965" s="62"/>
    </row>
    <row r="2966" spans="2:11" s="3" customFormat="1">
      <c r="B2966"/>
      <c r="C2966"/>
      <c r="D2966"/>
      <c r="E2966"/>
      <c r="F2966"/>
      <c r="G2966"/>
      <c r="K2966" s="62"/>
    </row>
    <row r="2967" spans="2:11" s="3" customFormat="1">
      <c r="B2967"/>
      <c r="C2967"/>
      <c r="D2967"/>
      <c r="E2967"/>
      <c r="F2967"/>
      <c r="G2967"/>
      <c r="K2967" s="62"/>
    </row>
    <row r="2968" spans="2:11" s="3" customFormat="1">
      <c r="B2968"/>
      <c r="C2968"/>
      <c r="D2968"/>
      <c r="E2968"/>
      <c r="F2968"/>
      <c r="G2968"/>
      <c r="K2968" s="62"/>
    </row>
    <row r="2969" spans="2:11" s="3" customFormat="1">
      <c r="B2969"/>
      <c r="C2969"/>
      <c r="D2969"/>
      <c r="E2969"/>
      <c r="F2969"/>
      <c r="G2969"/>
      <c r="K2969" s="62"/>
    </row>
    <row r="2970" spans="2:11" s="3" customFormat="1">
      <c r="B2970"/>
      <c r="C2970"/>
      <c r="D2970"/>
      <c r="E2970"/>
      <c r="F2970"/>
      <c r="G2970"/>
      <c r="K2970" s="62"/>
    </row>
    <row r="2971" spans="2:11" s="3" customFormat="1">
      <c r="B2971"/>
      <c r="C2971"/>
      <c r="D2971"/>
      <c r="E2971"/>
      <c r="F2971"/>
      <c r="G2971"/>
      <c r="K2971" s="62"/>
    </row>
    <row r="2972" spans="2:11" s="3" customFormat="1">
      <c r="B2972"/>
      <c r="C2972"/>
      <c r="D2972"/>
      <c r="E2972"/>
      <c r="F2972"/>
      <c r="G2972"/>
      <c r="K2972" s="62"/>
    </row>
    <row r="2973" spans="2:11" s="3" customFormat="1">
      <c r="B2973"/>
      <c r="C2973"/>
      <c r="D2973"/>
      <c r="E2973"/>
      <c r="F2973"/>
      <c r="G2973"/>
      <c r="K2973" s="62"/>
    </row>
    <row r="2974" spans="2:11" s="3" customFormat="1">
      <c r="B2974"/>
      <c r="C2974"/>
      <c r="D2974"/>
      <c r="E2974"/>
      <c r="F2974"/>
      <c r="G2974"/>
      <c r="K2974" s="62"/>
    </row>
    <row r="2975" spans="2:11" s="3" customFormat="1">
      <c r="B2975"/>
      <c r="C2975"/>
      <c r="D2975"/>
      <c r="E2975"/>
      <c r="F2975"/>
      <c r="G2975"/>
      <c r="K2975" s="62"/>
    </row>
    <row r="2976" spans="2:11" s="3" customFormat="1">
      <c r="B2976"/>
      <c r="C2976"/>
      <c r="D2976"/>
      <c r="E2976"/>
      <c r="F2976"/>
      <c r="G2976"/>
      <c r="K2976" s="62"/>
    </row>
    <row r="2977" spans="2:11" s="3" customFormat="1">
      <c r="B2977"/>
      <c r="C2977"/>
      <c r="D2977"/>
      <c r="E2977"/>
      <c r="F2977"/>
      <c r="G2977"/>
      <c r="K2977" s="62"/>
    </row>
    <row r="2978" spans="2:11" s="3" customFormat="1">
      <c r="B2978"/>
      <c r="C2978"/>
      <c r="D2978"/>
      <c r="E2978"/>
      <c r="F2978"/>
      <c r="G2978"/>
      <c r="K2978" s="62"/>
    </row>
    <row r="2979" spans="2:11" s="3" customFormat="1">
      <c r="B2979"/>
      <c r="C2979"/>
      <c r="D2979"/>
      <c r="E2979"/>
      <c r="F2979"/>
      <c r="G2979"/>
      <c r="K2979" s="62"/>
    </row>
    <row r="2980" spans="2:11" s="3" customFormat="1">
      <c r="B2980"/>
      <c r="C2980"/>
      <c r="D2980"/>
      <c r="E2980"/>
      <c r="F2980"/>
      <c r="G2980"/>
      <c r="K2980" s="62"/>
    </row>
    <row r="2981" spans="2:11" s="3" customFormat="1">
      <c r="B2981"/>
      <c r="C2981"/>
      <c r="D2981"/>
      <c r="E2981"/>
      <c r="F2981"/>
      <c r="G2981"/>
      <c r="K2981" s="62"/>
    </row>
    <row r="2982" spans="2:11" s="3" customFormat="1">
      <c r="B2982"/>
      <c r="C2982"/>
      <c r="D2982"/>
      <c r="E2982"/>
      <c r="F2982"/>
      <c r="G2982"/>
      <c r="K2982" s="62"/>
    </row>
    <row r="2983" spans="2:11" s="3" customFormat="1">
      <c r="B2983"/>
      <c r="C2983"/>
      <c r="D2983"/>
      <c r="E2983"/>
      <c r="F2983"/>
      <c r="G2983"/>
      <c r="K2983" s="62"/>
    </row>
    <row r="2984" spans="2:11" s="3" customFormat="1">
      <c r="B2984"/>
      <c r="C2984"/>
      <c r="D2984"/>
      <c r="E2984"/>
      <c r="F2984"/>
      <c r="G2984"/>
      <c r="K2984" s="62"/>
    </row>
    <row r="2985" spans="2:11" s="3" customFormat="1">
      <c r="B2985"/>
      <c r="C2985"/>
      <c r="D2985"/>
      <c r="E2985"/>
      <c r="F2985"/>
      <c r="G2985"/>
      <c r="K2985" s="62"/>
    </row>
    <row r="2986" spans="2:11" s="3" customFormat="1">
      <c r="B2986"/>
      <c r="C2986"/>
      <c r="D2986"/>
      <c r="E2986"/>
      <c r="F2986"/>
      <c r="G2986"/>
      <c r="K2986" s="62"/>
    </row>
    <row r="2987" spans="2:11" s="3" customFormat="1">
      <c r="B2987"/>
      <c r="C2987"/>
      <c r="D2987"/>
      <c r="E2987"/>
      <c r="F2987"/>
      <c r="G2987"/>
      <c r="K2987" s="62"/>
    </row>
    <row r="2988" spans="2:11" s="3" customFormat="1">
      <c r="B2988"/>
      <c r="C2988"/>
      <c r="D2988"/>
      <c r="E2988"/>
      <c r="F2988"/>
      <c r="G2988"/>
      <c r="K2988" s="62"/>
    </row>
    <row r="2989" spans="2:11" s="3" customFormat="1">
      <c r="B2989"/>
      <c r="C2989"/>
      <c r="D2989"/>
      <c r="E2989"/>
      <c r="F2989"/>
      <c r="G2989"/>
      <c r="K2989" s="62"/>
    </row>
    <row r="2990" spans="2:11" s="3" customFormat="1">
      <c r="B2990"/>
      <c r="C2990"/>
      <c r="D2990"/>
      <c r="E2990"/>
      <c r="F2990"/>
      <c r="G2990"/>
      <c r="K2990" s="62"/>
    </row>
    <row r="2991" spans="2:11" s="3" customFormat="1">
      <c r="B2991"/>
      <c r="C2991"/>
      <c r="D2991"/>
      <c r="E2991"/>
      <c r="F2991"/>
      <c r="G2991"/>
      <c r="K2991" s="62"/>
    </row>
    <row r="2992" spans="2:11" s="3" customFormat="1">
      <c r="B2992"/>
      <c r="C2992"/>
      <c r="D2992"/>
      <c r="E2992"/>
      <c r="F2992"/>
      <c r="G2992"/>
      <c r="K2992" s="62"/>
    </row>
    <row r="2993" spans="2:11" s="3" customFormat="1">
      <c r="B2993"/>
      <c r="C2993"/>
      <c r="D2993"/>
      <c r="E2993"/>
      <c r="F2993"/>
      <c r="G2993"/>
      <c r="K2993" s="62"/>
    </row>
    <row r="2994" spans="2:11" s="3" customFormat="1">
      <c r="B2994"/>
      <c r="C2994"/>
      <c r="D2994"/>
      <c r="E2994"/>
      <c r="F2994"/>
      <c r="G2994"/>
      <c r="K2994" s="62"/>
    </row>
    <row r="2995" spans="2:11" s="3" customFormat="1">
      <c r="B2995"/>
      <c r="C2995"/>
      <c r="D2995"/>
      <c r="E2995"/>
      <c r="F2995"/>
      <c r="G2995"/>
      <c r="K2995" s="62"/>
    </row>
    <row r="2996" spans="2:11" s="3" customFormat="1">
      <c r="B2996"/>
      <c r="C2996"/>
      <c r="D2996"/>
      <c r="E2996"/>
      <c r="F2996"/>
      <c r="G2996"/>
      <c r="K2996" s="62"/>
    </row>
    <row r="2997" spans="2:11" s="3" customFormat="1">
      <c r="B2997"/>
      <c r="C2997"/>
      <c r="D2997"/>
      <c r="E2997"/>
      <c r="F2997"/>
      <c r="G2997"/>
      <c r="K2997" s="62"/>
    </row>
    <row r="2998" spans="2:11" s="3" customFormat="1">
      <c r="B2998"/>
      <c r="C2998"/>
      <c r="D2998"/>
      <c r="E2998"/>
      <c r="F2998"/>
      <c r="G2998"/>
      <c r="K2998" s="62"/>
    </row>
    <row r="2999" spans="2:11" s="3" customFormat="1">
      <c r="B2999"/>
      <c r="C2999"/>
      <c r="D2999"/>
      <c r="E2999"/>
      <c r="F2999"/>
      <c r="G2999"/>
      <c r="K2999" s="62"/>
    </row>
    <row r="3000" spans="2:11" s="3" customFormat="1">
      <c r="B3000"/>
      <c r="C3000"/>
      <c r="D3000"/>
      <c r="E3000"/>
      <c r="F3000"/>
      <c r="G3000"/>
      <c r="K3000" s="62"/>
    </row>
    <row r="3001" spans="2:11" s="3" customFormat="1">
      <c r="B3001"/>
      <c r="C3001"/>
      <c r="D3001"/>
      <c r="E3001"/>
      <c r="F3001"/>
      <c r="G3001"/>
      <c r="K3001" s="62"/>
    </row>
    <row r="3002" spans="2:11" s="3" customFormat="1">
      <c r="B3002"/>
      <c r="C3002"/>
      <c r="D3002"/>
      <c r="E3002"/>
      <c r="F3002"/>
      <c r="G3002"/>
      <c r="K3002" s="62"/>
    </row>
    <row r="3003" spans="2:11" s="3" customFormat="1">
      <c r="B3003"/>
      <c r="C3003"/>
      <c r="D3003"/>
      <c r="E3003"/>
      <c r="F3003"/>
      <c r="G3003"/>
      <c r="K3003" s="62"/>
    </row>
    <row r="3004" spans="2:11" s="3" customFormat="1">
      <c r="B3004"/>
      <c r="C3004"/>
      <c r="D3004"/>
      <c r="E3004"/>
      <c r="F3004"/>
      <c r="G3004"/>
      <c r="K3004" s="62"/>
    </row>
    <row r="3005" spans="2:11" s="3" customFormat="1">
      <c r="B3005"/>
      <c r="C3005"/>
      <c r="D3005"/>
      <c r="E3005"/>
      <c r="F3005"/>
      <c r="G3005"/>
      <c r="K3005" s="62"/>
    </row>
    <row r="3006" spans="2:11" s="3" customFormat="1">
      <c r="B3006"/>
      <c r="C3006"/>
      <c r="D3006"/>
      <c r="E3006"/>
      <c r="F3006"/>
      <c r="G3006"/>
      <c r="K3006" s="62"/>
    </row>
    <row r="3007" spans="2:11" s="3" customFormat="1">
      <c r="B3007"/>
      <c r="C3007"/>
      <c r="D3007"/>
      <c r="E3007"/>
      <c r="F3007"/>
      <c r="G3007"/>
      <c r="K3007" s="62"/>
    </row>
    <row r="3008" spans="2:11" s="3" customFormat="1">
      <c r="B3008"/>
      <c r="C3008"/>
      <c r="D3008"/>
      <c r="E3008"/>
      <c r="F3008"/>
      <c r="G3008"/>
      <c r="K3008" s="62"/>
    </row>
    <row r="3009" spans="2:11" s="3" customFormat="1">
      <c r="B3009"/>
      <c r="C3009"/>
      <c r="D3009"/>
      <c r="E3009"/>
      <c r="F3009"/>
      <c r="G3009"/>
      <c r="K3009" s="62"/>
    </row>
    <row r="3010" spans="2:11" s="3" customFormat="1">
      <c r="B3010"/>
      <c r="C3010"/>
      <c r="D3010"/>
      <c r="E3010"/>
      <c r="F3010"/>
      <c r="G3010"/>
      <c r="K3010" s="62"/>
    </row>
    <row r="3011" spans="2:11" s="3" customFormat="1">
      <c r="B3011"/>
      <c r="C3011"/>
      <c r="D3011"/>
      <c r="E3011"/>
      <c r="F3011"/>
      <c r="G3011"/>
      <c r="K3011" s="62"/>
    </row>
    <row r="3012" spans="2:11" s="3" customFormat="1">
      <c r="B3012"/>
      <c r="C3012"/>
      <c r="D3012"/>
      <c r="E3012"/>
      <c r="F3012"/>
      <c r="G3012"/>
      <c r="K3012" s="62"/>
    </row>
    <row r="3013" spans="2:11" s="3" customFormat="1">
      <c r="B3013"/>
      <c r="C3013"/>
      <c r="D3013"/>
      <c r="E3013"/>
      <c r="F3013"/>
      <c r="G3013"/>
      <c r="K3013" s="62"/>
    </row>
    <row r="3014" spans="2:11" s="3" customFormat="1">
      <c r="B3014"/>
      <c r="C3014"/>
      <c r="D3014"/>
      <c r="E3014"/>
      <c r="F3014"/>
      <c r="G3014"/>
      <c r="K3014" s="62"/>
    </row>
    <row r="3015" spans="2:11" s="3" customFormat="1">
      <c r="B3015"/>
      <c r="C3015"/>
      <c r="D3015"/>
      <c r="E3015"/>
      <c r="F3015"/>
      <c r="G3015"/>
      <c r="K3015" s="62"/>
    </row>
    <row r="3016" spans="2:11" s="3" customFormat="1">
      <c r="B3016"/>
      <c r="C3016"/>
      <c r="D3016"/>
      <c r="E3016"/>
      <c r="F3016"/>
      <c r="G3016"/>
      <c r="K3016" s="62"/>
    </row>
    <row r="3017" spans="2:11" s="3" customFormat="1">
      <c r="B3017"/>
      <c r="C3017"/>
      <c r="D3017"/>
      <c r="E3017"/>
      <c r="F3017"/>
      <c r="G3017"/>
      <c r="K3017" s="62"/>
    </row>
    <row r="3018" spans="2:11" s="3" customFormat="1">
      <c r="B3018"/>
      <c r="C3018"/>
      <c r="D3018"/>
      <c r="E3018"/>
      <c r="F3018"/>
      <c r="G3018"/>
      <c r="K3018" s="62"/>
    </row>
    <row r="3019" spans="2:11" s="3" customFormat="1">
      <c r="B3019"/>
      <c r="C3019"/>
      <c r="D3019"/>
      <c r="E3019"/>
      <c r="F3019"/>
      <c r="G3019"/>
      <c r="K3019" s="62"/>
    </row>
    <row r="3020" spans="2:11" s="3" customFormat="1">
      <c r="B3020"/>
      <c r="C3020"/>
      <c r="D3020"/>
      <c r="E3020"/>
      <c r="F3020"/>
      <c r="G3020"/>
      <c r="K3020" s="62"/>
    </row>
    <row r="3021" spans="2:11" s="3" customFormat="1">
      <c r="B3021"/>
      <c r="C3021"/>
      <c r="D3021"/>
      <c r="E3021"/>
      <c r="F3021"/>
      <c r="G3021"/>
      <c r="K3021" s="62"/>
    </row>
    <row r="3022" spans="2:11" s="3" customFormat="1">
      <c r="B3022"/>
      <c r="C3022"/>
      <c r="D3022"/>
      <c r="E3022"/>
      <c r="F3022"/>
      <c r="G3022"/>
      <c r="K3022" s="62"/>
    </row>
    <row r="3023" spans="2:11" s="3" customFormat="1">
      <c r="B3023"/>
      <c r="C3023"/>
      <c r="D3023"/>
      <c r="E3023"/>
      <c r="F3023"/>
      <c r="G3023"/>
      <c r="K3023" s="62"/>
    </row>
    <row r="3024" spans="2:11" s="3" customFormat="1">
      <c r="B3024"/>
      <c r="C3024"/>
      <c r="D3024"/>
      <c r="E3024"/>
      <c r="F3024"/>
      <c r="G3024"/>
      <c r="K3024" s="62"/>
    </row>
    <row r="3025" spans="2:11" s="3" customFormat="1">
      <c r="B3025"/>
      <c r="C3025"/>
      <c r="D3025"/>
      <c r="E3025"/>
      <c r="F3025"/>
      <c r="G3025"/>
      <c r="K3025" s="62"/>
    </row>
    <row r="3026" spans="2:11" s="3" customFormat="1">
      <c r="B3026"/>
      <c r="C3026"/>
      <c r="D3026"/>
      <c r="E3026"/>
      <c r="F3026"/>
      <c r="G3026"/>
      <c r="K3026" s="62"/>
    </row>
    <row r="3027" spans="2:11" s="3" customFormat="1">
      <c r="B3027"/>
      <c r="C3027"/>
      <c r="D3027"/>
      <c r="E3027"/>
      <c r="F3027"/>
      <c r="G3027"/>
      <c r="K3027" s="62"/>
    </row>
    <row r="3028" spans="2:11" s="3" customFormat="1">
      <c r="B3028"/>
      <c r="C3028"/>
      <c r="D3028"/>
      <c r="E3028"/>
      <c r="F3028"/>
      <c r="G3028"/>
      <c r="K3028" s="62"/>
    </row>
    <row r="3029" spans="2:11" s="3" customFormat="1">
      <c r="B3029"/>
      <c r="C3029"/>
      <c r="D3029"/>
      <c r="E3029"/>
      <c r="F3029"/>
      <c r="G3029"/>
      <c r="K3029" s="62"/>
    </row>
    <row r="3030" spans="2:11" s="3" customFormat="1">
      <c r="B3030"/>
      <c r="C3030"/>
      <c r="D3030"/>
      <c r="E3030"/>
      <c r="F3030"/>
      <c r="G3030"/>
      <c r="K3030" s="62"/>
    </row>
    <row r="3031" spans="2:11" s="3" customFormat="1">
      <c r="B3031"/>
      <c r="C3031"/>
      <c r="D3031"/>
      <c r="E3031"/>
      <c r="F3031"/>
      <c r="G3031"/>
      <c r="K3031" s="62"/>
    </row>
    <row r="3032" spans="2:11" s="3" customFormat="1">
      <c r="B3032"/>
      <c r="C3032"/>
      <c r="D3032"/>
      <c r="E3032"/>
      <c r="F3032"/>
      <c r="G3032"/>
      <c r="K3032" s="62"/>
    </row>
    <row r="3033" spans="2:11" s="3" customFormat="1">
      <c r="B3033"/>
      <c r="C3033"/>
      <c r="D3033"/>
      <c r="E3033"/>
      <c r="F3033"/>
      <c r="G3033"/>
      <c r="K3033" s="62"/>
    </row>
    <row r="3034" spans="2:11" s="3" customFormat="1">
      <c r="B3034"/>
      <c r="C3034"/>
      <c r="D3034"/>
      <c r="E3034"/>
      <c r="F3034"/>
      <c r="G3034"/>
      <c r="K3034" s="62"/>
    </row>
    <row r="3035" spans="2:11" s="3" customFormat="1">
      <c r="B3035"/>
      <c r="C3035"/>
      <c r="D3035"/>
      <c r="E3035"/>
      <c r="F3035"/>
      <c r="G3035"/>
      <c r="K3035" s="62"/>
    </row>
    <row r="3036" spans="2:11" s="3" customFormat="1">
      <c r="B3036"/>
      <c r="C3036"/>
      <c r="D3036"/>
      <c r="E3036"/>
      <c r="F3036"/>
      <c r="G3036"/>
      <c r="K3036" s="62"/>
    </row>
    <row r="3037" spans="2:11" s="3" customFormat="1">
      <c r="B3037"/>
      <c r="C3037"/>
      <c r="D3037"/>
      <c r="E3037"/>
      <c r="F3037"/>
      <c r="G3037"/>
      <c r="K3037" s="62"/>
    </row>
    <row r="3038" spans="2:11" s="3" customFormat="1">
      <c r="B3038"/>
      <c r="C3038"/>
      <c r="D3038"/>
      <c r="E3038"/>
      <c r="F3038"/>
      <c r="G3038"/>
      <c r="K3038" s="62"/>
    </row>
    <row r="3039" spans="2:11" s="3" customFormat="1">
      <c r="B3039"/>
      <c r="C3039"/>
      <c r="D3039"/>
      <c r="E3039"/>
      <c r="F3039"/>
      <c r="G3039"/>
      <c r="K3039" s="62"/>
    </row>
    <row r="3040" spans="2:11" s="3" customFormat="1">
      <c r="B3040"/>
      <c r="C3040"/>
      <c r="D3040"/>
      <c r="E3040"/>
      <c r="F3040"/>
      <c r="G3040"/>
      <c r="K3040" s="62"/>
    </row>
    <row r="3041" spans="2:11" s="3" customFormat="1">
      <c r="B3041"/>
      <c r="C3041"/>
      <c r="D3041"/>
      <c r="E3041"/>
      <c r="F3041"/>
      <c r="G3041"/>
      <c r="K3041" s="62"/>
    </row>
    <row r="3042" spans="2:11" s="3" customFormat="1">
      <c r="B3042"/>
      <c r="C3042"/>
      <c r="D3042"/>
      <c r="E3042"/>
      <c r="F3042"/>
      <c r="G3042"/>
      <c r="K3042" s="62"/>
    </row>
    <row r="3043" spans="2:11" s="3" customFormat="1">
      <c r="B3043"/>
      <c r="C3043"/>
      <c r="D3043"/>
      <c r="E3043"/>
      <c r="F3043"/>
      <c r="G3043"/>
      <c r="K3043" s="62"/>
    </row>
    <row r="3044" spans="2:11" s="3" customFormat="1">
      <c r="B3044"/>
      <c r="C3044"/>
      <c r="D3044"/>
      <c r="E3044"/>
      <c r="F3044"/>
      <c r="G3044"/>
      <c r="K3044" s="62"/>
    </row>
    <row r="3045" spans="2:11" s="3" customFormat="1">
      <c r="B3045"/>
      <c r="C3045"/>
      <c r="D3045"/>
      <c r="E3045"/>
      <c r="F3045"/>
      <c r="G3045"/>
      <c r="K3045" s="62"/>
    </row>
    <row r="3046" spans="2:11" s="3" customFormat="1">
      <c r="B3046"/>
      <c r="C3046"/>
      <c r="D3046"/>
      <c r="E3046"/>
      <c r="F3046"/>
      <c r="G3046"/>
      <c r="K3046" s="62"/>
    </row>
    <row r="3047" spans="2:11" s="3" customFormat="1">
      <c r="B3047"/>
      <c r="C3047"/>
      <c r="D3047"/>
      <c r="E3047"/>
      <c r="F3047"/>
      <c r="G3047"/>
      <c r="K3047" s="62"/>
    </row>
    <row r="3048" spans="2:11" s="3" customFormat="1">
      <c r="B3048"/>
      <c r="C3048"/>
      <c r="D3048"/>
      <c r="E3048"/>
      <c r="F3048"/>
      <c r="G3048"/>
      <c r="K3048" s="62"/>
    </row>
    <row r="3049" spans="2:11" s="3" customFormat="1">
      <c r="B3049"/>
      <c r="C3049"/>
      <c r="D3049"/>
      <c r="E3049"/>
      <c r="F3049"/>
      <c r="G3049"/>
      <c r="K3049" s="62"/>
    </row>
    <row r="3050" spans="2:11" s="3" customFormat="1">
      <c r="B3050"/>
      <c r="C3050"/>
      <c r="D3050"/>
      <c r="E3050"/>
      <c r="F3050"/>
      <c r="G3050"/>
      <c r="K3050" s="62"/>
    </row>
    <row r="3051" spans="2:11" s="3" customFormat="1">
      <c r="B3051"/>
      <c r="C3051"/>
      <c r="D3051"/>
      <c r="E3051"/>
      <c r="F3051"/>
      <c r="G3051"/>
      <c r="K3051" s="62"/>
    </row>
    <row r="3052" spans="2:11" s="3" customFormat="1">
      <c r="B3052"/>
      <c r="C3052"/>
      <c r="D3052"/>
      <c r="E3052"/>
      <c r="F3052"/>
      <c r="G3052"/>
      <c r="K3052" s="62"/>
    </row>
    <row r="3053" spans="2:11" s="3" customFormat="1">
      <c r="B3053"/>
      <c r="C3053"/>
      <c r="D3053"/>
      <c r="E3053"/>
      <c r="F3053"/>
      <c r="G3053"/>
      <c r="K3053" s="62"/>
    </row>
    <row r="3054" spans="2:11" s="3" customFormat="1">
      <c r="B3054"/>
      <c r="C3054"/>
      <c r="D3054"/>
      <c r="E3054"/>
      <c r="F3054"/>
      <c r="G3054"/>
      <c r="K3054" s="62"/>
    </row>
    <row r="3055" spans="2:11" s="3" customFormat="1">
      <c r="B3055"/>
      <c r="C3055"/>
      <c r="D3055"/>
      <c r="E3055"/>
      <c r="F3055"/>
      <c r="G3055"/>
      <c r="K3055" s="62"/>
    </row>
    <row r="3056" spans="2:11" s="3" customFormat="1">
      <c r="B3056"/>
      <c r="C3056"/>
      <c r="D3056"/>
      <c r="E3056"/>
      <c r="F3056"/>
      <c r="G3056"/>
      <c r="K3056" s="62"/>
    </row>
    <row r="3057" spans="2:11" s="3" customFormat="1">
      <c r="B3057"/>
      <c r="C3057"/>
      <c r="D3057"/>
      <c r="E3057"/>
      <c r="F3057"/>
      <c r="G3057"/>
      <c r="K3057" s="62"/>
    </row>
    <row r="3058" spans="2:11" s="3" customFormat="1">
      <c r="B3058"/>
      <c r="C3058"/>
      <c r="D3058"/>
      <c r="E3058"/>
      <c r="F3058"/>
      <c r="G3058"/>
      <c r="K3058" s="62"/>
    </row>
    <row r="3059" spans="2:11" s="3" customFormat="1">
      <c r="B3059"/>
      <c r="C3059"/>
      <c r="D3059"/>
      <c r="E3059"/>
      <c r="F3059"/>
      <c r="G3059"/>
      <c r="K3059" s="62"/>
    </row>
    <row r="3060" spans="2:11" s="3" customFormat="1">
      <c r="B3060"/>
      <c r="C3060"/>
      <c r="D3060"/>
      <c r="E3060"/>
      <c r="F3060"/>
      <c r="G3060"/>
      <c r="K3060" s="62"/>
    </row>
    <row r="3061" spans="2:11" s="3" customFormat="1">
      <c r="B3061"/>
      <c r="C3061"/>
      <c r="D3061"/>
      <c r="E3061"/>
      <c r="F3061"/>
      <c r="G3061"/>
      <c r="K3061" s="62"/>
    </row>
    <row r="3062" spans="2:11" s="3" customFormat="1">
      <c r="B3062"/>
      <c r="C3062"/>
      <c r="D3062"/>
      <c r="E3062"/>
      <c r="F3062"/>
      <c r="G3062"/>
      <c r="K3062" s="62"/>
    </row>
    <row r="3063" spans="2:11" s="3" customFormat="1">
      <c r="B3063"/>
      <c r="C3063"/>
      <c r="D3063"/>
      <c r="E3063"/>
      <c r="F3063"/>
      <c r="G3063"/>
      <c r="K3063" s="62"/>
    </row>
    <row r="3064" spans="2:11" s="3" customFormat="1">
      <c r="B3064"/>
      <c r="C3064"/>
      <c r="D3064"/>
      <c r="E3064"/>
      <c r="F3064"/>
      <c r="G3064"/>
      <c r="K3064" s="62"/>
    </row>
    <row r="3065" spans="2:11" s="3" customFormat="1">
      <c r="B3065"/>
      <c r="C3065"/>
      <c r="D3065"/>
      <c r="E3065"/>
      <c r="F3065"/>
      <c r="G3065"/>
      <c r="K3065" s="62"/>
    </row>
    <row r="3066" spans="2:11" s="3" customFormat="1">
      <c r="B3066"/>
      <c r="C3066"/>
      <c r="D3066"/>
      <c r="E3066"/>
      <c r="F3066"/>
      <c r="G3066"/>
      <c r="K3066" s="62"/>
    </row>
    <row r="3067" spans="2:11" s="3" customFormat="1">
      <c r="B3067"/>
      <c r="C3067"/>
      <c r="D3067"/>
      <c r="E3067"/>
      <c r="F3067"/>
      <c r="G3067"/>
      <c r="K3067" s="62"/>
    </row>
    <row r="3068" spans="2:11" s="3" customFormat="1">
      <c r="B3068"/>
      <c r="C3068"/>
      <c r="D3068"/>
      <c r="E3068"/>
      <c r="F3068"/>
      <c r="G3068"/>
      <c r="K3068" s="62"/>
    </row>
    <row r="3069" spans="2:11" s="3" customFormat="1">
      <c r="B3069"/>
      <c r="C3069"/>
      <c r="D3069"/>
      <c r="E3069"/>
      <c r="F3069"/>
      <c r="G3069"/>
      <c r="K3069" s="62"/>
    </row>
    <row r="3070" spans="2:11" s="3" customFormat="1">
      <c r="B3070"/>
      <c r="C3070"/>
      <c r="D3070"/>
      <c r="E3070"/>
      <c r="F3070"/>
      <c r="G3070"/>
      <c r="K3070" s="62"/>
    </row>
    <row r="3071" spans="2:11" s="3" customFormat="1">
      <c r="B3071"/>
      <c r="C3071"/>
      <c r="D3071"/>
      <c r="E3071"/>
      <c r="F3071"/>
      <c r="G3071"/>
      <c r="K3071" s="62"/>
    </row>
    <row r="3072" spans="2:11" s="3" customFormat="1">
      <c r="B3072"/>
      <c r="C3072"/>
      <c r="D3072"/>
      <c r="E3072"/>
      <c r="F3072"/>
      <c r="G3072"/>
      <c r="K3072" s="62"/>
    </row>
    <row r="3073" spans="2:11" s="3" customFormat="1">
      <c r="B3073"/>
      <c r="C3073"/>
      <c r="D3073"/>
      <c r="E3073"/>
      <c r="F3073"/>
      <c r="G3073"/>
      <c r="K3073" s="62"/>
    </row>
    <row r="3074" spans="2:11" s="3" customFormat="1">
      <c r="B3074"/>
      <c r="C3074"/>
      <c r="D3074"/>
      <c r="E3074"/>
      <c r="F3074"/>
      <c r="G3074"/>
      <c r="K3074" s="62"/>
    </row>
    <row r="3075" spans="2:11" s="3" customFormat="1">
      <c r="B3075"/>
      <c r="C3075"/>
      <c r="D3075"/>
      <c r="E3075"/>
      <c r="F3075"/>
      <c r="G3075"/>
      <c r="K3075" s="62"/>
    </row>
    <row r="3076" spans="2:11" s="3" customFormat="1">
      <c r="B3076"/>
      <c r="C3076"/>
      <c r="D3076"/>
      <c r="E3076"/>
      <c r="F3076"/>
      <c r="G3076"/>
      <c r="K3076" s="62"/>
    </row>
    <row r="3077" spans="2:11" s="3" customFormat="1">
      <c r="B3077"/>
      <c r="C3077"/>
      <c r="D3077"/>
      <c r="E3077"/>
      <c r="F3077"/>
      <c r="G3077"/>
      <c r="K3077" s="62"/>
    </row>
    <row r="3078" spans="2:11" s="3" customFormat="1">
      <c r="B3078"/>
      <c r="C3078"/>
      <c r="D3078"/>
      <c r="E3078"/>
      <c r="F3078"/>
      <c r="G3078"/>
      <c r="K3078" s="62"/>
    </row>
    <row r="3079" spans="2:11" s="3" customFormat="1">
      <c r="B3079"/>
      <c r="C3079"/>
      <c r="D3079"/>
      <c r="E3079"/>
      <c r="F3079"/>
      <c r="G3079"/>
      <c r="K3079" s="62"/>
    </row>
    <row r="3080" spans="2:11" s="3" customFormat="1">
      <c r="B3080"/>
      <c r="C3080"/>
      <c r="D3080"/>
      <c r="E3080"/>
      <c r="F3080"/>
      <c r="G3080"/>
      <c r="K3080" s="62"/>
    </row>
    <row r="3081" spans="2:11" s="3" customFormat="1">
      <c r="B3081"/>
      <c r="C3081"/>
      <c r="D3081"/>
      <c r="E3081"/>
      <c r="F3081"/>
      <c r="G3081"/>
      <c r="K3081" s="62"/>
    </row>
    <row r="3082" spans="2:11" s="3" customFormat="1">
      <c r="B3082"/>
      <c r="C3082"/>
      <c r="D3082"/>
      <c r="E3082"/>
      <c r="F3082"/>
      <c r="G3082"/>
      <c r="K3082" s="62"/>
    </row>
    <row r="3083" spans="2:11" s="3" customFormat="1">
      <c r="B3083"/>
      <c r="C3083"/>
      <c r="D3083"/>
      <c r="E3083"/>
      <c r="F3083"/>
      <c r="G3083"/>
      <c r="K3083" s="62"/>
    </row>
    <row r="3084" spans="2:11" s="3" customFormat="1">
      <c r="B3084"/>
      <c r="C3084"/>
      <c r="D3084"/>
      <c r="E3084"/>
      <c r="F3084"/>
      <c r="G3084"/>
      <c r="K3084" s="62"/>
    </row>
    <row r="3085" spans="2:11" s="3" customFormat="1">
      <c r="B3085"/>
      <c r="C3085"/>
      <c r="D3085"/>
      <c r="E3085"/>
      <c r="F3085"/>
      <c r="G3085"/>
      <c r="K3085" s="62"/>
    </row>
    <row r="3086" spans="2:11" s="3" customFormat="1">
      <c r="B3086"/>
      <c r="C3086"/>
      <c r="D3086"/>
      <c r="E3086"/>
      <c r="F3086"/>
      <c r="G3086"/>
      <c r="K3086" s="62"/>
    </row>
    <row r="3087" spans="2:11" s="3" customFormat="1">
      <c r="B3087"/>
      <c r="C3087"/>
      <c r="D3087"/>
      <c r="E3087"/>
      <c r="F3087"/>
      <c r="G3087"/>
      <c r="K3087" s="62"/>
    </row>
    <row r="3088" spans="2:11" s="3" customFormat="1">
      <c r="B3088"/>
      <c r="C3088"/>
      <c r="D3088"/>
      <c r="E3088"/>
      <c r="F3088"/>
      <c r="G3088"/>
      <c r="K3088" s="62"/>
    </row>
    <row r="3089" spans="2:11" s="3" customFormat="1">
      <c r="B3089"/>
      <c r="C3089"/>
      <c r="D3089"/>
      <c r="E3089"/>
      <c r="F3089"/>
      <c r="G3089"/>
      <c r="K3089" s="62"/>
    </row>
    <row r="3090" spans="2:11" s="3" customFormat="1">
      <c r="B3090"/>
      <c r="C3090"/>
      <c r="D3090"/>
      <c r="E3090"/>
      <c r="F3090"/>
      <c r="G3090"/>
      <c r="K3090" s="62"/>
    </row>
    <row r="3091" spans="2:11" s="3" customFormat="1">
      <c r="B3091"/>
      <c r="C3091"/>
      <c r="D3091"/>
      <c r="E3091"/>
      <c r="F3091"/>
      <c r="G3091"/>
      <c r="K3091" s="62"/>
    </row>
    <row r="3092" spans="2:11" s="3" customFormat="1">
      <c r="B3092"/>
      <c r="C3092"/>
      <c r="D3092"/>
      <c r="E3092"/>
      <c r="F3092"/>
      <c r="G3092"/>
      <c r="K3092" s="62"/>
    </row>
    <row r="3093" spans="2:11" s="3" customFormat="1">
      <c r="B3093"/>
      <c r="C3093"/>
      <c r="D3093"/>
      <c r="E3093"/>
      <c r="F3093"/>
      <c r="G3093"/>
      <c r="K3093" s="62"/>
    </row>
    <row r="3094" spans="2:11" s="3" customFormat="1">
      <c r="B3094"/>
      <c r="C3094"/>
      <c r="D3094"/>
      <c r="E3094"/>
      <c r="F3094"/>
      <c r="G3094"/>
      <c r="K3094" s="62"/>
    </row>
    <row r="3095" spans="2:11" s="3" customFormat="1">
      <c r="B3095"/>
      <c r="C3095"/>
      <c r="D3095"/>
      <c r="E3095"/>
      <c r="F3095"/>
      <c r="G3095"/>
      <c r="K3095" s="62"/>
    </row>
    <row r="3096" spans="2:11" s="3" customFormat="1">
      <c r="B3096"/>
      <c r="C3096"/>
      <c r="D3096"/>
      <c r="E3096"/>
      <c r="F3096"/>
      <c r="G3096"/>
      <c r="K3096" s="62"/>
    </row>
    <row r="3097" spans="2:11" s="3" customFormat="1">
      <c r="B3097"/>
      <c r="C3097"/>
      <c r="D3097"/>
      <c r="E3097"/>
      <c r="F3097"/>
      <c r="G3097"/>
      <c r="K3097" s="62"/>
    </row>
    <row r="3098" spans="2:11" s="3" customFormat="1">
      <c r="B3098"/>
      <c r="C3098"/>
      <c r="D3098"/>
      <c r="E3098"/>
      <c r="F3098"/>
      <c r="G3098"/>
      <c r="K3098" s="62"/>
    </row>
    <row r="3099" spans="2:11" s="3" customFormat="1">
      <c r="B3099"/>
      <c r="C3099"/>
      <c r="D3099"/>
      <c r="E3099"/>
      <c r="F3099"/>
      <c r="G3099"/>
      <c r="K3099" s="62"/>
    </row>
    <row r="3100" spans="2:11" s="3" customFormat="1">
      <c r="B3100"/>
      <c r="C3100"/>
      <c r="D3100"/>
      <c r="E3100"/>
      <c r="F3100"/>
      <c r="G3100"/>
      <c r="K3100" s="62"/>
    </row>
    <row r="3101" spans="2:11" s="3" customFormat="1">
      <c r="B3101"/>
      <c r="C3101"/>
      <c r="D3101"/>
      <c r="E3101"/>
      <c r="F3101"/>
      <c r="G3101"/>
      <c r="K3101" s="62"/>
    </row>
    <row r="3102" spans="2:11" s="3" customFormat="1">
      <c r="B3102"/>
      <c r="C3102"/>
      <c r="D3102"/>
      <c r="E3102"/>
      <c r="F3102"/>
      <c r="G3102"/>
      <c r="K3102" s="62"/>
    </row>
    <row r="3103" spans="2:11" s="3" customFormat="1">
      <c r="B3103"/>
      <c r="C3103"/>
      <c r="D3103"/>
      <c r="E3103"/>
      <c r="F3103"/>
      <c r="G3103"/>
      <c r="K3103" s="62"/>
    </row>
    <row r="3104" spans="2:11" s="3" customFormat="1">
      <c r="B3104"/>
      <c r="C3104"/>
      <c r="D3104"/>
      <c r="E3104"/>
      <c r="F3104"/>
      <c r="G3104"/>
      <c r="K3104" s="62"/>
    </row>
    <row r="3105" spans="2:11" s="3" customFormat="1">
      <c r="B3105"/>
      <c r="C3105"/>
      <c r="D3105"/>
      <c r="E3105"/>
      <c r="F3105"/>
      <c r="G3105"/>
      <c r="K3105" s="62"/>
    </row>
    <row r="3106" spans="2:11" s="3" customFormat="1">
      <c r="B3106"/>
      <c r="C3106"/>
      <c r="D3106"/>
      <c r="E3106"/>
      <c r="F3106"/>
      <c r="G3106"/>
      <c r="K3106" s="62"/>
    </row>
    <row r="3107" spans="2:11" s="3" customFormat="1">
      <c r="B3107"/>
      <c r="C3107"/>
      <c r="D3107"/>
      <c r="E3107"/>
      <c r="F3107"/>
      <c r="G3107"/>
      <c r="K3107" s="62"/>
    </row>
    <row r="3108" spans="2:11" s="3" customFormat="1">
      <c r="B3108"/>
      <c r="C3108"/>
      <c r="D3108"/>
      <c r="E3108"/>
      <c r="F3108"/>
      <c r="G3108"/>
      <c r="K3108" s="62"/>
    </row>
    <row r="3109" spans="2:11" s="3" customFormat="1">
      <c r="B3109"/>
      <c r="C3109"/>
      <c r="D3109"/>
      <c r="E3109"/>
      <c r="F3109"/>
      <c r="G3109"/>
      <c r="K3109" s="62"/>
    </row>
    <row r="3110" spans="2:11" s="3" customFormat="1">
      <c r="B3110"/>
      <c r="C3110"/>
      <c r="D3110"/>
      <c r="E3110"/>
      <c r="F3110"/>
      <c r="G3110"/>
      <c r="K3110" s="62"/>
    </row>
    <row r="3111" spans="2:11" s="3" customFormat="1">
      <c r="B3111"/>
      <c r="C3111"/>
      <c r="D3111"/>
      <c r="E3111"/>
      <c r="F3111"/>
      <c r="G3111"/>
      <c r="K3111" s="62"/>
    </row>
    <row r="3112" spans="2:11" s="3" customFormat="1">
      <c r="B3112"/>
      <c r="C3112"/>
      <c r="D3112"/>
      <c r="E3112"/>
      <c r="F3112"/>
      <c r="G3112"/>
      <c r="K3112" s="62"/>
    </row>
    <row r="3113" spans="2:11" s="3" customFormat="1">
      <c r="B3113"/>
      <c r="C3113"/>
      <c r="D3113"/>
      <c r="E3113"/>
      <c r="F3113"/>
      <c r="G3113"/>
      <c r="K3113" s="62"/>
    </row>
    <row r="3114" spans="2:11" s="3" customFormat="1">
      <c r="B3114"/>
      <c r="C3114"/>
      <c r="D3114"/>
      <c r="E3114"/>
      <c r="F3114"/>
      <c r="G3114"/>
      <c r="K3114" s="62"/>
    </row>
    <row r="3115" spans="2:11" s="3" customFormat="1">
      <c r="B3115"/>
      <c r="C3115"/>
      <c r="D3115"/>
      <c r="E3115"/>
      <c r="F3115"/>
      <c r="G3115"/>
      <c r="K3115" s="62"/>
    </row>
    <row r="3116" spans="2:11" s="3" customFormat="1">
      <c r="B3116"/>
      <c r="C3116"/>
      <c r="D3116"/>
      <c r="E3116"/>
      <c r="F3116"/>
      <c r="G3116"/>
      <c r="K3116" s="62"/>
    </row>
    <row r="3117" spans="2:11" s="3" customFormat="1">
      <c r="B3117"/>
      <c r="C3117"/>
      <c r="D3117"/>
      <c r="E3117"/>
      <c r="F3117"/>
      <c r="G3117"/>
      <c r="K3117" s="62"/>
    </row>
    <row r="3118" spans="2:11" s="3" customFormat="1">
      <c r="B3118"/>
      <c r="C3118"/>
      <c r="D3118"/>
      <c r="E3118"/>
      <c r="F3118"/>
      <c r="G3118"/>
      <c r="K3118" s="62"/>
    </row>
    <row r="3119" spans="2:11" s="3" customFormat="1">
      <c r="B3119"/>
      <c r="C3119"/>
      <c r="D3119"/>
      <c r="E3119"/>
      <c r="F3119"/>
      <c r="G3119"/>
      <c r="K3119" s="62"/>
    </row>
    <row r="3120" spans="2:11" s="3" customFormat="1">
      <c r="B3120"/>
      <c r="C3120"/>
      <c r="D3120"/>
      <c r="E3120"/>
      <c r="F3120"/>
      <c r="G3120"/>
      <c r="K3120" s="62"/>
    </row>
    <row r="3121" spans="2:11" s="3" customFormat="1">
      <c r="B3121"/>
      <c r="C3121"/>
      <c r="D3121"/>
      <c r="E3121"/>
      <c r="F3121"/>
      <c r="G3121"/>
      <c r="K3121" s="62"/>
    </row>
    <row r="3122" spans="2:11" s="3" customFormat="1">
      <c r="B3122"/>
      <c r="C3122"/>
      <c r="D3122"/>
      <c r="E3122"/>
      <c r="F3122"/>
      <c r="G3122"/>
      <c r="K3122" s="62"/>
    </row>
    <row r="3123" spans="2:11" s="3" customFormat="1">
      <c r="B3123"/>
      <c r="C3123"/>
      <c r="D3123"/>
      <c r="E3123"/>
      <c r="F3123"/>
      <c r="G3123"/>
      <c r="K3123" s="62"/>
    </row>
    <row r="3124" spans="2:11" s="3" customFormat="1">
      <c r="B3124"/>
      <c r="C3124"/>
      <c r="D3124"/>
      <c r="E3124"/>
      <c r="F3124"/>
      <c r="G3124"/>
      <c r="K3124" s="62"/>
    </row>
    <row r="3125" spans="2:11" s="3" customFormat="1">
      <c r="B3125"/>
      <c r="C3125"/>
      <c r="D3125"/>
      <c r="E3125"/>
      <c r="F3125"/>
      <c r="G3125"/>
      <c r="K3125" s="62"/>
    </row>
    <row r="3126" spans="2:11" s="3" customFormat="1">
      <c r="B3126"/>
      <c r="C3126"/>
      <c r="D3126"/>
      <c r="E3126"/>
      <c r="F3126"/>
      <c r="G3126"/>
      <c r="K3126" s="62"/>
    </row>
    <row r="3127" spans="2:11" s="3" customFormat="1">
      <c r="B3127"/>
      <c r="C3127"/>
      <c r="D3127"/>
      <c r="E3127"/>
      <c r="F3127"/>
      <c r="G3127"/>
      <c r="K3127" s="62"/>
    </row>
    <row r="3128" spans="2:11" s="3" customFormat="1">
      <c r="B3128"/>
      <c r="C3128"/>
      <c r="D3128"/>
      <c r="E3128"/>
      <c r="F3128"/>
      <c r="G3128"/>
      <c r="K3128" s="62"/>
    </row>
    <row r="3129" spans="2:11" s="3" customFormat="1">
      <c r="B3129"/>
      <c r="C3129"/>
      <c r="D3129"/>
      <c r="E3129"/>
      <c r="F3129"/>
      <c r="G3129"/>
      <c r="K3129" s="62"/>
    </row>
    <row r="3130" spans="2:11" s="3" customFormat="1">
      <c r="B3130"/>
      <c r="C3130"/>
      <c r="D3130"/>
      <c r="E3130"/>
      <c r="F3130"/>
      <c r="G3130"/>
      <c r="K3130" s="62"/>
    </row>
    <row r="3131" spans="2:11" s="3" customFormat="1">
      <c r="B3131"/>
      <c r="C3131"/>
      <c r="D3131"/>
      <c r="E3131"/>
      <c r="F3131"/>
      <c r="G3131"/>
      <c r="K3131" s="62"/>
    </row>
    <row r="3132" spans="2:11" s="3" customFormat="1">
      <c r="B3132"/>
      <c r="C3132"/>
      <c r="D3132"/>
      <c r="E3132"/>
      <c r="F3132"/>
      <c r="G3132"/>
      <c r="K3132" s="62"/>
    </row>
    <row r="3133" spans="2:11" s="3" customFormat="1">
      <c r="B3133"/>
      <c r="C3133"/>
      <c r="D3133"/>
      <c r="E3133"/>
      <c r="F3133"/>
      <c r="G3133"/>
      <c r="K3133" s="62"/>
    </row>
    <row r="3134" spans="2:11" s="3" customFormat="1">
      <c r="B3134"/>
      <c r="C3134"/>
      <c r="D3134"/>
      <c r="E3134"/>
      <c r="F3134"/>
      <c r="G3134"/>
      <c r="K3134" s="62"/>
    </row>
    <row r="3135" spans="2:11" s="3" customFormat="1">
      <c r="B3135"/>
      <c r="C3135"/>
      <c r="D3135"/>
      <c r="E3135"/>
      <c r="F3135"/>
      <c r="G3135"/>
      <c r="K3135" s="62"/>
    </row>
    <row r="3136" spans="2:11" s="3" customFormat="1">
      <c r="B3136"/>
      <c r="C3136"/>
      <c r="D3136"/>
      <c r="E3136"/>
      <c r="F3136"/>
      <c r="G3136"/>
      <c r="K3136" s="62"/>
    </row>
    <row r="3137" spans="2:11" s="3" customFormat="1">
      <c r="B3137"/>
      <c r="C3137"/>
      <c r="D3137"/>
      <c r="E3137"/>
      <c r="F3137"/>
      <c r="G3137"/>
      <c r="K3137" s="62"/>
    </row>
    <row r="3138" spans="2:11" s="3" customFormat="1">
      <c r="B3138"/>
      <c r="C3138"/>
      <c r="D3138"/>
      <c r="E3138"/>
      <c r="F3138"/>
      <c r="G3138"/>
      <c r="K3138" s="62"/>
    </row>
    <row r="3139" spans="2:11" s="3" customFormat="1">
      <c r="B3139"/>
      <c r="C3139"/>
      <c r="D3139"/>
      <c r="E3139"/>
      <c r="F3139"/>
      <c r="G3139"/>
      <c r="K3139" s="62"/>
    </row>
    <row r="3140" spans="2:11" s="3" customFormat="1">
      <c r="B3140"/>
      <c r="C3140"/>
      <c r="D3140"/>
      <c r="E3140"/>
      <c r="F3140"/>
      <c r="G3140"/>
      <c r="K3140" s="62"/>
    </row>
    <row r="3141" spans="2:11" s="3" customFormat="1">
      <c r="B3141"/>
      <c r="C3141"/>
      <c r="D3141"/>
      <c r="E3141"/>
      <c r="F3141"/>
      <c r="G3141"/>
      <c r="K3141" s="62"/>
    </row>
    <row r="3142" spans="2:11" s="3" customFormat="1">
      <c r="B3142"/>
      <c r="C3142"/>
      <c r="D3142"/>
      <c r="E3142"/>
      <c r="F3142"/>
      <c r="G3142"/>
      <c r="K3142" s="62"/>
    </row>
    <row r="3143" spans="2:11" s="3" customFormat="1">
      <c r="B3143"/>
      <c r="C3143"/>
      <c r="D3143"/>
      <c r="E3143"/>
      <c r="F3143"/>
      <c r="G3143"/>
      <c r="K3143" s="62"/>
    </row>
    <row r="3144" spans="2:11" s="3" customFormat="1">
      <c r="B3144"/>
      <c r="C3144"/>
      <c r="D3144"/>
      <c r="E3144"/>
      <c r="F3144"/>
      <c r="G3144"/>
      <c r="K3144" s="62"/>
    </row>
    <row r="3145" spans="2:11" s="3" customFormat="1">
      <c r="B3145"/>
      <c r="C3145"/>
      <c r="D3145"/>
      <c r="E3145"/>
      <c r="F3145"/>
      <c r="G3145"/>
      <c r="K3145" s="62"/>
    </row>
    <row r="3146" spans="2:11" s="3" customFormat="1">
      <c r="B3146"/>
      <c r="C3146"/>
      <c r="D3146"/>
      <c r="E3146"/>
      <c r="F3146"/>
      <c r="G3146"/>
      <c r="K3146" s="62"/>
    </row>
    <row r="3147" spans="2:11" s="3" customFormat="1">
      <c r="B3147"/>
      <c r="C3147"/>
      <c r="D3147"/>
      <c r="E3147"/>
      <c r="F3147"/>
      <c r="G3147"/>
      <c r="K3147" s="62"/>
    </row>
    <row r="3148" spans="2:11" s="3" customFormat="1">
      <c r="B3148"/>
      <c r="C3148"/>
      <c r="D3148"/>
      <c r="E3148"/>
      <c r="F3148"/>
      <c r="G3148"/>
      <c r="K3148" s="62"/>
    </row>
    <row r="3149" spans="2:11" s="3" customFormat="1">
      <c r="B3149"/>
      <c r="C3149"/>
      <c r="D3149"/>
      <c r="E3149"/>
      <c r="F3149"/>
      <c r="G3149"/>
      <c r="K3149" s="62"/>
    </row>
    <row r="3150" spans="2:11" s="3" customFormat="1">
      <c r="B3150"/>
      <c r="C3150"/>
      <c r="D3150"/>
      <c r="E3150"/>
      <c r="F3150"/>
      <c r="G3150"/>
      <c r="K3150" s="62"/>
    </row>
    <row r="3151" spans="2:11" s="3" customFormat="1">
      <c r="B3151"/>
      <c r="C3151"/>
      <c r="D3151"/>
      <c r="E3151"/>
      <c r="F3151"/>
      <c r="G3151"/>
      <c r="K3151" s="62"/>
    </row>
    <row r="3152" spans="2:11" s="3" customFormat="1">
      <c r="B3152"/>
      <c r="C3152"/>
      <c r="D3152"/>
      <c r="E3152"/>
      <c r="F3152"/>
      <c r="G3152"/>
      <c r="K3152" s="62"/>
    </row>
    <row r="3153" spans="2:11" s="3" customFormat="1">
      <c r="B3153"/>
      <c r="C3153"/>
      <c r="D3153"/>
      <c r="E3153"/>
      <c r="F3153"/>
      <c r="G3153"/>
      <c r="K3153" s="62"/>
    </row>
    <row r="3154" spans="2:11" s="3" customFormat="1">
      <c r="B3154"/>
      <c r="C3154"/>
      <c r="D3154"/>
      <c r="E3154"/>
      <c r="F3154"/>
      <c r="G3154"/>
      <c r="K3154" s="62"/>
    </row>
    <row r="3155" spans="2:11" s="3" customFormat="1">
      <c r="B3155"/>
      <c r="C3155"/>
      <c r="D3155"/>
      <c r="E3155"/>
      <c r="F3155"/>
      <c r="G3155"/>
      <c r="K3155" s="62"/>
    </row>
    <row r="3156" spans="2:11" s="3" customFormat="1">
      <c r="B3156"/>
      <c r="C3156"/>
      <c r="D3156"/>
      <c r="E3156"/>
      <c r="F3156"/>
      <c r="G3156"/>
      <c r="K3156" s="62"/>
    </row>
    <row r="3157" spans="2:11" s="3" customFormat="1">
      <c r="B3157"/>
      <c r="C3157"/>
      <c r="D3157"/>
      <c r="E3157"/>
      <c r="F3157"/>
      <c r="G3157"/>
      <c r="K3157" s="62"/>
    </row>
    <row r="3158" spans="2:11" s="3" customFormat="1">
      <c r="B3158"/>
      <c r="C3158"/>
      <c r="D3158"/>
      <c r="E3158"/>
      <c r="F3158"/>
      <c r="G3158"/>
      <c r="K3158" s="62"/>
    </row>
    <row r="3159" spans="2:11" s="3" customFormat="1">
      <c r="B3159"/>
      <c r="C3159"/>
      <c r="D3159"/>
      <c r="E3159"/>
      <c r="F3159"/>
      <c r="G3159"/>
      <c r="K3159" s="62"/>
    </row>
    <row r="3160" spans="2:11" s="3" customFormat="1">
      <c r="B3160"/>
      <c r="C3160"/>
      <c r="D3160"/>
      <c r="E3160"/>
      <c r="F3160"/>
      <c r="G3160"/>
      <c r="K3160" s="62"/>
    </row>
    <row r="3161" spans="2:11" s="3" customFormat="1">
      <c r="B3161"/>
      <c r="C3161"/>
      <c r="D3161"/>
      <c r="E3161"/>
      <c r="F3161"/>
      <c r="G3161"/>
      <c r="K3161" s="62"/>
    </row>
    <row r="3162" spans="2:11" s="3" customFormat="1">
      <c r="B3162"/>
      <c r="C3162"/>
      <c r="D3162"/>
      <c r="E3162"/>
      <c r="F3162"/>
      <c r="G3162"/>
      <c r="K3162" s="62"/>
    </row>
    <row r="3163" spans="2:11" s="3" customFormat="1">
      <c r="B3163"/>
      <c r="C3163"/>
      <c r="D3163"/>
      <c r="E3163"/>
      <c r="F3163"/>
      <c r="G3163"/>
      <c r="K3163" s="62"/>
    </row>
    <row r="3164" spans="2:11" s="3" customFormat="1">
      <c r="B3164"/>
      <c r="C3164"/>
      <c r="D3164"/>
      <c r="E3164"/>
      <c r="F3164"/>
      <c r="G3164"/>
      <c r="K3164" s="62"/>
    </row>
    <row r="3165" spans="2:11" s="3" customFormat="1">
      <c r="B3165"/>
      <c r="C3165"/>
      <c r="D3165"/>
      <c r="E3165"/>
      <c r="F3165"/>
      <c r="G3165"/>
      <c r="K3165" s="62"/>
    </row>
    <row r="3166" spans="2:11" s="3" customFormat="1">
      <c r="B3166"/>
      <c r="C3166"/>
      <c r="D3166"/>
      <c r="E3166"/>
      <c r="F3166"/>
      <c r="G3166"/>
      <c r="K3166" s="62"/>
    </row>
    <row r="3167" spans="2:11" s="3" customFormat="1">
      <c r="B3167"/>
      <c r="C3167"/>
      <c r="D3167"/>
      <c r="E3167"/>
      <c r="F3167"/>
      <c r="G3167"/>
      <c r="K3167" s="62"/>
    </row>
    <row r="3168" spans="2:11" s="3" customFormat="1">
      <c r="B3168"/>
      <c r="C3168"/>
      <c r="D3168"/>
      <c r="E3168"/>
      <c r="F3168"/>
      <c r="G3168"/>
      <c r="K3168" s="62"/>
    </row>
    <row r="3169" spans="2:11" s="3" customFormat="1">
      <c r="B3169"/>
      <c r="C3169"/>
      <c r="D3169"/>
      <c r="E3169"/>
      <c r="F3169"/>
      <c r="G3169"/>
      <c r="K3169" s="62"/>
    </row>
    <row r="3170" spans="2:11" s="3" customFormat="1">
      <c r="B3170"/>
      <c r="C3170"/>
      <c r="D3170"/>
      <c r="E3170"/>
      <c r="F3170"/>
      <c r="G3170"/>
      <c r="K3170" s="62"/>
    </row>
    <row r="3171" spans="2:11" s="3" customFormat="1">
      <c r="B3171"/>
      <c r="C3171"/>
      <c r="D3171"/>
      <c r="E3171"/>
      <c r="F3171"/>
      <c r="G3171"/>
      <c r="K3171" s="62"/>
    </row>
    <row r="3172" spans="2:11" s="3" customFormat="1">
      <c r="B3172"/>
      <c r="C3172"/>
      <c r="D3172"/>
      <c r="E3172"/>
      <c r="F3172"/>
      <c r="G3172"/>
      <c r="K3172" s="62"/>
    </row>
    <row r="3173" spans="2:11" s="3" customFormat="1">
      <c r="B3173"/>
      <c r="C3173"/>
      <c r="D3173"/>
      <c r="E3173"/>
      <c r="F3173"/>
      <c r="G3173"/>
      <c r="K3173" s="62"/>
    </row>
    <row r="3174" spans="2:11" s="3" customFormat="1">
      <c r="B3174"/>
      <c r="C3174"/>
      <c r="D3174"/>
      <c r="E3174"/>
      <c r="F3174"/>
      <c r="G3174"/>
      <c r="K3174" s="62"/>
    </row>
    <row r="3175" spans="2:11" s="3" customFormat="1">
      <c r="B3175"/>
      <c r="C3175"/>
      <c r="D3175"/>
      <c r="E3175"/>
      <c r="F3175"/>
      <c r="G3175"/>
      <c r="K3175" s="62"/>
    </row>
    <row r="3176" spans="2:11" s="3" customFormat="1">
      <c r="B3176"/>
      <c r="C3176"/>
      <c r="D3176"/>
      <c r="E3176"/>
      <c r="F3176"/>
      <c r="G3176"/>
      <c r="K3176" s="62"/>
    </row>
    <row r="3177" spans="2:11" s="3" customFormat="1">
      <c r="B3177"/>
      <c r="C3177"/>
      <c r="D3177"/>
      <c r="E3177"/>
      <c r="F3177"/>
      <c r="G3177"/>
      <c r="K3177" s="62"/>
    </row>
    <row r="3178" spans="2:11" s="3" customFormat="1">
      <c r="B3178"/>
      <c r="C3178"/>
      <c r="D3178"/>
      <c r="E3178"/>
      <c r="F3178"/>
      <c r="G3178"/>
      <c r="K3178" s="62"/>
    </row>
    <row r="3179" spans="2:11" s="3" customFormat="1">
      <c r="B3179"/>
      <c r="C3179"/>
      <c r="D3179"/>
      <c r="E3179"/>
      <c r="F3179"/>
      <c r="G3179"/>
      <c r="K3179" s="62"/>
    </row>
    <row r="3180" spans="2:11" s="3" customFormat="1">
      <c r="B3180"/>
      <c r="C3180"/>
      <c r="D3180"/>
      <c r="E3180"/>
      <c r="F3180"/>
      <c r="G3180"/>
      <c r="K3180" s="62"/>
    </row>
    <row r="3181" spans="2:11" s="3" customFormat="1">
      <c r="B3181"/>
      <c r="C3181"/>
      <c r="D3181"/>
      <c r="E3181"/>
      <c r="F3181"/>
      <c r="G3181"/>
      <c r="K3181" s="62"/>
    </row>
    <row r="3182" spans="2:11" s="3" customFormat="1">
      <c r="B3182"/>
      <c r="C3182"/>
      <c r="D3182"/>
      <c r="E3182"/>
      <c r="F3182"/>
      <c r="G3182"/>
      <c r="K3182" s="62"/>
    </row>
    <row r="3183" spans="2:11" s="3" customFormat="1">
      <c r="B3183"/>
      <c r="C3183"/>
      <c r="D3183"/>
      <c r="E3183"/>
      <c r="F3183"/>
      <c r="G3183"/>
      <c r="K3183" s="62"/>
    </row>
    <row r="3184" spans="2:11" s="3" customFormat="1">
      <c r="B3184"/>
      <c r="C3184"/>
      <c r="D3184"/>
      <c r="E3184"/>
      <c r="F3184"/>
      <c r="G3184"/>
      <c r="K3184" s="62"/>
    </row>
    <row r="3185" spans="2:11" s="3" customFormat="1">
      <c r="B3185"/>
      <c r="C3185"/>
      <c r="D3185"/>
      <c r="E3185"/>
      <c r="F3185"/>
      <c r="G3185"/>
      <c r="K3185" s="62"/>
    </row>
    <row r="3186" spans="2:11" s="3" customFormat="1">
      <c r="B3186"/>
      <c r="C3186"/>
      <c r="D3186"/>
      <c r="E3186"/>
      <c r="F3186"/>
      <c r="G3186"/>
      <c r="K3186" s="62"/>
    </row>
    <row r="3187" spans="2:11" s="3" customFormat="1">
      <c r="B3187"/>
      <c r="C3187"/>
      <c r="D3187"/>
      <c r="E3187"/>
      <c r="F3187"/>
      <c r="G3187"/>
      <c r="K3187" s="62"/>
    </row>
    <row r="3188" spans="2:11" s="3" customFormat="1">
      <c r="B3188"/>
      <c r="C3188"/>
      <c r="D3188"/>
      <c r="E3188"/>
      <c r="F3188"/>
      <c r="G3188"/>
      <c r="K3188" s="62"/>
    </row>
    <row r="3189" spans="2:11" s="3" customFormat="1">
      <c r="B3189"/>
      <c r="C3189"/>
      <c r="D3189"/>
      <c r="E3189"/>
      <c r="F3189"/>
      <c r="G3189"/>
      <c r="K3189" s="62"/>
    </row>
    <row r="3190" spans="2:11" s="3" customFormat="1">
      <c r="B3190"/>
      <c r="C3190"/>
      <c r="D3190"/>
      <c r="E3190"/>
      <c r="F3190"/>
      <c r="G3190"/>
      <c r="K3190" s="62"/>
    </row>
    <row r="3191" spans="2:11" s="3" customFormat="1">
      <c r="B3191"/>
      <c r="C3191"/>
      <c r="D3191"/>
      <c r="E3191"/>
      <c r="F3191"/>
      <c r="G3191"/>
      <c r="K3191" s="62"/>
    </row>
    <row r="3192" spans="2:11" s="3" customFormat="1">
      <c r="B3192"/>
      <c r="C3192"/>
      <c r="D3192"/>
      <c r="E3192"/>
      <c r="F3192"/>
      <c r="G3192"/>
      <c r="K3192" s="62"/>
    </row>
    <row r="3193" spans="2:11" s="3" customFormat="1">
      <c r="B3193"/>
      <c r="C3193"/>
      <c r="D3193"/>
      <c r="E3193"/>
      <c r="F3193"/>
      <c r="G3193"/>
      <c r="K3193" s="62"/>
    </row>
    <row r="3194" spans="2:11" s="3" customFormat="1">
      <c r="B3194"/>
      <c r="C3194"/>
      <c r="D3194"/>
      <c r="E3194"/>
      <c r="F3194"/>
      <c r="G3194"/>
      <c r="K3194" s="62"/>
    </row>
    <row r="3195" spans="2:11" s="3" customFormat="1">
      <c r="B3195"/>
      <c r="C3195"/>
      <c r="D3195"/>
      <c r="E3195"/>
      <c r="F3195"/>
      <c r="G3195"/>
      <c r="K3195" s="62"/>
    </row>
    <row r="3196" spans="2:11" s="3" customFormat="1">
      <c r="B3196"/>
      <c r="C3196"/>
      <c r="D3196"/>
      <c r="E3196"/>
      <c r="F3196"/>
      <c r="G3196"/>
      <c r="K3196" s="62"/>
    </row>
    <row r="3197" spans="2:11" s="3" customFormat="1">
      <c r="B3197"/>
      <c r="C3197"/>
      <c r="D3197"/>
      <c r="E3197"/>
      <c r="F3197"/>
      <c r="G3197"/>
      <c r="K3197" s="62"/>
    </row>
    <row r="3198" spans="2:11" s="3" customFormat="1">
      <c r="B3198"/>
      <c r="C3198"/>
      <c r="D3198"/>
      <c r="E3198"/>
      <c r="F3198"/>
      <c r="G3198"/>
      <c r="K3198" s="62"/>
    </row>
    <row r="3199" spans="2:11" s="3" customFormat="1">
      <c r="B3199"/>
      <c r="C3199"/>
      <c r="D3199"/>
      <c r="E3199"/>
      <c r="F3199"/>
      <c r="G3199"/>
      <c r="K3199" s="62"/>
    </row>
    <row r="3200" spans="2:11" s="3" customFormat="1">
      <c r="B3200"/>
      <c r="C3200"/>
      <c r="D3200"/>
      <c r="E3200"/>
      <c r="F3200"/>
      <c r="G3200"/>
      <c r="K3200" s="62"/>
    </row>
    <row r="3201" spans="2:11" s="3" customFormat="1">
      <c r="B3201"/>
      <c r="C3201"/>
      <c r="D3201"/>
      <c r="E3201"/>
      <c r="F3201"/>
      <c r="G3201"/>
      <c r="K3201" s="62"/>
    </row>
    <row r="3202" spans="2:11" s="3" customFormat="1">
      <c r="B3202"/>
      <c r="C3202"/>
      <c r="D3202"/>
      <c r="E3202"/>
      <c r="F3202"/>
      <c r="G3202"/>
      <c r="K3202" s="62"/>
    </row>
    <row r="3203" spans="2:11" s="3" customFormat="1">
      <c r="B3203"/>
      <c r="C3203"/>
      <c r="D3203"/>
      <c r="E3203"/>
      <c r="F3203"/>
      <c r="G3203"/>
      <c r="K3203" s="62"/>
    </row>
    <row r="3204" spans="2:11" s="3" customFormat="1">
      <c r="B3204"/>
      <c r="C3204"/>
      <c r="D3204"/>
      <c r="E3204"/>
      <c r="F3204"/>
      <c r="G3204"/>
      <c r="K3204" s="62"/>
    </row>
    <row r="3205" spans="2:11" s="3" customFormat="1">
      <c r="B3205"/>
      <c r="C3205"/>
      <c r="D3205"/>
      <c r="E3205"/>
      <c r="F3205"/>
      <c r="G3205"/>
      <c r="K3205" s="62"/>
    </row>
    <row r="3206" spans="2:11" s="3" customFormat="1">
      <c r="B3206"/>
      <c r="C3206"/>
      <c r="D3206"/>
      <c r="E3206"/>
      <c r="F3206"/>
      <c r="G3206"/>
      <c r="K3206" s="62"/>
    </row>
    <row r="3207" spans="2:11" s="3" customFormat="1">
      <c r="B3207"/>
      <c r="C3207"/>
      <c r="D3207"/>
      <c r="E3207"/>
      <c r="F3207"/>
      <c r="G3207"/>
      <c r="K3207" s="62"/>
    </row>
    <row r="3208" spans="2:11" s="3" customFormat="1">
      <c r="B3208"/>
      <c r="C3208"/>
      <c r="D3208"/>
      <c r="E3208"/>
      <c r="F3208"/>
      <c r="G3208"/>
      <c r="K3208" s="62"/>
    </row>
    <row r="3209" spans="2:11" s="3" customFormat="1">
      <c r="B3209"/>
      <c r="C3209"/>
      <c r="D3209"/>
      <c r="E3209"/>
      <c r="F3209"/>
      <c r="G3209"/>
      <c r="K3209" s="62"/>
    </row>
    <row r="3210" spans="2:11" s="3" customFormat="1">
      <c r="B3210"/>
      <c r="C3210"/>
      <c r="D3210"/>
      <c r="E3210"/>
      <c r="F3210"/>
      <c r="G3210"/>
      <c r="K3210" s="62"/>
    </row>
    <row r="3211" spans="2:11" s="3" customFormat="1">
      <c r="B3211"/>
      <c r="C3211"/>
      <c r="D3211"/>
      <c r="E3211"/>
      <c r="F3211"/>
      <c r="G3211"/>
      <c r="K3211" s="62"/>
    </row>
    <row r="3212" spans="2:11" s="3" customFormat="1">
      <c r="B3212"/>
      <c r="C3212"/>
      <c r="D3212"/>
      <c r="E3212"/>
      <c r="F3212"/>
      <c r="G3212"/>
      <c r="K3212" s="62"/>
    </row>
    <row r="3213" spans="2:11" s="3" customFormat="1">
      <c r="B3213"/>
      <c r="C3213"/>
      <c r="D3213"/>
      <c r="E3213"/>
      <c r="F3213"/>
      <c r="G3213"/>
      <c r="K3213" s="62"/>
    </row>
    <row r="3214" spans="2:11" s="3" customFormat="1">
      <c r="B3214"/>
      <c r="C3214"/>
      <c r="D3214"/>
      <c r="E3214"/>
      <c r="F3214"/>
      <c r="G3214"/>
      <c r="K3214" s="62"/>
    </row>
    <row r="3215" spans="2:11" s="3" customFormat="1">
      <c r="B3215"/>
      <c r="C3215"/>
      <c r="D3215"/>
      <c r="E3215"/>
      <c r="F3215"/>
      <c r="G3215"/>
      <c r="K3215" s="62"/>
    </row>
    <row r="3216" spans="2:11" s="3" customFormat="1">
      <c r="B3216"/>
      <c r="C3216"/>
      <c r="D3216"/>
      <c r="E3216"/>
      <c r="F3216"/>
      <c r="G3216"/>
      <c r="K3216" s="62"/>
    </row>
    <row r="3217" spans="2:11" s="3" customFormat="1">
      <c r="B3217"/>
      <c r="C3217"/>
      <c r="D3217"/>
      <c r="E3217"/>
      <c r="F3217"/>
      <c r="G3217"/>
      <c r="K3217" s="62"/>
    </row>
    <row r="3218" spans="2:11" s="3" customFormat="1">
      <c r="B3218"/>
      <c r="C3218"/>
      <c r="D3218"/>
      <c r="E3218"/>
      <c r="F3218"/>
      <c r="G3218"/>
      <c r="K3218" s="62"/>
    </row>
    <row r="3219" spans="2:11" s="3" customFormat="1">
      <c r="B3219"/>
      <c r="C3219"/>
      <c r="D3219"/>
      <c r="E3219"/>
      <c r="F3219"/>
      <c r="G3219"/>
      <c r="K3219" s="62"/>
    </row>
    <row r="3220" spans="2:11" s="3" customFormat="1">
      <c r="B3220"/>
      <c r="C3220"/>
      <c r="D3220"/>
      <c r="E3220"/>
      <c r="F3220"/>
      <c r="G3220"/>
      <c r="K3220" s="62"/>
    </row>
    <row r="3221" spans="2:11" s="3" customFormat="1">
      <c r="B3221"/>
      <c r="C3221"/>
      <c r="D3221"/>
      <c r="E3221"/>
      <c r="F3221"/>
      <c r="G3221"/>
      <c r="K3221" s="62"/>
    </row>
    <row r="3222" spans="2:11" s="3" customFormat="1">
      <c r="B3222"/>
      <c r="C3222"/>
      <c r="D3222"/>
      <c r="E3222"/>
      <c r="F3222"/>
      <c r="G3222"/>
      <c r="K3222" s="62"/>
    </row>
    <row r="3223" spans="2:11" s="3" customFormat="1">
      <c r="B3223"/>
      <c r="C3223"/>
      <c r="D3223"/>
      <c r="E3223"/>
      <c r="F3223"/>
      <c r="G3223"/>
      <c r="K3223" s="62"/>
    </row>
    <row r="3224" spans="2:11" s="3" customFormat="1">
      <c r="B3224"/>
      <c r="C3224"/>
      <c r="D3224"/>
      <c r="E3224"/>
      <c r="F3224"/>
      <c r="G3224"/>
      <c r="K3224" s="62"/>
    </row>
    <row r="3225" spans="2:11" s="3" customFormat="1">
      <c r="B3225"/>
      <c r="C3225"/>
      <c r="D3225"/>
      <c r="E3225"/>
      <c r="F3225"/>
      <c r="G3225"/>
      <c r="K3225" s="62"/>
    </row>
    <row r="3226" spans="2:11" s="3" customFormat="1">
      <c r="B3226"/>
      <c r="C3226"/>
      <c r="D3226"/>
      <c r="E3226"/>
      <c r="F3226"/>
      <c r="G3226"/>
      <c r="K3226" s="62"/>
    </row>
    <row r="3227" spans="2:11" s="3" customFormat="1">
      <c r="B3227"/>
      <c r="C3227"/>
      <c r="D3227"/>
      <c r="E3227"/>
      <c r="F3227"/>
      <c r="G3227"/>
      <c r="K3227" s="62"/>
    </row>
    <row r="3228" spans="2:11" s="3" customFormat="1">
      <c r="B3228"/>
      <c r="C3228"/>
      <c r="D3228"/>
      <c r="E3228"/>
      <c r="F3228"/>
      <c r="G3228"/>
      <c r="K3228" s="62"/>
    </row>
    <row r="3229" spans="2:11" s="3" customFormat="1">
      <c r="B3229"/>
      <c r="C3229"/>
      <c r="D3229"/>
      <c r="E3229"/>
      <c r="F3229"/>
      <c r="G3229"/>
      <c r="K3229" s="62"/>
    </row>
    <row r="3230" spans="2:11" s="3" customFormat="1">
      <c r="B3230"/>
      <c r="C3230"/>
      <c r="D3230"/>
      <c r="E3230"/>
      <c r="F3230"/>
      <c r="G3230"/>
      <c r="K3230" s="62"/>
    </row>
    <row r="3231" spans="2:11" s="3" customFormat="1">
      <c r="B3231"/>
      <c r="C3231"/>
      <c r="D3231"/>
      <c r="E3231"/>
      <c r="F3231"/>
      <c r="G3231"/>
      <c r="K3231" s="62"/>
    </row>
    <row r="3232" spans="2:11" s="3" customFormat="1">
      <c r="B3232"/>
      <c r="C3232"/>
      <c r="D3232"/>
      <c r="E3232"/>
      <c r="F3232"/>
      <c r="G3232"/>
      <c r="K3232" s="62"/>
    </row>
    <row r="3233" spans="2:11" s="3" customFormat="1">
      <c r="B3233"/>
      <c r="C3233"/>
      <c r="D3233"/>
      <c r="E3233"/>
      <c r="F3233"/>
      <c r="G3233"/>
      <c r="K3233" s="62"/>
    </row>
    <row r="3234" spans="2:11" s="3" customFormat="1">
      <c r="B3234"/>
      <c r="C3234"/>
      <c r="D3234"/>
      <c r="E3234"/>
      <c r="F3234"/>
      <c r="G3234"/>
      <c r="K3234" s="62"/>
    </row>
    <row r="3235" spans="2:11" s="3" customFormat="1">
      <c r="B3235"/>
      <c r="C3235"/>
      <c r="D3235"/>
      <c r="E3235"/>
      <c r="F3235"/>
      <c r="G3235"/>
      <c r="K3235" s="62"/>
    </row>
    <row r="3236" spans="2:11" s="3" customFormat="1">
      <c r="B3236"/>
      <c r="C3236"/>
      <c r="D3236"/>
      <c r="E3236"/>
      <c r="F3236"/>
      <c r="G3236"/>
      <c r="K3236" s="62"/>
    </row>
    <row r="3237" spans="2:11" s="3" customFormat="1">
      <c r="B3237"/>
      <c r="C3237"/>
      <c r="D3237"/>
      <c r="E3237"/>
      <c r="F3237"/>
      <c r="G3237"/>
      <c r="K3237" s="62"/>
    </row>
    <row r="3238" spans="2:11" s="3" customFormat="1">
      <c r="B3238"/>
      <c r="C3238"/>
      <c r="D3238"/>
      <c r="E3238"/>
      <c r="F3238"/>
      <c r="G3238"/>
      <c r="K3238" s="62"/>
    </row>
    <row r="3239" spans="2:11" s="3" customFormat="1">
      <c r="B3239"/>
      <c r="C3239"/>
      <c r="D3239"/>
      <c r="E3239"/>
      <c r="F3239"/>
      <c r="G3239"/>
      <c r="K3239" s="62"/>
    </row>
    <row r="3240" spans="2:11" s="3" customFormat="1">
      <c r="B3240"/>
      <c r="C3240"/>
      <c r="D3240"/>
      <c r="E3240"/>
      <c r="F3240"/>
      <c r="G3240"/>
      <c r="K3240" s="62"/>
    </row>
    <row r="3241" spans="2:11" s="3" customFormat="1">
      <c r="B3241"/>
      <c r="C3241"/>
      <c r="D3241"/>
      <c r="E3241"/>
      <c r="F3241"/>
      <c r="G3241"/>
      <c r="K3241" s="62"/>
    </row>
    <row r="3242" spans="2:11" s="3" customFormat="1">
      <c r="B3242"/>
      <c r="C3242"/>
      <c r="D3242"/>
      <c r="E3242"/>
      <c r="F3242"/>
      <c r="G3242"/>
      <c r="K3242" s="62"/>
    </row>
    <row r="3243" spans="2:11" s="3" customFormat="1">
      <c r="B3243"/>
      <c r="C3243"/>
      <c r="D3243"/>
      <c r="E3243"/>
      <c r="F3243"/>
      <c r="G3243"/>
      <c r="K3243" s="62"/>
    </row>
    <row r="3244" spans="2:11" s="3" customFormat="1">
      <c r="B3244"/>
      <c r="C3244"/>
      <c r="D3244"/>
      <c r="E3244"/>
      <c r="F3244"/>
      <c r="G3244"/>
      <c r="K3244" s="62"/>
    </row>
    <row r="3245" spans="2:11" s="3" customFormat="1">
      <c r="B3245"/>
      <c r="C3245"/>
      <c r="D3245"/>
      <c r="E3245"/>
      <c r="F3245"/>
      <c r="G3245"/>
      <c r="K3245" s="62"/>
    </row>
    <row r="3246" spans="2:11" s="3" customFormat="1">
      <c r="B3246"/>
      <c r="C3246"/>
      <c r="D3246"/>
      <c r="E3246"/>
      <c r="F3246"/>
      <c r="G3246"/>
      <c r="K3246" s="62"/>
    </row>
    <row r="3247" spans="2:11" s="3" customFormat="1">
      <c r="B3247"/>
      <c r="C3247"/>
      <c r="D3247"/>
      <c r="E3247"/>
      <c r="F3247"/>
      <c r="G3247"/>
      <c r="K3247" s="62"/>
    </row>
    <row r="3248" spans="2:11" s="3" customFormat="1">
      <c r="B3248"/>
      <c r="C3248"/>
      <c r="D3248"/>
      <c r="E3248"/>
      <c r="F3248"/>
      <c r="G3248"/>
      <c r="K3248" s="62"/>
    </row>
    <row r="3249" spans="2:11" s="3" customFormat="1">
      <c r="B3249"/>
      <c r="C3249"/>
      <c r="D3249"/>
      <c r="E3249"/>
      <c r="F3249"/>
      <c r="G3249"/>
      <c r="K3249" s="62"/>
    </row>
    <row r="3250" spans="2:11" s="3" customFormat="1">
      <c r="B3250"/>
      <c r="C3250"/>
      <c r="D3250"/>
      <c r="E3250"/>
      <c r="F3250"/>
      <c r="G3250"/>
      <c r="K3250" s="62"/>
    </row>
    <row r="3251" spans="2:11" s="3" customFormat="1">
      <c r="B3251"/>
      <c r="C3251"/>
      <c r="D3251"/>
      <c r="E3251"/>
      <c r="F3251"/>
      <c r="G3251"/>
      <c r="K3251" s="62"/>
    </row>
    <row r="3252" spans="2:11" s="3" customFormat="1">
      <c r="B3252"/>
      <c r="C3252"/>
      <c r="D3252"/>
      <c r="E3252"/>
      <c r="F3252"/>
      <c r="G3252"/>
      <c r="K3252" s="62"/>
    </row>
    <row r="3253" spans="2:11" s="3" customFormat="1">
      <c r="B3253"/>
      <c r="C3253"/>
      <c r="D3253"/>
      <c r="E3253"/>
      <c r="F3253"/>
      <c r="G3253"/>
      <c r="K3253" s="62"/>
    </row>
    <row r="3254" spans="2:11" s="3" customFormat="1">
      <c r="B3254"/>
      <c r="C3254"/>
      <c r="D3254"/>
      <c r="E3254"/>
      <c r="F3254"/>
      <c r="G3254"/>
      <c r="K3254" s="62"/>
    </row>
    <row r="3255" spans="2:11" s="3" customFormat="1">
      <c r="B3255"/>
      <c r="C3255"/>
      <c r="D3255"/>
      <c r="E3255"/>
      <c r="F3255"/>
      <c r="G3255"/>
      <c r="K3255" s="62"/>
    </row>
    <row r="3256" spans="2:11" s="3" customFormat="1">
      <c r="B3256"/>
      <c r="C3256"/>
      <c r="D3256"/>
      <c r="E3256"/>
      <c r="F3256"/>
      <c r="G3256"/>
      <c r="K3256" s="62"/>
    </row>
    <row r="3257" spans="2:11" s="3" customFormat="1">
      <c r="B3257"/>
      <c r="C3257"/>
      <c r="D3257"/>
      <c r="E3257"/>
      <c r="F3257"/>
      <c r="G3257"/>
      <c r="K3257" s="62"/>
    </row>
    <row r="3258" spans="2:11" s="3" customFormat="1">
      <c r="B3258"/>
      <c r="C3258"/>
      <c r="D3258"/>
      <c r="E3258"/>
      <c r="F3258"/>
      <c r="G3258"/>
      <c r="K3258" s="62"/>
    </row>
    <row r="3259" spans="2:11" s="3" customFormat="1">
      <c r="B3259"/>
      <c r="C3259"/>
      <c r="D3259"/>
      <c r="E3259"/>
      <c r="F3259"/>
      <c r="G3259"/>
      <c r="K3259" s="62"/>
    </row>
    <row r="3260" spans="2:11" s="3" customFormat="1">
      <c r="B3260"/>
      <c r="C3260"/>
      <c r="D3260"/>
      <c r="E3260"/>
      <c r="F3260"/>
      <c r="G3260"/>
      <c r="K3260" s="62"/>
    </row>
    <row r="3261" spans="2:11" s="3" customFormat="1">
      <c r="B3261"/>
      <c r="C3261"/>
      <c r="D3261"/>
      <c r="E3261"/>
      <c r="F3261"/>
      <c r="G3261"/>
      <c r="K3261" s="62"/>
    </row>
    <row r="3262" spans="2:11" s="3" customFormat="1">
      <c r="B3262"/>
      <c r="C3262"/>
      <c r="D3262"/>
      <c r="E3262"/>
      <c r="F3262"/>
      <c r="G3262"/>
      <c r="K3262" s="62"/>
    </row>
    <row r="3263" spans="2:11" s="3" customFormat="1">
      <c r="B3263"/>
      <c r="C3263"/>
      <c r="D3263"/>
      <c r="E3263"/>
      <c r="F3263"/>
      <c r="G3263"/>
      <c r="K3263" s="62"/>
    </row>
    <row r="3264" spans="2:11" s="3" customFormat="1">
      <c r="B3264"/>
      <c r="C3264"/>
      <c r="D3264"/>
      <c r="E3264"/>
      <c r="F3264"/>
      <c r="G3264"/>
      <c r="K3264" s="62"/>
    </row>
    <row r="3265" spans="2:11" s="3" customFormat="1">
      <c r="B3265"/>
      <c r="C3265"/>
      <c r="D3265"/>
      <c r="E3265"/>
      <c r="F3265"/>
      <c r="G3265"/>
      <c r="K3265" s="62"/>
    </row>
    <row r="3266" spans="2:11" s="3" customFormat="1">
      <c r="B3266"/>
      <c r="C3266"/>
      <c r="D3266"/>
      <c r="E3266"/>
      <c r="F3266"/>
      <c r="G3266"/>
      <c r="K3266" s="62"/>
    </row>
    <row r="3267" spans="2:11" s="3" customFormat="1">
      <c r="B3267"/>
      <c r="C3267"/>
      <c r="D3267"/>
      <c r="E3267"/>
      <c r="F3267"/>
      <c r="G3267"/>
      <c r="K3267" s="62"/>
    </row>
    <row r="3268" spans="2:11" s="3" customFormat="1">
      <c r="B3268"/>
      <c r="C3268"/>
      <c r="D3268"/>
      <c r="E3268"/>
      <c r="F3268"/>
      <c r="G3268"/>
      <c r="K3268" s="62"/>
    </row>
    <row r="3269" spans="2:11" s="3" customFormat="1">
      <c r="B3269"/>
      <c r="C3269"/>
      <c r="D3269"/>
      <c r="E3269"/>
      <c r="F3269"/>
      <c r="G3269"/>
      <c r="K3269" s="62"/>
    </row>
    <row r="3270" spans="2:11" s="3" customFormat="1">
      <c r="B3270"/>
      <c r="C3270"/>
      <c r="D3270"/>
      <c r="E3270"/>
      <c r="F3270"/>
      <c r="G3270"/>
      <c r="K3270" s="62"/>
    </row>
    <row r="3271" spans="2:11" s="3" customFormat="1">
      <c r="B3271"/>
      <c r="C3271"/>
      <c r="D3271"/>
      <c r="E3271"/>
      <c r="F3271"/>
      <c r="G3271"/>
      <c r="K3271" s="62"/>
    </row>
    <row r="3272" spans="2:11" s="3" customFormat="1">
      <c r="B3272"/>
      <c r="C3272"/>
      <c r="D3272"/>
      <c r="E3272"/>
      <c r="F3272"/>
      <c r="G3272"/>
      <c r="K3272" s="62"/>
    </row>
    <row r="3273" spans="2:11" s="3" customFormat="1">
      <c r="B3273"/>
      <c r="C3273"/>
      <c r="D3273"/>
      <c r="E3273"/>
      <c r="F3273"/>
      <c r="G3273"/>
      <c r="K3273" s="62"/>
    </row>
    <row r="3274" spans="2:11" s="3" customFormat="1">
      <c r="B3274"/>
      <c r="C3274"/>
      <c r="D3274"/>
      <c r="E3274"/>
      <c r="F3274"/>
      <c r="G3274"/>
      <c r="K3274" s="62"/>
    </row>
    <row r="3275" spans="2:11" s="3" customFormat="1">
      <c r="B3275"/>
      <c r="C3275"/>
      <c r="D3275"/>
      <c r="E3275"/>
      <c r="F3275"/>
      <c r="G3275"/>
      <c r="K3275" s="62"/>
    </row>
    <row r="3276" spans="2:11" s="3" customFormat="1">
      <c r="B3276"/>
      <c r="C3276"/>
      <c r="D3276"/>
      <c r="E3276"/>
      <c r="F3276"/>
      <c r="G3276"/>
      <c r="K3276" s="62"/>
    </row>
    <row r="3277" spans="2:11" s="3" customFormat="1">
      <c r="B3277"/>
      <c r="C3277"/>
      <c r="D3277"/>
      <c r="E3277"/>
      <c r="F3277"/>
      <c r="G3277"/>
      <c r="K3277" s="62"/>
    </row>
    <row r="3278" spans="2:11" s="3" customFormat="1">
      <c r="B3278"/>
      <c r="C3278"/>
      <c r="D3278"/>
      <c r="E3278"/>
      <c r="F3278"/>
      <c r="G3278"/>
      <c r="K3278" s="62"/>
    </row>
    <row r="3279" spans="2:11" s="3" customFormat="1">
      <c r="B3279"/>
      <c r="C3279"/>
      <c r="D3279"/>
      <c r="E3279"/>
      <c r="F3279"/>
      <c r="G3279"/>
      <c r="K3279" s="62"/>
    </row>
    <row r="3280" spans="2:11" s="3" customFormat="1">
      <c r="B3280"/>
      <c r="C3280"/>
      <c r="D3280"/>
      <c r="E3280"/>
      <c r="F3280"/>
      <c r="G3280"/>
      <c r="K3280" s="62"/>
    </row>
    <row r="3281" spans="2:11" s="3" customFormat="1">
      <c r="B3281"/>
      <c r="C3281"/>
      <c r="D3281"/>
      <c r="E3281"/>
      <c r="F3281"/>
      <c r="G3281"/>
      <c r="K3281" s="62"/>
    </row>
    <row r="3282" spans="2:11" s="3" customFormat="1">
      <c r="B3282"/>
      <c r="C3282"/>
      <c r="D3282"/>
      <c r="E3282"/>
      <c r="F3282"/>
      <c r="G3282"/>
      <c r="K3282" s="62"/>
    </row>
    <row r="3283" spans="2:11" s="3" customFormat="1">
      <c r="B3283"/>
      <c r="C3283"/>
      <c r="D3283"/>
      <c r="E3283"/>
      <c r="F3283"/>
      <c r="G3283"/>
      <c r="K3283" s="62"/>
    </row>
    <row r="3284" spans="2:11" s="3" customFormat="1">
      <c r="B3284"/>
      <c r="C3284"/>
      <c r="D3284"/>
      <c r="E3284"/>
      <c r="F3284"/>
      <c r="G3284"/>
      <c r="K3284" s="62"/>
    </row>
    <row r="3285" spans="2:11" s="3" customFormat="1">
      <c r="B3285"/>
      <c r="C3285"/>
      <c r="D3285"/>
      <c r="E3285"/>
      <c r="F3285"/>
      <c r="G3285"/>
      <c r="K3285" s="62"/>
    </row>
    <row r="3286" spans="2:11" s="3" customFormat="1">
      <c r="B3286"/>
      <c r="C3286"/>
      <c r="D3286"/>
      <c r="E3286"/>
      <c r="F3286"/>
      <c r="G3286"/>
      <c r="K3286" s="62"/>
    </row>
    <row r="3287" spans="2:11" s="3" customFormat="1">
      <c r="B3287"/>
      <c r="C3287"/>
      <c r="D3287"/>
      <c r="E3287"/>
      <c r="F3287"/>
      <c r="G3287"/>
      <c r="K3287" s="62"/>
    </row>
    <row r="3288" spans="2:11" s="3" customFormat="1">
      <c r="B3288"/>
      <c r="C3288"/>
      <c r="D3288"/>
      <c r="E3288"/>
      <c r="F3288"/>
      <c r="G3288"/>
      <c r="K3288" s="62"/>
    </row>
    <row r="3289" spans="2:11" s="3" customFormat="1">
      <c r="B3289"/>
      <c r="C3289"/>
      <c r="D3289"/>
      <c r="E3289"/>
      <c r="F3289"/>
      <c r="G3289"/>
      <c r="K3289" s="62"/>
    </row>
    <row r="3290" spans="2:11" s="3" customFormat="1">
      <c r="B3290"/>
      <c r="C3290"/>
      <c r="D3290"/>
      <c r="E3290"/>
      <c r="F3290"/>
      <c r="G3290"/>
      <c r="K3290" s="62"/>
    </row>
    <row r="3291" spans="2:11" s="3" customFormat="1">
      <c r="B3291"/>
      <c r="C3291"/>
      <c r="D3291"/>
      <c r="E3291"/>
      <c r="F3291"/>
      <c r="G3291"/>
      <c r="K3291" s="62"/>
    </row>
    <row r="3292" spans="2:11" s="3" customFormat="1">
      <c r="B3292"/>
      <c r="C3292"/>
      <c r="D3292"/>
      <c r="E3292"/>
      <c r="F3292"/>
      <c r="G3292"/>
      <c r="K3292" s="62"/>
    </row>
    <row r="3293" spans="2:11" s="3" customFormat="1">
      <c r="B3293"/>
      <c r="C3293"/>
      <c r="D3293"/>
      <c r="E3293"/>
      <c r="F3293"/>
      <c r="G3293"/>
      <c r="K3293" s="62"/>
    </row>
    <row r="3294" spans="2:11" s="3" customFormat="1">
      <c r="B3294"/>
      <c r="C3294"/>
      <c r="D3294"/>
      <c r="E3294"/>
      <c r="F3294"/>
      <c r="G3294"/>
      <c r="K3294" s="62"/>
    </row>
    <row r="3295" spans="2:11" s="3" customFormat="1">
      <c r="B3295"/>
      <c r="C3295"/>
      <c r="D3295"/>
      <c r="E3295"/>
      <c r="F3295"/>
      <c r="G3295"/>
      <c r="K3295" s="62"/>
    </row>
    <row r="3296" spans="2:11" s="3" customFormat="1">
      <c r="B3296"/>
      <c r="C3296"/>
      <c r="D3296"/>
      <c r="E3296"/>
      <c r="F3296"/>
      <c r="G3296"/>
      <c r="K3296" s="62"/>
    </row>
    <row r="3297" spans="2:11" s="3" customFormat="1">
      <c r="B3297"/>
      <c r="C3297"/>
      <c r="D3297"/>
      <c r="E3297"/>
      <c r="F3297"/>
      <c r="G3297"/>
      <c r="K3297" s="62"/>
    </row>
    <row r="3298" spans="2:11" s="3" customFormat="1">
      <c r="B3298"/>
      <c r="C3298"/>
      <c r="D3298"/>
      <c r="E3298"/>
      <c r="F3298"/>
      <c r="G3298"/>
      <c r="K3298" s="62"/>
    </row>
    <row r="3299" spans="2:11" s="3" customFormat="1">
      <c r="B3299"/>
      <c r="C3299"/>
      <c r="D3299"/>
      <c r="E3299"/>
      <c r="F3299"/>
      <c r="G3299"/>
      <c r="K3299" s="62"/>
    </row>
    <row r="3300" spans="2:11" s="3" customFormat="1">
      <c r="B3300"/>
      <c r="C3300"/>
      <c r="D3300"/>
      <c r="E3300"/>
      <c r="F3300"/>
      <c r="G3300"/>
      <c r="K3300" s="62"/>
    </row>
    <row r="3301" spans="2:11" s="3" customFormat="1">
      <c r="B3301"/>
      <c r="C3301"/>
      <c r="D3301"/>
      <c r="E3301"/>
      <c r="F3301"/>
      <c r="G3301"/>
      <c r="K3301" s="62"/>
    </row>
    <row r="3302" spans="2:11" s="3" customFormat="1">
      <c r="B3302"/>
      <c r="C3302"/>
      <c r="D3302"/>
      <c r="E3302"/>
      <c r="F3302"/>
      <c r="G3302"/>
      <c r="K3302" s="62"/>
    </row>
    <row r="3303" spans="2:11" s="3" customFormat="1">
      <c r="B3303"/>
      <c r="C3303"/>
      <c r="D3303"/>
      <c r="E3303"/>
      <c r="F3303"/>
      <c r="G3303"/>
      <c r="K3303" s="62"/>
    </row>
    <row r="3304" spans="2:11" s="3" customFormat="1">
      <c r="B3304"/>
      <c r="C3304"/>
      <c r="D3304"/>
      <c r="E3304"/>
      <c r="F3304"/>
      <c r="G3304"/>
      <c r="K3304" s="62"/>
    </row>
    <row r="3305" spans="2:11" s="3" customFormat="1">
      <c r="B3305"/>
      <c r="C3305"/>
      <c r="D3305"/>
      <c r="E3305"/>
      <c r="F3305"/>
      <c r="G3305"/>
      <c r="K3305" s="62"/>
    </row>
    <row r="3306" spans="2:11" s="3" customFormat="1">
      <c r="B3306"/>
      <c r="C3306"/>
      <c r="D3306"/>
      <c r="E3306"/>
      <c r="F3306"/>
      <c r="G3306"/>
      <c r="K3306" s="62"/>
    </row>
    <row r="3307" spans="2:11" s="3" customFormat="1">
      <c r="B3307"/>
      <c r="C3307"/>
      <c r="D3307"/>
      <c r="E3307"/>
      <c r="F3307"/>
      <c r="G3307"/>
      <c r="K3307" s="62"/>
    </row>
    <row r="3308" spans="2:11" s="3" customFormat="1">
      <c r="B3308"/>
      <c r="C3308"/>
      <c r="D3308"/>
      <c r="E3308"/>
      <c r="F3308"/>
      <c r="G3308"/>
      <c r="K3308" s="62"/>
    </row>
    <row r="3309" spans="2:11" s="3" customFormat="1">
      <c r="B3309"/>
      <c r="C3309"/>
      <c r="D3309"/>
      <c r="E3309"/>
      <c r="F3309"/>
      <c r="G3309"/>
      <c r="K3309" s="62"/>
    </row>
    <row r="3310" spans="2:11" s="3" customFormat="1">
      <c r="B3310"/>
      <c r="C3310"/>
      <c r="D3310"/>
      <c r="E3310"/>
      <c r="F3310"/>
      <c r="G3310"/>
      <c r="K3310" s="62"/>
    </row>
    <row r="3311" spans="2:11" s="3" customFormat="1">
      <c r="B3311"/>
      <c r="C3311"/>
      <c r="D3311"/>
      <c r="E3311"/>
      <c r="F3311"/>
      <c r="G3311"/>
      <c r="K3311" s="62"/>
    </row>
    <row r="3312" spans="2:11" s="3" customFormat="1">
      <c r="B3312"/>
      <c r="C3312"/>
      <c r="D3312"/>
      <c r="E3312"/>
      <c r="F3312"/>
      <c r="G3312"/>
      <c r="K3312" s="62"/>
    </row>
    <row r="3313" spans="2:11" s="3" customFormat="1">
      <c r="B3313"/>
      <c r="C3313"/>
      <c r="D3313"/>
      <c r="E3313"/>
      <c r="F3313"/>
      <c r="G3313"/>
      <c r="K3313" s="62"/>
    </row>
    <row r="3314" spans="2:11" s="3" customFormat="1">
      <c r="B3314"/>
      <c r="C3314"/>
      <c r="D3314"/>
      <c r="E3314"/>
      <c r="F3314"/>
      <c r="G3314"/>
      <c r="K3314" s="62"/>
    </row>
    <row r="3315" spans="2:11" s="3" customFormat="1">
      <c r="B3315"/>
      <c r="C3315"/>
      <c r="D3315"/>
      <c r="E3315"/>
      <c r="F3315"/>
      <c r="G3315"/>
      <c r="K3315" s="62"/>
    </row>
    <row r="3316" spans="2:11" s="3" customFormat="1">
      <c r="B3316"/>
      <c r="C3316"/>
      <c r="D3316"/>
      <c r="E3316"/>
      <c r="F3316"/>
      <c r="G3316"/>
      <c r="K3316" s="62"/>
    </row>
    <row r="3317" spans="2:11" s="3" customFormat="1">
      <c r="B3317"/>
      <c r="C3317"/>
      <c r="D3317"/>
      <c r="E3317"/>
      <c r="F3317"/>
      <c r="G3317"/>
      <c r="K3317" s="62"/>
    </row>
    <row r="3318" spans="2:11" s="3" customFormat="1">
      <c r="B3318"/>
      <c r="C3318"/>
      <c r="D3318"/>
      <c r="E3318"/>
      <c r="F3318"/>
      <c r="G3318"/>
      <c r="K3318" s="62"/>
    </row>
    <row r="3319" spans="2:11" s="3" customFormat="1">
      <c r="B3319"/>
      <c r="C3319"/>
      <c r="D3319"/>
      <c r="E3319"/>
      <c r="F3319"/>
      <c r="G3319"/>
      <c r="K3319" s="62"/>
    </row>
    <row r="3320" spans="2:11" s="3" customFormat="1">
      <c r="B3320"/>
      <c r="C3320"/>
      <c r="D3320"/>
      <c r="E3320"/>
      <c r="F3320"/>
      <c r="G3320"/>
      <c r="K3320" s="62"/>
    </row>
    <row r="3321" spans="2:11" s="3" customFormat="1">
      <c r="B3321"/>
      <c r="C3321"/>
      <c r="D3321"/>
      <c r="E3321"/>
      <c r="F3321"/>
      <c r="G3321"/>
      <c r="K3321" s="62"/>
    </row>
    <row r="3322" spans="2:11" s="3" customFormat="1">
      <c r="B3322"/>
      <c r="C3322"/>
      <c r="D3322"/>
      <c r="E3322"/>
      <c r="F3322"/>
      <c r="G3322"/>
      <c r="K3322" s="62"/>
    </row>
    <row r="3323" spans="2:11" s="3" customFormat="1">
      <c r="B3323"/>
      <c r="C3323"/>
      <c r="D3323"/>
      <c r="E3323"/>
      <c r="F3323"/>
      <c r="G3323"/>
      <c r="K3323" s="62"/>
    </row>
    <row r="3324" spans="2:11" s="3" customFormat="1">
      <c r="B3324"/>
      <c r="C3324"/>
      <c r="D3324"/>
      <c r="E3324"/>
      <c r="F3324"/>
      <c r="G3324"/>
      <c r="K3324" s="62"/>
    </row>
    <row r="3325" spans="2:11" s="3" customFormat="1">
      <c r="B3325"/>
      <c r="C3325"/>
      <c r="D3325"/>
      <c r="E3325"/>
      <c r="F3325"/>
      <c r="G3325"/>
      <c r="K3325" s="62"/>
    </row>
    <row r="3326" spans="2:11" s="3" customFormat="1">
      <c r="B3326"/>
      <c r="C3326"/>
      <c r="D3326"/>
      <c r="E3326"/>
      <c r="F3326"/>
      <c r="G3326"/>
      <c r="K3326" s="62"/>
    </row>
    <row r="3327" spans="2:11" s="3" customFormat="1">
      <c r="B3327"/>
      <c r="C3327"/>
      <c r="D3327"/>
      <c r="E3327"/>
      <c r="F3327"/>
      <c r="G3327"/>
      <c r="K3327" s="62"/>
    </row>
    <row r="3328" spans="2:11" s="3" customFormat="1">
      <c r="B3328"/>
      <c r="C3328"/>
      <c r="D3328"/>
      <c r="E3328"/>
      <c r="F3328"/>
      <c r="G3328"/>
      <c r="K3328" s="62"/>
    </row>
    <row r="3329" spans="2:11" s="3" customFormat="1">
      <c r="B3329"/>
      <c r="C3329"/>
      <c r="D3329"/>
      <c r="E3329"/>
      <c r="F3329"/>
      <c r="G3329"/>
      <c r="K3329" s="62"/>
    </row>
    <row r="3330" spans="2:11" s="3" customFormat="1">
      <c r="B3330"/>
      <c r="C3330"/>
      <c r="D3330"/>
      <c r="E3330"/>
      <c r="F3330"/>
      <c r="G3330"/>
      <c r="K3330" s="62"/>
    </row>
    <row r="3331" spans="2:11" s="3" customFormat="1">
      <c r="B3331"/>
      <c r="C3331"/>
      <c r="D3331"/>
      <c r="E3331"/>
      <c r="F3331"/>
      <c r="G3331"/>
      <c r="K3331" s="62"/>
    </row>
    <row r="3332" spans="2:11" s="3" customFormat="1">
      <c r="B3332"/>
      <c r="C3332"/>
      <c r="D3332"/>
      <c r="E3332"/>
      <c r="F3332"/>
      <c r="G3332"/>
      <c r="K3332" s="62"/>
    </row>
    <row r="3333" spans="2:11" s="3" customFormat="1">
      <c r="B3333"/>
      <c r="C3333"/>
      <c r="D3333"/>
      <c r="E3333"/>
      <c r="F3333"/>
      <c r="G3333"/>
      <c r="K3333" s="62"/>
    </row>
    <row r="3334" spans="2:11" s="3" customFormat="1">
      <c r="B3334"/>
      <c r="C3334"/>
      <c r="D3334"/>
      <c r="E3334"/>
      <c r="F3334"/>
      <c r="G3334"/>
      <c r="K3334" s="62"/>
    </row>
    <row r="3335" spans="2:11" s="3" customFormat="1">
      <c r="B3335"/>
      <c r="C3335"/>
      <c r="D3335"/>
      <c r="E3335"/>
      <c r="F3335"/>
      <c r="G3335"/>
      <c r="K3335" s="62"/>
    </row>
    <row r="3336" spans="2:11" s="3" customFormat="1">
      <c r="B3336"/>
      <c r="C3336"/>
      <c r="D3336"/>
      <c r="E3336"/>
      <c r="F3336"/>
      <c r="G3336"/>
      <c r="K3336" s="62"/>
    </row>
    <row r="3337" spans="2:11" s="3" customFormat="1">
      <c r="B3337"/>
      <c r="C3337"/>
      <c r="D3337"/>
      <c r="E3337"/>
      <c r="F3337"/>
      <c r="G3337"/>
      <c r="K3337" s="62"/>
    </row>
    <row r="3338" spans="2:11" s="3" customFormat="1">
      <c r="B3338"/>
      <c r="C3338"/>
      <c r="D3338"/>
      <c r="E3338"/>
      <c r="F3338"/>
      <c r="G3338"/>
      <c r="K3338" s="62"/>
    </row>
    <row r="3339" spans="2:11" s="3" customFormat="1">
      <c r="B3339"/>
      <c r="C3339"/>
      <c r="D3339"/>
      <c r="E3339"/>
      <c r="F3339"/>
      <c r="G3339"/>
      <c r="K3339" s="62"/>
    </row>
    <row r="3340" spans="2:11" s="3" customFormat="1">
      <c r="B3340"/>
      <c r="C3340"/>
      <c r="D3340"/>
      <c r="E3340"/>
      <c r="F3340"/>
      <c r="G3340"/>
      <c r="K3340" s="62"/>
    </row>
    <row r="3341" spans="2:11" s="3" customFormat="1">
      <c r="B3341"/>
      <c r="C3341"/>
      <c r="D3341"/>
      <c r="E3341"/>
      <c r="F3341"/>
      <c r="G3341"/>
      <c r="K3341" s="62"/>
    </row>
    <row r="3342" spans="2:11" s="3" customFormat="1">
      <c r="B3342"/>
      <c r="C3342"/>
      <c r="D3342"/>
      <c r="E3342"/>
      <c r="F3342"/>
      <c r="G3342"/>
      <c r="K3342" s="62"/>
    </row>
    <row r="3343" spans="2:11" s="3" customFormat="1">
      <c r="B3343"/>
      <c r="C3343"/>
      <c r="D3343"/>
      <c r="E3343"/>
      <c r="F3343"/>
      <c r="G3343"/>
      <c r="K3343" s="62"/>
    </row>
    <row r="3344" spans="2:11" s="3" customFormat="1">
      <c r="B3344"/>
      <c r="C3344"/>
      <c r="D3344"/>
      <c r="E3344"/>
      <c r="F3344"/>
      <c r="G3344"/>
      <c r="K3344" s="62"/>
    </row>
    <row r="3345" spans="2:11" s="3" customFormat="1">
      <c r="B3345"/>
      <c r="C3345"/>
      <c r="D3345"/>
      <c r="E3345"/>
      <c r="F3345"/>
      <c r="G3345"/>
      <c r="K3345" s="62"/>
    </row>
    <row r="3346" spans="2:11" s="3" customFormat="1">
      <c r="B3346"/>
      <c r="C3346"/>
      <c r="D3346"/>
      <c r="E3346"/>
      <c r="F3346"/>
      <c r="G3346"/>
      <c r="K3346" s="62"/>
    </row>
    <row r="3347" spans="2:11" s="3" customFormat="1">
      <c r="B3347"/>
      <c r="C3347"/>
      <c r="D3347"/>
      <c r="E3347"/>
      <c r="F3347"/>
      <c r="G3347"/>
      <c r="K3347" s="62"/>
    </row>
    <row r="3348" spans="2:11" s="3" customFormat="1">
      <c r="B3348"/>
      <c r="C3348"/>
      <c r="D3348"/>
      <c r="E3348"/>
      <c r="F3348"/>
      <c r="G3348"/>
      <c r="K3348" s="62"/>
    </row>
    <row r="3349" spans="2:11" s="3" customFormat="1">
      <c r="B3349"/>
      <c r="C3349"/>
      <c r="D3349"/>
      <c r="E3349"/>
      <c r="F3349"/>
      <c r="G3349"/>
      <c r="K3349" s="62"/>
    </row>
    <row r="3350" spans="2:11" s="3" customFormat="1">
      <c r="B3350"/>
      <c r="C3350"/>
      <c r="D3350"/>
      <c r="E3350"/>
      <c r="F3350"/>
      <c r="G3350"/>
      <c r="K3350" s="62"/>
    </row>
    <row r="3351" spans="2:11" s="3" customFormat="1">
      <c r="B3351"/>
      <c r="C3351"/>
      <c r="D3351"/>
      <c r="E3351"/>
      <c r="F3351"/>
      <c r="G3351"/>
      <c r="K3351" s="62"/>
    </row>
    <row r="3352" spans="2:11" s="3" customFormat="1">
      <c r="B3352"/>
      <c r="C3352"/>
      <c r="D3352"/>
      <c r="E3352"/>
      <c r="F3352"/>
      <c r="G3352"/>
      <c r="K3352" s="62"/>
    </row>
    <row r="3353" spans="2:11" s="3" customFormat="1">
      <c r="B3353"/>
      <c r="C3353"/>
      <c r="D3353"/>
      <c r="E3353"/>
      <c r="F3353"/>
      <c r="G3353"/>
      <c r="K3353" s="62"/>
    </row>
    <row r="3354" spans="2:11" s="3" customFormat="1">
      <c r="B3354"/>
      <c r="C3354"/>
      <c r="D3354"/>
      <c r="E3354"/>
      <c r="F3354"/>
      <c r="G3354"/>
      <c r="K3354" s="62"/>
    </row>
    <row r="3355" spans="2:11" s="3" customFormat="1">
      <c r="B3355"/>
      <c r="C3355"/>
      <c r="D3355"/>
      <c r="E3355"/>
      <c r="F3355"/>
      <c r="G3355"/>
      <c r="K3355" s="62"/>
    </row>
    <row r="3356" spans="2:11" s="3" customFormat="1">
      <c r="B3356"/>
      <c r="C3356"/>
      <c r="D3356"/>
      <c r="E3356"/>
      <c r="F3356"/>
      <c r="G3356"/>
      <c r="K3356" s="62"/>
    </row>
    <row r="3357" spans="2:11" s="3" customFormat="1">
      <c r="B3357"/>
      <c r="C3357"/>
      <c r="D3357"/>
      <c r="E3357"/>
      <c r="F3357"/>
      <c r="G3357"/>
      <c r="K3357" s="62"/>
    </row>
    <row r="3358" spans="2:11" s="3" customFormat="1">
      <c r="B3358"/>
      <c r="C3358"/>
      <c r="D3358"/>
      <c r="E3358"/>
      <c r="F3358"/>
      <c r="G3358"/>
      <c r="K3358" s="62"/>
    </row>
    <row r="3359" spans="2:11" s="3" customFormat="1">
      <c r="B3359"/>
      <c r="C3359"/>
      <c r="D3359"/>
      <c r="E3359"/>
      <c r="F3359"/>
      <c r="G3359"/>
      <c r="K3359" s="62"/>
    </row>
    <row r="3360" spans="2:11" s="3" customFormat="1">
      <c r="B3360"/>
      <c r="C3360"/>
      <c r="D3360"/>
      <c r="E3360"/>
      <c r="F3360"/>
      <c r="G3360"/>
      <c r="K3360" s="62"/>
    </row>
    <row r="3361" spans="2:11" s="3" customFormat="1">
      <c r="B3361"/>
      <c r="C3361"/>
      <c r="D3361"/>
      <c r="E3361"/>
      <c r="F3361"/>
      <c r="G3361"/>
      <c r="K3361" s="62"/>
    </row>
    <row r="3362" spans="2:11" s="3" customFormat="1">
      <c r="B3362"/>
      <c r="C3362"/>
      <c r="D3362"/>
      <c r="E3362"/>
      <c r="F3362"/>
      <c r="G3362"/>
      <c r="K3362" s="62"/>
    </row>
    <row r="3363" spans="2:11" s="3" customFormat="1">
      <c r="B3363"/>
      <c r="C3363"/>
      <c r="D3363"/>
      <c r="E3363"/>
      <c r="F3363"/>
      <c r="G3363"/>
      <c r="K3363" s="62"/>
    </row>
    <row r="3364" spans="2:11" s="3" customFormat="1">
      <c r="B3364"/>
      <c r="C3364"/>
      <c r="D3364"/>
      <c r="E3364"/>
      <c r="F3364"/>
      <c r="G3364"/>
      <c r="K3364" s="62"/>
    </row>
    <row r="3365" spans="2:11" s="3" customFormat="1">
      <c r="B3365"/>
      <c r="C3365"/>
      <c r="D3365"/>
      <c r="E3365"/>
      <c r="F3365"/>
      <c r="G3365"/>
      <c r="K3365" s="62"/>
    </row>
    <row r="3366" spans="2:11" s="3" customFormat="1">
      <c r="B3366"/>
      <c r="C3366"/>
      <c r="D3366"/>
      <c r="E3366"/>
      <c r="F3366"/>
      <c r="G3366"/>
      <c r="K3366" s="62"/>
    </row>
    <row r="3367" spans="2:11" s="3" customFormat="1">
      <c r="B3367"/>
      <c r="C3367"/>
      <c r="D3367"/>
      <c r="E3367"/>
      <c r="F3367"/>
      <c r="G3367"/>
      <c r="K3367" s="62"/>
    </row>
    <row r="3368" spans="2:11" s="3" customFormat="1">
      <c r="B3368"/>
      <c r="C3368"/>
      <c r="D3368"/>
      <c r="E3368"/>
      <c r="F3368"/>
      <c r="G3368"/>
      <c r="K3368" s="62"/>
    </row>
    <row r="3369" spans="2:11" s="3" customFormat="1">
      <c r="B3369"/>
      <c r="C3369"/>
      <c r="D3369"/>
      <c r="E3369"/>
      <c r="F3369"/>
      <c r="G3369"/>
      <c r="K3369" s="62"/>
    </row>
    <row r="3370" spans="2:11" s="3" customFormat="1">
      <c r="B3370"/>
      <c r="C3370"/>
      <c r="D3370"/>
      <c r="E3370"/>
      <c r="F3370"/>
      <c r="G3370"/>
      <c r="K3370" s="62"/>
    </row>
    <row r="3371" spans="2:11" s="3" customFormat="1">
      <c r="B3371"/>
      <c r="C3371"/>
      <c r="D3371"/>
      <c r="E3371"/>
      <c r="F3371"/>
      <c r="G3371"/>
      <c r="K3371" s="62"/>
    </row>
    <row r="3372" spans="2:11" s="3" customFormat="1">
      <c r="B3372"/>
      <c r="C3372"/>
      <c r="D3372"/>
      <c r="E3372"/>
      <c r="F3372"/>
      <c r="G3372"/>
      <c r="K3372" s="62"/>
    </row>
    <row r="3373" spans="2:11" s="3" customFormat="1">
      <c r="B3373"/>
      <c r="C3373"/>
      <c r="D3373"/>
      <c r="E3373"/>
      <c r="F3373"/>
      <c r="G3373"/>
      <c r="K3373" s="62"/>
    </row>
    <row r="3374" spans="2:11" s="3" customFormat="1">
      <c r="B3374"/>
      <c r="C3374"/>
      <c r="D3374"/>
      <c r="E3374"/>
      <c r="F3374"/>
      <c r="G3374"/>
      <c r="K3374" s="62"/>
    </row>
    <row r="3375" spans="2:11" s="3" customFormat="1">
      <c r="B3375"/>
      <c r="C3375"/>
      <c r="D3375"/>
      <c r="E3375"/>
      <c r="F3375"/>
      <c r="G3375"/>
      <c r="K3375" s="62"/>
    </row>
    <row r="3376" spans="2:11" s="3" customFormat="1">
      <c r="B3376"/>
      <c r="C3376"/>
      <c r="D3376"/>
      <c r="E3376"/>
      <c r="F3376"/>
      <c r="G3376"/>
      <c r="K3376" s="62"/>
    </row>
    <row r="3377" spans="2:11" s="3" customFormat="1">
      <c r="B3377"/>
      <c r="C3377"/>
      <c r="D3377"/>
      <c r="E3377"/>
      <c r="F3377"/>
      <c r="G3377"/>
      <c r="K3377" s="62"/>
    </row>
    <row r="3378" spans="2:11" s="3" customFormat="1">
      <c r="B3378"/>
      <c r="C3378"/>
      <c r="D3378"/>
      <c r="E3378"/>
      <c r="F3378"/>
      <c r="G3378"/>
      <c r="K3378" s="62"/>
    </row>
    <row r="3379" spans="2:11" s="3" customFormat="1">
      <c r="B3379"/>
      <c r="C3379"/>
      <c r="D3379"/>
      <c r="E3379"/>
      <c r="F3379"/>
      <c r="G3379"/>
      <c r="K3379" s="62"/>
    </row>
    <row r="3380" spans="2:11" s="3" customFormat="1">
      <c r="B3380"/>
      <c r="C3380"/>
      <c r="D3380"/>
      <c r="E3380"/>
      <c r="F3380"/>
      <c r="G3380"/>
      <c r="K3380" s="62"/>
    </row>
    <row r="3381" spans="2:11" s="3" customFormat="1">
      <c r="B3381"/>
      <c r="C3381"/>
      <c r="D3381"/>
      <c r="E3381"/>
      <c r="F3381"/>
      <c r="G3381"/>
      <c r="K3381" s="62"/>
    </row>
    <row r="3382" spans="2:11" s="3" customFormat="1">
      <c r="B3382"/>
      <c r="C3382"/>
      <c r="D3382"/>
      <c r="E3382"/>
      <c r="F3382"/>
      <c r="G3382"/>
      <c r="K3382" s="62"/>
    </row>
    <row r="3383" spans="2:11" s="3" customFormat="1">
      <c r="B3383"/>
      <c r="C3383"/>
      <c r="D3383"/>
      <c r="E3383"/>
      <c r="F3383"/>
      <c r="G3383"/>
      <c r="K3383" s="62"/>
    </row>
    <row r="3384" spans="2:11" s="3" customFormat="1">
      <c r="B3384"/>
      <c r="C3384"/>
      <c r="D3384"/>
      <c r="E3384"/>
      <c r="F3384"/>
      <c r="G3384"/>
      <c r="K3384" s="62"/>
    </row>
    <row r="3385" spans="2:11" s="3" customFormat="1">
      <c r="B3385"/>
      <c r="C3385"/>
      <c r="D3385"/>
      <c r="E3385"/>
      <c r="F3385"/>
      <c r="G3385"/>
      <c r="K3385" s="62"/>
    </row>
    <row r="3386" spans="2:11" s="3" customFormat="1">
      <c r="B3386"/>
      <c r="C3386"/>
      <c r="D3386"/>
      <c r="E3386"/>
      <c r="F3386"/>
      <c r="G3386"/>
      <c r="K3386" s="62"/>
    </row>
    <row r="3387" spans="2:11" s="3" customFormat="1">
      <c r="B3387"/>
      <c r="C3387"/>
      <c r="D3387"/>
      <c r="E3387"/>
      <c r="F3387"/>
      <c r="G3387"/>
      <c r="K3387" s="62"/>
    </row>
    <row r="3388" spans="2:11" s="3" customFormat="1">
      <c r="B3388"/>
      <c r="C3388"/>
      <c r="D3388"/>
      <c r="E3388"/>
      <c r="F3388"/>
      <c r="G3388"/>
      <c r="K3388" s="62"/>
    </row>
    <row r="3389" spans="2:11" s="3" customFormat="1">
      <c r="B3389"/>
      <c r="C3389"/>
      <c r="D3389"/>
      <c r="E3389"/>
      <c r="F3389"/>
      <c r="G3389"/>
      <c r="K3389" s="62"/>
    </row>
    <row r="3390" spans="2:11" s="3" customFormat="1">
      <c r="B3390"/>
      <c r="C3390"/>
      <c r="D3390"/>
      <c r="E3390"/>
      <c r="F3390"/>
      <c r="G3390"/>
      <c r="K3390" s="62"/>
    </row>
    <row r="3391" spans="2:11" s="3" customFormat="1">
      <c r="B3391"/>
      <c r="C3391"/>
      <c r="D3391"/>
      <c r="E3391"/>
      <c r="F3391"/>
      <c r="G3391"/>
      <c r="K3391" s="62"/>
    </row>
    <row r="3392" spans="2:11" s="3" customFormat="1">
      <c r="B3392"/>
      <c r="C3392"/>
      <c r="D3392"/>
      <c r="E3392"/>
      <c r="F3392"/>
      <c r="G3392"/>
      <c r="K3392" s="62"/>
    </row>
    <row r="3393" spans="2:11" s="3" customFormat="1">
      <c r="B3393"/>
      <c r="C3393"/>
      <c r="D3393"/>
      <c r="E3393"/>
      <c r="F3393"/>
      <c r="G3393"/>
      <c r="K3393" s="62"/>
    </row>
    <row r="3394" spans="2:11" s="3" customFormat="1">
      <c r="B3394"/>
      <c r="C3394"/>
      <c r="D3394"/>
      <c r="E3394"/>
      <c r="F3394"/>
      <c r="G3394"/>
      <c r="K3394" s="62"/>
    </row>
    <row r="3395" spans="2:11" s="3" customFormat="1">
      <c r="B3395"/>
      <c r="C3395"/>
      <c r="D3395"/>
      <c r="E3395"/>
      <c r="F3395"/>
      <c r="G3395"/>
      <c r="K3395" s="62"/>
    </row>
    <row r="3396" spans="2:11" s="3" customFormat="1">
      <c r="B3396"/>
      <c r="C3396"/>
      <c r="D3396"/>
      <c r="E3396"/>
      <c r="F3396"/>
      <c r="G3396"/>
      <c r="K3396" s="62"/>
    </row>
    <row r="3397" spans="2:11" s="3" customFormat="1">
      <c r="B3397"/>
      <c r="C3397"/>
      <c r="D3397"/>
      <c r="E3397"/>
      <c r="F3397"/>
      <c r="G3397"/>
      <c r="K3397" s="62"/>
    </row>
    <row r="3398" spans="2:11" s="3" customFormat="1">
      <c r="B3398"/>
      <c r="C3398"/>
      <c r="D3398"/>
      <c r="E3398"/>
      <c r="F3398"/>
      <c r="G3398"/>
      <c r="K3398" s="62"/>
    </row>
    <row r="3399" spans="2:11" s="3" customFormat="1">
      <c r="B3399"/>
      <c r="C3399"/>
      <c r="D3399"/>
      <c r="E3399"/>
      <c r="F3399"/>
      <c r="G3399"/>
      <c r="K3399" s="62"/>
    </row>
    <row r="3400" spans="2:11" s="3" customFormat="1">
      <c r="B3400"/>
      <c r="C3400"/>
      <c r="D3400"/>
      <c r="E3400"/>
      <c r="F3400"/>
      <c r="G3400"/>
      <c r="K3400" s="62"/>
    </row>
    <row r="3401" spans="2:11" s="3" customFormat="1">
      <c r="B3401"/>
      <c r="C3401"/>
      <c r="D3401"/>
      <c r="E3401"/>
      <c r="F3401"/>
      <c r="G3401"/>
      <c r="K3401" s="62"/>
    </row>
    <row r="3402" spans="2:11" s="3" customFormat="1">
      <c r="B3402"/>
      <c r="C3402"/>
      <c r="D3402"/>
      <c r="E3402"/>
      <c r="F3402"/>
      <c r="G3402"/>
      <c r="K3402" s="62"/>
    </row>
    <row r="3403" spans="2:11" s="3" customFormat="1">
      <c r="B3403"/>
      <c r="C3403"/>
      <c r="D3403"/>
      <c r="E3403"/>
      <c r="F3403"/>
      <c r="G3403"/>
      <c r="K3403" s="62"/>
    </row>
    <row r="3404" spans="2:11" s="3" customFormat="1">
      <c r="B3404"/>
      <c r="C3404"/>
      <c r="D3404"/>
      <c r="E3404"/>
      <c r="F3404"/>
      <c r="G3404"/>
      <c r="K3404" s="62"/>
    </row>
    <row r="3405" spans="2:11" s="3" customFormat="1">
      <c r="B3405"/>
      <c r="C3405"/>
      <c r="D3405"/>
      <c r="E3405"/>
      <c r="F3405"/>
      <c r="G3405"/>
      <c r="K3405" s="62"/>
    </row>
    <row r="3406" spans="2:11" s="3" customFormat="1">
      <c r="B3406"/>
      <c r="C3406"/>
      <c r="D3406"/>
      <c r="E3406"/>
      <c r="F3406"/>
      <c r="G3406"/>
      <c r="K3406" s="62"/>
    </row>
    <row r="3407" spans="2:11" s="3" customFormat="1">
      <c r="B3407"/>
      <c r="C3407"/>
      <c r="D3407"/>
      <c r="E3407"/>
      <c r="F3407"/>
      <c r="G3407"/>
      <c r="K3407" s="62"/>
    </row>
    <row r="3408" spans="2:11" s="3" customFormat="1">
      <c r="B3408"/>
      <c r="C3408"/>
      <c r="D3408"/>
      <c r="E3408"/>
      <c r="F3408"/>
      <c r="G3408"/>
      <c r="K3408" s="62"/>
    </row>
    <row r="3409" spans="2:11" s="3" customFormat="1">
      <c r="B3409"/>
      <c r="C3409"/>
      <c r="D3409"/>
      <c r="E3409"/>
      <c r="F3409"/>
      <c r="G3409"/>
      <c r="K3409" s="62"/>
    </row>
    <row r="3410" spans="2:11" s="3" customFormat="1">
      <c r="B3410"/>
      <c r="C3410"/>
      <c r="D3410"/>
      <c r="E3410"/>
      <c r="F3410"/>
      <c r="G3410"/>
      <c r="K3410" s="62"/>
    </row>
    <row r="3411" spans="2:11" s="3" customFormat="1">
      <c r="B3411"/>
      <c r="C3411"/>
      <c r="D3411"/>
      <c r="E3411"/>
      <c r="F3411"/>
      <c r="G3411"/>
      <c r="K3411" s="62"/>
    </row>
    <row r="3412" spans="2:11" s="3" customFormat="1">
      <c r="B3412"/>
      <c r="C3412"/>
      <c r="D3412"/>
      <c r="E3412"/>
      <c r="F3412"/>
      <c r="G3412"/>
      <c r="K3412" s="62"/>
    </row>
    <row r="3413" spans="2:11" s="3" customFormat="1">
      <c r="B3413"/>
      <c r="C3413"/>
      <c r="D3413"/>
      <c r="E3413"/>
      <c r="F3413"/>
      <c r="G3413"/>
      <c r="K3413" s="62"/>
    </row>
    <row r="3414" spans="2:11" s="3" customFormat="1">
      <c r="B3414"/>
      <c r="C3414"/>
      <c r="D3414"/>
      <c r="E3414"/>
      <c r="F3414"/>
      <c r="G3414"/>
      <c r="K3414" s="62"/>
    </row>
    <row r="3415" spans="2:11" s="3" customFormat="1">
      <c r="B3415"/>
      <c r="C3415"/>
      <c r="D3415"/>
      <c r="E3415"/>
      <c r="F3415"/>
      <c r="G3415"/>
      <c r="K3415" s="62"/>
    </row>
    <row r="3416" spans="2:11" s="3" customFormat="1">
      <c r="B3416"/>
      <c r="C3416"/>
      <c r="D3416"/>
      <c r="E3416"/>
      <c r="F3416"/>
      <c r="G3416"/>
      <c r="K3416" s="62"/>
    </row>
    <row r="3417" spans="2:11" s="3" customFormat="1">
      <c r="B3417"/>
      <c r="C3417"/>
      <c r="D3417"/>
      <c r="E3417"/>
      <c r="F3417"/>
      <c r="G3417"/>
      <c r="K3417" s="62"/>
    </row>
    <row r="3418" spans="2:11" s="3" customFormat="1">
      <c r="B3418"/>
      <c r="C3418"/>
      <c r="D3418"/>
      <c r="E3418"/>
      <c r="F3418"/>
      <c r="G3418"/>
      <c r="K3418" s="62"/>
    </row>
    <row r="3419" spans="2:11" s="3" customFormat="1">
      <c r="B3419"/>
      <c r="C3419"/>
      <c r="D3419"/>
      <c r="E3419"/>
      <c r="F3419"/>
      <c r="G3419"/>
      <c r="K3419" s="62"/>
    </row>
    <row r="3420" spans="2:11" s="3" customFormat="1">
      <c r="B3420"/>
      <c r="C3420"/>
      <c r="D3420"/>
      <c r="E3420"/>
      <c r="F3420"/>
      <c r="G3420"/>
      <c r="K3420" s="62"/>
    </row>
    <row r="3421" spans="2:11" s="3" customFormat="1">
      <c r="B3421"/>
      <c r="C3421"/>
      <c r="D3421"/>
      <c r="E3421"/>
      <c r="F3421"/>
      <c r="G3421"/>
      <c r="K3421" s="62"/>
    </row>
    <row r="3422" spans="2:11" s="3" customFormat="1">
      <c r="B3422"/>
      <c r="C3422"/>
      <c r="D3422"/>
      <c r="E3422"/>
      <c r="F3422"/>
      <c r="G3422"/>
      <c r="K3422" s="62"/>
    </row>
    <row r="3423" spans="2:11" s="3" customFormat="1">
      <c r="B3423"/>
      <c r="C3423"/>
      <c r="D3423"/>
      <c r="E3423"/>
      <c r="F3423"/>
      <c r="G3423"/>
      <c r="K3423" s="62"/>
    </row>
    <row r="3424" spans="2:11" s="3" customFormat="1">
      <c r="B3424"/>
      <c r="C3424"/>
      <c r="D3424"/>
      <c r="E3424"/>
      <c r="F3424"/>
      <c r="G3424"/>
      <c r="K3424" s="62"/>
    </row>
    <row r="3425" spans="2:11" s="3" customFormat="1">
      <c r="B3425"/>
      <c r="C3425"/>
      <c r="D3425"/>
      <c r="E3425"/>
      <c r="F3425"/>
      <c r="G3425"/>
      <c r="K3425" s="62"/>
    </row>
    <row r="3426" spans="2:11" s="3" customFormat="1">
      <c r="B3426"/>
      <c r="C3426"/>
      <c r="D3426"/>
      <c r="E3426"/>
      <c r="F3426"/>
      <c r="G3426"/>
      <c r="K3426" s="62"/>
    </row>
    <row r="3427" spans="2:11" s="3" customFormat="1">
      <c r="B3427"/>
      <c r="C3427"/>
      <c r="D3427"/>
      <c r="E3427"/>
      <c r="F3427"/>
      <c r="G3427"/>
      <c r="K3427" s="62"/>
    </row>
    <row r="3428" spans="2:11" s="3" customFormat="1">
      <c r="B3428"/>
      <c r="C3428"/>
      <c r="D3428"/>
      <c r="E3428"/>
      <c r="F3428"/>
      <c r="G3428"/>
      <c r="K3428" s="62"/>
    </row>
    <row r="3429" spans="2:11" s="3" customFormat="1">
      <c r="B3429"/>
      <c r="C3429"/>
      <c r="D3429"/>
      <c r="E3429"/>
      <c r="F3429"/>
      <c r="G3429"/>
      <c r="K3429" s="62"/>
    </row>
    <row r="3430" spans="2:11" s="3" customFormat="1">
      <c r="B3430"/>
      <c r="C3430"/>
      <c r="D3430"/>
      <c r="E3430"/>
      <c r="F3430"/>
      <c r="G3430"/>
      <c r="K3430" s="62"/>
    </row>
    <row r="3431" spans="2:11" s="3" customFormat="1">
      <c r="B3431"/>
      <c r="C3431"/>
      <c r="D3431"/>
      <c r="E3431"/>
      <c r="F3431"/>
      <c r="G3431"/>
      <c r="K3431" s="62"/>
    </row>
    <row r="3432" spans="2:11" s="3" customFormat="1">
      <c r="B3432"/>
      <c r="C3432"/>
      <c r="D3432"/>
      <c r="E3432"/>
      <c r="F3432"/>
      <c r="G3432"/>
      <c r="K3432" s="62"/>
    </row>
    <row r="3433" spans="2:11" s="3" customFormat="1">
      <c r="B3433"/>
      <c r="C3433"/>
      <c r="D3433"/>
      <c r="E3433"/>
      <c r="F3433"/>
      <c r="G3433"/>
      <c r="K3433" s="62"/>
    </row>
    <row r="3434" spans="2:11" s="3" customFormat="1">
      <c r="B3434"/>
      <c r="C3434"/>
      <c r="D3434"/>
      <c r="E3434"/>
      <c r="F3434"/>
      <c r="G3434"/>
      <c r="K3434" s="62"/>
    </row>
    <row r="3435" spans="2:11" s="3" customFormat="1">
      <c r="B3435"/>
      <c r="C3435"/>
      <c r="D3435"/>
      <c r="E3435"/>
      <c r="F3435"/>
      <c r="G3435"/>
      <c r="K3435" s="62"/>
    </row>
    <row r="3436" spans="2:11" s="3" customFormat="1">
      <c r="B3436"/>
      <c r="C3436"/>
      <c r="D3436"/>
      <c r="E3436"/>
      <c r="F3436"/>
      <c r="G3436"/>
      <c r="K3436" s="62"/>
    </row>
    <row r="3437" spans="2:11" s="3" customFormat="1">
      <c r="B3437"/>
      <c r="C3437"/>
      <c r="D3437"/>
      <c r="E3437"/>
      <c r="F3437"/>
      <c r="G3437"/>
      <c r="K3437" s="62"/>
    </row>
    <row r="3438" spans="2:11" s="3" customFormat="1">
      <c r="B3438"/>
      <c r="C3438"/>
      <c r="D3438"/>
      <c r="E3438"/>
      <c r="F3438"/>
      <c r="G3438"/>
      <c r="K3438" s="62"/>
    </row>
    <row r="3439" spans="2:11" s="3" customFormat="1">
      <c r="B3439"/>
      <c r="C3439"/>
      <c r="D3439"/>
      <c r="E3439"/>
      <c r="F3439"/>
      <c r="G3439"/>
      <c r="K3439" s="62"/>
    </row>
    <row r="3440" spans="2:11" s="3" customFormat="1">
      <c r="B3440"/>
      <c r="C3440"/>
      <c r="D3440"/>
      <c r="E3440"/>
      <c r="F3440"/>
      <c r="G3440"/>
      <c r="K3440" s="62"/>
    </row>
    <row r="3441" spans="2:11" s="3" customFormat="1">
      <c r="B3441"/>
      <c r="C3441"/>
      <c r="D3441"/>
      <c r="E3441"/>
      <c r="F3441"/>
      <c r="G3441"/>
      <c r="K3441" s="62"/>
    </row>
    <row r="3442" spans="2:11" s="3" customFormat="1">
      <c r="B3442"/>
      <c r="C3442"/>
      <c r="D3442"/>
      <c r="E3442"/>
      <c r="F3442"/>
      <c r="G3442"/>
      <c r="K3442" s="62"/>
    </row>
    <row r="3443" spans="2:11" s="3" customFormat="1">
      <c r="B3443"/>
      <c r="C3443"/>
      <c r="D3443"/>
      <c r="E3443"/>
      <c r="F3443"/>
      <c r="G3443"/>
      <c r="K3443" s="62"/>
    </row>
    <row r="3444" spans="2:11" s="3" customFormat="1">
      <c r="B3444"/>
      <c r="C3444"/>
      <c r="D3444"/>
      <c r="E3444"/>
      <c r="F3444"/>
      <c r="G3444"/>
      <c r="K3444" s="62"/>
    </row>
    <row r="3445" spans="2:11" s="3" customFormat="1">
      <c r="B3445"/>
      <c r="C3445"/>
      <c r="D3445"/>
      <c r="E3445"/>
      <c r="F3445"/>
      <c r="G3445"/>
      <c r="K3445" s="62"/>
    </row>
    <row r="3446" spans="2:11" s="3" customFormat="1">
      <c r="B3446"/>
      <c r="C3446"/>
      <c r="D3446"/>
      <c r="E3446"/>
      <c r="F3446"/>
      <c r="G3446"/>
      <c r="K3446" s="62"/>
    </row>
    <row r="3447" spans="2:11" s="3" customFormat="1">
      <c r="B3447"/>
      <c r="C3447"/>
      <c r="D3447"/>
      <c r="E3447"/>
      <c r="F3447"/>
      <c r="G3447"/>
      <c r="K3447" s="62"/>
    </row>
    <row r="3448" spans="2:11" s="3" customFormat="1">
      <c r="B3448"/>
      <c r="C3448"/>
      <c r="D3448"/>
      <c r="E3448"/>
      <c r="F3448"/>
      <c r="G3448"/>
      <c r="K3448" s="62"/>
    </row>
    <row r="3449" spans="2:11" s="3" customFormat="1">
      <c r="B3449"/>
      <c r="C3449"/>
      <c r="D3449"/>
      <c r="E3449"/>
      <c r="F3449"/>
      <c r="G3449"/>
      <c r="K3449" s="62"/>
    </row>
    <row r="3450" spans="2:11" s="3" customFormat="1">
      <c r="B3450"/>
      <c r="C3450"/>
      <c r="D3450"/>
      <c r="E3450"/>
      <c r="F3450"/>
      <c r="G3450"/>
      <c r="K3450" s="62"/>
    </row>
    <row r="3451" spans="2:11" s="3" customFormat="1">
      <c r="B3451"/>
      <c r="C3451"/>
      <c r="D3451"/>
      <c r="E3451"/>
      <c r="F3451"/>
      <c r="G3451"/>
      <c r="K3451" s="62"/>
    </row>
    <row r="3452" spans="2:11" s="3" customFormat="1">
      <c r="B3452"/>
      <c r="C3452"/>
      <c r="D3452"/>
      <c r="E3452"/>
      <c r="F3452"/>
      <c r="G3452"/>
      <c r="K3452" s="62"/>
    </row>
    <row r="3453" spans="2:11" s="3" customFormat="1">
      <c r="B3453"/>
      <c r="C3453"/>
      <c r="D3453"/>
      <c r="E3453"/>
      <c r="F3453"/>
      <c r="G3453"/>
      <c r="K3453" s="62"/>
    </row>
    <row r="3454" spans="2:11" s="3" customFormat="1">
      <c r="B3454"/>
      <c r="C3454"/>
      <c r="D3454"/>
      <c r="E3454"/>
      <c r="F3454"/>
      <c r="G3454"/>
      <c r="K3454" s="62"/>
    </row>
    <row r="3455" spans="2:11" s="3" customFormat="1">
      <c r="B3455"/>
      <c r="C3455"/>
      <c r="D3455"/>
      <c r="E3455"/>
      <c r="F3455"/>
      <c r="G3455"/>
      <c r="K3455" s="62"/>
    </row>
    <row r="3456" spans="2:11" s="3" customFormat="1">
      <c r="B3456"/>
      <c r="C3456"/>
      <c r="D3456"/>
      <c r="E3456"/>
      <c r="F3456"/>
      <c r="G3456"/>
      <c r="K3456" s="62"/>
    </row>
    <row r="3457" spans="2:11" s="3" customFormat="1">
      <c r="B3457"/>
      <c r="C3457"/>
      <c r="D3457"/>
      <c r="E3457"/>
      <c r="F3457"/>
      <c r="G3457"/>
      <c r="K3457" s="62"/>
    </row>
    <row r="3458" spans="2:11" s="3" customFormat="1">
      <c r="B3458"/>
      <c r="C3458"/>
      <c r="D3458"/>
      <c r="E3458"/>
      <c r="F3458"/>
      <c r="G3458"/>
      <c r="K3458" s="62"/>
    </row>
    <row r="3459" spans="2:11" s="3" customFormat="1">
      <c r="B3459"/>
      <c r="C3459"/>
      <c r="D3459"/>
      <c r="E3459"/>
      <c r="F3459"/>
      <c r="G3459"/>
      <c r="K3459" s="62"/>
    </row>
    <row r="3460" spans="2:11" s="3" customFormat="1">
      <c r="B3460"/>
      <c r="C3460"/>
      <c r="D3460"/>
      <c r="E3460"/>
      <c r="F3460"/>
      <c r="G3460"/>
      <c r="K3460" s="62"/>
    </row>
    <row r="3461" spans="2:11" s="3" customFormat="1">
      <c r="B3461"/>
      <c r="C3461"/>
      <c r="D3461"/>
      <c r="E3461"/>
      <c r="F3461"/>
      <c r="G3461"/>
      <c r="K3461" s="62"/>
    </row>
    <row r="3462" spans="2:11" s="3" customFormat="1">
      <c r="B3462"/>
      <c r="C3462"/>
      <c r="D3462"/>
      <c r="E3462"/>
      <c r="F3462"/>
      <c r="G3462"/>
      <c r="K3462" s="62"/>
    </row>
    <row r="3463" spans="2:11" s="3" customFormat="1">
      <c r="B3463"/>
      <c r="C3463"/>
      <c r="D3463"/>
      <c r="E3463"/>
      <c r="F3463"/>
      <c r="G3463"/>
      <c r="K3463" s="62"/>
    </row>
    <row r="3464" spans="2:11" s="3" customFormat="1">
      <c r="B3464"/>
      <c r="C3464"/>
      <c r="D3464"/>
      <c r="E3464"/>
      <c r="F3464"/>
      <c r="G3464"/>
      <c r="K3464" s="62"/>
    </row>
    <row r="3465" spans="2:11" s="3" customFormat="1">
      <c r="B3465"/>
      <c r="C3465"/>
      <c r="D3465"/>
      <c r="E3465"/>
      <c r="F3465"/>
      <c r="G3465"/>
      <c r="K3465" s="62"/>
    </row>
    <row r="3466" spans="2:11" s="3" customFormat="1">
      <c r="B3466"/>
      <c r="C3466"/>
      <c r="D3466"/>
      <c r="E3466"/>
      <c r="F3466"/>
      <c r="G3466"/>
      <c r="K3466" s="62"/>
    </row>
    <row r="3467" spans="2:11" s="3" customFormat="1">
      <c r="B3467"/>
      <c r="C3467"/>
      <c r="D3467"/>
      <c r="E3467"/>
      <c r="F3467"/>
      <c r="G3467"/>
      <c r="K3467" s="62"/>
    </row>
    <row r="3468" spans="2:11" s="3" customFormat="1">
      <c r="B3468"/>
      <c r="C3468"/>
      <c r="D3468"/>
      <c r="E3468"/>
      <c r="F3468"/>
      <c r="G3468"/>
      <c r="K3468" s="62"/>
    </row>
    <row r="3469" spans="2:11" s="3" customFormat="1">
      <c r="B3469"/>
      <c r="C3469"/>
      <c r="D3469"/>
      <c r="E3469"/>
      <c r="F3469"/>
      <c r="G3469"/>
      <c r="K3469" s="62"/>
    </row>
    <row r="3470" spans="2:11" s="3" customFormat="1">
      <c r="B3470"/>
      <c r="C3470"/>
      <c r="D3470"/>
      <c r="E3470"/>
      <c r="F3470"/>
      <c r="G3470"/>
      <c r="K3470" s="62"/>
    </row>
    <row r="3471" spans="2:11" s="3" customFormat="1">
      <c r="B3471"/>
      <c r="C3471"/>
      <c r="D3471"/>
      <c r="E3471"/>
      <c r="F3471"/>
      <c r="G3471"/>
      <c r="K3471" s="62"/>
    </row>
    <row r="3472" spans="2:11" s="3" customFormat="1">
      <c r="B3472"/>
      <c r="C3472"/>
      <c r="D3472"/>
      <c r="E3472"/>
      <c r="F3472"/>
      <c r="G3472"/>
      <c r="K3472" s="62"/>
    </row>
    <row r="3473" spans="2:11" s="3" customFormat="1">
      <c r="B3473"/>
      <c r="C3473"/>
      <c r="D3473"/>
      <c r="E3473"/>
      <c r="F3473"/>
      <c r="G3473"/>
      <c r="K3473" s="62"/>
    </row>
    <row r="3474" spans="2:11" s="3" customFormat="1">
      <c r="B3474"/>
      <c r="C3474"/>
      <c r="D3474"/>
      <c r="E3474"/>
      <c r="F3474"/>
      <c r="G3474"/>
      <c r="K3474" s="62"/>
    </row>
    <row r="3475" spans="2:11" s="3" customFormat="1">
      <c r="B3475"/>
      <c r="C3475"/>
      <c r="D3475"/>
      <c r="E3475"/>
      <c r="F3475"/>
      <c r="G3475"/>
      <c r="K3475" s="62"/>
    </row>
    <row r="3476" spans="2:11" s="3" customFormat="1">
      <c r="B3476"/>
      <c r="C3476"/>
      <c r="D3476"/>
      <c r="E3476"/>
      <c r="F3476"/>
      <c r="G3476"/>
      <c r="K3476" s="62"/>
    </row>
    <row r="3477" spans="2:11" s="3" customFormat="1">
      <c r="B3477"/>
      <c r="C3477"/>
      <c r="D3477"/>
      <c r="E3477"/>
      <c r="F3477"/>
      <c r="G3477"/>
      <c r="K3477" s="62"/>
    </row>
    <row r="3478" spans="2:11" s="3" customFormat="1">
      <c r="B3478"/>
      <c r="C3478"/>
      <c r="D3478"/>
      <c r="E3478"/>
      <c r="F3478"/>
      <c r="G3478"/>
      <c r="K3478" s="62"/>
    </row>
    <row r="3479" spans="2:11" s="3" customFormat="1">
      <c r="B3479"/>
      <c r="C3479"/>
      <c r="D3479"/>
      <c r="E3479"/>
      <c r="F3479"/>
      <c r="G3479"/>
      <c r="K3479" s="62"/>
    </row>
    <row r="3480" spans="2:11" s="3" customFormat="1">
      <c r="B3480"/>
      <c r="C3480"/>
      <c r="D3480"/>
      <c r="E3480"/>
      <c r="F3480"/>
      <c r="G3480"/>
      <c r="K3480" s="62"/>
    </row>
    <row r="3481" spans="2:11" s="3" customFormat="1">
      <c r="B3481"/>
      <c r="C3481"/>
      <c r="D3481"/>
      <c r="E3481"/>
      <c r="F3481"/>
      <c r="G3481"/>
      <c r="K3481" s="62"/>
    </row>
    <row r="3482" spans="2:11" s="3" customFormat="1">
      <c r="B3482"/>
      <c r="C3482"/>
      <c r="D3482"/>
      <c r="E3482"/>
      <c r="F3482"/>
      <c r="G3482"/>
      <c r="K3482" s="62"/>
    </row>
    <row r="3483" spans="2:11" s="3" customFormat="1">
      <c r="B3483"/>
      <c r="C3483"/>
      <c r="D3483"/>
      <c r="E3483"/>
      <c r="F3483"/>
      <c r="G3483"/>
      <c r="K3483" s="62"/>
    </row>
    <row r="3484" spans="2:11" s="3" customFormat="1">
      <c r="B3484"/>
      <c r="C3484"/>
      <c r="D3484"/>
      <c r="E3484"/>
      <c r="F3484"/>
      <c r="G3484"/>
      <c r="K3484" s="62"/>
    </row>
    <row r="3485" spans="2:11" s="3" customFormat="1">
      <c r="B3485"/>
      <c r="C3485"/>
      <c r="D3485"/>
      <c r="E3485"/>
      <c r="F3485"/>
      <c r="G3485"/>
      <c r="K3485" s="62"/>
    </row>
    <row r="3486" spans="2:11" s="3" customFormat="1">
      <c r="B3486"/>
      <c r="C3486"/>
      <c r="D3486"/>
      <c r="E3486"/>
      <c r="F3486"/>
      <c r="G3486"/>
      <c r="K3486" s="62"/>
    </row>
    <row r="3487" spans="2:11" s="3" customFormat="1">
      <c r="B3487"/>
      <c r="C3487"/>
      <c r="D3487"/>
      <c r="E3487"/>
      <c r="F3487"/>
      <c r="G3487"/>
      <c r="K3487" s="62"/>
    </row>
    <row r="3488" spans="2:11" s="3" customFormat="1">
      <c r="B3488"/>
      <c r="C3488"/>
      <c r="D3488"/>
      <c r="E3488"/>
      <c r="F3488"/>
      <c r="G3488"/>
      <c r="K3488" s="62"/>
    </row>
    <row r="3489" spans="2:11" s="3" customFormat="1">
      <c r="B3489"/>
      <c r="C3489"/>
      <c r="D3489"/>
      <c r="E3489"/>
      <c r="F3489"/>
      <c r="G3489"/>
      <c r="K3489" s="62"/>
    </row>
    <row r="3490" spans="2:11" s="3" customFormat="1">
      <c r="B3490"/>
      <c r="C3490"/>
      <c r="D3490"/>
      <c r="E3490"/>
      <c r="F3490"/>
      <c r="G3490"/>
      <c r="K3490" s="62"/>
    </row>
    <row r="3491" spans="2:11" s="3" customFormat="1">
      <c r="B3491"/>
      <c r="C3491"/>
      <c r="D3491"/>
      <c r="E3491"/>
      <c r="F3491"/>
      <c r="G3491"/>
      <c r="K3491" s="62"/>
    </row>
    <row r="3492" spans="2:11" s="3" customFormat="1">
      <c r="B3492"/>
      <c r="C3492"/>
      <c r="D3492"/>
      <c r="E3492"/>
      <c r="F3492"/>
      <c r="G3492"/>
      <c r="K3492" s="62"/>
    </row>
    <row r="3493" spans="2:11" s="3" customFormat="1">
      <c r="B3493"/>
      <c r="C3493"/>
      <c r="D3493"/>
      <c r="E3493"/>
      <c r="F3493"/>
      <c r="G3493"/>
      <c r="K3493" s="62"/>
    </row>
    <row r="3494" spans="2:11" s="3" customFormat="1">
      <c r="B3494"/>
      <c r="C3494"/>
      <c r="D3494"/>
      <c r="E3494"/>
      <c r="F3494"/>
      <c r="G3494"/>
      <c r="K3494" s="62"/>
    </row>
    <row r="3495" spans="2:11" s="3" customFormat="1">
      <c r="B3495"/>
      <c r="C3495"/>
      <c r="D3495"/>
      <c r="E3495"/>
      <c r="F3495"/>
      <c r="G3495"/>
      <c r="K3495" s="62"/>
    </row>
    <row r="3496" spans="2:11" s="3" customFormat="1">
      <c r="B3496"/>
      <c r="C3496"/>
      <c r="D3496"/>
      <c r="E3496"/>
      <c r="F3496"/>
      <c r="G3496"/>
      <c r="K3496" s="62"/>
    </row>
    <row r="3497" spans="2:11" s="3" customFormat="1">
      <c r="B3497"/>
      <c r="C3497"/>
      <c r="D3497"/>
      <c r="E3497"/>
      <c r="F3497"/>
      <c r="G3497"/>
      <c r="K3497" s="62"/>
    </row>
    <row r="3498" spans="2:11" s="3" customFormat="1">
      <c r="B3498"/>
      <c r="C3498"/>
      <c r="D3498"/>
      <c r="E3498"/>
      <c r="F3498"/>
      <c r="G3498"/>
      <c r="K3498" s="62"/>
    </row>
    <row r="3499" spans="2:11" s="3" customFormat="1">
      <c r="B3499"/>
      <c r="C3499"/>
      <c r="D3499"/>
      <c r="E3499"/>
      <c r="F3499"/>
      <c r="G3499"/>
      <c r="K3499" s="62"/>
    </row>
    <row r="3500" spans="2:11" s="3" customFormat="1">
      <c r="B3500"/>
      <c r="C3500"/>
      <c r="D3500"/>
      <c r="E3500"/>
      <c r="F3500"/>
      <c r="G3500"/>
      <c r="K3500" s="62"/>
    </row>
    <row r="3501" spans="2:11" s="3" customFormat="1">
      <c r="B3501"/>
      <c r="C3501"/>
      <c r="D3501"/>
      <c r="E3501"/>
      <c r="F3501"/>
      <c r="G3501"/>
      <c r="K3501" s="62"/>
    </row>
    <row r="3502" spans="2:11" s="3" customFormat="1">
      <c r="B3502"/>
      <c r="C3502"/>
      <c r="D3502"/>
      <c r="E3502"/>
      <c r="F3502"/>
      <c r="G3502"/>
      <c r="K3502" s="62"/>
    </row>
    <row r="3503" spans="2:11" s="3" customFormat="1">
      <c r="B3503"/>
      <c r="C3503"/>
      <c r="D3503"/>
      <c r="E3503"/>
      <c r="F3503"/>
      <c r="G3503"/>
      <c r="K3503" s="62"/>
    </row>
    <row r="3504" spans="2:11" s="3" customFormat="1">
      <c r="B3504"/>
      <c r="C3504"/>
      <c r="D3504"/>
      <c r="E3504"/>
      <c r="F3504"/>
      <c r="G3504"/>
      <c r="K3504" s="62"/>
    </row>
    <row r="3505" spans="2:11" s="3" customFormat="1">
      <c r="B3505"/>
      <c r="C3505"/>
      <c r="D3505"/>
      <c r="E3505"/>
      <c r="F3505"/>
      <c r="G3505"/>
      <c r="K3505" s="62"/>
    </row>
    <row r="3506" spans="2:11" s="3" customFormat="1">
      <c r="B3506"/>
      <c r="C3506"/>
      <c r="D3506"/>
      <c r="E3506"/>
      <c r="F3506"/>
      <c r="G3506"/>
      <c r="K3506" s="62"/>
    </row>
    <row r="3507" spans="2:11" s="3" customFormat="1">
      <c r="B3507"/>
      <c r="C3507"/>
      <c r="D3507"/>
      <c r="E3507"/>
      <c r="F3507"/>
      <c r="G3507"/>
      <c r="K3507" s="62"/>
    </row>
    <row r="3508" spans="2:11" s="3" customFormat="1">
      <c r="B3508"/>
      <c r="C3508"/>
      <c r="D3508"/>
      <c r="E3508"/>
      <c r="F3508"/>
      <c r="G3508"/>
      <c r="K3508" s="62"/>
    </row>
    <row r="3509" spans="2:11" s="3" customFormat="1">
      <c r="B3509"/>
      <c r="C3509"/>
      <c r="D3509"/>
      <c r="E3509"/>
      <c r="F3509"/>
      <c r="G3509"/>
      <c r="K3509" s="62"/>
    </row>
    <row r="3510" spans="2:11" s="3" customFormat="1">
      <c r="B3510"/>
      <c r="C3510"/>
      <c r="D3510"/>
      <c r="E3510"/>
      <c r="F3510"/>
      <c r="G3510"/>
      <c r="K3510" s="62"/>
    </row>
    <row r="3511" spans="2:11" s="3" customFormat="1">
      <c r="B3511"/>
      <c r="C3511"/>
      <c r="D3511"/>
      <c r="E3511"/>
      <c r="F3511"/>
      <c r="G3511"/>
      <c r="K3511" s="62"/>
    </row>
    <row r="3512" spans="2:11" s="3" customFormat="1">
      <c r="B3512"/>
      <c r="C3512"/>
      <c r="D3512"/>
      <c r="E3512"/>
      <c r="F3512"/>
      <c r="G3512"/>
      <c r="K3512" s="62"/>
    </row>
    <row r="3513" spans="2:11" s="3" customFormat="1">
      <c r="B3513"/>
      <c r="C3513"/>
      <c r="D3513"/>
      <c r="E3513"/>
      <c r="F3513"/>
      <c r="G3513"/>
      <c r="K3513" s="62"/>
    </row>
    <row r="3514" spans="2:11" s="3" customFormat="1">
      <c r="B3514"/>
      <c r="C3514"/>
      <c r="D3514"/>
      <c r="E3514"/>
      <c r="F3514"/>
      <c r="G3514"/>
      <c r="K3514" s="62"/>
    </row>
    <row r="3515" spans="2:11" s="3" customFormat="1">
      <c r="B3515"/>
      <c r="C3515"/>
      <c r="D3515"/>
      <c r="E3515"/>
      <c r="F3515"/>
      <c r="G3515"/>
      <c r="K3515" s="62"/>
    </row>
    <row r="3516" spans="2:11" s="3" customFormat="1">
      <c r="B3516"/>
      <c r="C3516"/>
      <c r="D3516"/>
      <c r="E3516"/>
      <c r="F3516"/>
      <c r="G3516"/>
      <c r="K3516" s="62"/>
    </row>
    <row r="3517" spans="2:11" s="3" customFormat="1">
      <c r="B3517"/>
      <c r="C3517"/>
      <c r="D3517"/>
      <c r="E3517"/>
      <c r="F3517"/>
      <c r="G3517"/>
      <c r="K3517" s="62"/>
    </row>
    <row r="3518" spans="2:11" s="3" customFormat="1">
      <c r="B3518"/>
      <c r="C3518"/>
      <c r="D3518"/>
      <c r="E3518"/>
      <c r="F3518"/>
      <c r="G3518"/>
      <c r="K3518" s="62"/>
    </row>
    <row r="3519" spans="2:11" s="3" customFormat="1">
      <c r="B3519"/>
      <c r="C3519"/>
      <c r="D3519"/>
      <c r="E3519"/>
      <c r="F3519"/>
      <c r="G3519"/>
      <c r="K3519" s="62"/>
    </row>
    <row r="3520" spans="2:11" s="3" customFormat="1">
      <c r="B3520"/>
      <c r="C3520"/>
      <c r="D3520"/>
      <c r="E3520"/>
      <c r="F3520"/>
      <c r="G3520"/>
      <c r="K3520" s="62"/>
    </row>
    <row r="3521" spans="2:11" s="3" customFormat="1">
      <c r="B3521"/>
      <c r="C3521"/>
      <c r="D3521"/>
      <c r="E3521"/>
      <c r="F3521"/>
      <c r="G3521"/>
      <c r="K3521" s="62"/>
    </row>
    <row r="3522" spans="2:11" s="3" customFormat="1">
      <c r="B3522"/>
      <c r="C3522"/>
      <c r="D3522"/>
      <c r="E3522"/>
      <c r="F3522"/>
      <c r="G3522"/>
      <c r="K3522" s="62"/>
    </row>
    <row r="3523" spans="2:11" s="3" customFormat="1">
      <c r="B3523"/>
      <c r="C3523"/>
      <c r="D3523"/>
      <c r="E3523"/>
      <c r="F3523"/>
      <c r="G3523"/>
      <c r="K3523" s="62"/>
    </row>
    <row r="3524" spans="2:11" s="3" customFormat="1">
      <c r="B3524"/>
      <c r="C3524"/>
      <c r="D3524"/>
      <c r="E3524"/>
      <c r="F3524"/>
      <c r="G3524"/>
      <c r="K3524" s="62"/>
    </row>
    <row r="3525" spans="2:11" s="3" customFormat="1">
      <c r="B3525"/>
      <c r="C3525"/>
      <c r="D3525"/>
      <c r="E3525"/>
      <c r="F3525"/>
      <c r="G3525"/>
      <c r="K3525" s="62"/>
    </row>
    <row r="3526" spans="2:11" s="3" customFormat="1">
      <c r="B3526"/>
      <c r="C3526"/>
      <c r="D3526"/>
      <c r="E3526"/>
      <c r="F3526"/>
      <c r="G3526"/>
      <c r="K3526" s="62"/>
    </row>
    <row r="3527" spans="2:11" s="3" customFormat="1">
      <c r="B3527"/>
      <c r="C3527"/>
      <c r="D3527"/>
      <c r="E3527"/>
      <c r="F3527"/>
      <c r="G3527"/>
      <c r="K3527" s="62"/>
    </row>
    <row r="3528" spans="2:11" s="3" customFormat="1">
      <c r="B3528"/>
      <c r="C3528"/>
      <c r="D3528"/>
      <c r="E3528"/>
      <c r="F3528"/>
      <c r="G3528"/>
      <c r="K3528" s="62"/>
    </row>
    <row r="3529" spans="2:11" s="3" customFormat="1">
      <c r="B3529"/>
      <c r="C3529"/>
      <c r="D3529"/>
      <c r="E3529"/>
      <c r="F3529"/>
      <c r="G3529"/>
      <c r="K3529" s="62"/>
    </row>
    <row r="3530" spans="2:11" s="3" customFormat="1">
      <c r="B3530"/>
      <c r="C3530"/>
      <c r="D3530"/>
      <c r="E3530"/>
      <c r="F3530"/>
      <c r="G3530"/>
      <c r="K3530" s="62"/>
    </row>
    <row r="3531" spans="2:11" s="3" customFormat="1">
      <c r="B3531"/>
      <c r="C3531"/>
      <c r="D3531"/>
      <c r="E3531"/>
      <c r="F3531"/>
      <c r="G3531"/>
      <c r="K3531" s="62"/>
    </row>
    <row r="3532" spans="2:11" s="3" customFormat="1">
      <c r="B3532"/>
      <c r="C3532"/>
      <c r="D3532"/>
      <c r="E3532"/>
      <c r="F3532"/>
      <c r="G3532"/>
      <c r="K3532" s="62"/>
    </row>
    <row r="3533" spans="2:11" s="3" customFormat="1">
      <c r="B3533"/>
      <c r="C3533"/>
      <c r="D3533"/>
      <c r="E3533"/>
      <c r="F3533"/>
      <c r="G3533"/>
      <c r="K3533" s="62"/>
    </row>
    <row r="3534" spans="2:11" s="3" customFormat="1">
      <c r="B3534"/>
      <c r="C3534"/>
      <c r="D3534"/>
      <c r="E3534"/>
      <c r="F3534"/>
      <c r="G3534"/>
      <c r="K3534" s="62"/>
    </row>
    <row r="3535" spans="2:11" s="3" customFormat="1">
      <c r="B3535"/>
      <c r="C3535"/>
      <c r="D3535"/>
      <c r="E3535"/>
      <c r="F3535"/>
      <c r="G3535"/>
      <c r="K3535" s="62"/>
    </row>
    <row r="3536" spans="2:11" s="3" customFormat="1">
      <c r="B3536"/>
      <c r="C3536"/>
      <c r="D3536"/>
      <c r="E3536"/>
      <c r="F3536"/>
      <c r="G3536"/>
      <c r="K3536" s="62"/>
    </row>
    <row r="3537" spans="2:11" s="3" customFormat="1">
      <c r="B3537"/>
      <c r="C3537"/>
      <c r="D3537"/>
      <c r="E3537"/>
      <c r="F3537"/>
      <c r="G3537"/>
      <c r="K3537" s="62"/>
    </row>
    <row r="3538" spans="2:11" s="3" customFormat="1">
      <c r="B3538"/>
      <c r="C3538"/>
      <c r="D3538"/>
      <c r="E3538"/>
      <c r="F3538"/>
      <c r="G3538"/>
      <c r="K3538" s="62"/>
    </row>
    <row r="3539" spans="2:11" s="3" customFormat="1">
      <c r="B3539"/>
      <c r="C3539"/>
      <c r="D3539"/>
      <c r="E3539"/>
      <c r="F3539"/>
      <c r="G3539"/>
      <c r="K3539" s="62"/>
    </row>
    <row r="3540" spans="2:11" s="3" customFormat="1">
      <c r="B3540"/>
      <c r="C3540"/>
      <c r="D3540"/>
      <c r="E3540"/>
      <c r="F3540"/>
      <c r="G3540"/>
      <c r="K3540" s="62"/>
    </row>
    <row r="3541" spans="2:11" s="3" customFormat="1">
      <c r="B3541"/>
      <c r="C3541"/>
      <c r="D3541"/>
      <c r="E3541"/>
      <c r="F3541"/>
      <c r="G3541"/>
      <c r="K3541" s="62"/>
    </row>
    <row r="3542" spans="2:11" s="3" customFormat="1">
      <c r="B3542"/>
      <c r="C3542"/>
      <c r="D3542"/>
      <c r="E3542"/>
      <c r="F3542"/>
      <c r="G3542"/>
      <c r="K3542" s="62"/>
    </row>
    <row r="3543" spans="2:11" s="3" customFormat="1">
      <c r="B3543"/>
      <c r="C3543"/>
      <c r="D3543"/>
      <c r="E3543"/>
      <c r="F3543"/>
      <c r="G3543"/>
      <c r="K3543" s="62"/>
    </row>
    <row r="3544" spans="2:11" s="3" customFormat="1">
      <c r="B3544"/>
      <c r="C3544"/>
      <c r="D3544"/>
      <c r="E3544"/>
      <c r="F3544"/>
      <c r="G3544"/>
      <c r="K3544" s="62"/>
    </row>
    <row r="3545" spans="2:11" s="3" customFormat="1">
      <c r="B3545"/>
      <c r="C3545"/>
      <c r="D3545"/>
      <c r="E3545"/>
      <c r="F3545"/>
      <c r="G3545"/>
      <c r="K3545" s="62"/>
    </row>
    <row r="3546" spans="2:11" s="3" customFormat="1">
      <c r="B3546"/>
      <c r="C3546"/>
      <c r="D3546"/>
      <c r="E3546"/>
      <c r="F3546"/>
      <c r="G3546"/>
      <c r="K3546" s="62"/>
    </row>
    <row r="3547" spans="2:11" s="3" customFormat="1">
      <c r="B3547"/>
      <c r="C3547"/>
      <c r="D3547"/>
      <c r="E3547"/>
      <c r="F3547"/>
      <c r="G3547"/>
      <c r="K3547" s="62"/>
    </row>
    <row r="3548" spans="2:11" s="3" customFormat="1">
      <c r="B3548"/>
      <c r="C3548"/>
      <c r="D3548"/>
      <c r="E3548"/>
      <c r="F3548"/>
      <c r="G3548"/>
      <c r="K3548" s="62"/>
    </row>
    <row r="3549" spans="2:11" s="3" customFormat="1">
      <c r="B3549"/>
      <c r="C3549"/>
      <c r="D3549"/>
      <c r="E3549"/>
      <c r="F3549"/>
      <c r="G3549"/>
      <c r="K3549" s="62"/>
    </row>
    <row r="3550" spans="2:11" s="3" customFormat="1">
      <c r="B3550"/>
      <c r="C3550"/>
      <c r="D3550"/>
      <c r="E3550"/>
      <c r="F3550"/>
      <c r="G3550"/>
      <c r="K3550" s="62"/>
    </row>
    <row r="3551" spans="2:11" s="3" customFormat="1">
      <c r="B3551"/>
      <c r="C3551"/>
      <c r="D3551"/>
      <c r="E3551"/>
      <c r="F3551"/>
      <c r="G3551"/>
      <c r="K3551" s="62"/>
    </row>
    <row r="3552" spans="2:11" s="3" customFormat="1">
      <c r="B3552"/>
      <c r="C3552"/>
      <c r="D3552"/>
      <c r="E3552"/>
      <c r="F3552"/>
      <c r="G3552"/>
      <c r="K3552" s="62"/>
    </row>
    <row r="3553" spans="2:11" s="3" customFormat="1">
      <c r="B3553"/>
      <c r="C3553"/>
      <c r="D3553"/>
      <c r="E3553"/>
      <c r="F3553"/>
      <c r="G3553"/>
      <c r="K3553" s="62"/>
    </row>
    <row r="3554" spans="2:11" s="3" customFormat="1">
      <c r="B3554"/>
      <c r="C3554"/>
      <c r="D3554"/>
      <c r="E3554"/>
      <c r="F3554"/>
      <c r="G3554"/>
      <c r="K3554" s="62"/>
    </row>
    <row r="3555" spans="2:11" s="3" customFormat="1">
      <c r="B3555"/>
      <c r="C3555"/>
      <c r="D3555"/>
      <c r="E3555"/>
      <c r="F3555"/>
      <c r="G3555"/>
      <c r="K3555" s="62"/>
    </row>
    <row r="3556" spans="2:11" s="3" customFormat="1">
      <c r="B3556"/>
      <c r="C3556"/>
      <c r="D3556"/>
      <c r="E3556"/>
      <c r="F3556"/>
      <c r="G3556"/>
      <c r="K3556" s="62"/>
    </row>
    <row r="3557" spans="2:11" s="3" customFormat="1">
      <c r="B3557"/>
      <c r="C3557"/>
      <c r="D3557"/>
      <c r="E3557"/>
      <c r="F3557"/>
      <c r="G3557"/>
      <c r="K3557" s="62"/>
    </row>
    <row r="3558" spans="2:11" s="3" customFormat="1">
      <c r="B3558"/>
      <c r="C3558"/>
      <c r="D3558"/>
      <c r="E3558"/>
      <c r="F3558"/>
      <c r="G3558"/>
      <c r="K3558" s="62"/>
    </row>
    <row r="3559" spans="2:11" s="3" customFormat="1">
      <c r="B3559"/>
      <c r="C3559"/>
      <c r="D3559"/>
      <c r="E3559"/>
      <c r="F3559"/>
      <c r="G3559"/>
      <c r="K3559" s="62"/>
    </row>
    <row r="3560" spans="2:11" s="3" customFormat="1">
      <c r="B3560"/>
      <c r="C3560"/>
      <c r="D3560"/>
      <c r="E3560"/>
      <c r="F3560"/>
      <c r="G3560"/>
      <c r="K3560" s="62"/>
    </row>
    <row r="3561" spans="2:11" s="3" customFormat="1">
      <c r="B3561"/>
      <c r="C3561"/>
      <c r="D3561"/>
      <c r="E3561"/>
      <c r="F3561"/>
      <c r="G3561"/>
      <c r="K3561" s="62"/>
    </row>
    <row r="3562" spans="2:11" s="3" customFormat="1">
      <c r="B3562"/>
      <c r="C3562"/>
      <c r="D3562"/>
      <c r="E3562"/>
      <c r="F3562"/>
      <c r="G3562"/>
      <c r="K3562" s="62"/>
    </row>
    <row r="3563" spans="2:11" s="3" customFormat="1">
      <c r="B3563"/>
      <c r="C3563"/>
      <c r="D3563"/>
      <c r="E3563"/>
      <c r="F3563"/>
      <c r="G3563"/>
      <c r="K3563" s="62"/>
    </row>
    <row r="3564" spans="2:11" s="3" customFormat="1">
      <c r="B3564"/>
      <c r="C3564"/>
      <c r="D3564"/>
      <c r="E3564"/>
      <c r="F3564"/>
      <c r="G3564"/>
      <c r="K3564" s="62"/>
    </row>
    <row r="3565" spans="2:11" s="3" customFormat="1">
      <c r="B3565"/>
      <c r="C3565"/>
      <c r="D3565"/>
      <c r="E3565"/>
      <c r="F3565"/>
      <c r="G3565"/>
      <c r="K3565" s="62"/>
    </row>
    <row r="3566" spans="2:11" s="3" customFormat="1">
      <c r="B3566"/>
      <c r="C3566"/>
      <c r="D3566"/>
      <c r="E3566"/>
      <c r="F3566"/>
      <c r="G3566"/>
      <c r="K3566" s="62"/>
    </row>
    <row r="3567" spans="2:11" s="3" customFormat="1">
      <c r="B3567"/>
      <c r="C3567"/>
      <c r="D3567"/>
      <c r="E3567"/>
      <c r="F3567"/>
      <c r="G3567"/>
      <c r="K3567" s="62"/>
    </row>
    <row r="3568" spans="2:11" s="3" customFormat="1">
      <c r="B3568"/>
      <c r="C3568"/>
      <c r="D3568"/>
      <c r="E3568"/>
      <c r="F3568"/>
      <c r="G3568"/>
      <c r="K3568" s="62"/>
    </row>
    <row r="3569" spans="2:11" s="3" customFormat="1">
      <c r="B3569"/>
      <c r="C3569"/>
      <c r="D3569"/>
      <c r="E3569"/>
      <c r="F3569"/>
      <c r="G3569"/>
      <c r="K3569" s="62"/>
    </row>
    <row r="3570" spans="2:11" s="3" customFormat="1">
      <c r="B3570"/>
      <c r="C3570"/>
      <c r="D3570"/>
      <c r="E3570"/>
      <c r="F3570"/>
      <c r="G3570"/>
      <c r="K3570" s="62"/>
    </row>
    <row r="3571" spans="2:11" s="3" customFormat="1">
      <c r="B3571"/>
      <c r="C3571"/>
      <c r="D3571"/>
      <c r="E3571"/>
      <c r="F3571"/>
      <c r="G3571"/>
      <c r="K3571" s="62"/>
    </row>
    <row r="3572" spans="2:11" s="3" customFormat="1">
      <c r="B3572"/>
      <c r="C3572"/>
      <c r="D3572"/>
      <c r="E3572"/>
      <c r="F3572"/>
      <c r="G3572"/>
      <c r="K3572" s="62"/>
    </row>
    <row r="3573" spans="2:11" s="3" customFormat="1">
      <c r="B3573"/>
      <c r="C3573"/>
      <c r="D3573"/>
      <c r="E3573"/>
      <c r="F3573"/>
      <c r="G3573"/>
      <c r="K3573" s="62"/>
    </row>
    <row r="3574" spans="2:11" s="3" customFormat="1">
      <c r="B3574"/>
      <c r="C3574"/>
      <c r="D3574"/>
      <c r="E3574"/>
      <c r="F3574"/>
      <c r="G3574"/>
      <c r="K3574" s="62"/>
    </row>
    <row r="3575" spans="2:11" s="3" customFormat="1">
      <c r="B3575"/>
      <c r="C3575"/>
      <c r="D3575"/>
      <c r="E3575"/>
      <c r="F3575"/>
      <c r="G3575"/>
      <c r="K3575" s="62"/>
    </row>
    <row r="3576" spans="2:11" s="3" customFormat="1">
      <c r="B3576"/>
      <c r="C3576"/>
      <c r="D3576"/>
      <c r="E3576"/>
      <c r="F3576"/>
      <c r="G3576"/>
      <c r="K3576" s="62"/>
    </row>
    <row r="3577" spans="2:11" s="3" customFormat="1">
      <c r="B3577"/>
      <c r="C3577"/>
      <c r="D3577"/>
      <c r="E3577"/>
      <c r="F3577"/>
      <c r="G3577"/>
      <c r="K3577" s="62"/>
    </row>
    <row r="3578" spans="2:11" s="3" customFormat="1">
      <c r="B3578"/>
      <c r="C3578"/>
      <c r="D3578"/>
      <c r="E3578"/>
      <c r="F3578"/>
      <c r="G3578"/>
      <c r="K3578" s="62"/>
    </row>
    <row r="3579" spans="2:11" s="3" customFormat="1">
      <c r="B3579"/>
      <c r="C3579"/>
      <c r="D3579"/>
      <c r="E3579"/>
      <c r="F3579"/>
      <c r="G3579"/>
      <c r="K3579" s="62"/>
    </row>
    <row r="3580" spans="2:11" s="3" customFormat="1">
      <c r="B3580"/>
      <c r="C3580"/>
      <c r="D3580"/>
      <c r="E3580"/>
      <c r="F3580"/>
      <c r="G3580"/>
      <c r="K3580" s="62"/>
    </row>
    <row r="3581" spans="2:11" s="3" customFormat="1">
      <c r="B3581"/>
      <c r="C3581"/>
      <c r="D3581"/>
      <c r="E3581"/>
      <c r="F3581"/>
      <c r="G3581"/>
      <c r="K3581" s="62"/>
    </row>
    <row r="3582" spans="2:11" s="3" customFormat="1">
      <c r="B3582"/>
      <c r="C3582"/>
      <c r="D3582"/>
      <c r="E3582"/>
      <c r="F3582"/>
      <c r="G3582"/>
      <c r="K3582" s="62"/>
    </row>
    <row r="3583" spans="2:11" s="3" customFormat="1">
      <c r="B3583"/>
      <c r="C3583"/>
      <c r="D3583"/>
      <c r="E3583"/>
      <c r="F3583"/>
      <c r="G3583"/>
      <c r="K3583" s="62"/>
    </row>
    <row r="3584" spans="2:11" s="3" customFormat="1">
      <c r="B3584"/>
      <c r="C3584"/>
      <c r="D3584"/>
      <c r="E3584"/>
      <c r="F3584"/>
      <c r="G3584"/>
      <c r="K3584" s="62"/>
    </row>
    <row r="3585" spans="2:11" s="3" customFormat="1">
      <c r="B3585"/>
      <c r="C3585"/>
      <c r="D3585"/>
      <c r="E3585"/>
      <c r="F3585"/>
      <c r="G3585"/>
      <c r="K3585" s="62"/>
    </row>
    <row r="3586" spans="2:11" s="3" customFormat="1">
      <c r="B3586"/>
      <c r="C3586"/>
      <c r="D3586"/>
      <c r="E3586"/>
      <c r="F3586"/>
      <c r="G3586"/>
      <c r="K3586" s="62"/>
    </row>
    <row r="3587" spans="2:11" s="3" customFormat="1">
      <c r="B3587"/>
      <c r="C3587"/>
      <c r="D3587"/>
      <c r="E3587"/>
      <c r="F3587"/>
      <c r="G3587"/>
      <c r="K3587" s="62"/>
    </row>
    <row r="3588" spans="2:11" s="3" customFormat="1">
      <c r="B3588"/>
      <c r="C3588"/>
      <c r="D3588"/>
      <c r="E3588"/>
      <c r="F3588"/>
      <c r="G3588"/>
      <c r="K3588" s="62"/>
    </row>
    <row r="3589" spans="2:11" s="3" customFormat="1">
      <c r="B3589"/>
      <c r="C3589"/>
      <c r="D3589"/>
      <c r="E3589"/>
      <c r="F3589"/>
      <c r="G3589"/>
      <c r="K3589" s="62"/>
    </row>
    <row r="3590" spans="2:11" s="3" customFormat="1">
      <c r="B3590"/>
      <c r="C3590"/>
      <c r="D3590"/>
      <c r="E3590"/>
      <c r="F3590"/>
      <c r="G3590"/>
      <c r="K3590" s="62"/>
    </row>
    <row r="3591" spans="2:11" s="3" customFormat="1">
      <c r="B3591"/>
      <c r="C3591"/>
      <c r="D3591"/>
      <c r="E3591"/>
      <c r="F3591"/>
      <c r="G3591"/>
      <c r="K3591" s="62"/>
    </row>
    <row r="3592" spans="2:11" s="3" customFormat="1">
      <c r="B3592"/>
      <c r="C3592"/>
      <c r="D3592"/>
      <c r="E3592"/>
      <c r="F3592"/>
      <c r="G3592"/>
      <c r="K3592" s="62"/>
    </row>
    <row r="3593" spans="2:11" s="3" customFormat="1">
      <c r="B3593"/>
      <c r="C3593"/>
      <c r="D3593"/>
      <c r="E3593"/>
      <c r="F3593"/>
      <c r="G3593"/>
      <c r="K3593" s="62"/>
    </row>
    <row r="3594" spans="2:11" s="3" customFormat="1">
      <c r="B3594"/>
      <c r="C3594"/>
      <c r="D3594"/>
      <c r="E3594"/>
      <c r="F3594"/>
      <c r="G3594"/>
      <c r="K3594" s="62"/>
    </row>
    <row r="3595" spans="2:11" s="3" customFormat="1">
      <c r="B3595"/>
      <c r="C3595"/>
      <c r="D3595"/>
      <c r="E3595"/>
      <c r="F3595"/>
      <c r="G3595"/>
      <c r="K3595" s="62"/>
    </row>
    <row r="3596" spans="2:11" s="3" customFormat="1">
      <c r="B3596"/>
      <c r="C3596"/>
      <c r="D3596"/>
      <c r="E3596"/>
      <c r="F3596"/>
      <c r="G3596"/>
      <c r="K3596" s="62"/>
    </row>
    <row r="3597" spans="2:11" s="3" customFormat="1">
      <c r="B3597"/>
      <c r="C3597"/>
      <c r="D3597"/>
      <c r="E3597"/>
      <c r="F3597"/>
      <c r="G3597"/>
      <c r="K3597" s="62"/>
    </row>
    <row r="3598" spans="2:11" s="3" customFormat="1">
      <c r="B3598"/>
      <c r="C3598"/>
      <c r="D3598"/>
      <c r="E3598"/>
      <c r="F3598"/>
      <c r="G3598"/>
      <c r="K3598" s="62"/>
    </row>
    <row r="3599" spans="2:11" s="3" customFormat="1">
      <c r="B3599"/>
      <c r="C3599"/>
      <c r="D3599"/>
      <c r="E3599"/>
      <c r="F3599"/>
      <c r="G3599"/>
      <c r="K3599" s="62"/>
    </row>
    <row r="3600" spans="2:11" s="3" customFormat="1">
      <c r="B3600"/>
      <c r="C3600"/>
      <c r="D3600"/>
      <c r="E3600"/>
      <c r="F3600"/>
      <c r="G3600"/>
      <c r="K3600" s="62"/>
    </row>
    <row r="3601" spans="2:11" s="3" customFormat="1">
      <c r="B3601"/>
      <c r="C3601"/>
      <c r="D3601"/>
      <c r="E3601"/>
      <c r="F3601"/>
      <c r="G3601"/>
      <c r="K3601" s="62"/>
    </row>
    <row r="3602" spans="2:11" s="3" customFormat="1">
      <c r="B3602"/>
      <c r="C3602"/>
      <c r="D3602"/>
      <c r="E3602"/>
      <c r="F3602"/>
      <c r="G3602"/>
      <c r="K3602" s="62"/>
    </row>
    <row r="3603" spans="2:11" s="3" customFormat="1">
      <c r="B3603"/>
      <c r="C3603"/>
      <c r="D3603"/>
      <c r="E3603"/>
      <c r="F3603"/>
      <c r="G3603"/>
      <c r="K3603" s="62"/>
    </row>
    <row r="3604" spans="2:11" s="3" customFormat="1">
      <c r="B3604"/>
      <c r="C3604"/>
      <c r="D3604"/>
      <c r="E3604"/>
      <c r="F3604"/>
      <c r="G3604"/>
      <c r="K3604" s="62"/>
    </row>
    <row r="3605" spans="2:11" s="3" customFormat="1">
      <c r="B3605"/>
      <c r="C3605"/>
      <c r="D3605"/>
      <c r="E3605"/>
      <c r="F3605"/>
      <c r="G3605"/>
      <c r="K3605" s="62"/>
    </row>
    <row r="3606" spans="2:11" s="3" customFormat="1">
      <c r="B3606"/>
      <c r="C3606"/>
      <c r="D3606"/>
      <c r="E3606"/>
      <c r="F3606"/>
      <c r="G3606"/>
      <c r="K3606" s="62"/>
    </row>
    <row r="3607" spans="2:11" s="3" customFormat="1">
      <c r="B3607"/>
      <c r="C3607"/>
      <c r="D3607"/>
      <c r="E3607"/>
      <c r="F3607"/>
      <c r="G3607"/>
      <c r="K3607" s="62"/>
    </row>
    <row r="3608" spans="2:11" s="3" customFormat="1">
      <c r="B3608"/>
      <c r="C3608"/>
      <c r="D3608"/>
      <c r="E3608"/>
      <c r="F3608"/>
      <c r="G3608"/>
      <c r="K3608" s="62"/>
    </row>
    <row r="3609" spans="2:11" s="3" customFormat="1">
      <c r="B3609"/>
      <c r="C3609"/>
      <c r="D3609"/>
      <c r="E3609"/>
      <c r="F3609"/>
      <c r="G3609"/>
      <c r="K3609" s="62"/>
    </row>
    <row r="3610" spans="2:11" s="3" customFormat="1">
      <c r="B3610"/>
      <c r="C3610"/>
      <c r="D3610"/>
      <c r="E3610"/>
      <c r="F3610"/>
      <c r="G3610"/>
      <c r="K3610" s="62"/>
    </row>
    <row r="3611" spans="2:11" s="3" customFormat="1">
      <c r="B3611"/>
      <c r="C3611"/>
      <c r="D3611"/>
      <c r="E3611"/>
      <c r="F3611"/>
      <c r="G3611"/>
      <c r="K3611" s="62"/>
    </row>
    <row r="3612" spans="2:11" s="3" customFormat="1">
      <c r="B3612"/>
      <c r="C3612"/>
      <c r="D3612"/>
      <c r="E3612"/>
      <c r="F3612"/>
      <c r="G3612"/>
      <c r="K3612" s="62"/>
    </row>
    <row r="3613" spans="2:11" s="3" customFormat="1">
      <c r="B3613"/>
      <c r="C3613"/>
      <c r="D3613"/>
      <c r="E3613"/>
      <c r="F3613"/>
      <c r="G3613"/>
      <c r="K3613" s="62"/>
    </row>
    <row r="3614" spans="2:11" s="3" customFormat="1">
      <c r="B3614"/>
      <c r="C3614"/>
      <c r="D3614"/>
      <c r="E3614"/>
      <c r="F3614"/>
      <c r="G3614"/>
      <c r="K3614" s="62"/>
    </row>
    <row r="3615" spans="2:11" s="3" customFormat="1">
      <c r="B3615"/>
      <c r="C3615"/>
      <c r="D3615"/>
      <c r="E3615"/>
      <c r="F3615"/>
      <c r="G3615"/>
      <c r="K3615" s="62"/>
    </row>
    <row r="3616" spans="2:11" s="3" customFormat="1">
      <c r="B3616"/>
      <c r="C3616"/>
      <c r="D3616"/>
      <c r="E3616"/>
      <c r="F3616"/>
      <c r="G3616"/>
      <c r="K3616" s="62"/>
    </row>
    <row r="3617" spans="2:11" s="3" customFormat="1">
      <c r="B3617"/>
      <c r="C3617"/>
      <c r="D3617"/>
      <c r="E3617"/>
      <c r="F3617"/>
      <c r="G3617"/>
      <c r="K3617" s="62"/>
    </row>
    <row r="3618" spans="2:11" s="3" customFormat="1">
      <c r="B3618"/>
      <c r="C3618"/>
      <c r="D3618"/>
      <c r="E3618"/>
      <c r="F3618"/>
      <c r="G3618"/>
      <c r="K3618" s="62"/>
    </row>
    <row r="3619" spans="2:11" s="3" customFormat="1">
      <c r="B3619"/>
      <c r="C3619"/>
      <c r="D3619"/>
      <c r="E3619"/>
      <c r="F3619"/>
      <c r="G3619"/>
      <c r="K3619" s="62"/>
    </row>
    <row r="3620" spans="2:11" s="3" customFormat="1">
      <c r="B3620"/>
      <c r="C3620"/>
      <c r="D3620"/>
      <c r="E3620"/>
      <c r="F3620"/>
      <c r="G3620"/>
      <c r="K3620" s="62"/>
    </row>
    <row r="3621" spans="2:11" s="3" customFormat="1">
      <c r="B3621"/>
      <c r="C3621"/>
      <c r="D3621"/>
      <c r="E3621"/>
      <c r="F3621"/>
      <c r="G3621"/>
      <c r="K3621" s="62"/>
    </row>
    <row r="3622" spans="2:11" s="3" customFormat="1">
      <c r="B3622"/>
      <c r="C3622"/>
      <c r="D3622"/>
      <c r="E3622"/>
      <c r="F3622"/>
      <c r="G3622"/>
      <c r="K3622" s="62"/>
    </row>
    <row r="3623" spans="2:11" s="3" customFormat="1">
      <c r="B3623"/>
      <c r="C3623"/>
      <c r="D3623"/>
      <c r="E3623"/>
      <c r="F3623"/>
      <c r="G3623"/>
      <c r="K3623" s="62"/>
    </row>
    <row r="3624" spans="2:11" s="3" customFormat="1">
      <c r="B3624"/>
      <c r="C3624"/>
      <c r="D3624"/>
      <c r="E3624"/>
      <c r="F3624"/>
      <c r="G3624"/>
      <c r="K3624" s="62"/>
    </row>
    <row r="3625" spans="2:11" s="3" customFormat="1">
      <c r="B3625"/>
      <c r="C3625"/>
      <c r="D3625"/>
      <c r="E3625"/>
      <c r="F3625"/>
      <c r="G3625"/>
      <c r="K3625" s="62"/>
    </row>
    <row r="3626" spans="2:11" s="3" customFormat="1">
      <c r="B3626"/>
      <c r="C3626"/>
      <c r="D3626"/>
      <c r="E3626"/>
      <c r="F3626"/>
      <c r="G3626"/>
      <c r="K3626" s="62"/>
    </row>
    <row r="3627" spans="2:11" s="3" customFormat="1">
      <c r="B3627"/>
      <c r="C3627"/>
      <c r="D3627"/>
      <c r="E3627"/>
      <c r="F3627"/>
      <c r="G3627"/>
      <c r="K3627" s="62"/>
    </row>
    <row r="3628" spans="2:11" s="3" customFormat="1">
      <c r="B3628"/>
      <c r="C3628"/>
      <c r="D3628"/>
      <c r="E3628"/>
      <c r="F3628"/>
      <c r="G3628"/>
      <c r="K3628" s="62"/>
    </row>
    <row r="3629" spans="2:11" s="3" customFormat="1">
      <c r="B3629"/>
      <c r="C3629"/>
      <c r="D3629"/>
      <c r="E3629"/>
      <c r="F3629"/>
      <c r="G3629"/>
      <c r="K3629" s="62"/>
    </row>
    <row r="3630" spans="2:11" s="3" customFormat="1">
      <c r="B3630"/>
      <c r="C3630"/>
      <c r="D3630"/>
      <c r="E3630"/>
      <c r="F3630"/>
      <c r="G3630"/>
      <c r="K3630" s="62"/>
    </row>
    <row r="3631" spans="2:11" s="3" customFormat="1">
      <c r="B3631"/>
      <c r="C3631"/>
      <c r="D3631"/>
      <c r="E3631"/>
      <c r="F3631"/>
      <c r="G3631"/>
      <c r="K3631" s="62"/>
    </row>
    <row r="3632" spans="2:11" s="3" customFormat="1">
      <c r="B3632"/>
      <c r="C3632"/>
      <c r="D3632"/>
      <c r="E3632"/>
      <c r="F3632"/>
      <c r="G3632"/>
      <c r="K3632" s="62"/>
    </row>
    <row r="3633" spans="2:11" s="3" customFormat="1">
      <c r="B3633"/>
      <c r="C3633"/>
      <c r="D3633"/>
      <c r="E3633"/>
      <c r="F3633"/>
      <c r="G3633"/>
      <c r="K3633" s="62"/>
    </row>
    <row r="3634" spans="2:11" s="3" customFormat="1">
      <c r="B3634"/>
      <c r="C3634"/>
      <c r="D3634"/>
      <c r="E3634"/>
      <c r="F3634"/>
      <c r="G3634"/>
      <c r="K3634" s="62"/>
    </row>
    <row r="3635" spans="2:11" s="3" customFormat="1">
      <c r="B3635"/>
      <c r="C3635"/>
      <c r="D3635"/>
      <c r="E3635"/>
      <c r="F3635"/>
      <c r="G3635"/>
      <c r="K3635" s="62"/>
    </row>
    <row r="3636" spans="2:11" s="3" customFormat="1">
      <c r="B3636"/>
      <c r="C3636"/>
      <c r="D3636"/>
      <c r="E3636"/>
      <c r="F3636"/>
      <c r="G3636"/>
      <c r="K3636" s="62"/>
    </row>
    <row r="3637" spans="2:11" s="3" customFormat="1">
      <c r="B3637"/>
      <c r="C3637"/>
      <c r="D3637"/>
      <c r="E3637"/>
      <c r="F3637"/>
      <c r="G3637"/>
      <c r="K3637" s="62"/>
    </row>
    <row r="3638" spans="2:11" s="3" customFormat="1">
      <c r="B3638"/>
      <c r="C3638"/>
      <c r="D3638"/>
      <c r="E3638"/>
      <c r="F3638"/>
      <c r="G3638"/>
      <c r="K3638" s="62"/>
    </row>
    <row r="3639" spans="2:11" s="3" customFormat="1">
      <c r="B3639"/>
      <c r="C3639"/>
      <c r="D3639"/>
      <c r="E3639"/>
      <c r="F3639"/>
      <c r="G3639"/>
      <c r="K3639" s="62"/>
    </row>
    <row r="3640" spans="2:11" s="3" customFormat="1">
      <c r="B3640"/>
      <c r="C3640"/>
      <c r="D3640"/>
      <c r="E3640"/>
      <c r="F3640"/>
      <c r="G3640"/>
      <c r="K3640" s="62"/>
    </row>
    <row r="3641" spans="2:11" s="3" customFormat="1">
      <c r="B3641"/>
      <c r="C3641"/>
      <c r="D3641"/>
      <c r="E3641"/>
      <c r="F3641"/>
      <c r="G3641"/>
      <c r="K3641" s="62"/>
    </row>
    <row r="3642" spans="2:11" s="3" customFormat="1">
      <c r="B3642"/>
      <c r="C3642"/>
      <c r="D3642"/>
      <c r="E3642"/>
      <c r="F3642"/>
      <c r="G3642"/>
      <c r="K3642" s="62"/>
    </row>
    <row r="3643" spans="2:11" s="3" customFormat="1">
      <c r="B3643"/>
      <c r="C3643"/>
      <c r="D3643"/>
      <c r="E3643"/>
      <c r="F3643"/>
      <c r="G3643"/>
      <c r="K3643" s="62"/>
    </row>
    <row r="3644" spans="2:11" s="3" customFormat="1">
      <c r="B3644"/>
      <c r="C3644"/>
      <c r="D3644"/>
      <c r="E3644"/>
      <c r="F3644"/>
      <c r="G3644"/>
      <c r="K3644" s="62"/>
    </row>
    <row r="3645" spans="2:11" s="3" customFormat="1">
      <c r="B3645"/>
      <c r="C3645"/>
      <c r="D3645"/>
      <c r="E3645"/>
      <c r="F3645"/>
      <c r="G3645"/>
      <c r="K3645" s="62"/>
    </row>
    <row r="3646" spans="2:11" s="3" customFormat="1">
      <c r="B3646"/>
      <c r="C3646"/>
      <c r="D3646"/>
      <c r="E3646"/>
      <c r="F3646"/>
      <c r="G3646"/>
      <c r="K3646" s="62"/>
    </row>
    <row r="3647" spans="2:11" s="3" customFormat="1">
      <c r="B3647"/>
      <c r="C3647"/>
      <c r="D3647"/>
      <c r="E3647"/>
      <c r="F3647"/>
      <c r="G3647"/>
      <c r="K3647" s="62"/>
    </row>
    <row r="3648" spans="2:11" s="3" customFormat="1">
      <c r="B3648"/>
      <c r="C3648"/>
      <c r="D3648"/>
      <c r="E3648"/>
      <c r="F3648"/>
      <c r="G3648"/>
      <c r="K3648" s="62"/>
    </row>
    <row r="3649" spans="2:11" s="3" customFormat="1">
      <c r="B3649"/>
      <c r="C3649"/>
      <c r="D3649"/>
      <c r="E3649"/>
      <c r="F3649"/>
      <c r="G3649"/>
      <c r="K3649" s="62"/>
    </row>
    <row r="3650" spans="2:11" s="3" customFormat="1">
      <c r="B3650"/>
      <c r="C3650"/>
      <c r="D3650"/>
      <c r="E3650"/>
      <c r="F3650"/>
      <c r="G3650"/>
      <c r="K3650" s="62"/>
    </row>
    <row r="3651" spans="2:11" s="3" customFormat="1">
      <c r="B3651"/>
      <c r="C3651"/>
      <c r="D3651"/>
      <c r="E3651"/>
      <c r="F3651"/>
      <c r="G3651"/>
      <c r="K3651" s="62"/>
    </row>
    <row r="3652" spans="2:11" s="3" customFormat="1">
      <c r="B3652"/>
      <c r="C3652"/>
      <c r="D3652"/>
      <c r="E3652"/>
      <c r="F3652"/>
      <c r="G3652"/>
      <c r="K3652" s="62"/>
    </row>
    <row r="3653" spans="2:11" s="3" customFormat="1">
      <c r="B3653"/>
      <c r="C3653"/>
      <c r="D3653"/>
      <c r="E3653"/>
      <c r="F3653"/>
      <c r="G3653"/>
      <c r="K3653" s="62"/>
    </row>
    <row r="3654" spans="2:11" s="3" customFormat="1">
      <c r="B3654"/>
      <c r="C3654"/>
      <c r="D3654"/>
      <c r="E3654"/>
      <c r="F3654"/>
      <c r="G3654"/>
      <c r="K3654" s="62"/>
    </row>
    <row r="3655" spans="2:11" s="3" customFormat="1">
      <c r="B3655"/>
      <c r="C3655"/>
      <c r="D3655"/>
      <c r="E3655"/>
      <c r="F3655"/>
      <c r="G3655"/>
      <c r="K3655" s="62"/>
    </row>
    <row r="3656" spans="2:11" s="3" customFormat="1">
      <c r="B3656"/>
      <c r="C3656"/>
      <c r="D3656"/>
      <c r="E3656"/>
      <c r="F3656"/>
      <c r="G3656"/>
      <c r="K3656" s="62"/>
    </row>
    <row r="3657" spans="2:11" s="3" customFormat="1">
      <c r="B3657"/>
      <c r="C3657"/>
      <c r="D3657"/>
      <c r="E3657"/>
      <c r="F3657"/>
      <c r="G3657"/>
      <c r="K3657" s="62"/>
    </row>
    <row r="3658" spans="2:11" s="3" customFormat="1">
      <c r="B3658"/>
      <c r="C3658"/>
      <c r="D3658"/>
      <c r="E3658"/>
      <c r="F3658"/>
      <c r="G3658"/>
      <c r="K3658" s="62"/>
    </row>
    <row r="3659" spans="2:11" s="3" customFormat="1">
      <c r="B3659"/>
      <c r="C3659"/>
      <c r="D3659"/>
      <c r="E3659"/>
      <c r="F3659"/>
      <c r="G3659"/>
      <c r="K3659" s="62"/>
    </row>
    <row r="3660" spans="2:11" s="3" customFormat="1">
      <c r="B3660"/>
      <c r="C3660"/>
      <c r="D3660"/>
      <c r="E3660"/>
      <c r="F3660"/>
      <c r="G3660"/>
      <c r="K3660" s="62"/>
    </row>
    <row r="3661" spans="2:11" s="3" customFormat="1">
      <c r="B3661"/>
      <c r="C3661"/>
      <c r="D3661"/>
      <c r="E3661"/>
      <c r="F3661"/>
      <c r="G3661"/>
      <c r="K3661" s="62"/>
    </row>
    <row r="3662" spans="2:11" s="3" customFormat="1">
      <c r="B3662"/>
      <c r="C3662"/>
      <c r="D3662"/>
      <c r="E3662"/>
      <c r="F3662"/>
      <c r="G3662"/>
      <c r="K3662" s="62"/>
    </row>
    <row r="3663" spans="2:11" s="3" customFormat="1">
      <c r="B3663"/>
      <c r="C3663"/>
      <c r="D3663"/>
      <c r="E3663"/>
      <c r="F3663"/>
      <c r="G3663"/>
      <c r="K3663" s="62"/>
    </row>
    <row r="3664" spans="2:11" s="3" customFormat="1">
      <c r="B3664"/>
      <c r="C3664"/>
      <c r="D3664"/>
      <c r="E3664"/>
      <c r="F3664"/>
      <c r="G3664"/>
      <c r="K3664" s="62"/>
    </row>
    <row r="3665" spans="2:11" s="3" customFormat="1">
      <c r="B3665"/>
      <c r="C3665"/>
      <c r="D3665"/>
      <c r="E3665"/>
      <c r="F3665"/>
      <c r="G3665"/>
      <c r="K3665" s="62"/>
    </row>
    <row r="3666" spans="2:11" s="3" customFormat="1">
      <c r="B3666"/>
      <c r="C3666"/>
      <c r="D3666"/>
      <c r="E3666"/>
      <c r="F3666"/>
      <c r="G3666"/>
      <c r="K3666" s="62"/>
    </row>
    <row r="3667" spans="2:11" s="3" customFormat="1">
      <c r="B3667"/>
      <c r="C3667"/>
      <c r="D3667"/>
      <c r="E3667"/>
      <c r="F3667"/>
      <c r="G3667"/>
      <c r="K3667" s="62"/>
    </row>
    <row r="3668" spans="2:11" s="3" customFormat="1">
      <c r="B3668"/>
      <c r="C3668"/>
      <c r="D3668"/>
      <c r="E3668"/>
      <c r="F3668"/>
      <c r="G3668"/>
      <c r="K3668" s="62"/>
    </row>
    <row r="3669" spans="2:11" s="3" customFormat="1">
      <c r="B3669"/>
      <c r="C3669"/>
      <c r="D3669"/>
      <c r="E3669"/>
      <c r="F3669"/>
      <c r="G3669"/>
      <c r="K3669" s="62"/>
    </row>
    <row r="3670" spans="2:11" s="3" customFormat="1">
      <c r="B3670"/>
      <c r="C3670"/>
      <c r="D3670"/>
      <c r="E3670"/>
      <c r="F3670"/>
      <c r="G3670"/>
      <c r="K3670" s="62"/>
    </row>
    <row r="3671" spans="2:11" s="3" customFormat="1">
      <c r="B3671"/>
      <c r="C3671"/>
      <c r="D3671"/>
      <c r="E3671"/>
      <c r="F3671"/>
      <c r="G3671"/>
      <c r="K3671" s="62"/>
    </row>
    <row r="3672" spans="2:11" s="3" customFormat="1">
      <c r="B3672"/>
      <c r="C3672"/>
      <c r="D3672"/>
      <c r="E3672"/>
      <c r="F3672"/>
      <c r="G3672"/>
      <c r="K3672" s="62"/>
    </row>
    <row r="3673" spans="2:11" s="3" customFormat="1">
      <c r="B3673"/>
      <c r="C3673"/>
      <c r="D3673"/>
      <c r="E3673"/>
      <c r="F3673"/>
      <c r="G3673"/>
      <c r="K3673" s="62"/>
    </row>
    <row r="3674" spans="2:11" s="3" customFormat="1">
      <c r="B3674"/>
      <c r="C3674"/>
      <c r="D3674"/>
      <c r="E3674"/>
      <c r="F3674"/>
      <c r="G3674"/>
      <c r="K3674" s="62"/>
    </row>
    <row r="3675" spans="2:11" s="3" customFormat="1">
      <c r="B3675"/>
      <c r="C3675"/>
      <c r="D3675"/>
      <c r="E3675"/>
      <c r="F3675"/>
      <c r="G3675"/>
      <c r="K3675" s="62"/>
    </row>
    <row r="3676" spans="2:11" s="3" customFormat="1">
      <c r="B3676"/>
      <c r="C3676"/>
      <c r="D3676"/>
      <c r="E3676"/>
      <c r="F3676"/>
      <c r="G3676"/>
      <c r="K3676" s="62"/>
    </row>
    <row r="3677" spans="2:11" s="3" customFormat="1">
      <c r="B3677"/>
      <c r="C3677"/>
      <c r="D3677"/>
      <c r="E3677"/>
      <c r="F3677"/>
      <c r="G3677"/>
      <c r="K3677" s="62"/>
    </row>
    <row r="3678" spans="2:11" s="3" customFormat="1">
      <c r="B3678"/>
      <c r="C3678"/>
      <c r="D3678"/>
      <c r="E3678"/>
      <c r="F3678"/>
      <c r="G3678"/>
      <c r="K3678" s="62"/>
    </row>
    <row r="3679" spans="2:11" s="3" customFormat="1">
      <c r="B3679"/>
      <c r="C3679"/>
      <c r="D3679"/>
      <c r="E3679"/>
      <c r="F3679"/>
      <c r="G3679"/>
      <c r="K3679" s="62"/>
    </row>
    <row r="3680" spans="2:11" s="3" customFormat="1">
      <c r="B3680"/>
      <c r="C3680"/>
      <c r="D3680"/>
      <c r="E3680"/>
      <c r="F3680"/>
      <c r="G3680"/>
      <c r="K3680" s="62"/>
    </row>
    <row r="3681" spans="2:11" s="3" customFormat="1">
      <c r="B3681"/>
      <c r="C3681"/>
      <c r="D3681"/>
      <c r="E3681"/>
      <c r="F3681"/>
      <c r="G3681"/>
      <c r="K3681" s="62"/>
    </row>
    <row r="3682" spans="2:11" s="3" customFormat="1">
      <c r="B3682"/>
      <c r="C3682"/>
      <c r="D3682"/>
      <c r="E3682"/>
      <c r="F3682"/>
      <c r="G3682"/>
      <c r="K3682" s="62"/>
    </row>
    <row r="3683" spans="2:11" s="3" customFormat="1">
      <c r="B3683"/>
      <c r="C3683"/>
      <c r="D3683"/>
      <c r="E3683"/>
      <c r="F3683"/>
      <c r="G3683"/>
      <c r="K3683" s="62"/>
    </row>
    <row r="3684" spans="2:11" s="3" customFormat="1">
      <c r="B3684"/>
      <c r="C3684"/>
      <c r="D3684"/>
      <c r="E3684"/>
      <c r="F3684"/>
      <c r="G3684"/>
      <c r="K3684" s="62"/>
    </row>
    <row r="3685" spans="2:11" s="3" customFormat="1">
      <c r="B3685"/>
      <c r="C3685"/>
      <c r="D3685"/>
      <c r="E3685"/>
      <c r="F3685"/>
      <c r="G3685"/>
      <c r="K3685" s="62"/>
    </row>
    <row r="3686" spans="2:11" s="3" customFormat="1">
      <c r="B3686"/>
      <c r="C3686"/>
      <c r="D3686"/>
      <c r="E3686"/>
      <c r="F3686"/>
      <c r="G3686"/>
      <c r="K3686" s="62"/>
    </row>
    <row r="3687" spans="2:11" s="3" customFormat="1">
      <c r="B3687"/>
      <c r="C3687"/>
      <c r="D3687"/>
      <c r="E3687"/>
      <c r="F3687"/>
      <c r="G3687"/>
      <c r="K3687" s="62"/>
    </row>
    <row r="3688" spans="2:11" s="3" customFormat="1">
      <c r="B3688"/>
      <c r="C3688"/>
      <c r="D3688"/>
      <c r="E3688"/>
      <c r="F3688"/>
      <c r="G3688"/>
      <c r="K3688" s="62"/>
    </row>
    <row r="3689" spans="2:11" s="3" customFormat="1">
      <c r="B3689"/>
      <c r="C3689"/>
      <c r="D3689"/>
      <c r="E3689"/>
      <c r="F3689"/>
      <c r="G3689"/>
      <c r="K3689" s="62"/>
    </row>
    <row r="3690" spans="2:11" s="3" customFormat="1">
      <c r="B3690"/>
      <c r="C3690"/>
      <c r="D3690"/>
      <c r="E3690"/>
      <c r="F3690"/>
      <c r="G3690"/>
      <c r="K3690" s="62"/>
    </row>
    <row r="3691" spans="2:11" s="3" customFormat="1">
      <c r="B3691"/>
      <c r="C3691"/>
      <c r="D3691"/>
      <c r="E3691"/>
      <c r="F3691"/>
      <c r="G3691"/>
      <c r="K3691" s="62"/>
    </row>
    <row r="3692" spans="2:11" s="3" customFormat="1">
      <c r="B3692"/>
      <c r="C3692"/>
      <c r="D3692"/>
      <c r="E3692"/>
      <c r="F3692"/>
      <c r="G3692"/>
      <c r="K3692" s="62"/>
    </row>
    <row r="3693" spans="2:11" s="3" customFormat="1">
      <c r="B3693"/>
      <c r="C3693"/>
      <c r="D3693"/>
      <c r="E3693"/>
      <c r="F3693"/>
      <c r="G3693"/>
      <c r="K3693" s="62"/>
    </row>
    <row r="3694" spans="2:11" s="3" customFormat="1">
      <c r="B3694"/>
      <c r="C3694"/>
      <c r="D3694"/>
      <c r="E3694"/>
      <c r="F3694"/>
      <c r="G3694"/>
      <c r="K3694" s="62"/>
    </row>
    <row r="3695" spans="2:11" s="3" customFormat="1">
      <c r="B3695"/>
      <c r="C3695"/>
      <c r="D3695"/>
      <c r="E3695"/>
      <c r="F3695"/>
      <c r="G3695"/>
      <c r="K3695" s="62"/>
    </row>
    <row r="3696" spans="2:11" s="3" customFormat="1">
      <c r="B3696"/>
      <c r="C3696"/>
      <c r="D3696"/>
      <c r="E3696"/>
      <c r="F3696"/>
      <c r="G3696"/>
      <c r="K3696" s="62"/>
    </row>
    <row r="3697" spans="2:11" s="3" customFormat="1">
      <c r="B3697"/>
      <c r="C3697"/>
      <c r="D3697"/>
      <c r="E3697"/>
      <c r="F3697"/>
      <c r="G3697"/>
      <c r="K3697" s="62"/>
    </row>
    <row r="3698" spans="2:11" s="3" customFormat="1">
      <c r="B3698"/>
      <c r="C3698"/>
      <c r="D3698"/>
      <c r="E3698"/>
      <c r="F3698"/>
      <c r="G3698"/>
      <c r="K3698" s="62"/>
    </row>
  </sheetData>
  <phoneticPr fontId="1" type="noConversion"/>
  <printOptions horizontalCentered="1"/>
  <pageMargins left="0.39370078740157483" right="0.39370078740157483" top="0.39370078740157483" bottom="0.39370078740157483" header="0.39370078740157483" footer="0.3937007874015748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1" tint="0.34998626667073579"/>
  </sheetPr>
  <dimension ref="A1:AX161"/>
  <sheetViews>
    <sheetView showGridLines="0" showZeros="0" zoomScale="80" zoomScaleNormal="70" workbookViewId="0">
      <pane ySplit="4" topLeftCell="A17" activePane="bottomLeft" state="frozen"/>
      <selection activeCell="AE29" sqref="AE29"/>
      <selection pane="bottomLeft" sqref="A1:XFD1048576"/>
    </sheetView>
  </sheetViews>
  <sheetFormatPr defaultRowHeight="13.5"/>
  <cols>
    <col min="1" max="1" width="7" style="99" bestFit="1" customWidth="1"/>
    <col min="2" max="2" width="5.625" style="160" bestFit="1" customWidth="1"/>
    <col min="3" max="3" width="33.75" style="100" bestFit="1" customWidth="1"/>
    <col min="4" max="4" width="7" style="161" bestFit="1" customWidth="1"/>
    <col min="5" max="5" width="6" style="161" bestFit="1" customWidth="1"/>
    <col min="6" max="6" width="6" style="161" customWidth="1"/>
    <col min="7" max="7" width="7" style="162" customWidth="1"/>
    <col min="8" max="8" width="1.25" style="99" customWidth="1"/>
    <col min="9" max="9" width="7" style="99" bestFit="1" customWidth="1"/>
    <col min="10" max="10" width="35.125" style="100" bestFit="1" customWidth="1"/>
    <col min="11" max="11" width="5.625" style="99" bestFit="1" customWidth="1"/>
    <col min="12" max="12" width="25.25" style="100" bestFit="1" customWidth="1"/>
    <col min="13" max="13" width="5.625" style="99" bestFit="1" customWidth="1"/>
    <col min="14" max="15" width="7.5" style="99" bestFit="1" customWidth="1"/>
    <col min="16" max="16" width="7.5" style="99" customWidth="1"/>
    <col min="17" max="17" width="1.25" style="99" customWidth="1"/>
    <col min="18" max="18" width="5.625" style="99" bestFit="1" customWidth="1"/>
    <col min="19" max="19" width="7.5" style="99" bestFit="1" customWidth="1"/>
    <col min="20" max="20" width="5.625" style="99" bestFit="1" customWidth="1"/>
    <col min="21" max="21" width="1.25" style="99" customWidth="1"/>
    <col min="22" max="22" width="6.25" style="99" customWidth="1"/>
    <col min="23" max="23" width="5.625" style="99" bestFit="1" customWidth="1"/>
    <col min="24" max="24" width="7.5" style="99" bestFit="1" customWidth="1"/>
    <col min="25" max="25" width="5.625" style="99" bestFit="1" customWidth="1"/>
    <col min="26" max="26" width="1.25" style="99" customWidth="1"/>
    <col min="27" max="27" width="14.375" style="99" bestFit="1" customWidth="1"/>
    <col min="28" max="28" width="1.25" style="99" customWidth="1"/>
    <col min="29" max="29" width="6.625" style="99" customWidth="1"/>
    <col min="30" max="30" width="5.625" style="99" bestFit="1" customWidth="1"/>
    <col min="31" max="31" width="16.625" style="100" bestFit="1" customWidth="1"/>
    <col min="32" max="32" width="5.625" style="99" bestFit="1" customWidth="1"/>
    <col min="33" max="33" width="1.25" style="99" customWidth="1"/>
    <col min="34" max="34" width="7" style="99" bestFit="1" customWidth="1"/>
    <col min="35" max="35" width="5.625" style="99" bestFit="1" customWidth="1"/>
    <col min="36" max="36" width="17.625" style="100" bestFit="1" customWidth="1"/>
    <col min="37" max="37" width="5.625" style="99" customWidth="1"/>
    <col min="38" max="38" width="5.625" style="99" bestFit="1" customWidth="1"/>
    <col min="39" max="39" width="1.25" style="99" customWidth="1"/>
    <col min="40" max="40" width="5.25" style="99" bestFit="1" customWidth="1"/>
    <col min="41" max="41" width="9.75" style="99" bestFit="1" customWidth="1"/>
    <col min="42" max="42" width="5.625" style="99" bestFit="1" customWidth="1"/>
    <col min="43" max="43" width="1.375" style="99" customWidth="1"/>
    <col min="44" max="44" width="5.25" style="99" customWidth="1"/>
    <col min="45" max="45" width="10.875" style="99" bestFit="1" customWidth="1"/>
    <col min="46" max="46" width="5.25" style="99" bestFit="1" customWidth="1"/>
    <col min="47" max="47" width="1.25" style="99" customWidth="1"/>
    <col min="48" max="48" width="5.25" style="99" bestFit="1" customWidth="1"/>
    <col min="49" max="49" width="12" style="99" bestFit="1" customWidth="1"/>
    <col min="50" max="50" width="5.625" style="99" bestFit="1" customWidth="1"/>
    <col min="51" max="51" width="2.125" style="99" customWidth="1"/>
    <col min="52" max="16384" width="9" style="99"/>
  </cols>
  <sheetData>
    <row r="1" spans="1:50" s="86" customFormat="1">
      <c r="B1" s="87"/>
      <c r="C1" s="86">
        <v>2</v>
      </c>
      <c r="D1" s="86">
        <v>3</v>
      </c>
      <c r="E1" s="86">
        <v>4</v>
      </c>
      <c r="F1" s="86">
        <v>5</v>
      </c>
      <c r="G1" s="86">
        <v>6</v>
      </c>
      <c r="J1" s="88"/>
      <c r="L1" s="86">
        <v>2</v>
      </c>
      <c r="M1" s="86">
        <v>3</v>
      </c>
      <c r="N1" s="86">
        <v>4</v>
      </c>
      <c r="O1" s="86">
        <v>5</v>
      </c>
      <c r="P1" s="86">
        <v>6</v>
      </c>
      <c r="S1" s="86">
        <v>2</v>
      </c>
      <c r="T1" s="86">
        <v>3</v>
      </c>
      <c r="X1" s="86">
        <v>2</v>
      </c>
      <c r="Y1" s="86">
        <v>3</v>
      </c>
      <c r="AE1" s="88">
        <v>2</v>
      </c>
      <c r="AF1" s="86">
        <v>3</v>
      </c>
      <c r="AJ1" s="88">
        <v>2</v>
      </c>
      <c r="AK1" s="86">
        <v>3</v>
      </c>
      <c r="AL1" s="86">
        <v>4</v>
      </c>
      <c r="AO1" s="86">
        <v>2</v>
      </c>
      <c r="AP1" s="86">
        <v>3</v>
      </c>
      <c r="AS1" s="86">
        <v>2</v>
      </c>
      <c r="AT1" s="86">
        <v>3</v>
      </c>
      <c r="AW1" s="86">
        <v>2</v>
      </c>
      <c r="AX1" s="86">
        <v>3</v>
      </c>
    </row>
    <row r="2" spans="1:50" s="86" customFormat="1" ht="14.25" thickBot="1">
      <c r="A2" s="163" t="s">
        <v>1642</v>
      </c>
      <c r="B2" s="163"/>
      <c r="C2" s="163"/>
      <c r="D2" s="163"/>
      <c r="E2" s="163"/>
      <c r="F2" s="163"/>
      <c r="G2" s="163"/>
      <c r="I2" s="163" t="s">
        <v>1643</v>
      </c>
      <c r="J2" s="163"/>
      <c r="K2" s="163"/>
      <c r="L2" s="163"/>
      <c r="M2" s="163"/>
      <c r="N2" s="163"/>
      <c r="O2" s="89"/>
      <c r="P2" s="89"/>
      <c r="R2" s="163" t="s">
        <v>1644</v>
      </c>
      <c r="S2" s="163"/>
      <c r="T2" s="163"/>
      <c r="V2" s="163" t="s">
        <v>1645</v>
      </c>
      <c r="W2" s="163"/>
      <c r="X2" s="163"/>
      <c r="Y2" s="163"/>
      <c r="AA2" s="89" t="s">
        <v>1646</v>
      </c>
      <c r="AC2" s="163" t="s">
        <v>1647</v>
      </c>
      <c r="AD2" s="163"/>
      <c r="AE2" s="163"/>
      <c r="AF2" s="163"/>
      <c r="AH2" s="163" t="s">
        <v>1648</v>
      </c>
      <c r="AI2" s="163"/>
      <c r="AJ2" s="163"/>
      <c r="AK2" s="163"/>
      <c r="AL2" s="163"/>
      <c r="AN2" s="163" t="s">
        <v>1649</v>
      </c>
      <c r="AO2" s="163"/>
      <c r="AP2" s="163"/>
      <c r="AR2" s="163" t="s">
        <v>1650</v>
      </c>
      <c r="AS2" s="163"/>
      <c r="AT2" s="163"/>
      <c r="AV2" s="163" t="s">
        <v>1651</v>
      </c>
      <c r="AW2" s="163"/>
      <c r="AX2" s="163"/>
    </row>
    <row r="3" spans="1:50" s="86" customFormat="1">
      <c r="A3" s="89" t="s">
        <v>1652</v>
      </c>
      <c r="B3" s="90" t="s">
        <v>1653</v>
      </c>
      <c r="C3" s="89" t="s">
        <v>1654</v>
      </c>
      <c r="D3" s="91" t="s">
        <v>1655</v>
      </c>
      <c r="E3" s="91" t="s">
        <v>1653</v>
      </c>
      <c r="F3" s="91" t="s">
        <v>1656</v>
      </c>
      <c r="G3" s="92" t="s">
        <v>1657</v>
      </c>
      <c r="I3" s="89" t="s">
        <v>1652</v>
      </c>
      <c r="J3" s="89" t="s">
        <v>1658</v>
      </c>
      <c r="K3" s="93" t="s">
        <v>1653</v>
      </c>
      <c r="L3" s="89" t="s">
        <v>1654</v>
      </c>
      <c r="M3" s="89" t="s">
        <v>1653</v>
      </c>
      <c r="N3" s="89" t="s">
        <v>1656</v>
      </c>
      <c r="O3" s="89" t="s">
        <v>1656</v>
      </c>
      <c r="P3" s="89" t="s">
        <v>1656</v>
      </c>
      <c r="R3" s="93" t="s">
        <v>1653</v>
      </c>
      <c r="S3" s="89" t="s">
        <v>1654</v>
      </c>
      <c r="T3" s="89" t="s">
        <v>1653</v>
      </c>
      <c r="V3" s="89" t="s">
        <v>1652</v>
      </c>
      <c r="W3" s="93" t="s">
        <v>1653</v>
      </c>
      <c r="X3" s="89" t="s">
        <v>1654</v>
      </c>
      <c r="Y3" s="89" t="s">
        <v>1653</v>
      </c>
      <c r="AA3" s="89" t="s">
        <v>1653</v>
      </c>
      <c r="AC3" s="89" t="s">
        <v>1652</v>
      </c>
      <c r="AD3" s="93" t="s">
        <v>1653</v>
      </c>
      <c r="AE3" s="89" t="s">
        <v>1654</v>
      </c>
      <c r="AF3" s="89" t="s">
        <v>1653</v>
      </c>
      <c r="AH3" s="89" t="s">
        <v>1652</v>
      </c>
      <c r="AI3" s="93" t="s">
        <v>1653</v>
      </c>
      <c r="AJ3" s="89" t="s">
        <v>1654</v>
      </c>
      <c r="AK3" s="89" t="s">
        <v>1659</v>
      </c>
      <c r="AL3" s="89" t="s">
        <v>1653</v>
      </c>
      <c r="AN3" s="93" t="s">
        <v>1653</v>
      </c>
      <c r="AO3" s="89" t="s">
        <v>1654</v>
      </c>
      <c r="AP3" s="89" t="s">
        <v>1653</v>
      </c>
      <c r="AR3" s="93" t="s">
        <v>1653</v>
      </c>
      <c r="AS3" s="89" t="s">
        <v>1654</v>
      </c>
      <c r="AT3" s="89" t="s">
        <v>1653</v>
      </c>
      <c r="AV3" s="93" t="s">
        <v>1653</v>
      </c>
      <c r="AW3" s="89" t="s">
        <v>1654</v>
      </c>
      <c r="AX3" s="89" t="s">
        <v>1653</v>
      </c>
    </row>
    <row r="4" spans="1:50">
      <c r="A4" s="94" t="s">
        <v>44</v>
      </c>
      <c r="B4" s="95"/>
      <c r="C4" s="96" t="s">
        <v>45</v>
      </c>
      <c r="D4" s="97">
        <f>B4</f>
        <v>0</v>
      </c>
      <c r="E4" s="97">
        <f t="shared" ref="E4:E49" si="0">B4</f>
        <v>0</v>
      </c>
      <c r="F4" s="97" t="s">
        <v>46</v>
      </c>
      <c r="G4" s="98" t="s">
        <v>15</v>
      </c>
      <c r="I4" s="99" t="s">
        <v>47</v>
      </c>
      <c r="J4" s="100" t="s">
        <v>48</v>
      </c>
      <c r="K4" s="101" t="s">
        <v>49</v>
      </c>
      <c r="L4" s="100" t="s">
        <v>50</v>
      </c>
      <c r="M4" s="99" t="str">
        <f>K4</f>
        <v>BA</v>
      </c>
      <c r="N4" s="99" t="s">
        <v>1660</v>
      </c>
      <c r="P4" s="99" t="s">
        <v>1661</v>
      </c>
      <c r="R4" s="101" t="s">
        <v>51</v>
      </c>
      <c r="S4" s="99">
        <v>2009</v>
      </c>
      <c r="T4" s="99" t="str">
        <f>R4</f>
        <v>A</v>
      </c>
      <c r="V4" s="99">
        <v>0</v>
      </c>
      <c r="W4" s="102" t="s">
        <v>1662</v>
      </c>
      <c r="X4" s="99" t="s">
        <v>1663</v>
      </c>
      <c r="Y4" s="99" t="str">
        <f>W4</f>
        <v>0</v>
      </c>
      <c r="AA4" s="99" t="s">
        <v>52</v>
      </c>
      <c r="AC4" s="99" t="s">
        <v>53</v>
      </c>
      <c r="AD4" s="101" t="s">
        <v>54</v>
      </c>
      <c r="AE4" s="100" t="s">
        <v>55</v>
      </c>
      <c r="AF4" s="99" t="str">
        <f>AD4</f>
        <v>BK</v>
      </c>
      <c r="AH4" s="99" t="s">
        <v>51</v>
      </c>
      <c r="AI4" s="101" t="s">
        <v>4</v>
      </c>
      <c r="AJ4" s="100" t="s">
        <v>56</v>
      </c>
      <c r="AK4" s="99">
        <v>1</v>
      </c>
      <c r="AL4" s="99" t="str">
        <f>AI4</f>
        <v>FRE</v>
      </c>
      <c r="AN4" s="101" t="s">
        <v>15</v>
      </c>
      <c r="AO4" s="99" t="s">
        <v>57</v>
      </c>
      <c r="AP4" s="99" t="str">
        <f>AN4</f>
        <v>B</v>
      </c>
      <c r="AR4" s="101" t="s">
        <v>14</v>
      </c>
      <c r="AS4" s="99" t="s">
        <v>58</v>
      </c>
      <c r="AT4" s="99" t="str">
        <f t="shared" ref="AT4:AT9" si="1">AR4</f>
        <v>M</v>
      </c>
      <c r="AV4" s="103" t="s">
        <v>59</v>
      </c>
      <c r="AW4" s="104" t="s">
        <v>60</v>
      </c>
      <c r="AX4" s="104" t="str">
        <f t="shared" ref="AX4:AX20" si="2">AV4</f>
        <v>CN</v>
      </c>
    </row>
    <row r="5" spans="1:50">
      <c r="A5" s="94" t="s">
        <v>61</v>
      </c>
      <c r="B5" s="95"/>
      <c r="C5" s="96" t="s">
        <v>62</v>
      </c>
      <c r="D5" s="97">
        <f>B5</f>
        <v>0</v>
      </c>
      <c r="E5" s="97">
        <f t="shared" si="0"/>
        <v>0</v>
      </c>
      <c r="F5" s="97" t="s">
        <v>46</v>
      </c>
      <c r="G5" s="98" t="s">
        <v>15</v>
      </c>
      <c r="I5" s="99" t="s">
        <v>63</v>
      </c>
      <c r="J5" s="100" t="s">
        <v>64</v>
      </c>
      <c r="K5" s="101" t="s">
        <v>49</v>
      </c>
      <c r="L5" s="100" t="s">
        <v>50</v>
      </c>
      <c r="M5" s="99" t="str">
        <f t="shared" ref="M5:M50" si="3">K5</f>
        <v>BA</v>
      </c>
      <c r="N5" s="99" t="s">
        <v>1660</v>
      </c>
      <c r="P5" s="99" t="s">
        <v>1661</v>
      </c>
      <c r="R5" s="101" t="s">
        <v>15</v>
      </c>
      <c r="S5" s="99">
        <v>2010</v>
      </c>
      <c r="T5" s="99" t="str">
        <f t="shared" ref="T5:T13" si="4">R5</f>
        <v>B</v>
      </c>
      <c r="V5" s="99">
        <v>1</v>
      </c>
      <c r="W5" s="101" t="s">
        <v>42</v>
      </c>
      <c r="X5" s="99" t="s">
        <v>1663</v>
      </c>
      <c r="Y5" s="99" t="str">
        <f t="shared" ref="Y5:Y13" si="5">W5</f>
        <v>0</v>
      </c>
      <c r="AA5" s="99" t="s">
        <v>65</v>
      </c>
      <c r="AC5" s="99" t="s">
        <v>66</v>
      </c>
      <c r="AD5" s="101"/>
      <c r="AE5" s="100" t="s">
        <v>67</v>
      </c>
      <c r="AF5" s="99">
        <f t="shared" ref="AF5:AF68" si="6">AD5</f>
        <v>0</v>
      </c>
      <c r="AH5" s="99" t="s">
        <v>68</v>
      </c>
      <c r="AI5" s="101" t="s">
        <v>6</v>
      </c>
      <c r="AJ5" s="100" t="s">
        <v>69</v>
      </c>
      <c r="AK5" s="99">
        <v>1</v>
      </c>
      <c r="AL5" s="99" t="str">
        <f t="shared" ref="AL5:AL12" si="7">AI5</f>
        <v>OXS</v>
      </c>
      <c r="AN5" s="101" t="s">
        <v>70</v>
      </c>
      <c r="AO5" s="99" t="s">
        <v>71</v>
      </c>
      <c r="AP5" s="99" t="str">
        <f>AN5</f>
        <v>C</v>
      </c>
      <c r="AR5" s="101" t="s">
        <v>72</v>
      </c>
      <c r="AS5" s="99" t="s">
        <v>73</v>
      </c>
      <c r="AT5" s="99" t="str">
        <f t="shared" si="1"/>
        <v>W</v>
      </c>
      <c r="AV5" s="103" t="s">
        <v>74</v>
      </c>
      <c r="AW5" s="104" t="s">
        <v>75</v>
      </c>
      <c r="AX5" s="104" t="str">
        <f t="shared" si="2"/>
        <v>JP</v>
      </c>
    </row>
    <row r="6" spans="1:50" ht="14.25" thickBot="1">
      <c r="A6" s="94" t="s">
        <v>76</v>
      </c>
      <c r="B6" s="95"/>
      <c r="C6" s="96" t="s">
        <v>77</v>
      </c>
      <c r="D6" s="97">
        <f>B6</f>
        <v>0</v>
      </c>
      <c r="E6" s="97">
        <f t="shared" si="0"/>
        <v>0</v>
      </c>
      <c r="F6" s="97" t="s">
        <v>46</v>
      </c>
      <c r="G6" s="98" t="s">
        <v>15</v>
      </c>
      <c r="I6" s="99" t="s">
        <v>78</v>
      </c>
      <c r="J6" s="100" t="s">
        <v>79</v>
      </c>
      <c r="K6" s="101" t="s">
        <v>80</v>
      </c>
      <c r="L6" s="100" t="s">
        <v>81</v>
      </c>
      <c r="M6" s="99" t="str">
        <f t="shared" si="3"/>
        <v>FL</v>
      </c>
      <c r="N6" s="99" t="s">
        <v>1660</v>
      </c>
      <c r="P6" s="99" t="s">
        <v>1661</v>
      </c>
      <c r="R6" s="101" t="s">
        <v>70</v>
      </c>
      <c r="S6" s="99">
        <v>2011</v>
      </c>
      <c r="T6" s="99" t="str">
        <f t="shared" si="4"/>
        <v>C</v>
      </c>
      <c r="V6" s="99">
        <v>2</v>
      </c>
      <c r="W6" s="101" t="s">
        <v>42</v>
      </c>
      <c r="X6" s="99" t="s">
        <v>1663</v>
      </c>
      <c r="Y6" s="99" t="str">
        <f t="shared" si="5"/>
        <v>0</v>
      </c>
      <c r="AA6" s="99" t="s">
        <v>82</v>
      </c>
      <c r="AC6" s="99" t="s">
        <v>83</v>
      </c>
      <c r="AD6" s="101"/>
      <c r="AE6" s="100" t="s">
        <v>84</v>
      </c>
      <c r="AF6" s="99">
        <f t="shared" si="6"/>
        <v>0</v>
      </c>
      <c r="AI6" s="101" t="s">
        <v>7</v>
      </c>
      <c r="AJ6" s="100" t="s">
        <v>85</v>
      </c>
      <c r="AK6" s="99">
        <v>1</v>
      </c>
      <c r="AL6" s="99" t="str">
        <f t="shared" si="7"/>
        <v>OSS</v>
      </c>
      <c r="AN6" s="105" t="s">
        <v>14</v>
      </c>
      <c r="AO6" s="99" t="s">
        <v>86</v>
      </c>
      <c r="AP6" s="99" t="str">
        <f>AN6</f>
        <v>M</v>
      </c>
      <c r="AR6" s="101" t="s">
        <v>87</v>
      </c>
      <c r="AS6" s="99" t="s">
        <v>88</v>
      </c>
      <c r="AT6" s="99" t="str">
        <f t="shared" si="1"/>
        <v>U</v>
      </c>
      <c r="AV6" s="103" t="s">
        <v>89</v>
      </c>
      <c r="AW6" s="104" t="s">
        <v>90</v>
      </c>
      <c r="AX6" s="104" t="str">
        <f t="shared" si="2"/>
        <v>KR</v>
      </c>
    </row>
    <row r="7" spans="1:50" ht="14.25" thickBot="1">
      <c r="A7" s="94" t="s">
        <v>91</v>
      </c>
      <c r="B7" s="95"/>
      <c r="C7" s="96" t="s">
        <v>92</v>
      </c>
      <c r="D7" s="97">
        <f>B7</f>
        <v>0</v>
      </c>
      <c r="E7" s="97">
        <f t="shared" si="0"/>
        <v>0</v>
      </c>
      <c r="F7" s="97" t="s">
        <v>46</v>
      </c>
      <c r="G7" s="98" t="s">
        <v>15</v>
      </c>
      <c r="I7" s="99" t="s">
        <v>93</v>
      </c>
      <c r="J7" s="100" t="s">
        <v>94</v>
      </c>
      <c r="K7" s="101" t="s">
        <v>80</v>
      </c>
      <c r="L7" s="100" t="s">
        <v>81</v>
      </c>
      <c r="M7" s="99" t="str">
        <f t="shared" si="3"/>
        <v>FL</v>
      </c>
      <c r="N7" s="99" t="s">
        <v>1660</v>
      </c>
      <c r="P7" s="99" t="s">
        <v>1661</v>
      </c>
      <c r="R7" s="101" t="s">
        <v>95</v>
      </c>
      <c r="S7" s="99">
        <v>2012</v>
      </c>
      <c r="T7" s="99" t="str">
        <f t="shared" si="4"/>
        <v>D</v>
      </c>
      <c r="V7" s="99">
        <v>3</v>
      </c>
      <c r="W7" s="101" t="s">
        <v>42</v>
      </c>
      <c r="X7" s="99" t="s">
        <v>1663</v>
      </c>
      <c r="Y7" s="99" t="str">
        <f t="shared" si="5"/>
        <v>0</v>
      </c>
      <c r="AA7" s="99" t="s">
        <v>96</v>
      </c>
      <c r="AC7" s="99" t="s">
        <v>97</v>
      </c>
      <c r="AD7" s="101"/>
      <c r="AE7" s="100" t="s">
        <v>98</v>
      </c>
      <c r="AF7" s="99">
        <f t="shared" si="6"/>
        <v>0</v>
      </c>
      <c r="AI7" s="101" t="s">
        <v>8</v>
      </c>
      <c r="AJ7" s="100" t="s">
        <v>14</v>
      </c>
      <c r="AK7" s="99">
        <v>1</v>
      </c>
      <c r="AL7" s="99" t="str">
        <f t="shared" si="7"/>
        <v>OMM</v>
      </c>
      <c r="AR7" s="101" t="s">
        <v>99</v>
      </c>
      <c r="AS7" s="99" t="s">
        <v>100</v>
      </c>
      <c r="AT7" s="99" t="str">
        <f t="shared" si="1"/>
        <v>K</v>
      </c>
      <c r="AV7" s="106" t="s">
        <v>101</v>
      </c>
      <c r="AW7" s="104" t="s">
        <v>102</v>
      </c>
      <c r="AX7" s="104" t="str">
        <f t="shared" si="2"/>
        <v>US</v>
      </c>
    </row>
    <row r="8" spans="1:50">
      <c r="A8" s="94" t="s">
        <v>103</v>
      </c>
      <c r="B8" s="95"/>
      <c r="C8" s="96" t="s">
        <v>104</v>
      </c>
      <c r="D8" s="97">
        <f>B8</f>
        <v>0</v>
      </c>
      <c r="E8" s="97">
        <f t="shared" si="0"/>
        <v>0</v>
      </c>
      <c r="F8" s="97" t="s">
        <v>46</v>
      </c>
      <c r="G8" s="98" t="s">
        <v>15</v>
      </c>
      <c r="I8" s="99" t="s">
        <v>105</v>
      </c>
      <c r="J8" s="100" t="s">
        <v>106</v>
      </c>
      <c r="K8" s="101" t="s">
        <v>107</v>
      </c>
      <c r="L8" s="100" t="s">
        <v>108</v>
      </c>
      <c r="M8" s="99" t="str">
        <f t="shared" si="3"/>
        <v>FI</v>
      </c>
      <c r="N8" s="99" t="s">
        <v>1660</v>
      </c>
      <c r="P8" s="99" t="s">
        <v>1661</v>
      </c>
      <c r="R8" s="101" t="s">
        <v>109</v>
      </c>
      <c r="S8" s="99">
        <v>2013</v>
      </c>
      <c r="T8" s="99" t="str">
        <f t="shared" si="4"/>
        <v>E</v>
      </c>
      <c r="V8" s="99">
        <v>4</v>
      </c>
      <c r="W8" s="101" t="s">
        <v>42</v>
      </c>
      <c r="X8" s="99" t="s">
        <v>1663</v>
      </c>
      <c r="Y8" s="99" t="str">
        <f t="shared" si="5"/>
        <v>0</v>
      </c>
      <c r="AA8" s="99" t="s">
        <v>110</v>
      </c>
      <c r="AC8" s="99" t="s">
        <v>111</v>
      </c>
      <c r="AD8" s="101"/>
      <c r="AE8" s="100" t="s">
        <v>112</v>
      </c>
      <c r="AF8" s="99">
        <f t="shared" si="6"/>
        <v>0</v>
      </c>
      <c r="AI8" s="101" t="s">
        <v>9</v>
      </c>
      <c r="AJ8" s="100" t="s">
        <v>113</v>
      </c>
      <c r="AK8" s="99">
        <v>1</v>
      </c>
      <c r="AL8" s="99" t="str">
        <f t="shared" si="7"/>
        <v>OLL</v>
      </c>
      <c r="AR8" s="101" t="s">
        <v>68</v>
      </c>
      <c r="AS8" s="99" t="s">
        <v>34</v>
      </c>
      <c r="AT8" s="99" t="str">
        <f t="shared" si="1"/>
        <v>N</v>
      </c>
      <c r="AV8" s="104" t="s">
        <v>1664</v>
      </c>
      <c r="AW8" s="104" t="s">
        <v>1665</v>
      </c>
      <c r="AX8" s="104" t="str">
        <f t="shared" si="2"/>
        <v>IN</v>
      </c>
    </row>
    <row r="9" spans="1:50" ht="14.25" thickBot="1">
      <c r="A9" s="94" t="s">
        <v>114</v>
      </c>
      <c r="B9" s="95" t="s">
        <v>115</v>
      </c>
      <c r="C9" s="96" t="s">
        <v>116</v>
      </c>
      <c r="D9" s="97" t="s">
        <v>1666</v>
      </c>
      <c r="E9" s="97" t="str">
        <f t="shared" si="0"/>
        <v>KDO</v>
      </c>
      <c r="F9" s="97" t="s">
        <v>46</v>
      </c>
      <c r="G9" s="98" t="s">
        <v>15</v>
      </c>
      <c r="I9" s="99" t="s">
        <v>117</v>
      </c>
      <c r="J9" s="100" t="s">
        <v>118</v>
      </c>
      <c r="K9" s="101" t="s">
        <v>107</v>
      </c>
      <c r="L9" s="100" t="s">
        <v>108</v>
      </c>
      <c r="M9" s="99" t="str">
        <f t="shared" si="3"/>
        <v>FI</v>
      </c>
      <c r="N9" s="99" t="s">
        <v>1660</v>
      </c>
      <c r="P9" s="99" t="s">
        <v>1661</v>
      </c>
      <c r="R9" s="101" t="s">
        <v>119</v>
      </c>
      <c r="S9" s="99">
        <v>2014</v>
      </c>
      <c r="T9" s="99" t="str">
        <f t="shared" si="4"/>
        <v>F</v>
      </c>
      <c r="V9" s="99">
        <v>5</v>
      </c>
      <c r="W9" s="102" t="s">
        <v>1667</v>
      </c>
      <c r="X9" s="99" t="s">
        <v>1668</v>
      </c>
      <c r="Y9" s="99" t="str">
        <f t="shared" si="5"/>
        <v>3</v>
      </c>
      <c r="AA9" s="99" t="s">
        <v>120</v>
      </c>
      <c r="AC9" s="99" t="s">
        <v>121</v>
      </c>
      <c r="AD9" s="101"/>
      <c r="AE9" s="100" t="s">
        <v>122</v>
      </c>
      <c r="AF9" s="99">
        <f t="shared" si="6"/>
        <v>0</v>
      </c>
      <c r="AI9" s="101" t="s">
        <v>10</v>
      </c>
      <c r="AJ9" s="100" t="s">
        <v>123</v>
      </c>
      <c r="AK9" s="99">
        <v>1</v>
      </c>
      <c r="AL9" s="99" t="str">
        <f t="shared" si="7"/>
        <v>OXL</v>
      </c>
      <c r="AR9" s="105" t="s">
        <v>51</v>
      </c>
      <c r="AS9" s="99" t="s">
        <v>124</v>
      </c>
      <c r="AT9" s="99" t="str">
        <f t="shared" si="1"/>
        <v>A</v>
      </c>
      <c r="AV9" s="104" t="s">
        <v>1669</v>
      </c>
      <c r="AW9" s="104" t="s">
        <v>1670</v>
      </c>
      <c r="AX9" s="104" t="str">
        <f t="shared" si="2"/>
        <v>BG</v>
      </c>
    </row>
    <row r="10" spans="1:50">
      <c r="A10" s="94" t="s">
        <v>93</v>
      </c>
      <c r="B10" s="95" t="s">
        <v>125</v>
      </c>
      <c r="C10" s="96" t="s">
        <v>126</v>
      </c>
      <c r="D10" s="97" t="str">
        <f>B10</f>
        <v>ZCD</v>
      </c>
      <c r="E10" s="97" t="str">
        <f t="shared" si="0"/>
        <v>ZCD</v>
      </c>
      <c r="F10" s="97" t="s">
        <v>46</v>
      </c>
      <c r="G10" s="98" t="s">
        <v>15</v>
      </c>
      <c r="I10" s="99" t="s">
        <v>127</v>
      </c>
      <c r="J10" s="100" t="s">
        <v>128</v>
      </c>
      <c r="K10" s="101" t="s">
        <v>107</v>
      </c>
      <c r="L10" s="100" t="s">
        <v>108</v>
      </c>
      <c r="M10" s="99" t="str">
        <f t="shared" si="3"/>
        <v>FI</v>
      </c>
      <c r="N10" s="99" t="s">
        <v>1660</v>
      </c>
      <c r="P10" s="99" t="s">
        <v>1661</v>
      </c>
      <c r="R10" s="101" t="s">
        <v>129</v>
      </c>
      <c r="S10" s="99">
        <v>2015</v>
      </c>
      <c r="T10" s="99" t="str">
        <f t="shared" si="4"/>
        <v>G</v>
      </c>
      <c r="V10" s="99">
        <v>6</v>
      </c>
      <c r="W10" s="101" t="s">
        <v>130</v>
      </c>
      <c r="X10" s="99" t="s">
        <v>1668</v>
      </c>
      <c r="Y10" s="99" t="str">
        <f t="shared" si="5"/>
        <v>3</v>
      </c>
      <c r="AA10" s="99" t="s">
        <v>131</v>
      </c>
      <c r="AC10" s="99" t="s">
        <v>132</v>
      </c>
      <c r="AD10" s="101"/>
      <c r="AE10" s="100" t="s">
        <v>133</v>
      </c>
      <c r="AF10" s="99">
        <f t="shared" si="6"/>
        <v>0</v>
      </c>
      <c r="AH10" s="99" t="s">
        <v>134</v>
      </c>
      <c r="AI10" s="101" t="s">
        <v>2</v>
      </c>
      <c r="AJ10" s="100" t="s">
        <v>135</v>
      </c>
      <c r="AK10" s="99">
        <v>1</v>
      </c>
      <c r="AL10" s="99" t="str">
        <f t="shared" si="7"/>
        <v>OSM</v>
      </c>
      <c r="AV10" s="104" t="s">
        <v>1671</v>
      </c>
      <c r="AW10" s="104" t="s">
        <v>1672</v>
      </c>
      <c r="AX10" s="104" t="str">
        <f t="shared" si="2"/>
        <v>DE</v>
      </c>
    </row>
    <row r="11" spans="1:50">
      <c r="A11" s="94" t="s">
        <v>47</v>
      </c>
      <c r="B11" s="95" t="s">
        <v>136</v>
      </c>
      <c r="C11" s="96" t="s">
        <v>137</v>
      </c>
      <c r="D11" s="97" t="str">
        <f>B11</f>
        <v>ZCA</v>
      </c>
      <c r="E11" s="97" t="str">
        <f t="shared" si="0"/>
        <v>ZCA</v>
      </c>
      <c r="F11" s="97" t="s">
        <v>46</v>
      </c>
      <c r="G11" s="98" t="s">
        <v>15</v>
      </c>
      <c r="I11" s="99" t="s">
        <v>138</v>
      </c>
      <c r="J11" s="100" t="s">
        <v>139</v>
      </c>
      <c r="K11" s="101" t="s">
        <v>140</v>
      </c>
      <c r="L11" s="100" t="s">
        <v>141</v>
      </c>
      <c r="M11" s="99" t="str">
        <f t="shared" si="3"/>
        <v>WC</v>
      </c>
      <c r="N11" s="99" t="s">
        <v>1673</v>
      </c>
      <c r="P11" s="99" t="s">
        <v>1674</v>
      </c>
      <c r="R11" s="101" t="s">
        <v>142</v>
      </c>
      <c r="S11" s="99">
        <v>2016</v>
      </c>
      <c r="T11" s="99" t="str">
        <f t="shared" si="4"/>
        <v>H</v>
      </c>
      <c r="V11" s="99">
        <v>7</v>
      </c>
      <c r="W11" s="101" t="s">
        <v>130</v>
      </c>
      <c r="X11" s="99" t="s">
        <v>1675</v>
      </c>
      <c r="Y11" s="99" t="str">
        <f t="shared" si="5"/>
        <v>3</v>
      </c>
      <c r="AA11" s="99" t="s">
        <v>143</v>
      </c>
      <c r="AC11" s="99" t="s">
        <v>144</v>
      </c>
      <c r="AD11" s="101"/>
      <c r="AE11" s="100" t="s">
        <v>145</v>
      </c>
      <c r="AF11" s="99">
        <f t="shared" si="6"/>
        <v>0</v>
      </c>
      <c r="AH11" s="99" t="s">
        <v>146</v>
      </c>
      <c r="AI11" s="101" t="s">
        <v>3</v>
      </c>
      <c r="AJ11" s="100" t="s">
        <v>147</v>
      </c>
      <c r="AK11" s="99">
        <v>1</v>
      </c>
      <c r="AL11" s="99" t="str">
        <f t="shared" si="7"/>
        <v>OML</v>
      </c>
      <c r="AV11" s="104" t="s">
        <v>1676</v>
      </c>
      <c r="AW11" s="104" t="s">
        <v>1677</v>
      </c>
      <c r="AX11" s="104" t="str">
        <f t="shared" si="2"/>
        <v>AT</v>
      </c>
    </row>
    <row r="12" spans="1:50">
      <c r="A12" s="94" t="s">
        <v>148</v>
      </c>
      <c r="B12" s="95" t="s">
        <v>149</v>
      </c>
      <c r="C12" s="96" t="s">
        <v>150</v>
      </c>
      <c r="D12" s="97" t="s">
        <v>1678</v>
      </c>
      <c r="E12" s="97" t="str">
        <f t="shared" si="0"/>
        <v>KHA</v>
      </c>
      <c r="F12" s="97" t="s">
        <v>46</v>
      </c>
      <c r="G12" s="98" t="s">
        <v>15</v>
      </c>
      <c r="I12" s="99" t="s">
        <v>151</v>
      </c>
      <c r="J12" s="100" t="s">
        <v>152</v>
      </c>
      <c r="K12" s="101" t="s">
        <v>153</v>
      </c>
      <c r="L12" s="100" t="s">
        <v>152</v>
      </c>
      <c r="M12" s="99" t="str">
        <f t="shared" si="3"/>
        <v>TR</v>
      </c>
      <c r="N12" s="99" t="s">
        <v>1673</v>
      </c>
      <c r="P12" s="99" t="s">
        <v>1674</v>
      </c>
      <c r="R12" s="101" t="s">
        <v>154</v>
      </c>
      <c r="S12" s="99">
        <v>2017</v>
      </c>
      <c r="T12" s="99" t="str">
        <f t="shared" si="4"/>
        <v>I</v>
      </c>
      <c r="V12" s="99">
        <v>8</v>
      </c>
      <c r="W12" s="101" t="s">
        <v>130</v>
      </c>
      <c r="X12" s="99" t="s">
        <v>1675</v>
      </c>
      <c r="Y12" s="99" t="str">
        <f t="shared" si="5"/>
        <v>3</v>
      </c>
      <c r="AA12" s="99" t="s">
        <v>155</v>
      </c>
      <c r="AC12" s="99" t="s">
        <v>156</v>
      </c>
      <c r="AD12" s="101"/>
      <c r="AE12" s="100" t="s">
        <v>157</v>
      </c>
      <c r="AF12" s="99">
        <f t="shared" si="6"/>
        <v>0</v>
      </c>
      <c r="AH12" s="99" t="s">
        <v>158</v>
      </c>
      <c r="AI12" s="101" t="s">
        <v>5</v>
      </c>
      <c r="AJ12" s="100" t="s">
        <v>159</v>
      </c>
      <c r="AK12" s="99">
        <v>1</v>
      </c>
      <c r="AL12" s="99" t="str">
        <f t="shared" si="7"/>
        <v>LXL</v>
      </c>
      <c r="AV12" s="104" t="s">
        <v>1679</v>
      </c>
      <c r="AW12" s="104" t="s">
        <v>1680</v>
      </c>
      <c r="AX12" s="104" t="str">
        <f t="shared" si="2"/>
        <v>BE</v>
      </c>
    </row>
    <row r="13" spans="1:50" ht="14.25" thickBot="1">
      <c r="A13" s="94" t="s">
        <v>160</v>
      </c>
      <c r="B13" s="95" t="s">
        <v>161</v>
      </c>
      <c r="C13" s="96" t="s">
        <v>162</v>
      </c>
      <c r="D13" s="97" t="s">
        <v>1681</v>
      </c>
      <c r="E13" s="97" t="str">
        <f t="shared" si="0"/>
        <v>KKI</v>
      </c>
      <c r="F13" s="97" t="s">
        <v>46</v>
      </c>
      <c r="G13" s="98" t="s">
        <v>15</v>
      </c>
      <c r="I13" s="99" t="s">
        <v>163</v>
      </c>
      <c r="J13" s="100" t="s">
        <v>164</v>
      </c>
      <c r="K13" s="101" t="s">
        <v>153</v>
      </c>
      <c r="L13" s="100" t="s">
        <v>152</v>
      </c>
      <c r="M13" s="99" t="str">
        <f t="shared" si="3"/>
        <v>TR</v>
      </c>
      <c r="N13" s="99" t="s">
        <v>1682</v>
      </c>
      <c r="P13" s="99" t="s">
        <v>1683</v>
      </c>
      <c r="R13" s="105" t="s">
        <v>165</v>
      </c>
      <c r="S13" s="99">
        <v>2018</v>
      </c>
      <c r="T13" s="99" t="str">
        <f t="shared" si="4"/>
        <v>J</v>
      </c>
      <c r="V13" s="99">
        <v>9</v>
      </c>
      <c r="W13" s="105" t="s">
        <v>130</v>
      </c>
      <c r="X13" s="99" t="s">
        <v>1684</v>
      </c>
      <c r="Y13" s="99" t="str">
        <f t="shared" si="5"/>
        <v>3</v>
      </c>
      <c r="AA13" s="99" t="s">
        <v>166</v>
      </c>
      <c r="AC13" s="99" t="s">
        <v>167</v>
      </c>
      <c r="AD13" s="101" t="s">
        <v>168</v>
      </c>
      <c r="AE13" s="100" t="s">
        <v>169</v>
      </c>
      <c r="AF13" s="99" t="str">
        <f t="shared" si="6"/>
        <v>BU</v>
      </c>
      <c r="AI13" s="101"/>
      <c r="AV13" s="104" t="s">
        <v>1685</v>
      </c>
      <c r="AW13" s="104" t="s">
        <v>1686</v>
      </c>
      <c r="AX13" s="104" t="str">
        <f t="shared" si="2"/>
        <v>CH</v>
      </c>
    </row>
    <row r="14" spans="1:50">
      <c r="A14" s="94" t="s">
        <v>170</v>
      </c>
      <c r="B14" s="95" t="s">
        <v>171</v>
      </c>
      <c r="C14" s="96" t="s">
        <v>172</v>
      </c>
      <c r="D14" s="97" t="s">
        <v>1681</v>
      </c>
      <c r="E14" s="97" t="str">
        <f t="shared" si="0"/>
        <v>KLG</v>
      </c>
      <c r="F14" s="97" t="s">
        <v>46</v>
      </c>
      <c r="G14" s="98" t="s">
        <v>15</v>
      </c>
      <c r="I14" s="99" t="s">
        <v>173</v>
      </c>
      <c r="J14" s="100" t="s">
        <v>174</v>
      </c>
      <c r="K14" s="101" t="s">
        <v>153</v>
      </c>
      <c r="L14" s="100" t="s">
        <v>152</v>
      </c>
      <c r="M14" s="99" t="str">
        <f t="shared" si="3"/>
        <v>TR</v>
      </c>
      <c r="N14" s="99" t="s">
        <v>1682</v>
      </c>
      <c r="P14" s="99" t="s">
        <v>1683</v>
      </c>
      <c r="AC14" s="99" t="s">
        <v>49</v>
      </c>
      <c r="AD14" s="101"/>
      <c r="AE14" s="100" t="s">
        <v>175</v>
      </c>
      <c r="AF14" s="99">
        <f t="shared" si="6"/>
        <v>0</v>
      </c>
      <c r="AH14" s="99" t="s">
        <v>109</v>
      </c>
      <c r="AI14" s="101">
        <v>700</v>
      </c>
      <c r="AJ14" s="100" t="s">
        <v>176</v>
      </c>
      <c r="AK14" s="99" t="s">
        <v>1687</v>
      </c>
      <c r="AL14" s="99">
        <f>AI14</f>
        <v>700</v>
      </c>
      <c r="AV14" s="104" t="s">
        <v>1688</v>
      </c>
      <c r="AW14" s="104" t="s">
        <v>1689</v>
      </c>
      <c r="AX14" s="104" t="str">
        <f t="shared" si="2"/>
        <v>ES</v>
      </c>
    </row>
    <row r="15" spans="1:50">
      <c r="A15" s="94" t="s">
        <v>177</v>
      </c>
      <c r="B15" s="95" t="s">
        <v>178</v>
      </c>
      <c r="C15" s="96" t="s">
        <v>179</v>
      </c>
      <c r="D15" s="97" t="s">
        <v>1681</v>
      </c>
      <c r="E15" s="97" t="str">
        <f t="shared" si="0"/>
        <v>KLO</v>
      </c>
      <c r="F15" s="97" t="s">
        <v>46</v>
      </c>
      <c r="G15" s="98" t="s">
        <v>15</v>
      </c>
      <c r="I15" s="99" t="s">
        <v>180</v>
      </c>
      <c r="J15" s="100" t="s">
        <v>181</v>
      </c>
      <c r="K15" s="101" t="s">
        <v>153</v>
      </c>
      <c r="L15" s="100" t="s">
        <v>152</v>
      </c>
      <c r="M15" s="99" t="str">
        <f t="shared" si="3"/>
        <v>TR</v>
      </c>
      <c r="N15" s="99" t="s">
        <v>1682</v>
      </c>
      <c r="P15" s="99" t="s">
        <v>1683</v>
      </c>
      <c r="AC15" s="99" t="s">
        <v>182</v>
      </c>
      <c r="AD15" s="101"/>
      <c r="AE15" s="100" t="s">
        <v>183</v>
      </c>
      <c r="AF15" s="99">
        <f t="shared" si="6"/>
        <v>0</v>
      </c>
      <c r="AH15" s="99" t="s">
        <v>119</v>
      </c>
      <c r="AI15" s="101">
        <v>718</v>
      </c>
      <c r="AJ15" s="100" t="s">
        <v>184</v>
      </c>
      <c r="AK15" s="99" t="s">
        <v>1687</v>
      </c>
      <c r="AL15" s="99">
        <f t="shared" ref="AL15:AL22" si="8">AI15</f>
        <v>718</v>
      </c>
      <c r="AV15" s="104" t="s">
        <v>1690</v>
      </c>
      <c r="AW15" s="104" t="s">
        <v>1691</v>
      </c>
      <c r="AX15" s="104" t="str">
        <f t="shared" si="2"/>
        <v>FR</v>
      </c>
    </row>
    <row r="16" spans="1:50">
      <c r="A16" s="94" t="s">
        <v>185</v>
      </c>
      <c r="B16" s="95" t="s">
        <v>186</v>
      </c>
      <c r="C16" s="96" t="s">
        <v>187</v>
      </c>
      <c r="D16" s="97" t="s">
        <v>1692</v>
      </c>
      <c r="E16" s="97" t="str">
        <f t="shared" si="0"/>
        <v>NAN</v>
      </c>
      <c r="F16" s="97" t="s">
        <v>46</v>
      </c>
      <c r="G16" s="98" t="s">
        <v>15</v>
      </c>
      <c r="I16" s="99" t="s">
        <v>188</v>
      </c>
      <c r="J16" s="100" t="s">
        <v>189</v>
      </c>
      <c r="K16" s="101" t="s">
        <v>190</v>
      </c>
      <c r="L16" s="100" t="s">
        <v>189</v>
      </c>
      <c r="M16" s="99" t="str">
        <f t="shared" si="3"/>
        <v>UM</v>
      </c>
      <c r="N16" s="99" t="s">
        <v>1682</v>
      </c>
      <c r="P16" s="99" t="s">
        <v>1683</v>
      </c>
      <c r="AC16" s="99" t="s">
        <v>191</v>
      </c>
      <c r="AD16" s="101" t="s">
        <v>192</v>
      </c>
      <c r="AE16" s="100" t="s">
        <v>193</v>
      </c>
      <c r="AF16" s="99" t="str">
        <f t="shared" si="6"/>
        <v>BG</v>
      </c>
      <c r="AH16" s="99" t="s">
        <v>129</v>
      </c>
      <c r="AI16" s="101">
        <v>714</v>
      </c>
      <c r="AJ16" s="100" t="s">
        <v>194</v>
      </c>
      <c r="AK16" s="99" t="s">
        <v>1687</v>
      </c>
      <c r="AL16" s="99">
        <f t="shared" si="8"/>
        <v>714</v>
      </c>
      <c r="AV16" s="104" t="s">
        <v>1693</v>
      </c>
      <c r="AW16" s="104" t="s">
        <v>1694</v>
      </c>
      <c r="AX16" s="104" t="str">
        <f t="shared" si="2"/>
        <v>GR</v>
      </c>
    </row>
    <row r="17" spans="1:50">
      <c r="A17" s="107" t="s">
        <v>195</v>
      </c>
      <c r="B17" s="108" t="s">
        <v>196</v>
      </c>
      <c r="C17" s="109" t="s">
        <v>197</v>
      </c>
      <c r="D17" s="110" t="s">
        <v>1695</v>
      </c>
      <c r="E17" s="110" t="str">
        <f t="shared" si="0"/>
        <v>NAS</v>
      </c>
      <c r="F17" s="110" t="s">
        <v>46</v>
      </c>
      <c r="G17" s="111" t="s">
        <v>15</v>
      </c>
      <c r="I17" s="99" t="s">
        <v>198</v>
      </c>
      <c r="J17" s="100" t="s">
        <v>199</v>
      </c>
      <c r="K17" s="101" t="s">
        <v>200</v>
      </c>
      <c r="L17" s="100" t="s">
        <v>201</v>
      </c>
      <c r="M17" s="99" t="str">
        <f t="shared" si="3"/>
        <v>PE</v>
      </c>
      <c r="N17" s="99" t="s">
        <v>1673</v>
      </c>
      <c r="P17" s="99" t="s">
        <v>1674</v>
      </c>
      <c r="AC17" s="99" t="s">
        <v>202</v>
      </c>
      <c r="AD17" s="101"/>
      <c r="AE17" s="100" t="s">
        <v>203</v>
      </c>
      <c r="AF17" s="99">
        <f t="shared" si="6"/>
        <v>0</v>
      </c>
      <c r="AH17" s="99" t="s">
        <v>142</v>
      </c>
      <c r="AI17" s="101">
        <v>738</v>
      </c>
      <c r="AJ17" s="100" t="s">
        <v>204</v>
      </c>
      <c r="AK17" s="99" t="s">
        <v>1696</v>
      </c>
      <c r="AL17" s="99">
        <f t="shared" si="8"/>
        <v>738</v>
      </c>
      <c r="AV17" s="104" t="s">
        <v>1697</v>
      </c>
      <c r="AW17" s="104" t="s">
        <v>1698</v>
      </c>
      <c r="AX17" s="104" t="str">
        <f t="shared" si="2"/>
        <v>IT</v>
      </c>
    </row>
    <row r="18" spans="1:50">
      <c r="A18" s="94" t="s">
        <v>205</v>
      </c>
      <c r="B18" s="95" t="s">
        <v>206</v>
      </c>
      <c r="C18" s="96" t="s">
        <v>207</v>
      </c>
      <c r="D18" s="97" t="s">
        <v>1695</v>
      </c>
      <c r="E18" s="97" t="str">
        <f t="shared" si="0"/>
        <v>NAT</v>
      </c>
      <c r="F18" s="97" t="s">
        <v>46</v>
      </c>
      <c r="G18" s="98" t="s">
        <v>15</v>
      </c>
      <c r="I18" s="99" t="s">
        <v>208</v>
      </c>
      <c r="J18" s="100" t="s">
        <v>209</v>
      </c>
      <c r="K18" s="101" t="s">
        <v>210</v>
      </c>
      <c r="L18" s="100" t="s">
        <v>209</v>
      </c>
      <c r="M18" s="99" t="str">
        <f t="shared" si="3"/>
        <v>MI</v>
      </c>
      <c r="N18" s="99" t="s">
        <v>1673</v>
      </c>
      <c r="P18" s="99" t="s">
        <v>1674</v>
      </c>
      <c r="AC18" s="99" t="s">
        <v>211</v>
      </c>
      <c r="AD18" s="101"/>
      <c r="AE18" s="100" t="s">
        <v>212</v>
      </c>
      <c r="AF18" s="99">
        <f t="shared" si="6"/>
        <v>0</v>
      </c>
      <c r="AH18" s="99" t="s">
        <v>154</v>
      </c>
      <c r="AI18" s="101">
        <v>712</v>
      </c>
      <c r="AJ18" s="100" t="s">
        <v>213</v>
      </c>
      <c r="AK18" s="99" t="s">
        <v>1696</v>
      </c>
      <c r="AL18" s="99">
        <f t="shared" si="8"/>
        <v>712</v>
      </c>
      <c r="AV18" s="104" t="s">
        <v>1699</v>
      </c>
      <c r="AW18" s="104" t="s">
        <v>1700</v>
      </c>
      <c r="AX18" s="104" t="str">
        <f t="shared" si="2"/>
        <v>PI</v>
      </c>
    </row>
    <row r="19" spans="1:50">
      <c r="A19" s="94" t="s">
        <v>214</v>
      </c>
      <c r="B19" s="95" t="s">
        <v>215</v>
      </c>
      <c r="C19" s="96" t="s">
        <v>216</v>
      </c>
      <c r="D19" s="97" t="s">
        <v>1695</v>
      </c>
      <c r="E19" s="97" t="str">
        <f t="shared" si="0"/>
        <v>NBL</v>
      </c>
      <c r="F19" s="97" t="s">
        <v>46</v>
      </c>
      <c r="G19" s="98" t="s">
        <v>15</v>
      </c>
      <c r="I19" s="99" t="s">
        <v>217</v>
      </c>
      <c r="J19" s="100" t="s">
        <v>218</v>
      </c>
      <c r="K19" s="101" t="s">
        <v>219</v>
      </c>
      <c r="L19" s="100" t="s">
        <v>218</v>
      </c>
      <c r="M19" s="99" t="str">
        <f t="shared" si="3"/>
        <v>FE</v>
      </c>
      <c r="N19" s="99" t="s">
        <v>1673</v>
      </c>
      <c r="P19" s="99" t="s">
        <v>1674</v>
      </c>
      <c r="AC19" s="99" t="s">
        <v>220</v>
      </c>
      <c r="AD19" s="101" t="s">
        <v>148</v>
      </c>
      <c r="AE19" s="100" t="s">
        <v>221</v>
      </c>
      <c r="AF19" s="99" t="str">
        <f t="shared" si="6"/>
        <v>KH</v>
      </c>
      <c r="AH19" s="99" t="s">
        <v>165</v>
      </c>
      <c r="AI19" s="101">
        <v>758</v>
      </c>
      <c r="AJ19" s="100" t="s">
        <v>222</v>
      </c>
      <c r="AK19" s="99" t="s">
        <v>1696</v>
      </c>
      <c r="AL19" s="99">
        <f t="shared" si="8"/>
        <v>758</v>
      </c>
      <c r="AV19" s="104" t="s">
        <v>1701</v>
      </c>
      <c r="AW19" s="104" t="s">
        <v>1702</v>
      </c>
      <c r="AX19" s="104" t="str">
        <f t="shared" si="2"/>
        <v>PT</v>
      </c>
    </row>
    <row r="20" spans="1:50">
      <c r="A20" s="107" t="s">
        <v>223</v>
      </c>
      <c r="B20" s="108" t="s">
        <v>224</v>
      </c>
      <c r="C20" s="109" t="s">
        <v>225</v>
      </c>
      <c r="D20" s="110" t="s">
        <v>1695</v>
      </c>
      <c r="E20" s="110" t="str">
        <f t="shared" si="0"/>
        <v>NBR</v>
      </c>
      <c r="F20" s="110" t="s">
        <v>46</v>
      </c>
      <c r="G20" s="111" t="s">
        <v>15</v>
      </c>
      <c r="I20" s="99" t="s">
        <v>226</v>
      </c>
      <c r="J20" s="100" t="s">
        <v>227</v>
      </c>
      <c r="K20" s="101" t="s">
        <v>228</v>
      </c>
      <c r="L20" s="100" t="s">
        <v>227</v>
      </c>
      <c r="M20" s="99" t="str">
        <f t="shared" si="3"/>
        <v>HU</v>
      </c>
      <c r="N20" s="99" t="s">
        <v>1673</v>
      </c>
      <c r="P20" s="99" t="s">
        <v>1674</v>
      </c>
      <c r="AC20" s="99" t="s">
        <v>229</v>
      </c>
      <c r="AD20" s="101"/>
      <c r="AE20" s="100" t="s">
        <v>230</v>
      </c>
      <c r="AF20" s="99">
        <f t="shared" si="6"/>
        <v>0</v>
      </c>
      <c r="AH20" s="99" t="s">
        <v>99</v>
      </c>
      <c r="AI20" s="101">
        <v>734</v>
      </c>
      <c r="AJ20" s="100" t="s">
        <v>231</v>
      </c>
      <c r="AK20" s="99" t="s">
        <v>1696</v>
      </c>
      <c r="AL20" s="99">
        <f t="shared" si="8"/>
        <v>734</v>
      </c>
      <c r="AV20" s="104" t="s">
        <v>1703</v>
      </c>
      <c r="AW20" s="104" t="s">
        <v>1704</v>
      </c>
      <c r="AX20" s="104" t="str">
        <f t="shared" si="2"/>
        <v>TW</v>
      </c>
    </row>
    <row r="21" spans="1:50">
      <c r="A21" s="94" t="s">
        <v>232</v>
      </c>
      <c r="B21" s="95" t="s">
        <v>233</v>
      </c>
      <c r="C21" s="96" t="s">
        <v>234</v>
      </c>
      <c r="D21" s="97" t="s">
        <v>1695</v>
      </c>
      <c r="E21" s="97" t="str">
        <f t="shared" si="0"/>
        <v>NBE</v>
      </c>
      <c r="F21" s="97" t="s">
        <v>46</v>
      </c>
      <c r="G21" s="98" t="s">
        <v>15</v>
      </c>
      <c r="I21" s="99" t="s">
        <v>235</v>
      </c>
      <c r="J21" s="100" t="s">
        <v>236</v>
      </c>
      <c r="K21" s="101" t="s">
        <v>235</v>
      </c>
      <c r="L21" s="100" t="s">
        <v>236</v>
      </c>
      <c r="M21" s="99" t="str">
        <f t="shared" si="3"/>
        <v>CT</v>
      </c>
      <c r="N21" s="99" t="s">
        <v>1673</v>
      </c>
      <c r="P21" s="99" t="s">
        <v>1674</v>
      </c>
      <c r="AC21" s="99" t="s">
        <v>237</v>
      </c>
      <c r="AD21" s="101" t="s">
        <v>238</v>
      </c>
      <c r="AE21" s="100" t="s">
        <v>239</v>
      </c>
      <c r="AF21" s="99" t="str">
        <f t="shared" si="6"/>
        <v>BW</v>
      </c>
      <c r="AH21" s="99" t="s">
        <v>113</v>
      </c>
      <c r="AI21" s="101">
        <v>778</v>
      </c>
      <c r="AJ21" s="100" t="s">
        <v>240</v>
      </c>
      <c r="AK21" s="99" t="s">
        <v>1696</v>
      </c>
      <c r="AL21" s="99">
        <f t="shared" si="8"/>
        <v>778</v>
      </c>
    </row>
    <row r="22" spans="1:50">
      <c r="A22" s="94" t="s">
        <v>241</v>
      </c>
      <c r="B22" s="95" t="s">
        <v>242</v>
      </c>
      <c r="C22" s="96" t="s">
        <v>243</v>
      </c>
      <c r="D22" s="97" t="s">
        <v>1695</v>
      </c>
      <c r="E22" s="97" t="str">
        <f t="shared" si="0"/>
        <v>NCA</v>
      </c>
      <c r="F22" s="97" t="s">
        <v>46</v>
      </c>
      <c r="G22" s="98" t="s">
        <v>15</v>
      </c>
      <c r="I22" s="99" t="s">
        <v>244</v>
      </c>
      <c r="J22" s="100" t="s">
        <v>245</v>
      </c>
      <c r="K22" s="101" t="s">
        <v>244</v>
      </c>
      <c r="L22" s="100" t="s">
        <v>245</v>
      </c>
      <c r="M22" s="99" t="str">
        <f t="shared" si="3"/>
        <v>CM</v>
      </c>
      <c r="N22" s="99" t="s">
        <v>1673</v>
      </c>
      <c r="P22" s="99" t="s">
        <v>1674</v>
      </c>
      <c r="AC22" s="99" t="s">
        <v>246</v>
      </c>
      <c r="AD22" s="101"/>
      <c r="AE22" s="100" t="s">
        <v>247</v>
      </c>
      <c r="AF22" s="99">
        <f t="shared" si="6"/>
        <v>0</v>
      </c>
      <c r="AH22" s="99" t="s">
        <v>14</v>
      </c>
      <c r="AI22" s="101">
        <v>800</v>
      </c>
      <c r="AJ22" s="100" t="s">
        <v>248</v>
      </c>
      <c r="AK22" s="99" t="s">
        <v>1696</v>
      </c>
      <c r="AL22" s="99">
        <f t="shared" si="8"/>
        <v>800</v>
      </c>
    </row>
    <row r="23" spans="1:50">
      <c r="A23" s="94" t="s">
        <v>249</v>
      </c>
      <c r="B23" s="95" t="s">
        <v>250</v>
      </c>
      <c r="C23" s="96" t="s">
        <v>251</v>
      </c>
      <c r="D23" s="97" t="s">
        <v>1695</v>
      </c>
      <c r="E23" s="97" t="str">
        <f t="shared" si="0"/>
        <v>NCU</v>
      </c>
      <c r="F23" s="97" t="s">
        <v>46</v>
      </c>
      <c r="G23" s="98" t="s">
        <v>15</v>
      </c>
      <c r="I23" s="99" t="s">
        <v>252</v>
      </c>
      <c r="J23" s="100" t="s">
        <v>253</v>
      </c>
      <c r="K23" s="101" t="s">
        <v>254</v>
      </c>
      <c r="L23" s="100" t="s">
        <v>253</v>
      </c>
      <c r="M23" s="99" t="str">
        <f t="shared" si="3"/>
        <v>FA</v>
      </c>
      <c r="N23" s="99" t="s">
        <v>1673</v>
      </c>
      <c r="P23" s="99" t="s">
        <v>1674</v>
      </c>
      <c r="AC23" s="99" t="s">
        <v>255</v>
      </c>
      <c r="AD23" s="101"/>
      <c r="AE23" s="100" t="s">
        <v>256</v>
      </c>
      <c r="AF23" s="99">
        <f t="shared" si="6"/>
        <v>0</v>
      </c>
      <c r="AI23" s="101"/>
    </row>
    <row r="24" spans="1:50">
      <c r="A24" s="94" t="s">
        <v>257</v>
      </c>
      <c r="B24" s="95" t="s">
        <v>258</v>
      </c>
      <c r="C24" s="96" t="s">
        <v>259</v>
      </c>
      <c r="D24" s="97" t="s">
        <v>1695</v>
      </c>
      <c r="E24" s="97" t="str">
        <f t="shared" si="0"/>
        <v>NDB</v>
      </c>
      <c r="F24" s="97" t="s">
        <v>46</v>
      </c>
      <c r="G24" s="98" t="s">
        <v>15</v>
      </c>
      <c r="I24" s="99" t="s">
        <v>260</v>
      </c>
      <c r="J24" s="100" t="s">
        <v>261</v>
      </c>
      <c r="K24" s="101" t="s">
        <v>254</v>
      </c>
      <c r="L24" s="100" t="s">
        <v>253</v>
      </c>
      <c r="M24" s="99" t="str">
        <f t="shared" si="3"/>
        <v>FA</v>
      </c>
      <c r="N24" s="99" t="s">
        <v>1673</v>
      </c>
      <c r="P24" s="99" t="s">
        <v>1674</v>
      </c>
      <c r="AC24" s="99" t="s">
        <v>262</v>
      </c>
      <c r="AD24" s="101" t="s">
        <v>76</v>
      </c>
      <c r="AE24" s="100" t="s">
        <v>263</v>
      </c>
      <c r="AF24" s="99" t="str">
        <f t="shared" si="6"/>
        <v>BR</v>
      </c>
      <c r="AI24" s="101">
        <v>600</v>
      </c>
      <c r="AJ24" s="100" t="s">
        <v>264</v>
      </c>
      <c r="AK24" s="99" t="s">
        <v>1705</v>
      </c>
      <c r="AL24" s="99">
        <f t="shared" ref="AL24:AL31" si="9">AI24</f>
        <v>600</v>
      </c>
    </row>
    <row r="25" spans="1:50">
      <c r="A25" s="94" t="s">
        <v>265</v>
      </c>
      <c r="B25" s="95" t="s">
        <v>266</v>
      </c>
      <c r="C25" s="96" t="s">
        <v>267</v>
      </c>
      <c r="D25" s="97" t="s">
        <v>1695</v>
      </c>
      <c r="E25" s="97" t="str">
        <f t="shared" si="0"/>
        <v>NDE</v>
      </c>
      <c r="F25" s="97" t="s">
        <v>46</v>
      </c>
      <c r="G25" s="98" t="s">
        <v>15</v>
      </c>
      <c r="I25" s="99" t="s">
        <v>268</v>
      </c>
      <c r="J25" s="100" t="s">
        <v>269</v>
      </c>
      <c r="K25" s="101" t="s">
        <v>254</v>
      </c>
      <c r="L25" s="100" t="s">
        <v>253</v>
      </c>
      <c r="M25" s="99" t="str">
        <f t="shared" si="3"/>
        <v>FA</v>
      </c>
      <c r="N25" s="99" t="s">
        <v>1673</v>
      </c>
      <c r="P25" s="99" t="s">
        <v>1674</v>
      </c>
      <c r="AC25" s="99" t="s">
        <v>47</v>
      </c>
      <c r="AD25" s="101"/>
      <c r="AE25" s="100" t="s">
        <v>270</v>
      </c>
      <c r="AF25" s="99">
        <f t="shared" si="6"/>
        <v>0</v>
      </c>
      <c r="AI25" s="101">
        <v>618</v>
      </c>
      <c r="AJ25" s="100" t="s">
        <v>271</v>
      </c>
      <c r="AK25" s="99" t="s">
        <v>1705</v>
      </c>
      <c r="AL25" s="99">
        <f t="shared" si="9"/>
        <v>618</v>
      </c>
    </row>
    <row r="26" spans="1:50">
      <c r="A26" s="107" t="s">
        <v>272</v>
      </c>
      <c r="B26" s="108" t="s">
        <v>273</v>
      </c>
      <c r="C26" s="109" t="s">
        <v>274</v>
      </c>
      <c r="D26" s="110" t="s">
        <v>1695</v>
      </c>
      <c r="E26" s="110" t="str">
        <f t="shared" si="0"/>
        <v>NDO</v>
      </c>
      <c r="F26" s="110" t="s">
        <v>46</v>
      </c>
      <c r="G26" s="111" t="s">
        <v>15</v>
      </c>
      <c r="I26" s="99" t="s">
        <v>275</v>
      </c>
      <c r="J26" s="100" t="s">
        <v>276</v>
      </c>
      <c r="K26" s="101" t="s">
        <v>254</v>
      </c>
      <c r="L26" s="100" t="s">
        <v>253</v>
      </c>
      <c r="M26" s="99" t="str">
        <f t="shared" si="3"/>
        <v>FA</v>
      </c>
      <c r="N26" s="99" t="s">
        <v>1673</v>
      </c>
      <c r="P26" s="99" t="s">
        <v>1674</v>
      </c>
      <c r="AC26" s="99" t="s">
        <v>138</v>
      </c>
      <c r="AD26" s="101"/>
      <c r="AE26" s="100" t="s">
        <v>277</v>
      </c>
      <c r="AF26" s="99">
        <f t="shared" si="6"/>
        <v>0</v>
      </c>
      <c r="AI26" s="101">
        <v>614</v>
      </c>
      <c r="AJ26" s="100" t="s">
        <v>278</v>
      </c>
      <c r="AK26" s="99" t="s">
        <v>1705</v>
      </c>
      <c r="AL26" s="99">
        <f t="shared" si="9"/>
        <v>614</v>
      </c>
    </row>
    <row r="27" spans="1:50">
      <c r="A27" s="107" t="s">
        <v>279</v>
      </c>
      <c r="B27" s="108" t="s">
        <v>280</v>
      </c>
      <c r="C27" s="109" t="s">
        <v>281</v>
      </c>
      <c r="D27" s="110" t="s">
        <v>1695</v>
      </c>
      <c r="E27" s="110" t="str">
        <f t="shared" si="0"/>
        <v>NGI</v>
      </c>
      <c r="F27" s="110" t="s">
        <v>46</v>
      </c>
      <c r="G27" s="111" t="s">
        <v>15</v>
      </c>
      <c r="I27" s="99" t="s">
        <v>59</v>
      </c>
      <c r="J27" s="100" t="s">
        <v>282</v>
      </c>
      <c r="K27" s="101" t="s">
        <v>283</v>
      </c>
      <c r="L27" s="100" t="s">
        <v>284</v>
      </c>
      <c r="M27" s="99" t="str">
        <f t="shared" si="3"/>
        <v>BE</v>
      </c>
      <c r="N27" s="99" t="s">
        <v>1673</v>
      </c>
      <c r="P27" s="99" t="s">
        <v>1674</v>
      </c>
      <c r="AC27" s="99" t="s">
        <v>78</v>
      </c>
      <c r="AD27" s="101" t="s">
        <v>275</v>
      </c>
      <c r="AE27" s="100" t="s">
        <v>285</v>
      </c>
      <c r="AF27" s="99" t="str">
        <f t="shared" si="6"/>
        <v>CH</v>
      </c>
      <c r="AH27" s="99" t="s">
        <v>142</v>
      </c>
      <c r="AI27" s="101">
        <v>638</v>
      </c>
      <c r="AJ27" s="100" t="s">
        <v>286</v>
      </c>
      <c r="AK27" s="99" t="s">
        <v>1705</v>
      </c>
      <c r="AL27" s="99">
        <f t="shared" si="9"/>
        <v>638</v>
      </c>
    </row>
    <row r="28" spans="1:50">
      <c r="A28" s="107" t="s">
        <v>287</v>
      </c>
      <c r="B28" s="108" t="s">
        <v>288</v>
      </c>
      <c r="C28" s="109" t="s">
        <v>289</v>
      </c>
      <c r="D28" s="110" t="s">
        <v>1695</v>
      </c>
      <c r="E28" s="110" t="str">
        <f t="shared" si="0"/>
        <v>NIN</v>
      </c>
      <c r="F28" s="110" t="s">
        <v>46</v>
      </c>
      <c r="G28" s="111" t="s">
        <v>15</v>
      </c>
      <c r="I28" s="99" t="s">
        <v>290</v>
      </c>
      <c r="J28" s="100" t="s">
        <v>291</v>
      </c>
      <c r="K28" s="101" t="s">
        <v>283</v>
      </c>
      <c r="L28" s="100" t="s">
        <v>284</v>
      </c>
      <c r="M28" s="99" t="str">
        <f t="shared" si="3"/>
        <v>BE</v>
      </c>
      <c r="N28" s="99" t="s">
        <v>1673</v>
      </c>
      <c r="P28" s="99" t="s">
        <v>1674</v>
      </c>
      <c r="AC28" s="99" t="s">
        <v>93</v>
      </c>
      <c r="AD28" s="101"/>
      <c r="AE28" s="100" t="s">
        <v>292</v>
      </c>
      <c r="AF28" s="99">
        <f t="shared" si="6"/>
        <v>0</v>
      </c>
      <c r="AH28" s="99" t="s">
        <v>154</v>
      </c>
      <c r="AI28" s="101">
        <v>612</v>
      </c>
      <c r="AJ28" s="100" t="s">
        <v>293</v>
      </c>
      <c r="AK28" s="99" t="s">
        <v>1705</v>
      </c>
      <c r="AL28" s="99">
        <f t="shared" si="9"/>
        <v>612</v>
      </c>
    </row>
    <row r="29" spans="1:50">
      <c r="A29" s="94" t="s">
        <v>294</v>
      </c>
      <c r="B29" s="95" t="s">
        <v>295</v>
      </c>
      <c r="C29" s="96" t="s">
        <v>296</v>
      </c>
      <c r="D29" s="97" t="s">
        <v>1695</v>
      </c>
      <c r="E29" s="97" t="str">
        <f t="shared" si="0"/>
        <v>NMR</v>
      </c>
      <c r="F29" s="97" t="s">
        <v>46</v>
      </c>
      <c r="G29" s="98" t="s">
        <v>15</v>
      </c>
      <c r="I29" s="99" t="s">
        <v>297</v>
      </c>
      <c r="J29" s="100" t="s">
        <v>298</v>
      </c>
      <c r="K29" s="101" t="s">
        <v>283</v>
      </c>
      <c r="L29" s="100" t="s">
        <v>284</v>
      </c>
      <c r="M29" s="99" t="str">
        <f t="shared" si="3"/>
        <v>BE</v>
      </c>
      <c r="N29" s="99" t="s">
        <v>1673</v>
      </c>
      <c r="P29" s="99" t="s">
        <v>1674</v>
      </c>
      <c r="AC29" s="99" t="s">
        <v>105</v>
      </c>
      <c r="AD29" s="101" t="s">
        <v>226</v>
      </c>
      <c r="AE29" s="100" t="s">
        <v>299</v>
      </c>
      <c r="AF29" s="99" t="str">
        <f t="shared" si="6"/>
        <v>CL</v>
      </c>
      <c r="AH29" s="99" t="s">
        <v>165</v>
      </c>
      <c r="AI29" s="101">
        <v>658</v>
      </c>
      <c r="AJ29" s="100" t="s">
        <v>300</v>
      </c>
      <c r="AK29" s="99" t="s">
        <v>1705</v>
      </c>
      <c r="AL29" s="99">
        <f t="shared" si="9"/>
        <v>658</v>
      </c>
    </row>
    <row r="30" spans="1:50">
      <c r="A30" s="94" t="s">
        <v>301</v>
      </c>
      <c r="B30" s="95" t="s">
        <v>302</v>
      </c>
      <c r="C30" s="96" t="s">
        <v>303</v>
      </c>
      <c r="D30" s="97" t="s">
        <v>1695</v>
      </c>
      <c r="E30" s="97" t="str">
        <f t="shared" si="0"/>
        <v>NMA</v>
      </c>
      <c r="F30" s="97" t="s">
        <v>46</v>
      </c>
      <c r="G30" s="98" t="s">
        <v>15</v>
      </c>
      <c r="I30" s="99" t="s">
        <v>304</v>
      </c>
      <c r="J30" s="100" t="s">
        <v>305</v>
      </c>
      <c r="K30" s="101" t="s">
        <v>306</v>
      </c>
      <c r="L30" s="100" t="s">
        <v>307</v>
      </c>
      <c r="M30" s="99" t="str">
        <f t="shared" si="3"/>
        <v>VB</v>
      </c>
      <c r="N30" s="99" t="s">
        <v>1673</v>
      </c>
      <c r="P30" s="99" t="s">
        <v>1674</v>
      </c>
      <c r="AC30" s="99" t="s">
        <v>151</v>
      </c>
      <c r="AD30" s="101"/>
      <c r="AE30" s="100" t="s">
        <v>308</v>
      </c>
      <c r="AF30" s="99">
        <f t="shared" si="6"/>
        <v>0</v>
      </c>
      <c r="AH30" s="99" t="s">
        <v>99</v>
      </c>
      <c r="AI30" s="101">
        <v>634</v>
      </c>
      <c r="AJ30" s="100" t="s">
        <v>309</v>
      </c>
      <c r="AK30" s="99" t="s">
        <v>1705</v>
      </c>
      <c r="AL30" s="99">
        <f t="shared" si="9"/>
        <v>634</v>
      </c>
    </row>
    <row r="31" spans="1:50">
      <c r="A31" s="94" t="s">
        <v>310</v>
      </c>
      <c r="B31" s="95" t="s">
        <v>311</v>
      </c>
      <c r="C31" s="96" t="s">
        <v>312</v>
      </c>
      <c r="D31" s="97" t="s">
        <v>1695</v>
      </c>
      <c r="E31" s="97" t="str">
        <f t="shared" si="0"/>
        <v>NME</v>
      </c>
      <c r="F31" s="97" t="s">
        <v>46</v>
      </c>
      <c r="G31" s="98" t="s">
        <v>15</v>
      </c>
      <c r="I31" s="99" t="s">
        <v>313</v>
      </c>
      <c r="J31" s="100" t="s">
        <v>314</v>
      </c>
      <c r="K31" s="101" t="s">
        <v>315</v>
      </c>
      <c r="L31" s="100" t="s">
        <v>314</v>
      </c>
      <c r="M31" s="99" t="str">
        <f t="shared" si="3"/>
        <v>EB</v>
      </c>
      <c r="N31" s="99" t="s">
        <v>1673</v>
      </c>
      <c r="P31" s="99" t="s">
        <v>1674</v>
      </c>
      <c r="AC31" s="99" t="s">
        <v>316</v>
      </c>
      <c r="AD31" s="101" t="s">
        <v>317</v>
      </c>
      <c r="AE31" s="100" t="s">
        <v>318</v>
      </c>
      <c r="AF31" s="99" t="str">
        <f t="shared" si="6"/>
        <v>GY</v>
      </c>
      <c r="AH31" s="99" t="s">
        <v>95</v>
      </c>
      <c r="AI31" s="101">
        <v>678</v>
      </c>
      <c r="AJ31" s="100" t="s">
        <v>319</v>
      </c>
      <c r="AK31" s="99" t="s">
        <v>1705</v>
      </c>
      <c r="AL31" s="99">
        <f t="shared" si="9"/>
        <v>678</v>
      </c>
    </row>
    <row r="32" spans="1:50">
      <c r="A32" s="94" t="s">
        <v>320</v>
      </c>
      <c r="B32" s="95" t="s">
        <v>321</v>
      </c>
      <c r="C32" s="96" t="s">
        <v>322</v>
      </c>
      <c r="D32" s="97" t="s">
        <v>1695</v>
      </c>
      <c r="E32" s="97" t="str">
        <f t="shared" si="0"/>
        <v>NNA</v>
      </c>
      <c r="F32" s="97" t="s">
        <v>46</v>
      </c>
      <c r="G32" s="98" t="s">
        <v>15</v>
      </c>
      <c r="J32" s="100" t="s">
        <v>323</v>
      </c>
      <c r="K32" s="101" t="s">
        <v>324</v>
      </c>
      <c r="L32" s="100" t="s">
        <v>323</v>
      </c>
      <c r="M32" s="99" t="str">
        <f t="shared" si="3"/>
        <v>ER</v>
      </c>
      <c r="N32" s="99" t="s">
        <v>1673</v>
      </c>
      <c r="P32" s="99" t="s">
        <v>1674</v>
      </c>
      <c r="AC32" s="99" t="s">
        <v>325</v>
      </c>
      <c r="AD32" s="101"/>
      <c r="AE32" s="100" t="s">
        <v>326</v>
      </c>
      <c r="AF32" s="99">
        <f t="shared" si="6"/>
        <v>0</v>
      </c>
      <c r="AI32" s="101"/>
    </row>
    <row r="33" spans="1:38">
      <c r="A33" s="94" t="s">
        <v>327</v>
      </c>
      <c r="B33" s="95" t="s">
        <v>328</v>
      </c>
      <c r="C33" s="96" t="s">
        <v>329</v>
      </c>
      <c r="D33" s="97" t="s">
        <v>1695</v>
      </c>
      <c r="E33" s="97" t="str">
        <f t="shared" si="0"/>
        <v>NOR</v>
      </c>
      <c r="F33" s="97" t="s">
        <v>46</v>
      </c>
      <c r="G33" s="98" t="s">
        <v>15</v>
      </c>
      <c r="J33" s="100" t="s">
        <v>330</v>
      </c>
      <c r="K33" s="101" t="s">
        <v>331</v>
      </c>
      <c r="L33" s="100" t="s">
        <v>330</v>
      </c>
      <c r="M33" s="99" t="str">
        <f t="shared" si="3"/>
        <v>TP</v>
      </c>
      <c r="N33" s="99" t="s">
        <v>1673</v>
      </c>
      <c r="P33" s="99" t="s">
        <v>1674</v>
      </c>
      <c r="AC33" s="99" t="s">
        <v>332</v>
      </c>
      <c r="AD33" s="101"/>
      <c r="AE33" s="100" t="s">
        <v>333</v>
      </c>
      <c r="AF33" s="99">
        <f t="shared" si="6"/>
        <v>0</v>
      </c>
      <c r="AH33" s="99">
        <v>4</v>
      </c>
      <c r="AI33" s="101">
        <v>240</v>
      </c>
      <c r="AJ33" s="100">
        <v>240</v>
      </c>
      <c r="AK33" s="99" t="s">
        <v>1706</v>
      </c>
      <c r="AL33" s="99">
        <f>AI33</f>
        <v>240</v>
      </c>
    </row>
    <row r="34" spans="1:38">
      <c r="A34" s="94" t="s">
        <v>334</v>
      </c>
      <c r="B34" s="95" t="s">
        <v>335</v>
      </c>
      <c r="C34" s="96" t="s">
        <v>336</v>
      </c>
      <c r="D34" s="97" t="s">
        <v>1695</v>
      </c>
      <c r="E34" s="97" t="str">
        <f t="shared" si="0"/>
        <v>NPA</v>
      </c>
      <c r="F34" s="97" t="s">
        <v>46</v>
      </c>
      <c r="G34" s="98" t="s">
        <v>15</v>
      </c>
      <c r="I34" s="99" t="s">
        <v>337</v>
      </c>
      <c r="J34" s="100" t="s">
        <v>338</v>
      </c>
      <c r="K34" s="101" t="s">
        <v>339</v>
      </c>
      <c r="L34" s="100" t="s">
        <v>340</v>
      </c>
      <c r="M34" s="99" t="str">
        <f t="shared" si="3"/>
        <v>MU</v>
      </c>
      <c r="N34" s="99" t="s">
        <v>1673</v>
      </c>
      <c r="O34" s="99" t="s">
        <v>1707</v>
      </c>
      <c r="P34" s="99" t="s">
        <v>1707</v>
      </c>
      <c r="AC34" s="99" t="s">
        <v>341</v>
      </c>
      <c r="AD34" s="101"/>
      <c r="AE34" s="100" t="s">
        <v>342</v>
      </c>
      <c r="AF34" s="99">
        <f t="shared" si="6"/>
        <v>0</v>
      </c>
      <c r="AH34" s="99">
        <v>5</v>
      </c>
      <c r="AI34" s="101">
        <v>250</v>
      </c>
      <c r="AJ34" s="100">
        <v>250</v>
      </c>
      <c r="AK34" s="99" t="s">
        <v>1706</v>
      </c>
      <c r="AL34" s="99">
        <f>AI34</f>
        <v>250</v>
      </c>
    </row>
    <row r="35" spans="1:38">
      <c r="A35" s="107" t="s">
        <v>343</v>
      </c>
      <c r="B35" s="108" t="s">
        <v>344</v>
      </c>
      <c r="C35" s="109" t="s">
        <v>345</v>
      </c>
      <c r="D35" s="110" t="s">
        <v>1695</v>
      </c>
      <c r="E35" s="110" t="str">
        <f t="shared" si="0"/>
        <v>NPH</v>
      </c>
      <c r="F35" s="110" t="s">
        <v>46</v>
      </c>
      <c r="G35" s="111" t="s">
        <v>15</v>
      </c>
      <c r="I35" s="99" t="s">
        <v>315</v>
      </c>
      <c r="J35" s="100" t="s">
        <v>346</v>
      </c>
      <c r="K35" s="101" t="s">
        <v>339</v>
      </c>
      <c r="L35" s="100" t="s">
        <v>340</v>
      </c>
      <c r="M35" s="99" t="str">
        <f t="shared" si="3"/>
        <v>MU</v>
      </c>
      <c r="N35" s="99" t="s">
        <v>1673</v>
      </c>
      <c r="P35" s="99" t="s">
        <v>1707</v>
      </c>
      <c r="AC35" s="99" t="s">
        <v>347</v>
      </c>
      <c r="AD35" s="101"/>
      <c r="AE35" s="100" t="s">
        <v>348</v>
      </c>
      <c r="AF35" s="99">
        <f t="shared" si="6"/>
        <v>0</v>
      </c>
      <c r="AH35" s="99">
        <v>7</v>
      </c>
      <c r="AI35" s="101">
        <v>270</v>
      </c>
      <c r="AJ35" s="100">
        <v>270</v>
      </c>
      <c r="AK35" s="99" t="s">
        <v>1706</v>
      </c>
      <c r="AL35" s="99">
        <f>AI35</f>
        <v>270</v>
      </c>
    </row>
    <row r="36" spans="1:38" ht="14.25" thickBot="1">
      <c r="A36" s="107" t="s">
        <v>349</v>
      </c>
      <c r="B36" s="108" t="s">
        <v>350</v>
      </c>
      <c r="C36" s="109" t="s">
        <v>351</v>
      </c>
      <c r="D36" s="110" t="s">
        <v>1695</v>
      </c>
      <c r="E36" s="110" t="str">
        <f t="shared" si="0"/>
        <v>NPI</v>
      </c>
      <c r="F36" s="110" t="s">
        <v>46</v>
      </c>
      <c r="G36" s="111" t="s">
        <v>15</v>
      </c>
      <c r="I36" s="99" t="s">
        <v>352</v>
      </c>
      <c r="J36" s="100" t="s">
        <v>353</v>
      </c>
      <c r="K36" s="101" t="s">
        <v>339</v>
      </c>
      <c r="L36" s="100" t="s">
        <v>340</v>
      </c>
      <c r="M36" s="99" t="str">
        <f t="shared" si="3"/>
        <v>MU</v>
      </c>
      <c r="N36" s="99" t="s">
        <v>1673</v>
      </c>
      <c r="P36" s="99" t="s">
        <v>1707</v>
      </c>
      <c r="AC36" s="99" t="s">
        <v>354</v>
      </c>
      <c r="AD36" s="101"/>
      <c r="AE36" s="100" t="s">
        <v>355</v>
      </c>
      <c r="AF36" s="99">
        <f t="shared" si="6"/>
        <v>0</v>
      </c>
      <c r="AH36" s="99">
        <v>8</v>
      </c>
      <c r="AI36" s="105">
        <v>280</v>
      </c>
      <c r="AJ36" s="100">
        <v>280</v>
      </c>
      <c r="AK36" s="99" t="s">
        <v>1706</v>
      </c>
      <c r="AL36" s="99">
        <f>AI36</f>
        <v>280</v>
      </c>
    </row>
    <row r="37" spans="1:38">
      <c r="A37" s="94" t="s">
        <v>356</v>
      </c>
      <c r="B37" s="95" t="s">
        <v>357</v>
      </c>
      <c r="C37" s="96" t="s">
        <v>358</v>
      </c>
      <c r="D37" s="97" t="s">
        <v>1695</v>
      </c>
      <c r="E37" s="97" t="str">
        <f t="shared" si="0"/>
        <v>NRA</v>
      </c>
      <c r="F37" s="97" t="s">
        <v>46</v>
      </c>
      <c r="G37" s="98" t="s">
        <v>15</v>
      </c>
      <c r="J37" s="100" t="s">
        <v>359</v>
      </c>
      <c r="K37" s="101" t="s">
        <v>360</v>
      </c>
      <c r="L37" s="100" t="s">
        <v>359</v>
      </c>
      <c r="M37" s="99" t="str">
        <f t="shared" si="3"/>
        <v>WA</v>
      </c>
      <c r="N37" s="99" t="s">
        <v>1673</v>
      </c>
      <c r="O37" s="99" t="s">
        <v>1707</v>
      </c>
      <c r="P37" s="99" t="s">
        <v>1707</v>
      </c>
      <c r="AC37" s="99" t="s">
        <v>361</v>
      </c>
      <c r="AD37" s="101"/>
      <c r="AE37" s="100" t="s">
        <v>362</v>
      </c>
      <c r="AF37" s="99">
        <f t="shared" si="6"/>
        <v>0</v>
      </c>
    </row>
    <row r="38" spans="1:38">
      <c r="A38" s="94" t="s">
        <v>363</v>
      </c>
      <c r="B38" s="95" t="s">
        <v>364</v>
      </c>
      <c r="C38" s="96" t="s">
        <v>365</v>
      </c>
      <c r="D38" s="97" t="s">
        <v>1695</v>
      </c>
      <c r="E38" s="97" t="str">
        <f t="shared" si="0"/>
        <v>NRD</v>
      </c>
      <c r="F38" s="97" t="s">
        <v>46</v>
      </c>
      <c r="G38" s="98" t="s">
        <v>15</v>
      </c>
      <c r="I38" s="99" t="s">
        <v>366</v>
      </c>
      <c r="J38" s="100" t="s">
        <v>367</v>
      </c>
      <c r="K38" s="101" t="s">
        <v>366</v>
      </c>
      <c r="L38" s="100" t="s">
        <v>368</v>
      </c>
      <c r="M38" s="99" t="str">
        <f t="shared" si="3"/>
        <v>ED</v>
      </c>
      <c r="N38" s="99" t="s">
        <v>1673</v>
      </c>
      <c r="O38" s="99" t="s">
        <v>1707</v>
      </c>
      <c r="P38" s="99" t="s">
        <v>1707</v>
      </c>
      <c r="AC38" s="99" t="s">
        <v>369</v>
      </c>
      <c r="AD38" s="101" t="s">
        <v>370</v>
      </c>
      <c r="AE38" s="100" t="s">
        <v>371</v>
      </c>
      <c r="AF38" s="99" t="str">
        <f t="shared" si="6"/>
        <v>MT</v>
      </c>
    </row>
    <row r="39" spans="1:38">
      <c r="A39" s="107" t="s">
        <v>372</v>
      </c>
      <c r="B39" s="108" t="s">
        <v>373</v>
      </c>
      <c r="C39" s="109" t="s">
        <v>374</v>
      </c>
      <c r="D39" s="110" t="s">
        <v>1695</v>
      </c>
      <c r="E39" s="110" t="str">
        <f t="shared" si="0"/>
        <v>NRE</v>
      </c>
      <c r="F39" s="110" t="s">
        <v>46</v>
      </c>
      <c r="G39" s="111" t="s">
        <v>15</v>
      </c>
      <c r="I39" s="99" t="s">
        <v>254</v>
      </c>
      <c r="J39" s="100" t="s">
        <v>375</v>
      </c>
      <c r="K39" s="101" t="s">
        <v>78</v>
      </c>
      <c r="L39" s="100" t="s">
        <v>376</v>
      </c>
      <c r="M39" s="99" t="str">
        <f t="shared" si="3"/>
        <v>CC</v>
      </c>
      <c r="N39" s="99" t="s">
        <v>1673</v>
      </c>
      <c r="O39" s="99" t="s">
        <v>1707</v>
      </c>
      <c r="P39" s="99" t="s">
        <v>1707</v>
      </c>
      <c r="AC39" s="99" t="s">
        <v>377</v>
      </c>
      <c r="AD39" s="101" t="s">
        <v>378</v>
      </c>
      <c r="AE39" s="100" t="s">
        <v>379</v>
      </c>
      <c r="AF39" s="99" t="str">
        <f t="shared" si="6"/>
        <v>GR</v>
      </c>
    </row>
    <row r="40" spans="1:38">
      <c r="A40" s="94" t="s">
        <v>380</v>
      </c>
      <c r="B40" s="95" t="s">
        <v>381</v>
      </c>
      <c r="C40" s="96" t="s">
        <v>382</v>
      </c>
      <c r="D40" s="97" t="s">
        <v>1695</v>
      </c>
      <c r="E40" s="97" t="str">
        <f t="shared" si="0"/>
        <v>NRO</v>
      </c>
      <c r="F40" s="97" t="s">
        <v>46</v>
      </c>
      <c r="G40" s="98" t="s">
        <v>15</v>
      </c>
      <c r="I40" s="99" t="s">
        <v>383</v>
      </c>
      <c r="J40" s="100" t="s">
        <v>384</v>
      </c>
      <c r="K40" s="101" t="s">
        <v>63</v>
      </c>
      <c r="L40" s="100" t="s">
        <v>385</v>
      </c>
      <c r="M40" s="99" t="str">
        <f t="shared" si="3"/>
        <v>CS</v>
      </c>
      <c r="N40" s="99" t="s">
        <v>1673</v>
      </c>
      <c r="O40" s="99" t="s">
        <v>1707</v>
      </c>
      <c r="P40" s="99" t="s">
        <v>1707</v>
      </c>
      <c r="AC40" s="99" t="s">
        <v>386</v>
      </c>
      <c r="AD40" s="101"/>
      <c r="AE40" s="100" t="s">
        <v>387</v>
      </c>
      <c r="AF40" s="99">
        <f t="shared" si="6"/>
        <v>0</v>
      </c>
    </row>
    <row r="41" spans="1:38">
      <c r="A41" s="94" t="s">
        <v>388</v>
      </c>
      <c r="B41" s="95" t="s">
        <v>389</v>
      </c>
      <c r="C41" s="96" t="s">
        <v>390</v>
      </c>
      <c r="D41" s="97" t="s">
        <v>1695</v>
      </c>
      <c r="E41" s="97" t="str">
        <f t="shared" si="0"/>
        <v>NRY</v>
      </c>
      <c r="F41" s="97" t="s">
        <v>46</v>
      </c>
      <c r="G41" s="98" t="s">
        <v>15</v>
      </c>
      <c r="I41" s="99" t="s">
        <v>391</v>
      </c>
      <c r="J41" s="100" t="s">
        <v>392</v>
      </c>
      <c r="K41" s="101" t="s">
        <v>393</v>
      </c>
      <c r="L41" s="100" t="s">
        <v>394</v>
      </c>
      <c r="M41" s="99" t="str">
        <f t="shared" si="3"/>
        <v>DC</v>
      </c>
      <c r="N41" s="99" t="s">
        <v>1673</v>
      </c>
      <c r="O41" s="99" t="s">
        <v>1707</v>
      </c>
      <c r="P41" s="99" t="s">
        <v>1707</v>
      </c>
      <c r="AC41" s="99" t="s">
        <v>395</v>
      </c>
      <c r="AD41" s="101"/>
      <c r="AE41" s="100" t="s">
        <v>396</v>
      </c>
      <c r="AF41" s="99">
        <f t="shared" si="6"/>
        <v>0</v>
      </c>
    </row>
    <row r="42" spans="1:38">
      <c r="A42" s="94" t="s">
        <v>397</v>
      </c>
      <c r="B42" s="95" t="s">
        <v>398</v>
      </c>
      <c r="C42" s="96" t="s">
        <v>399</v>
      </c>
      <c r="D42" s="97" t="s">
        <v>1695</v>
      </c>
      <c r="E42" s="97" t="str">
        <f t="shared" si="0"/>
        <v>NTI</v>
      </c>
      <c r="F42" s="97" t="s">
        <v>46</v>
      </c>
      <c r="G42" s="98" t="s">
        <v>15</v>
      </c>
      <c r="J42" s="100" t="s">
        <v>400</v>
      </c>
      <c r="K42" s="112" t="s">
        <v>223</v>
      </c>
      <c r="L42" s="113" t="s">
        <v>401</v>
      </c>
      <c r="M42" s="114" t="str">
        <f t="shared" si="3"/>
        <v>AC</v>
      </c>
      <c r="N42" s="114" t="s">
        <v>1673</v>
      </c>
      <c r="O42" s="115"/>
      <c r="P42" s="114" t="s">
        <v>1707</v>
      </c>
      <c r="AC42" s="99" t="s">
        <v>402</v>
      </c>
      <c r="AD42" s="101"/>
      <c r="AE42" s="100" t="s">
        <v>403</v>
      </c>
      <c r="AF42" s="99">
        <f t="shared" si="6"/>
        <v>0</v>
      </c>
    </row>
    <row r="43" spans="1:38">
      <c r="A43" s="94" t="s">
        <v>404</v>
      </c>
      <c r="B43" s="95" t="s">
        <v>405</v>
      </c>
      <c r="C43" s="96" t="s">
        <v>406</v>
      </c>
      <c r="D43" s="97" t="s">
        <v>1695</v>
      </c>
      <c r="E43" s="97" t="str">
        <f t="shared" si="0"/>
        <v>NTW</v>
      </c>
      <c r="F43" s="97" t="s">
        <v>46</v>
      </c>
      <c r="G43" s="98" t="s">
        <v>15</v>
      </c>
      <c r="I43" s="99" t="s">
        <v>388</v>
      </c>
      <c r="J43" s="100" t="s">
        <v>407</v>
      </c>
      <c r="K43" s="101" t="s">
        <v>36</v>
      </c>
      <c r="L43" s="100" t="s">
        <v>1708</v>
      </c>
      <c r="M43" s="99" t="str">
        <f t="shared" si="3"/>
        <v>TS</v>
      </c>
      <c r="N43" s="99" t="s">
        <v>1709</v>
      </c>
      <c r="O43" s="99" t="s">
        <v>1709</v>
      </c>
      <c r="P43" s="99" t="s">
        <v>1709</v>
      </c>
      <c r="AC43" s="99" t="s">
        <v>408</v>
      </c>
      <c r="AD43" s="101"/>
      <c r="AE43" s="100" t="s">
        <v>409</v>
      </c>
      <c r="AF43" s="99">
        <f t="shared" si="6"/>
        <v>0</v>
      </c>
    </row>
    <row r="44" spans="1:38">
      <c r="A44" s="107" t="s">
        <v>410</v>
      </c>
      <c r="B44" s="108" t="s">
        <v>411</v>
      </c>
      <c r="C44" s="109" t="s">
        <v>412</v>
      </c>
      <c r="D44" s="110" t="s">
        <v>1695</v>
      </c>
      <c r="E44" s="110" t="str">
        <f t="shared" si="0"/>
        <v>NWS</v>
      </c>
      <c r="F44" s="110" t="s">
        <v>46</v>
      </c>
      <c r="G44" s="111" t="s">
        <v>15</v>
      </c>
      <c r="J44" s="100" t="s">
        <v>413</v>
      </c>
      <c r="K44" s="101" t="s">
        <v>414</v>
      </c>
      <c r="L44" s="100" t="s">
        <v>1710</v>
      </c>
      <c r="M44" s="99" t="str">
        <f t="shared" si="3"/>
        <v>TL</v>
      </c>
      <c r="N44" s="99" t="s">
        <v>1709</v>
      </c>
      <c r="O44" s="99" t="s">
        <v>1709</v>
      </c>
      <c r="P44" s="99" t="s">
        <v>1709</v>
      </c>
      <c r="AC44" s="99" t="s">
        <v>415</v>
      </c>
      <c r="AD44" s="101"/>
      <c r="AE44" s="100" t="s">
        <v>416</v>
      </c>
      <c r="AF44" s="99">
        <f t="shared" si="6"/>
        <v>0</v>
      </c>
    </row>
    <row r="45" spans="1:38">
      <c r="A45" s="107" t="s">
        <v>417</v>
      </c>
      <c r="B45" s="108" t="s">
        <v>418</v>
      </c>
      <c r="C45" s="109" t="s">
        <v>419</v>
      </c>
      <c r="D45" s="110" t="s">
        <v>1695</v>
      </c>
      <c r="E45" s="110" t="str">
        <f t="shared" si="0"/>
        <v>NYA</v>
      </c>
      <c r="F45" s="110" t="s">
        <v>46</v>
      </c>
      <c r="G45" s="111" t="s">
        <v>15</v>
      </c>
      <c r="J45" s="100" t="s">
        <v>420</v>
      </c>
      <c r="K45" s="101" t="s">
        <v>421</v>
      </c>
      <c r="L45" s="100" t="s">
        <v>1711</v>
      </c>
      <c r="M45" s="99" t="str">
        <f t="shared" si="3"/>
        <v>TH</v>
      </c>
      <c r="N45" s="99" t="s">
        <v>1709</v>
      </c>
      <c r="O45" s="99" t="s">
        <v>1709</v>
      </c>
      <c r="P45" s="99" t="s">
        <v>1709</v>
      </c>
      <c r="AC45" s="99" t="s">
        <v>422</v>
      </c>
      <c r="AD45" s="101"/>
      <c r="AE45" s="100" t="s">
        <v>423</v>
      </c>
      <c r="AF45" s="99">
        <f t="shared" si="6"/>
        <v>0</v>
      </c>
    </row>
    <row r="46" spans="1:38">
      <c r="A46" s="94" t="s">
        <v>424</v>
      </c>
      <c r="B46" s="95" t="s">
        <v>425</v>
      </c>
      <c r="C46" s="96" t="s">
        <v>426</v>
      </c>
      <c r="D46" s="97" t="s">
        <v>1695</v>
      </c>
      <c r="E46" s="94" t="str">
        <f t="shared" si="0"/>
        <v>NEW</v>
      </c>
      <c r="F46" s="94" t="s">
        <v>1712</v>
      </c>
      <c r="G46" s="116" t="s">
        <v>1713</v>
      </c>
      <c r="K46" s="101" t="s">
        <v>427</v>
      </c>
      <c r="L46" s="100" t="s">
        <v>1714</v>
      </c>
      <c r="M46" s="99" t="str">
        <f t="shared" si="3"/>
        <v>HP</v>
      </c>
      <c r="N46" s="99" t="s">
        <v>1715</v>
      </c>
      <c r="O46" s="99" t="s">
        <v>1715</v>
      </c>
      <c r="P46" s="99" t="s">
        <v>1715</v>
      </c>
      <c r="AC46" s="99" t="s">
        <v>428</v>
      </c>
      <c r="AD46" s="101"/>
      <c r="AE46" s="100" t="s">
        <v>429</v>
      </c>
      <c r="AF46" s="99">
        <f t="shared" si="6"/>
        <v>0</v>
      </c>
    </row>
    <row r="47" spans="1:38">
      <c r="A47" s="94" t="s">
        <v>430</v>
      </c>
      <c r="B47" s="95" t="s">
        <v>431</v>
      </c>
      <c r="C47" s="96" t="s">
        <v>432</v>
      </c>
      <c r="D47" s="97" t="s">
        <v>1681</v>
      </c>
      <c r="E47" s="97" t="str">
        <f t="shared" si="0"/>
        <v>KNE</v>
      </c>
      <c r="F47" s="97" t="s">
        <v>46</v>
      </c>
      <c r="G47" s="98" t="s">
        <v>15</v>
      </c>
      <c r="J47" s="100" t="s">
        <v>433</v>
      </c>
      <c r="K47" s="101" t="s">
        <v>74</v>
      </c>
      <c r="L47" s="100" t="s">
        <v>1716</v>
      </c>
      <c r="M47" s="99" t="str">
        <f t="shared" si="3"/>
        <v>JP</v>
      </c>
      <c r="N47" s="99" t="s">
        <v>1717</v>
      </c>
      <c r="O47" s="99" t="s">
        <v>1717</v>
      </c>
      <c r="P47" s="99" t="s">
        <v>1717</v>
      </c>
      <c r="AC47" s="99" t="s">
        <v>434</v>
      </c>
      <c r="AD47" s="101"/>
      <c r="AE47" s="100" t="s">
        <v>435</v>
      </c>
      <c r="AF47" s="99">
        <f t="shared" si="6"/>
        <v>0</v>
      </c>
    </row>
    <row r="48" spans="1:38">
      <c r="A48" s="94" t="s">
        <v>436</v>
      </c>
      <c r="B48" s="95" t="s">
        <v>437</v>
      </c>
      <c r="C48" s="96" t="s">
        <v>438</v>
      </c>
      <c r="D48" s="97" t="s">
        <v>1666</v>
      </c>
      <c r="E48" s="97" t="str">
        <f t="shared" si="0"/>
        <v>KSA</v>
      </c>
      <c r="F48" s="97" t="s">
        <v>46</v>
      </c>
      <c r="G48" s="98" t="s">
        <v>15</v>
      </c>
      <c r="I48" s="99" t="s">
        <v>439</v>
      </c>
      <c r="J48" s="100" t="s">
        <v>440</v>
      </c>
      <c r="K48" s="101" t="s">
        <v>439</v>
      </c>
      <c r="L48" s="100" t="s">
        <v>440</v>
      </c>
      <c r="M48" s="99" t="str">
        <f t="shared" si="3"/>
        <v>FF</v>
      </c>
      <c r="N48" s="99" t="s">
        <v>1660</v>
      </c>
      <c r="O48" s="99" t="s">
        <v>1718</v>
      </c>
      <c r="P48" s="99" t="s">
        <v>1718</v>
      </c>
      <c r="AC48" s="99" t="s">
        <v>441</v>
      </c>
      <c r="AD48" s="101"/>
      <c r="AE48" s="100" t="s">
        <v>442</v>
      </c>
      <c r="AF48" s="99">
        <f t="shared" si="6"/>
        <v>0</v>
      </c>
    </row>
    <row r="49" spans="1:32" ht="14.25" thickBot="1">
      <c r="A49" s="94" t="s">
        <v>443</v>
      </c>
      <c r="B49" s="95" t="s">
        <v>444</v>
      </c>
      <c r="C49" s="96" t="s">
        <v>445</v>
      </c>
      <c r="D49" s="97" t="s">
        <v>1666</v>
      </c>
      <c r="E49" s="97" t="str">
        <f t="shared" si="0"/>
        <v>KSK</v>
      </c>
      <c r="F49" s="97" t="s">
        <v>46</v>
      </c>
      <c r="G49" s="98" t="s">
        <v>15</v>
      </c>
      <c r="I49" s="99" t="s">
        <v>446</v>
      </c>
      <c r="J49" s="100" t="s">
        <v>447</v>
      </c>
      <c r="K49" s="105" t="s">
        <v>446</v>
      </c>
      <c r="L49" s="100" t="s">
        <v>1719</v>
      </c>
      <c r="M49" s="99" t="str">
        <f t="shared" si="3"/>
        <v>BP</v>
      </c>
      <c r="N49" s="99" t="s">
        <v>1660</v>
      </c>
      <c r="O49" s="99" t="s">
        <v>1720</v>
      </c>
      <c r="P49" s="99" t="s">
        <v>1720</v>
      </c>
      <c r="AC49" s="99" t="s">
        <v>448</v>
      </c>
      <c r="AD49" s="101" t="s">
        <v>404</v>
      </c>
      <c r="AE49" s="100" t="s">
        <v>449</v>
      </c>
      <c r="AF49" s="99" t="str">
        <f t="shared" si="6"/>
        <v>AR</v>
      </c>
    </row>
    <row r="50" spans="1:32">
      <c r="A50" s="107"/>
      <c r="B50" s="108" t="s">
        <v>1721</v>
      </c>
      <c r="C50" s="109" t="s">
        <v>1722</v>
      </c>
      <c r="D50" s="110" t="s">
        <v>1723</v>
      </c>
      <c r="E50" s="107" t="str">
        <f>B50</f>
        <v>BBC</v>
      </c>
      <c r="F50" s="110" t="s">
        <v>46</v>
      </c>
      <c r="G50" s="111" t="s">
        <v>15</v>
      </c>
      <c r="K50" s="99" t="s">
        <v>1724</v>
      </c>
      <c r="L50" s="100" t="s">
        <v>1725</v>
      </c>
      <c r="M50" s="99" t="str">
        <f t="shared" si="3"/>
        <v>JS</v>
      </c>
      <c r="N50" s="99" t="s">
        <v>1717</v>
      </c>
      <c r="O50" s="99" t="s">
        <v>1717</v>
      </c>
      <c r="P50" s="99" t="s">
        <v>1717</v>
      </c>
      <c r="AC50" s="99" t="s">
        <v>450</v>
      </c>
      <c r="AD50" s="101"/>
      <c r="AE50" s="100" t="s">
        <v>451</v>
      </c>
      <c r="AF50" s="99">
        <f t="shared" si="6"/>
        <v>0</v>
      </c>
    </row>
    <row r="51" spans="1:32">
      <c r="A51" s="107"/>
      <c r="B51" s="108" t="s">
        <v>1726</v>
      </c>
      <c r="C51" s="109" t="s">
        <v>1727</v>
      </c>
      <c r="D51" s="110" t="s">
        <v>1723</v>
      </c>
      <c r="E51" s="110" t="str">
        <f>B51</f>
        <v>BCB</v>
      </c>
      <c r="F51" s="110" t="s">
        <v>46</v>
      </c>
      <c r="G51" s="111" t="s">
        <v>15</v>
      </c>
      <c r="K51" s="114" t="s">
        <v>1728</v>
      </c>
      <c r="L51" s="113" t="s">
        <v>1729</v>
      </c>
      <c r="M51" s="114" t="s">
        <v>1728</v>
      </c>
      <c r="N51" s="114" t="s">
        <v>1660</v>
      </c>
      <c r="O51" s="114" t="s">
        <v>1720</v>
      </c>
      <c r="P51" s="114" t="s">
        <v>1720</v>
      </c>
      <c r="AC51" s="99" t="s">
        <v>452</v>
      </c>
      <c r="AD51" s="101" t="s">
        <v>453</v>
      </c>
      <c r="AE51" s="100" t="s">
        <v>454</v>
      </c>
      <c r="AF51" s="99" t="str">
        <f t="shared" si="6"/>
        <v>NY</v>
      </c>
    </row>
    <row r="52" spans="1:32">
      <c r="A52" s="117" t="s">
        <v>254</v>
      </c>
      <c r="B52" s="118" t="s">
        <v>455</v>
      </c>
      <c r="C52" s="119" t="s">
        <v>456</v>
      </c>
      <c r="D52" s="120" t="str">
        <f t="shared" ref="D52:D107" si="10">B52</f>
        <v>VOL</v>
      </c>
      <c r="E52" s="120" t="str">
        <f t="shared" ref="E52:E107" si="11">B52</f>
        <v>VOL</v>
      </c>
      <c r="F52" s="120" t="s">
        <v>46</v>
      </c>
      <c r="G52" s="121" t="s">
        <v>15</v>
      </c>
      <c r="K52" s="99" t="s">
        <v>1730</v>
      </c>
      <c r="L52" s="100" t="s">
        <v>1731</v>
      </c>
      <c r="M52" s="99" t="s">
        <v>1730</v>
      </c>
      <c r="N52" s="99" t="s">
        <v>1717</v>
      </c>
      <c r="O52" s="99" t="s">
        <v>1717</v>
      </c>
      <c r="P52" s="99" t="s">
        <v>1717</v>
      </c>
      <c r="AC52" s="99" t="s">
        <v>457</v>
      </c>
      <c r="AD52" s="101"/>
      <c r="AE52" s="100" t="s">
        <v>458</v>
      </c>
      <c r="AF52" s="99">
        <f t="shared" si="6"/>
        <v>0</v>
      </c>
    </row>
    <row r="53" spans="1:32">
      <c r="A53" s="117" t="s">
        <v>383</v>
      </c>
      <c r="B53" s="118" t="s">
        <v>33</v>
      </c>
      <c r="C53" s="119" t="s">
        <v>459</v>
      </c>
      <c r="D53" s="120" t="str">
        <f t="shared" si="10"/>
        <v>BIL</v>
      </c>
      <c r="E53" s="120" t="str">
        <f t="shared" si="11"/>
        <v>BIL</v>
      </c>
      <c r="F53" s="120" t="s">
        <v>1732</v>
      </c>
      <c r="G53" s="121" t="s">
        <v>15</v>
      </c>
      <c r="AC53" s="99" t="s">
        <v>460</v>
      </c>
      <c r="AD53" s="101" t="s">
        <v>461</v>
      </c>
      <c r="AE53" s="100" t="s">
        <v>462</v>
      </c>
      <c r="AF53" s="99" t="str">
        <f t="shared" si="6"/>
        <v>PP</v>
      </c>
    </row>
    <row r="54" spans="1:32">
      <c r="A54" s="117" t="s">
        <v>391</v>
      </c>
      <c r="B54" s="118" t="s">
        <v>463</v>
      </c>
      <c r="C54" s="119" t="s">
        <v>464</v>
      </c>
      <c r="D54" s="120" t="str">
        <f t="shared" si="10"/>
        <v>QSV</v>
      </c>
      <c r="E54" s="120" t="str">
        <f t="shared" si="11"/>
        <v>QSV</v>
      </c>
      <c r="F54" s="120" t="s">
        <v>1732</v>
      </c>
      <c r="G54" s="121" t="s">
        <v>15</v>
      </c>
      <c r="AC54" s="99" t="s">
        <v>465</v>
      </c>
      <c r="AD54" s="101"/>
      <c r="AE54" s="100" t="s">
        <v>466</v>
      </c>
      <c r="AF54" s="99">
        <f t="shared" si="6"/>
        <v>0</v>
      </c>
    </row>
    <row r="55" spans="1:32">
      <c r="A55" s="117" t="s">
        <v>467</v>
      </c>
      <c r="B55" s="118" t="s">
        <v>468</v>
      </c>
      <c r="C55" s="119" t="s">
        <v>469</v>
      </c>
      <c r="D55" s="120" t="str">
        <f t="shared" si="10"/>
        <v>ROX</v>
      </c>
      <c r="E55" s="120" t="str">
        <f t="shared" si="11"/>
        <v>ROX</v>
      </c>
      <c r="F55" s="120" t="s">
        <v>1732</v>
      </c>
      <c r="G55" s="121" t="s">
        <v>15</v>
      </c>
      <c r="AC55" s="99" t="s">
        <v>470</v>
      </c>
      <c r="AD55" s="101"/>
      <c r="AE55" s="100" t="s">
        <v>471</v>
      </c>
      <c r="AF55" s="99">
        <f t="shared" si="6"/>
        <v>0</v>
      </c>
    </row>
    <row r="56" spans="1:32">
      <c r="A56" s="117" t="s">
        <v>219</v>
      </c>
      <c r="B56" s="118" t="s">
        <v>32</v>
      </c>
      <c r="C56" s="119" t="s">
        <v>472</v>
      </c>
      <c r="D56" s="120" t="str">
        <f t="shared" si="10"/>
        <v>GRA</v>
      </c>
      <c r="E56" s="120" t="str">
        <f t="shared" si="11"/>
        <v>GRA</v>
      </c>
      <c r="F56" s="120" t="s">
        <v>1733</v>
      </c>
      <c r="G56" s="121" t="s">
        <v>15</v>
      </c>
      <c r="AC56" s="99" t="s">
        <v>473</v>
      </c>
      <c r="AD56" s="101"/>
      <c r="AE56" s="100" t="s">
        <v>474</v>
      </c>
      <c r="AF56" s="99">
        <f t="shared" si="6"/>
        <v>0</v>
      </c>
    </row>
    <row r="57" spans="1:32">
      <c r="A57" s="122"/>
      <c r="B57" s="123" t="s">
        <v>1734</v>
      </c>
      <c r="C57" s="124" t="s">
        <v>1735</v>
      </c>
      <c r="D57" s="125" t="str">
        <f>B57</f>
        <v>GRL</v>
      </c>
      <c r="E57" s="125" t="str">
        <f>B57</f>
        <v>GRL</v>
      </c>
      <c r="F57" s="125" t="s">
        <v>1733</v>
      </c>
      <c r="G57" s="126" t="s">
        <v>15</v>
      </c>
      <c r="AC57" s="99" t="s">
        <v>475</v>
      </c>
      <c r="AD57" s="101"/>
      <c r="AE57" s="100" t="s">
        <v>476</v>
      </c>
      <c r="AF57" s="99">
        <f t="shared" si="6"/>
        <v>0</v>
      </c>
    </row>
    <row r="58" spans="1:32">
      <c r="A58" s="127"/>
      <c r="B58" s="128" t="s">
        <v>1736</v>
      </c>
      <c r="C58" s="129" t="s">
        <v>1737</v>
      </c>
      <c r="D58" s="130" t="str">
        <f>B58</f>
        <v>GRH</v>
      </c>
      <c r="E58" s="130" t="str">
        <f>B58</f>
        <v>GRH</v>
      </c>
      <c r="F58" s="130" t="s">
        <v>477</v>
      </c>
      <c r="G58" s="131" t="s">
        <v>15</v>
      </c>
      <c r="AC58" s="99" t="s">
        <v>478</v>
      </c>
      <c r="AD58" s="101"/>
      <c r="AE58" s="100" t="s">
        <v>479</v>
      </c>
      <c r="AF58" s="99">
        <f t="shared" si="6"/>
        <v>0</v>
      </c>
    </row>
    <row r="59" spans="1:32">
      <c r="A59" s="117" t="s">
        <v>439</v>
      </c>
      <c r="B59" s="118" t="s">
        <v>480</v>
      </c>
      <c r="C59" s="119" t="s">
        <v>481</v>
      </c>
      <c r="D59" s="120" t="str">
        <f t="shared" si="10"/>
        <v>BUT</v>
      </c>
      <c r="E59" s="120" t="str">
        <f t="shared" si="11"/>
        <v>BUT</v>
      </c>
      <c r="F59" s="120" t="s">
        <v>1732</v>
      </c>
      <c r="G59" s="121" t="s">
        <v>15</v>
      </c>
      <c r="AC59" s="99" t="s">
        <v>482</v>
      </c>
      <c r="AD59" s="101"/>
      <c r="AE59" s="100" t="s">
        <v>483</v>
      </c>
      <c r="AF59" s="99">
        <f t="shared" si="6"/>
        <v>0</v>
      </c>
    </row>
    <row r="60" spans="1:32">
      <c r="A60" s="117" t="s">
        <v>484</v>
      </c>
      <c r="B60" s="118" t="s">
        <v>485</v>
      </c>
      <c r="C60" s="119" t="s">
        <v>486</v>
      </c>
      <c r="D60" s="120" t="str">
        <f t="shared" si="10"/>
        <v>ZZZ</v>
      </c>
      <c r="E60" s="120" t="str">
        <f t="shared" si="11"/>
        <v>ZZZ</v>
      </c>
      <c r="F60" s="120"/>
      <c r="G60" s="121" t="s">
        <v>15</v>
      </c>
      <c r="AC60" s="99" t="s">
        <v>487</v>
      </c>
      <c r="AD60" s="101"/>
      <c r="AE60" s="100" t="s">
        <v>488</v>
      </c>
      <c r="AF60" s="99">
        <f t="shared" si="6"/>
        <v>0</v>
      </c>
    </row>
    <row r="61" spans="1:32">
      <c r="A61" s="117" t="s">
        <v>489</v>
      </c>
      <c r="B61" s="118" t="s">
        <v>485</v>
      </c>
      <c r="C61" s="119" t="s">
        <v>490</v>
      </c>
      <c r="D61" s="120" t="str">
        <f t="shared" si="10"/>
        <v>ZZZ</v>
      </c>
      <c r="E61" s="120" t="str">
        <f t="shared" si="11"/>
        <v>ZZZ</v>
      </c>
      <c r="F61" s="120"/>
      <c r="G61" s="121" t="s">
        <v>15</v>
      </c>
      <c r="AC61" s="99" t="s">
        <v>491</v>
      </c>
      <c r="AD61" s="101"/>
      <c r="AE61" s="100" t="s">
        <v>492</v>
      </c>
      <c r="AF61" s="99">
        <f t="shared" si="6"/>
        <v>0</v>
      </c>
    </row>
    <row r="62" spans="1:32">
      <c r="A62" s="117" t="s">
        <v>107</v>
      </c>
      <c r="B62" s="118" t="s">
        <v>493</v>
      </c>
      <c r="C62" s="119" t="s">
        <v>494</v>
      </c>
      <c r="D62" s="120" t="str">
        <f t="shared" si="10"/>
        <v>STU</v>
      </c>
      <c r="E62" s="120" t="str">
        <f t="shared" si="11"/>
        <v>STU</v>
      </c>
      <c r="F62" s="120" t="s">
        <v>1732</v>
      </c>
      <c r="G62" s="121" t="s">
        <v>15</v>
      </c>
      <c r="AC62" s="99" t="s">
        <v>495</v>
      </c>
      <c r="AD62" s="101"/>
      <c r="AE62" s="100" t="s">
        <v>496</v>
      </c>
      <c r="AF62" s="99">
        <f t="shared" si="6"/>
        <v>0</v>
      </c>
    </row>
    <row r="63" spans="1:32">
      <c r="A63" s="117" t="s">
        <v>497</v>
      </c>
      <c r="B63" s="118" t="s">
        <v>19</v>
      </c>
      <c r="C63" s="119" t="s">
        <v>498</v>
      </c>
      <c r="D63" s="120" t="str">
        <f t="shared" si="10"/>
        <v>NIX</v>
      </c>
      <c r="E63" s="120" t="str">
        <f t="shared" si="11"/>
        <v>NIX</v>
      </c>
      <c r="F63" s="120" t="s">
        <v>1732</v>
      </c>
      <c r="G63" s="121" t="s">
        <v>15</v>
      </c>
      <c r="AC63" s="99" t="s">
        <v>499</v>
      </c>
      <c r="AD63" s="101" t="s">
        <v>500</v>
      </c>
      <c r="AE63" s="100" t="s">
        <v>501</v>
      </c>
      <c r="AF63" s="99" t="str">
        <f t="shared" si="6"/>
        <v>RE</v>
      </c>
    </row>
    <row r="64" spans="1:32">
      <c r="A64" s="117" t="s">
        <v>502</v>
      </c>
      <c r="B64" s="118" t="s">
        <v>485</v>
      </c>
      <c r="C64" s="119" t="s">
        <v>503</v>
      </c>
      <c r="D64" s="120" t="str">
        <f t="shared" si="10"/>
        <v>ZZZ</v>
      </c>
      <c r="E64" s="120" t="str">
        <f t="shared" si="11"/>
        <v>ZZZ</v>
      </c>
      <c r="F64" s="120"/>
      <c r="G64" s="121" t="s">
        <v>15</v>
      </c>
      <c r="AC64" s="99" t="s">
        <v>504</v>
      </c>
      <c r="AD64" s="101"/>
      <c r="AE64" s="100" t="s">
        <v>505</v>
      </c>
      <c r="AF64" s="99">
        <f t="shared" si="6"/>
        <v>0</v>
      </c>
    </row>
    <row r="65" spans="1:32">
      <c r="A65" s="117" t="s">
        <v>80</v>
      </c>
      <c r="B65" s="118" t="s">
        <v>506</v>
      </c>
      <c r="C65" s="119" t="s">
        <v>507</v>
      </c>
      <c r="D65" s="120" t="str">
        <f t="shared" si="10"/>
        <v>ANA</v>
      </c>
      <c r="E65" s="120" t="str">
        <f t="shared" si="11"/>
        <v>ANA</v>
      </c>
      <c r="F65" s="120" t="s">
        <v>1732</v>
      </c>
      <c r="G65" s="121" t="s">
        <v>15</v>
      </c>
      <c r="AC65" s="99" t="s">
        <v>508</v>
      </c>
      <c r="AD65" s="101"/>
      <c r="AE65" s="100" t="s">
        <v>509</v>
      </c>
      <c r="AF65" s="99">
        <f t="shared" si="6"/>
        <v>0</v>
      </c>
    </row>
    <row r="66" spans="1:32">
      <c r="A66" s="117" t="s">
        <v>510</v>
      </c>
      <c r="B66" s="118" t="s">
        <v>511</v>
      </c>
      <c r="C66" s="119" t="s">
        <v>512</v>
      </c>
      <c r="D66" s="120" t="str">
        <f t="shared" si="10"/>
        <v>ADA</v>
      </c>
      <c r="E66" s="120" t="str">
        <f t="shared" si="11"/>
        <v>ADA</v>
      </c>
      <c r="F66" s="120" t="s">
        <v>1732</v>
      </c>
      <c r="G66" s="121" t="s">
        <v>15</v>
      </c>
      <c r="AC66" s="99" t="s">
        <v>513</v>
      </c>
      <c r="AD66" s="101" t="s">
        <v>514</v>
      </c>
      <c r="AE66" s="100" t="s">
        <v>515</v>
      </c>
      <c r="AF66" s="99" t="str">
        <f t="shared" si="6"/>
        <v>PK</v>
      </c>
    </row>
    <row r="67" spans="1:32">
      <c r="A67" s="117" t="s">
        <v>516</v>
      </c>
      <c r="B67" s="118" t="s">
        <v>517</v>
      </c>
      <c r="C67" s="119" t="s">
        <v>518</v>
      </c>
      <c r="D67" s="120" t="str">
        <f t="shared" si="10"/>
        <v>NKE</v>
      </c>
      <c r="E67" s="120" t="str">
        <f t="shared" si="11"/>
        <v>NKE</v>
      </c>
      <c r="F67" s="120"/>
      <c r="G67" s="121" t="s">
        <v>15</v>
      </c>
      <c r="AC67" s="99" t="s">
        <v>519</v>
      </c>
      <c r="AD67" s="101"/>
      <c r="AE67" s="100" t="s">
        <v>520</v>
      </c>
      <c r="AF67" s="99">
        <f t="shared" si="6"/>
        <v>0</v>
      </c>
    </row>
    <row r="68" spans="1:32">
      <c r="A68" s="117" t="s">
        <v>521</v>
      </c>
      <c r="B68" s="118" t="s">
        <v>522</v>
      </c>
      <c r="C68" s="119" t="s">
        <v>523</v>
      </c>
      <c r="D68" s="120" t="str">
        <f t="shared" si="10"/>
        <v>PUM</v>
      </c>
      <c r="E68" s="120" t="str">
        <f t="shared" si="11"/>
        <v>PUM</v>
      </c>
      <c r="F68" s="120"/>
      <c r="G68" s="121" t="s">
        <v>15</v>
      </c>
      <c r="AC68" s="99" t="s">
        <v>524</v>
      </c>
      <c r="AD68" s="101"/>
      <c r="AE68" s="100" t="s">
        <v>525</v>
      </c>
      <c r="AF68" s="99">
        <f t="shared" si="6"/>
        <v>0</v>
      </c>
    </row>
    <row r="69" spans="1:32">
      <c r="A69" s="117" t="s">
        <v>526</v>
      </c>
      <c r="B69" s="118" t="s">
        <v>485</v>
      </c>
      <c r="C69" s="119" t="s">
        <v>527</v>
      </c>
      <c r="D69" s="120" t="str">
        <f t="shared" si="10"/>
        <v>ZZZ</v>
      </c>
      <c r="E69" s="120" t="str">
        <f t="shared" si="11"/>
        <v>ZZZ</v>
      </c>
      <c r="F69" s="120"/>
      <c r="G69" s="121" t="s">
        <v>15</v>
      </c>
      <c r="AC69" s="99" t="s">
        <v>528</v>
      </c>
      <c r="AD69" s="101"/>
      <c r="AE69" s="100" t="s">
        <v>529</v>
      </c>
      <c r="AF69" s="99">
        <f t="shared" ref="AF69:AF114" si="12">AD69</f>
        <v>0</v>
      </c>
    </row>
    <row r="70" spans="1:32">
      <c r="A70" s="117" t="s">
        <v>530</v>
      </c>
      <c r="B70" s="118" t="s">
        <v>485</v>
      </c>
      <c r="C70" s="119" t="s">
        <v>531</v>
      </c>
      <c r="D70" s="120" t="str">
        <f t="shared" si="10"/>
        <v>ZZZ</v>
      </c>
      <c r="E70" s="120" t="str">
        <f t="shared" si="11"/>
        <v>ZZZ</v>
      </c>
      <c r="F70" s="120"/>
      <c r="G70" s="121" t="s">
        <v>15</v>
      </c>
      <c r="AC70" s="99" t="s">
        <v>532</v>
      </c>
      <c r="AD70" s="101"/>
      <c r="AE70" s="100" t="s">
        <v>533</v>
      </c>
      <c r="AF70" s="99">
        <f t="shared" si="12"/>
        <v>0</v>
      </c>
    </row>
    <row r="71" spans="1:32">
      <c r="A71" s="117" t="s">
        <v>534</v>
      </c>
      <c r="B71" s="118" t="s">
        <v>485</v>
      </c>
      <c r="C71" s="119" t="s">
        <v>535</v>
      </c>
      <c r="D71" s="120" t="str">
        <f t="shared" si="10"/>
        <v>ZZZ</v>
      </c>
      <c r="E71" s="120" t="str">
        <f t="shared" si="11"/>
        <v>ZZZ</v>
      </c>
      <c r="F71" s="120"/>
      <c r="G71" s="121" t="s">
        <v>15</v>
      </c>
      <c r="AC71" s="99" t="s">
        <v>536</v>
      </c>
      <c r="AD71" s="101"/>
      <c r="AE71" s="100" t="s">
        <v>537</v>
      </c>
      <c r="AF71" s="99">
        <f t="shared" si="12"/>
        <v>0</v>
      </c>
    </row>
    <row r="72" spans="1:32">
      <c r="A72" s="117" t="s">
        <v>538</v>
      </c>
      <c r="B72" s="118" t="s">
        <v>485</v>
      </c>
      <c r="C72" s="119" t="s">
        <v>539</v>
      </c>
      <c r="D72" s="120" t="str">
        <f t="shared" si="10"/>
        <v>ZZZ</v>
      </c>
      <c r="E72" s="120" t="str">
        <f t="shared" si="11"/>
        <v>ZZZ</v>
      </c>
      <c r="F72" s="120"/>
      <c r="G72" s="121" t="s">
        <v>15</v>
      </c>
      <c r="AC72" s="99" t="s">
        <v>540</v>
      </c>
      <c r="AD72" s="101"/>
      <c r="AE72" s="100" t="s">
        <v>541</v>
      </c>
      <c r="AF72" s="99">
        <f t="shared" si="12"/>
        <v>0</v>
      </c>
    </row>
    <row r="73" spans="1:32">
      <c r="A73" s="117" t="s">
        <v>542</v>
      </c>
      <c r="B73" s="118" t="s">
        <v>485</v>
      </c>
      <c r="C73" s="119" t="s">
        <v>543</v>
      </c>
      <c r="D73" s="120" t="str">
        <f t="shared" si="10"/>
        <v>ZZZ</v>
      </c>
      <c r="E73" s="120" t="str">
        <f t="shared" si="11"/>
        <v>ZZZ</v>
      </c>
      <c r="F73" s="120"/>
      <c r="G73" s="121" t="s">
        <v>15</v>
      </c>
      <c r="AC73" s="99" t="s">
        <v>544</v>
      </c>
      <c r="AD73" s="101"/>
      <c r="AE73" s="100" t="s">
        <v>545</v>
      </c>
      <c r="AF73" s="99">
        <f t="shared" si="12"/>
        <v>0</v>
      </c>
    </row>
    <row r="74" spans="1:32">
      <c r="A74" s="117" t="s">
        <v>546</v>
      </c>
      <c r="B74" s="118" t="s">
        <v>485</v>
      </c>
      <c r="C74" s="119" t="s">
        <v>547</v>
      </c>
      <c r="D74" s="120" t="str">
        <f t="shared" si="10"/>
        <v>ZZZ</v>
      </c>
      <c r="E74" s="120" t="str">
        <f t="shared" si="11"/>
        <v>ZZZ</v>
      </c>
      <c r="F74" s="120"/>
      <c r="G74" s="121" t="s">
        <v>15</v>
      </c>
      <c r="AC74" s="99" t="s">
        <v>548</v>
      </c>
      <c r="AD74" s="101"/>
      <c r="AE74" s="100" t="s">
        <v>549</v>
      </c>
      <c r="AF74" s="99">
        <f t="shared" si="12"/>
        <v>0</v>
      </c>
    </row>
    <row r="75" spans="1:32">
      <c r="A75" s="117" t="s">
        <v>550</v>
      </c>
      <c r="B75" s="118" t="s">
        <v>551</v>
      </c>
      <c r="C75" s="119" t="s">
        <v>552</v>
      </c>
      <c r="D75" s="120" t="str">
        <f t="shared" si="10"/>
        <v>DRA</v>
      </c>
      <c r="E75" s="120" t="str">
        <f t="shared" si="11"/>
        <v>DRA</v>
      </c>
      <c r="F75" s="120" t="s">
        <v>1732</v>
      </c>
      <c r="G75" s="121" t="s">
        <v>15</v>
      </c>
      <c r="AC75" s="99" t="s">
        <v>553</v>
      </c>
      <c r="AD75" s="101" t="s">
        <v>554</v>
      </c>
      <c r="AE75" s="100" t="s">
        <v>555</v>
      </c>
      <c r="AF75" s="99" t="str">
        <f t="shared" si="12"/>
        <v>BL</v>
      </c>
    </row>
    <row r="76" spans="1:32">
      <c r="A76" s="117" t="s">
        <v>556</v>
      </c>
      <c r="B76" s="118" t="s">
        <v>557</v>
      </c>
      <c r="C76" s="119" t="s">
        <v>557</v>
      </c>
      <c r="D76" s="120" t="str">
        <f t="shared" si="10"/>
        <v>HUF</v>
      </c>
      <c r="E76" s="120" t="str">
        <f t="shared" si="11"/>
        <v>HUF</v>
      </c>
      <c r="F76" s="120" t="s">
        <v>1732</v>
      </c>
      <c r="G76" s="121" t="s">
        <v>15</v>
      </c>
      <c r="AC76" s="99" t="s">
        <v>558</v>
      </c>
      <c r="AD76" s="101"/>
      <c r="AE76" s="100" t="s">
        <v>559</v>
      </c>
      <c r="AF76" s="99">
        <f t="shared" si="12"/>
        <v>0</v>
      </c>
    </row>
    <row r="77" spans="1:32">
      <c r="A77" s="117" t="s">
        <v>560</v>
      </c>
      <c r="B77" s="118" t="s">
        <v>561</v>
      </c>
      <c r="C77" s="119" t="s">
        <v>562</v>
      </c>
      <c r="D77" s="120" t="str">
        <f t="shared" si="10"/>
        <v>HUN</v>
      </c>
      <c r="E77" s="120" t="str">
        <f t="shared" si="11"/>
        <v>HUN</v>
      </c>
      <c r="F77" s="120" t="s">
        <v>1732</v>
      </c>
      <c r="G77" s="121" t="s">
        <v>15</v>
      </c>
      <c r="AC77" s="99" t="s">
        <v>563</v>
      </c>
      <c r="AD77" s="101"/>
      <c r="AE77" s="100" t="s">
        <v>564</v>
      </c>
      <c r="AF77" s="99">
        <f t="shared" si="12"/>
        <v>0</v>
      </c>
    </row>
    <row r="78" spans="1:32">
      <c r="A78" s="117" t="s">
        <v>565</v>
      </c>
      <c r="B78" s="118" t="s">
        <v>485</v>
      </c>
      <c r="C78" s="119" t="s">
        <v>566</v>
      </c>
      <c r="D78" s="120" t="str">
        <f t="shared" si="10"/>
        <v>ZZZ</v>
      </c>
      <c r="E78" s="120" t="str">
        <f t="shared" si="11"/>
        <v>ZZZ</v>
      </c>
      <c r="F78" s="120"/>
      <c r="G78" s="121" t="s">
        <v>15</v>
      </c>
      <c r="AC78" s="99" t="s">
        <v>567</v>
      </c>
      <c r="AD78" s="101"/>
      <c r="AE78" s="100" t="s">
        <v>568</v>
      </c>
      <c r="AF78" s="99">
        <f t="shared" si="12"/>
        <v>0</v>
      </c>
    </row>
    <row r="79" spans="1:32">
      <c r="A79" s="117" t="s">
        <v>569</v>
      </c>
      <c r="B79" s="118" t="s">
        <v>31</v>
      </c>
      <c r="C79" s="119" t="s">
        <v>1738</v>
      </c>
      <c r="D79" s="120" t="str">
        <f t="shared" si="10"/>
        <v>GOO</v>
      </c>
      <c r="E79" s="120" t="str">
        <f t="shared" si="11"/>
        <v>GOO</v>
      </c>
      <c r="F79" s="120" t="s">
        <v>1733</v>
      </c>
      <c r="G79" s="121" t="s">
        <v>15</v>
      </c>
      <c r="AC79" s="99" t="s">
        <v>570</v>
      </c>
      <c r="AD79" s="101"/>
      <c r="AE79" s="100" t="s">
        <v>571</v>
      </c>
      <c r="AF79" s="99">
        <f t="shared" si="12"/>
        <v>0</v>
      </c>
    </row>
    <row r="80" spans="1:32">
      <c r="A80" s="132"/>
      <c r="B80" s="123" t="s">
        <v>1739</v>
      </c>
      <c r="C80" s="133" t="s">
        <v>1740</v>
      </c>
      <c r="D80" s="125" t="str">
        <f>B80</f>
        <v>GOL</v>
      </c>
      <c r="E80" s="125" t="str">
        <f>B80</f>
        <v>GOL</v>
      </c>
      <c r="F80" s="125" t="s">
        <v>1733</v>
      </c>
      <c r="G80" s="126" t="s">
        <v>15</v>
      </c>
      <c r="AC80" s="99" t="s">
        <v>572</v>
      </c>
      <c r="AD80" s="101"/>
      <c r="AE80" s="100" t="s">
        <v>573</v>
      </c>
      <c r="AF80" s="99">
        <f t="shared" si="12"/>
        <v>0</v>
      </c>
    </row>
    <row r="81" spans="1:32">
      <c r="A81" s="127"/>
      <c r="B81" s="128" t="s">
        <v>1741</v>
      </c>
      <c r="C81" s="129" t="s">
        <v>1742</v>
      </c>
      <c r="D81" s="130" t="str">
        <f>B81</f>
        <v>GOD</v>
      </c>
      <c r="E81" s="130" t="str">
        <f>B81</f>
        <v>GOD</v>
      </c>
      <c r="F81" s="130" t="s">
        <v>477</v>
      </c>
      <c r="G81" s="131" t="s">
        <v>15</v>
      </c>
      <c r="AC81" s="99" t="s">
        <v>574</v>
      </c>
      <c r="AD81" s="101"/>
      <c r="AE81" s="100" t="s">
        <v>575</v>
      </c>
      <c r="AF81" s="99">
        <f t="shared" si="12"/>
        <v>0</v>
      </c>
    </row>
    <row r="82" spans="1:32">
      <c r="A82" s="117" t="s">
        <v>576</v>
      </c>
      <c r="B82" s="118" t="s">
        <v>577</v>
      </c>
      <c r="C82" s="119" t="s">
        <v>578</v>
      </c>
      <c r="D82" s="120" t="str">
        <f t="shared" si="10"/>
        <v>CRO</v>
      </c>
      <c r="E82" s="120" t="str">
        <f t="shared" si="11"/>
        <v>CRO</v>
      </c>
      <c r="F82" s="120" t="s">
        <v>1732</v>
      </c>
      <c r="G82" s="121" t="s">
        <v>15</v>
      </c>
      <c r="AC82" s="99" t="s">
        <v>579</v>
      </c>
      <c r="AD82" s="101"/>
      <c r="AE82" s="100" t="s">
        <v>580</v>
      </c>
      <c r="AF82" s="99">
        <f t="shared" si="12"/>
        <v>0</v>
      </c>
    </row>
    <row r="83" spans="1:32">
      <c r="A83" s="117" t="s">
        <v>581</v>
      </c>
      <c r="B83" s="118" t="s">
        <v>485</v>
      </c>
      <c r="C83" s="119" t="s">
        <v>582</v>
      </c>
      <c r="D83" s="120" t="str">
        <f t="shared" si="10"/>
        <v>ZZZ</v>
      </c>
      <c r="E83" s="120" t="str">
        <f t="shared" si="11"/>
        <v>ZZZ</v>
      </c>
      <c r="F83" s="120"/>
      <c r="G83" s="121" t="s">
        <v>15</v>
      </c>
      <c r="AC83" s="99" t="s">
        <v>583</v>
      </c>
      <c r="AD83" s="101"/>
      <c r="AE83" s="100" t="s">
        <v>584</v>
      </c>
      <c r="AF83" s="99">
        <f t="shared" si="12"/>
        <v>0</v>
      </c>
    </row>
    <row r="84" spans="1:32">
      <c r="A84" s="117" t="s">
        <v>585</v>
      </c>
      <c r="B84" s="118" t="s">
        <v>485</v>
      </c>
      <c r="C84" s="119" t="s">
        <v>586</v>
      </c>
      <c r="D84" s="120" t="str">
        <f t="shared" si="10"/>
        <v>ZZZ</v>
      </c>
      <c r="E84" s="120" t="str">
        <f t="shared" si="11"/>
        <v>ZZZ</v>
      </c>
      <c r="F84" s="120"/>
      <c r="G84" s="121" t="s">
        <v>15</v>
      </c>
      <c r="AC84" s="99" t="s">
        <v>587</v>
      </c>
      <c r="AD84" s="101"/>
      <c r="AE84" s="100" t="s">
        <v>588</v>
      </c>
      <c r="AF84" s="99">
        <f t="shared" si="12"/>
        <v>0</v>
      </c>
    </row>
    <row r="85" spans="1:32">
      <c r="A85" s="117" t="s">
        <v>589</v>
      </c>
      <c r="B85" s="118" t="s">
        <v>485</v>
      </c>
      <c r="C85" s="119" t="s">
        <v>590</v>
      </c>
      <c r="D85" s="120" t="str">
        <f t="shared" si="10"/>
        <v>ZZZ</v>
      </c>
      <c r="E85" s="120" t="str">
        <f t="shared" si="11"/>
        <v>ZZZ</v>
      </c>
      <c r="F85" s="120"/>
      <c r="G85" s="121" t="s">
        <v>15</v>
      </c>
      <c r="AC85" s="99" t="s">
        <v>591</v>
      </c>
      <c r="AD85" s="101" t="s">
        <v>592</v>
      </c>
      <c r="AE85" s="100" t="s">
        <v>593</v>
      </c>
      <c r="AF85" s="99" t="str">
        <f t="shared" si="12"/>
        <v>WH</v>
      </c>
    </row>
    <row r="86" spans="1:32">
      <c r="A86" s="117" t="s">
        <v>441</v>
      </c>
      <c r="B86" s="118" t="s">
        <v>485</v>
      </c>
      <c r="C86" s="119" t="s">
        <v>594</v>
      </c>
      <c r="D86" s="120" t="str">
        <f t="shared" si="10"/>
        <v>ZZZ</v>
      </c>
      <c r="E86" s="120" t="str">
        <f t="shared" si="11"/>
        <v>ZZZ</v>
      </c>
      <c r="F86" s="120"/>
      <c r="G86" s="121" t="s">
        <v>15</v>
      </c>
      <c r="AC86" s="99" t="s">
        <v>595</v>
      </c>
      <c r="AD86" s="101" t="s">
        <v>596</v>
      </c>
      <c r="AE86" s="100" t="s">
        <v>597</v>
      </c>
      <c r="AF86" s="99" t="str">
        <f t="shared" si="12"/>
        <v>SL</v>
      </c>
    </row>
    <row r="87" spans="1:32">
      <c r="A87" s="117" t="s">
        <v>448</v>
      </c>
      <c r="B87" s="118" t="s">
        <v>35</v>
      </c>
      <c r="C87" s="119" t="s">
        <v>1743</v>
      </c>
      <c r="D87" s="120" t="str">
        <f t="shared" si="10"/>
        <v>TRU</v>
      </c>
      <c r="E87" s="120" t="str">
        <f t="shared" si="11"/>
        <v>TRU</v>
      </c>
      <c r="F87" s="120" t="s">
        <v>1744</v>
      </c>
      <c r="G87" s="121" t="s">
        <v>15</v>
      </c>
      <c r="AC87" s="99" t="s">
        <v>598</v>
      </c>
      <c r="AD87" s="101"/>
      <c r="AE87" s="100" t="s">
        <v>599</v>
      </c>
      <c r="AF87" s="99">
        <f t="shared" si="12"/>
        <v>0</v>
      </c>
    </row>
    <row r="88" spans="1:32">
      <c r="A88" s="122"/>
      <c r="B88" s="123" t="s">
        <v>1745</v>
      </c>
      <c r="C88" s="124" t="s">
        <v>1746</v>
      </c>
      <c r="D88" s="125" t="str">
        <f t="shared" si="10"/>
        <v>TRL</v>
      </c>
      <c r="E88" s="125" t="str">
        <f t="shared" si="11"/>
        <v>TRL</v>
      </c>
      <c r="F88" s="125" t="s">
        <v>1744</v>
      </c>
      <c r="G88" s="126" t="s">
        <v>15</v>
      </c>
      <c r="AC88" s="99" t="s">
        <v>601</v>
      </c>
      <c r="AD88" s="101" t="s">
        <v>602</v>
      </c>
      <c r="AE88" s="100" t="s">
        <v>603</v>
      </c>
      <c r="AF88" s="99" t="str">
        <f t="shared" si="12"/>
        <v>IV</v>
      </c>
    </row>
    <row r="89" spans="1:32">
      <c r="A89" s="117" t="s">
        <v>450</v>
      </c>
      <c r="B89" s="118" t="s">
        <v>604</v>
      </c>
      <c r="C89" s="119" t="s">
        <v>605</v>
      </c>
      <c r="D89" s="120" t="str">
        <f t="shared" si="10"/>
        <v>DAK</v>
      </c>
      <c r="E89" s="120" t="str">
        <f t="shared" si="11"/>
        <v>DAK</v>
      </c>
      <c r="F89" s="120" t="s">
        <v>1732</v>
      </c>
      <c r="G89" s="121" t="s">
        <v>15</v>
      </c>
      <c r="AC89" s="99" t="s">
        <v>606</v>
      </c>
      <c r="AD89" s="101"/>
      <c r="AE89" s="100" t="s">
        <v>607</v>
      </c>
      <c r="AF89" s="99">
        <f t="shared" si="12"/>
        <v>0</v>
      </c>
    </row>
    <row r="90" spans="1:32">
      <c r="A90" s="117" t="s">
        <v>608</v>
      </c>
      <c r="B90" s="118" t="s">
        <v>485</v>
      </c>
      <c r="C90" s="119" t="s">
        <v>609</v>
      </c>
      <c r="D90" s="120" t="str">
        <f t="shared" si="10"/>
        <v>ZZZ</v>
      </c>
      <c r="E90" s="120" t="str">
        <f t="shared" si="11"/>
        <v>ZZZ</v>
      </c>
      <c r="F90" s="120"/>
      <c r="G90" s="121" t="s">
        <v>15</v>
      </c>
      <c r="AC90" s="99" t="s">
        <v>610</v>
      </c>
      <c r="AD90" s="101"/>
      <c r="AE90" s="100" t="s">
        <v>611</v>
      </c>
      <c r="AF90" s="99">
        <f t="shared" si="12"/>
        <v>0</v>
      </c>
    </row>
    <row r="91" spans="1:32">
      <c r="A91" s="117" t="s">
        <v>612</v>
      </c>
      <c r="B91" s="118" t="s">
        <v>613</v>
      </c>
      <c r="C91" s="119" t="s">
        <v>614</v>
      </c>
      <c r="D91" s="120" t="str">
        <f t="shared" si="10"/>
        <v>EDH</v>
      </c>
      <c r="E91" s="120" t="str">
        <f t="shared" si="11"/>
        <v>EDH</v>
      </c>
      <c r="F91" s="120" t="s">
        <v>1744</v>
      </c>
      <c r="G91" s="121" t="s">
        <v>15</v>
      </c>
      <c r="AC91" s="99" t="s">
        <v>615</v>
      </c>
      <c r="AD91" s="101" t="s">
        <v>616</v>
      </c>
      <c r="AE91" s="100" t="s">
        <v>617</v>
      </c>
      <c r="AF91" s="99" t="str">
        <f t="shared" si="12"/>
        <v>YE</v>
      </c>
    </row>
    <row r="92" spans="1:32">
      <c r="A92" s="117" t="s">
        <v>618</v>
      </c>
      <c r="B92" s="118" t="s">
        <v>485</v>
      </c>
      <c r="C92" s="119" t="s">
        <v>619</v>
      </c>
      <c r="D92" s="120" t="str">
        <f t="shared" si="10"/>
        <v>ZZZ</v>
      </c>
      <c r="E92" s="120" t="str">
        <f t="shared" si="11"/>
        <v>ZZZ</v>
      </c>
      <c r="F92" s="120"/>
      <c r="G92" s="121" t="s">
        <v>15</v>
      </c>
      <c r="AC92" s="99" t="s">
        <v>620</v>
      </c>
      <c r="AD92" s="101"/>
      <c r="AE92" s="100" t="s">
        <v>621</v>
      </c>
      <c r="AF92" s="99">
        <f t="shared" si="12"/>
        <v>0</v>
      </c>
    </row>
    <row r="93" spans="1:32">
      <c r="A93" s="117" t="s">
        <v>622</v>
      </c>
      <c r="B93" s="118" t="s">
        <v>485</v>
      </c>
      <c r="C93" s="119" t="s">
        <v>623</v>
      </c>
      <c r="D93" s="120" t="str">
        <f t="shared" si="10"/>
        <v>ZZZ</v>
      </c>
      <c r="E93" s="120" t="str">
        <f t="shared" si="11"/>
        <v>ZZZ</v>
      </c>
      <c r="F93" s="120"/>
      <c r="G93" s="121" t="s">
        <v>15</v>
      </c>
      <c r="AC93" s="99" t="s">
        <v>624</v>
      </c>
      <c r="AD93" s="101" t="s">
        <v>608</v>
      </c>
      <c r="AE93" s="100" t="s">
        <v>625</v>
      </c>
      <c r="AF93" s="99" t="str">
        <f t="shared" si="12"/>
        <v>GD</v>
      </c>
    </row>
    <row r="94" spans="1:32">
      <c r="A94" s="117" t="s">
        <v>626</v>
      </c>
      <c r="B94" s="118" t="s">
        <v>485</v>
      </c>
      <c r="C94" s="119" t="s">
        <v>627</v>
      </c>
      <c r="D94" s="120" t="str">
        <f t="shared" si="10"/>
        <v>ZZZ</v>
      </c>
      <c r="E94" s="120" t="str">
        <f t="shared" si="11"/>
        <v>ZZZ</v>
      </c>
      <c r="F94" s="120"/>
      <c r="G94" s="121" t="s">
        <v>15</v>
      </c>
      <c r="AC94" s="99" t="s">
        <v>628</v>
      </c>
      <c r="AD94" s="101"/>
      <c r="AE94" s="100" t="s">
        <v>629</v>
      </c>
      <c r="AF94" s="99">
        <f t="shared" si="12"/>
        <v>0</v>
      </c>
    </row>
    <row r="95" spans="1:32">
      <c r="A95" s="117" t="s">
        <v>630</v>
      </c>
      <c r="B95" s="118" t="s">
        <v>485</v>
      </c>
      <c r="C95" s="119" t="s">
        <v>631</v>
      </c>
      <c r="D95" s="120" t="str">
        <f t="shared" si="10"/>
        <v>ZZZ</v>
      </c>
      <c r="E95" s="120" t="str">
        <f t="shared" si="11"/>
        <v>ZZZ</v>
      </c>
      <c r="F95" s="120"/>
      <c r="G95" s="121" t="s">
        <v>15</v>
      </c>
      <c r="AC95" s="99" t="s">
        <v>632</v>
      </c>
      <c r="AD95" s="101"/>
      <c r="AE95" s="100" t="s">
        <v>633</v>
      </c>
      <c r="AF95" s="99">
        <f t="shared" si="12"/>
        <v>0</v>
      </c>
    </row>
    <row r="96" spans="1:32">
      <c r="A96" s="117" t="s">
        <v>634</v>
      </c>
      <c r="B96" s="118" t="s">
        <v>635</v>
      </c>
      <c r="C96" s="119" t="s">
        <v>636</v>
      </c>
      <c r="D96" s="120" t="str">
        <f t="shared" si="10"/>
        <v>KAN</v>
      </c>
      <c r="E96" s="120" t="str">
        <f t="shared" si="11"/>
        <v>KAN</v>
      </c>
      <c r="F96" s="120" t="s">
        <v>477</v>
      </c>
      <c r="G96" s="121" t="s">
        <v>15</v>
      </c>
      <c r="AC96" s="99" t="s">
        <v>637</v>
      </c>
      <c r="AD96" s="101" t="s">
        <v>638</v>
      </c>
      <c r="AE96" s="100" t="s">
        <v>639</v>
      </c>
      <c r="AF96" s="99" t="str">
        <f t="shared" si="12"/>
        <v>OR</v>
      </c>
    </row>
    <row r="97" spans="1:32">
      <c r="A97" s="117" t="s">
        <v>640</v>
      </c>
      <c r="B97" s="118" t="s">
        <v>485</v>
      </c>
      <c r="C97" s="119" t="s">
        <v>641</v>
      </c>
      <c r="D97" s="120" t="str">
        <f t="shared" si="10"/>
        <v>ZZZ</v>
      </c>
      <c r="E97" s="120" t="str">
        <f t="shared" si="11"/>
        <v>ZZZ</v>
      </c>
      <c r="F97" s="120"/>
      <c r="G97" s="121" t="s">
        <v>15</v>
      </c>
      <c r="AC97" s="99" t="s">
        <v>642</v>
      </c>
      <c r="AD97" s="101"/>
      <c r="AE97" s="100" t="s">
        <v>643</v>
      </c>
      <c r="AF97" s="99">
        <f t="shared" si="12"/>
        <v>0</v>
      </c>
    </row>
    <row r="98" spans="1:32">
      <c r="A98" s="117" t="s">
        <v>644</v>
      </c>
      <c r="B98" s="118" t="s">
        <v>485</v>
      </c>
      <c r="C98" s="119" t="s">
        <v>645</v>
      </c>
      <c r="D98" s="120" t="str">
        <f t="shared" si="10"/>
        <v>ZZZ</v>
      </c>
      <c r="E98" s="120" t="str">
        <f t="shared" si="11"/>
        <v>ZZZ</v>
      </c>
      <c r="F98" s="120"/>
      <c r="G98" s="121" t="s">
        <v>15</v>
      </c>
      <c r="AC98" s="99" t="s">
        <v>646</v>
      </c>
      <c r="AD98" s="101"/>
      <c r="AE98" s="100" t="s">
        <v>647</v>
      </c>
      <c r="AF98" s="99">
        <f t="shared" si="12"/>
        <v>0</v>
      </c>
    </row>
    <row r="99" spans="1:32">
      <c r="A99" s="117" t="s">
        <v>648</v>
      </c>
      <c r="B99" s="118" t="s">
        <v>485</v>
      </c>
      <c r="C99" s="119" t="s">
        <v>649</v>
      </c>
      <c r="D99" s="120" t="str">
        <f t="shared" si="10"/>
        <v>ZZZ</v>
      </c>
      <c r="E99" s="120" t="str">
        <f t="shared" si="11"/>
        <v>ZZZ</v>
      </c>
      <c r="F99" s="120"/>
      <c r="G99" s="121" t="s">
        <v>15</v>
      </c>
      <c r="AD99" s="101"/>
    </row>
    <row r="100" spans="1:32">
      <c r="A100" s="117" t="s">
        <v>378</v>
      </c>
      <c r="B100" s="118" t="s">
        <v>650</v>
      </c>
      <c r="C100" s="119" t="s">
        <v>651</v>
      </c>
      <c r="D100" s="120" t="str">
        <f t="shared" si="10"/>
        <v>WES</v>
      </c>
      <c r="E100" s="120" t="str">
        <f t="shared" si="11"/>
        <v>WES</v>
      </c>
      <c r="F100" s="120" t="s">
        <v>1732</v>
      </c>
      <c r="G100" s="121" t="s">
        <v>15</v>
      </c>
      <c r="AD100" s="101"/>
    </row>
    <row r="101" spans="1:32">
      <c r="A101" s="117" t="s">
        <v>652</v>
      </c>
      <c r="B101" s="118" t="s">
        <v>485</v>
      </c>
      <c r="C101" s="119" t="s">
        <v>653</v>
      </c>
      <c r="D101" s="120" t="str">
        <f t="shared" si="10"/>
        <v>ZZZ</v>
      </c>
      <c r="E101" s="120" t="str">
        <f t="shared" si="11"/>
        <v>ZZZ</v>
      </c>
      <c r="F101" s="120"/>
      <c r="G101" s="121" t="s">
        <v>15</v>
      </c>
      <c r="AD101" s="101"/>
    </row>
    <row r="102" spans="1:32">
      <c r="A102" s="117" t="s">
        <v>654</v>
      </c>
      <c r="B102" s="118" t="s">
        <v>38</v>
      </c>
      <c r="C102" s="119" t="s">
        <v>37</v>
      </c>
      <c r="D102" s="120" t="str">
        <f t="shared" si="10"/>
        <v>TWI</v>
      </c>
      <c r="E102" s="120" t="str">
        <f t="shared" si="11"/>
        <v>TWI</v>
      </c>
      <c r="F102" s="120" t="s">
        <v>1747</v>
      </c>
      <c r="G102" s="121" t="s">
        <v>15</v>
      </c>
      <c r="AC102" s="99" t="s">
        <v>655</v>
      </c>
      <c r="AD102" s="101"/>
      <c r="AE102" s="100" t="s">
        <v>656</v>
      </c>
      <c r="AF102" s="99">
        <f t="shared" si="12"/>
        <v>0</v>
      </c>
    </row>
    <row r="103" spans="1:32">
      <c r="A103" s="117"/>
      <c r="B103" s="118" t="s">
        <v>657</v>
      </c>
      <c r="C103" s="119" t="s">
        <v>658</v>
      </c>
      <c r="D103" s="120" t="str">
        <f t="shared" si="10"/>
        <v>RVC</v>
      </c>
      <c r="E103" s="120" t="str">
        <f t="shared" si="11"/>
        <v>RVC</v>
      </c>
      <c r="F103" s="120" t="s">
        <v>1732</v>
      </c>
      <c r="G103" s="121" t="s">
        <v>15</v>
      </c>
      <c r="AD103" s="101"/>
    </row>
    <row r="104" spans="1:32">
      <c r="A104" s="117"/>
      <c r="B104" s="118" t="s">
        <v>1748</v>
      </c>
      <c r="C104" s="119" t="s">
        <v>1749</v>
      </c>
      <c r="D104" s="120" t="str">
        <f t="shared" si="10"/>
        <v>AKU</v>
      </c>
      <c r="E104" s="120" t="str">
        <f t="shared" si="11"/>
        <v>AKU</v>
      </c>
      <c r="F104" s="120" t="s">
        <v>477</v>
      </c>
      <c r="G104" s="121" t="s">
        <v>1750</v>
      </c>
      <c r="AD104" s="101"/>
    </row>
    <row r="105" spans="1:32">
      <c r="A105" s="117"/>
      <c r="B105" s="118" t="s">
        <v>1751</v>
      </c>
      <c r="C105" s="119" t="s">
        <v>1751</v>
      </c>
      <c r="D105" s="120" t="str">
        <f t="shared" si="10"/>
        <v>NHL</v>
      </c>
      <c r="E105" s="120" t="str">
        <f t="shared" si="11"/>
        <v>NHL</v>
      </c>
      <c r="F105" s="120" t="s">
        <v>46</v>
      </c>
      <c r="G105" s="121" t="s">
        <v>1750</v>
      </c>
      <c r="AC105" s="99" t="s">
        <v>659</v>
      </c>
      <c r="AD105" s="101"/>
      <c r="AE105" s="100" t="s">
        <v>660</v>
      </c>
      <c r="AF105" s="99">
        <f t="shared" si="12"/>
        <v>0</v>
      </c>
    </row>
    <row r="106" spans="1:32">
      <c r="A106" s="117"/>
      <c r="B106" s="118" t="s">
        <v>1752</v>
      </c>
      <c r="C106" s="119" t="s">
        <v>1753</v>
      </c>
      <c r="D106" s="120" t="str">
        <f t="shared" si="10"/>
        <v>JRC</v>
      </c>
      <c r="E106" s="120" t="str">
        <f t="shared" si="11"/>
        <v>JRC</v>
      </c>
      <c r="F106" s="120" t="s">
        <v>1754</v>
      </c>
      <c r="G106" s="121" t="s">
        <v>1750</v>
      </c>
      <c r="AC106" s="99" t="s">
        <v>661</v>
      </c>
      <c r="AD106" s="101"/>
      <c r="AE106" s="100" t="s">
        <v>662</v>
      </c>
      <c r="AF106" s="99">
        <f t="shared" si="12"/>
        <v>0</v>
      </c>
    </row>
    <row r="107" spans="1:32">
      <c r="A107" s="117"/>
      <c r="B107" s="118" t="s">
        <v>1755</v>
      </c>
      <c r="C107" s="119" t="s">
        <v>1756</v>
      </c>
      <c r="D107" s="120" t="str">
        <f t="shared" si="10"/>
        <v>BRH</v>
      </c>
      <c r="E107" s="120" t="str">
        <f t="shared" si="11"/>
        <v>BRH</v>
      </c>
      <c r="F107" s="120" t="s">
        <v>1754</v>
      </c>
      <c r="G107" s="121" t="s">
        <v>1750</v>
      </c>
      <c r="AC107" s="99" t="s">
        <v>663</v>
      </c>
      <c r="AD107" s="101"/>
      <c r="AE107" s="100" t="s">
        <v>664</v>
      </c>
      <c r="AF107" s="99">
        <f t="shared" si="12"/>
        <v>0</v>
      </c>
    </row>
    <row r="108" spans="1:32">
      <c r="A108" s="134"/>
      <c r="B108" s="135" t="s">
        <v>1757</v>
      </c>
      <c r="C108" s="136" t="s">
        <v>1758</v>
      </c>
      <c r="D108" s="137" t="str">
        <f>B108</f>
        <v>ZEL</v>
      </c>
      <c r="E108" s="137" t="str">
        <f>B108</f>
        <v>ZEL</v>
      </c>
      <c r="F108" s="137" t="s">
        <v>1759</v>
      </c>
      <c r="G108" s="138" t="s">
        <v>15</v>
      </c>
      <c r="AC108" s="99" t="s">
        <v>665</v>
      </c>
      <c r="AD108" s="101"/>
      <c r="AE108" s="100" t="s">
        <v>666</v>
      </c>
      <c r="AF108" s="99">
        <f t="shared" si="12"/>
        <v>0</v>
      </c>
    </row>
    <row r="109" spans="1:32">
      <c r="A109" s="122"/>
      <c r="B109" s="123" t="s">
        <v>1760</v>
      </c>
      <c r="C109" s="124" t="s">
        <v>1761</v>
      </c>
      <c r="D109" s="125" t="str">
        <f>B109</f>
        <v>KRH</v>
      </c>
      <c r="E109" s="125" t="str">
        <f>B109</f>
        <v>KRH</v>
      </c>
      <c r="F109" s="125" t="s">
        <v>1759</v>
      </c>
      <c r="G109" s="126" t="s">
        <v>15</v>
      </c>
      <c r="AC109" s="99" t="s">
        <v>667</v>
      </c>
      <c r="AD109" s="101"/>
      <c r="AE109" s="100" t="s">
        <v>668</v>
      </c>
      <c r="AF109" s="99">
        <f t="shared" si="12"/>
        <v>0</v>
      </c>
    </row>
    <row r="110" spans="1:32">
      <c r="A110" s="122"/>
      <c r="B110" s="123" t="s">
        <v>1762</v>
      </c>
      <c r="C110" s="124" t="s">
        <v>1763</v>
      </c>
      <c r="D110" s="125" t="str">
        <f>B110</f>
        <v>BRL</v>
      </c>
      <c r="E110" s="125" t="str">
        <f>B110</f>
        <v>BRL</v>
      </c>
      <c r="F110" s="125" t="s">
        <v>1759</v>
      </c>
      <c r="G110" s="126" t="s">
        <v>15</v>
      </c>
      <c r="AC110" s="99" t="s">
        <v>669</v>
      </c>
      <c r="AD110" s="101"/>
      <c r="AE110" s="100" t="s">
        <v>670</v>
      </c>
      <c r="AF110" s="99">
        <f t="shared" si="12"/>
        <v>0</v>
      </c>
    </row>
    <row r="111" spans="1:32">
      <c r="A111" s="122"/>
      <c r="B111" s="123" t="s">
        <v>1764</v>
      </c>
      <c r="C111" s="124" t="s">
        <v>1765</v>
      </c>
      <c r="D111" s="125" t="str">
        <f>B111</f>
        <v>CDL</v>
      </c>
      <c r="E111" s="125" t="str">
        <f>B111</f>
        <v>CDL</v>
      </c>
      <c r="F111" s="125" t="s">
        <v>1766</v>
      </c>
      <c r="G111" s="126" t="s">
        <v>15</v>
      </c>
      <c r="AC111" s="99" t="s">
        <v>671</v>
      </c>
      <c r="AD111" s="101" t="s">
        <v>491</v>
      </c>
      <c r="AE111" s="100" t="s">
        <v>672</v>
      </c>
      <c r="AF111" s="99" t="str">
        <f t="shared" si="12"/>
        <v>NA</v>
      </c>
    </row>
    <row r="112" spans="1:32">
      <c r="A112" s="122"/>
      <c r="B112" s="123" t="s">
        <v>1767</v>
      </c>
      <c r="C112" s="124" t="s">
        <v>1768</v>
      </c>
      <c r="D112" s="125" t="s">
        <v>1767</v>
      </c>
      <c r="E112" s="125" t="s">
        <v>1767</v>
      </c>
      <c r="F112" s="125" t="s">
        <v>1759</v>
      </c>
      <c r="G112" s="126" t="s">
        <v>1750</v>
      </c>
      <c r="AC112" s="99" t="s">
        <v>673</v>
      </c>
      <c r="AD112" s="101"/>
      <c r="AE112" s="100" t="s">
        <v>674</v>
      </c>
      <c r="AF112" s="99">
        <f t="shared" si="12"/>
        <v>0</v>
      </c>
    </row>
    <row r="113" spans="1:32">
      <c r="A113" s="122"/>
      <c r="B113" s="123" t="s">
        <v>1769</v>
      </c>
      <c r="C113" s="124" t="s">
        <v>1770</v>
      </c>
      <c r="D113" s="125" t="s">
        <v>1769</v>
      </c>
      <c r="E113" s="125" t="s">
        <v>1769</v>
      </c>
      <c r="F113" s="125" t="s">
        <v>1759</v>
      </c>
      <c r="G113" s="126" t="s">
        <v>1750</v>
      </c>
      <c r="AC113" s="99" t="s">
        <v>677</v>
      </c>
      <c r="AD113" s="101" t="s">
        <v>677</v>
      </c>
      <c r="AE113" s="100" t="s">
        <v>1771</v>
      </c>
      <c r="AF113" s="99" t="str">
        <f t="shared" si="12"/>
        <v>ZZ</v>
      </c>
    </row>
    <row r="114" spans="1:32">
      <c r="A114" s="122"/>
      <c r="B114" s="123" t="s">
        <v>1772</v>
      </c>
      <c r="C114" s="124" t="s">
        <v>1773</v>
      </c>
      <c r="D114" s="125" t="s">
        <v>1772</v>
      </c>
      <c r="E114" s="125" t="s">
        <v>1772</v>
      </c>
      <c r="F114" s="125" t="s">
        <v>1759</v>
      </c>
      <c r="G114" s="126" t="s">
        <v>1750</v>
      </c>
      <c r="AD114" s="101" t="s">
        <v>681</v>
      </c>
      <c r="AE114" s="100" t="s">
        <v>682</v>
      </c>
      <c r="AF114" s="99" t="str">
        <f t="shared" si="12"/>
        <v>LI</v>
      </c>
    </row>
    <row r="115" spans="1:32" ht="14.25" thickBot="1">
      <c r="A115" s="122"/>
      <c r="B115" s="123" t="s">
        <v>1774</v>
      </c>
      <c r="C115" s="124" t="s">
        <v>1775</v>
      </c>
      <c r="D115" s="125" t="s">
        <v>1774</v>
      </c>
      <c r="E115" s="125" t="s">
        <v>1774</v>
      </c>
      <c r="F115" s="125" t="s">
        <v>1759</v>
      </c>
      <c r="G115" s="126" t="s">
        <v>1750</v>
      </c>
      <c r="AC115" s="139"/>
      <c r="AD115" s="140" t="s">
        <v>686</v>
      </c>
      <c r="AE115" s="141" t="s">
        <v>687</v>
      </c>
      <c r="AF115" s="139"/>
    </row>
    <row r="116" spans="1:32" ht="15" thickTop="1" thickBot="1">
      <c r="A116" s="142" t="s">
        <v>675</v>
      </c>
      <c r="B116" s="143" t="s">
        <v>23</v>
      </c>
      <c r="C116" s="144" t="s">
        <v>676</v>
      </c>
      <c r="D116" s="145" t="str">
        <f t="shared" ref="D116:D135" si="13">B116</f>
        <v>PLA</v>
      </c>
      <c r="E116" s="145" t="str">
        <f t="shared" ref="E116:E135" si="14">B116</f>
        <v>PLA</v>
      </c>
      <c r="F116" s="145"/>
      <c r="G116" s="146" t="s">
        <v>1776</v>
      </c>
      <c r="AC116" s="139"/>
      <c r="AD116" s="147" t="s">
        <v>691</v>
      </c>
      <c r="AE116" s="141" t="s">
        <v>692</v>
      </c>
      <c r="AF116" s="139"/>
    </row>
    <row r="117" spans="1:32">
      <c r="A117" s="148" t="s">
        <v>678</v>
      </c>
      <c r="B117" s="95" t="s">
        <v>679</v>
      </c>
      <c r="C117" s="149" t="s">
        <v>680</v>
      </c>
      <c r="D117" s="150" t="str">
        <f t="shared" si="13"/>
        <v>UPO</v>
      </c>
      <c r="E117" s="150" t="str">
        <f t="shared" si="14"/>
        <v>UPO</v>
      </c>
      <c r="F117" s="150"/>
      <c r="G117" s="151" t="s">
        <v>14</v>
      </c>
    </row>
    <row r="118" spans="1:32">
      <c r="A118" s="148" t="s">
        <v>683</v>
      </c>
      <c r="B118" s="95" t="s">
        <v>684</v>
      </c>
      <c r="C118" s="149" t="s">
        <v>685</v>
      </c>
      <c r="D118" s="150" t="str">
        <f t="shared" si="13"/>
        <v>ECK</v>
      </c>
      <c r="E118" s="150" t="str">
        <f t="shared" si="14"/>
        <v>ECK</v>
      </c>
      <c r="F118" s="150"/>
      <c r="G118" s="151" t="s">
        <v>14</v>
      </c>
    </row>
    <row r="119" spans="1:32">
      <c r="A119" s="148" t="s">
        <v>688</v>
      </c>
      <c r="B119" s="95" t="s">
        <v>689</v>
      </c>
      <c r="C119" s="149" t="s">
        <v>690</v>
      </c>
      <c r="D119" s="150" t="str">
        <f t="shared" si="13"/>
        <v>EUR</v>
      </c>
      <c r="E119" s="150" t="str">
        <f t="shared" si="14"/>
        <v>EUR</v>
      </c>
      <c r="F119" s="150"/>
      <c r="G119" s="151" t="s">
        <v>14</v>
      </c>
    </row>
    <row r="120" spans="1:32">
      <c r="A120" s="148" t="s">
        <v>693</v>
      </c>
      <c r="B120" s="95" t="s">
        <v>694</v>
      </c>
      <c r="C120" s="149" t="s">
        <v>695</v>
      </c>
      <c r="D120" s="150" t="str">
        <f t="shared" si="13"/>
        <v>LID</v>
      </c>
      <c r="E120" s="150" t="str">
        <f t="shared" si="14"/>
        <v>LID</v>
      </c>
      <c r="F120" s="150"/>
      <c r="G120" s="151" t="s">
        <v>14</v>
      </c>
    </row>
    <row r="121" spans="1:32">
      <c r="A121" s="148" t="s">
        <v>696</v>
      </c>
      <c r="B121" s="95" t="s">
        <v>697</v>
      </c>
      <c r="C121" s="149" t="s">
        <v>697</v>
      </c>
      <c r="D121" s="150" t="str">
        <f t="shared" si="13"/>
        <v>RXG</v>
      </c>
      <c r="E121" s="150" t="str">
        <f t="shared" si="14"/>
        <v>RXG</v>
      </c>
      <c r="F121" s="150"/>
      <c r="G121" s="151" t="s">
        <v>14</v>
      </c>
    </row>
    <row r="122" spans="1:32">
      <c r="A122" s="148" t="s">
        <v>698</v>
      </c>
      <c r="B122" s="95" t="s">
        <v>699</v>
      </c>
      <c r="C122" s="149" t="s">
        <v>700</v>
      </c>
      <c r="D122" s="150" t="str">
        <f t="shared" si="13"/>
        <v>NOX</v>
      </c>
      <c r="E122" s="150" t="str">
        <f t="shared" si="14"/>
        <v>NOX</v>
      </c>
      <c r="F122" s="150"/>
      <c r="G122" s="151" t="s">
        <v>14</v>
      </c>
    </row>
    <row r="123" spans="1:32">
      <c r="A123" s="148" t="s">
        <v>701</v>
      </c>
      <c r="B123" s="95" t="s">
        <v>702</v>
      </c>
      <c r="C123" s="149" t="s">
        <v>702</v>
      </c>
      <c r="D123" s="150" t="str">
        <f t="shared" si="13"/>
        <v>MIX</v>
      </c>
      <c r="E123" s="150" t="str">
        <f t="shared" si="14"/>
        <v>MIX</v>
      </c>
      <c r="F123" s="150"/>
      <c r="G123" s="151" t="s">
        <v>14</v>
      </c>
    </row>
    <row r="124" spans="1:32">
      <c r="A124" s="148" t="s">
        <v>703</v>
      </c>
      <c r="B124" s="95" t="s">
        <v>704</v>
      </c>
      <c r="C124" s="149" t="s">
        <v>705</v>
      </c>
      <c r="D124" s="150" t="str">
        <f t="shared" si="13"/>
        <v>KOR</v>
      </c>
      <c r="E124" s="150" t="str">
        <f t="shared" si="14"/>
        <v>KOR</v>
      </c>
      <c r="F124" s="150"/>
      <c r="G124" s="151" t="s">
        <v>14</v>
      </c>
    </row>
    <row r="125" spans="1:32">
      <c r="A125" s="148" t="s">
        <v>706</v>
      </c>
      <c r="B125" s="95" t="s">
        <v>29</v>
      </c>
      <c r="C125" s="149" t="s">
        <v>1777</v>
      </c>
      <c r="D125" s="150" t="str">
        <f t="shared" si="13"/>
        <v>JIL</v>
      </c>
      <c r="E125" s="150" t="str">
        <f t="shared" si="14"/>
        <v>JIL</v>
      </c>
      <c r="F125" s="150" t="s">
        <v>477</v>
      </c>
      <c r="G125" s="151" t="s">
        <v>14</v>
      </c>
    </row>
    <row r="126" spans="1:32">
      <c r="A126" s="148" t="s">
        <v>707</v>
      </c>
      <c r="B126" s="95" t="s">
        <v>708</v>
      </c>
      <c r="C126" s="149" t="s">
        <v>709</v>
      </c>
      <c r="D126" s="150" t="str">
        <f t="shared" si="13"/>
        <v>LIH</v>
      </c>
      <c r="E126" s="150" t="str">
        <f t="shared" si="14"/>
        <v>LIH</v>
      </c>
      <c r="F126" s="150"/>
      <c r="G126" s="151" t="s">
        <v>14</v>
      </c>
    </row>
    <row r="127" spans="1:32">
      <c r="A127" s="148" t="s">
        <v>710</v>
      </c>
      <c r="B127" s="95" t="s">
        <v>20</v>
      </c>
      <c r="C127" s="149" t="s">
        <v>711</v>
      </c>
      <c r="D127" s="150" t="str">
        <f t="shared" si="13"/>
        <v>ELS</v>
      </c>
      <c r="E127" s="150" t="str">
        <f t="shared" si="14"/>
        <v>ELS</v>
      </c>
      <c r="F127" s="150" t="s">
        <v>1778</v>
      </c>
      <c r="G127" s="151" t="s">
        <v>14</v>
      </c>
    </row>
    <row r="128" spans="1:32">
      <c r="A128" s="148" t="s">
        <v>712</v>
      </c>
      <c r="B128" s="95" t="s">
        <v>713</v>
      </c>
      <c r="C128" s="149" t="s">
        <v>714</v>
      </c>
      <c r="D128" s="150" t="str">
        <f t="shared" si="13"/>
        <v>COC</v>
      </c>
      <c r="E128" s="150" t="str">
        <f t="shared" si="14"/>
        <v>COC</v>
      </c>
      <c r="F128" s="150" t="s">
        <v>1778</v>
      </c>
      <c r="G128" s="151" t="s">
        <v>14</v>
      </c>
    </row>
    <row r="129" spans="1:7">
      <c r="A129" s="148"/>
      <c r="B129" s="95" t="s">
        <v>1779</v>
      </c>
      <c r="C129" s="149" t="s">
        <v>1780</v>
      </c>
      <c r="D129" s="150" t="str">
        <f t="shared" si="13"/>
        <v>B1A</v>
      </c>
      <c r="E129" s="150" t="str">
        <f t="shared" si="14"/>
        <v>B1A</v>
      </c>
      <c r="F129" s="150" t="s">
        <v>600</v>
      </c>
      <c r="G129" s="151" t="s">
        <v>14</v>
      </c>
    </row>
    <row r="130" spans="1:7">
      <c r="A130" s="148"/>
      <c r="B130" s="95" t="s">
        <v>1781</v>
      </c>
      <c r="C130" s="149" t="s">
        <v>1782</v>
      </c>
      <c r="D130" s="150" t="str">
        <f t="shared" si="13"/>
        <v>BMD</v>
      </c>
      <c r="E130" s="150" t="str">
        <f t="shared" si="14"/>
        <v>BMD</v>
      </c>
      <c r="F130" s="150" t="s">
        <v>477</v>
      </c>
      <c r="G130" s="151" t="s">
        <v>14</v>
      </c>
    </row>
    <row r="131" spans="1:7">
      <c r="A131" s="148"/>
      <c r="B131" s="95" t="s">
        <v>1783</v>
      </c>
      <c r="C131" s="149" t="s">
        <v>1784</v>
      </c>
      <c r="D131" s="150" t="str">
        <f t="shared" si="13"/>
        <v>HCU</v>
      </c>
      <c r="E131" s="150" t="str">
        <f t="shared" si="14"/>
        <v>HCU</v>
      </c>
      <c r="F131" s="150" t="s">
        <v>477</v>
      </c>
      <c r="G131" s="151" t="s">
        <v>14</v>
      </c>
    </row>
    <row r="132" spans="1:7">
      <c r="A132" s="148"/>
      <c r="B132" s="95" t="s">
        <v>1785</v>
      </c>
      <c r="C132" s="149" t="s">
        <v>1786</v>
      </c>
      <c r="D132" s="150" t="str">
        <f t="shared" si="13"/>
        <v>NOV</v>
      </c>
      <c r="E132" s="150" t="str">
        <f t="shared" si="14"/>
        <v>NOV</v>
      </c>
      <c r="F132" s="150" t="s">
        <v>46</v>
      </c>
      <c r="G132" s="151" t="s">
        <v>14</v>
      </c>
    </row>
    <row r="133" spans="1:7">
      <c r="A133" s="148"/>
      <c r="B133" s="95" t="s">
        <v>24</v>
      </c>
      <c r="C133" s="149" t="s">
        <v>1787</v>
      </c>
      <c r="D133" s="150" t="str">
        <f t="shared" si="13"/>
        <v>SMB</v>
      </c>
      <c r="E133" s="150" t="str">
        <f t="shared" si="14"/>
        <v>SMB</v>
      </c>
      <c r="F133" s="150" t="s">
        <v>46</v>
      </c>
      <c r="G133" s="151" t="s">
        <v>14</v>
      </c>
    </row>
    <row r="134" spans="1:7">
      <c r="A134" s="148"/>
      <c r="B134" s="95" t="s">
        <v>1788</v>
      </c>
      <c r="C134" s="149" t="s">
        <v>1789</v>
      </c>
      <c r="D134" s="150" t="str">
        <f t="shared" si="13"/>
        <v>VBL</v>
      </c>
      <c r="E134" s="150" t="str">
        <f t="shared" si="14"/>
        <v>VBL</v>
      </c>
      <c r="F134" s="150" t="s">
        <v>46</v>
      </c>
      <c r="G134" s="151" t="s">
        <v>14</v>
      </c>
    </row>
    <row r="135" spans="1:7">
      <c r="A135" s="148"/>
      <c r="B135" s="95" t="s">
        <v>25</v>
      </c>
      <c r="C135" s="149" t="s">
        <v>715</v>
      </c>
      <c r="D135" s="150" t="str">
        <f t="shared" si="13"/>
        <v>WTR</v>
      </c>
      <c r="E135" s="150" t="str">
        <f t="shared" si="14"/>
        <v>WTR</v>
      </c>
      <c r="F135" s="150" t="s">
        <v>477</v>
      </c>
      <c r="G135" s="151" t="s">
        <v>14</v>
      </c>
    </row>
    <row r="136" spans="1:7">
      <c r="A136" s="148"/>
      <c r="B136" s="95" t="s">
        <v>1790</v>
      </c>
      <c r="C136" s="149" t="s">
        <v>1791</v>
      </c>
      <c r="D136" s="150" t="str">
        <f>B136</f>
        <v>BRO</v>
      </c>
      <c r="E136" s="150" t="str">
        <f>B136</f>
        <v>BRO</v>
      </c>
      <c r="F136" s="150" t="s">
        <v>1778</v>
      </c>
      <c r="G136" s="151" t="s">
        <v>14</v>
      </c>
    </row>
    <row r="137" spans="1:7">
      <c r="A137" s="148"/>
      <c r="B137" s="95" t="s">
        <v>1792</v>
      </c>
      <c r="C137" s="149" t="s">
        <v>1793</v>
      </c>
      <c r="D137" s="150" t="str">
        <f>B137</f>
        <v>JOI</v>
      </c>
      <c r="E137" s="150" t="str">
        <f>B137</f>
        <v>JOI</v>
      </c>
      <c r="F137" s="150" t="s">
        <v>477</v>
      </c>
      <c r="G137" s="151" t="s">
        <v>14</v>
      </c>
    </row>
    <row r="138" spans="1:7">
      <c r="A138" s="148"/>
      <c r="B138" s="95" t="s">
        <v>1794</v>
      </c>
      <c r="C138" s="149" t="s">
        <v>1795</v>
      </c>
      <c r="D138" s="150" t="str">
        <f t="shared" ref="D138:D160" si="15">B138</f>
        <v>NAA</v>
      </c>
      <c r="E138" s="150" t="str">
        <f t="shared" ref="E138:E160" si="16">B138</f>
        <v>NAA</v>
      </c>
      <c r="F138" s="150" t="s">
        <v>46</v>
      </c>
      <c r="G138" s="151" t="s">
        <v>14</v>
      </c>
    </row>
    <row r="139" spans="1:7">
      <c r="A139" s="148"/>
      <c r="B139" s="95" t="s">
        <v>1796</v>
      </c>
      <c r="C139" s="149" t="s">
        <v>1796</v>
      </c>
      <c r="D139" s="150" t="str">
        <f t="shared" si="15"/>
        <v>UCL</v>
      </c>
      <c r="E139" s="150" t="str">
        <f t="shared" si="16"/>
        <v>UCL</v>
      </c>
      <c r="F139" s="150" t="s">
        <v>46</v>
      </c>
      <c r="G139" s="151" t="s">
        <v>14</v>
      </c>
    </row>
    <row r="140" spans="1:7">
      <c r="A140" s="148"/>
      <c r="B140" s="95" t="s">
        <v>1797</v>
      </c>
      <c r="C140" s="149" t="s">
        <v>1798</v>
      </c>
      <c r="D140" s="150" t="str">
        <f t="shared" si="15"/>
        <v>AND</v>
      </c>
      <c r="E140" s="150" t="str">
        <f t="shared" si="16"/>
        <v>AND</v>
      </c>
      <c r="F140" s="150" t="s">
        <v>1778</v>
      </c>
      <c r="G140" s="151" t="s">
        <v>14</v>
      </c>
    </row>
    <row r="141" spans="1:7">
      <c r="A141" s="148"/>
      <c r="B141" s="95" t="s">
        <v>1799</v>
      </c>
      <c r="C141" s="149" t="s">
        <v>1800</v>
      </c>
      <c r="D141" s="150" t="str">
        <f t="shared" si="15"/>
        <v>URB</v>
      </c>
      <c r="E141" s="150" t="str">
        <f t="shared" si="16"/>
        <v>URB</v>
      </c>
      <c r="F141" s="150" t="s">
        <v>1778</v>
      </c>
      <c r="G141" s="151" t="s">
        <v>14</v>
      </c>
    </row>
    <row r="142" spans="1:7">
      <c r="A142" s="132"/>
      <c r="B142" s="123" t="s">
        <v>1801</v>
      </c>
      <c r="C142" s="133" t="s">
        <v>1802</v>
      </c>
      <c r="D142" s="152" t="str">
        <f t="shared" si="15"/>
        <v>JST</v>
      </c>
      <c r="E142" s="152" t="str">
        <f t="shared" si="16"/>
        <v>JST</v>
      </c>
      <c r="F142" s="152" t="s">
        <v>477</v>
      </c>
      <c r="G142" s="153" t="s">
        <v>14</v>
      </c>
    </row>
    <row r="143" spans="1:7">
      <c r="A143" s="132"/>
      <c r="B143" s="123" t="s">
        <v>1803</v>
      </c>
      <c r="C143" s="133" t="s">
        <v>1804</v>
      </c>
      <c r="D143" s="152" t="str">
        <f t="shared" si="15"/>
        <v>JLL</v>
      </c>
      <c r="E143" s="152" t="str">
        <f t="shared" si="16"/>
        <v>JLL</v>
      </c>
      <c r="F143" s="152" t="s">
        <v>477</v>
      </c>
      <c r="G143" s="153" t="s">
        <v>14</v>
      </c>
    </row>
    <row r="144" spans="1:7" ht="14.25" thickBot="1">
      <c r="A144" s="154"/>
      <c r="B144" s="155" t="s">
        <v>1805</v>
      </c>
      <c r="C144" s="156" t="s">
        <v>1806</v>
      </c>
      <c r="D144" s="157" t="str">
        <f t="shared" si="15"/>
        <v>BEL</v>
      </c>
      <c r="E144" s="157" t="str">
        <f t="shared" si="16"/>
        <v>BEL</v>
      </c>
      <c r="F144" s="157" t="s">
        <v>477</v>
      </c>
      <c r="G144" s="158" t="s">
        <v>14</v>
      </c>
    </row>
    <row r="145" spans="1:30" ht="14.25" thickTop="1">
      <c r="A145" s="117" t="s">
        <v>716</v>
      </c>
      <c r="B145" s="118" t="s">
        <v>717</v>
      </c>
      <c r="C145" s="119" t="s">
        <v>718</v>
      </c>
      <c r="D145" s="120" t="str">
        <f t="shared" si="15"/>
        <v>ZGN</v>
      </c>
      <c r="E145" s="120" t="str">
        <f t="shared" si="16"/>
        <v>ZGN</v>
      </c>
      <c r="F145" s="120"/>
      <c r="G145" s="121" t="s">
        <v>1807</v>
      </c>
    </row>
    <row r="146" spans="1:30">
      <c r="A146" s="117" t="s">
        <v>719</v>
      </c>
      <c r="B146" s="118" t="s">
        <v>720</v>
      </c>
      <c r="C146" s="119" t="s">
        <v>721</v>
      </c>
      <c r="D146" s="120" t="str">
        <f t="shared" si="15"/>
        <v>ZGO</v>
      </c>
      <c r="E146" s="120" t="str">
        <f t="shared" si="16"/>
        <v>ZGO</v>
      </c>
      <c r="F146" s="120"/>
      <c r="G146" s="121" t="s">
        <v>1807</v>
      </c>
    </row>
    <row r="147" spans="1:30">
      <c r="A147" s="117" t="s">
        <v>722</v>
      </c>
      <c r="B147" s="118" t="s">
        <v>723</v>
      </c>
      <c r="C147" s="119" t="s">
        <v>724</v>
      </c>
      <c r="D147" s="120" t="str">
        <f t="shared" si="15"/>
        <v>ZGP</v>
      </c>
      <c r="E147" s="120" t="str">
        <f t="shared" si="16"/>
        <v>ZGP</v>
      </c>
      <c r="F147" s="120"/>
      <c r="G147" s="121" t="s">
        <v>1807</v>
      </c>
    </row>
    <row r="148" spans="1:30">
      <c r="A148" s="117" t="s">
        <v>725</v>
      </c>
      <c r="B148" s="118" t="s">
        <v>726</v>
      </c>
      <c r="C148" s="119" t="s">
        <v>727</v>
      </c>
      <c r="D148" s="120" t="str">
        <f t="shared" si="15"/>
        <v>ZGQ</v>
      </c>
      <c r="E148" s="120" t="str">
        <f t="shared" si="16"/>
        <v>ZGQ</v>
      </c>
      <c r="F148" s="120"/>
      <c r="G148" s="121" t="s">
        <v>1807</v>
      </c>
    </row>
    <row r="149" spans="1:30">
      <c r="A149" s="117" t="s">
        <v>728</v>
      </c>
      <c r="B149" s="118" t="s">
        <v>729</v>
      </c>
      <c r="C149" s="119" t="s">
        <v>730</v>
      </c>
      <c r="D149" s="120" t="str">
        <f t="shared" si="15"/>
        <v>ZGT</v>
      </c>
      <c r="E149" s="120" t="str">
        <f t="shared" si="16"/>
        <v>ZGT</v>
      </c>
      <c r="F149" s="120"/>
      <c r="G149" s="121" t="s">
        <v>1807</v>
      </c>
    </row>
    <row r="150" spans="1:30">
      <c r="A150" s="117" t="s">
        <v>731</v>
      </c>
      <c r="B150" s="118" t="s">
        <v>732</v>
      </c>
      <c r="C150" s="119" t="s">
        <v>733</v>
      </c>
      <c r="D150" s="120" t="str">
        <f t="shared" si="15"/>
        <v>ZGU</v>
      </c>
      <c r="E150" s="120" t="str">
        <f t="shared" si="16"/>
        <v>ZGU</v>
      </c>
      <c r="F150" s="120"/>
      <c r="G150" s="121" t="s">
        <v>1807</v>
      </c>
    </row>
    <row r="151" spans="1:30">
      <c r="A151" s="117" t="s">
        <v>734</v>
      </c>
      <c r="B151" s="118" t="s">
        <v>735</v>
      </c>
      <c r="C151" s="119" t="s">
        <v>736</v>
      </c>
      <c r="D151" s="120" t="str">
        <f t="shared" si="15"/>
        <v>ZGV</v>
      </c>
      <c r="E151" s="120" t="str">
        <f t="shared" si="16"/>
        <v>ZGV</v>
      </c>
      <c r="F151" s="120"/>
      <c r="G151" s="121" t="s">
        <v>1807</v>
      </c>
    </row>
    <row r="152" spans="1:30">
      <c r="A152" s="117" t="s">
        <v>737</v>
      </c>
      <c r="B152" s="118" t="s">
        <v>738</v>
      </c>
      <c r="C152" s="119" t="s">
        <v>739</v>
      </c>
      <c r="D152" s="120" t="str">
        <f t="shared" si="15"/>
        <v>ZGW</v>
      </c>
      <c r="E152" s="120" t="str">
        <f t="shared" si="16"/>
        <v>ZGW</v>
      </c>
      <c r="F152" s="120"/>
      <c r="G152" s="121" t="s">
        <v>1807</v>
      </c>
    </row>
    <row r="153" spans="1:30">
      <c r="A153" s="117" t="s">
        <v>740</v>
      </c>
      <c r="B153" s="118" t="s">
        <v>741</v>
      </c>
      <c r="C153" s="119" t="s">
        <v>742</v>
      </c>
      <c r="D153" s="120" t="str">
        <f t="shared" si="15"/>
        <v>ZGX</v>
      </c>
      <c r="E153" s="120" t="str">
        <f t="shared" si="16"/>
        <v>ZGX</v>
      </c>
      <c r="F153" s="120"/>
      <c r="G153" s="121" t="s">
        <v>1807</v>
      </c>
    </row>
    <row r="154" spans="1:30">
      <c r="A154" s="117" t="s">
        <v>317</v>
      </c>
      <c r="B154" s="118" t="s">
        <v>743</v>
      </c>
      <c r="C154" s="119" t="s">
        <v>744</v>
      </c>
      <c r="D154" s="120" t="str">
        <f t="shared" si="15"/>
        <v>ZGY</v>
      </c>
      <c r="E154" s="120" t="str">
        <f t="shared" si="16"/>
        <v>ZGY</v>
      </c>
      <c r="F154" s="120"/>
      <c r="G154" s="121" t="s">
        <v>1807</v>
      </c>
    </row>
    <row r="155" spans="1:30">
      <c r="A155" s="117" t="s">
        <v>377</v>
      </c>
      <c r="B155" s="118" t="s">
        <v>745</v>
      </c>
      <c r="C155" s="119" t="s">
        <v>746</v>
      </c>
      <c r="D155" s="120" t="str">
        <f t="shared" si="15"/>
        <v>ZG1</v>
      </c>
      <c r="E155" s="120" t="str">
        <f t="shared" si="16"/>
        <v>ZG1</v>
      </c>
      <c r="F155" s="120"/>
      <c r="G155" s="121" t="s">
        <v>1807</v>
      </c>
    </row>
    <row r="156" spans="1:30">
      <c r="A156" s="117" t="s">
        <v>386</v>
      </c>
      <c r="B156" s="118" t="s">
        <v>747</v>
      </c>
      <c r="C156" s="119" t="s">
        <v>748</v>
      </c>
      <c r="D156" s="120" t="str">
        <f t="shared" si="15"/>
        <v>ZG2</v>
      </c>
      <c r="E156" s="120" t="str">
        <f t="shared" si="16"/>
        <v>ZG2</v>
      </c>
      <c r="F156" s="120"/>
      <c r="G156" s="121" t="s">
        <v>1807</v>
      </c>
    </row>
    <row r="157" spans="1:30">
      <c r="A157" s="117" t="s">
        <v>395</v>
      </c>
      <c r="B157" s="118" t="s">
        <v>749</v>
      </c>
      <c r="C157" s="119" t="s">
        <v>750</v>
      </c>
      <c r="D157" s="120" t="str">
        <f t="shared" si="15"/>
        <v>ZG3</v>
      </c>
      <c r="E157" s="120" t="str">
        <f t="shared" si="16"/>
        <v>ZG3</v>
      </c>
      <c r="F157" s="120"/>
      <c r="G157" s="121" t="s">
        <v>1807</v>
      </c>
      <c r="AD157" s="101"/>
    </row>
    <row r="158" spans="1:30">
      <c r="A158" s="117" t="s">
        <v>402</v>
      </c>
      <c r="B158" s="118" t="s">
        <v>751</v>
      </c>
      <c r="C158" s="119" t="s">
        <v>752</v>
      </c>
      <c r="D158" s="120" t="str">
        <f t="shared" si="15"/>
        <v>ZG4</v>
      </c>
      <c r="E158" s="120" t="str">
        <f t="shared" si="16"/>
        <v>ZG4</v>
      </c>
      <c r="F158" s="120"/>
      <c r="G158" s="121" t="s">
        <v>1807</v>
      </c>
    </row>
    <row r="159" spans="1:30">
      <c r="A159" s="117" t="s">
        <v>753</v>
      </c>
      <c r="B159" s="118" t="s">
        <v>754</v>
      </c>
      <c r="C159" s="119" t="s">
        <v>755</v>
      </c>
      <c r="D159" s="120" t="str">
        <f t="shared" si="15"/>
        <v>NBP</v>
      </c>
      <c r="E159" s="120" t="str">
        <f t="shared" si="16"/>
        <v>NBP</v>
      </c>
      <c r="F159" s="120"/>
      <c r="G159" s="121" t="s">
        <v>1807</v>
      </c>
    </row>
    <row r="160" spans="1:30">
      <c r="A160" s="117" t="s">
        <v>756</v>
      </c>
      <c r="B160" s="118" t="s">
        <v>757</v>
      </c>
      <c r="C160" s="119" t="s">
        <v>758</v>
      </c>
      <c r="D160" s="120" t="str">
        <f t="shared" si="15"/>
        <v>DBP</v>
      </c>
      <c r="E160" s="120" t="str">
        <f t="shared" si="16"/>
        <v>DBP</v>
      </c>
      <c r="F160" s="120"/>
      <c r="G160" s="121" t="s">
        <v>1807</v>
      </c>
    </row>
    <row r="161" spans="1:7" ht="14.25" thickBot="1">
      <c r="A161" s="117"/>
      <c r="B161" s="159" t="s">
        <v>1808</v>
      </c>
      <c r="C161" s="119" t="s">
        <v>1809</v>
      </c>
      <c r="D161" s="120" t="str">
        <f>B161</f>
        <v>FFT</v>
      </c>
      <c r="E161" s="120" t="str">
        <f>B161</f>
        <v>FFT</v>
      </c>
      <c r="F161" s="120" t="s">
        <v>1754</v>
      </c>
      <c r="G161" s="121" t="s">
        <v>1807</v>
      </c>
    </row>
  </sheetData>
  <autoFilter ref="A3:G158"/>
  <mergeCells count="9">
    <mergeCell ref="AN2:AP2"/>
    <mergeCell ref="AR2:AT2"/>
    <mergeCell ref="AV2:AX2"/>
    <mergeCell ref="A2:G2"/>
    <mergeCell ref="I2:N2"/>
    <mergeCell ref="R2:T2"/>
    <mergeCell ref="V2:Y2"/>
    <mergeCell ref="AC2:AF2"/>
    <mergeCell ref="AH2:AL2"/>
  </mergeCells>
  <phoneticPr fontId="1" type="noConversion"/>
  <conditionalFormatting sqref="V4:Y13 I4:M49 M50">
    <cfRule type="expression" dxfId="44" priority="21" stopIfTrue="1">
      <formula>I3=I4</formula>
    </cfRule>
  </conditionalFormatting>
  <conditionalFormatting sqref="K4:M49 M50">
    <cfRule type="expression" dxfId="43" priority="20" stopIfTrue="1">
      <formula>K3=K4</formula>
    </cfRule>
  </conditionalFormatting>
  <conditionalFormatting sqref="V4:Y13 I4:M49 M50">
    <cfRule type="expression" dxfId="42" priority="19" stopIfTrue="1">
      <formula>I3=I4</formula>
    </cfRule>
  </conditionalFormatting>
  <conditionalFormatting sqref="K4:M49 M50">
    <cfRule type="expression" dxfId="41" priority="18" stopIfTrue="1">
      <formula>K3=K4</formula>
    </cfRule>
  </conditionalFormatting>
  <conditionalFormatting sqref="V4:Y13 I4:M49 M50">
    <cfRule type="expression" dxfId="40" priority="17" stopIfTrue="1">
      <formula>I3=I4</formula>
    </cfRule>
  </conditionalFormatting>
  <conditionalFormatting sqref="K4:M49 M50">
    <cfRule type="expression" dxfId="39" priority="16" stopIfTrue="1">
      <formula>K3=K4</formula>
    </cfRule>
  </conditionalFormatting>
  <conditionalFormatting sqref="V4:Y13 I4:M49 M50">
    <cfRule type="expression" dxfId="38" priority="15" stopIfTrue="1">
      <formula>I3=I4</formula>
    </cfRule>
  </conditionalFormatting>
  <conditionalFormatting sqref="K4:M49 M50">
    <cfRule type="expression" dxfId="37" priority="14" stopIfTrue="1">
      <formula>K3=K4</formula>
    </cfRule>
  </conditionalFormatting>
  <conditionalFormatting sqref="V4:Y13 I4:O49">
    <cfRule type="expression" dxfId="36" priority="13" stopIfTrue="1">
      <formula>I3=I4</formula>
    </cfRule>
  </conditionalFormatting>
  <conditionalFormatting sqref="I4:M49 M50">
    <cfRule type="expression" dxfId="35" priority="12" stopIfTrue="1">
      <formula>I3=I4</formula>
    </cfRule>
  </conditionalFormatting>
  <conditionalFormatting sqref="K4:M49 M50">
    <cfRule type="expression" dxfId="34" priority="11" stopIfTrue="1">
      <formula>K3=K4</formula>
    </cfRule>
  </conditionalFormatting>
  <conditionalFormatting sqref="I4:M49 M50">
    <cfRule type="expression" dxfId="33" priority="10" stopIfTrue="1">
      <formula>I3=I4</formula>
    </cfRule>
  </conditionalFormatting>
  <conditionalFormatting sqref="K4:M49 M50">
    <cfRule type="expression" dxfId="32" priority="9" stopIfTrue="1">
      <formula>K3=K4</formula>
    </cfRule>
  </conditionalFormatting>
  <conditionalFormatting sqref="I4:M49 M50">
    <cfRule type="expression" dxfId="31" priority="8" stopIfTrue="1">
      <formula>I3=I4</formula>
    </cfRule>
  </conditionalFormatting>
  <conditionalFormatting sqref="K4:M49 M50">
    <cfRule type="expression" dxfId="30" priority="7" stopIfTrue="1">
      <formula>K3=K4</formula>
    </cfRule>
  </conditionalFormatting>
  <conditionalFormatting sqref="V4:Y13 I4:M49 M50">
    <cfRule type="expression" dxfId="29" priority="6" stopIfTrue="1">
      <formula>I3=I4</formula>
    </cfRule>
  </conditionalFormatting>
  <conditionalFormatting sqref="K4:M49 M50">
    <cfRule type="expression" dxfId="28" priority="5" stopIfTrue="1">
      <formula>K3=K4</formula>
    </cfRule>
  </conditionalFormatting>
  <conditionalFormatting sqref="V4:Y13 I4:M49 M50">
    <cfRule type="expression" dxfId="27" priority="4" stopIfTrue="1">
      <formula>I3=I4</formula>
    </cfRule>
  </conditionalFormatting>
  <conditionalFormatting sqref="K4:M49 M50">
    <cfRule type="expression" dxfId="26" priority="3" stopIfTrue="1">
      <formula>K3=K4</formula>
    </cfRule>
  </conditionalFormatting>
  <conditionalFormatting sqref="V4:Y13 I4:M49 M50">
    <cfRule type="expression" dxfId="25" priority="2" stopIfTrue="1">
      <formula>I3=I4</formula>
    </cfRule>
  </conditionalFormatting>
  <conditionalFormatting sqref="K4:M49 M50">
    <cfRule type="expression" dxfId="24" priority="1" stopIfTrue="1">
      <formula>K3=K4</formula>
    </cfRule>
  </conditionalFormatting>
  <printOptions horizontalCentered="1"/>
  <pageMargins left="0" right="0" top="0" bottom="0" header="0" footer="0"/>
  <pageSetup paperSize="9" scale="4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B1:P3695"/>
  <sheetViews>
    <sheetView showZeros="0" zoomScale="80" zoomScaleNormal="80" workbookViewId="0">
      <pane xSplit="4" ySplit="4" topLeftCell="E5" activePane="bottomRight" state="frozen"/>
      <selection pane="topRight" activeCell="D1" sqref="D1"/>
      <selection pane="bottomLeft" activeCell="A9" sqref="A9"/>
      <selection pane="bottomRight" activeCell="J31" sqref="J31"/>
    </sheetView>
  </sheetViews>
  <sheetFormatPr defaultRowHeight="16.5"/>
  <cols>
    <col min="1" max="1" width="2.25" style="49" customWidth="1"/>
    <col min="2" max="2" width="7.75" style="63" bestFit="1" customWidth="1"/>
    <col min="3" max="3" width="11.875" style="50" customWidth="1"/>
    <col min="4" max="4" width="15.25" style="63" customWidth="1"/>
    <col min="5" max="5" width="7.5" style="63" customWidth="1"/>
    <col min="6" max="9" width="11.125" style="63" customWidth="1"/>
    <col min="10" max="16" width="11.125" style="49" customWidth="1"/>
    <col min="17" max="17" width="13" style="49" bestFit="1" customWidth="1"/>
    <col min="18" max="18" width="10" style="49" bestFit="1" customWidth="1"/>
    <col min="19" max="19" width="13.75" style="49" bestFit="1" customWidth="1"/>
    <col min="20" max="20" width="15.625" style="49" bestFit="1" customWidth="1"/>
    <col min="21" max="16384" width="9" style="49"/>
  </cols>
  <sheetData>
    <row r="1" spans="2:16">
      <c r="B1" s="49"/>
      <c r="C1" s="49"/>
      <c r="H1" s="64"/>
    </row>
    <row r="2" spans="2:16">
      <c r="H2" s="64"/>
    </row>
    <row r="3" spans="2:16">
      <c r="B3" s="66" t="s">
        <v>776</v>
      </c>
      <c r="C3" s="12"/>
      <c r="D3" s="40"/>
      <c r="E3" s="47"/>
      <c r="F3"/>
      <c r="G3"/>
      <c r="H3"/>
      <c r="I3"/>
      <c r="J3"/>
      <c r="K3"/>
      <c r="L3"/>
      <c r="M3"/>
      <c r="N3"/>
      <c r="O3"/>
      <c r="P3"/>
    </row>
    <row r="4" spans="2:16">
      <c r="B4" s="45" t="s">
        <v>13</v>
      </c>
      <c r="C4" s="8" t="s">
        <v>1356</v>
      </c>
      <c r="D4" s="8" t="s">
        <v>0</v>
      </c>
      <c r="E4" s="6" t="s">
        <v>1479</v>
      </c>
      <c r="F4"/>
      <c r="G4"/>
      <c r="H4"/>
      <c r="I4"/>
      <c r="J4"/>
      <c r="K4"/>
      <c r="L4"/>
      <c r="M4"/>
      <c r="N4"/>
      <c r="O4"/>
      <c r="P4"/>
    </row>
    <row r="5" spans="2:16">
      <c r="B5" s="47" t="s">
        <v>14</v>
      </c>
      <c r="C5" s="9" t="s">
        <v>1357</v>
      </c>
      <c r="D5" s="9" t="s">
        <v>1137</v>
      </c>
      <c r="E5" s="67">
        <v>2000</v>
      </c>
      <c r="F5"/>
      <c r="G5"/>
      <c r="H5"/>
      <c r="I5"/>
      <c r="J5"/>
      <c r="K5"/>
      <c r="L5"/>
      <c r="M5"/>
      <c r="N5"/>
      <c r="O5"/>
      <c r="P5"/>
    </row>
    <row r="6" spans="2:16">
      <c r="B6" s="48"/>
      <c r="C6" s="46"/>
      <c r="D6" s="65" t="s">
        <v>1237</v>
      </c>
      <c r="E6" s="68">
        <v>500</v>
      </c>
      <c r="F6"/>
      <c r="G6"/>
      <c r="H6"/>
      <c r="I6"/>
      <c r="J6"/>
      <c r="K6"/>
      <c r="L6"/>
      <c r="M6"/>
      <c r="N6"/>
      <c r="O6"/>
      <c r="P6"/>
    </row>
    <row r="7" spans="2:16">
      <c r="B7" s="48"/>
      <c r="C7" s="46"/>
      <c r="D7" s="65" t="s">
        <v>1138</v>
      </c>
      <c r="E7" s="68">
        <v>3000</v>
      </c>
      <c r="F7"/>
      <c r="G7"/>
      <c r="H7"/>
      <c r="I7"/>
      <c r="J7"/>
      <c r="K7"/>
      <c r="L7"/>
      <c r="M7"/>
      <c r="N7"/>
      <c r="O7"/>
      <c r="P7"/>
    </row>
    <row r="8" spans="2:16">
      <c r="B8" s="48"/>
      <c r="C8" s="46"/>
      <c r="D8" s="65" t="s">
        <v>1412</v>
      </c>
      <c r="E8" s="68">
        <v>2000</v>
      </c>
      <c r="F8"/>
      <c r="G8"/>
      <c r="H8"/>
      <c r="I8"/>
      <c r="J8"/>
      <c r="K8"/>
      <c r="L8"/>
      <c r="M8"/>
      <c r="N8"/>
      <c r="O8"/>
      <c r="P8"/>
    </row>
    <row r="9" spans="2:16">
      <c r="B9" s="48"/>
      <c r="C9" s="46"/>
      <c r="D9" s="65" t="s">
        <v>1414</v>
      </c>
      <c r="E9" s="68">
        <v>500</v>
      </c>
      <c r="F9"/>
      <c r="G9"/>
      <c r="H9"/>
      <c r="I9"/>
      <c r="J9"/>
      <c r="K9"/>
      <c r="L9"/>
      <c r="M9"/>
      <c r="N9"/>
      <c r="O9"/>
      <c r="P9"/>
    </row>
    <row r="10" spans="2:16">
      <c r="B10" s="48"/>
      <c r="C10" s="46"/>
      <c r="D10" s="65" t="s">
        <v>1413</v>
      </c>
      <c r="E10" s="68">
        <v>500</v>
      </c>
      <c r="F10"/>
      <c r="G10"/>
      <c r="H10"/>
      <c r="I10"/>
      <c r="J10"/>
      <c r="K10"/>
      <c r="L10"/>
      <c r="M10"/>
      <c r="N10"/>
      <c r="O10"/>
      <c r="P10"/>
    </row>
    <row r="11" spans="2:16">
      <c r="B11" s="48"/>
      <c r="C11" s="46"/>
      <c r="D11" s="65" t="s">
        <v>849</v>
      </c>
      <c r="E11" s="68">
        <v>500</v>
      </c>
      <c r="F11"/>
      <c r="G11"/>
      <c r="H11"/>
      <c r="I11"/>
      <c r="J11"/>
      <c r="K11"/>
      <c r="L11"/>
      <c r="M11"/>
      <c r="N11"/>
      <c r="O11"/>
      <c r="P11"/>
    </row>
    <row r="12" spans="2:16">
      <c r="B12" s="48"/>
      <c r="C12" s="46"/>
      <c r="D12" s="65" t="s">
        <v>850</v>
      </c>
      <c r="E12" s="68">
        <v>500</v>
      </c>
      <c r="F12"/>
      <c r="G12"/>
      <c r="H12"/>
      <c r="I12"/>
      <c r="J12"/>
      <c r="K12"/>
      <c r="L12"/>
      <c r="M12"/>
      <c r="N12"/>
      <c r="O12"/>
      <c r="P12"/>
    </row>
    <row r="13" spans="2:16">
      <c r="B13" s="48"/>
      <c r="C13" s="46"/>
      <c r="D13" s="65" t="s">
        <v>851</v>
      </c>
      <c r="E13" s="68">
        <v>500</v>
      </c>
      <c r="F13"/>
      <c r="G13"/>
      <c r="H13"/>
      <c r="I13"/>
      <c r="J13"/>
      <c r="K13"/>
      <c r="L13"/>
      <c r="M13"/>
      <c r="N13"/>
      <c r="O13"/>
      <c r="P13"/>
    </row>
    <row r="14" spans="2:16">
      <c r="B14" s="48"/>
      <c r="C14" s="46"/>
      <c r="D14" s="65" t="s">
        <v>853</v>
      </c>
      <c r="E14" s="68">
        <v>500</v>
      </c>
      <c r="F14"/>
      <c r="G14"/>
      <c r="H14"/>
      <c r="I14"/>
      <c r="J14"/>
      <c r="K14"/>
      <c r="L14"/>
      <c r="M14"/>
      <c r="N14"/>
      <c r="O14"/>
      <c r="P14"/>
    </row>
    <row r="15" spans="2:16">
      <c r="B15" s="48"/>
      <c r="C15" s="46"/>
      <c r="D15" s="65" t="s">
        <v>852</v>
      </c>
      <c r="E15" s="68">
        <v>800</v>
      </c>
      <c r="F15"/>
      <c r="G15"/>
      <c r="H15"/>
      <c r="I15"/>
      <c r="J15"/>
      <c r="K15"/>
      <c r="L15"/>
      <c r="M15"/>
      <c r="N15"/>
      <c r="O15"/>
      <c r="P15"/>
    </row>
    <row r="16" spans="2:16">
      <c r="B16" s="48"/>
      <c r="C16" s="46"/>
      <c r="D16" s="65" t="s">
        <v>974</v>
      </c>
      <c r="E16" s="68">
        <v>2700</v>
      </c>
      <c r="F16"/>
      <c r="G16"/>
      <c r="H16"/>
      <c r="I16"/>
      <c r="J16"/>
      <c r="K16"/>
      <c r="L16"/>
      <c r="M16"/>
      <c r="N16"/>
      <c r="O16"/>
      <c r="P16"/>
    </row>
    <row r="17" spans="2:16">
      <c r="B17" s="48"/>
      <c r="C17" s="46"/>
      <c r="D17" s="65" t="s">
        <v>1039</v>
      </c>
      <c r="E17" s="68">
        <v>5000</v>
      </c>
      <c r="F17"/>
      <c r="G17"/>
      <c r="H17"/>
      <c r="I17"/>
      <c r="J17"/>
      <c r="K17"/>
      <c r="L17"/>
      <c r="M17"/>
      <c r="N17"/>
      <c r="O17"/>
      <c r="P17"/>
    </row>
    <row r="18" spans="2:16">
      <c r="B18" s="48"/>
      <c r="C18" s="46"/>
      <c r="D18" s="65" t="s">
        <v>1063</v>
      </c>
      <c r="E18" s="68">
        <v>2000</v>
      </c>
      <c r="F18"/>
      <c r="G18"/>
      <c r="H18"/>
      <c r="I18"/>
      <c r="J18"/>
      <c r="K18"/>
      <c r="L18"/>
      <c r="M18"/>
      <c r="N18"/>
      <c r="O18"/>
      <c r="P18"/>
    </row>
    <row r="19" spans="2:16">
      <c r="B19" s="48"/>
      <c r="C19" s="46"/>
      <c r="D19" s="65" t="s">
        <v>1391</v>
      </c>
      <c r="E19" s="68">
        <v>3000</v>
      </c>
      <c r="F19"/>
      <c r="G19"/>
      <c r="H19"/>
      <c r="I19"/>
      <c r="J19"/>
      <c r="K19"/>
      <c r="L19"/>
      <c r="M19"/>
      <c r="N19"/>
      <c r="O19"/>
      <c r="P19"/>
    </row>
    <row r="20" spans="2:16">
      <c r="B20" s="48"/>
      <c r="C20" s="46"/>
      <c r="D20" s="65" t="s">
        <v>1378</v>
      </c>
      <c r="E20" s="68">
        <v>2000</v>
      </c>
      <c r="F20"/>
      <c r="G20"/>
      <c r="H20"/>
      <c r="I20"/>
      <c r="J20"/>
      <c r="K20"/>
      <c r="L20"/>
      <c r="M20"/>
      <c r="N20"/>
      <c r="O20"/>
      <c r="P20"/>
    </row>
    <row r="21" spans="2:16">
      <c r="B21" s="48"/>
      <c r="C21" s="46"/>
      <c r="D21" s="65" t="s">
        <v>1257</v>
      </c>
      <c r="E21" s="68">
        <v>700</v>
      </c>
      <c r="F21"/>
      <c r="G21"/>
      <c r="H21"/>
      <c r="I21"/>
      <c r="J21"/>
      <c r="K21"/>
      <c r="L21"/>
      <c r="M21"/>
      <c r="N21"/>
      <c r="O21"/>
      <c r="P21"/>
    </row>
    <row r="22" spans="2:16">
      <c r="B22" s="48"/>
      <c r="C22" s="46"/>
      <c r="D22" s="65" t="s">
        <v>1131</v>
      </c>
      <c r="E22" s="68">
        <v>1700</v>
      </c>
      <c r="F22"/>
      <c r="G22"/>
      <c r="H22"/>
      <c r="I22"/>
      <c r="J22"/>
      <c r="K22"/>
      <c r="L22"/>
      <c r="M22"/>
      <c r="N22"/>
      <c r="O22"/>
      <c r="P22"/>
    </row>
    <row r="23" spans="2:16">
      <c r="B23" s="48"/>
      <c r="C23" s="46"/>
      <c r="D23" s="65" t="s">
        <v>1132</v>
      </c>
      <c r="E23" s="68">
        <v>500</v>
      </c>
      <c r="F23"/>
      <c r="G23"/>
      <c r="H23"/>
      <c r="I23"/>
      <c r="J23"/>
      <c r="K23"/>
      <c r="L23"/>
      <c r="M23"/>
      <c r="N23"/>
      <c r="O23"/>
      <c r="P23"/>
    </row>
    <row r="24" spans="2:16">
      <c r="B24" s="48"/>
      <c r="C24" s="46"/>
      <c r="D24" s="65" t="s">
        <v>1133</v>
      </c>
      <c r="E24" s="68">
        <v>1500</v>
      </c>
      <c r="F24"/>
      <c r="G24"/>
      <c r="H24"/>
      <c r="I24"/>
      <c r="J24"/>
      <c r="K24"/>
      <c r="L24"/>
      <c r="M24"/>
      <c r="N24"/>
      <c r="O24"/>
      <c r="P24"/>
    </row>
    <row r="25" spans="2:16">
      <c r="B25" s="48"/>
      <c r="C25" s="46"/>
      <c r="D25" s="65" t="s">
        <v>1134</v>
      </c>
      <c r="E25" s="68">
        <v>500</v>
      </c>
      <c r="F25"/>
      <c r="G25"/>
      <c r="H25"/>
      <c r="I25"/>
      <c r="J25"/>
      <c r="K25"/>
      <c r="L25"/>
      <c r="M25"/>
      <c r="N25"/>
      <c r="O25"/>
      <c r="P25"/>
    </row>
    <row r="26" spans="2:16">
      <c r="B26" s="48"/>
      <c r="C26" s="46"/>
      <c r="D26" s="65" t="s">
        <v>1135</v>
      </c>
      <c r="E26" s="68">
        <v>500</v>
      </c>
      <c r="F26"/>
      <c r="G26"/>
      <c r="H26"/>
      <c r="I26"/>
      <c r="J26"/>
      <c r="K26"/>
      <c r="L26"/>
      <c r="M26"/>
      <c r="N26"/>
      <c r="O26"/>
      <c r="P26"/>
    </row>
    <row r="27" spans="2:16">
      <c r="B27" s="48"/>
      <c r="C27" s="46"/>
      <c r="D27" s="65" t="s">
        <v>1136</v>
      </c>
      <c r="E27" s="68">
        <v>500</v>
      </c>
      <c r="F27"/>
      <c r="G27"/>
      <c r="H27"/>
      <c r="I27"/>
      <c r="J27"/>
      <c r="K27"/>
      <c r="L27"/>
      <c r="M27"/>
      <c r="N27"/>
      <c r="O27"/>
      <c r="P27"/>
    </row>
    <row r="28" spans="2:16">
      <c r="B28" s="48"/>
      <c r="C28" s="46"/>
      <c r="D28" s="65" t="s">
        <v>818</v>
      </c>
      <c r="E28" s="68">
        <v>500</v>
      </c>
      <c r="F28"/>
      <c r="G28"/>
      <c r="H28"/>
      <c r="I28"/>
      <c r="J28"/>
      <c r="K28"/>
      <c r="L28"/>
      <c r="M28"/>
      <c r="N28"/>
      <c r="O28"/>
      <c r="P28"/>
    </row>
    <row r="29" spans="2:16">
      <c r="B29" s="48"/>
      <c r="C29" s="46"/>
      <c r="D29" s="65" t="s">
        <v>819</v>
      </c>
      <c r="E29" s="68">
        <v>500</v>
      </c>
      <c r="F29"/>
      <c r="G29"/>
      <c r="H29"/>
      <c r="I29"/>
      <c r="J29"/>
      <c r="K29"/>
      <c r="L29"/>
      <c r="M29"/>
      <c r="N29"/>
      <c r="O29"/>
      <c r="P29"/>
    </row>
    <row r="30" spans="2:16">
      <c r="B30" s="48"/>
      <c r="C30" s="46"/>
      <c r="D30" s="65" t="s">
        <v>1246</v>
      </c>
      <c r="E30" s="68">
        <v>1200</v>
      </c>
      <c r="F30"/>
      <c r="G30"/>
      <c r="H30"/>
      <c r="I30"/>
      <c r="J30"/>
      <c r="K30"/>
      <c r="L30"/>
      <c r="M30"/>
      <c r="N30"/>
      <c r="O30"/>
      <c r="P30"/>
    </row>
    <row r="31" spans="2:16">
      <c r="B31" s="48"/>
      <c r="C31" s="46"/>
      <c r="D31" s="65" t="s">
        <v>820</v>
      </c>
      <c r="E31" s="68">
        <v>500</v>
      </c>
      <c r="F31"/>
      <c r="G31"/>
      <c r="H31"/>
      <c r="I31"/>
      <c r="J31"/>
      <c r="K31"/>
      <c r="L31"/>
      <c r="M31"/>
      <c r="N31"/>
      <c r="O31"/>
      <c r="P31"/>
    </row>
    <row r="32" spans="2:16">
      <c r="B32" s="48"/>
      <c r="C32" s="46"/>
      <c r="D32" s="65" t="s">
        <v>821</v>
      </c>
      <c r="E32" s="68">
        <v>500</v>
      </c>
      <c r="F32"/>
      <c r="G32"/>
      <c r="H32"/>
      <c r="I32"/>
      <c r="J32"/>
      <c r="K32"/>
      <c r="L32"/>
      <c r="M32"/>
      <c r="N32"/>
      <c r="O32"/>
      <c r="P32"/>
    </row>
    <row r="33" spans="2:16">
      <c r="B33" s="48"/>
      <c r="C33" s="46"/>
      <c r="D33" s="65" t="s">
        <v>1247</v>
      </c>
      <c r="E33" s="68">
        <v>3000</v>
      </c>
      <c r="F33"/>
      <c r="G33"/>
      <c r="H33"/>
      <c r="I33"/>
      <c r="J33"/>
      <c r="K33"/>
      <c r="L33"/>
      <c r="M33"/>
      <c r="N33"/>
      <c r="O33"/>
      <c r="P33"/>
    </row>
    <row r="34" spans="2:16">
      <c r="B34" s="48"/>
      <c r="C34" s="46"/>
      <c r="D34" s="65" t="s">
        <v>1249</v>
      </c>
      <c r="E34" s="68">
        <v>2500</v>
      </c>
      <c r="F34"/>
      <c r="G34"/>
      <c r="H34"/>
      <c r="I34"/>
      <c r="J34"/>
      <c r="K34"/>
      <c r="L34"/>
      <c r="M34"/>
      <c r="N34"/>
      <c r="O34"/>
      <c r="P34"/>
    </row>
    <row r="35" spans="2:16">
      <c r="B35" s="48"/>
      <c r="C35" s="46"/>
      <c r="D35" s="65" t="s">
        <v>1248</v>
      </c>
      <c r="E35" s="68">
        <v>2000</v>
      </c>
      <c r="F35"/>
      <c r="G35"/>
      <c r="H35"/>
      <c r="I35"/>
      <c r="J35"/>
      <c r="K35"/>
      <c r="L35"/>
      <c r="M35"/>
      <c r="N35"/>
      <c r="O35"/>
      <c r="P35"/>
    </row>
    <row r="36" spans="2:16">
      <c r="B36" s="48"/>
      <c r="C36" s="46"/>
      <c r="D36" s="65" t="s">
        <v>1364</v>
      </c>
      <c r="E36" s="68">
        <v>1200</v>
      </c>
      <c r="F36"/>
      <c r="G36"/>
      <c r="H36"/>
      <c r="I36"/>
      <c r="J36"/>
      <c r="K36"/>
      <c r="L36"/>
      <c r="M36"/>
      <c r="N36"/>
      <c r="O36"/>
      <c r="P36"/>
    </row>
    <row r="37" spans="2:16">
      <c r="B37" s="48"/>
      <c r="C37" s="46"/>
      <c r="D37" s="65" t="s">
        <v>1125</v>
      </c>
      <c r="E37" s="68">
        <v>5000</v>
      </c>
      <c r="F37"/>
      <c r="G37"/>
      <c r="H37"/>
      <c r="I37"/>
      <c r="J37"/>
      <c r="K37"/>
      <c r="L37"/>
      <c r="M37"/>
      <c r="N37"/>
      <c r="O37"/>
      <c r="P37"/>
    </row>
    <row r="38" spans="2:16">
      <c r="B38" s="48"/>
      <c r="C38" s="46"/>
      <c r="D38" s="65" t="s">
        <v>1393</v>
      </c>
      <c r="E38" s="68">
        <v>1500</v>
      </c>
      <c r="F38"/>
      <c r="G38"/>
      <c r="H38"/>
      <c r="I38"/>
      <c r="J38"/>
      <c r="K38"/>
      <c r="L38"/>
      <c r="M38"/>
      <c r="N38"/>
      <c r="O38"/>
      <c r="P38"/>
    </row>
    <row r="39" spans="2:16">
      <c r="B39" s="48"/>
      <c r="C39" s="46"/>
      <c r="D39" s="65" t="s">
        <v>1392</v>
      </c>
      <c r="E39" s="68">
        <v>3500</v>
      </c>
      <c r="F39"/>
      <c r="G39"/>
      <c r="H39"/>
      <c r="I39"/>
      <c r="J39"/>
      <c r="K39"/>
      <c r="L39"/>
      <c r="M39"/>
      <c r="N39"/>
      <c r="O39"/>
      <c r="P39"/>
    </row>
    <row r="40" spans="2:16">
      <c r="B40" s="48"/>
      <c r="C40" s="46"/>
      <c r="D40" s="65" t="s">
        <v>1394</v>
      </c>
      <c r="E40" s="68">
        <v>1800</v>
      </c>
      <c r="F40"/>
      <c r="G40"/>
      <c r="H40"/>
      <c r="I40"/>
      <c r="J40"/>
      <c r="K40"/>
      <c r="L40"/>
      <c r="M40"/>
      <c r="N40"/>
      <c r="O40"/>
      <c r="P40"/>
    </row>
    <row r="41" spans="2:16">
      <c r="B41" s="48"/>
      <c r="C41" s="46"/>
      <c r="D41" s="65" t="s">
        <v>1395</v>
      </c>
      <c r="E41" s="68">
        <v>1500</v>
      </c>
      <c r="F41"/>
      <c r="G41"/>
      <c r="H41"/>
      <c r="I41"/>
      <c r="J41"/>
      <c r="K41"/>
      <c r="L41"/>
      <c r="M41"/>
      <c r="N41"/>
      <c r="O41"/>
      <c r="P41"/>
    </row>
    <row r="42" spans="2:16">
      <c r="B42" s="48"/>
      <c r="C42" s="46"/>
      <c r="D42" s="65" t="s">
        <v>1396</v>
      </c>
      <c r="E42" s="68">
        <v>3000</v>
      </c>
      <c r="F42"/>
      <c r="G42"/>
      <c r="H42"/>
      <c r="I42"/>
      <c r="J42"/>
      <c r="K42"/>
      <c r="L42"/>
      <c r="M42"/>
      <c r="N42"/>
      <c r="O42"/>
      <c r="P42"/>
    </row>
    <row r="43" spans="2:16">
      <c r="B43" s="48"/>
      <c r="C43" s="46"/>
      <c r="D43" s="65" t="s">
        <v>1035</v>
      </c>
      <c r="E43" s="68">
        <v>2000</v>
      </c>
      <c r="F43"/>
      <c r="G43"/>
      <c r="H43"/>
      <c r="I43"/>
      <c r="J43"/>
      <c r="K43"/>
      <c r="L43"/>
      <c r="M43"/>
      <c r="N43"/>
      <c r="O43"/>
      <c r="P43"/>
    </row>
    <row r="44" spans="2:16">
      <c r="B44" s="48"/>
      <c r="C44" s="46"/>
      <c r="D44" s="65" t="s">
        <v>1402</v>
      </c>
      <c r="E44" s="68">
        <v>1000</v>
      </c>
      <c r="F44"/>
      <c r="G44"/>
      <c r="H44"/>
      <c r="I44"/>
      <c r="J44"/>
      <c r="K44"/>
      <c r="L44"/>
      <c r="M44"/>
      <c r="N44"/>
      <c r="O44"/>
      <c r="P44"/>
    </row>
    <row r="45" spans="2:16">
      <c r="B45" s="48"/>
      <c r="C45" s="46"/>
      <c r="D45" s="65" t="s">
        <v>1399</v>
      </c>
      <c r="E45" s="68">
        <v>1600</v>
      </c>
      <c r="F45"/>
      <c r="G45"/>
      <c r="H45"/>
      <c r="I45"/>
      <c r="J45"/>
      <c r="K45"/>
      <c r="L45"/>
      <c r="M45"/>
      <c r="N45"/>
      <c r="O45"/>
      <c r="P45"/>
    </row>
    <row r="46" spans="2:16">
      <c r="B46" s="48"/>
      <c r="C46" s="46"/>
      <c r="D46" s="65" t="s">
        <v>972</v>
      </c>
      <c r="E46" s="68">
        <v>1000</v>
      </c>
      <c r="F46"/>
      <c r="G46"/>
      <c r="H46"/>
      <c r="I46"/>
      <c r="J46"/>
      <c r="K46"/>
      <c r="L46"/>
      <c r="M46"/>
      <c r="N46"/>
      <c r="O46"/>
      <c r="P46"/>
    </row>
    <row r="47" spans="2:16">
      <c r="B47" s="48"/>
      <c r="C47" s="46"/>
      <c r="D47" s="65" t="s">
        <v>1064</v>
      </c>
      <c r="E47" s="68">
        <v>3000</v>
      </c>
      <c r="F47"/>
      <c r="G47"/>
      <c r="H47"/>
      <c r="I47"/>
      <c r="J47"/>
      <c r="K47"/>
      <c r="L47"/>
      <c r="M47"/>
      <c r="N47"/>
      <c r="O47"/>
      <c r="P47"/>
    </row>
    <row r="48" spans="2:16">
      <c r="B48" s="48"/>
      <c r="C48" s="46"/>
      <c r="D48" s="65" t="s">
        <v>1065</v>
      </c>
      <c r="E48" s="68">
        <v>2000</v>
      </c>
      <c r="F48"/>
      <c r="G48"/>
      <c r="H48"/>
      <c r="I48"/>
      <c r="J48"/>
      <c r="K48"/>
      <c r="L48"/>
      <c r="M48"/>
      <c r="N48"/>
      <c r="O48"/>
      <c r="P48"/>
    </row>
    <row r="49" spans="2:16">
      <c r="B49" s="48"/>
      <c r="C49" s="46"/>
      <c r="D49" s="65" t="s">
        <v>1066</v>
      </c>
      <c r="E49" s="68">
        <v>1000</v>
      </c>
      <c r="F49"/>
      <c r="G49"/>
      <c r="H49"/>
      <c r="I49"/>
      <c r="J49"/>
      <c r="K49"/>
      <c r="L49"/>
      <c r="M49"/>
      <c r="N49"/>
      <c r="O49"/>
      <c r="P49"/>
    </row>
    <row r="50" spans="2:16">
      <c r="B50" s="48"/>
      <c r="C50" s="46"/>
      <c r="D50" s="65" t="s">
        <v>973</v>
      </c>
      <c r="E50" s="68">
        <v>800</v>
      </c>
      <c r="F50"/>
      <c r="G50"/>
      <c r="H50"/>
      <c r="I50"/>
      <c r="J50"/>
      <c r="K50"/>
      <c r="L50"/>
      <c r="M50"/>
      <c r="N50"/>
      <c r="O50"/>
      <c r="P50"/>
    </row>
    <row r="51" spans="2:16">
      <c r="B51" s="48"/>
      <c r="C51" s="46"/>
      <c r="D51" s="65" t="s">
        <v>1126</v>
      </c>
      <c r="E51" s="68">
        <v>3000</v>
      </c>
      <c r="F51"/>
      <c r="G51"/>
      <c r="H51"/>
      <c r="I51"/>
      <c r="J51"/>
      <c r="K51"/>
      <c r="L51"/>
      <c r="M51"/>
      <c r="N51"/>
      <c r="O51"/>
      <c r="P51"/>
    </row>
    <row r="52" spans="2:16">
      <c r="B52" s="48"/>
      <c r="C52" s="46"/>
      <c r="D52" s="65" t="s">
        <v>1397</v>
      </c>
      <c r="E52" s="68">
        <v>3000</v>
      </c>
      <c r="F52"/>
      <c r="G52"/>
      <c r="H52"/>
      <c r="I52"/>
      <c r="J52"/>
      <c r="K52"/>
      <c r="L52"/>
      <c r="M52"/>
      <c r="N52"/>
      <c r="O52"/>
      <c r="P52"/>
    </row>
    <row r="53" spans="2:16">
      <c r="B53" s="48"/>
      <c r="C53" s="46"/>
      <c r="D53" s="65" t="s">
        <v>1036</v>
      </c>
      <c r="E53" s="68">
        <v>2000</v>
      </c>
      <c r="F53"/>
      <c r="G53"/>
      <c r="H53"/>
      <c r="I53"/>
      <c r="J53"/>
      <c r="K53"/>
      <c r="L53"/>
      <c r="M53"/>
      <c r="N53"/>
      <c r="O53"/>
      <c r="P53"/>
    </row>
    <row r="54" spans="2:16">
      <c r="B54" s="48"/>
      <c r="C54" s="46"/>
      <c r="D54" s="65" t="s">
        <v>1037</v>
      </c>
      <c r="E54" s="68">
        <v>1000</v>
      </c>
      <c r="F54"/>
      <c r="G54"/>
      <c r="H54"/>
      <c r="I54"/>
      <c r="J54"/>
      <c r="K54"/>
      <c r="L54"/>
      <c r="M54"/>
      <c r="N54"/>
      <c r="O54"/>
      <c r="P54"/>
    </row>
    <row r="55" spans="2:16">
      <c r="B55" s="48"/>
      <c r="C55" s="46"/>
      <c r="D55" s="65" t="s">
        <v>1038</v>
      </c>
      <c r="E55" s="68">
        <v>2500</v>
      </c>
      <c r="F55"/>
      <c r="G55"/>
      <c r="H55"/>
      <c r="I55"/>
      <c r="J55"/>
      <c r="K55"/>
      <c r="L55"/>
      <c r="M55"/>
      <c r="N55"/>
      <c r="O55"/>
      <c r="P55"/>
    </row>
    <row r="56" spans="2:16">
      <c r="B56" s="48"/>
      <c r="C56" s="46"/>
      <c r="D56" s="65" t="s">
        <v>1398</v>
      </c>
      <c r="E56" s="68">
        <v>3000</v>
      </c>
      <c r="F56"/>
      <c r="G56"/>
      <c r="H56"/>
      <c r="I56"/>
      <c r="J56"/>
      <c r="K56"/>
      <c r="L56"/>
      <c r="M56"/>
      <c r="N56"/>
      <c r="O56"/>
      <c r="P56"/>
    </row>
    <row r="57" spans="2:16">
      <c r="B57" s="48"/>
      <c r="C57" s="46"/>
      <c r="D57" s="65" t="s">
        <v>1401</v>
      </c>
      <c r="E57" s="68">
        <v>1000</v>
      </c>
      <c r="F57"/>
      <c r="G57"/>
      <c r="H57"/>
      <c r="I57"/>
      <c r="J57"/>
      <c r="K57"/>
      <c r="L57"/>
      <c r="M57"/>
      <c r="N57"/>
      <c r="O57"/>
      <c r="P57"/>
    </row>
    <row r="58" spans="2:16">
      <c r="B58" s="48"/>
      <c r="C58" s="46"/>
      <c r="D58" s="65" t="s">
        <v>1400</v>
      </c>
      <c r="E58" s="68">
        <v>1000</v>
      </c>
      <c r="F58"/>
      <c r="G58"/>
      <c r="H58"/>
      <c r="I58"/>
      <c r="J58"/>
      <c r="K58"/>
      <c r="L58"/>
      <c r="M58"/>
      <c r="N58"/>
      <c r="O58"/>
      <c r="P58"/>
    </row>
    <row r="59" spans="2:16">
      <c r="B59" s="48"/>
      <c r="C59" s="46"/>
      <c r="D59" s="65" t="s">
        <v>1403</v>
      </c>
      <c r="E59" s="68">
        <v>1000</v>
      </c>
      <c r="F59"/>
      <c r="G59"/>
      <c r="H59"/>
      <c r="I59"/>
      <c r="J59"/>
      <c r="K59"/>
      <c r="L59"/>
      <c r="M59"/>
      <c r="N59"/>
      <c r="O59"/>
      <c r="P59"/>
    </row>
    <row r="60" spans="2:16">
      <c r="B60" s="48"/>
      <c r="C60" s="46"/>
      <c r="D60" s="65" t="s">
        <v>1153</v>
      </c>
      <c r="E60" s="68">
        <v>700</v>
      </c>
      <c r="F60"/>
      <c r="G60"/>
      <c r="H60"/>
      <c r="I60"/>
      <c r="J60"/>
      <c r="K60"/>
      <c r="L60"/>
      <c r="M60"/>
      <c r="N60"/>
      <c r="O60"/>
      <c r="P60"/>
    </row>
    <row r="61" spans="2:16">
      <c r="B61" s="48"/>
      <c r="C61" s="46"/>
      <c r="D61" s="65" t="s">
        <v>822</v>
      </c>
      <c r="E61" s="68">
        <v>1000</v>
      </c>
      <c r="F61"/>
      <c r="G61"/>
      <c r="H61"/>
      <c r="I61"/>
      <c r="J61"/>
      <c r="K61"/>
      <c r="L61"/>
      <c r="M61"/>
      <c r="N61"/>
      <c r="O61"/>
      <c r="P61"/>
    </row>
    <row r="62" spans="2:16">
      <c r="B62" s="48"/>
      <c r="C62" s="46"/>
      <c r="D62" s="65" t="s">
        <v>1150</v>
      </c>
      <c r="E62" s="68">
        <v>1200</v>
      </c>
      <c r="F62"/>
      <c r="G62"/>
      <c r="H62"/>
      <c r="I62"/>
      <c r="J62"/>
      <c r="K62"/>
      <c r="L62"/>
      <c r="M62"/>
      <c r="N62"/>
      <c r="O62"/>
      <c r="P62"/>
    </row>
    <row r="63" spans="2:16">
      <c r="B63" s="48"/>
      <c r="C63" s="46"/>
      <c r="D63" s="65" t="s">
        <v>823</v>
      </c>
      <c r="E63" s="68">
        <v>1000</v>
      </c>
      <c r="F63"/>
      <c r="G63"/>
      <c r="H63"/>
      <c r="I63"/>
      <c r="J63"/>
      <c r="K63"/>
      <c r="L63"/>
      <c r="M63"/>
      <c r="N63"/>
      <c r="O63"/>
      <c r="P63"/>
    </row>
    <row r="64" spans="2:16">
      <c r="B64" s="48"/>
      <c r="C64" s="46"/>
      <c r="D64" s="65" t="s">
        <v>1151</v>
      </c>
      <c r="E64" s="68">
        <v>1200</v>
      </c>
      <c r="F64"/>
      <c r="G64"/>
      <c r="H64"/>
      <c r="I64"/>
      <c r="J64"/>
      <c r="K64"/>
      <c r="L64"/>
      <c r="M64"/>
      <c r="N64"/>
      <c r="O64"/>
      <c r="P64"/>
    </row>
    <row r="65" spans="2:16">
      <c r="B65" s="48"/>
      <c r="C65" s="46"/>
      <c r="D65" s="65" t="s">
        <v>1152</v>
      </c>
      <c r="E65" s="68">
        <v>1200</v>
      </c>
      <c r="F65"/>
      <c r="G65"/>
      <c r="H65"/>
      <c r="I65"/>
      <c r="J65"/>
      <c r="K65"/>
      <c r="L65"/>
      <c r="M65"/>
      <c r="N65"/>
      <c r="O65"/>
      <c r="P65"/>
    </row>
    <row r="66" spans="2:16">
      <c r="B66" s="48"/>
      <c r="C66" s="46"/>
      <c r="D66" s="65" t="s">
        <v>1127</v>
      </c>
      <c r="E66" s="68">
        <v>1500</v>
      </c>
      <c r="F66"/>
      <c r="G66"/>
      <c r="H66"/>
      <c r="I66"/>
      <c r="J66"/>
    </row>
    <row r="67" spans="2:16">
      <c r="B67" s="48"/>
      <c r="C67" s="46"/>
      <c r="D67" s="65" t="s">
        <v>1235</v>
      </c>
      <c r="E67" s="68">
        <v>700</v>
      </c>
      <c r="F67"/>
      <c r="G67"/>
      <c r="H67"/>
      <c r="I67"/>
      <c r="J67"/>
    </row>
    <row r="68" spans="2:16">
      <c r="B68" s="48"/>
      <c r="C68" s="46"/>
      <c r="D68" s="65" t="s">
        <v>1240</v>
      </c>
      <c r="E68" s="68">
        <v>1000</v>
      </c>
      <c r="F68"/>
      <c r="G68"/>
      <c r="H68"/>
      <c r="I68"/>
      <c r="J68"/>
    </row>
    <row r="69" spans="2:16">
      <c r="B69" s="48"/>
      <c r="C69" s="46"/>
      <c r="D69" s="65" t="s">
        <v>1241</v>
      </c>
      <c r="E69" s="68">
        <v>1000</v>
      </c>
      <c r="F69"/>
      <c r="G69"/>
      <c r="H69"/>
      <c r="I69"/>
      <c r="J69"/>
    </row>
    <row r="70" spans="2:16">
      <c r="B70" s="48"/>
      <c r="C70" s="46"/>
      <c r="D70" s="65" t="s">
        <v>1236</v>
      </c>
      <c r="E70" s="68">
        <v>1200</v>
      </c>
      <c r="F70"/>
      <c r="G70"/>
      <c r="H70"/>
      <c r="I70"/>
      <c r="J70"/>
    </row>
    <row r="71" spans="2:16">
      <c r="B71" s="48"/>
      <c r="C71" s="46"/>
      <c r="D71" s="65" t="s">
        <v>1242</v>
      </c>
      <c r="E71" s="68">
        <v>800</v>
      </c>
      <c r="F71"/>
      <c r="G71"/>
      <c r="H71"/>
      <c r="I71"/>
      <c r="J71"/>
    </row>
    <row r="72" spans="2:16">
      <c r="B72" s="48"/>
      <c r="C72" s="46"/>
      <c r="D72" s="65" t="s">
        <v>1243</v>
      </c>
      <c r="E72" s="68">
        <v>800</v>
      </c>
      <c r="F72"/>
      <c r="G72"/>
      <c r="H72"/>
      <c r="I72"/>
      <c r="J72"/>
    </row>
    <row r="73" spans="2:16">
      <c r="B73" s="48"/>
      <c r="C73" s="46"/>
      <c r="D73" s="65" t="s">
        <v>824</v>
      </c>
      <c r="E73" s="68">
        <v>1000</v>
      </c>
      <c r="F73"/>
      <c r="G73"/>
      <c r="H73"/>
      <c r="I73"/>
      <c r="J73"/>
    </row>
    <row r="74" spans="2:16">
      <c r="B74" s="48"/>
      <c r="C74" s="46"/>
      <c r="D74" s="65" t="s">
        <v>825</v>
      </c>
      <c r="E74" s="68">
        <v>1000</v>
      </c>
      <c r="F74"/>
      <c r="G74"/>
      <c r="H74"/>
      <c r="I74"/>
      <c r="J74"/>
    </row>
    <row r="75" spans="2:16">
      <c r="B75" s="48"/>
      <c r="C75" s="46"/>
      <c r="D75" s="65" t="s">
        <v>837</v>
      </c>
      <c r="E75" s="68">
        <v>2000</v>
      </c>
      <c r="F75"/>
      <c r="G75"/>
      <c r="H75"/>
      <c r="I75"/>
      <c r="J75"/>
    </row>
    <row r="76" spans="2:16">
      <c r="B76" s="48"/>
      <c r="C76" s="46"/>
      <c r="D76" s="65" t="s">
        <v>838</v>
      </c>
      <c r="E76" s="68">
        <v>1500</v>
      </c>
      <c r="F76"/>
      <c r="G76"/>
      <c r="H76"/>
      <c r="I76"/>
      <c r="J76"/>
    </row>
    <row r="77" spans="2:16">
      <c r="B77" s="48"/>
      <c r="C77" s="46"/>
      <c r="D77" s="65" t="s">
        <v>839</v>
      </c>
      <c r="E77" s="68">
        <v>1000</v>
      </c>
      <c r="F77"/>
      <c r="G77"/>
      <c r="H77"/>
      <c r="I77"/>
      <c r="J77"/>
    </row>
    <row r="78" spans="2:16">
      <c r="B78" s="48"/>
      <c r="C78" s="46"/>
      <c r="D78" s="65" t="s">
        <v>832</v>
      </c>
      <c r="E78" s="68">
        <v>1000</v>
      </c>
      <c r="F78"/>
      <c r="G78"/>
      <c r="H78"/>
      <c r="I78"/>
      <c r="J78"/>
    </row>
    <row r="79" spans="2:16">
      <c r="B79" s="48"/>
      <c r="C79" s="46"/>
      <c r="D79" s="65" t="s">
        <v>833</v>
      </c>
      <c r="E79" s="68">
        <v>1000</v>
      </c>
      <c r="F79"/>
      <c r="G79"/>
      <c r="H79"/>
      <c r="I79"/>
      <c r="J79"/>
    </row>
    <row r="80" spans="2:16">
      <c r="B80" s="48"/>
      <c r="C80" s="46"/>
      <c r="D80" s="65" t="s">
        <v>834</v>
      </c>
      <c r="E80" s="68">
        <v>1500</v>
      </c>
      <c r="F80"/>
      <c r="G80"/>
      <c r="H80"/>
      <c r="I80"/>
      <c r="J80"/>
    </row>
    <row r="81" spans="2:10">
      <c r="B81" s="48"/>
      <c r="C81" s="46"/>
      <c r="D81" s="65" t="s">
        <v>835</v>
      </c>
      <c r="E81" s="68">
        <v>1500</v>
      </c>
      <c r="F81"/>
      <c r="G81"/>
      <c r="H81"/>
      <c r="I81"/>
      <c r="J81"/>
    </row>
    <row r="82" spans="2:10">
      <c r="B82" s="48"/>
      <c r="C82" s="46"/>
      <c r="D82" s="65" t="s">
        <v>826</v>
      </c>
      <c r="E82" s="68">
        <v>1500</v>
      </c>
      <c r="F82"/>
      <c r="G82"/>
      <c r="H82"/>
      <c r="I82"/>
      <c r="J82"/>
    </row>
    <row r="83" spans="2:10">
      <c r="B83" s="48"/>
      <c r="C83" s="46"/>
      <c r="D83" s="65" t="s">
        <v>827</v>
      </c>
      <c r="E83" s="68">
        <v>2000</v>
      </c>
      <c r="F83"/>
      <c r="G83"/>
      <c r="H83"/>
      <c r="I83"/>
      <c r="J83"/>
    </row>
    <row r="84" spans="2:10">
      <c r="B84" s="48"/>
      <c r="C84" s="46"/>
      <c r="D84" s="65" t="s">
        <v>828</v>
      </c>
      <c r="E84" s="68">
        <v>1500</v>
      </c>
      <c r="F84"/>
      <c r="G84"/>
      <c r="H84"/>
      <c r="I84"/>
      <c r="J84"/>
    </row>
    <row r="85" spans="2:10">
      <c r="B85" s="48"/>
      <c r="C85" s="46"/>
      <c r="D85" s="65" t="s">
        <v>836</v>
      </c>
      <c r="E85" s="68">
        <v>1000</v>
      </c>
      <c r="F85"/>
      <c r="G85"/>
      <c r="H85"/>
      <c r="I85"/>
      <c r="J85"/>
    </row>
    <row r="86" spans="2:10">
      <c r="B86" s="48"/>
      <c r="C86" s="46"/>
      <c r="D86" s="65" t="s">
        <v>841</v>
      </c>
      <c r="E86" s="68">
        <v>500</v>
      </c>
      <c r="F86"/>
      <c r="G86"/>
      <c r="H86"/>
      <c r="I86"/>
      <c r="J86"/>
    </row>
    <row r="87" spans="2:10">
      <c r="B87" s="48"/>
      <c r="C87" s="46"/>
      <c r="D87" s="65" t="s">
        <v>842</v>
      </c>
      <c r="E87" s="68">
        <v>500</v>
      </c>
      <c r="F87"/>
      <c r="G87"/>
      <c r="H87"/>
      <c r="I87"/>
      <c r="J87"/>
    </row>
    <row r="88" spans="2:10">
      <c r="B88" s="48"/>
      <c r="C88" s="46"/>
      <c r="D88" s="65" t="s">
        <v>829</v>
      </c>
      <c r="E88" s="68">
        <v>800</v>
      </c>
      <c r="F88"/>
      <c r="G88"/>
      <c r="H88"/>
      <c r="I88"/>
      <c r="J88"/>
    </row>
    <row r="89" spans="2:10">
      <c r="B89" s="48"/>
      <c r="C89" s="46"/>
      <c r="D89" s="65" t="s">
        <v>843</v>
      </c>
      <c r="E89" s="68">
        <v>500</v>
      </c>
      <c r="F89"/>
      <c r="G89"/>
      <c r="H89"/>
      <c r="I89"/>
      <c r="J89"/>
    </row>
    <row r="90" spans="2:10">
      <c r="B90" s="48"/>
      <c r="C90" s="46"/>
      <c r="D90" s="65" t="s">
        <v>844</v>
      </c>
      <c r="E90" s="68">
        <v>200</v>
      </c>
      <c r="F90"/>
      <c r="G90"/>
      <c r="H90"/>
      <c r="I90"/>
      <c r="J90"/>
    </row>
    <row r="91" spans="2:10">
      <c r="B91" s="48"/>
      <c r="C91" s="46"/>
      <c r="D91" s="65" t="s">
        <v>1040</v>
      </c>
      <c r="E91" s="68">
        <v>3000</v>
      </c>
      <c r="F91"/>
      <c r="G91"/>
      <c r="H91"/>
      <c r="I91"/>
      <c r="J91"/>
    </row>
    <row r="92" spans="2:10">
      <c r="B92" s="48"/>
      <c r="C92" s="46"/>
      <c r="D92" s="65" t="s">
        <v>1379</v>
      </c>
      <c r="E92" s="68">
        <v>1000</v>
      </c>
      <c r="F92"/>
      <c r="G92"/>
      <c r="H92"/>
      <c r="I92"/>
      <c r="J92"/>
    </row>
    <row r="93" spans="2:10">
      <c r="B93" s="48"/>
      <c r="C93" s="46"/>
      <c r="D93" s="65" t="s">
        <v>1365</v>
      </c>
      <c r="E93" s="68">
        <v>700</v>
      </c>
      <c r="F93"/>
      <c r="G93"/>
      <c r="H93"/>
      <c r="I93"/>
      <c r="J93"/>
    </row>
    <row r="94" spans="2:10">
      <c r="B94" s="48"/>
      <c r="C94" s="46"/>
      <c r="D94" s="65" t="s">
        <v>1366</v>
      </c>
      <c r="E94" s="68">
        <v>700</v>
      </c>
      <c r="F94"/>
      <c r="G94"/>
      <c r="H94"/>
      <c r="I94"/>
      <c r="J94"/>
    </row>
    <row r="95" spans="2:10">
      <c r="B95" s="48"/>
      <c r="C95" s="46"/>
      <c r="D95" s="65" t="s">
        <v>1367</v>
      </c>
      <c r="E95" s="68">
        <v>500</v>
      </c>
      <c r="F95"/>
      <c r="G95"/>
      <c r="H95"/>
      <c r="I95"/>
      <c r="J95"/>
    </row>
    <row r="96" spans="2:10">
      <c r="B96" s="48"/>
      <c r="C96" s="46"/>
      <c r="D96" s="65" t="s">
        <v>830</v>
      </c>
      <c r="E96" s="68">
        <v>1000</v>
      </c>
      <c r="F96"/>
      <c r="G96"/>
      <c r="H96"/>
      <c r="I96"/>
      <c r="J96"/>
    </row>
    <row r="97" spans="2:10">
      <c r="B97" s="48"/>
      <c r="C97" s="46"/>
      <c r="D97" s="65" t="s">
        <v>831</v>
      </c>
      <c r="E97" s="68">
        <v>1000</v>
      </c>
      <c r="F97"/>
      <c r="G97"/>
      <c r="H97"/>
      <c r="I97"/>
      <c r="J97"/>
    </row>
    <row r="98" spans="2:10">
      <c r="B98" s="48"/>
      <c r="C98" s="46"/>
      <c r="D98" s="65" t="s">
        <v>840</v>
      </c>
      <c r="E98" s="68">
        <v>1000</v>
      </c>
      <c r="F98"/>
      <c r="G98"/>
      <c r="H98"/>
      <c r="I98"/>
      <c r="J98"/>
    </row>
    <row r="99" spans="2:10">
      <c r="B99" s="48"/>
      <c r="C99" s="46"/>
      <c r="D99" s="65" t="s">
        <v>845</v>
      </c>
      <c r="E99" s="68">
        <v>500</v>
      </c>
      <c r="F99"/>
      <c r="G99"/>
      <c r="H99"/>
      <c r="I99"/>
      <c r="J99"/>
    </row>
    <row r="100" spans="2:10">
      <c r="B100" s="48"/>
      <c r="C100" s="46"/>
      <c r="D100" s="65" t="s">
        <v>846</v>
      </c>
      <c r="E100" s="68">
        <v>500</v>
      </c>
      <c r="F100"/>
      <c r="G100"/>
      <c r="H100"/>
      <c r="I100"/>
      <c r="J100"/>
    </row>
    <row r="101" spans="2:10">
      <c r="B101" s="48"/>
      <c r="C101" s="46"/>
      <c r="D101" s="65" t="s">
        <v>847</v>
      </c>
      <c r="E101" s="68">
        <v>500</v>
      </c>
      <c r="F101"/>
      <c r="G101"/>
      <c r="H101"/>
      <c r="I101"/>
      <c r="J101"/>
    </row>
    <row r="102" spans="2:10">
      <c r="B102" s="48"/>
      <c r="C102" s="46"/>
      <c r="D102" s="65" t="s">
        <v>848</v>
      </c>
      <c r="E102" s="68">
        <v>500</v>
      </c>
      <c r="F102"/>
      <c r="G102"/>
      <c r="H102"/>
      <c r="I102"/>
      <c r="J102"/>
    </row>
    <row r="103" spans="2:10">
      <c r="B103" s="48"/>
      <c r="C103" s="46"/>
      <c r="D103" s="65" t="s">
        <v>1220</v>
      </c>
      <c r="E103" s="68">
        <v>500</v>
      </c>
      <c r="F103"/>
      <c r="G103"/>
      <c r="H103"/>
      <c r="I103"/>
      <c r="J103"/>
    </row>
    <row r="104" spans="2:10">
      <c r="B104" s="48"/>
      <c r="C104" s="46"/>
      <c r="D104" s="65" t="s">
        <v>1221</v>
      </c>
      <c r="E104" s="68">
        <v>500</v>
      </c>
      <c r="F104"/>
      <c r="G104"/>
      <c r="H104"/>
      <c r="I104"/>
      <c r="J104"/>
    </row>
    <row r="105" spans="2:10">
      <c r="B105" s="48"/>
      <c r="C105" s="46"/>
      <c r="D105" s="65" t="s">
        <v>1229</v>
      </c>
      <c r="E105" s="68">
        <v>700</v>
      </c>
      <c r="F105"/>
      <c r="G105"/>
      <c r="H105"/>
      <c r="I105"/>
      <c r="J105"/>
    </row>
    <row r="106" spans="2:10">
      <c r="B106" s="48"/>
      <c r="C106" s="46"/>
      <c r="D106" s="65" t="s">
        <v>1230</v>
      </c>
      <c r="E106" s="68">
        <v>500</v>
      </c>
      <c r="F106"/>
      <c r="G106"/>
      <c r="H106"/>
      <c r="I106"/>
      <c r="J106"/>
    </row>
    <row r="107" spans="2:10">
      <c r="B107" s="48"/>
      <c r="C107" s="46"/>
      <c r="D107" s="65" t="s">
        <v>1231</v>
      </c>
      <c r="E107" s="68">
        <v>700</v>
      </c>
      <c r="F107"/>
      <c r="G107"/>
      <c r="H107"/>
      <c r="I107"/>
      <c r="J107"/>
    </row>
    <row r="108" spans="2:10">
      <c r="B108" s="48"/>
      <c r="C108" s="46"/>
      <c r="D108" s="65" t="s">
        <v>1232</v>
      </c>
      <c r="E108" s="68">
        <v>1000</v>
      </c>
      <c r="F108"/>
      <c r="G108"/>
      <c r="H108"/>
      <c r="I108"/>
      <c r="J108"/>
    </row>
    <row r="109" spans="2:10">
      <c r="B109" s="48"/>
      <c r="C109" s="46"/>
      <c r="D109" s="65" t="s">
        <v>1128</v>
      </c>
      <c r="E109" s="68">
        <v>700</v>
      </c>
      <c r="F109"/>
      <c r="G109"/>
      <c r="H109"/>
      <c r="I109"/>
      <c r="J109"/>
    </row>
    <row r="110" spans="2:10">
      <c r="B110" s="48"/>
      <c r="C110" s="46"/>
      <c r="D110" s="65" t="s">
        <v>1233</v>
      </c>
      <c r="E110" s="68">
        <v>1000</v>
      </c>
      <c r="F110"/>
      <c r="G110"/>
      <c r="H110"/>
      <c r="I110"/>
      <c r="J110"/>
    </row>
    <row r="111" spans="2:10">
      <c r="B111" s="48"/>
      <c r="C111" s="46"/>
      <c r="D111" s="65" t="s">
        <v>1234</v>
      </c>
      <c r="E111" s="68">
        <v>500</v>
      </c>
      <c r="F111"/>
      <c r="G111"/>
      <c r="H111"/>
      <c r="I111"/>
      <c r="J111"/>
    </row>
    <row r="112" spans="2:10">
      <c r="B112" s="48"/>
      <c r="C112" s="46"/>
      <c r="D112" s="65" t="s">
        <v>1129</v>
      </c>
      <c r="E112" s="68">
        <v>700</v>
      </c>
      <c r="F112"/>
      <c r="G112"/>
      <c r="H112"/>
      <c r="I112"/>
      <c r="J112"/>
    </row>
    <row r="113" spans="2:10">
      <c r="B113" s="48"/>
      <c r="C113" s="46"/>
      <c r="D113" s="65" t="s">
        <v>1130</v>
      </c>
      <c r="E113" s="68">
        <v>500</v>
      </c>
      <c r="F113"/>
      <c r="G113"/>
      <c r="H113"/>
      <c r="I113"/>
      <c r="J113"/>
    </row>
    <row r="114" spans="2:10">
      <c r="B114" s="48"/>
      <c r="C114" s="46"/>
      <c r="D114" s="65" t="s">
        <v>1238</v>
      </c>
      <c r="E114" s="68">
        <v>1500</v>
      </c>
      <c r="F114"/>
      <c r="G114"/>
      <c r="H114"/>
      <c r="I114"/>
      <c r="J114"/>
    </row>
    <row r="115" spans="2:10">
      <c r="B115" s="48"/>
      <c r="C115" s="46"/>
      <c r="D115" s="65" t="s">
        <v>999</v>
      </c>
      <c r="E115" s="68">
        <v>4500</v>
      </c>
      <c r="F115"/>
      <c r="G115"/>
      <c r="H115"/>
      <c r="I115"/>
      <c r="J115"/>
    </row>
    <row r="116" spans="2:10">
      <c r="B116" s="48"/>
      <c r="C116" s="46"/>
      <c r="D116" s="65" t="s">
        <v>1239</v>
      </c>
      <c r="E116" s="68">
        <v>500</v>
      </c>
      <c r="F116"/>
      <c r="G116"/>
      <c r="H116"/>
      <c r="I116"/>
      <c r="J116"/>
    </row>
    <row r="117" spans="2:10">
      <c r="B117" s="48"/>
      <c r="C117" s="46"/>
      <c r="D117" s="65" t="s">
        <v>1404</v>
      </c>
      <c r="E117" s="68">
        <v>1000</v>
      </c>
      <c r="F117"/>
      <c r="G117"/>
      <c r="H117"/>
      <c r="I117"/>
      <c r="J117"/>
    </row>
    <row r="118" spans="2:10">
      <c r="B118" s="48"/>
      <c r="C118" s="46"/>
      <c r="D118" s="65" t="s">
        <v>1405</v>
      </c>
      <c r="E118" s="68">
        <v>700</v>
      </c>
      <c r="F118"/>
      <c r="G118"/>
      <c r="H118"/>
      <c r="I118"/>
      <c r="J118"/>
    </row>
    <row r="119" spans="2:10">
      <c r="B119" s="48"/>
      <c r="C119" s="46"/>
      <c r="D119" s="65" t="s">
        <v>1406</v>
      </c>
      <c r="E119" s="68">
        <v>500</v>
      </c>
      <c r="F119"/>
      <c r="G119"/>
      <c r="H119"/>
      <c r="I119"/>
      <c r="J119"/>
    </row>
    <row r="120" spans="2:10">
      <c r="B120" s="48"/>
      <c r="C120" s="46"/>
      <c r="D120" s="65" t="s">
        <v>925</v>
      </c>
      <c r="E120" s="68">
        <v>500</v>
      </c>
      <c r="F120"/>
      <c r="G120"/>
      <c r="H120"/>
      <c r="I120"/>
      <c r="J120"/>
    </row>
    <row r="121" spans="2:10">
      <c r="B121" s="48"/>
      <c r="C121" s="46"/>
      <c r="D121" s="65" t="s">
        <v>1407</v>
      </c>
      <c r="E121" s="68">
        <v>1500</v>
      </c>
      <c r="F121"/>
      <c r="G121"/>
      <c r="H121"/>
      <c r="I121"/>
      <c r="J121"/>
    </row>
    <row r="122" spans="2:10">
      <c r="B122" s="48"/>
      <c r="C122" s="46"/>
      <c r="D122" s="65" t="s">
        <v>1067</v>
      </c>
      <c r="E122" s="68">
        <v>1000</v>
      </c>
      <c r="F122"/>
      <c r="G122"/>
      <c r="H122"/>
      <c r="I122"/>
      <c r="J122"/>
    </row>
    <row r="123" spans="2:10">
      <c r="B123" s="48"/>
      <c r="C123" s="46"/>
      <c r="D123" s="65" t="s">
        <v>1409</v>
      </c>
      <c r="E123" s="68">
        <v>1500</v>
      </c>
      <c r="F123"/>
      <c r="G123"/>
      <c r="H123"/>
      <c r="I123"/>
      <c r="J123"/>
    </row>
    <row r="124" spans="2:10">
      <c r="B124" s="48"/>
      <c r="C124" s="46"/>
      <c r="D124" s="65" t="s">
        <v>1410</v>
      </c>
      <c r="E124" s="68">
        <v>1500</v>
      </c>
      <c r="F124"/>
      <c r="G124"/>
      <c r="H124"/>
      <c r="I124"/>
      <c r="J124"/>
    </row>
    <row r="125" spans="2:10">
      <c r="B125" s="48"/>
      <c r="C125" s="46"/>
      <c r="D125" s="65" t="s">
        <v>1068</v>
      </c>
      <c r="E125" s="68">
        <v>1000</v>
      </c>
      <c r="F125"/>
      <c r="G125"/>
      <c r="H125"/>
      <c r="I125"/>
      <c r="J125"/>
    </row>
    <row r="126" spans="2:10">
      <c r="B126" s="48"/>
      <c r="C126" s="46"/>
      <c r="D126" s="65" t="s">
        <v>1408</v>
      </c>
      <c r="E126" s="68">
        <v>1500</v>
      </c>
      <c r="F126"/>
      <c r="G126"/>
      <c r="H126"/>
      <c r="I126"/>
      <c r="J126"/>
    </row>
    <row r="127" spans="2:10">
      <c r="B127" s="48"/>
      <c r="C127" s="46"/>
      <c r="D127" s="65" t="s">
        <v>1069</v>
      </c>
      <c r="E127" s="68">
        <v>2000</v>
      </c>
      <c r="F127"/>
      <c r="G127"/>
      <c r="H127"/>
      <c r="I127"/>
      <c r="J127"/>
    </row>
    <row r="128" spans="2:10">
      <c r="B128" s="48"/>
      <c r="C128" s="46"/>
      <c r="D128" s="65" t="s">
        <v>926</v>
      </c>
      <c r="E128" s="68">
        <v>500</v>
      </c>
      <c r="F128"/>
      <c r="G128"/>
      <c r="H128"/>
      <c r="I128"/>
      <c r="J128"/>
    </row>
    <row r="129" spans="2:10">
      <c r="B129" s="48"/>
      <c r="C129" s="46"/>
      <c r="D129" s="65" t="s">
        <v>928</v>
      </c>
      <c r="E129" s="68">
        <v>500</v>
      </c>
      <c r="F129"/>
      <c r="G129"/>
      <c r="H129"/>
      <c r="I129"/>
      <c r="J129"/>
    </row>
    <row r="130" spans="2:10">
      <c r="B130" s="48"/>
      <c r="C130" s="46"/>
      <c r="D130" s="65" t="s">
        <v>927</v>
      </c>
      <c r="E130" s="68">
        <v>1000</v>
      </c>
      <c r="F130"/>
      <c r="G130"/>
      <c r="H130"/>
      <c r="I130"/>
      <c r="J130"/>
    </row>
    <row r="131" spans="2:10">
      <c r="B131" s="48"/>
      <c r="C131" s="46"/>
      <c r="D131" s="65" t="s">
        <v>929</v>
      </c>
      <c r="E131" s="68">
        <v>300</v>
      </c>
      <c r="F131"/>
      <c r="G131"/>
      <c r="H131"/>
      <c r="I131"/>
      <c r="J131"/>
    </row>
    <row r="132" spans="2:10">
      <c r="B132" s="48"/>
      <c r="C132" s="46"/>
      <c r="D132" s="65" t="s">
        <v>1070</v>
      </c>
      <c r="E132" s="68">
        <v>1000</v>
      </c>
      <c r="F132"/>
      <c r="G132"/>
      <c r="H132"/>
      <c r="I132"/>
      <c r="J132"/>
    </row>
    <row r="133" spans="2:10">
      <c r="B133" s="48"/>
      <c r="C133" s="46"/>
      <c r="D133" s="65" t="s">
        <v>930</v>
      </c>
      <c r="E133" s="68">
        <v>300</v>
      </c>
      <c r="F133"/>
      <c r="G133"/>
      <c r="H133"/>
      <c r="I133"/>
      <c r="J133"/>
    </row>
    <row r="134" spans="2:10">
      <c r="B134" s="48"/>
      <c r="C134" s="46"/>
      <c r="D134" s="65" t="s">
        <v>1411</v>
      </c>
      <c r="E134" s="68">
        <v>500</v>
      </c>
      <c r="F134"/>
      <c r="G134"/>
      <c r="H134"/>
      <c r="I134"/>
      <c r="J134"/>
    </row>
    <row r="135" spans="2:10">
      <c r="B135" s="48"/>
      <c r="C135" s="46"/>
      <c r="D135" s="65" t="s">
        <v>1071</v>
      </c>
      <c r="E135" s="68">
        <v>1000</v>
      </c>
      <c r="F135"/>
      <c r="G135"/>
      <c r="H135"/>
      <c r="I135"/>
      <c r="J135"/>
    </row>
    <row r="136" spans="2:10">
      <c r="B136" s="48"/>
      <c r="C136" s="46"/>
      <c r="D136" s="65" t="s">
        <v>921</v>
      </c>
      <c r="E136" s="68">
        <v>1400</v>
      </c>
      <c r="F136"/>
      <c r="G136"/>
      <c r="H136"/>
      <c r="I136"/>
      <c r="J136"/>
    </row>
    <row r="137" spans="2:10">
      <c r="B137" s="48"/>
      <c r="C137" s="46"/>
      <c r="D137" s="65" t="s">
        <v>1244</v>
      </c>
      <c r="E137" s="68">
        <v>1000</v>
      </c>
      <c r="F137"/>
      <c r="G137"/>
      <c r="H137"/>
      <c r="I137"/>
      <c r="J137"/>
    </row>
    <row r="138" spans="2:10">
      <c r="B138" s="48"/>
      <c r="C138" s="46"/>
      <c r="D138" s="65" t="s">
        <v>997</v>
      </c>
      <c r="E138" s="68">
        <v>5000</v>
      </c>
      <c r="F138"/>
      <c r="G138"/>
      <c r="H138"/>
      <c r="I138"/>
      <c r="J138"/>
    </row>
    <row r="139" spans="2:10">
      <c r="B139" s="48"/>
      <c r="C139" s="46"/>
      <c r="D139" s="65" t="s">
        <v>996</v>
      </c>
      <c r="E139" s="68">
        <v>10000</v>
      </c>
      <c r="F139"/>
      <c r="G139"/>
      <c r="H139"/>
      <c r="I139"/>
      <c r="J139"/>
    </row>
    <row r="140" spans="2:10">
      <c r="B140" s="48"/>
      <c r="C140" s="46"/>
      <c r="D140" s="65" t="s">
        <v>1245</v>
      </c>
      <c r="E140" s="68">
        <v>1000</v>
      </c>
      <c r="F140"/>
      <c r="G140"/>
      <c r="H140"/>
      <c r="I140"/>
      <c r="J140"/>
    </row>
    <row r="141" spans="2:10">
      <c r="B141" s="48"/>
      <c r="C141" s="46"/>
      <c r="D141" s="65" t="s">
        <v>998</v>
      </c>
      <c r="E141" s="68">
        <v>5000</v>
      </c>
      <c r="F141"/>
      <c r="G141"/>
      <c r="H141"/>
      <c r="I141"/>
      <c r="J141"/>
    </row>
    <row r="142" spans="2:10">
      <c r="B142" s="48"/>
      <c r="C142" s="46"/>
      <c r="D142" s="65" t="s">
        <v>920</v>
      </c>
      <c r="E142" s="68">
        <v>9000</v>
      </c>
      <c r="F142"/>
      <c r="G142"/>
      <c r="H142"/>
      <c r="I142"/>
      <c r="J142"/>
    </row>
    <row r="143" spans="2:10">
      <c r="B143" s="48"/>
      <c r="C143" s="46"/>
      <c r="D143" s="65" t="s">
        <v>1025</v>
      </c>
      <c r="E143" s="68">
        <v>2000</v>
      </c>
      <c r="F143"/>
      <c r="G143"/>
      <c r="H143"/>
      <c r="I143"/>
      <c r="J143"/>
    </row>
    <row r="144" spans="2:10">
      <c r="B144" s="48"/>
      <c r="C144" s="46"/>
      <c r="D144" s="65" t="s">
        <v>1023</v>
      </c>
      <c r="E144" s="68">
        <v>2000</v>
      </c>
      <c r="F144"/>
      <c r="G144"/>
      <c r="H144"/>
      <c r="I144"/>
      <c r="J144"/>
    </row>
    <row r="145" spans="2:10">
      <c r="B145" s="48"/>
      <c r="C145" s="46"/>
      <c r="D145" s="65" t="s">
        <v>1024</v>
      </c>
      <c r="E145" s="68">
        <v>1000</v>
      </c>
      <c r="F145"/>
      <c r="G145"/>
      <c r="H145"/>
      <c r="I145"/>
      <c r="J145"/>
    </row>
    <row r="146" spans="2:10">
      <c r="B146" s="48"/>
      <c r="C146" s="46"/>
      <c r="D146" s="65" t="s">
        <v>1026</v>
      </c>
      <c r="E146" s="68">
        <v>1000</v>
      </c>
      <c r="F146"/>
      <c r="G146"/>
      <c r="H146"/>
      <c r="I146"/>
      <c r="J146"/>
    </row>
    <row r="147" spans="2:10">
      <c r="B147" s="48"/>
      <c r="C147" s="46"/>
      <c r="D147" s="65" t="s">
        <v>1149</v>
      </c>
      <c r="E147" s="68">
        <v>1000</v>
      </c>
      <c r="F147"/>
      <c r="G147"/>
      <c r="H147"/>
      <c r="I147"/>
      <c r="J147"/>
    </row>
    <row r="148" spans="2:10">
      <c r="B148" s="48"/>
      <c r="C148" s="46"/>
      <c r="D148" s="65" t="s">
        <v>1148</v>
      </c>
      <c r="E148" s="68">
        <v>1500</v>
      </c>
      <c r="F148"/>
      <c r="G148"/>
      <c r="H148"/>
      <c r="I148"/>
      <c r="J148"/>
    </row>
    <row r="149" spans="2:10">
      <c r="B149" s="48"/>
      <c r="C149" s="46"/>
      <c r="D149" s="65" t="s">
        <v>922</v>
      </c>
      <c r="E149" s="68">
        <v>500</v>
      </c>
      <c r="F149"/>
      <c r="G149"/>
      <c r="H149"/>
      <c r="I149"/>
      <c r="J149"/>
    </row>
    <row r="150" spans="2:10">
      <c r="B150" s="48"/>
      <c r="C150" s="46"/>
      <c r="D150" s="65" t="s">
        <v>923</v>
      </c>
      <c r="E150" s="68">
        <v>400</v>
      </c>
      <c r="F150"/>
      <c r="G150"/>
      <c r="H150"/>
      <c r="I150"/>
      <c r="J150"/>
    </row>
    <row r="151" spans="2:10">
      <c r="B151" s="48"/>
      <c r="C151" s="46"/>
      <c r="D151" s="65" t="s">
        <v>1380</v>
      </c>
      <c r="E151" s="68">
        <v>700</v>
      </c>
      <c r="F151"/>
      <c r="G151"/>
      <c r="H151"/>
      <c r="I151"/>
      <c r="J151"/>
    </row>
    <row r="152" spans="2:10">
      <c r="B152" s="48"/>
      <c r="C152" s="46"/>
      <c r="D152" s="65" t="s">
        <v>924</v>
      </c>
      <c r="E152" s="68">
        <v>400</v>
      </c>
      <c r="F152"/>
      <c r="G152"/>
      <c r="H152"/>
      <c r="I152"/>
      <c r="J152"/>
    </row>
    <row r="153" spans="2:10">
      <c r="B153" s="48"/>
      <c r="C153" s="46"/>
      <c r="D153" s="65" t="s">
        <v>854</v>
      </c>
      <c r="E153" s="68">
        <v>800</v>
      </c>
      <c r="F153"/>
      <c r="G153"/>
      <c r="H153"/>
      <c r="I153"/>
      <c r="J153"/>
    </row>
    <row r="154" spans="2:10">
      <c r="B154" s="48"/>
      <c r="C154" s="46"/>
      <c r="D154" s="65" t="s">
        <v>1500</v>
      </c>
      <c r="E154" s="68">
        <v>5000</v>
      </c>
      <c r="F154"/>
      <c r="G154"/>
      <c r="H154"/>
      <c r="I154"/>
      <c r="J154"/>
    </row>
    <row r="155" spans="2:10">
      <c r="B155" s="48"/>
      <c r="C155" s="46"/>
      <c r="D155" s="65" t="s">
        <v>1501</v>
      </c>
      <c r="E155" s="68">
        <v>5000</v>
      </c>
      <c r="F155"/>
      <c r="G155"/>
      <c r="H155"/>
      <c r="I155"/>
      <c r="J155"/>
    </row>
    <row r="156" spans="2:10">
      <c r="B156" s="48"/>
      <c r="C156" s="46"/>
      <c r="D156" s="65" t="s">
        <v>1502</v>
      </c>
      <c r="E156" s="68">
        <v>3000</v>
      </c>
      <c r="F156"/>
      <c r="G156"/>
      <c r="H156"/>
      <c r="I156"/>
      <c r="J156"/>
    </row>
    <row r="157" spans="2:10">
      <c r="B157" s="48"/>
      <c r="C157" s="46"/>
      <c r="D157" s="65" t="s">
        <v>1503</v>
      </c>
      <c r="E157" s="68">
        <v>2000</v>
      </c>
      <c r="F157"/>
      <c r="G157"/>
      <c r="H157"/>
      <c r="I157"/>
      <c r="J157"/>
    </row>
    <row r="158" spans="2:10">
      <c r="B158" s="48"/>
      <c r="C158" s="46"/>
      <c r="D158" s="65" t="s">
        <v>1504</v>
      </c>
      <c r="E158" s="68">
        <v>2500</v>
      </c>
      <c r="F158"/>
      <c r="G158"/>
      <c r="H158"/>
      <c r="I158"/>
      <c r="J158"/>
    </row>
    <row r="159" spans="2:10">
      <c r="B159" s="48"/>
      <c r="C159" s="46"/>
      <c r="D159" s="65" t="s">
        <v>1505</v>
      </c>
      <c r="E159" s="68">
        <v>3000</v>
      </c>
      <c r="F159"/>
      <c r="G159"/>
      <c r="H159"/>
      <c r="I159"/>
      <c r="J159"/>
    </row>
    <row r="160" spans="2:10">
      <c r="B160" s="48"/>
      <c r="C160" s="46"/>
      <c r="D160" s="65" t="s">
        <v>1536</v>
      </c>
      <c r="E160" s="68">
        <v>1500</v>
      </c>
      <c r="F160"/>
      <c r="G160"/>
      <c r="H160"/>
      <c r="I160"/>
      <c r="J160"/>
    </row>
    <row r="161" spans="2:10">
      <c r="B161" s="48"/>
      <c r="C161" s="46"/>
      <c r="D161" s="65" t="s">
        <v>1537</v>
      </c>
      <c r="E161" s="68">
        <v>1000</v>
      </c>
      <c r="F161"/>
      <c r="G161"/>
      <c r="H161"/>
      <c r="I161"/>
      <c r="J161"/>
    </row>
    <row r="162" spans="2:10">
      <c r="B162" s="48"/>
      <c r="C162" s="46"/>
      <c r="D162" s="65" t="s">
        <v>1538</v>
      </c>
      <c r="E162" s="68">
        <v>700</v>
      </c>
      <c r="F162"/>
      <c r="G162"/>
      <c r="H162"/>
      <c r="I162"/>
      <c r="J162"/>
    </row>
    <row r="163" spans="2:10">
      <c r="B163" s="48"/>
      <c r="C163" s="46"/>
      <c r="D163" s="65" t="s">
        <v>1539</v>
      </c>
      <c r="E163" s="68">
        <v>1000</v>
      </c>
      <c r="F163"/>
      <c r="G163"/>
      <c r="H163"/>
      <c r="I163"/>
      <c r="J163"/>
    </row>
    <row r="164" spans="2:10">
      <c r="B164" s="48"/>
      <c r="C164" s="46"/>
      <c r="D164" s="65" t="s">
        <v>1571</v>
      </c>
      <c r="E164" s="68">
        <v>700</v>
      </c>
      <c r="F164"/>
      <c r="G164"/>
      <c r="H164"/>
      <c r="I164"/>
      <c r="J164"/>
    </row>
    <row r="165" spans="2:10">
      <c r="B165" s="48"/>
      <c r="C165" s="46"/>
      <c r="D165" s="65" t="s">
        <v>1572</v>
      </c>
      <c r="E165" s="68">
        <v>700</v>
      </c>
      <c r="F165"/>
      <c r="G165"/>
      <c r="H165"/>
      <c r="I165"/>
      <c r="J165"/>
    </row>
    <row r="166" spans="2:10">
      <c r="B166" s="48"/>
      <c r="C166" s="46"/>
      <c r="D166" s="65" t="s">
        <v>1573</v>
      </c>
      <c r="E166" s="68">
        <v>700</v>
      </c>
      <c r="F166"/>
      <c r="G166"/>
      <c r="H166"/>
      <c r="I166"/>
      <c r="J166"/>
    </row>
    <row r="167" spans="2:10">
      <c r="B167" s="48"/>
      <c r="C167" s="46"/>
      <c r="D167" s="65" t="s">
        <v>1574</v>
      </c>
      <c r="E167" s="68">
        <v>300</v>
      </c>
      <c r="F167"/>
      <c r="G167"/>
      <c r="H167"/>
      <c r="I167"/>
      <c r="J167"/>
    </row>
    <row r="168" spans="2:10">
      <c r="B168" s="48"/>
      <c r="C168" s="46"/>
      <c r="D168" s="65" t="s">
        <v>1575</v>
      </c>
      <c r="E168" s="68">
        <v>500</v>
      </c>
      <c r="F168"/>
      <c r="G168"/>
      <c r="H168"/>
      <c r="I168"/>
      <c r="J168"/>
    </row>
    <row r="169" spans="2:10">
      <c r="B169" s="48"/>
      <c r="C169" s="46"/>
      <c r="D169" s="65" t="s">
        <v>1576</v>
      </c>
      <c r="E169" s="68">
        <v>1000</v>
      </c>
      <c r="F169"/>
      <c r="G169"/>
      <c r="H169"/>
      <c r="I169"/>
      <c r="J169"/>
    </row>
    <row r="170" spans="2:10">
      <c r="B170" s="48"/>
      <c r="C170" s="46"/>
      <c r="D170" s="65" t="s">
        <v>1577</v>
      </c>
      <c r="E170" s="68">
        <v>1000</v>
      </c>
      <c r="F170"/>
      <c r="G170"/>
      <c r="H170"/>
      <c r="I170"/>
      <c r="J170"/>
    </row>
    <row r="171" spans="2:10">
      <c r="B171" s="48"/>
      <c r="C171" s="46"/>
      <c r="D171" s="65" t="s">
        <v>1578</v>
      </c>
      <c r="E171" s="68">
        <v>1000</v>
      </c>
      <c r="F171"/>
      <c r="G171"/>
      <c r="H171"/>
      <c r="I171"/>
      <c r="J171"/>
    </row>
    <row r="172" spans="2:10">
      <c r="B172" s="48"/>
      <c r="C172" s="46"/>
      <c r="D172" s="65" t="s">
        <v>1579</v>
      </c>
      <c r="E172" s="68">
        <v>1000</v>
      </c>
      <c r="F172"/>
      <c r="G172"/>
      <c r="H172"/>
      <c r="I172"/>
      <c r="J172"/>
    </row>
    <row r="173" spans="2:10">
      <c r="B173" s="48"/>
      <c r="C173" s="46"/>
      <c r="D173" s="65" t="s">
        <v>1580</v>
      </c>
      <c r="E173" s="68">
        <v>700</v>
      </c>
      <c r="F173"/>
      <c r="G173"/>
      <c r="H173"/>
      <c r="I173"/>
      <c r="J173"/>
    </row>
    <row r="174" spans="2:10">
      <c r="B174" s="48"/>
      <c r="C174" s="46"/>
      <c r="D174" s="65" t="s">
        <v>1581</v>
      </c>
      <c r="E174" s="68">
        <v>1000</v>
      </c>
      <c r="F174"/>
      <c r="G174"/>
      <c r="H174"/>
      <c r="I174"/>
      <c r="J174"/>
    </row>
    <row r="175" spans="2:10">
      <c r="B175" s="48"/>
      <c r="C175" s="46"/>
      <c r="D175" s="65" t="s">
        <v>1582</v>
      </c>
      <c r="E175" s="68">
        <v>500</v>
      </c>
      <c r="F175"/>
      <c r="G175"/>
      <c r="H175"/>
      <c r="I175"/>
      <c r="J175"/>
    </row>
    <row r="176" spans="2:10">
      <c r="B176" s="48"/>
      <c r="C176" s="46"/>
      <c r="D176" s="65" t="s">
        <v>1583</v>
      </c>
      <c r="E176" s="68">
        <v>500</v>
      </c>
      <c r="F176"/>
      <c r="G176"/>
      <c r="H176"/>
      <c r="I176"/>
      <c r="J176"/>
    </row>
    <row r="177" spans="2:10">
      <c r="B177" s="48"/>
      <c r="C177" s="46"/>
      <c r="D177" s="65" t="s">
        <v>1584</v>
      </c>
      <c r="E177" s="68">
        <v>500</v>
      </c>
      <c r="F177"/>
      <c r="G177"/>
      <c r="H177"/>
      <c r="I177"/>
      <c r="J177"/>
    </row>
    <row r="178" spans="2:10">
      <c r="B178" s="48"/>
      <c r="C178" s="46"/>
      <c r="D178" s="65" t="s">
        <v>1585</v>
      </c>
      <c r="E178" s="68">
        <v>500</v>
      </c>
      <c r="F178"/>
      <c r="G178"/>
      <c r="H178"/>
      <c r="I178"/>
      <c r="J178"/>
    </row>
    <row r="179" spans="2:10">
      <c r="B179" s="48"/>
      <c r="C179" s="46"/>
      <c r="D179" s="65" t="s">
        <v>1586</v>
      </c>
      <c r="E179" s="68">
        <v>500</v>
      </c>
      <c r="F179"/>
      <c r="G179"/>
      <c r="H179"/>
      <c r="I179"/>
      <c r="J179"/>
    </row>
    <row r="180" spans="2:10">
      <c r="B180" s="48"/>
      <c r="C180" s="46"/>
      <c r="D180" s="65" t="s">
        <v>1587</v>
      </c>
      <c r="E180" s="68">
        <v>500</v>
      </c>
      <c r="F180"/>
      <c r="G180"/>
      <c r="H180"/>
      <c r="I180"/>
      <c r="J180"/>
    </row>
    <row r="181" spans="2:10">
      <c r="B181" s="48"/>
      <c r="C181" s="46"/>
      <c r="D181" s="65" t="s">
        <v>1588</v>
      </c>
      <c r="E181" s="68">
        <v>500</v>
      </c>
      <c r="F181"/>
      <c r="G181"/>
      <c r="H181"/>
      <c r="I181"/>
      <c r="J181"/>
    </row>
    <row r="182" spans="2:10">
      <c r="B182" s="48"/>
      <c r="C182" s="46"/>
      <c r="D182" s="65" t="s">
        <v>1597</v>
      </c>
      <c r="E182" s="68">
        <v>1000</v>
      </c>
      <c r="F182"/>
      <c r="G182"/>
      <c r="H182"/>
      <c r="I182"/>
      <c r="J182"/>
    </row>
    <row r="183" spans="2:10">
      <c r="B183" s="48"/>
      <c r="C183" s="46"/>
      <c r="D183" s="65" t="s">
        <v>1598</v>
      </c>
      <c r="E183" s="68">
        <v>500</v>
      </c>
      <c r="F183"/>
      <c r="G183"/>
      <c r="H183"/>
      <c r="I183"/>
      <c r="J183"/>
    </row>
    <row r="184" spans="2:10">
      <c r="B184" s="48"/>
      <c r="C184" s="46"/>
      <c r="D184" s="65" t="s">
        <v>1599</v>
      </c>
      <c r="E184" s="68">
        <v>1000</v>
      </c>
      <c r="F184"/>
      <c r="G184"/>
      <c r="H184"/>
      <c r="I184"/>
      <c r="J184"/>
    </row>
    <row r="185" spans="2:10">
      <c r="B185" s="48"/>
      <c r="C185" s="46"/>
      <c r="D185" s="65" t="s">
        <v>1600</v>
      </c>
      <c r="E185" s="68">
        <v>700</v>
      </c>
      <c r="F185"/>
      <c r="G185"/>
      <c r="H185"/>
      <c r="I185"/>
      <c r="J185"/>
    </row>
    <row r="186" spans="2:10">
      <c r="B186" s="51" t="s">
        <v>791</v>
      </c>
      <c r="C186" s="52"/>
      <c r="D186" s="53"/>
      <c r="E186" s="70">
        <v>249500</v>
      </c>
      <c r="F186"/>
      <c r="G186"/>
      <c r="H186"/>
      <c r="I186"/>
      <c r="J186"/>
    </row>
    <row r="187" spans="2:10">
      <c r="B187" s="54" t="s">
        <v>39</v>
      </c>
      <c r="C187" s="13"/>
      <c r="D187" s="55"/>
      <c r="E187" s="69">
        <v>249500</v>
      </c>
      <c r="F187"/>
      <c r="G187"/>
      <c r="H187"/>
      <c r="I187"/>
      <c r="J187"/>
    </row>
    <row r="188" spans="2:10">
      <c r="B188"/>
      <c r="C188"/>
      <c r="D188"/>
      <c r="E188"/>
      <c r="F188"/>
      <c r="G188"/>
      <c r="H188"/>
      <c r="I188"/>
      <c r="J188"/>
    </row>
    <row r="189" spans="2:10">
      <c r="B189"/>
      <c r="C189"/>
      <c r="D189"/>
      <c r="E189"/>
      <c r="F189"/>
      <c r="G189"/>
      <c r="H189"/>
      <c r="I189"/>
      <c r="J189"/>
    </row>
    <row r="190" spans="2:10">
      <c r="B190"/>
      <c r="C190"/>
      <c r="D190"/>
      <c r="E190"/>
      <c r="F190"/>
      <c r="G190"/>
      <c r="H190"/>
      <c r="I190"/>
      <c r="J190"/>
    </row>
    <row r="191" spans="2:10">
      <c r="B191"/>
      <c r="C191"/>
      <c r="D191"/>
      <c r="E191"/>
      <c r="F191"/>
      <c r="G191"/>
      <c r="H191"/>
      <c r="I191"/>
      <c r="J191"/>
    </row>
    <row r="192" spans="2:10">
      <c r="B192"/>
      <c r="C192"/>
      <c r="D192"/>
      <c r="E192"/>
      <c r="F192"/>
      <c r="G192"/>
      <c r="H192"/>
      <c r="I192"/>
      <c r="J192"/>
    </row>
    <row r="193" spans="2:10">
      <c r="B193"/>
      <c r="C193"/>
      <c r="D193"/>
      <c r="E193"/>
      <c r="F193"/>
      <c r="G193"/>
      <c r="H193"/>
      <c r="I193"/>
      <c r="J193"/>
    </row>
    <row r="194" spans="2:10">
      <c r="B194"/>
      <c r="C194"/>
      <c r="D194"/>
      <c r="E194"/>
      <c r="F194"/>
      <c r="G194"/>
      <c r="H194"/>
      <c r="I194"/>
      <c r="J194"/>
    </row>
    <row r="195" spans="2:10">
      <c r="B195"/>
      <c r="C195"/>
      <c r="D195"/>
      <c r="E195"/>
      <c r="F195"/>
      <c r="G195"/>
      <c r="H195"/>
      <c r="I195"/>
      <c r="J195"/>
    </row>
    <row r="196" spans="2:10">
      <c r="B196"/>
      <c r="C196"/>
      <c r="D196"/>
      <c r="E196"/>
      <c r="F196"/>
      <c r="G196"/>
      <c r="H196"/>
      <c r="I196"/>
      <c r="J196"/>
    </row>
    <row r="197" spans="2:10">
      <c r="B197"/>
      <c r="C197"/>
      <c r="D197"/>
      <c r="E197"/>
      <c r="F197"/>
      <c r="G197"/>
      <c r="H197"/>
      <c r="I197"/>
      <c r="J197"/>
    </row>
    <row r="198" spans="2:10">
      <c r="B198"/>
      <c r="C198"/>
      <c r="D198"/>
      <c r="E198"/>
      <c r="F198"/>
      <c r="G198"/>
      <c r="H198"/>
      <c r="I198"/>
      <c r="J198"/>
    </row>
    <row r="199" spans="2:10">
      <c r="B199"/>
      <c r="C199"/>
      <c r="D199"/>
      <c r="E199"/>
      <c r="F199"/>
      <c r="G199"/>
      <c r="H199"/>
      <c r="I199"/>
      <c r="J199"/>
    </row>
    <row r="200" spans="2:10">
      <c r="B200"/>
      <c r="C200"/>
      <c r="D200"/>
      <c r="E200"/>
      <c r="F200"/>
      <c r="G200"/>
      <c r="H200"/>
      <c r="I200"/>
      <c r="J200"/>
    </row>
    <row r="201" spans="2:10">
      <c r="B201"/>
      <c r="C201"/>
      <c r="D201"/>
      <c r="E201"/>
      <c r="F201"/>
      <c r="G201"/>
      <c r="H201"/>
      <c r="I201"/>
      <c r="J201"/>
    </row>
    <row r="202" spans="2:10">
      <c r="B202"/>
      <c r="C202"/>
      <c r="D202"/>
      <c r="E202"/>
      <c r="F202"/>
      <c r="G202"/>
      <c r="H202"/>
      <c r="I202"/>
      <c r="J202"/>
    </row>
    <row r="203" spans="2:10">
      <c r="B203"/>
      <c r="C203"/>
      <c r="D203"/>
      <c r="E203"/>
      <c r="F203"/>
      <c r="G203"/>
      <c r="H203"/>
      <c r="I203"/>
      <c r="J203"/>
    </row>
    <row r="204" spans="2:10">
      <c r="B204"/>
      <c r="C204"/>
      <c r="D204"/>
      <c r="E204"/>
      <c r="F204"/>
      <c r="G204"/>
      <c r="H204"/>
      <c r="I204"/>
      <c r="J204"/>
    </row>
    <row r="205" spans="2:10">
      <c r="B205"/>
      <c r="C205"/>
      <c r="D205"/>
      <c r="E205"/>
      <c r="F205"/>
      <c r="G205"/>
      <c r="H205"/>
      <c r="I205"/>
      <c r="J205"/>
    </row>
    <row r="206" spans="2:10">
      <c r="B206"/>
      <c r="C206"/>
      <c r="D206"/>
      <c r="E206"/>
      <c r="F206"/>
      <c r="G206"/>
      <c r="H206"/>
      <c r="I206"/>
      <c r="J206"/>
    </row>
    <row r="207" spans="2:10">
      <c r="B207"/>
      <c r="C207"/>
      <c r="D207"/>
      <c r="E207"/>
      <c r="F207"/>
      <c r="G207"/>
      <c r="H207"/>
      <c r="I207"/>
      <c r="J207"/>
    </row>
    <row r="208" spans="2:10">
      <c r="B208"/>
      <c r="C208"/>
      <c r="D208"/>
      <c r="E208"/>
      <c r="F208"/>
      <c r="G208"/>
      <c r="H208"/>
      <c r="I208"/>
      <c r="J208"/>
    </row>
    <row r="209" spans="2:10">
      <c r="B209"/>
      <c r="C209"/>
      <c r="D209"/>
      <c r="E209"/>
      <c r="F209"/>
      <c r="G209"/>
      <c r="H209"/>
      <c r="I209"/>
      <c r="J209"/>
    </row>
    <row r="210" spans="2:10">
      <c r="B210"/>
      <c r="C210"/>
      <c r="D210"/>
      <c r="E210"/>
      <c r="F210"/>
      <c r="G210"/>
      <c r="H210"/>
      <c r="I210"/>
      <c r="J210"/>
    </row>
    <row r="211" spans="2:10">
      <c r="B211"/>
      <c r="C211"/>
      <c r="D211"/>
      <c r="E211"/>
      <c r="F211"/>
      <c r="G211"/>
      <c r="H211"/>
      <c r="I211"/>
      <c r="J211"/>
    </row>
    <row r="212" spans="2:10">
      <c r="B212"/>
      <c r="C212"/>
      <c r="D212"/>
      <c r="E212"/>
      <c r="F212"/>
      <c r="G212"/>
      <c r="H212"/>
      <c r="I212"/>
      <c r="J212"/>
    </row>
    <row r="213" spans="2:10">
      <c r="B213"/>
      <c r="C213"/>
      <c r="D213"/>
      <c r="E213"/>
      <c r="F213"/>
      <c r="G213"/>
      <c r="H213"/>
      <c r="I213"/>
      <c r="J213"/>
    </row>
    <row r="214" spans="2:10">
      <c r="B214"/>
      <c r="C214"/>
      <c r="D214"/>
      <c r="E214"/>
      <c r="F214"/>
      <c r="G214"/>
      <c r="H214"/>
      <c r="I214"/>
      <c r="J214"/>
    </row>
    <row r="215" spans="2:10">
      <c r="B215"/>
      <c r="C215"/>
      <c r="D215"/>
      <c r="E215"/>
      <c r="F215"/>
      <c r="G215"/>
      <c r="H215"/>
      <c r="I215"/>
      <c r="J215"/>
    </row>
    <row r="216" spans="2:10">
      <c r="B216"/>
      <c r="C216"/>
      <c r="D216"/>
      <c r="E216"/>
      <c r="F216"/>
      <c r="G216"/>
      <c r="H216"/>
      <c r="I216"/>
      <c r="J216"/>
    </row>
    <row r="217" spans="2:10">
      <c r="B217"/>
      <c r="C217"/>
      <c r="D217"/>
      <c r="E217"/>
      <c r="F217"/>
      <c r="G217"/>
      <c r="H217"/>
      <c r="I217"/>
      <c r="J217"/>
    </row>
    <row r="218" spans="2:10">
      <c r="B218"/>
      <c r="C218"/>
      <c r="D218"/>
      <c r="E218"/>
      <c r="F218"/>
      <c r="G218"/>
      <c r="H218"/>
      <c r="I218"/>
      <c r="J218"/>
    </row>
    <row r="219" spans="2:10">
      <c r="B219"/>
      <c r="C219"/>
      <c r="D219"/>
      <c r="E219"/>
      <c r="F219"/>
      <c r="G219"/>
      <c r="H219"/>
      <c r="I219"/>
      <c r="J219"/>
    </row>
    <row r="220" spans="2:10">
      <c r="B220"/>
      <c r="C220"/>
      <c r="D220"/>
      <c r="E220"/>
      <c r="F220"/>
      <c r="G220"/>
      <c r="H220"/>
      <c r="I220"/>
      <c r="J220"/>
    </row>
    <row r="221" spans="2:10">
      <c r="B221"/>
      <c r="C221"/>
      <c r="D221"/>
      <c r="E221"/>
      <c r="F221"/>
      <c r="G221"/>
      <c r="H221"/>
      <c r="I221"/>
      <c r="J221"/>
    </row>
    <row r="222" spans="2:10">
      <c r="B222"/>
      <c r="C222"/>
      <c r="D222"/>
      <c r="E222"/>
      <c r="F222"/>
      <c r="G222"/>
      <c r="H222"/>
      <c r="I222"/>
      <c r="J222"/>
    </row>
    <row r="223" spans="2:10">
      <c r="B223"/>
      <c r="C223"/>
      <c r="D223"/>
      <c r="E223"/>
      <c r="F223"/>
      <c r="G223"/>
      <c r="H223"/>
      <c r="I223"/>
      <c r="J223"/>
    </row>
    <row r="224" spans="2:10">
      <c r="B224"/>
      <c r="C224"/>
      <c r="D224"/>
      <c r="E224"/>
      <c r="F224"/>
      <c r="G224"/>
      <c r="H224"/>
      <c r="I224"/>
      <c r="J224"/>
    </row>
    <row r="225" spans="2:10">
      <c r="B225"/>
      <c r="C225"/>
      <c r="D225"/>
      <c r="E225"/>
      <c r="F225"/>
      <c r="G225"/>
      <c r="H225"/>
      <c r="I225"/>
      <c r="J225"/>
    </row>
    <row r="226" spans="2:10">
      <c r="B226"/>
      <c r="C226"/>
      <c r="D226"/>
      <c r="E226"/>
      <c r="F226"/>
      <c r="G226"/>
      <c r="H226"/>
      <c r="I226"/>
      <c r="J226"/>
    </row>
    <row r="227" spans="2:10">
      <c r="B227"/>
      <c r="C227"/>
      <c r="D227"/>
      <c r="E227"/>
      <c r="F227"/>
      <c r="G227"/>
      <c r="H227"/>
      <c r="I227"/>
      <c r="J227"/>
    </row>
    <row r="228" spans="2:10">
      <c r="B228"/>
      <c r="C228"/>
      <c r="D228"/>
      <c r="E228"/>
      <c r="F228"/>
      <c r="G228"/>
      <c r="H228"/>
      <c r="I228"/>
      <c r="J228"/>
    </row>
    <row r="229" spans="2:10">
      <c r="B229"/>
      <c r="C229"/>
      <c r="D229"/>
      <c r="E229"/>
      <c r="F229"/>
      <c r="G229"/>
      <c r="H229"/>
      <c r="I229"/>
      <c r="J229"/>
    </row>
    <row r="230" spans="2:10">
      <c r="B230"/>
      <c r="C230"/>
      <c r="D230"/>
      <c r="E230"/>
      <c r="F230"/>
      <c r="G230"/>
      <c r="H230"/>
      <c r="I230"/>
      <c r="J230"/>
    </row>
    <row r="231" spans="2:10">
      <c r="B231"/>
      <c r="C231"/>
      <c r="D231"/>
      <c r="E231"/>
      <c r="F231"/>
      <c r="G231"/>
      <c r="H231"/>
      <c r="I231"/>
      <c r="J231"/>
    </row>
    <row r="232" spans="2:10">
      <c r="B232"/>
      <c r="C232"/>
      <c r="D232"/>
      <c r="E232"/>
      <c r="F232"/>
      <c r="G232"/>
      <c r="H232"/>
      <c r="I232"/>
      <c r="J232"/>
    </row>
    <row r="233" spans="2:10">
      <c r="B233"/>
      <c r="C233"/>
      <c r="D233"/>
      <c r="E233"/>
      <c r="F233"/>
      <c r="G233"/>
      <c r="H233"/>
      <c r="I233"/>
      <c r="J233"/>
    </row>
    <row r="234" spans="2:10">
      <c r="B234"/>
      <c r="C234"/>
      <c r="D234"/>
      <c r="E234"/>
      <c r="F234"/>
      <c r="G234"/>
      <c r="H234"/>
      <c r="I234"/>
      <c r="J234"/>
    </row>
    <row r="235" spans="2:10">
      <c r="B235"/>
      <c r="C235"/>
      <c r="D235"/>
      <c r="E235"/>
      <c r="F235"/>
      <c r="G235"/>
      <c r="H235"/>
      <c r="I235"/>
      <c r="J235"/>
    </row>
    <row r="236" spans="2:10">
      <c r="B236"/>
      <c r="C236"/>
      <c r="D236"/>
      <c r="E236"/>
      <c r="F236"/>
      <c r="G236"/>
      <c r="H236"/>
      <c r="I236"/>
      <c r="J236"/>
    </row>
    <row r="237" spans="2:10">
      <c r="B237"/>
      <c r="C237"/>
      <c r="D237"/>
      <c r="E237"/>
      <c r="F237"/>
      <c r="G237"/>
      <c r="H237"/>
      <c r="I237"/>
      <c r="J237"/>
    </row>
    <row r="238" spans="2:10">
      <c r="B238"/>
      <c r="C238"/>
      <c r="D238"/>
      <c r="E238"/>
      <c r="F238"/>
      <c r="G238"/>
      <c r="H238"/>
      <c r="I238"/>
      <c r="J238"/>
    </row>
    <row r="239" spans="2:10">
      <c r="B239"/>
      <c r="C239"/>
      <c r="D239"/>
      <c r="E239"/>
      <c r="F239"/>
      <c r="G239"/>
      <c r="H239"/>
      <c r="I239"/>
      <c r="J239"/>
    </row>
    <row r="240" spans="2:10">
      <c r="B240"/>
      <c r="C240"/>
      <c r="D240"/>
      <c r="E240"/>
      <c r="F240"/>
      <c r="G240"/>
      <c r="H240"/>
      <c r="I240"/>
      <c r="J240"/>
    </row>
    <row r="241" spans="2:10">
      <c r="B241"/>
      <c r="C241"/>
      <c r="D241"/>
      <c r="E241"/>
      <c r="F241"/>
      <c r="G241"/>
      <c r="H241"/>
      <c r="I241"/>
      <c r="J241"/>
    </row>
    <row r="242" spans="2:10">
      <c r="B242"/>
      <c r="C242"/>
      <c r="D242"/>
      <c r="E242"/>
      <c r="F242"/>
      <c r="G242"/>
      <c r="H242"/>
      <c r="I242"/>
      <c r="J242"/>
    </row>
    <row r="243" spans="2:10">
      <c r="B243"/>
      <c r="C243"/>
      <c r="D243"/>
      <c r="E243"/>
      <c r="F243"/>
      <c r="G243"/>
      <c r="H243"/>
      <c r="I243"/>
      <c r="J243"/>
    </row>
    <row r="244" spans="2:10">
      <c r="B244"/>
      <c r="C244"/>
      <c r="D244"/>
      <c r="E244"/>
      <c r="F244"/>
      <c r="G244"/>
      <c r="H244"/>
      <c r="I244"/>
      <c r="J244"/>
    </row>
    <row r="245" spans="2:10">
      <c r="B245"/>
      <c r="C245"/>
      <c r="D245"/>
      <c r="E245"/>
      <c r="F245"/>
      <c r="G245"/>
      <c r="H245"/>
      <c r="I245"/>
      <c r="J245"/>
    </row>
    <row r="246" spans="2:10">
      <c r="B246"/>
      <c r="C246"/>
      <c r="D246"/>
      <c r="E246"/>
      <c r="F246"/>
      <c r="G246"/>
      <c r="H246"/>
      <c r="I246"/>
      <c r="J246"/>
    </row>
    <row r="247" spans="2:10">
      <c r="B247"/>
      <c r="C247"/>
      <c r="D247"/>
      <c r="E247"/>
      <c r="F247"/>
      <c r="G247"/>
      <c r="H247"/>
      <c r="I247"/>
      <c r="J247"/>
    </row>
    <row r="248" spans="2:10">
      <c r="B248"/>
      <c r="C248"/>
      <c r="D248"/>
      <c r="E248"/>
      <c r="F248"/>
      <c r="G248"/>
      <c r="H248"/>
      <c r="I248"/>
      <c r="J248"/>
    </row>
    <row r="249" spans="2:10">
      <c r="B249"/>
      <c r="C249"/>
      <c r="D249"/>
      <c r="E249"/>
      <c r="F249"/>
      <c r="G249"/>
      <c r="H249"/>
      <c r="I249"/>
      <c r="J249"/>
    </row>
    <row r="250" spans="2:10">
      <c r="B250"/>
      <c r="C250"/>
      <c r="D250"/>
      <c r="E250"/>
      <c r="F250"/>
      <c r="G250"/>
      <c r="H250"/>
      <c r="I250"/>
      <c r="J250"/>
    </row>
    <row r="251" spans="2:10">
      <c r="B251"/>
      <c r="C251"/>
      <c r="D251"/>
      <c r="E251"/>
      <c r="F251"/>
      <c r="G251"/>
      <c r="H251"/>
      <c r="I251"/>
      <c r="J251"/>
    </row>
    <row r="252" spans="2:10">
      <c r="B252"/>
      <c r="C252"/>
      <c r="D252"/>
      <c r="E252"/>
      <c r="F252"/>
      <c r="G252"/>
      <c r="H252"/>
      <c r="I252"/>
      <c r="J252"/>
    </row>
    <row r="253" spans="2:10">
      <c r="B253"/>
      <c r="C253"/>
      <c r="D253"/>
      <c r="E253"/>
      <c r="F253"/>
      <c r="G253"/>
      <c r="H253"/>
      <c r="I253"/>
      <c r="J253"/>
    </row>
    <row r="254" spans="2:10">
      <c r="B254"/>
      <c r="C254"/>
      <c r="D254"/>
      <c r="E254"/>
      <c r="F254"/>
      <c r="G254"/>
      <c r="H254"/>
      <c r="I254"/>
      <c r="J254"/>
    </row>
    <row r="255" spans="2:10">
      <c r="B255"/>
      <c r="C255"/>
      <c r="D255"/>
      <c r="E255"/>
      <c r="F255"/>
      <c r="G255"/>
      <c r="H255"/>
      <c r="I255"/>
      <c r="J255"/>
    </row>
    <row r="256" spans="2:10">
      <c r="B256"/>
      <c r="C256"/>
      <c r="D256"/>
      <c r="E256"/>
      <c r="F256"/>
      <c r="G256"/>
      <c r="H256"/>
      <c r="I256"/>
      <c r="J256"/>
    </row>
    <row r="257" spans="2:10">
      <c r="B257"/>
      <c r="C257"/>
      <c r="D257"/>
      <c r="E257"/>
      <c r="F257"/>
      <c r="G257"/>
      <c r="H257"/>
      <c r="I257"/>
      <c r="J257"/>
    </row>
    <row r="258" spans="2:10">
      <c r="B258"/>
      <c r="C258"/>
      <c r="D258"/>
      <c r="E258"/>
      <c r="F258"/>
      <c r="G258"/>
      <c r="H258"/>
      <c r="I258"/>
      <c r="J258"/>
    </row>
    <row r="259" spans="2:10">
      <c r="B259"/>
      <c r="C259"/>
      <c r="D259"/>
      <c r="E259"/>
      <c r="F259"/>
      <c r="G259"/>
      <c r="H259"/>
      <c r="I259"/>
      <c r="J259"/>
    </row>
    <row r="260" spans="2:10">
      <c r="B260"/>
      <c r="C260"/>
      <c r="D260"/>
      <c r="E260"/>
      <c r="F260"/>
      <c r="G260"/>
      <c r="H260"/>
      <c r="I260"/>
      <c r="J260"/>
    </row>
    <row r="261" spans="2:10">
      <c r="B261"/>
      <c r="C261"/>
      <c r="D261"/>
      <c r="E261"/>
      <c r="F261"/>
      <c r="G261"/>
      <c r="H261"/>
      <c r="I261"/>
      <c r="J261"/>
    </row>
    <row r="262" spans="2:10">
      <c r="B262"/>
      <c r="C262"/>
      <c r="D262"/>
      <c r="E262"/>
      <c r="F262"/>
      <c r="G262"/>
      <c r="H262"/>
      <c r="I262"/>
      <c r="J262"/>
    </row>
    <row r="263" spans="2:10">
      <c r="B263"/>
      <c r="C263"/>
      <c r="D263"/>
      <c r="E263"/>
      <c r="F263"/>
      <c r="G263"/>
      <c r="H263"/>
      <c r="I263"/>
      <c r="J263"/>
    </row>
    <row r="264" spans="2:10">
      <c r="B264"/>
      <c r="C264"/>
      <c r="D264"/>
      <c r="E264"/>
      <c r="F264"/>
      <c r="G264"/>
      <c r="H264"/>
      <c r="I264"/>
      <c r="J264"/>
    </row>
    <row r="265" spans="2:10">
      <c r="B265"/>
      <c r="C265"/>
      <c r="D265"/>
      <c r="E265"/>
      <c r="F265"/>
      <c r="G265"/>
      <c r="H265"/>
      <c r="I265"/>
      <c r="J265"/>
    </row>
    <row r="266" spans="2:10">
      <c r="B266"/>
      <c r="C266"/>
      <c r="D266"/>
      <c r="E266"/>
      <c r="F266"/>
      <c r="G266"/>
      <c r="H266"/>
      <c r="I266"/>
      <c r="J266"/>
    </row>
    <row r="267" spans="2:10">
      <c r="B267"/>
      <c r="C267"/>
      <c r="D267"/>
      <c r="E267"/>
      <c r="F267"/>
      <c r="G267"/>
      <c r="H267"/>
      <c r="I267"/>
      <c r="J267"/>
    </row>
    <row r="268" spans="2:10">
      <c r="B268"/>
      <c r="C268"/>
      <c r="D268"/>
      <c r="E268"/>
      <c r="F268"/>
      <c r="G268"/>
      <c r="H268"/>
      <c r="I268"/>
      <c r="J268"/>
    </row>
    <row r="269" spans="2:10">
      <c r="B269"/>
      <c r="C269"/>
      <c r="D269"/>
      <c r="E269"/>
      <c r="F269"/>
      <c r="G269"/>
      <c r="H269"/>
      <c r="I269"/>
      <c r="J269"/>
    </row>
    <row r="270" spans="2:10">
      <c r="B270"/>
      <c r="C270"/>
      <c r="D270"/>
      <c r="E270"/>
      <c r="F270"/>
      <c r="G270"/>
      <c r="H270"/>
      <c r="I270"/>
      <c r="J270"/>
    </row>
    <row r="271" spans="2:10">
      <c r="B271"/>
      <c r="C271"/>
      <c r="D271"/>
      <c r="E271"/>
      <c r="F271"/>
      <c r="G271"/>
      <c r="H271"/>
      <c r="I271"/>
      <c r="J271"/>
    </row>
    <row r="272" spans="2:10">
      <c r="B272"/>
      <c r="C272"/>
      <c r="D272"/>
      <c r="E272"/>
      <c r="F272"/>
      <c r="G272"/>
      <c r="H272"/>
      <c r="I272"/>
      <c r="J272"/>
    </row>
    <row r="273" spans="2:10">
      <c r="B273"/>
      <c r="C273"/>
      <c r="D273"/>
      <c r="E273"/>
      <c r="F273"/>
      <c r="G273"/>
      <c r="H273"/>
      <c r="I273"/>
      <c r="J273"/>
    </row>
    <row r="274" spans="2:10">
      <c r="B274"/>
      <c r="C274"/>
      <c r="D274"/>
      <c r="E274"/>
      <c r="F274"/>
      <c r="G274"/>
      <c r="H274"/>
      <c r="I274"/>
      <c r="J274"/>
    </row>
    <row r="275" spans="2:10">
      <c r="B275"/>
      <c r="C275"/>
      <c r="D275"/>
      <c r="E275"/>
      <c r="F275"/>
      <c r="G275"/>
      <c r="H275"/>
      <c r="I275"/>
      <c r="J275"/>
    </row>
    <row r="276" spans="2:10">
      <c r="B276"/>
      <c r="C276"/>
      <c r="D276"/>
      <c r="E276"/>
      <c r="F276"/>
      <c r="G276"/>
      <c r="H276"/>
      <c r="I276"/>
      <c r="J276"/>
    </row>
    <row r="277" spans="2:10">
      <c r="B277"/>
      <c r="C277"/>
      <c r="D277"/>
      <c r="E277"/>
      <c r="F277"/>
      <c r="G277"/>
      <c r="H277"/>
      <c r="I277"/>
      <c r="J277"/>
    </row>
    <row r="278" spans="2:10">
      <c r="B278"/>
      <c r="C278"/>
      <c r="D278"/>
      <c r="E278"/>
      <c r="F278"/>
      <c r="G278"/>
      <c r="H278"/>
      <c r="I278"/>
      <c r="J278"/>
    </row>
    <row r="279" spans="2:10">
      <c r="B279"/>
      <c r="C279"/>
      <c r="D279"/>
      <c r="E279"/>
      <c r="F279"/>
      <c r="G279"/>
      <c r="H279"/>
      <c r="I279"/>
      <c r="J279"/>
    </row>
    <row r="280" spans="2:10">
      <c r="B280"/>
      <c r="C280"/>
      <c r="D280"/>
      <c r="E280"/>
      <c r="F280"/>
      <c r="G280"/>
      <c r="H280"/>
      <c r="I280"/>
      <c r="J280"/>
    </row>
    <row r="281" spans="2:10">
      <c r="B281"/>
      <c r="C281"/>
      <c r="D281"/>
      <c r="E281"/>
      <c r="F281"/>
      <c r="G281"/>
      <c r="H281"/>
      <c r="I281"/>
      <c r="J281"/>
    </row>
    <row r="282" spans="2:10">
      <c r="B282"/>
      <c r="C282"/>
      <c r="D282"/>
      <c r="E282"/>
      <c r="F282"/>
      <c r="G282"/>
      <c r="H282"/>
      <c r="I282"/>
      <c r="J282"/>
    </row>
    <row r="283" spans="2:10">
      <c r="B283"/>
      <c r="C283"/>
      <c r="D283"/>
      <c r="E283"/>
      <c r="F283"/>
      <c r="G283"/>
      <c r="H283"/>
      <c r="I283"/>
      <c r="J283"/>
    </row>
    <row r="284" spans="2:10">
      <c r="B284"/>
      <c r="C284"/>
      <c r="D284"/>
      <c r="E284"/>
      <c r="F284"/>
      <c r="G284"/>
      <c r="H284"/>
      <c r="I284"/>
      <c r="J284"/>
    </row>
    <row r="285" spans="2:10">
      <c r="B285"/>
      <c r="C285"/>
      <c r="D285"/>
      <c r="E285"/>
      <c r="F285"/>
      <c r="G285"/>
      <c r="H285"/>
      <c r="I285"/>
      <c r="J285"/>
    </row>
    <row r="286" spans="2:10">
      <c r="B286"/>
      <c r="C286"/>
      <c r="D286"/>
      <c r="E286"/>
      <c r="F286"/>
      <c r="G286"/>
      <c r="H286"/>
      <c r="I286"/>
      <c r="J286"/>
    </row>
    <row r="287" spans="2:10">
      <c r="B287"/>
      <c r="C287"/>
      <c r="D287"/>
      <c r="E287"/>
      <c r="F287"/>
      <c r="G287"/>
      <c r="H287"/>
      <c r="I287"/>
      <c r="J287"/>
    </row>
    <row r="288" spans="2:10">
      <c r="B288"/>
      <c r="C288"/>
      <c r="D288"/>
      <c r="E288"/>
      <c r="F288"/>
      <c r="G288"/>
      <c r="H288"/>
      <c r="I288"/>
      <c r="J288"/>
    </row>
    <row r="289" spans="2:10">
      <c r="B289"/>
      <c r="C289"/>
      <c r="D289"/>
      <c r="E289"/>
      <c r="F289"/>
      <c r="G289"/>
      <c r="H289"/>
      <c r="I289"/>
      <c r="J289"/>
    </row>
    <row r="290" spans="2:10">
      <c r="B290"/>
      <c r="C290"/>
      <c r="D290"/>
      <c r="E290"/>
      <c r="F290"/>
      <c r="G290"/>
      <c r="H290"/>
      <c r="I290"/>
      <c r="J290"/>
    </row>
    <row r="291" spans="2:10">
      <c r="B291"/>
      <c r="C291"/>
      <c r="D291"/>
      <c r="E291"/>
      <c r="F291"/>
      <c r="G291"/>
      <c r="H291"/>
      <c r="I291"/>
      <c r="J291"/>
    </row>
    <row r="292" spans="2:10">
      <c r="B292"/>
      <c r="C292"/>
      <c r="D292"/>
      <c r="E292"/>
      <c r="F292"/>
      <c r="G292"/>
      <c r="H292"/>
      <c r="I292"/>
      <c r="J292"/>
    </row>
    <row r="293" spans="2:10">
      <c r="B293"/>
      <c r="C293"/>
      <c r="D293"/>
      <c r="E293"/>
      <c r="F293"/>
      <c r="G293"/>
      <c r="H293"/>
      <c r="I293"/>
      <c r="J293"/>
    </row>
    <row r="294" spans="2:10">
      <c r="B294"/>
      <c r="C294"/>
      <c r="D294"/>
      <c r="E294"/>
      <c r="F294"/>
      <c r="G294"/>
      <c r="H294"/>
      <c r="I294"/>
      <c r="J294"/>
    </row>
    <row r="295" spans="2:10">
      <c r="B295"/>
      <c r="C295"/>
      <c r="D295"/>
      <c r="E295"/>
      <c r="F295"/>
      <c r="G295"/>
      <c r="H295"/>
      <c r="I295"/>
      <c r="J295"/>
    </row>
    <row r="296" spans="2:10">
      <c r="B296"/>
      <c r="C296"/>
      <c r="D296"/>
      <c r="E296"/>
      <c r="F296"/>
      <c r="G296"/>
      <c r="H296"/>
      <c r="I296"/>
      <c r="J296"/>
    </row>
    <row r="297" spans="2:10">
      <c r="B297"/>
      <c r="C297"/>
      <c r="D297"/>
      <c r="E297"/>
      <c r="F297"/>
      <c r="G297"/>
      <c r="H297"/>
      <c r="I297"/>
      <c r="J297"/>
    </row>
    <row r="298" spans="2:10">
      <c r="B298"/>
      <c r="C298"/>
      <c r="D298"/>
      <c r="E298"/>
      <c r="F298"/>
      <c r="G298"/>
      <c r="H298"/>
      <c r="I298"/>
      <c r="J298"/>
    </row>
    <row r="299" spans="2:10">
      <c r="B299"/>
      <c r="C299"/>
      <c r="D299"/>
      <c r="E299"/>
      <c r="F299"/>
      <c r="G299"/>
      <c r="H299"/>
      <c r="I299"/>
      <c r="J299"/>
    </row>
    <row r="300" spans="2:10">
      <c r="B300"/>
      <c r="C300"/>
      <c r="D300"/>
      <c r="E300"/>
      <c r="F300"/>
      <c r="G300"/>
      <c r="H300"/>
      <c r="I300"/>
      <c r="J300"/>
    </row>
    <row r="301" spans="2:10">
      <c r="B301"/>
      <c r="C301"/>
      <c r="D301"/>
      <c r="E301"/>
      <c r="F301"/>
      <c r="G301"/>
      <c r="H301"/>
      <c r="I301"/>
      <c r="J301"/>
    </row>
    <row r="302" spans="2:10">
      <c r="B302"/>
      <c r="C302"/>
      <c r="D302"/>
      <c r="E302"/>
      <c r="F302"/>
      <c r="G302"/>
      <c r="H302"/>
      <c r="I302"/>
      <c r="J302"/>
    </row>
    <row r="303" spans="2:10">
      <c r="B303"/>
      <c r="C303"/>
      <c r="D303"/>
      <c r="E303"/>
      <c r="F303"/>
      <c r="G303"/>
      <c r="H303"/>
      <c r="I303"/>
      <c r="J303"/>
    </row>
    <row r="304" spans="2:10">
      <c r="B304"/>
      <c r="C304"/>
      <c r="D304"/>
      <c r="E304"/>
      <c r="F304"/>
      <c r="G304"/>
      <c r="H304"/>
      <c r="I304"/>
      <c r="J304"/>
    </row>
    <row r="305" spans="2:10">
      <c r="B305"/>
      <c r="C305"/>
      <c r="D305"/>
      <c r="E305"/>
      <c r="F305"/>
      <c r="G305"/>
      <c r="H305"/>
      <c r="I305"/>
      <c r="J305"/>
    </row>
    <row r="306" spans="2:10">
      <c r="B306"/>
      <c r="C306"/>
      <c r="D306"/>
      <c r="E306"/>
      <c r="F306"/>
      <c r="G306"/>
      <c r="H306"/>
      <c r="I306"/>
      <c r="J306"/>
    </row>
    <row r="307" spans="2:10">
      <c r="B307"/>
      <c r="C307"/>
      <c r="D307"/>
      <c r="E307"/>
      <c r="F307"/>
      <c r="G307"/>
      <c r="H307"/>
      <c r="I307"/>
      <c r="J307"/>
    </row>
    <row r="308" spans="2:10">
      <c r="B308"/>
      <c r="C308"/>
      <c r="D308"/>
      <c r="E308"/>
      <c r="F308"/>
      <c r="G308"/>
      <c r="H308"/>
      <c r="I308"/>
      <c r="J308"/>
    </row>
    <row r="309" spans="2:10">
      <c r="B309"/>
      <c r="C309"/>
      <c r="D309"/>
      <c r="E309"/>
      <c r="F309"/>
      <c r="G309"/>
      <c r="H309"/>
      <c r="I309"/>
      <c r="J309"/>
    </row>
    <row r="310" spans="2:10">
      <c r="B310"/>
      <c r="C310"/>
      <c r="D310"/>
      <c r="E310"/>
      <c r="F310"/>
      <c r="G310"/>
      <c r="H310"/>
      <c r="I310"/>
      <c r="J310"/>
    </row>
    <row r="311" spans="2:10">
      <c r="B311"/>
      <c r="C311"/>
      <c r="D311"/>
      <c r="E311"/>
      <c r="F311"/>
      <c r="G311"/>
      <c r="H311"/>
      <c r="I311"/>
      <c r="J311"/>
    </row>
    <row r="312" spans="2:10">
      <c r="B312"/>
      <c r="C312"/>
      <c r="D312"/>
      <c r="E312"/>
      <c r="F312"/>
      <c r="G312"/>
      <c r="H312"/>
      <c r="I312"/>
      <c r="J312"/>
    </row>
    <row r="313" spans="2:10">
      <c r="B313"/>
      <c r="C313"/>
      <c r="D313"/>
      <c r="E313"/>
      <c r="F313"/>
      <c r="G313"/>
      <c r="H313"/>
      <c r="I313"/>
      <c r="J313"/>
    </row>
    <row r="314" spans="2:10">
      <c r="B314"/>
      <c r="C314"/>
      <c r="D314"/>
      <c r="E314"/>
      <c r="F314"/>
      <c r="G314"/>
      <c r="H314"/>
      <c r="I314"/>
      <c r="J314"/>
    </row>
    <row r="315" spans="2:10">
      <c r="B315"/>
      <c r="C315"/>
      <c r="D315"/>
      <c r="E315"/>
      <c r="F315"/>
      <c r="G315"/>
      <c r="H315"/>
      <c r="I315"/>
      <c r="J315"/>
    </row>
    <row r="316" spans="2:10">
      <c r="B316"/>
      <c r="C316"/>
      <c r="D316"/>
      <c r="E316"/>
      <c r="F316"/>
      <c r="G316"/>
      <c r="H316"/>
      <c r="I316"/>
      <c r="J316"/>
    </row>
    <row r="317" spans="2:10">
      <c r="B317"/>
      <c r="C317"/>
      <c r="D317"/>
      <c r="E317"/>
      <c r="F317"/>
      <c r="G317"/>
      <c r="H317"/>
      <c r="I317"/>
      <c r="J317"/>
    </row>
    <row r="318" spans="2:10">
      <c r="B318"/>
      <c r="C318"/>
      <c r="D318"/>
      <c r="E318"/>
      <c r="F318"/>
      <c r="G318"/>
      <c r="H318"/>
      <c r="I318"/>
      <c r="J318"/>
    </row>
    <row r="319" spans="2:10">
      <c r="B319"/>
      <c r="C319"/>
      <c r="D319"/>
      <c r="E319"/>
      <c r="F319"/>
      <c r="G319"/>
      <c r="H319"/>
      <c r="I319"/>
      <c r="J319"/>
    </row>
    <row r="320" spans="2:10">
      <c r="B320"/>
      <c r="C320"/>
      <c r="D320"/>
      <c r="E320"/>
      <c r="F320"/>
      <c r="G320"/>
      <c r="H320"/>
      <c r="I320"/>
      <c r="J320"/>
    </row>
    <row r="321" spans="2:10">
      <c r="B321"/>
      <c r="C321"/>
      <c r="D321"/>
      <c r="E321"/>
      <c r="F321"/>
      <c r="G321"/>
      <c r="H321"/>
      <c r="I321"/>
      <c r="J321"/>
    </row>
    <row r="322" spans="2:10">
      <c r="B322"/>
      <c r="C322"/>
      <c r="D322"/>
      <c r="E322"/>
      <c r="F322"/>
      <c r="G322"/>
      <c r="H322"/>
      <c r="I322"/>
      <c r="J322"/>
    </row>
    <row r="323" spans="2:10">
      <c r="B323"/>
      <c r="C323"/>
      <c r="D323"/>
      <c r="E323"/>
      <c r="F323"/>
      <c r="G323"/>
      <c r="H323"/>
      <c r="I323"/>
      <c r="J323"/>
    </row>
    <row r="324" spans="2:10">
      <c r="B324"/>
      <c r="C324"/>
      <c r="D324"/>
      <c r="E324"/>
      <c r="F324"/>
      <c r="G324"/>
      <c r="H324"/>
      <c r="I324"/>
      <c r="J324"/>
    </row>
    <row r="325" spans="2:10">
      <c r="B325"/>
      <c r="C325"/>
      <c r="D325"/>
      <c r="E325"/>
      <c r="F325"/>
      <c r="G325"/>
      <c r="H325"/>
      <c r="I325"/>
      <c r="J325"/>
    </row>
    <row r="326" spans="2:10">
      <c r="B326"/>
      <c r="C326"/>
      <c r="D326"/>
      <c r="E326"/>
      <c r="F326"/>
      <c r="G326"/>
      <c r="H326"/>
      <c r="I326"/>
      <c r="J326"/>
    </row>
    <row r="327" spans="2:10">
      <c r="B327"/>
      <c r="C327"/>
      <c r="D327"/>
      <c r="E327"/>
      <c r="F327"/>
      <c r="G327"/>
      <c r="H327"/>
      <c r="I327"/>
      <c r="J327"/>
    </row>
    <row r="328" spans="2:10">
      <c r="B328"/>
      <c r="C328"/>
      <c r="D328"/>
      <c r="E328"/>
      <c r="F328"/>
      <c r="G328"/>
      <c r="H328"/>
      <c r="I328"/>
      <c r="J328"/>
    </row>
    <row r="329" spans="2:10">
      <c r="B329"/>
      <c r="C329"/>
      <c r="D329"/>
      <c r="E329"/>
      <c r="F329"/>
      <c r="G329"/>
      <c r="H329"/>
      <c r="I329"/>
      <c r="J329"/>
    </row>
    <row r="330" spans="2:10">
      <c r="B330"/>
      <c r="C330"/>
      <c r="D330"/>
      <c r="E330"/>
      <c r="F330"/>
      <c r="G330"/>
      <c r="H330"/>
      <c r="I330"/>
      <c r="J330"/>
    </row>
    <row r="331" spans="2:10">
      <c r="B331"/>
      <c r="C331"/>
      <c r="D331"/>
      <c r="E331"/>
      <c r="F331"/>
      <c r="G331"/>
      <c r="H331"/>
      <c r="I331"/>
      <c r="J331"/>
    </row>
    <row r="332" spans="2:10">
      <c r="B332"/>
      <c r="C332"/>
      <c r="D332"/>
      <c r="E332"/>
      <c r="F332"/>
      <c r="G332"/>
      <c r="H332"/>
      <c r="I332"/>
      <c r="J332"/>
    </row>
    <row r="333" spans="2:10">
      <c r="B333"/>
      <c r="C333"/>
      <c r="D333"/>
      <c r="E333"/>
      <c r="F333"/>
      <c r="G333"/>
      <c r="H333"/>
      <c r="I333"/>
      <c r="J333"/>
    </row>
    <row r="334" spans="2:10">
      <c r="B334"/>
      <c r="C334"/>
      <c r="D334"/>
      <c r="E334"/>
      <c r="F334"/>
      <c r="G334"/>
      <c r="H334"/>
      <c r="I334"/>
      <c r="J334"/>
    </row>
    <row r="335" spans="2:10">
      <c r="B335"/>
      <c r="C335"/>
      <c r="D335"/>
      <c r="E335"/>
      <c r="F335"/>
      <c r="G335"/>
      <c r="H335"/>
      <c r="I335"/>
      <c r="J335"/>
    </row>
    <row r="336" spans="2:10">
      <c r="B336"/>
      <c r="C336"/>
      <c r="D336"/>
      <c r="E336"/>
      <c r="F336"/>
      <c r="G336"/>
      <c r="H336"/>
      <c r="I336"/>
      <c r="J336"/>
    </row>
    <row r="337" spans="2:10">
      <c r="B337"/>
      <c r="C337"/>
      <c r="D337"/>
      <c r="E337"/>
      <c r="F337"/>
      <c r="G337"/>
      <c r="H337"/>
      <c r="I337"/>
      <c r="J337"/>
    </row>
    <row r="338" spans="2:10">
      <c r="B338"/>
      <c r="C338"/>
      <c r="D338"/>
      <c r="E338"/>
      <c r="F338"/>
      <c r="G338"/>
      <c r="H338"/>
      <c r="I338"/>
      <c r="J338"/>
    </row>
    <row r="339" spans="2:10">
      <c r="B339"/>
      <c r="C339"/>
      <c r="D339"/>
      <c r="E339"/>
      <c r="F339"/>
      <c r="G339"/>
      <c r="H339"/>
      <c r="I339"/>
      <c r="J339"/>
    </row>
    <row r="340" spans="2:10">
      <c r="B340"/>
      <c r="C340"/>
      <c r="D340"/>
      <c r="E340"/>
      <c r="F340"/>
      <c r="G340"/>
      <c r="H340"/>
      <c r="I340"/>
      <c r="J340"/>
    </row>
    <row r="341" spans="2:10">
      <c r="B341"/>
      <c r="C341"/>
      <c r="D341"/>
      <c r="E341"/>
      <c r="F341"/>
      <c r="G341"/>
      <c r="H341"/>
      <c r="I341"/>
      <c r="J341"/>
    </row>
    <row r="342" spans="2:10">
      <c r="B342"/>
      <c r="C342"/>
      <c r="D342"/>
      <c r="E342"/>
      <c r="F342"/>
      <c r="G342"/>
      <c r="H342"/>
      <c r="I342"/>
      <c r="J342"/>
    </row>
    <row r="343" spans="2:10">
      <c r="B343"/>
      <c r="C343"/>
      <c r="D343"/>
      <c r="E343"/>
      <c r="F343"/>
      <c r="G343"/>
      <c r="H343"/>
      <c r="I343"/>
      <c r="J343"/>
    </row>
    <row r="344" spans="2:10">
      <c r="B344"/>
      <c r="C344"/>
      <c r="D344"/>
      <c r="E344"/>
      <c r="F344"/>
      <c r="G344"/>
      <c r="H344"/>
      <c r="I344"/>
      <c r="J344"/>
    </row>
    <row r="345" spans="2:10">
      <c r="B345"/>
      <c r="C345"/>
      <c r="D345"/>
      <c r="E345"/>
      <c r="F345"/>
      <c r="G345"/>
      <c r="H345"/>
      <c r="I345"/>
      <c r="J345"/>
    </row>
    <row r="346" spans="2:10">
      <c r="B346"/>
      <c r="C346"/>
      <c r="D346"/>
      <c r="E346"/>
      <c r="F346"/>
      <c r="G346"/>
      <c r="H346"/>
      <c r="I346"/>
      <c r="J346"/>
    </row>
    <row r="347" spans="2:10">
      <c r="B347"/>
      <c r="C347"/>
      <c r="D347"/>
      <c r="E347"/>
      <c r="F347"/>
      <c r="G347"/>
      <c r="H347"/>
      <c r="I347"/>
      <c r="J347"/>
    </row>
    <row r="348" spans="2:10">
      <c r="B348"/>
      <c r="C348"/>
      <c r="D348"/>
      <c r="E348"/>
      <c r="F348"/>
      <c r="G348"/>
      <c r="H348"/>
      <c r="I348"/>
      <c r="J348"/>
    </row>
    <row r="349" spans="2:10">
      <c r="B349"/>
      <c r="C349"/>
      <c r="D349"/>
      <c r="E349"/>
      <c r="F349"/>
      <c r="G349"/>
      <c r="H349"/>
      <c r="I349"/>
      <c r="J349"/>
    </row>
    <row r="350" spans="2:10">
      <c r="B350"/>
      <c r="C350"/>
      <c r="D350"/>
      <c r="E350"/>
      <c r="F350"/>
      <c r="G350"/>
      <c r="H350"/>
      <c r="I350"/>
      <c r="J350"/>
    </row>
    <row r="351" spans="2:10">
      <c r="B351"/>
      <c r="C351"/>
      <c r="D351"/>
      <c r="E351"/>
      <c r="F351"/>
      <c r="G351"/>
      <c r="H351"/>
      <c r="I351"/>
      <c r="J351"/>
    </row>
    <row r="352" spans="2:10">
      <c r="B352"/>
      <c r="C352"/>
      <c r="D352"/>
      <c r="E352"/>
      <c r="F352"/>
      <c r="G352"/>
      <c r="H352"/>
      <c r="I352"/>
      <c r="J352"/>
    </row>
    <row r="353" spans="2:10">
      <c r="B353"/>
      <c r="C353"/>
      <c r="D353"/>
      <c r="E353"/>
      <c r="F353"/>
      <c r="G353"/>
      <c r="H353"/>
      <c r="I353"/>
      <c r="J353"/>
    </row>
    <row r="354" spans="2:10">
      <c r="B354"/>
      <c r="C354"/>
      <c r="D354"/>
      <c r="E354"/>
      <c r="F354"/>
      <c r="G354"/>
      <c r="H354"/>
      <c r="I354"/>
      <c r="J354"/>
    </row>
    <row r="355" spans="2:10">
      <c r="B355"/>
      <c r="C355"/>
      <c r="D355"/>
      <c r="E355"/>
      <c r="F355"/>
      <c r="G355"/>
      <c r="H355"/>
      <c r="I355"/>
      <c r="J355"/>
    </row>
    <row r="356" spans="2:10">
      <c r="B356"/>
      <c r="C356"/>
      <c r="D356"/>
      <c r="E356"/>
      <c r="F356"/>
      <c r="G356"/>
      <c r="H356"/>
      <c r="I356"/>
      <c r="J356"/>
    </row>
    <row r="357" spans="2:10">
      <c r="B357"/>
      <c r="C357"/>
      <c r="D357"/>
      <c r="E357"/>
      <c r="F357"/>
      <c r="G357"/>
      <c r="H357"/>
      <c r="I357"/>
      <c r="J357"/>
    </row>
    <row r="358" spans="2:10">
      <c r="B358"/>
      <c r="C358"/>
      <c r="D358"/>
      <c r="E358"/>
      <c r="F358"/>
      <c r="G358"/>
      <c r="H358"/>
      <c r="I358"/>
      <c r="J358"/>
    </row>
    <row r="359" spans="2:10">
      <c r="B359"/>
      <c r="C359"/>
      <c r="D359"/>
      <c r="E359"/>
      <c r="F359"/>
      <c r="G359"/>
      <c r="H359"/>
      <c r="I359"/>
      <c r="J359"/>
    </row>
    <row r="360" spans="2:10">
      <c r="B360"/>
      <c r="C360"/>
      <c r="D360"/>
      <c r="E360"/>
      <c r="F360"/>
      <c r="G360"/>
      <c r="H360"/>
      <c r="I360"/>
      <c r="J360"/>
    </row>
    <row r="361" spans="2:10">
      <c r="B361"/>
      <c r="C361"/>
      <c r="D361"/>
      <c r="E361"/>
      <c r="F361"/>
      <c r="G361"/>
      <c r="H361"/>
      <c r="I361"/>
      <c r="J361"/>
    </row>
    <row r="362" spans="2:10">
      <c r="B362"/>
      <c r="C362"/>
      <c r="D362"/>
      <c r="E362"/>
      <c r="F362"/>
      <c r="G362"/>
      <c r="H362"/>
      <c r="I362"/>
      <c r="J362"/>
    </row>
    <row r="363" spans="2:10">
      <c r="B363"/>
      <c r="C363"/>
      <c r="D363"/>
      <c r="E363"/>
      <c r="F363"/>
      <c r="G363"/>
      <c r="H363"/>
      <c r="I363"/>
      <c r="J363"/>
    </row>
    <row r="364" spans="2:10">
      <c r="B364"/>
      <c r="C364"/>
      <c r="D364"/>
      <c r="E364"/>
      <c r="F364"/>
      <c r="G364"/>
      <c r="H364"/>
      <c r="I364"/>
      <c r="J364"/>
    </row>
    <row r="365" spans="2:10">
      <c r="B365"/>
      <c r="C365"/>
      <c r="D365"/>
      <c r="E365"/>
      <c r="F365"/>
      <c r="G365"/>
      <c r="H365"/>
      <c r="I365"/>
      <c r="J365"/>
    </row>
    <row r="366" spans="2:10">
      <c r="B366"/>
      <c r="C366"/>
      <c r="D366"/>
      <c r="E366"/>
      <c r="F366"/>
      <c r="G366"/>
      <c r="H366"/>
      <c r="I366"/>
      <c r="J366"/>
    </row>
    <row r="367" spans="2:10">
      <c r="B367"/>
      <c r="C367"/>
      <c r="D367"/>
      <c r="E367"/>
      <c r="F367"/>
      <c r="G367"/>
      <c r="H367"/>
      <c r="I367"/>
      <c r="J367"/>
    </row>
    <row r="368" spans="2:10">
      <c r="B368"/>
      <c r="C368"/>
      <c r="D368"/>
      <c r="E368"/>
      <c r="F368"/>
      <c r="G368"/>
      <c r="H368"/>
      <c r="I368"/>
      <c r="J368"/>
    </row>
    <row r="369" spans="2:10">
      <c r="B369"/>
      <c r="C369"/>
      <c r="D369"/>
      <c r="E369"/>
      <c r="F369"/>
      <c r="G369"/>
      <c r="H369"/>
      <c r="I369"/>
      <c r="J369"/>
    </row>
    <row r="370" spans="2:10">
      <c r="B370"/>
      <c r="C370"/>
      <c r="D370"/>
      <c r="E370"/>
      <c r="F370"/>
      <c r="G370"/>
      <c r="H370"/>
      <c r="I370"/>
      <c r="J370"/>
    </row>
    <row r="371" spans="2:10">
      <c r="B371"/>
      <c r="C371"/>
      <c r="D371"/>
      <c r="E371"/>
      <c r="F371"/>
      <c r="G371"/>
      <c r="H371"/>
      <c r="I371"/>
      <c r="J371"/>
    </row>
    <row r="372" spans="2:10">
      <c r="B372"/>
      <c r="C372"/>
      <c r="D372"/>
      <c r="E372"/>
      <c r="F372"/>
      <c r="G372"/>
      <c r="H372"/>
      <c r="I372"/>
      <c r="J372"/>
    </row>
    <row r="373" spans="2:10">
      <c r="B373"/>
      <c r="C373"/>
      <c r="D373"/>
      <c r="E373"/>
      <c r="F373"/>
      <c r="G373"/>
      <c r="H373"/>
      <c r="I373"/>
      <c r="J373"/>
    </row>
    <row r="374" spans="2:10">
      <c r="B374"/>
      <c r="C374"/>
      <c r="D374"/>
      <c r="E374"/>
      <c r="F374"/>
      <c r="G374"/>
      <c r="H374"/>
      <c r="I374"/>
      <c r="J374"/>
    </row>
    <row r="375" spans="2:10">
      <c r="B375"/>
      <c r="C375"/>
      <c r="D375"/>
      <c r="E375"/>
      <c r="F375"/>
      <c r="G375"/>
      <c r="H375"/>
      <c r="I375"/>
      <c r="J375"/>
    </row>
    <row r="376" spans="2:10">
      <c r="B376"/>
      <c r="C376"/>
      <c r="D376"/>
      <c r="E376"/>
      <c r="F376"/>
      <c r="G376"/>
      <c r="H376"/>
      <c r="I376"/>
      <c r="J376"/>
    </row>
    <row r="377" spans="2:10">
      <c r="B377"/>
      <c r="C377"/>
      <c r="D377"/>
      <c r="E377"/>
      <c r="F377"/>
      <c r="G377"/>
      <c r="H377"/>
      <c r="I377"/>
      <c r="J377"/>
    </row>
    <row r="378" spans="2:10">
      <c r="B378"/>
      <c r="C378"/>
      <c r="D378"/>
      <c r="E378"/>
      <c r="F378"/>
      <c r="G378"/>
      <c r="H378"/>
      <c r="I378"/>
      <c r="J378"/>
    </row>
    <row r="379" spans="2:10">
      <c r="B379"/>
      <c r="C379"/>
      <c r="D379"/>
      <c r="E379"/>
      <c r="F379"/>
      <c r="G379"/>
      <c r="H379"/>
      <c r="I379"/>
      <c r="J379"/>
    </row>
    <row r="380" spans="2:10">
      <c r="B380"/>
      <c r="C380"/>
      <c r="D380"/>
      <c r="E380"/>
      <c r="F380"/>
      <c r="G380"/>
      <c r="H380"/>
      <c r="I380"/>
      <c r="J380"/>
    </row>
    <row r="381" spans="2:10">
      <c r="B381"/>
      <c r="C381"/>
      <c r="D381"/>
      <c r="E381"/>
      <c r="F381"/>
      <c r="G381"/>
      <c r="H381"/>
      <c r="I381"/>
      <c r="J381"/>
    </row>
    <row r="382" spans="2:10">
      <c r="B382"/>
      <c r="C382"/>
      <c r="D382"/>
      <c r="E382"/>
      <c r="F382"/>
      <c r="G382"/>
      <c r="H382"/>
      <c r="I382"/>
      <c r="J382"/>
    </row>
    <row r="383" spans="2:10">
      <c r="B383"/>
      <c r="C383"/>
      <c r="D383"/>
      <c r="E383"/>
      <c r="F383"/>
      <c r="G383"/>
      <c r="H383"/>
      <c r="I383"/>
      <c r="J383"/>
    </row>
    <row r="384" spans="2:10">
      <c r="B384"/>
      <c r="C384"/>
      <c r="D384"/>
      <c r="E384"/>
      <c r="F384"/>
      <c r="G384"/>
      <c r="H384"/>
      <c r="I384"/>
      <c r="J384"/>
    </row>
    <row r="385" spans="2:10">
      <c r="B385"/>
      <c r="C385"/>
      <c r="D385"/>
      <c r="E385"/>
      <c r="F385"/>
      <c r="G385"/>
      <c r="H385"/>
      <c r="I385"/>
      <c r="J385"/>
    </row>
    <row r="386" spans="2:10">
      <c r="B386"/>
      <c r="C386"/>
      <c r="D386"/>
      <c r="E386"/>
      <c r="F386"/>
      <c r="G386"/>
      <c r="H386"/>
      <c r="I386"/>
      <c r="J386"/>
    </row>
    <row r="387" spans="2:10">
      <c r="B387"/>
      <c r="C387"/>
      <c r="D387"/>
      <c r="E387"/>
      <c r="F387"/>
      <c r="G387"/>
      <c r="H387"/>
      <c r="I387"/>
      <c r="J387"/>
    </row>
    <row r="388" spans="2:10">
      <c r="B388"/>
      <c r="C388"/>
      <c r="D388"/>
      <c r="E388"/>
      <c r="F388"/>
      <c r="G388"/>
      <c r="H388"/>
      <c r="I388"/>
      <c r="J388"/>
    </row>
    <row r="389" spans="2:10">
      <c r="B389"/>
      <c r="C389"/>
      <c r="D389"/>
      <c r="E389"/>
      <c r="F389"/>
      <c r="G389"/>
      <c r="H389"/>
      <c r="I389"/>
      <c r="J389"/>
    </row>
    <row r="390" spans="2:10">
      <c r="B390"/>
      <c r="C390"/>
      <c r="D390"/>
      <c r="E390"/>
      <c r="F390"/>
      <c r="G390"/>
      <c r="H390"/>
      <c r="I390"/>
      <c r="J390"/>
    </row>
    <row r="391" spans="2:10">
      <c r="B391"/>
      <c r="C391"/>
      <c r="D391"/>
      <c r="E391"/>
      <c r="F391"/>
      <c r="G391"/>
      <c r="H391"/>
      <c r="I391"/>
      <c r="J391"/>
    </row>
    <row r="392" spans="2:10">
      <c r="B392"/>
      <c r="C392"/>
      <c r="D392"/>
      <c r="E392"/>
      <c r="F392"/>
      <c r="G392"/>
      <c r="H392"/>
      <c r="I392"/>
      <c r="J392"/>
    </row>
    <row r="393" spans="2:10">
      <c r="B393"/>
      <c r="C393"/>
      <c r="D393"/>
      <c r="E393"/>
      <c r="F393"/>
      <c r="G393"/>
      <c r="H393"/>
      <c r="I393"/>
      <c r="J393"/>
    </row>
    <row r="394" spans="2:10">
      <c r="B394"/>
      <c r="C394"/>
      <c r="D394"/>
      <c r="E394"/>
      <c r="F394"/>
      <c r="G394"/>
      <c r="H394"/>
      <c r="I394"/>
      <c r="J394"/>
    </row>
    <row r="395" spans="2:10">
      <c r="B395"/>
      <c r="C395"/>
      <c r="D395"/>
      <c r="E395"/>
      <c r="F395"/>
      <c r="G395"/>
      <c r="H395"/>
      <c r="I395"/>
      <c r="J395"/>
    </row>
    <row r="396" spans="2:10">
      <c r="B396"/>
      <c r="C396"/>
      <c r="D396"/>
      <c r="E396"/>
      <c r="F396"/>
      <c r="G396"/>
      <c r="H396"/>
      <c r="I396"/>
      <c r="J396"/>
    </row>
    <row r="397" spans="2:10">
      <c r="B397"/>
      <c r="C397"/>
      <c r="D397"/>
      <c r="E397"/>
      <c r="F397"/>
      <c r="G397"/>
      <c r="H397"/>
      <c r="I397"/>
      <c r="J397"/>
    </row>
    <row r="398" spans="2:10">
      <c r="B398"/>
      <c r="C398"/>
      <c r="D398"/>
      <c r="E398"/>
      <c r="F398"/>
      <c r="G398"/>
      <c r="H398"/>
      <c r="I398"/>
      <c r="J398"/>
    </row>
    <row r="399" spans="2:10">
      <c r="B399"/>
      <c r="C399"/>
      <c r="D399"/>
      <c r="E399"/>
      <c r="F399"/>
      <c r="G399"/>
      <c r="H399"/>
      <c r="I399"/>
      <c r="J399"/>
    </row>
    <row r="400" spans="2:10">
      <c r="B400"/>
      <c r="C400"/>
      <c r="D400"/>
      <c r="E400"/>
      <c r="F400"/>
      <c r="G400"/>
      <c r="H400"/>
      <c r="I400"/>
      <c r="J400"/>
    </row>
    <row r="401" spans="2:10">
      <c r="B401"/>
      <c r="C401"/>
      <c r="D401"/>
      <c r="E401"/>
      <c r="F401"/>
      <c r="G401"/>
      <c r="H401"/>
      <c r="I401"/>
      <c r="J401"/>
    </row>
    <row r="402" spans="2:10">
      <c r="B402"/>
      <c r="C402"/>
      <c r="D402"/>
      <c r="E402"/>
      <c r="F402"/>
      <c r="G402"/>
      <c r="H402"/>
      <c r="I402"/>
      <c r="J402"/>
    </row>
    <row r="403" spans="2:10">
      <c r="B403"/>
      <c r="C403"/>
      <c r="D403"/>
      <c r="E403"/>
      <c r="F403"/>
      <c r="G403"/>
      <c r="H403"/>
      <c r="I403"/>
      <c r="J403"/>
    </row>
    <row r="404" spans="2:10">
      <c r="B404"/>
      <c r="C404"/>
      <c r="D404"/>
      <c r="E404"/>
      <c r="F404"/>
      <c r="G404"/>
      <c r="H404"/>
      <c r="I404"/>
      <c r="J404"/>
    </row>
    <row r="405" spans="2:10">
      <c r="B405"/>
      <c r="C405"/>
      <c r="D405"/>
      <c r="E405"/>
      <c r="F405"/>
      <c r="G405"/>
      <c r="H405"/>
      <c r="I405"/>
      <c r="J405"/>
    </row>
    <row r="406" spans="2:10">
      <c r="B406"/>
      <c r="C406"/>
      <c r="D406"/>
      <c r="E406"/>
      <c r="F406"/>
      <c r="G406"/>
      <c r="H406"/>
      <c r="I406"/>
      <c r="J406"/>
    </row>
    <row r="407" spans="2:10">
      <c r="B407"/>
      <c r="C407"/>
      <c r="D407"/>
      <c r="E407"/>
      <c r="F407"/>
      <c r="G407"/>
      <c r="H407"/>
      <c r="I407"/>
      <c r="J407"/>
    </row>
    <row r="408" spans="2:10">
      <c r="B408"/>
      <c r="C408"/>
      <c r="D408"/>
      <c r="E408"/>
      <c r="F408"/>
      <c r="G408"/>
      <c r="H408"/>
      <c r="I408"/>
      <c r="J408"/>
    </row>
    <row r="409" spans="2:10">
      <c r="B409"/>
      <c r="C409"/>
      <c r="D409"/>
      <c r="E409"/>
      <c r="F409"/>
      <c r="G409"/>
      <c r="H409"/>
      <c r="I409"/>
      <c r="J409"/>
    </row>
    <row r="410" spans="2:10">
      <c r="B410"/>
      <c r="C410"/>
      <c r="D410"/>
      <c r="E410"/>
      <c r="F410"/>
      <c r="G410"/>
      <c r="H410"/>
      <c r="I410"/>
      <c r="J410"/>
    </row>
    <row r="411" spans="2:10">
      <c r="B411"/>
      <c r="C411"/>
      <c r="D411"/>
      <c r="E411"/>
      <c r="F411"/>
      <c r="G411"/>
      <c r="H411"/>
      <c r="I411"/>
      <c r="J411"/>
    </row>
    <row r="412" spans="2:10">
      <c r="B412"/>
      <c r="C412"/>
      <c r="D412"/>
      <c r="E412"/>
      <c r="F412"/>
      <c r="G412"/>
      <c r="H412"/>
      <c r="I412"/>
      <c r="J412"/>
    </row>
    <row r="413" spans="2:10">
      <c r="B413"/>
      <c r="C413"/>
      <c r="D413"/>
      <c r="E413"/>
      <c r="F413"/>
      <c r="G413"/>
      <c r="H413"/>
      <c r="I413"/>
      <c r="J413"/>
    </row>
    <row r="414" spans="2:10">
      <c r="B414"/>
      <c r="C414"/>
      <c r="D414"/>
      <c r="E414"/>
      <c r="F414"/>
      <c r="G414"/>
      <c r="H414"/>
      <c r="I414"/>
      <c r="J414"/>
    </row>
    <row r="415" spans="2:10">
      <c r="B415"/>
      <c r="C415"/>
      <c r="D415"/>
      <c r="E415"/>
      <c r="F415"/>
      <c r="G415"/>
      <c r="H415"/>
      <c r="I415"/>
      <c r="J415"/>
    </row>
    <row r="416" spans="2:10">
      <c r="B416"/>
      <c r="C416"/>
      <c r="D416"/>
      <c r="E416"/>
      <c r="F416"/>
      <c r="G416"/>
      <c r="H416"/>
      <c r="I416"/>
      <c r="J416"/>
    </row>
    <row r="417" spans="2:10">
      <c r="B417"/>
      <c r="C417"/>
      <c r="D417"/>
      <c r="E417"/>
      <c r="F417"/>
      <c r="G417"/>
      <c r="H417"/>
      <c r="I417"/>
      <c r="J417"/>
    </row>
    <row r="418" spans="2:10">
      <c r="B418"/>
      <c r="C418"/>
      <c r="D418"/>
      <c r="E418"/>
      <c r="F418"/>
      <c r="G418"/>
      <c r="H418"/>
      <c r="I418"/>
      <c r="J418"/>
    </row>
    <row r="419" spans="2:10">
      <c r="B419"/>
      <c r="C419"/>
      <c r="D419"/>
      <c r="E419"/>
      <c r="F419"/>
      <c r="G419"/>
      <c r="H419"/>
      <c r="I419"/>
      <c r="J419"/>
    </row>
    <row r="420" spans="2:10">
      <c r="B420"/>
      <c r="C420"/>
      <c r="D420"/>
      <c r="E420"/>
      <c r="F420"/>
      <c r="G420"/>
      <c r="H420"/>
      <c r="I420"/>
      <c r="J420"/>
    </row>
    <row r="421" spans="2:10">
      <c r="B421"/>
      <c r="C421"/>
      <c r="D421"/>
      <c r="E421"/>
      <c r="F421"/>
      <c r="G421"/>
      <c r="H421"/>
      <c r="I421"/>
      <c r="J421"/>
    </row>
    <row r="422" spans="2:10">
      <c r="B422"/>
      <c r="C422"/>
      <c r="D422"/>
      <c r="E422"/>
      <c r="F422"/>
      <c r="G422"/>
      <c r="H422"/>
      <c r="I422"/>
      <c r="J422"/>
    </row>
    <row r="423" spans="2:10">
      <c r="B423"/>
      <c r="C423"/>
      <c r="D423"/>
      <c r="E423"/>
      <c r="F423"/>
      <c r="G423"/>
      <c r="H423"/>
      <c r="I423"/>
      <c r="J423"/>
    </row>
    <row r="424" spans="2:10">
      <c r="B424"/>
      <c r="C424"/>
      <c r="D424"/>
      <c r="E424"/>
      <c r="F424"/>
      <c r="G424"/>
      <c r="H424"/>
      <c r="I424"/>
      <c r="J424"/>
    </row>
    <row r="425" spans="2:10">
      <c r="B425"/>
      <c r="C425"/>
      <c r="D425"/>
      <c r="E425"/>
      <c r="F425"/>
      <c r="G425"/>
      <c r="H425"/>
      <c r="I425"/>
      <c r="J425"/>
    </row>
    <row r="426" spans="2:10">
      <c r="B426"/>
      <c r="C426"/>
      <c r="D426"/>
      <c r="E426"/>
      <c r="F426"/>
      <c r="G426"/>
      <c r="H426"/>
      <c r="I426"/>
      <c r="J426"/>
    </row>
    <row r="427" spans="2:10">
      <c r="B427"/>
      <c r="C427"/>
      <c r="D427"/>
      <c r="E427"/>
      <c r="F427"/>
      <c r="G427"/>
      <c r="H427"/>
      <c r="I427"/>
      <c r="J427"/>
    </row>
    <row r="428" spans="2:10">
      <c r="B428"/>
      <c r="C428"/>
      <c r="D428"/>
      <c r="E428"/>
      <c r="F428"/>
      <c r="G428"/>
      <c r="H428"/>
      <c r="I428"/>
      <c r="J428"/>
    </row>
    <row r="429" spans="2:10">
      <c r="B429"/>
      <c r="C429"/>
      <c r="D429"/>
      <c r="E429"/>
      <c r="F429"/>
      <c r="G429"/>
      <c r="H429"/>
      <c r="I429"/>
      <c r="J429"/>
    </row>
    <row r="430" spans="2:10">
      <c r="B430"/>
      <c r="C430"/>
      <c r="D430"/>
      <c r="E430"/>
      <c r="F430"/>
      <c r="G430"/>
      <c r="H430"/>
      <c r="I430"/>
      <c r="J430"/>
    </row>
    <row r="431" spans="2:10">
      <c r="B431"/>
      <c r="C431"/>
      <c r="D431"/>
      <c r="E431"/>
      <c r="F431"/>
      <c r="G431"/>
      <c r="H431"/>
      <c r="I431"/>
      <c r="J431"/>
    </row>
    <row r="432" spans="2:10">
      <c r="B432"/>
      <c r="C432"/>
      <c r="D432"/>
      <c r="E432"/>
      <c r="F432"/>
      <c r="G432"/>
      <c r="H432"/>
      <c r="I432"/>
      <c r="J432"/>
    </row>
    <row r="433" spans="2:10">
      <c r="B433"/>
      <c r="C433"/>
      <c r="D433"/>
      <c r="E433"/>
      <c r="F433"/>
      <c r="G433"/>
      <c r="H433"/>
      <c r="I433"/>
      <c r="J433"/>
    </row>
    <row r="434" spans="2:10">
      <c r="B434"/>
      <c r="C434"/>
      <c r="D434"/>
      <c r="E434"/>
      <c r="F434"/>
      <c r="G434"/>
      <c r="H434"/>
      <c r="I434"/>
      <c r="J434"/>
    </row>
    <row r="435" spans="2:10">
      <c r="B435"/>
      <c r="C435"/>
      <c r="D435"/>
      <c r="E435"/>
      <c r="F435"/>
      <c r="G435"/>
      <c r="H435"/>
      <c r="I435"/>
      <c r="J435"/>
    </row>
    <row r="436" spans="2:10">
      <c r="B436"/>
      <c r="C436"/>
      <c r="D436"/>
      <c r="E436"/>
      <c r="F436"/>
      <c r="G436"/>
      <c r="H436"/>
      <c r="I436"/>
      <c r="J436"/>
    </row>
    <row r="437" spans="2:10">
      <c r="B437"/>
      <c r="C437"/>
      <c r="D437"/>
      <c r="E437"/>
      <c r="F437"/>
      <c r="G437"/>
      <c r="H437"/>
      <c r="I437"/>
      <c r="J437"/>
    </row>
    <row r="438" spans="2:10">
      <c r="B438"/>
      <c r="C438"/>
      <c r="D438"/>
      <c r="E438"/>
      <c r="F438"/>
      <c r="G438"/>
      <c r="H438"/>
      <c r="I438"/>
      <c r="J438"/>
    </row>
    <row r="439" spans="2:10">
      <c r="B439"/>
      <c r="C439"/>
      <c r="D439"/>
      <c r="E439"/>
      <c r="F439"/>
      <c r="G439"/>
      <c r="H439"/>
      <c r="I439"/>
      <c r="J439"/>
    </row>
    <row r="440" spans="2:10">
      <c r="B440"/>
      <c r="C440"/>
      <c r="D440"/>
      <c r="E440"/>
      <c r="F440"/>
      <c r="G440"/>
      <c r="H440"/>
      <c r="I440"/>
      <c r="J440"/>
    </row>
    <row r="441" spans="2:10">
      <c r="B441"/>
      <c r="C441"/>
      <c r="D441"/>
      <c r="E441"/>
      <c r="F441"/>
      <c r="G441"/>
      <c r="H441"/>
      <c r="I441"/>
      <c r="J441"/>
    </row>
    <row r="442" spans="2:10">
      <c r="B442"/>
      <c r="C442"/>
      <c r="D442"/>
      <c r="E442"/>
      <c r="F442"/>
      <c r="G442"/>
      <c r="H442"/>
      <c r="I442"/>
      <c r="J442"/>
    </row>
    <row r="443" spans="2:10">
      <c r="B443"/>
      <c r="C443"/>
      <c r="D443"/>
      <c r="E443"/>
      <c r="F443"/>
      <c r="G443"/>
      <c r="H443"/>
      <c r="I443"/>
      <c r="J443"/>
    </row>
    <row r="444" spans="2:10">
      <c r="B444"/>
      <c r="C444"/>
      <c r="D444"/>
      <c r="E444"/>
      <c r="F444"/>
      <c r="G444"/>
      <c r="H444"/>
      <c r="I444"/>
      <c r="J444"/>
    </row>
    <row r="445" spans="2:10">
      <c r="B445"/>
      <c r="C445"/>
      <c r="D445"/>
      <c r="E445"/>
      <c r="F445"/>
      <c r="G445"/>
      <c r="H445"/>
      <c r="I445"/>
      <c r="J445"/>
    </row>
    <row r="446" spans="2:10">
      <c r="B446"/>
      <c r="C446"/>
      <c r="D446"/>
      <c r="E446"/>
      <c r="F446"/>
      <c r="G446"/>
      <c r="H446"/>
      <c r="I446"/>
      <c r="J446"/>
    </row>
    <row r="447" spans="2:10">
      <c r="B447"/>
      <c r="C447"/>
      <c r="D447"/>
      <c r="E447"/>
      <c r="F447"/>
      <c r="G447"/>
      <c r="H447"/>
      <c r="I447"/>
      <c r="J447"/>
    </row>
    <row r="448" spans="2:10">
      <c r="B448"/>
      <c r="C448"/>
      <c r="D448"/>
      <c r="E448"/>
      <c r="F448"/>
      <c r="G448"/>
      <c r="H448"/>
      <c r="I448"/>
      <c r="J448"/>
    </row>
    <row r="449" spans="2:10">
      <c r="B449"/>
      <c r="C449"/>
      <c r="D449"/>
      <c r="E449"/>
      <c r="F449"/>
      <c r="G449"/>
      <c r="H449"/>
      <c r="I449"/>
      <c r="J449"/>
    </row>
    <row r="450" spans="2:10">
      <c r="B450"/>
      <c r="C450"/>
      <c r="D450"/>
      <c r="E450"/>
      <c r="F450"/>
      <c r="G450"/>
      <c r="H450"/>
      <c r="I450"/>
      <c r="J450"/>
    </row>
    <row r="451" spans="2:10">
      <c r="B451"/>
      <c r="C451"/>
      <c r="D451"/>
      <c r="E451"/>
      <c r="F451"/>
      <c r="G451"/>
      <c r="H451"/>
      <c r="I451"/>
      <c r="J451"/>
    </row>
    <row r="452" spans="2:10">
      <c r="B452"/>
      <c r="C452"/>
      <c r="D452"/>
      <c r="E452"/>
      <c r="F452"/>
      <c r="G452"/>
      <c r="H452"/>
      <c r="I452"/>
      <c r="J452"/>
    </row>
    <row r="453" spans="2:10">
      <c r="B453"/>
      <c r="C453"/>
      <c r="D453"/>
      <c r="E453"/>
      <c r="F453"/>
      <c r="G453"/>
      <c r="H453"/>
      <c r="I453"/>
      <c r="J453"/>
    </row>
    <row r="454" spans="2:10">
      <c r="B454"/>
      <c r="C454"/>
      <c r="D454"/>
      <c r="E454"/>
      <c r="F454"/>
      <c r="G454"/>
      <c r="H454"/>
      <c r="I454"/>
      <c r="J454"/>
    </row>
    <row r="455" spans="2:10">
      <c r="B455"/>
      <c r="C455"/>
      <c r="D455"/>
      <c r="E455"/>
      <c r="F455"/>
      <c r="G455"/>
      <c r="H455"/>
      <c r="I455"/>
      <c r="J455"/>
    </row>
    <row r="456" spans="2:10">
      <c r="B456"/>
      <c r="C456"/>
      <c r="D456"/>
      <c r="E456"/>
      <c r="F456"/>
      <c r="G456"/>
      <c r="H456"/>
      <c r="I456"/>
      <c r="J456"/>
    </row>
    <row r="457" spans="2:10">
      <c r="B457"/>
      <c r="C457"/>
      <c r="D457"/>
      <c r="E457"/>
      <c r="F457"/>
      <c r="G457"/>
      <c r="H457"/>
      <c r="I457"/>
      <c r="J457"/>
    </row>
    <row r="458" spans="2:10">
      <c r="B458"/>
      <c r="C458"/>
      <c r="D458"/>
      <c r="E458"/>
      <c r="F458"/>
      <c r="G458"/>
      <c r="H458"/>
      <c r="I458"/>
      <c r="J458"/>
    </row>
    <row r="459" spans="2:10">
      <c r="B459"/>
      <c r="C459"/>
      <c r="D459"/>
      <c r="E459"/>
      <c r="F459"/>
      <c r="G459"/>
      <c r="H459"/>
      <c r="I459"/>
      <c r="J459"/>
    </row>
    <row r="460" spans="2:10">
      <c r="B460"/>
      <c r="C460"/>
      <c r="D460"/>
      <c r="E460"/>
      <c r="F460"/>
      <c r="G460"/>
      <c r="H460"/>
      <c r="I460"/>
      <c r="J460"/>
    </row>
    <row r="461" spans="2:10">
      <c r="B461"/>
      <c r="C461"/>
      <c r="D461"/>
      <c r="E461"/>
      <c r="F461"/>
      <c r="G461"/>
      <c r="H461"/>
      <c r="I461"/>
      <c r="J461"/>
    </row>
    <row r="462" spans="2:10">
      <c r="B462"/>
      <c r="C462"/>
      <c r="D462"/>
      <c r="E462"/>
      <c r="F462"/>
      <c r="G462"/>
      <c r="H462"/>
      <c r="I462"/>
      <c r="J462"/>
    </row>
    <row r="463" spans="2:10">
      <c r="B463"/>
      <c r="C463"/>
      <c r="D463"/>
      <c r="E463"/>
      <c r="F463"/>
      <c r="G463"/>
      <c r="H463"/>
      <c r="I463"/>
      <c r="J463"/>
    </row>
    <row r="464" spans="2:10">
      <c r="B464"/>
      <c r="C464"/>
      <c r="D464"/>
      <c r="E464"/>
      <c r="F464"/>
      <c r="G464"/>
      <c r="H464"/>
      <c r="I464"/>
      <c r="J464"/>
    </row>
    <row r="465" spans="2:10">
      <c r="B465"/>
      <c r="C465"/>
      <c r="D465"/>
      <c r="E465"/>
      <c r="F465"/>
      <c r="G465"/>
      <c r="H465"/>
      <c r="I465"/>
      <c r="J465"/>
    </row>
    <row r="466" spans="2:10">
      <c r="B466"/>
      <c r="C466"/>
      <c r="D466"/>
      <c r="E466"/>
      <c r="F466"/>
      <c r="G466"/>
      <c r="H466"/>
      <c r="I466"/>
      <c r="J466"/>
    </row>
    <row r="467" spans="2:10">
      <c r="B467"/>
      <c r="C467"/>
      <c r="D467"/>
      <c r="E467"/>
      <c r="F467"/>
      <c r="G467"/>
      <c r="H467"/>
      <c r="I467"/>
      <c r="J467"/>
    </row>
    <row r="468" spans="2:10">
      <c r="B468"/>
      <c r="C468"/>
      <c r="D468"/>
      <c r="E468"/>
      <c r="F468"/>
      <c r="G468"/>
      <c r="H468"/>
      <c r="I468"/>
      <c r="J468"/>
    </row>
    <row r="469" spans="2:10">
      <c r="B469"/>
      <c r="C469"/>
      <c r="D469"/>
      <c r="E469"/>
      <c r="F469"/>
      <c r="G469"/>
      <c r="H469"/>
      <c r="I469"/>
      <c r="J469"/>
    </row>
    <row r="470" spans="2:10">
      <c r="B470"/>
      <c r="C470"/>
      <c r="D470"/>
      <c r="E470"/>
      <c r="F470"/>
      <c r="G470"/>
      <c r="H470"/>
      <c r="I470"/>
      <c r="J470"/>
    </row>
    <row r="471" spans="2:10">
      <c r="B471"/>
      <c r="C471"/>
      <c r="D471"/>
      <c r="E471"/>
      <c r="F471"/>
      <c r="G471"/>
      <c r="H471"/>
      <c r="I471"/>
      <c r="J471"/>
    </row>
    <row r="472" spans="2:10">
      <c r="B472"/>
      <c r="C472"/>
      <c r="D472"/>
      <c r="E472"/>
      <c r="F472"/>
      <c r="G472"/>
      <c r="H472"/>
      <c r="I472"/>
      <c r="J472"/>
    </row>
    <row r="473" spans="2:10">
      <c r="B473"/>
      <c r="C473"/>
      <c r="D473"/>
      <c r="E473"/>
      <c r="F473"/>
      <c r="G473"/>
      <c r="H473"/>
      <c r="I473"/>
      <c r="J473"/>
    </row>
    <row r="474" spans="2:10">
      <c r="B474"/>
      <c r="C474"/>
      <c r="D474"/>
      <c r="E474"/>
      <c r="F474"/>
      <c r="G474"/>
      <c r="H474"/>
      <c r="I474"/>
      <c r="J474"/>
    </row>
    <row r="475" spans="2:10">
      <c r="B475"/>
      <c r="C475"/>
      <c r="D475"/>
      <c r="E475"/>
      <c r="F475"/>
      <c r="G475"/>
      <c r="H475"/>
      <c r="I475"/>
      <c r="J475"/>
    </row>
    <row r="476" spans="2:10">
      <c r="B476"/>
      <c r="C476"/>
      <c r="D476"/>
      <c r="E476"/>
      <c r="F476"/>
      <c r="G476"/>
      <c r="H476"/>
      <c r="I476"/>
      <c r="J476"/>
    </row>
    <row r="477" spans="2:10">
      <c r="B477"/>
      <c r="C477"/>
      <c r="D477"/>
      <c r="E477"/>
      <c r="F477"/>
      <c r="G477"/>
      <c r="H477"/>
      <c r="I477"/>
      <c r="J477"/>
    </row>
    <row r="478" spans="2:10">
      <c r="B478"/>
      <c r="C478"/>
      <c r="D478"/>
      <c r="E478"/>
      <c r="F478"/>
      <c r="G478"/>
      <c r="H478"/>
      <c r="I478"/>
      <c r="J478"/>
    </row>
    <row r="479" spans="2:10">
      <c r="B479"/>
      <c r="C479"/>
      <c r="D479"/>
      <c r="E479"/>
      <c r="F479"/>
      <c r="G479"/>
      <c r="H479"/>
      <c r="I479"/>
      <c r="J479"/>
    </row>
    <row r="480" spans="2:10">
      <c r="B480"/>
      <c r="C480"/>
      <c r="D480"/>
      <c r="E480"/>
      <c r="F480"/>
      <c r="G480"/>
      <c r="H480"/>
      <c r="I480"/>
      <c r="J480"/>
    </row>
    <row r="481" spans="2:10">
      <c r="B481"/>
      <c r="C481"/>
      <c r="D481"/>
      <c r="E481"/>
      <c r="F481"/>
      <c r="G481"/>
      <c r="H481"/>
      <c r="I481"/>
      <c r="J481"/>
    </row>
    <row r="482" spans="2:10">
      <c r="B482"/>
      <c r="C482"/>
      <c r="D482"/>
      <c r="E482"/>
      <c r="F482"/>
      <c r="G482"/>
      <c r="H482"/>
      <c r="I482"/>
      <c r="J482"/>
    </row>
    <row r="483" spans="2:10">
      <c r="B483"/>
      <c r="C483"/>
      <c r="D483"/>
      <c r="E483"/>
      <c r="F483"/>
      <c r="G483"/>
      <c r="H483"/>
      <c r="I483"/>
      <c r="J483"/>
    </row>
    <row r="484" spans="2:10">
      <c r="B484"/>
      <c r="C484"/>
      <c r="D484"/>
      <c r="E484"/>
      <c r="F484"/>
      <c r="G484"/>
      <c r="H484"/>
      <c r="I484"/>
      <c r="J484"/>
    </row>
    <row r="485" spans="2:10">
      <c r="B485"/>
      <c r="C485"/>
      <c r="D485"/>
      <c r="E485"/>
      <c r="F485"/>
      <c r="G485"/>
      <c r="H485"/>
      <c r="I485"/>
      <c r="J485"/>
    </row>
    <row r="486" spans="2:10">
      <c r="B486"/>
      <c r="C486"/>
      <c r="D486"/>
      <c r="E486"/>
      <c r="F486"/>
      <c r="G486"/>
      <c r="H486"/>
      <c r="I486"/>
      <c r="J486"/>
    </row>
    <row r="487" spans="2:10">
      <c r="B487"/>
      <c r="C487"/>
      <c r="D487"/>
      <c r="E487"/>
      <c r="F487"/>
      <c r="G487"/>
      <c r="H487"/>
      <c r="I487"/>
      <c r="J487"/>
    </row>
    <row r="488" spans="2:10">
      <c r="B488"/>
      <c r="C488"/>
      <c r="D488"/>
      <c r="E488"/>
      <c r="F488"/>
      <c r="G488"/>
      <c r="H488"/>
      <c r="I488"/>
      <c r="J488"/>
    </row>
    <row r="489" spans="2:10">
      <c r="B489"/>
      <c r="C489"/>
      <c r="D489"/>
      <c r="E489"/>
      <c r="F489"/>
      <c r="G489"/>
      <c r="H489"/>
      <c r="I489"/>
      <c r="J489"/>
    </row>
    <row r="490" spans="2:10">
      <c r="B490"/>
      <c r="C490"/>
      <c r="D490"/>
      <c r="E490"/>
      <c r="F490"/>
      <c r="G490"/>
      <c r="H490"/>
      <c r="I490"/>
      <c r="J490"/>
    </row>
    <row r="491" spans="2:10">
      <c r="B491"/>
      <c r="C491"/>
      <c r="D491"/>
      <c r="E491"/>
      <c r="F491"/>
      <c r="G491"/>
      <c r="H491"/>
      <c r="I491"/>
      <c r="J491"/>
    </row>
    <row r="492" spans="2:10">
      <c r="B492"/>
      <c r="C492"/>
      <c r="D492"/>
      <c r="E492"/>
      <c r="F492"/>
      <c r="G492"/>
      <c r="H492"/>
      <c r="I492"/>
      <c r="J492"/>
    </row>
    <row r="493" spans="2:10">
      <c r="B493"/>
      <c r="C493"/>
      <c r="D493"/>
      <c r="E493"/>
      <c r="F493"/>
      <c r="G493"/>
      <c r="H493"/>
      <c r="I493"/>
      <c r="J493"/>
    </row>
    <row r="494" spans="2:10">
      <c r="B494"/>
      <c r="C494"/>
      <c r="D494"/>
      <c r="E494"/>
      <c r="F494"/>
      <c r="G494"/>
      <c r="H494"/>
      <c r="I494"/>
      <c r="J494"/>
    </row>
    <row r="495" spans="2:10">
      <c r="B495"/>
      <c r="C495"/>
      <c r="D495"/>
      <c r="E495"/>
      <c r="F495"/>
      <c r="G495"/>
      <c r="H495"/>
      <c r="I495"/>
      <c r="J495"/>
    </row>
    <row r="496" spans="2:10">
      <c r="B496"/>
      <c r="C496"/>
      <c r="D496"/>
      <c r="E496"/>
      <c r="F496"/>
      <c r="G496"/>
      <c r="H496"/>
      <c r="I496"/>
      <c r="J496"/>
    </row>
    <row r="497" spans="2:10">
      <c r="B497"/>
      <c r="C497"/>
      <c r="D497"/>
      <c r="E497"/>
      <c r="F497"/>
      <c r="G497"/>
      <c r="H497"/>
      <c r="I497"/>
      <c r="J497"/>
    </row>
    <row r="498" spans="2:10">
      <c r="B498"/>
      <c r="C498"/>
      <c r="D498"/>
      <c r="E498"/>
      <c r="F498"/>
      <c r="G498"/>
      <c r="H498"/>
      <c r="I498"/>
      <c r="J498"/>
    </row>
    <row r="499" spans="2:10">
      <c r="B499"/>
      <c r="C499"/>
      <c r="D499"/>
      <c r="E499"/>
      <c r="F499"/>
      <c r="G499"/>
      <c r="H499"/>
      <c r="I499"/>
      <c r="J499"/>
    </row>
    <row r="500" spans="2:10">
      <c r="B500"/>
      <c r="C500"/>
      <c r="D500"/>
      <c r="E500"/>
      <c r="F500"/>
      <c r="G500"/>
      <c r="H500"/>
      <c r="I500"/>
      <c r="J500"/>
    </row>
    <row r="501" spans="2:10">
      <c r="B501"/>
      <c r="C501"/>
      <c r="D501"/>
      <c r="E501"/>
      <c r="F501"/>
      <c r="G501"/>
      <c r="H501"/>
      <c r="I501"/>
      <c r="J501"/>
    </row>
    <row r="502" spans="2:10">
      <c r="B502"/>
      <c r="C502"/>
      <c r="D502"/>
      <c r="E502"/>
      <c r="F502"/>
      <c r="G502"/>
      <c r="H502"/>
      <c r="I502"/>
      <c r="J502"/>
    </row>
    <row r="503" spans="2:10">
      <c r="B503"/>
      <c r="C503"/>
      <c r="D503"/>
      <c r="E503"/>
      <c r="F503"/>
      <c r="G503"/>
      <c r="H503"/>
      <c r="I503"/>
      <c r="J503"/>
    </row>
    <row r="504" spans="2:10">
      <c r="B504"/>
      <c r="C504"/>
      <c r="D504"/>
      <c r="E504"/>
      <c r="F504"/>
      <c r="G504"/>
      <c r="H504"/>
      <c r="I504"/>
      <c r="J504"/>
    </row>
    <row r="505" spans="2:10">
      <c r="B505"/>
      <c r="C505"/>
      <c r="D505"/>
      <c r="E505"/>
      <c r="F505"/>
      <c r="G505"/>
      <c r="H505"/>
      <c r="I505"/>
      <c r="J505"/>
    </row>
    <row r="506" spans="2:10">
      <c r="B506"/>
      <c r="C506"/>
      <c r="D506"/>
      <c r="E506"/>
      <c r="F506"/>
      <c r="G506"/>
      <c r="H506"/>
      <c r="I506"/>
      <c r="J506"/>
    </row>
    <row r="507" spans="2:10">
      <c r="B507"/>
      <c r="C507"/>
      <c r="D507"/>
      <c r="E507"/>
      <c r="F507"/>
      <c r="G507"/>
      <c r="H507"/>
      <c r="I507"/>
      <c r="J507"/>
    </row>
    <row r="508" spans="2:10">
      <c r="B508"/>
      <c r="C508"/>
      <c r="D508"/>
      <c r="E508"/>
      <c r="F508"/>
      <c r="G508"/>
      <c r="H508"/>
      <c r="I508"/>
      <c r="J508"/>
    </row>
    <row r="509" spans="2:10">
      <c r="B509"/>
      <c r="C509"/>
      <c r="D509"/>
      <c r="E509"/>
      <c r="F509"/>
      <c r="G509"/>
      <c r="H509"/>
      <c r="I509"/>
      <c r="J509"/>
    </row>
    <row r="510" spans="2:10">
      <c r="B510"/>
      <c r="C510"/>
      <c r="D510"/>
      <c r="E510"/>
      <c r="F510"/>
      <c r="G510"/>
      <c r="H510"/>
      <c r="I510"/>
      <c r="J510"/>
    </row>
    <row r="511" spans="2:10">
      <c r="B511"/>
      <c r="C511"/>
      <c r="D511"/>
      <c r="E511"/>
      <c r="F511"/>
      <c r="G511"/>
      <c r="H511"/>
      <c r="I511"/>
      <c r="J511"/>
    </row>
    <row r="512" spans="2:10">
      <c r="B512"/>
      <c r="C512"/>
      <c r="D512"/>
      <c r="E512"/>
      <c r="F512"/>
      <c r="G512"/>
      <c r="H512"/>
      <c r="I512"/>
      <c r="J512"/>
    </row>
    <row r="513" spans="2:10">
      <c r="B513"/>
      <c r="C513"/>
      <c r="D513"/>
      <c r="E513"/>
      <c r="F513"/>
      <c r="G513"/>
      <c r="H513"/>
      <c r="I513"/>
      <c r="J513"/>
    </row>
    <row r="514" spans="2:10">
      <c r="B514"/>
      <c r="C514"/>
      <c r="D514"/>
      <c r="E514"/>
      <c r="F514"/>
      <c r="G514"/>
      <c r="H514"/>
      <c r="I514"/>
      <c r="J514"/>
    </row>
    <row r="515" spans="2:10">
      <c r="B515"/>
      <c r="C515"/>
      <c r="D515"/>
      <c r="E515"/>
      <c r="F515"/>
      <c r="G515"/>
      <c r="H515"/>
      <c r="I515"/>
      <c r="J515"/>
    </row>
    <row r="516" spans="2:10">
      <c r="B516"/>
      <c r="C516"/>
      <c r="D516"/>
      <c r="E516"/>
      <c r="F516"/>
      <c r="G516"/>
      <c r="H516"/>
      <c r="I516"/>
      <c r="J516"/>
    </row>
    <row r="517" spans="2:10">
      <c r="B517"/>
      <c r="C517"/>
      <c r="D517"/>
      <c r="E517"/>
      <c r="F517"/>
      <c r="G517"/>
      <c r="H517"/>
      <c r="I517"/>
      <c r="J517"/>
    </row>
    <row r="518" spans="2:10">
      <c r="B518"/>
      <c r="C518"/>
      <c r="D518"/>
      <c r="E518"/>
      <c r="F518"/>
      <c r="G518"/>
      <c r="H518"/>
      <c r="I518"/>
      <c r="J518"/>
    </row>
    <row r="519" spans="2:10">
      <c r="B519"/>
      <c r="C519"/>
      <c r="D519"/>
      <c r="E519"/>
      <c r="F519"/>
      <c r="G519"/>
      <c r="H519"/>
      <c r="I519"/>
      <c r="J519"/>
    </row>
    <row r="520" spans="2:10">
      <c r="B520"/>
      <c r="C520"/>
      <c r="D520"/>
      <c r="E520"/>
      <c r="F520"/>
      <c r="G520"/>
      <c r="H520"/>
      <c r="I520"/>
      <c r="J520"/>
    </row>
    <row r="521" spans="2:10">
      <c r="B521"/>
      <c r="C521"/>
      <c r="D521"/>
      <c r="E521"/>
      <c r="F521"/>
      <c r="G521"/>
      <c r="H521"/>
      <c r="I521"/>
      <c r="J521"/>
    </row>
    <row r="522" spans="2:10">
      <c r="B522"/>
      <c r="C522"/>
      <c r="D522"/>
      <c r="E522"/>
      <c r="F522"/>
      <c r="G522"/>
      <c r="H522"/>
      <c r="I522"/>
      <c r="J522"/>
    </row>
    <row r="523" spans="2:10">
      <c r="B523"/>
      <c r="C523"/>
      <c r="D523"/>
      <c r="E523"/>
      <c r="F523"/>
      <c r="G523"/>
      <c r="H523"/>
      <c r="I523"/>
      <c r="J523"/>
    </row>
    <row r="524" spans="2:10">
      <c r="B524"/>
      <c r="C524"/>
      <c r="D524"/>
      <c r="E524"/>
      <c r="F524"/>
      <c r="G524"/>
      <c r="H524"/>
      <c r="I524"/>
      <c r="J524"/>
    </row>
    <row r="525" spans="2:10">
      <c r="B525"/>
      <c r="C525"/>
      <c r="D525"/>
      <c r="E525"/>
      <c r="F525"/>
      <c r="G525"/>
      <c r="H525"/>
      <c r="I525"/>
      <c r="J525"/>
    </row>
    <row r="526" spans="2:10">
      <c r="B526"/>
      <c r="C526"/>
      <c r="D526"/>
      <c r="E526"/>
      <c r="F526"/>
      <c r="G526"/>
      <c r="H526"/>
      <c r="I526"/>
      <c r="J526"/>
    </row>
    <row r="527" spans="2:10">
      <c r="B527"/>
      <c r="C527"/>
      <c r="D527"/>
      <c r="E527"/>
      <c r="F527"/>
      <c r="G527"/>
      <c r="H527"/>
      <c r="I527"/>
      <c r="J527"/>
    </row>
    <row r="528" spans="2:10">
      <c r="B528"/>
      <c r="C528"/>
      <c r="D528"/>
      <c r="E528"/>
      <c r="F528"/>
      <c r="G528"/>
      <c r="H528"/>
      <c r="I528"/>
      <c r="J528"/>
    </row>
    <row r="529" spans="2:10">
      <c r="B529"/>
      <c r="C529"/>
      <c r="D529"/>
      <c r="E529"/>
      <c r="F529"/>
      <c r="G529"/>
      <c r="H529"/>
      <c r="I529"/>
      <c r="J529"/>
    </row>
    <row r="530" spans="2:10">
      <c r="B530"/>
      <c r="C530"/>
      <c r="D530"/>
      <c r="E530"/>
      <c r="F530"/>
      <c r="G530"/>
      <c r="H530"/>
      <c r="I530"/>
      <c r="J530"/>
    </row>
    <row r="531" spans="2:10">
      <c r="B531"/>
      <c r="C531"/>
      <c r="D531"/>
      <c r="E531"/>
      <c r="F531"/>
      <c r="G531"/>
      <c r="H531"/>
      <c r="I531"/>
      <c r="J531"/>
    </row>
    <row r="532" spans="2:10">
      <c r="B532"/>
      <c r="C532"/>
      <c r="D532"/>
      <c r="E532"/>
      <c r="F532"/>
      <c r="G532"/>
      <c r="H532"/>
      <c r="I532"/>
      <c r="J532"/>
    </row>
    <row r="533" spans="2:10">
      <c r="B533"/>
      <c r="C533"/>
      <c r="D533"/>
      <c r="E533"/>
      <c r="F533"/>
      <c r="G533"/>
      <c r="H533"/>
      <c r="I533"/>
      <c r="J533"/>
    </row>
    <row r="534" spans="2:10">
      <c r="B534"/>
      <c r="C534"/>
      <c r="D534"/>
      <c r="E534"/>
      <c r="F534"/>
      <c r="G534"/>
      <c r="H534"/>
      <c r="I534"/>
      <c r="J534"/>
    </row>
    <row r="535" spans="2:10">
      <c r="B535"/>
      <c r="C535"/>
      <c r="D535"/>
      <c r="E535"/>
      <c r="F535"/>
      <c r="G535"/>
      <c r="H535"/>
      <c r="I535"/>
      <c r="J535"/>
    </row>
    <row r="536" spans="2:10">
      <c r="B536"/>
      <c r="C536"/>
      <c r="D536"/>
      <c r="E536"/>
      <c r="F536"/>
      <c r="G536"/>
      <c r="H536"/>
      <c r="I536"/>
      <c r="J536"/>
    </row>
    <row r="537" spans="2:10">
      <c r="B537"/>
      <c r="C537"/>
      <c r="D537"/>
      <c r="E537"/>
      <c r="F537"/>
      <c r="G537"/>
      <c r="H537"/>
      <c r="I537"/>
      <c r="J537"/>
    </row>
    <row r="538" spans="2:10">
      <c r="B538"/>
      <c r="C538"/>
      <c r="D538"/>
      <c r="E538"/>
      <c r="F538"/>
      <c r="G538"/>
      <c r="H538"/>
      <c r="I538"/>
      <c r="J538"/>
    </row>
    <row r="539" spans="2:10">
      <c r="B539"/>
      <c r="C539"/>
      <c r="D539"/>
      <c r="E539"/>
      <c r="F539"/>
      <c r="G539"/>
      <c r="H539"/>
      <c r="I539"/>
      <c r="J539"/>
    </row>
    <row r="540" spans="2:10">
      <c r="B540"/>
      <c r="C540"/>
      <c r="D540"/>
      <c r="E540"/>
      <c r="F540"/>
      <c r="G540"/>
      <c r="H540"/>
      <c r="I540"/>
      <c r="J540"/>
    </row>
    <row r="541" spans="2:10">
      <c r="B541"/>
      <c r="C541"/>
      <c r="D541"/>
      <c r="E541"/>
      <c r="F541"/>
      <c r="G541"/>
      <c r="H541"/>
      <c r="I541"/>
      <c r="J541"/>
    </row>
    <row r="542" spans="2:10">
      <c r="B542"/>
      <c r="C542"/>
      <c r="D542"/>
      <c r="E542"/>
      <c r="F542"/>
      <c r="G542"/>
      <c r="H542"/>
      <c r="I542"/>
      <c r="J542"/>
    </row>
    <row r="543" spans="2:10">
      <c r="B543"/>
      <c r="C543"/>
      <c r="D543"/>
      <c r="E543"/>
      <c r="F543"/>
      <c r="G543"/>
      <c r="H543"/>
      <c r="I543"/>
      <c r="J543"/>
    </row>
    <row r="544" spans="2:10">
      <c r="B544"/>
      <c r="C544"/>
      <c r="D544"/>
      <c r="E544"/>
      <c r="F544"/>
      <c r="G544"/>
      <c r="H544"/>
      <c r="I544"/>
      <c r="J544"/>
    </row>
    <row r="545" spans="2:10">
      <c r="B545"/>
      <c r="C545"/>
      <c r="D545"/>
      <c r="E545"/>
      <c r="F545"/>
      <c r="G545"/>
      <c r="H545"/>
      <c r="I545"/>
      <c r="J545"/>
    </row>
    <row r="546" spans="2:10">
      <c r="B546"/>
      <c r="C546"/>
      <c r="D546"/>
      <c r="E546"/>
      <c r="F546"/>
      <c r="G546"/>
      <c r="H546"/>
      <c r="I546"/>
      <c r="J546"/>
    </row>
    <row r="547" spans="2:10">
      <c r="B547"/>
      <c r="C547"/>
      <c r="D547"/>
      <c r="E547"/>
      <c r="F547"/>
      <c r="G547"/>
      <c r="H547"/>
      <c r="I547"/>
      <c r="J547"/>
    </row>
    <row r="548" spans="2:10">
      <c r="B548"/>
      <c r="C548"/>
      <c r="D548"/>
      <c r="E548"/>
      <c r="F548"/>
      <c r="G548"/>
      <c r="H548"/>
      <c r="I548"/>
      <c r="J548"/>
    </row>
    <row r="549" spans="2:10">
      <c r="B549"/>
      <c r="C549"/>
      <c r="D549"/>
      <c r="E549"/>
      <c r="F549"/>
      <c r="G549"/>
      <c r="H549"/>
      <c r="I549"/>
      <c r="J549"/>
    </row>
    <row r="550" spans="2:10">
      <c r="B550"/>
      <c r="C550"/>
      <c r="D550"/>
      <c r="E550"/>
      <c r="F550"/>
      <c r="G550"/>
      <c r="H550"/>
      <c r="I550"/>
      <c r="J550"/>
    </row>
    <row r="551" spans="2:10">
      <c r="B551"/>
      <c r="C551"/>
      <c r="D551"/>
      <c r="E551"/>
      <c r="F551"/>
      <c r="G551"/>
      <c r="H551"/>
      <c r="I551"/>
      <c r="J551"/>
    </row>
    <row r="552" spans="2:10">
      <c r="B552"/>
      <c r="C552"/>
      <c r="D552"/>
      <c r="E552"/>
      <c r="F552"/>
      <c r="G552"/>
      <c r="H552"/>
      <c r="I552"/>
      <c r="J552"/>
    </row>
    <row r="553" spans="2:10">
      <c r="B553"/>
      <c r="C553"/>
      <c r="D553"/>
      <c r="E553"/>
      <c r="F553"/>
      <c r="G553"/>
      <c r="H553"/>
      <c r="I553"/>
      <c r="J553"/>
    </row>
    <row r="554" spans="2:10">
      <c r="B554"/>
      <c r="C554"/>
      <c r="D554"/>
      <c r="E554"/>
      <c r="F554"/>
      <c r="G554"/>
      <c r="H554"/>
      <c r="I554"/>
      <c r="J554"/>
    </row>
    <row r="555" spans="2:10">
      <c r="B555"/>
      <c r="C555"/>
      <c r="D555"/>
      <c r="E555"/>
      <c r="F555"/>
      <c r="G555"/>
      <c r="H555"/>
      <c r="I555"/>
      <c r="J555"/>
    </row>
    <row r="556" spans="2:10">
      <c r="B556"/>
      <c r="C556"/>
      <c r="D556"/>
      <c r="E556"/>
      <c r="F556"/>
      <c r="G556"/>
      <c r="H556"/>
      <c r="I556"/>
      <c r="J556"/>
    </row>
    <row r="557" spans="2:10">
      <c r="B557"/>
      <c r="C557"/>
      <c r="D557"/>
      <c r="E557"/>
      <c r="F557"/>
      <c r="G557"/>
      <c r="H557"/>
      <c r="I557"/>
      <c r="J557"/>
    </row>
    <row r="558" spans="2:10">
      <c r="B558"/>
      <c r="C558"/>
      <c r="D558"/>
      <c r="E558"/>
      <c r="F558"/>
      <c r="G558"/>
      <c r="H558"/>
      <c r="I558"/>
      <c r="J558"/>
    </row>
    <row r="559" spans="2:10">
      <c r="B559"/>
      <c r="C559"/>
      <c r="D559"/>
      <c r="E559"/>
      <c r="F559"/>
      <c r="G559"/>
      <c r="H559"/>
      <c r="I559"/>
      <c r="J559"/>
    </row>
    <row r="560" spans="2:10">
      <c r="B560"/>
      <c r="C560"/>
      <c r="D560"/>
      <c r="E560"/>
      <c r="F560"/>
      <c r="G560"/>
      <c r="H560"/>
      <c r="I560"/>
      <c r="J560"/>
    </row>
    <row r="561" spans="2:10">
      <c r="B561"/>
      <c r="C561"/>
      <c r="D561"/>
      <c r="E561"/>
      <c r="F561"/>
      <c r="G561"/>
      <c r="H561"/>
      <c r="I561"/>
      <c r="J561"/>
    </row>
    <row r="562" spans="2:10">
      <c r="B562"/>
      <c r="C562"/>
      <c r="D562"/>
      <c r="E562"/>
      <c r="F562"/>
      <c r="G562"/>
      <c r="H562"/>
      <c r="I562"/>
      <c r="J562"/>
    </row>
    <row r="563" spans="2:10">
      <c r="B563"/>
      <c r="C563"/>
      <c r="D563"/>
      <c r="E563"/>
      <c r="F563"/>
      <c r="G563"/>
      <c r="H563"/>
      <c r="I563"/>
      <c r="J563"/>
    </row>
    <row r="564" spans="2:10">
      <c r="B564"/>
      <c r="C564"/>
      <c r="D564"/>
      <c r="E564"/>
      <c r="F564"/>
      <c r="G564"/>
      <c r="H564"/>
      <c r="I564"/>
      <c r="J564"/>
    </row>
    <row r="565" spans="2:10">
      <c r="B565"/>
      <c r="C565"/>
      <c r="D565"/>
      <c r="E565"/>
      <c r="F565"/>
      <c r="G565"/>
      <c r="H565"/>
      <c r="I565"/>
      <c r="J565"/>
    </row>
    <row r="566" spans="2:10">
      <c r="B566"/>
      <c r="C566"/>
      <c r="D566"/>
      <c r="E566"/>
      <c r="F566"/>
      <c r="G566"/>
      <c r="H566"/>
      <c r="I566"/>
      <c r="J566"/>
    </row>
    <row r="567" spans="2:10">
      <c r="B567"/>
      <c r="C567"/>
      <c r="D567"/>
      <c r="E567"/>
      <c r="F567"/>
      <c r="G567"/>
      <c r="H567"/>
      <c r="I567"/>
      <c r="J567"/>
    </row>
    <row r="568" spans="2:10">
      <c r="B568"/>
      <c r="C568"/>
      <c r="D568"/>
      <c r="E568"/>
      <c r="F568"/>
      <c r="G568"/>
      <c r="H568"/>
      <c r="I568"/>
      <c r="J568"/>
    </row>
    <row r="569" spans="2:10">
      <c r="B569"/>
      <c r="C569"/>
      <c r="D569"/>
      <c r="E569"/>
      <c r="F569"/>
      <c r="G569"/>
      <c r="H569"/>
      <c r="I569"/>
      <c r="J569"/>
    </row>
    <row r="570" spans="2:10">
      <c r="B570"/>
      <c r="C570"/>
      <c r="D570"/>
      <c r="E570"/>
      <c r="F570"/>
      <c r="G570"/>
      <c r="H570"/>
      <c r="I570"/>
      <c r="J570"/>
    </row>
    <row r="571" spans="2:10">
      <c r="B571"/>
      <c r="C571"/>
      <c r="D571"/>
      <c r="E571"/>
      <c r="F571"/>
      <c r="G571"/>
      <c r="H571"/>
      <c r="I571"/>
      <c r="J571"/>
    </row>
    <row r="572" spans="2:10">
      <c r="B572"/>
      <c r="C572"/>
      <c r="D572"/>
      <c r="E572"/>
      <c r="F572"/>
      <c r="G572"/>
      <c r="H572"/>
      <c r="I572"/>
      <c r="J572"/>
    </row>
    <row r="573" spans="2:10">
      <c r="B573"/>
      <c r="C573"/>
      <c r="D573"/>
      <c r="E573"/>
      <c r="F573"/>
      <c r="G573"/>
      <c r="H573"/>
      <c r="I573"/>
      <c r="J573"/>
    </row>
    <row r="574" spans="2:10">
      <c r="B574"/>
      <c r="C574"/>
      <c r="D574"/>
      <c r="E574"/>
      <c r="F574"/>
      <c r="G574"/>
      <c r="H574"/>
      <c r="I574"/>
      <c r="J574"/>
    </row>
    <row r="575" spans="2:10">
      <c r="B575"/>
      <c r="C575"/>
      <c r="D575"/>
      <c r="E575"/>
      <c r="F575"/>
      <c r="G575"/>
      <c r="H575"/>
      <c r="I575"/>
      <c r="J575"/>
    </row>
    <row r="576" spans="2:10">
      <c r="B576"/>
      <c r="C576"/>
      <c r="D576"/>
      <c r="E576"/>
      <c r="F576"/>
      <c r="G576"/>
      <c r="H576"/>
      <c r="I576"/>
      <c r="J576"/>
    </row>
    <row r="577" spans="2:10">
      <c r="B577"/>
      <c r="C577"/>
      <c r="D577"/>
      <c r="E577"/>
      <c r="F577"/>
      <c r="G577"/>
      <c r="H577"/>
      <c r="I577"/>
      <c r="J577"/>
    </row>
    <row r="578" spans="2:10">
      <c r="B578"/>
      <c r="C578"/>
      <c r="D578"/>
      <c r="E578"/>
      <c r="F578"/>
      <c r="G578"/>
      <c r="H578"/>
      <c r="I578"/>
      <c r="J578"/>
    </row>
    <row r="579" spans="2:10">
      <c r="B579"/>
      <c r="C579"/>
      <c r="D579"/>
      <c r="E579"/>
      <c r="F579"/>
      <c r="G579"/>
      <c r="H579"/>
      <c r="I579"/>
      <c r="J579"/>
    </row>
    <row r="580" spans="2:10">
      <c r="B580"/>
      <c r="C580"/>
      <c r="D580"/>
      <c r="E580"/>
      <c r="F580"/>
      <c r="G580"/>
      <c r="H580"/>
      <c r="I580"/>
      <c r="J580"/>
    </row>
    <row r="581" spans="2:10">
      <c r="B581"/>
      <c r="C581"/>
      <c r="D581"/>
      <c r="E581"/>
      <c r="F581"/>
      <c r="G581"/>
      <c r="H581"/>
      <c r="I581"/>
      <c r="J581"/>
    </row>
    <row r="582" spans="2:10">
      <c r="B582"/>
      <c r="C582"/>
      <c r="D582"/>
      <c r="E582"/>
      <c r="F582"/>
      <c r="G582"/>
      <c r="H582"/>
      <c r="I582"/>
      <c r="J582"/>
    </row>
    <row r="583" spans="2:10">
      <c r="B583"/>
      <c r="C583"/>
      <c r="D583"/>
      <c r="E583"/>
      <c r="F583"/>
      <c r="G583"/>
      <c r="H583"/>
      <c r="I583"/>
      <c r="J583"/>
    </row>
    <row r="584" spans="2:10">
      <c r="B584"/>
      <c r="C584"/>
      <c r="D584"/>
      <c r="E584"/>
      <c r="F584"/>
      <c r="G584"/>
      <c r="H584"/>
      <c r="I584"/>
      <c r="J584"/>
    </row>
    <row r="585" spans="2:10">
      <c r="B585"/>
      <c r="C585"/>
      <c r="D585"/>
      <c r="E585"/>
      <c r="F585"/>
      <c r="G585"/>
      <c r="H585"/>
      <c r="I585"/>
      <c r="J585"/>
    </row>
    <row r="586" spans="2:10">
      <c r="B586"/>
      <c r="C586"/>
      <c r="D586"/>
      <c r="E586"/>
      <c r="F586"/>
      <c r="G586"/>
      <c r="H586"/>
      <c r="I586"/>
      <c r="J586"/>
    </row>
    <row r="587" spans="2:10">
      <c r="B587"/>
      <c r="C587"/>
      <c r="D587"/>
      <c r="E587"/>
      <c r="F587"/>
      <c r="G587"/>
      <c r="H587"/>
      <c r="I587"/>
      <c r="J587"/>
    </row>
    <row r="588" spans="2:10">
      <c r="B588"/>
      <c r="C588"/>
      <c r="D588"/>
      <c r="E588"/>
      <c r="F588"/>
      <c r="G588"/>
      <c r="H588"/>
      <c r="I588"/>
      <c r="J588"/>
    </row>
    <row r="589" spans="2:10">
      <c r="B589"/>
      <c r="C589"/>
      <c r="D589"/>
      <c r="E589"/>
      <c r="F589"/>
      <c r="G589"/>
      <c r="H589"/>
      <c r="I589"/>
      <c r="J589"/>
    </row>
    <row r="590" spans="2:10">
      <c r="B590"/>
      <c r="C590"/>
      <c r="D590"/>
      <c r="E590"/>
      <c r="F590"/>
      <c r="G590"/>
      <c r="H590"/>
      <c r="I590"/>
      <c r="J590"/>
    </row>
    <row r="591" spans="2:10">
      <c r="B591"/>
      <c r="C591"/>
      <c r="D591"/>
      <c r="E591"/>
      <c r="F591"/>
      <c r="G591"/>
      <c r="H591"/>
      <c r="I591"/>
      <c r="J591"/>
    </row>
    <row r="592" spans="2:10">
      <c r="B592"/>
      <c r="C592"/>
      <c r="D592"/>
      <c r="E592"/>
      <c r="F592"/>
      <c r="G592"/>
      <c r="H592"/>
      <c r="I592"/>
      <c r="J592"/>
    </row>
    <row r="593" spans="2:10">
      <c r="B593"/>
      <c r="C593"/>
      <c r="D593"/>
      <c r="E593"/>
      <c r="F593"/>
      <c r="G593"/>
      <c r="H593"/>
      <c r="I593"/>
      <c r="J593"/>
    </row>
    <row r="594" spans="2:10">
      <c r="B594"/>
      <c r="C594"/>
      <c r="D594"/>
      <c r="E594"/>
      <c r="F594"/>
      <c r="G594"/>
      <c r="H594"/>
      <c r="I594"/>
      <c r="J594"/>
    </row>
    <row r="595" spans="2:10">
      <c r="B595"/>
      <c r="C595"/>
      <c r="D595"/>
      <c r="E595"/>
      <c r="F595"/>
      <c r="G595"/>
      <c r="H595"/>
      <c r="I595"/>
      <c r="J595"/>
    </row>
    <row r="596" spans="2:10">
      <c r="B596"/>
      <c r="C596"/>
      <c r="D596"/>
      <c r="E596"/>
      <c r="F596"/>
      <c r="G596"/>
      <c r="H596"/>
      <c r="I596"/>
      <c r="J596"/>
    </row>
    <row r="597" spans="2:10">
      <c r="B597"/>
      <c r="C597"/>
      <c r="D597"/>
      <c r="E597"/>
      <c r="F597"/>
      <c r="G597"/>
      <c r="H597"/>
      <c r="I597"/>
      <c r="J597"/>
    </row>
    <row r="598" spans="2:10">
      <c r="B598"/>
      <c r="C598"/>
      <c r="D598"/>
      <c r="E598"/>
      <c r="F598"/>
      <c r="G598"/>
      <c r="H598"/>
      <c r="I598"/>
      <c r="J598"/>
    </row>
    <row r="599" spans="2:10">
      <c r="B599"/>
      <c r="C599"/>
      <c r="D599"/>
      <c r="E599"/>
      <c r="F599"/>
      <c r="G599"/>
      <c r="H599"/>
      <c r="I599"/>
      <c r="J599"/>
    </row>
    <row r="600" spans="2:10">
      <c r="B600"/>
      <c r="C600"/>
      <c r="D600"/>
      <c r="E600"/>
      <c r="F600"/>
      <c r="G600"/>
      <c r="H600"/>
      <c r="I600"/>
      <c r="J600"/>
    </row>
    <row r="601" spans="2:10">
      <c r="B601"/>
      <c r="C601"/>
      <c r="D601"/>
      <c r="E601"/>
      <c r="F601"/>
      <c r="G601"/>
      <c r="H601"/>
      <c r="I601"/>
      <c r="J601"/>
    </row>
    <row r="602" spans="2:10">
      <c r="B602"/>
      <c r="C602"/>
      <c r="D602"/>
      <c r="E602"/>
      <c r="F602"/>
      <c r="G602"/>
      <c r="H602"/>
      <c r="I602"/>
      <c r="J602"/>
    </row>
    <row r="603" spans="2:10">
      <c r="B603"/>
      <c r="C603"/>
      <c r="D603"/>
      <c r="E603"/>
      <c r="F603"/>
      <c r="G603"/>
      <c r="H603"/>
      <c r="I603"/>
      <c r="J603"/>
    </row>
    <row r="604" spans="2:10">
      <c r="B604"/>
      <c r="C604"/>
      <c r="D604"/>
      <c r="E604"/>
      <c r="F604"/>
      <c r="G604"/>
      <c r="H604"/>
      <c r="I604"/>
      <c r="J604"/>
    </row>
    <row r="605" spans="2:10">
      <c r="B605"/>
      <c r="C605"/>
      <c r="D605"/>
      <c r="E605"/>
      <c r="F605"/>
      <c r="G605"/>
      <c r="H605"/>
      <c r="I605"/>
      <c r="J605"/>
    </row>
    <row r="606" spans="2:10">
      <c r="B606"/>
      <c r="C606"/>
      <c r="D606"/>
      <c r="E606"/>
      <c r="F606"/>
      <c r="G606"/>
      <c r="H606"/>
      <c r="I606"/>
      <c r="J606"/>
    </row>
    <row r="607" spans="2:10">
      <c r="B607"/>
      <c r="C607"/>
      <c r="D607"/>
      <c r="E607"/>
      <c r="F607"/>
      <c r="G607"/>
      <c r="H607"/>
      <c r="I607"/>
      <c r="J607"/>
    </row>
    <row r="608" spans="2:10">
      <c r="B608"/>
      <c r="C608"/>
      <c r="D608"/>
      <c r="E608"/>
      <c r="F608"/>
      <c r="G608"/>
      <c r="H608"/>
      <c r="I608"/>
      <c r="J608"/>
    </row>
    <row r="609" spans="2:10">
      <c r="B609"/>
      <c r="C609"/>
      <c r="D609"/>
      <c r="E609"/>
      <c r="F609"/>
      <c r="G609"/>
      <c r="H609"/>
      <c r="I609"/>
      <c r="J609"/>
    </row>
    <row r="610" spans="2:10">
      <c r="B610"/>
      <c r="C610"/>
      <c r="D610"/>
      <c r="E610"/>
      <c r="F610"/>
      <c r="G610"/>
      <c r="H610"/>
      <c r="I610"/>
      <c r="J610"/>
    </row>
    <row r="611" spans="2:10">
      <c r="B611"/>
      <c r="C611"/>
      <c r="D611"/>
      <c r="E611"/>
      <c r="F611"/>
      <c r="G611"/>
      <c r="H611"/>
      <c r="I611"/>
      <c r="J611"/>
    </row>
    <row r="612" spans="2:10">
      <c r="B612"/>
      <c r="C612"/>
      <c r="D612"/>
      <c r="E612"/>
      <c r="F612"/>
      <c r="G612"/>
      <c r="H612"/>
      <c r="I612"/>
      <c r="J612"/>
    </row>
    <row r="613" spans="2:10">
      <c r="B613"/>
      <c r="C613"/>
      <c r="D613"/>
      <c r="E613"/>
      <c r="F613"/>
      <c r="G613"/>
      <c r="H613"/>
      <c r="I613"/>
      <c r="J613"/>
    </row>
    <row r="614" spans="2:10">
      <c r="B614"/>
      <c r="C614"/>
      <c r="D614"/>
      <c r="E614"/>
      <c r="F614"/>
      <c r="G614"/>
      <c r="H614"/>
      <c r="I614"/>
      <c r="J614"/>
    </row>
    <row r="615" spans="2:10">
      <c r="B615"/>
      <c r="C615"/>
      <c r="D615"/>
      <c r="E615"/>
      <c r="F615"/>
      <c r="G615"/>
      <c r="H615"/>
      <c r="I615"/>
      <c r="J615"/>
    </row>
    <row r="616" spans="2:10">
      <c r="B616"/>
      <c r="C616"/>
      <c r="D616"/>
      <c r="E616"/>
      <c r="F616"/>
      <c r="G616"/>
      <c r="H616"/>
      <c r="I616"/>
      <c r="J616"/>
    </row>
    <row r="617" spans="2:10">
      <c r="B617"/>
      <c r="C617"/>
      <c r="D617"/>
      <c r="E617"/>
      <c r="F617"/>
      <c r="G617"/>
      <c r="H617"/>
      <c r="I617"/>
      <c r="J617"/>
    </row>
    <row r="618" spans="2:10">
      <c r="B618"/>
      <c r="C618"/>
      <c r="D618"/>
      <c r="E618"/>
      <c r="F618"/>
      <c r="G618"/>
      <c r="H618"/>
      <c r="I618"/>
      <c r="J618"/>
    </row>
    <row r="619" spans="2:10">
      <c r="B619"/>
      <c r="C619"/>
      <c r="D619"/>
      <c r="E619"/>
      <c r="F619"/>
      <c r="G619"/>
      <c r="H619"/>
      <c r="I619"/>
      <c r="J619"/>
    </row>
    <row r="620" spans="2:10">
      <c r="B620"/>
      <c r="C620"/>
      <c r="D620"/>
      <c r="E620"/>
      <c r="F620"/>
      <c r="G620"/>
      <c r="H620"/>
      <c r="I620"/>
      <c r="J620"/>
    </row>
    <row r="621" spans="2:10">
      <c r="B621"/>
      <c r="C621"/>
      <c r="D621"/>
      <c r="E621"/>
      <c r="F621"/>
      <c r="G621"/>
      <c r="H621"/>
      <c r="I621"/>
      <c r="J621"/>
    </row>
    <row r="622" spans="2:10">
      <c r="B622"/>
      <c r="C622"/>
      <c r="D622"/>
      <c r="E622"/>
      <c r="F622"/>
      <c r="G622"/>
      <c r="H622"/>
      <c r="I622"/>
      <c r="J622"/>
    </row>
    <row r="623" spans="2:10">
      <c r="B623"/>
      <c r="C623"/>
      <c r="D623"/>
      <c r="E623"/>
      <c r="F623"/>
      <c r="G623"/>
      <c r="H623"/>
      <c r="I623"/>
      <c r="J623"/>
    </row>
    <row r="624" spans="2:10">
      <c r="B624"/>
      <c r="C624"/>
      <c r="D624"/>
      <c r="E624"/>
      <c r="F624"/>
      <c r="G624"/>
      <c r="H624"/>
      <c r="I624"/>
      <c r="J624"/>
    </row>
    <row r="625" spans="2:10">
      <c r="B625"/>
      <c r="C625"/>
      <c r="D625"/>
      <c r="E625"/>
      <c r="F625"/>
      <c r="G625"/>
      <c r="H625"/>
      <c r="I625"/>
      <c r="J625"/>
    </row>
    <row r="626" spans="2:10">
      <c r="B626"/>
      <c r="C626"/>
      <c r="D626"/>
      <c r="E626"/>
      <c r="F626"/>
      <c r="G626"/>
      <c r="H626"/>
      <c r="I626"/>
      <c r="J626"/>
    </row>
    <row r="627" spans="2:10">
      <c r="B627"/>
      <c r="C627"/>
      <c r="D627"/>
      <c r="E627"/>
      <c r="F627"/>
      <c r="G627"/>
      <c r="H627"/>
      <c r="I627"/>
      <c r="J627"/>
    </row>
    <row r="628" spans="2:10">
      <c r="B628"/>
      <c r="C628"/>
      <c r="D628"/>
      <c r="E628"/>
      <c r="F628"/>
      <c r="G628"/>
      <c r="H628"/>
      <c r="I628"/>
      <c r="J628"/>
    </row>
    <row r="629" spans="2:10">
      <c r="B629"/>
      <c r="C629"/>
      <c r="D629"/>
      <c r="E629"/>
      <c r="F629"/>
      <c r="G629"/>
      <c r="H629"/>
      <c r="I629"/>
      <c r="J629"/>
    </row>
    <row r="630" spans="2:10">
      <c r="B630"/>
      <c r="C630"/>
      <c r="D630"/>
      <c r="E630"/>
      <c r="F630"/>
      <c r="G630"/>
      <c r="H630"/>
      <c r="I630"/>
      <c r="J630"/>
    </row>
    <row r="631" spans="2:10">
      <c r="B631"/>
      <c r="C631"/>
      <c r="D631"/>
      <c r="E631"/>
      <c r="F631"/>
      <c r="G631"/>
      <c r="H631"/>
      <c r="I631"/>
      <c r="J631"/>
    </row>
    <row r="632" spans="2:10">
      <c r="B632"/>
      <c r="C632"/>
      <c r="D632"/>
      <c r="E632"/>
      <c r="F632"/>
      <c r="G632"/>
      <c r="H632"/>
      <c r="I632"/>
      <c r="J632"/>
    </row>
    <row r="633" spans="2:10">
      <c r="B633"/>
      <c r="C633"/>
      <c r="D633"/>
      <c r="E633"/>
      <c r="F633"/>
      <c r="G633"/>
      <c r="H633"/>
      <c r="I633"/>
      <c r="J633"/>
    </row>
    <row r="634" spans="2:10">
      <c r="B634"/>
      <c r="C634"/>
      <c r="D634"/>
      <c r="E634"/>
      <c r="F634"/>
      <c r="G634"/>
      <c r="H634"/>
      <c r="I634"/>
      <c r="J634"/>
    </row>
    <row r="635" spans="2:10">
      <c r="B635"/>
      <c r="C635"/>
      <c r="D635"/>
      <c r="E635"/>
      <c r="F635"/>
      <c r="G635"/>
      <c r="H635"/>
      <c r="I635"/>
      <c r="J635"/>
    </row>
    <row r="636" spans="2:10">
      <c r="B636"/>
      <c r="C636"/>
      <c r="D636"/>
      <c r="E636"/>
      <c r="F636"/>
      <c r="G636"/>
      <c r="H636"/>
      <c r="I636"/>
      <c r="J636"/>
    </row>
    <row r="637" spans="2:10">
      <c r="B637"/>
      <c r="C637"/>
      <c r="D637"/>
      <c r="E637"/>
      <c r="F637"/>
      <c r="G637"/>
      <c r="H637"/>
      <c r="I637"/>
      <c r="J637"/>
    </row>
    <row r="638" spans="2:10">
      <c r="B638"/>
      <c r="C638"/>
      <c r="D638"/>
      <c r="E638"/>
      <c r="F638"/>
      <c r="G638"/>
      <c r="H638"/>
      <c r="I638"/>
      <c r="J638"/>
    </row>
    <row r="639" spans="2:10">
      <c r="B639"/>
      <c r="C639"/>
      <c r="D639"/>
      <c r="E639"/>
      <c r="F639"/>
      <c r="G639"/>
      <c r="H639"/>
      <c r="I639"/>
      <c r="J639"/>
    </row>
    <row r="640" spans="2:10">
      <c r="B640"/>
      <c r="C640"/>
      <c r="D640"/>
      <c r="E640"/>
      <c r="F640"/>
      <c r="G640"/>
      <c r="H640"/>
      <c r="I640"/>
      <c r="J640"/>
    </row>
    <row r="641" spans="2:10">
      <c r="B641"/>
      <c r="C641"/>
      <c r="D641"/>
      <c r="E641"/>
      <c r="F641"/>
      <c r="G641"/>
      <c r="H641"/>
      <c r="I641"/>
      <c r="J641"/>
    </row>
    <row r="642" spans="2:10">
      <c r="B642"/>
      <c r="C642"/>
      <c r="D642"/>
      <c r="E642"/>
      <c r="F642"/>
      <c r="G642"/>
      <c r="H642"/>
      <c r="I642"/>
      <c r="J642"/>
    </row>
    <row r="643" spans="2:10">
      <c r="B643"/>
      <c r="C643"/>
      <c r="D643"/>
      <c r="E643"/>
      <c r="F643"/>
      <c r="G643"/>
      <c r="H643"/>
      <c r="I643"/>
      <c r="J643"/>
    </row>
    <row r="644" spans="2:10">
      <c r="B644"/>
      <c r="C644"/>
      <c r="D644"/>
      <c r="E644"/>
      <c r="F644"/>
      <c r="G644"/>
      <c r="H644"/>
      <c r="I644"/>
      <c r="J644"/>
    </row>
    <row r="645" spans="2:10">
      <c r="B645"/>
      <c r="C645"/>
      <c r="D645"/>
      <c r="E645"/>
      <c r="F645"/>
      <c r="G645"/>
      <c r="H645"/>
      <c r="I645"/>
      <c r="J645"/>
    </row>
    <row r="646" spans="2:10">
      <c r="B646"/>
      <c r="C646"/>
      <c r="D646"/>
      <c r="E646"/>
      <c r="F646"/>
      <c r="G646"/>
      <c r="H646"/>
      <c r="I646"/>
      <c r="J646"/>
    </row>
    <row r="647" spans="2:10">
      <c r="B647"/>
      <c r="C647"/>
      <c r="D647"/>
      <c r="E647"/>
      <c r="F647"/>
      <c r="G647"/>
      <c r="H647"/>
      <c r="I647"/>
      <c r="J647"/>
    </row>
    <row r="648" spans="2:10">
      <c r="B648"/>
      <c r="C648"/>
      <c r="D648"/>
      <c r="E648"/>
      <c r="F648"/>
      <c r="G648"/>
      <c r="H648"/>
      <c r="I648"/>
      <c r="J648"/>
    </row>
    <row r="649" spans="2:10">
      <c r="B649"/>
      <c r="C649"/>
      <c r="D649"/>
      <c r="E649"/>
      <c r="F649"/>
      <c r="G649"/>
      <c r="H649"/>
      <c r="I649"/>
      <c r="J649"/>
    </row>
    <row r="650" spans="2:10">
      <c r="B650"/>
      <c r="C650"/>
      <c r="D650"/>
      <c r="E650"/>
      <c r="F650"/>
      <c r="G650"/>
      <c r="H650"/>
      <c r="I650"/>
      <c r="J650"/>
    </row>
    <row r="651" spans="2:10">
      <c r="B651"/>
      <c r="C651"/>
      <c r="D651"/>
      <c r="E651"/>
      <c r="F651"/>
      <c r="G651"/>
      <c r="H651"/>
      <c r="I651"/>
      <c r="J651"/>
    </row>
    <row r="652" spans="2:10">
      <c r="B652"/>
      <c r="C652"/>
      <c r="D652"/>
      <c r="E652"/>
      <c r="F652"/>
      <c r="G652"/>
      <c r="H652"/>
      <c r="I652"/>
      <c r="J652"/>
    </row>
    <row r="653" spans="2:10">
      <c r="B653"/>
      <c r="C653"/>
      <c r="D653"/>
      <c r="E653"/>
      <c r="F653"/>
      <c r="G653"/>
      <c r="H653"/>
      <c r="I653"/>
      <c r="J653"/>
    </row>
    <row r="654" spans="2:10">
      <c r="B654"/>
      <c r="C654"/>
      <c r="D654"/>
      <c r="E654"/>
      <c r="F654"/>
      <c r="G654"/>
      <c r="H654"/>
      <c r="I654"/>
      <c r="J654"/>
    </row>
    <row r="655" spans="2:10">
      <c r="B655"/>
      <c r="C655"/>
      <c r="D655"/>
      <c r="E655"/>
      <c r="F655"/>
      <c r="G655"/>
      <c r="H655"/>
      <c r="I655"/>
      <c r="J655"/>
    </row>
    <row r="656" spans="2:10">
      <c r="B656"/>
      <c r="C656"/>
      <c r="D656"/>
      <c r="E656"/>
      <c r="F656"/>
      <c r="G656"/>
      <c r="H656"/>
      <c r="I656"/>
      <c r="J656"/>
    </row>
    <row r="657" spans="2:10">
      <c r="B657"/>
      <c r="C657"/>
      <c r="D657"/>
      <c r="E657"/>
      <c r="F657"/>
      <c r="G657"/>
      <c r="H657"/>
      <c r="I657"/>
      <c r="J657"/>
    </row>
    <row r="658" spans="2:10">
      <c r="B658"/>
      <c r="C658"/>
      <c r="D658"/>
      <c r="E658"/>
      <c r="F658"/>
      <c r="G658"/>
      <c r="H658"/>
      <c r="I658"/>
      <c r="J658"/>
    </row>
    <row r="659" spans="2:10">
      <c r="B659"/>
      <c r="C659"/>
      <c r="D659"/>
      <c r="E659"/>
      <c r="F659"/>
      <c r="G659"/>
      <c r="H659"/>
      <c r="I659"/>
      <c r="J659"/>
    </row>
    <row r="660" spans="2:10">
      <c r="B660"/>
      <c r="C660"/>
      <c r="D660"/>
      <c r="E660"/>
      <c r="F660"/>
      <c r="G660"/>
      <c r="H660"/>
      <c r="I660"/>
      <c r="J660"/>
    </row>
    <row r="661" spans="2:10">
      <c r="B661"/>
      <c r="C661"/>
      <c r="D661"/>
      <c r="E661"/>
      <c r="F661"/>
      <c r="G661"/>
      <c r="H661"/>
      <c r="I661"/>
      <c r="J661"/>
    </row>
    <row r="662" spans="2:10">
      <c r="B662"/>
      <c r="C662"/>
      <c r="D662"/>
      <c r="E662"/>
      <c r="F662"/>
      <c r="G662"/>
      <c r="H662"/>
      <c r="I662"/>
      <c r="J662"/>
    </row>
    <row r="663" spans="2:10">
      <c r="B663"/>
      <c r="C663"/>
      <c r="D663"/>
      <c r="E663"/>
      <c r="F663"/>
      <c r="G663"/>
      <c r="H663"/>
      <c r="I663"/>
      <c r="J663"/>
    </row>
    <row r="664" spans="2:10">
      <c r="B664"/>
      <c r="C664"/>
      <c r="D664"/>
      <c r="E664"/>
      <c r="F664"/>
      <c r="G664"/>
      <c r="H664"/>
      <c r="I664"/>
      <c r="J664"/>
    </row>
    <row r="665" spans="2:10">
      <c r="B665"/>
      <c r="C665"/>
      <c r="D665"/>
      <c r="E665"/>
      <c r="F665"/>
      <c r="G665"/>
      <c r="H665"/>
      <c r="I665"/>
      <c r="J665"/>
    </row>
    <row r="666" spans="2:10">
      <c r="B666"/>
      <c r="C666"/>
      <c r="D666"/>
      <c r="E666"/>
      <c r="F666"/>
      <c r="G666"/>
      <c r="H666"/>
      <c r="I666"/>
      <c r="J666"/>
    </row>
    <row r="667" spans="2:10">
      <c r="B667"/>
      <c r="C667"/>
      <c r="D667"/>
      <c r="E667"/>
      <c r="F667"/>
      <c r="G667"/>
      <c r="H667"/>
      <c r="I667"/>
      <c r="J667"/>
    </row>
    <row r="668" spans="2:10">
      <c r="B668"/>
      <c r="C668"/>
      <c r="D668"/>
      <c r="E668"/>
      <c r="F668"/>
      <c r="G668"/>
      <c r="H668"/>
      <c r="I668"/>
      <c r="J668"/>
    </row>
    <row r="669" spans="2:10">
      <c r="B669"/>
      <c r="C669"/>
      <c r="D669"/>
      <c r="E669"/>
      <c r="F669"/>
      <c r="G669"/>
      <c r="H669"/>
      <c r="I669"/>
      <c r="J669"/>
    </row>
    <row r="670" spans="2:10">
      <c r="B670"/>
      <c r="C670"/>
      <c r="D670"/>
      <c r="E670"/>
      <c r="F670"/>
      <c r="G670"/>
      <c r="H670"/>
      <c r="I670"/>
      <c r="J670"/>
    </row>
    <row r="671" spans="2:10">
      <c r="B671"/>
      <c r="C671"/>
      <c r="D671"/>
      <c r="E671"/>
      <c r="F671"/>
      <c r="G671"/>
      <c r="H671"/>
      <c r="I671"/>
      <c r="J671"/>
    </row>
    <row r="672" spans="2:10">
      <c r="B672"/>
      <c r="C672"/>
      <c r="D672"/>
      <c r="E672"/>
      <c r="F672"/>
      <c r="G672"/>
      <c r="H672"/>
      <c r="I672"/>
      <c r="J672"/>
    </row>
    <row r="673" spans="2:10">
      <c r="B673"/>
      <c r="C673"/>
      <c r="D673"/>
      <c r="E673"/>
      <c r="F673"/>
      <c r="G673"/>
      <c r="H673"/>
      <c r="I673"/>
      <c r="J673"/>
    </row>
    <row r="674" spans="2:10">
      <c r="B674"/>
      <c r="C674"/>
      <c r="D674"/>
      <c r="E674"/>
      <c r="F674"/>
      <c r="G674"/>
      <c r="H674"/>
      <c r="I674"/>
      <c r="J674"/>
    </row>
    <row r="675" spans="2:10">
      <c r="B675"/>
      <c r="C675"/>
      <c r="D675"/>
      <c r="E675"/>
      <c r="F675"/>
      <c r="G675"/>
      <c r="H675"/>
      <c r="I675"/>
      <c r="J675"/>
    </row>
    <row r="676" spans="2:10">
      <c r="B676" s="49"/>
      <c r="C676" s="49"/>
      <c r="D676" s="49"/>
      <c r="E676" s="49"/>
      <c r="F676" s="49"/>
      <c r="G676" s="49"/>
      <c r="H676" s="49"/>
      <c r="I676" s="49"/>
    </row>
    <row r="677" spans="2:10">
      <c r="B677" s="49"/>
      <c r="C677" s="49"/>
      <c r="D677" s="49"/>
      <c r="E677" s="49"/>
      <c r="F677" s="49"/>
      <c r="G677" s="49"/>
      <c r="H677" s="49"/>
      <c r="I677" s="49"/>
    </row>
    <row r="678" spans="2:10">
      <c r="B678" s="49"/>
      <c r="C678" s="49"/>
      <c r="D678" s="49"/>
      <c r="E678" s="49"/>
      <c r="F678" s="49"/>
      <c r="G678" s="49"/>
      <c r="H678" s="49"/>
      <c r="I678" s="49"/>
    </row>
    <row r="679" spans="2:10">
      <c r="B679" s="49"/>
      <c r="C679" s="49"/>
      <c r="D679" s="49"/>
      <c r="E679" s="49"/>
      <c r="F679" s="49"/>
      <c r="G679" s="49"/>
      <c r="H679" s="49"/>
      <c r="I679" s="49"/>
    </row>
    <row r="680" spans="2:10">
      <c r="B680" s="49"/>
      <c r="C680" s="49"/>
      <c r="D680" s="49"/>
      <c r="E680" s="49"/>
      <c r="F680" s="49"/>
      <c r="G680" s="49"/>
      <c r="H680" s="49"/>
      <c r="I680" s="49"/>
    </row>
    <row r="681" spans="2:10">
      <c r="B681" s="49"/>
      <c r="C681" s="49"/>
      <c r="D681" s="49"/>
      <c r="E681" s="49"/>
      <c r="F681" s="49"/>
      <c r="G681" s="49"/>
      <c r="H681" s="49"/>
      <c r="I681" s="49"/>
    </row>
    <row r="682" spans="2:10">
      <c r="B682" s="49"/>
      <c r="C682" s="49"/>
      <c r="D682" s="49"/>
      <c r="E682" s="49"/>
      <c r="F682" s="49"/>
      <c r="G682" s="49"/>
      <c r="H682" s="49"/>
      <c r="I682" s="49"/>
    </row>
    <row r="683" spans="2:10">
      <c r="B683" s="49"/>
      <c r="C683" s="49"/>
      <c r="D683" s="49"/>
      <c r="E683" s="49"/>
      <c r="F683" s="49"/>
      <c r="G683" s="49"/>
      <c r="H683" s="49"/>
      <c r="I683" s="49"/>
    </row>
    <row r="684" spans="2:10">
      <c r="B684" s="49"/>
      <c r="C684" s="49"/>
      <c r="D684" s="49"/>
      <c r="E684" s="49"/>
      <c r="F684" s="49"/>
      <c r="G684" s="49"/>
      <c r="H684" s="49"/>
      <c r="I684" s="49"/>
    </row>
    <row r="685" spans="2:10">
      <c r="B685" s="49"/>
      <c r="C685" s="49"/>
      <c r="D685" s="49"/>
      <c r="E685" s="49"/>
      <c r="F685" s="49"/>
      <c r="G685" s="49"/>
      <c r="H685" s="49"/>
      <c r="I685" s="49"/>
    </row>
    <row r="686" spans="2:10">
      <c r="B686" s="49"/>
      <c r="C686" s="49"/>
      <c r="D686" s="49"/>
      <c r="E686" s="49"/>
      <c r="F686" s="49"/>
      <c r="G686" s="49"/>
      <c r="H686" s="49"/>
      <c r="I686" s="49"/>
    </row>
    <row r="687" spans="2:10">
      <c r="B687" s="49"/>
      <c r="C687" s="49"/>
      <c r="D687" s="49"/>
      <c r="E687" s="49"/>
      <c r="F687" s="49"/>
      <c r="G687" s="49"/>
      <c r="H687" s="49"/>
      <c r="I687" s="49"/>
    </row>
    <row r="688" spans="2:10">
      <c r="B688" s="49"/>
      <c r="C688" s="49"/>
      <c r="D688" s="49"/>
      <c r="E688" s="49"/>
      <c r="F688" s="49"/>
      <c r="G688" s="49"/>
      <c r="H688" s="49"/>
      <c r="I688" s="49"/>
    </row>
    <row r="689" spans="2:9">
      <c r="B689" s="49"/>
      <c r="C689" s="49"/>
      <c r="D689" s="49"/>
      <c r="E689" s="49"/>
      <c r="F689" s="49"/>
      <c r="G689" s="49"/>
      <c r="H689" s="49"/>
      <c r="I689" s="49"/>
    </row>
    <row r="690" spans="2:9">
      <c r="B690" s="49"/>
      <c r="C690" s="49"/>
      <c r="D690" s="49"/>
      <c r="E690" s="49"/>
      <c r="F690" s="49"/>
      <c r="G690" s="49"/>
      <c r="H690" s="49"/>
      <c r="I690" s="49"/>
    </row>
    <row r="691" spans="2:9">
      <c r="B691" s="49"/>
      <c r="C691" s="49"/>
      <c r="D691" s="49"/>
      <c r="E691" s="49"/>
      <c r="F691" s="49"/>
      <c r="G691" s="49"/>
      <c r="H691" s="49"/>
      <c r="I691" s="49"/>
    </row>
    <row r="692" spans="2:9">
      <c r="B692" s="49"/>
      <c r="C692" s="49"/>
      <c r="D692" s="49"/>
      <c r="E692" s="49"/>
      <c r="F692" s="49"/>
      <c r="G692" s="49"/>
      <c r="H692" s="49"/>
      <c r="I692" s="49"/>
    </row>
    <row r="693" spans="2:9">
      <c r="B693" s="49"/>
      <c r="C693" s="49"/>
      <c r="D693" s="49"/>
      <c r="E693" s="49"/>
      <c r="F693" s="49"/>
      <c r="G693" s="49"/>
      <c r="H693" s="49"/>
      <c r="I693" s="49"/>
    </row>
    <row r="694" spans="2:9">
      <c r="B694" s="49"/>
      <c r="C694" s="49"/>
      <c r="D694" s="49"/>
      <c r="E694" s="49"/>
      <c r="F694" s="49"/>
      <c r="G694" s="49"/>
      <c r="H694" s="49"/>
      <c r="I694" s="49"/>
    </row>
    <row r="695" spans="2:9">
      <c r="B695" s="49"/>
      <c r="C695" s="49"/>
      <c r="D695" s="49"/>
      <c r="E695" s="49"/>
      <c r="F695" s="49"/>
      <c r="G695" s="49"/>
      <c r="H695" s="49"/>
      <c r="I695" s="49"/>
    </row>
    <row r="696" spans="2:9">
      <c r="B696" s="49"/>
      <c r="C696" s="49"/>
      <c r="D696" s="49"/>
      <c r="E696" s="49"/>
      <c r="F696" s="49"/>
      <c r="G696" s="49"/>
      <c r="H696" s="49"/>
      <c r="I696" s="49"/>
    </row>
    <row r="697" spans="2:9">
      <c r="B697" s="49"/>
      <c r="C697" s="49"/>
      <c r="D697" s="49"/>
      <c r="E697" s="49"/>
      <c r="F697" s="49"/>
      <c r="G697" s="49"/>
      <c r="H697" s="49"/>
      <c r="I697" s="49"/>
    </row>
    <row r="698" spans="2:9">
      <c r="B698" s="49"/>
      <c r="C698" s="49"/>
      <c r="D698" s="49"/>
      <c r="E698" s="49"/>
      <c r="F698" s="49"/>
      <c r="G698" s="49"/>
      <c r="H698" s="49"/>
      <c r="I698" s="49"/>
    </row>
    <row r="699" spans="2:9">
      <c r="B699" s="49"/>
      <c r="C699" s="49"/>
      <c r="D699" s="49"/>
      <c r="E699" s="49"/>
      <c r="F699" s="49"/>
      <c r="G699" s="49"/>
      <c r="H699" s="49"/>
      <c r="I699" s="49"/>
    </row>
    <row r="700" spans="2:9">
      <c r="B700" s="49"/>
      <c r="C700" s="49"/>
      <c r="D700" s="49"/>
      <c r="E700" s="49"/>
      <c r="F700" s="49"/>
      <c r="G700" s="49"/>
      <c r="H700" s="49"/>
      <c r="I700" s="49"/>
    </row>
    <row r="701" spans="2:9">
      <c r="B701" s="49"/>
      <c r="C701" s="49"/>
      <c r="D701" s="49"/>
      <c r="E701" s="49"/>
      <c r="F701" s="49"/>
      <c r="G701" s="49"/>
      <c r="H701" s="49"/>
      <c r="I701" s="49"/>
    </row>
    <row r="702" spans="2:9">
      <c r="B702" s="49"/>
      <c r="C702" s="49"/>
      <c r="D702" s="49"/>
      <c r="E702" s="49"/>
      <c r="F702" s="49"/>
      <c r="G702" s="49"/>
      <c r="H702" s="49"/>
      <c r="I702" s="49"/>
    </row>
    <row r="703" spans="2:9">
      <c r="B703" s="49"/>
      <c r="C703" s="49"/>
      <c r="D703" s="49"/>
      <c r="E703" s="49"/>
      <c r="F703" s="49"/>
      <c r="G703" s="49"/>
      <c r="H703" s="49"/>
      <c r="I703" s="49"/>
    </row>
    <row r="704" spans="2:9">
      <c r="B704" s="49"/>
      <c r="C704" s="49"/>
      <c r="D704" s="49"/>
      <c r="E704" s="49"/>
      <c r="F704" s="49"/>
      <c r="G704" s="49"/>
      <c r="H704" s="49"/>
      <c r="I704" s="49"/>
    </row>
    <row r="705" spans="2:9">
      <c r="B705" s="49"/>
      <c r="C705" s="49"/>
      <c r="D705" s="49"/>
      <c r="E705" s="49"/>
      <c r="F705" s="49"/>
      <c r="G705" s="49"/>
      <c r="H705" s="49"/>
      <c r="I705" s="49"/>
    </row>
    <row r="706" spans="2:9">
      <c r="B706" s="49"/>
      <c r="C706" s="49"/>
      <c r="D706" s="49"/>
      <c r="E706" s="49"/>
      <c r="F706" s="49"/>
      <c r="G706" s="49"/>
      <c r="H706" s="49"/>
      <c r="I706" s="49"/>
    </row>
    <row r="707" spans="2:9">
      <c r="B707" s="49"/>
      <c r="C707" s="49"/>
      <c r="D707" s="49"/>
      <c r="E707" s="49"/>
      <c r="F707" s="49"/>
      <c r="G707" s="49"/>
      <c r="H707" s="49"/>
      <c r="I707" s="49"/>
    </row>
    <row r="708" spans="2:9">
      <c r="B708" s="49"/>
      <c r="C708" s="49"/>
      <c r="D708" s="49"/>
      <c r="E708" s="49"/>
      <c r="F708" s="49"/>
      <c r="G708" s="49"/>
      <c r="H708" s="49"/>
      <c r="I708" s="49"/>
    </row>
    <row r="709" spans="2:9">
      <c r="B709" s="49"/>
      <c r="C709" s="49"/>
      <c r="D709" s="49"/>
      <c r="E709" s="49"/>
      <c r="F709" s="49"/>
      <c r="G709" s="49"/>
      <c r="H709" s="49"/>
      <c r="I709" s="49"/>
    </row>
    <row r="710" spans="2:9">
      <c r="B710" s="49"/>
      <c r="C710" s="49"/>
      <c r="D710" s="49"/>
      <c r="E710" s="49"/>
      <c r="F710" s="49"/>
      <c r="G710" s="49"/>
      <c r="H710" s="49"/>
      <c r="I710" s="49"/>
    </row>
    <row r="711" spans="2:9">
      <c r="B711" s="49"/>
      <c r="C711" s="49"/>
      <c r="D711" s="49"/>
      <c r="E711" s="49"/>
      <c r="F711" s="49"/>
      <c r="G711" s="49"/>
      <c r="H711" s="49"/>
      <c r="I711" s="49"/>
    </row>
    <row r="712" spans="2:9">
      <c r="B712" s="49"/>
      <c r="C712" s="49"/>
      <c r="D712" s="49"/>
      <c r="E712" s="49"/>
      <c r="F712" s="49"/>
      <c r="G712" s="49"/>
      <c r="H712" s="49"/>
      <c r="I712" s="49"/>
    </row>
    <row r="713" spans="2:9">
      <c r="B713" s="49"/>
      <c r="C713" s="49"/>
      <c r="D713" s="49"/>
      <c r="E713" s="49"/>
      <c r="F713" s="49"/>
      <c r="G713" s="49"/>
      <c r="H713" s="49"/>
      <c r="I713" s="49"/>
    </row>
    <row r="714" spans="2:9">
      <c r="B714" s="49"/>
      <c r="C714" s="49"/>
      <c r="D714" s="49"/>
      <c r="E714" s="49"/>
      <c r="F714" s="49"/>
      <c r="G714" s="49"/>
      <c r="H714" s="49"/>
      <c r="I714" s="49"/>
    </row>
    <row r="715" spans="2:9">
      <c r="B715" s="49"/>
      <c r="C715" s="49"/>
      <c r="D715" s="49"/>
      <c r="E715" s="49"/>
      <c r="F715" s="49"/>
      <c r="G715" s="49"/>
      <c r="H715" s="49"/>
      <c r="I715" s="49"/>
    </row>
    <row r="716" spans="2:9">
      <c r="B716" s="49"/>
      <c r="C716" s="49"/>
      <c r="D716" s="49"/>
      <c r="E716" s="49"/>
      <c r="F716" s="49"/>
      <c r="G716" s="49"/>
      <c r="H716" s="49"/>
      <c r="I716" s="49"/>
    </row>
    <row r="717" spans="2:9">
      <c r="B717" s="49"/>
      <c r="C717" s="49"/>
      <c r="D717" s="49"/>
      <c r="E717" s="49"/>
      <c r="F717" s="49"/>
      <c r="G717" s="49"/>
      <c r="H717" s="49"/>
      <c r="I717" s="49"/>
    </row>
    <row r="718" spans="2:9">
      <c r="B718" s="49"/>
      <c r="C718" s="49"/>
      <c r="D718" s="49"/>
      <c r="E718" s="49"/>
      <c r="F718" s="49"/>
      <c r="G718" s="49"/>
      <c r="H718" s="49"/>
      <c r="I718" s="49"/>
    </row>
    <row r="719" spans="2:9">
      <c r="B719" s="49"/>
      <c r="C719" s="49"/>
      <c r="D719" s="49"/>
      <c r="E719" s="49"/>
      <c r="F719" s="49"/>
      <c r="G719" s="49"/>
      <c r="H719" s="49"/>
      <c r="I719" s="49"/>
    </row>
    <row r="720" spans="2:9">
      <c r="B720" s="49"/>
      <c r="C720" s="49"/>
      <c r="D720" s="49"/>
      <c r="E720" s="49"/>
      <c r="F720" s="49"/>
      <c r="G720" s="49"/>
      <c r="H720" s="49"/>
      <c r="I720" s="49"/>
    </row>
    <row r="721" spans="2:9">
      <c r="B721" s="49"/>
      <c r="C721" s="49"/>
      <c r="D721" s="49"/>
      <c r="E721" s="49"/>
      <c r="F721" s="49"/>
      <c r="G721" s="49"/>
      <c r="H721" s="49"/>
      <c r="I721" s="49"/>
    </row>
    <row r="722" spans="2:9">
      <c r="B722" s="49"/>
      <c r="C722" s="49"/>
      <c r="D722" s="49"/>
      <c r="E722" s="49"/>
      <c r="F722" s="49"/>
      <c r="G722" s="49"/>
      <c r="H722" s="49"/>
      <c r="I722" s="49"/>
    </row>
    <row r="723" spans="2:9">
      <c r="B723" s="49"/>
      <c r="C723" s="49"/>
      <c r="D723" s="49"/>
      <c r="E723" s="49"/>
      <c r="F723" s="49"/>
      <c r="G723" s="49"/>
      <c r="H723" s="49"/>
      <c r="I723" s="49"/>
    </row>
    <row r="724" spans="2:9">
      <c r="B724" s="49"/>
      <c r="C724" s="49"/>
      <c r="D724" s="49"/>
      <c r="E724" s="49"/>
      <c r="F724" s="49"/>
      <c r="G724" s="49"/>
      <c r="H724" s="49"/>
      <c r="I724" s="49"/>
    </row>
    <row r="725" spans="2:9">
      <c r="B725" s="49"/>
      <c r="C725" s="49"/>
      <c r="D725" s="49"/>
      <c r="E725" s="49"/>
      <c r="F725" s="49"/>
      <c r="G725" s="49"/>
      <c r="H725" s="49"/>
      <c r="I725" s="49"/>
    </row>
    <row r="726" spans="2:9">
      <c r="B726" s="49"/>
      <c r="C726" s="49"/>
      <c r="D726" s="49"/>
      <c r="E726" s="49"/>
      <c r="F726" s="49"/>
      <c r="G726" s="49"/>
      <c r="H726" s="49"/>
      <c r="I726" s="49"/>
    </row>
    <row r="727" spans="2:9">
      <c r="B727" s="49"/>
      <c r="C727" s="49"/>
      <c r="D727" s="49"/>
      <c r="E727" s="49"/>
      <c r="F727" s="49"/>
      <c r="G727" s="49"/>
      <c r="H727" s="49"/>
      <c r="I727" s="49"/>
    </row>
    <row r="728" spans="2:9">
      <c r="B728" s="49"/>
      <c r="C728" s="49"/>
      <c r="D728" s="49"/>
      <c r="E728" s="49"/>
      <c r="F728" s="49"/>
      <c r="G728" s="49"/>
      <c r="H728" s="49"/>
      <c r="I728" s="49"/>
    </row>
    <row r="729" spans="2:9">
      <c r="B729" s="49"/>
      <c r="C729" s="49"/>
      <c r="D729" s="49"/>
      <c r="E729" s="49"/>
      <c r="F729" s="49"/>
      <c r="G729" s="49"/>
      <c r="H729" s="49"/>
      <c r="I729" s="49"/>
    </row>
    <row r="730" spans="2:9">
      <c r="B730" s="49"/>
      <c r="C730" s="49"/>
      <c r="D730" s="49"/>
      <c r="E730" s="49"/>
      <c r="F730" s="49"/>
      <c r="G730" s="49"/>
      <c r="H730" s="49"/>
      <c r="I730" s="49"/>
    </row>
    <row r="731" spans="2:9">
      <c r="B731" s="49"/>
      <c r="C731" s="49"/>
      <c r="D731" s="49"/>
      <c r="E731" s="49"/>
      <c r="F731" s="49"/>
      <c r="G731" s="49"/>
      <c r="H731" s="49"/>
      <c r="I731" s="49"/>
    </row>
    <row r="732" spans="2:9">
      <c r="B732" s="49"/>
      <c r="C732" s="49"/>
      <c r="D732" s="49"/>
      <c r="E732" s="49"/>
      <c r="F732" s="49"/>
      <c r="G732" s="49"/>
      <c r="H732" s="49"/>
      <c r="I732" s="49"/>
    </row>
    <row r="733" spans="2:9">
      <c r="B733" s="49"/>
      <c r="C733" s="49"/>
      <c r="D733" s="49"/>
      <c r="E733" s="49"/>
      <c r="F733" s="49"/>
      <c r="G733" s="49"/>
      <c r="H733" s="49"/>
      <c r="I733" s="49"/>
    </row>
    <row r="734" spans="2:9">
      <c r="B734" s="49"/>
      <c r="C734" s="49"/>
      <c r="D734" s="49"/>
      <c r="E734" s="49"/>
      <c r="F734" s="49"/>
      <c r="G734" s="49"/>
      <c r="H734" s="49"/>
      <c r="I734" s="49"/>
    </row>
    <row r="735" spans="2:9">
      <c r="B735" s="49"/>
      <c r="C735" s="49"/>
      <c r="D735" s="49"/>
      <c r="E735" s="49"/>
      <c r="F735" s="49"/>
      <c r="G735" s="49"/>
      <c r="H735" s="49"/>
      <c r="I735" s="49"/>
    </row>
    <row r="736" spans="2:9">
      <c r="B736" s="49"/>
      <c r="C736" s="49"/>
      <c r="D736" s="49"/>
      <c r="E736" s="49"/>
      <c r="F736" s="49"/>
      <c r="G736" s="49"/>
      <c r="H736" s="49"/>
      <c r="I736" s="49"/>
    </row>
    <row r="737" spans="2:9">
      <c r="B737" s="49"/>
      <c r="C737" s="49"/>
      <c r="D737" s="49"/>
      <c r="E737" s="49"/>
      <c r="F737" s="49"/>
      <c r="G737" s="49"/>
      <c r="H737" s="49"/>
      <c r="I737" s="49"/>
    </row>
    <row r="738" spans="2:9">
      <c r="B738" s="49"/>
      <c r="C738" s="49"/>
      <c r="D738" s="49"/>
      <c r="E738" s="49"/>
      <c r="F738" s="49"/>
      <c r="G738" s="49"/>
      <c r="H738" s="49"/>
      <c r="I738" s="49"/>
    </row>
    <row r="739" spans="2:9">
      <c r="B739" s="49"/>
      <c r="C739" s="49"/>
      <c r="D739" s="49"/>
      <c r="E739" s="49"/>
      <c r="F739" s="49"/>
      <c r="G739" s="49"/>
      <c r="H739" s="49"/>
      <c r="I739" s="49"/>
    </row>
    <row r="740" spans="2:9">
      <c r="B740" s="49"/>
      <c r="C740" s="49"/>
      <c r="D740" s="49"/>
      <c r="E740" s="49"/>
      <c r="F740" s="49"/>
      <c r="G740" s="49"/>
      <c r="H740" s="49"/>
      <c r="I740" s="49"/>
    </row>
    <row r="741" spans="2:9">
      <c r="B741" s="49"/>
      <c r="C741" s="49"/>
      <c r="D741" s="49"/>
      <c r="E741" s="49"/>
      <c r="F741" s="49"/>
      <c r="G741" s="49"/>
      <c r="H741" s="49"/>
      <c r="I741" s="49"/>
    </row>
    <row r="742" spans="2:9">
      <c r="B742" s="49"/>
      <c r="C742" s="49"/>
      <c r="D742" s="49"/>
      <c r="E742" s="49"/>
      <c r="F742" s="49"/>
      <c r="G742" s="49"/>
      <c r="H742" s="49"/>
      <c r="I742" s="49"/>
    </row>
    <row r="743" spans="2:9">
      <c r="B743" s="49"/>
      <c r="C743" s="49"/>
      <c r="D743" s="49"/>
      <c r="E743" s="49"/>
      <c r="F743" s="49"/>
      <c r="G743" s="49"/>
      <c r="H743" s="49"/>
      <c r="I743" s="49"/>
    </row>
    <row r="744" spans="2:9">
      <c r="B744" s="49"/>
      <c r="C744" s="49"/>
      <c r="D744" s="49"/>
      <c r="E744" s="49"/>
      <c r="F744" s="49"/>
      <c r="G744" s="49"/>
      <c r="H744" s="49"/>
      <c r="I744" s="49"/>
    </row>
    <row r="745" spans="2:9">
      <c r="B745" s="49"/>
      <c r="C745" s="49"/>
      <c r="D745" s="49"/>
      <c r="E745" s="49"/>
      <c r="F745" s="49"/>
      <c r="G745" s="49"/>
      <c r="H745" s="49"/>
      <c r="I745" s="49"/>
    </row>
    <row r="746" spans="2:9">
      <c r="B746" s="49"/>
      <c r="C746" s="49"/>
      <c r="D746" s="49"/>
      <c r="E746" s="49"/>
      <c r="F746" s="49"/>
      <c r="G746" s="49"/>
      <c r="H746" s="49"/>
      <c r="I746" s="49"/>
    </row>
    <row r="747" spans="2:9">
      <c r="B747" s="49"/>
      <c r="C747" s="49"/>
      <c r="D747" s="49"/>
      <c r="E747" s="49"/>
      <c r="F747" s="49"/>
      <c r="G747" s="49"/>
      <c r="H747" s="49"/>
      <c r="I747" s="49"/>
    </row>
    <row r="748" spans="2:9">
      <c r="B748" s="49"/>
      <c r="C748" s="49"/>
      <c r="D748" s="49"/>
      <c r="E748" s="49"/>
      <c r="F748" s="49"/>
      <c r="G748" s="49"/>
      <c r="H748" s="49"/>
      <c r="I748" s="49"/>
    </row>
    <row r="749" spans="2:9">
      <c r="B749" s="49"/>
      <c r="C749" s="49"/>
      <c r="D749" s="49"/>
      <c r="E749" s="49"/>
      <c r="F749" s="49"/>
      <c r="G749" s="49"/>
      <c r="H749" s="49"/>
      <c r="I749" s="49"/>
    </row>
    <row r="750" spans="2:9">
      <c r="B750" s="49"/>
      <c r="C750" s="49"/>
      <c r="D750" s="49"/>
      <c r="E750" s="49"/>
      <c r="F750" s="49"/>
      <c r="G750" s="49"/>
      <c r="H750" s="49"/>
      <c r="I750" s="49"/>
    </row>
    <row r="751" spans="2:9">
      <c r="B751" s="49"/>
      <c r="C751" s="49"/>
      <c r="D751" s="49"/>
      <c r="E751" s="49"/>
      <c r="F751" s="49"/>
      <c r="G751" s="49"/>
      <c r="H751" s="49"/>
      <c r="I751" s="49"/>
    </row>
    <row r="752" spans="2:9">
      <c r="B752" s="49"/>
      <c r="C752" s="49"/>
      <c r="D752" s="49"/>
      <c r="E752" s="49"/>
      <c r="F752" s="49"/>
      <c r="G752" s="49"/>
      <c r="H752" s="49"/>
      <c r="I752" s="49"/>
    </row>
    <row r="753" spans="2:9">
      <c r="B753" s="49"/>
      <c r="C753" s="49"/>
      <c r="D753" s="49"/>
      <c r="E753" s="49"/>
      <c r="F753" s="49"/>
      <c r="G753" s="49"/>
      <c r="H753" s="49"/>
      <c r="I753" s="49"/>
    </row>
    <row r="754" spans="2:9">
      <c r="B754" s="49"/>
      <c r="C754" s="49"/>
      <c r="D754" s="49"/>
      <c r="E754" s="49"/>
      <c r="F754" s="49"/>
      <c r="G754" s="49"/>
      <c r="H754" s="49"/>
      <c r="I754" s="49"/>
    </row>
    <row r="755" spans="2:9">
      <c r="B755" s="49"/>
      <c r="C755" s="49"/>
      <c r="D755" s="49"/>
      <c r="E755" s="49"/>
      <c r="F755" s="49"/>
      <c r="G755" s="49"/>
      <c r="H755" s="49"/>
      <c r="I755" s="49"/>
    </row>
    <row r="756" spans="2:9">
      <c r="B756" s="49"/>
      <c r="C756" s="49"/>
      <c r="D756" s="49"/>
      <c r="E756" s="49"/>
      <c r="F756" s="49"/>
      <c r="G756" s="49"/>
      <c r="H756" s="49"/>
      <c r="I756" s="49"/>
    </row>
    <row r="757" spans="2:9">
      <c r="B757" s="49"/>
      <c r="C757" s="49"/>
      <c r="D757" s="49"/>
      <c r="E757" s="49"/>
      <c r="F757" s="49"/>
      <c r="G757" s="49"/>
      <c r="H757" s="49"/>
      <c r="I757" s="49"/>
    </row>
    <row r="758" spans="2:9">
      <c r="B758" s="49"/>
      <c r="C758" s="49"/>
      <c r="D758" s="49"/>
      <c r="E758" s="49"/>
      <c r="F758" s="49"/>
      <c r="G758" s="49"/>
      <c r="H758" s="49"/>
      <c r="I758" s="49"/>
    </row>
    <row r="759" spans="2:9">
      <c r="B759" s="49"/>
      <c r="C759" s="49"/>
      <c r="D759" s="49"/>
      <c r="E759" s="49"/>
      <c r="F759" s="49"/>
      <c r="G759" s="49"/>
      <c r="H759" s="49"/>
      <c r="I759" s="49"/>
    </row>
    <row r="760" spans="2:9">
      <c r="B760" s="49"/>
      <c r="C760" s="49"/>
      <c r="D760" s="49"/>
      <c r="E760" s="49"/>
      <c r="F760" s="49"/>
      <c r="G760" s="49"/>
      <c r="H760" s="49"/>
      <c r="I760" s="49"/>
    </row>
    <row r="761" spans="2:9">
      <c r="B761" s="49"/>
      <c r="C761" s="49"/>
      <c r="D761" s="49"/>
      <c r="E761" s="49"/>
      <c r="F761" s="49"/>
      <c r="G761" s="49"/>
      <c r="H761" s="49"/>
      <c r="I761" s="49"/>
    </row>
    <row r="762" spans="2:9">
      <c r="B762" s="49"/>
      <c r="C762" s="49"/>
      <c r="D762" s="49"/>
      <c r="E762" s="49"/>
      <c r="F762" s="49"/>
      <c r="G762" s="49"/>
      <c r="H762" s="49"/>
      <c r="I762" s="49"/>
    </row>
    <row r="763" spans="2:9">
      <c r="B763" s="49"/>
      <c r="C763" s="49"/>
      <c r="D763" s="49"/>
      <c r="E763" s="49"/>
      <c r="F763" s="49"/>
      <c r="G763" s="49"/>
      <c r="H763" s="49"/>
      <c r="I763" s="49"/>
    </row>
    <row r="764" spans="2:9">
      <c r="B764" s="49"/>
      <c r="C764" s="49"/>
      <c r="D764" s="49"/>
      <c r="E764" s="49"/>
      <c r="F764" s="49"/>
      <c r="G764" s="49"/>
      <c r="H764" s="49"/>
      <c r="I764" s="49"/>
    </row>
    <row r="765" spans="2:9">
      <c r="B765" s="49"/>
      <c r="C765" s="49"/>
      <c r="D765" s="49"/>
      <c r="E765" s="49"/>
      <c r="F765" s="49"/>
      <c r="G765" s="49"/>
      <c r="H765" s="49"/>
      <c r="I765" s="49"/>
    </row>
    <row r="766" spans="2:9">
      <c r="B766" s="49"/>
      <c r="C766" s="49"/>
      <c r="D766" s="49"/>
      <c r="E766" s="49"/>
      <c r="F766" s="49"/>
      <c r="G766" s="49"/>
      <c r="H766" s="49"/>
      <c r="I766" s="49"/>
    </row>
    <row r="767" spans="2:9">
      <c r="B767" s="49"/>
      <c r="C767" s="49"/>
      <c r="D767" s="49"/>
      <c r="E767" s="49"/>
      <c r="F767" s="49"/>
      <c r="G767" s="49"/>
      <c r="H767" s="49"/>
      <c r="I767" s="49"/>
    </row>
    <row r="768" spans="2:9">
      <c r="B768" s="49"/>
      <c r="C768" s="49"/>
      <c r="D768" s="49"/>
      <c r="E768" s="49"/>
      <c r="F768" s="49"/>
      <c r="G768" s="49"/>
      <c r="H768" s="49"/>
      <c r="I768" s="49"/>
    </row>
    <row r="769" spans="2:9">
      <c r="B769" s="49"/>
      <c r="C769" s="49"/>
      <c r="D769" s="49"/>
      <c r="E769" s="49"/>
      <c r="F769" s="49"/>
      <c r="G769" s="49"/>
      <c r="H769" s="49"/>
      <c r="I769" s="49"/>
    </row>
    <row r="770" spans="2:9">
      <c r="B770" s="49"/>
      <c r="C770" s="49"/>
      <c r="D770" s="49"/>
      <c r="E770" s="49"/>
      <c r="F770" s="49"/>
      <c r="G770" s="49"/>
      <c r="H770" s="49"/>
      <c r="I770" s="49"/>
    </row>
    <row r="771" spans="2:9">
      <c r="B771" s="49"/>
      <c r="C771" s="49"/>
      <c r="D771" s="49"/>
      <c r="E771" s="49"/>
      <c r="F771" s="49"/>
      <c r="G771" s="49"/>
      <c r="H771" s="49"/>
      <c r="I771" s="49"/>
    </row>
    <row r="772" spans="2:9">
      <c r="B772" s="49"/>
      <c r="C772" s="49"/>
      <c r="D772" s="49"/>
      <c r="E772" s="49"/>
      <c r="F772" s="49"/>
      <c r="G772" s="49"/>
      <c r="H772" s="49"/>
      <c r="I772" s="49"/>
    </row>
    <row r="773" spans="2:9">
      <c r="B773" s="49"/>
      <c r="C773" s="49"/>
      <c r="D773" s="49"/>
      <c r="E773" s="49"/>
      <c r="F773" s="49"/>
      <c r="G773" s="49"/>
      <c r="H773" s="49"/>
      <c r="I773" s="49"/>
    </row>
    <row r="774" spans="2:9">
      <c r="B774" s="49"/>
      <c r="C774" s="49"/>
      <c r="D774" s="49"/>
      <c r="E774" s="49"/>
      <c r="F774" s="49"/>
      <c r="G774" s="49"/>
      <c r="H774" s="49"/>
      <c r="I774" s="49"/>
    </row>
    <row r="775" spans="2:9">
      <c r="B775" s="49"/>
      <c r="C775" s="49"/>
      <c r="D775" s="49"/>
      <c r="E775" s="49"/>
      <c r="F775" s="49"/>
      <c r="G775" s="49"/>
      <c r="H775" s="49"/>
      <c r="I775" s="49"/>
    </row>
    <row r="776" spans="2:9">
      <c r="B776" s="49"/>
      <c r="C776" s="49"/>
      <c r="D776" s="49"/>
      <c r="E776" s="49"/>
      <c r="F776" s="49"/>
      <c r="G776" s="49"/>
      <c r="H776" s="49"/>
      <c r="I776" s="49"/>
    </row>
    <row r="777" spans="2:9">
      <c r="B777" s="49"/>
      <c r="C777" s="49"/>
      <c r="D777" s="49"/>
      <c r="E777" s="49"/>
      <c r="F777" s="49"/>
      <c r="G777" s="49"/>
      <c r="H777" s="49"/>
      <c r="I777" s="49"/>
    </row>
    <row r="778" spans="2:9">
      <c r="B778" s="49"/>
      <c r="C778" s="49"/>
      <c r="D778" s="49"/>
      <c r="E778" s="49"/>
      <c r="F778" s="49"/>
      <c r="G778" s="49"/>
      <c r="H778" s="49"/>
      <c r="I778" s="49"/>
    </row>
    <row r="779" spans="2:9">
      <c r="B779" s="49"/>
      <c r="C779" s="49"/>
      <c r="D779" s="49"/>
      <c r="E779" s="49"/>
      <c r="F779" s="49"/>
      <c r="G779" s="49"/>
      <c r="H779" s="49"/>
      <c r="I779" s="49"/>
    </row>
    <row r="780" spans="2:9">
      <c r="B780" s="49"/>
      <c r="C780" s="49"/>
      <c r="D780" s="49"/>
      <c r="E780" s="49"/>
      <c r="F780" s="49"/>
      <c r="G780" s="49"/>
      <c r="H780" s="49"/>
      <c r="I780" s="49"/>
    </row>
    <row r="781" spans="2:9">
      <c r="B781" s="49"/>
      <c r="C781" s="49"/>
      <c r="D781" s="49"/>
      <c r="E781" s="49"/>
      <c r="F781" s="49"/>
      <c r="G781" s="49"/>
      <c r="H781" s="49"/>
      <c r="I781" s="49"/>
    </row>
    <row r="782" spans="2:9">
      <c r="B782" s="49"/>
      <c r="C782" s="49"/>
      <c r="D782" s="49"/>
      <c r="E782" s="49"/>
      <c r="F782" s="49"/>
      <c r="G782" s="49"/>
      <c r="H782" s="49"/>
      <c r="I782" s="49"/>
    </row>
    <row r="783" spans="2:9">
      <c r="B783" s="49"/>
      <c r="C783" s="49"/>
      <c r="D783" s="49"/>
      <c r="E783" s="49"/>
      <c r="F783" s="49"/>
      <c r="G783" s="49"/>
      <c r="H783" s="49"/>
      <c r="I783" s="49"/>
    </row>
    <row r="784" spans="2:9">
      <c r="B784" s="49"/>
      <c r="C784" s="49"/>
      <c r="D784" s="49"/>
      <c r="E784" s="49"/>
      <c r="F784" s="49"/>
      <c r="G784" s="49"/>
      <c r="H784" s="49"/>
      <c r="I784" s="49"/>
    </row>
    <row r="785" spans="2:9">
      <c r="B785" s="49"/>
      <c r="C785" s="49"/>
      <c r="D785" s="49"/>
      <c r="E785" s="49"/>
      <c r="F785" s="49"/>
      <c r="G785" s="49"/>
      <c r="H785" s="49"/>
      <c r="I785" s="49"/>
    </row>
    <row r="786" spans="2:9">
      <c r="B786" s="49"/>
      <c r="C786" s="49"/>
      <c r="D786" s="49"/>
      <c r="E786" s="49"/>
      <c r="F786" s="49"/>
      <c r="G786" s="49"/>
      <c r="H786" s="49"/>
      <c r="I786" s="49"/>
    </row>
    <row r="787" spans="2:9">
      <c r="B787" s="49"/>
      <c r="C787" s="49"/>
      <c r="D787" s="49"/>
      <c r="E787" s="49"/>
      <c r="F787" s="49"/>
      <c r="G787" s="49"/>
      <c r="H787" s="49"/>
      <c r="I787" s="49"/>
    </row>
    <row r="788" spans="2:9">
      <c r="B788" s="49"/>
      <c r="C788" s="49"/>
      <c r="D788" s="49"/>
      <c r="E788" s="49"/>
      <c r="F788" s="49"/>
      <c r="G788" s="49"/>
      <c r="H788" s="49"/>
      <c r="I788" s="49"/>
    </row>
    <row r="789" spans="2:9">
      <c r="B789" s="49"/>
      <c r="C789" s="49"/>
      <c r="D789" s="49"/>
      <c r="E789" s="49"/>
      <c r="F789" s="49"/>
      <c r="G789" s="49"/>
      <c r="H789" s="49"/>
      <c r="I789" s="49"/>
    </row>
    <row r="790" spans="2:9">
      <c r="B790" s="49"/>
      <c r="C790" s="49"/>
      <c r="D790" s="49"/>
      <c r="E790" s="49"/>
      <c r="F790" s="49"/>
      <c r="G790" s="49"/>
      <c r="H790" s="49"/>
      <c r="I790" s="49"/>
    </row>
    <row r="791" spans="2:9">
      <c r="B791" s="49"/>
      <c r="C791" s="49"/>
      <c r="D791" s="49"/>
      <c r="E791" s="49"/>
      <c r="F791" s="49"/>
      <c r="G791" s="49"/>
      <c r="H791" s="49"/>
      <c r="I791" s="49"/>
    </row>
    <row r="792" spans="2:9">
      <c r="B792" s="49"/>
      <c r="C792" s="49"/>
      <c r="D792" s="49"/>
      <c r="E792" s="49"/>
      <c r="F792" s="49"/>
      <c r="G792" s="49"/>
      <c r="H792" s="49"/>
      <c r="I792" s="49"/>
    </row>
    <row r="793" spans="2:9">
      <c r="B793" s="49"/>
      <c r="C793" s="49"/>
      <c r="D793" s="49"/>
      <c r="E793" s="49"/>
      <c r="F793" s="49"/>
      <c r="G793" s="49"/>
      <c r="H793" s="49"/>
      <c r="I793" s="49"/>
    </row>
    <row r="794" spans="2:9">
      <c r="B794" s="49"/>
      <c r="C794" s="49"/>
      <c r="D794" s="49"/>
      <c r="E794" s="49"/>
      <c r="F794" s="49"/>
      <c r="G794" s="49"/>
      <c r="H794" s="49"/>
      <c r="I794" s="49"/>
    </row>
    <row r="795" spans="2:9">
      <c r="B795" s="49"/>
      <c r="C795" s="49"/>
      <c r="D795" s="49"/>
      <c r="E795" s="49"/>
      <c r="F795" s="49"/>
      <c r="G795" s="49"/>
      <c r="H795" s="49"/>
      <c r="I795" s="49"/>
    </row>
    <row r="796" spans="2:9">
      <c r="B796" s="49"/>
      <c r="C796" s="49"/>
      <c r="D796" s="49"/>
      <c r="E796" s="49"/>
      <c r="F796" s="49"/>
      <c r="G796" s="49"/>
      <c r="H796" s="49"/>
      <c r="I796" s="49"/>
    </row>
    <row r="797" spans="2:9">
      <c r="B797" s="49"/>
      <c r="C797" s="49"/>
      <c r="D797" s="49"/>
      <c r="E797" s="49"/>
      <c r="F797" s="49"/>
      <c r="G797" s="49"/>
      <c r="H797" s="49"/>
      <c r="I797" s="49"/>
    </row>
    <row r="798" spans="2:9">
      <c r="B798" s="49"/>
      <c r="C798" s="49"/>
      <c r="D798" s="49"/>
      <c r="E798" s="49"/>
      <c r="F798" s="49"/>
      <c r="G798" s="49"/>
      <c r="H798" s="49"/>
      <c r="I798" s="49"/>
    </row>
    <row r="799" spans="2:9">
      <c r="B799" s="49"/>
      <c r="C799" s="49"/>
      <c r="D799" s="49"/>
      <c r="E799" s="49"/>
      <c r="F799" s="49"/>
      <c r="G799" s="49"/>
      <c r="H799" s="49"/>
      <c r="I799" s="49"/>
    </row>
    <row r="800" spans="2:9">
      <c r="B800" s="49"/>
      <c r="C800" s="49"/>
      <c r="D800" s="49"/>
      <c r="E800" s="49"/>
      <c r="F800" s="49"/>
      <c r="G800" s="49"/>
      <c r="H800" s="49"/>
      <c r="I800" s="49"/>
    </row>
    <row r="801" spans="2:9">
      <c r="B801" s="49"/>
      <c r="C801" s="49"/>
      <c r="D801" s="49"/>
      <c r="E801" s="49"/>
      <c r="F801" s="49"/>
      <c r="G801" s="49"/>
      <c r="H801" s="49"/>
      <c r="I801" s="49"/>
    </row>
    <row r="802" spans="2:9">
      <c r="B802" s="49"/>
      <c r="C802" s="49"/>
      <c r="D802" s="49"/>
      <c r="E802" s="49"/>
      <c r="F802" s="49"/>
      <c r="G802" s="49"/>
      <c r="H802" s="49"/>
      <c r="I802" s="49"/>
    </row>
    <row r="803" spans="2:9">
      <c r="B803" s="49"/>
      <c r="C803" s="49"/>
      <c r="D803" s="49"/>
      <c r="E803" s="49"/>
      <c r="F803" s="49"/>
      <c r="G803" s="49"/>
      <c r="H803" s="49"/>
      <c r="I803" s="49"/>
    </row>
    <row r="804" spans="2:9">
      <c r="B804" s="49"/>
      <c r="C804" s="49"/>
      <c r="D804" s="49"/>
      <c r="E804" s="49"/>
      <c r="F804" s="49"/>
      <c r="G804" s="49"/>
      <c r="H804" s="49"/>
      <c r="I804" s="49"/>
    </row>
    <row r="805" spans="2:9">
      <c r="B805" s="49"/>
      <c r="C805" s="49"/>
      <c r="D805" s="49"/>
      <c r="E805" s="49"/>
      <c r="F805" s="49"/>
      <c r="G805" s="49"/>
      <c r="H805" s="49"/>
      <c r="I805" s="49"/>
    </row>
    <row r="806" spans="2:9">
      <c r="B806" s="49"/>
      <c r="C806" s="49"/>
      <c r="D806" s="49"/>
      <c r="E806" s="49"/>
      <c r="F806" s="49"/>
      <c r="G806" s="49"/>
      <c r="H806" s="49"/>
      <c r="I806" s="49"/>
    </row>
    <row r="807" spans="2:9">
      <c r="B807" s="49"/>
      <c r="C807" s="49"/>
      <c r="D807" s="49"/>
      <c r="E807" s="49"/>
      <c r="F807" s="49"/>
      <c r="G807" s="49"/>
      <c r="H807" s="49"/>
      <c r="I807" s="49"/>
    </row>
    <row r="808" spans="2:9">
      <c r="B808" s="49"/>
      <c r="C808" s="49"/>
      <c r="D808" s="49"/>
      <c r="E808" s="49"/>
      <c r="F808" s="49"/>
      <c r="G808" s="49"/>
      <c r="H808" s="49"/>
      <c r="I808" s="49"/>
    </row>
    <row r="809" spans="2:9">
      <c r="B809" s="49"/>
      <c r="C809" s="49"/>
      <c r="D809" s="49"/>
      <c r="E809" s="49"/>
      <c r="F809" s="49"/>
      <c r="G809" s="49"/>
      <c r="H809" s="49"/>
      <c r="I809" s="49"/>
    </row>
    <row r="810" spans="2:9">
      <c r="B810" s="49"/>
      <c r="C810" s="49"/>
      <c r="D810" s="49"/>
      <c r="E810" s="49"/>
      <c r="F810" s="49"/>
      <c r="G810" s="49"/>
      <c r="H810" s="49"/>
      <c r="I810" s="49"/>
    </row>
    <row r="811" spans="2:9">
      <c r="B811" s="49"/>
      <c r="C811" s="49"/>
      <c r="D811" s="49"/>
      <c r="E811" s="49"/>
      <c r="F811" s="49"/>
      <c r="G811" s="49"/>
      <c r="H811" s="49"/>
      <c r="I811" s="49"/>
    </row>
    <row r="812" spans="2:9">
      <c r="B812" s="49"/>
      <c r="C812" s="49"/>
      <c r="D812" s="49"/>
      <c r="E812" s="49"/>
      <c r="F812" s="49"/>
      <c r="G812" s="49"/>
      <c r="H812" s="49"/>
      <c r="I812" s="49"/>
    </row>
    <row r="813" spans="2:9">
      <c r="B813" s="49"/>
      <c r="C813" s="49"/>
      <c r="D813" s="49"/>
      <c r="E813" s="49"/>
      <c r="F813" s="49"/>
      <c r="G813" s="49"/>
      <c r="H813" s="49"/>
      <c r="I813" s="49"/>
    </row>
    <row r="814" spans="2:9">
      <c r="B814" s="49"/>
      <c r="C814" s="49"/>
      <c r="D814" s="49"/>
      <c r="E814" s="49"/>
      <c r="F814" s="49"/>
      <c r="G814" s="49"/>
      <c r="H814" s="49"/>
      <c r="I814" s="49"/>
    </row>
    <row r="815" spans="2:9">
      <c r="B815" s="49"/>
      <c r="C815" s="49"/>
      <c r="D815" s="49"/>
      <c r="E815" s="49"/>
      <c r="F815" s="49"/>
      <c r="G815" s="49"/>
      <c r="H815" s="49"/>
      <c r="I815" s="49"/>
    </row>
    <row r="816" spans="2:9">
      <c r="B816" s="49"/>
      <c r="C816" s="49"/>
      <c r="D816" s="49"/>
      <c r="E816" s="49"/>
      <c r="F816" s="49"/>
      <c r="G816" s="49"/>
      <c r="H816" s="49"/>
      <c r="I816" s="49"/>
    </row>
    <row r="817" spans="2:9">
      <c r="B817" s="49"/>
      <c r="C817" s="49"/>
      <c r="D817" s="49"/>
      <c r="E817" s="49"/>
      <c r="F817" s="49"/>
      <c r="G817" s="49"/>
      <c r="H817" s="49"/>
      <c r="I817" s="49"/>
    </row>
    <row r="818" spans="2:9">
      <c r="B818" s="49"/>
      <c r="C818" s="49"/>
      <c r="D818" s="49"/>
      <c r="E818" s="49"/>
      <c r="F818" s="49"/>
      <c r="G818" s="49"/>
      <c r="H818" s="49"/>
      <c r="I818" s="49"/>
    </row>
    <row r="819" spans="2:9">
      <c r="B819" s="49"/>
      <c r="C819" s="49"/>
      <c r="D819" s="49"/>
      <c r="E819" s="49"/>
      <c r="F819" s="49"/>
      <c r="G819" s="49"/>
      <c r="H819" s="49"/>
      <c r="I819" s="49"/>
    </row>
    <row r="820" spans="2:9">
      <c r="B820" s="49"/>
      <c r="C820" s="49"/>
      <c r="D820" s="49"/>
      <c r="E820" s="49"/>
      <c r="F820" s="49"/>
      <c r="G820" s="49"/>
      <c r="H820" s="49"/>
      <c r="I820" s="49"/>
    </row>
    <row r="821" spans="2:9">
      <c r="B821" s="49"/>
      <c r="C821" s="49"/>
      <c r="D821" s="49"/>
      <c r="E821" s="49"/>
      <c r="F821" s="49"/>
      <c r="G821" s="49"/>
      <c r="H821" s="49"/>
      <c r="I821" s="49"/>
    </row>
    <row r="822" spans="2:9">
      <c r="B822" s="49"/>
      <c r="C822" s="49"/>
      <c r="D822" s="49"/>
      <c r="E822" s="49"/>
      <c r="F822" s="49"/>
      <c r="G822" s="49"/>
      <c r="H822" s="49"/>
      <c r="I822" s="49"/>
    </row>
    <row r="823" spans="2:9">
      <c r="B823" s="49"/>
      <c r="C823" s="49"/>
      <c r="D823" s="49"/>
      <c r="E823" s="49"/>
      <c r="F823" s="49"/>
      <c r="G823" s="49"/>
      <c r="H823" s="49"/>
      <c r="I823" s="49"/>
    </row>
    <row r="824" spans="2:9">
      <c r="B824" s="49"/>
      <c r="C824" s="49"/>
      <c r="D824" s="49"/>
      <c r="E824" s="49"/>
      <c r="F824" s="49"/>
      <c r="G824" s="49"/>
      <c r="H824" s="49"/>
      <c r="I824" s="49"/>
    </row>
    <row r="825" spans="2:9">
      <c r="B825" s="49"/>
      <c r="C825" s="49"/>
      <c r="D825" s="49"/>
      <c r="E825" s="49"/>
      <c r="F825" s="49"/>
      <c r="G825" s="49"/>
      <c r="H825" s="49"/>
      <c r="I825" s="49"/>
    </row>
    <row r="826" spans="2:9">
      <c r="B826" s="49"/>
      <c r="C826" s="49"/>
      <c r="D826" s="49"/>
      <c r="E826" s="49"/>
      <c r="F826" s="49"/>
      <c r="G826" s="49"/>
      <c r="H826" s="49"/>
      <c r="I826" s="49"/>
    </row>
    <row r="827" spans="2:9">
      <c r="B827" s="49"/>
      <c r="C827" s="49"/>
      <c r="D827" s="49"/>
      <c r="E827" s="49"/>
      <c r="F827" s="49"/>
      <c r="G827" s="49"/>
      <c r="H827" s="49"/>
      <c r="I827" s="49"/>
    </row>
    <row r="828" spans="2:9">
      <c r="B828" s="49"/>
      <c r="C828" s="49"/>
      <c r="D828" s="49"/>
      <c r="E828" s="49"/>
      <c r="F828" s="49"/>
      <c r="G828" s="49"/>
      <c r="H828" s="49"/>
      <c r="I828" s="49"/>
    </row>
    <row r="829" spans="2:9">
      <c r="B829" s="49"/>
      <c r="C829" s="49"/>
      <c r="D829" s="49"/>
      <c r="E829" s="49"/>
      <c r="F829" s="49"/>
      <c r="G829" s="49"/>
      <c r="H829" s="49"/>
      <c r="I829" s="49"/>
    </row>
    <row r="830" spans="2:9">
      <c r="B830" s="49"/>
      <c r="C830" s="49"/>
      <c r="D830" s="49"/>
      <c r="E830" s="49"/>
      <c r="F830" s="49"/>
      <c r="G830" s="49"/>
      <c r="H830" s="49"/>
      <c r="I830" s="49"/>
    </row>
    <row r="831" spans="2:9">
      <c r="B831" s="49"/>
      <c r="C831" s="49"/>
      <c r="D831" s="49"/>
      <c r="E831" s="49"/>
      <c r="F831" s="49"/>
      <c r="G831" s="49"/>
      <c r="H831" s="49"/>
      <c r="I831" s="49"/>
    </row>
    <row r="832" spans="2:9">
      <c r="B832" s="49"/>
      <c r="C832" s="49"/>
      <c r="D832" s="49"/>
      <c r="E832" s="49"/>
      <c r="F832" s="49"/>
      <c r="G832" s="49"/>
      <c r="H832" s="49"/>
      <c r="I832" s="49"/>
    </row>
    <row r="833" spans="2:9">
      <c r="B833" s="49"/>
      <c r="C833" s="49"/>
      <c r="D833" s="49"/>
      <c r="E833" s="49"/>
      <c r="F833" s="49"/>
      <c r="G833" s="49"/>
      <c r="H833" s="49"/>
      <c r="I833" s="49"/>
    </row>
    <row r="834" spans="2:9">
      <c r="B834" s="49"/>
      <c r="C834" s="49"/>
      <c r="D834" s="49"/>
      <c r="E834" s="49"/>
      <c r="F834" s="49"/>
      <c r="G834" s="49"/>
      <c r="H834" s="49"/>
      <c r="I834" s="49"/>
    </row>
    <row r="835" spans="2:9">
      <c r="B835" s="49"/>
      <c r="C835" s="49"/>
      <c r="D835" s="49"/>
      <c r="E835" s="49"/>
      <c r="F835" s="49"/>
      <c r="G835" s="49"/>
      <c r="H835" s="49"/>
      <c r="I835" s="49"/>
    </row>
    <row r="836" spans="2:9">
      <c r="B836" s="49"/>
      <c r="C836" s="49"/>
      <c r="D836" s="49"/>
      <c r="E836" s="49"/>
      <c r="F836" s="49"/>
      <c r="G836" s="49"/>
      <c r="H836" s="49"/>
      <c r="I836" s="49"/>
    </row>
    <row r="837" spans="2:9">
      <c r="B837" s="49"/>
      <c r="C837" s="49"/>
      <c r="D837" s="49"/>
      <c r="E837" s="49"/>
      <c r="F837" s="49"/>
      <c r="G837" s="49"/>
      <c r="H837" s="49"/>
      <c r="I837" s="49"/>
    </row>
    <row r="838" spans="2:9">
      <c r="B838" s="49"/>
      <c r="C838" s="49"/>
      <c r="D838" s="49"/>
      <c r="E838" s="49"/>
      <c r="F838" s="49"/>
      <c r="G838" s="49"/>
      <c r="H838" s="49"/>
      <c r="I838" s="49"/>
    </row>
    <row r="839" spans="2:9">
      <c r="B839" s="49"/>
      <c r="C839" s="49"/>
      <c r="D839" s="49"/>
      <c r="E839" s="49"/>
      <c r="F839" s="49"/>
      <c r="G839" s="49"/>
      <c r="H839" s="49"/>
      <c r="I839" s="49"/>
    </row>
    <row r="840" spans="2:9">
      <c r="B840" s="49"/>
      <c r="C840" s="49"/>
      <c r="D840" s="49"/>
      <c r="E840" s="49"/>
      <c r="F840" s="49"/>
      <c r="G840" s="49"/>
      <c r="H840" s="49"/>
      <c r="I840" s="49"/>
    </row>
    <row r="841" spans="2:9">
      <c r="B841" s="49"/>
      <c r="C841" s="49"/>
      <c r="D841" s="49"/>
      <c r="E841" s="49"/>
      <c r="F841" s="49"/>
      <c r="G841" s="49"/>
      <c r="H841" s="49"/>
      <c r="I841" s="49"/>
    </row>
    <row r="842" spans="2:9">
      <c r="B842" s="49"/>
      <c r="C842" s="49"/>
      <c r="D842" s="49"/>
      <c r="E842" s="49"/>
      <c r="F842" s="49"/>
      <c r="G842" s="49"/>
      <c r="H842" s="49"/>
      <c r="I842" s="49"/>
    </row>
    <row r="843" spans="2:9">
      <c r="B843" s="49"/>
      <c r="C843" s="49"/>
      <c r="D843" s="49"/>
      <c r="E843" s="49"/>
      <c r="F843" s="49"/>
      <c r="G843" s="49"/>
      <c r="H843" s="49"/>
      <c r="I843" s="49"/>
    </row>
    <row r="844" spans="2:9">
      <c r="B844" s="49"/>
      <c r="C844" s="49"/>
      <c r="D844" s="49"/>
      <c r="E844" s="49"/>
      <c r="F844" s="49"/>
      <c r="G844" s="49"/>
      <c r="H844" s="49"/>
      <c r="I844" s="49"/>
    </row>
    <row r="845" spans="2:9">
      <c r="B845" s="49"/>
      <c r="C845" s="49"/>
      <c r="D845" s="49"/>
      <c r="E845" s="49"/>
      <c r="F845" s="49"/>
      <c r="G845" s="49"/>
      <c r="H845" s="49"/>
      <c r="I845" s="49"/>
    </row>
    <row r="846" spans="2:9">
      <c r="B846" s="49"/>
      <c r="C846" s="49"/>
      <c r="D846" s="49"/>
      <c r="E846" s="49"/>
      <c r="F846" s="49"/>
      <c r="G846" s="49"/>
      <c r="H846" s="49"/>
      <c r="I846" s="49"/>
    </row>
    <row r="847" spans="2:9">
      <c r="B847" s="49"/>
      <c r="C847" s="49"/>
      <c r="D847" s="49"/>
      <c r="E847" s="49"/>
      <c r="F847" s="49"/>
      <c r="G847" s="49"/>
      <c r="H847" s="49"/>
      <c r="I847" s="49"/>
    </row>
    <row r="848" spans="2:9">
      <c r="B848" s="49"/>
      <c r="C848" s="49"/>
      <c r="D848" s="49"/>
      <c r="E848" s="49"/>
      <c r="F848" s="49"/>
      <c r="G848" s="49"/>
      <c r="H848" s="49"/>
      <c r="I848" s="49"/>
    </row>
    <row r="849" spans="2:9">
      <c r="B849" s="49"/>
      <c r="C849" s="49"/>
      <c r="D849" s="49"/>
      <c r="E849" s="49"/>
      <c r="F849" s="49"/>
      <c r="G849" s="49"/>
      <c r="H849" s="49"/>
      <c r="I849" s="49"/>
    </row>
    <row r="850" spans="2:9">
      <c r="B850" s="49"/>
      <c r="C850" s="49"/>
      <c r="D850" s="49"/>
      <c r="E850" s="49"/>
      <c r="F850" s="49"/>
      <c r="G850" s="49"/>
      <c r="H850" s="49"/>
      <c r="I850" s="49"/>
    </row>
    <row r="851" spans="2:9">
      <c r="B851" s="49"/>
      <c r="C851" s="49"/>
      <c r="D851" s="49"/>
      <c r="E851" s="49"/>
      <c r="F851" s="49"/>
      <c r="G851" s="49"/>
      <c r="H851" s="49"/>
      <c r="I851" s="49"/>
    </row>
    <row r="852" spans="2:9">
      <c r="B852" s="49"/>
      <c r="C852" s="49"/>
      <c r="D852" s="49"/>
      <c r="E852" s="49"/>
      <c r="F852" s="49"/>
      <c r="G852" s="49"/>
      <c r="H852" s="49"/>
      <c r="I852" s="49"/>
    </row>
    <row r="853" spans="2:9">
      <c r="B853" s="49"/>
      <c r="C853" s="49"/>
      <c r="D853" s="49"/>
      <c r="E853" s="49"/>
      <c r="F853" s="49"/>
      <c r="G853" s="49"/>
      <c r="H853" s="49"/>
      <c r="I853" s="49"/>
    </row>
    <row r="854" spans="2:9">
      <c r="B854" s="49"/>
      <c r="C854" s="49"/>
      <c r="D854" s="49"/>
      <c r="E854" s="49"/>
      <c r="F854" s="49"/>
      <c r="G854" s="49"/>
      <c r="H854" s="49"/>
      <c r="I854" s="49"/>
    </row>
    <row r="855" spans="2:9">
      <c r="B855" s="49"/>
      <c r="C855" s="49"/>
      <c r="D855" s="49"/>
      <c r="E855" s="49"/>
      <c r="F855" s="49"/>
      <c r="G855" s="49"/>
      <c r="H855" s="49"/>
      <c r="I855" s="49"/>
    </row>
    <row r="856" spans="2:9">
      <c r="B856" s="49"/>
      <c r="C856" s="49"/>
      <c r="D856" s="49"/>
      <c r="E856" s="49"/>
      <c r="F856" s="49"/>
      <c r="G856" s="49"/>
      <c r="H856" s="49"/>
      <c r="I856" s="49"/>
    </row>
    <row r="857" spans="2:9">
      <c r="B857" s="49"/>
      <c r="C857" s="49"/>
      <c r="D857" s="49"/>
      <c r="E857" s="49"/>
      <c r="F857" s="49"/>
      <c r="G857" s="49"/>
      <c r="H857" s="49"/>
      <c r="I857" s="49"/>
    </row>
    <row r="858" spans="2:9">
      <c r="B858" s="49"/>
      <c r="C858" s="49"/>
      <c r="D858" s="49"/>
      <c r="E858" s="49"/>
      <c r="F858" s="49"/>
      <c r="G858" s="49"/>
      <c r="H858" s="49"/>
      <c r="I858" s="49"/>
    </row>
    <row r="859" spans="2:9">
      <c r="B859" s="49"/>
      <c r="C859" s="49"/>
      <c r="D859" s="49"/>
      <c r="E859" s="49"/>
      <c r="F859" s="49"/>
      <c r="G859" s="49"/>
      <c r="H859" s="49"/>
      <c r="I859" s="49"/>
    </row>
    <row r="860" spans="2:9">
      <c r="B860" s="49"/>
      <c r="C860" s="49"/>
      <c r="D860" s="49"/>
      <c r="E860" s="49"/>
      <c r="F860" s="49"/>
      <c r="G860" s="49"/>
      <c r="H860" s="49"/>
      <c r="I860" s="49"/>
    </row>
    <row r="861" spans="2:9">
      <c r="B861" s="49"/>
      <c r="C861" s="49"/>
      <c r="D861" s="49"/>
      <c r="E861" s="49"/>
      <c r="F861" s="49"/>
      <c r="G861" s="49"/>
      <c r="H861" s="49"/>
      <c r="I861" s="49"/>
    </row>
    <row r="862" spans="2:9">
      <c r="B862" s="49"/>
      <c r="C862" s="49"/>
      <c r="D862" s="49"/>
      <c r="E862" s="49"/>
      <c r="F862" s="49"/>
      <c r="G862" s="49"/>
      <c r="H862" s="49"/>
      <c r="I862" s="49"/>
    </row>
    <row r="863" spans="2:9">
      <c r="B863" s="49"/>
      <c r="C863" s="49"/>
      <c r="D863" s="49"/>
      <c r="E863" s="49"/>
      <c r="F863" s="49"/>
      <c r="G863" s="49"/>
      <c r="H863" s="49"/>
      <c r="I863" s="49"/>
    </row>
    <row r="864" spans="2:9">
      <c r="B864" s="49"/>
      <c r="C864" s="49"/>
      <c r="D864" s="49"/>
      <c r="E864" s="49"/>
      <c r="F864" s="49"/>
      <c r="G864" s="49"/>
      <c r="H864" s="49"/>
      <c r="I864" s="49"/>
    </row>
    <row r="865" spans="2:9">
      <c r="B865" s="49"/>
      <c r="C865" s="49"/>
      <c r="D865" s="49"/>
      <c r="E865" s="49"/>
      <c r="F865" s="49"/>
      <c r="G865" s="49"/>
      <c r="H865" s="49"/>
      <c r="I865" s="49"/>
    </row>
    <row r="866" spans="2:9">
      <c r="B866" s="49"/>
      <c r="C866" s="49"/>
      <c r="D866" s="49"/>
      <c r="E866" s="49"/>
      <c r="F866" s="49"/>
      <c r="G866" s="49"/>
      <c r="H866" s="49"/>
      <c r="I866" s="49"/>
    </row>
    <row r="867" spans="2:9">
      <c r="B867" s="49"/>
      <c r="C867" s="49"/>
      <c r="D867" s="49"/>
      <c r="E867" s="49"/>
      <c r="F867" s="49"/>
      <c r="G867" s="49"/>
      <c r="H867" s="49"/>
      <c r="I867" s="49"/>
    </row>
    <row r="868" spans="2:9">
      <c r="B868" s="49"/>
      <c r="C868" s="49"/>
      <c r="D868" s="49"/>
      <c r="E868" s="49"/>
      <c r="F868" s="49"/>
      <c r="G868" s="49"/>
      <c r="H868" s="49"/>
      <c r="I868" s="49"/>
    </row>
    <row r="869" spans="2:9">
      <c r="B869" s="49"/>
      <c r="C869" s="49"/>
      <c r="D869" s="49"/>
      <c r="E869" s="49"/>
      <c r="F869" s="49"/>
      <c r="G869" s="49"/>
      <c r="H869" s="49"/>
      <c r="I869" s="49"/>
    </row>
    <row r="870" spans="2:9">
      <c r="B870" s="49"/>
      <c r="C870" s="49"/>
      <c r="D870" s="49"/>
      <c r="E870" s="49"/>
      <c r="F870" s="49"/>
      <c r="G870" s="49"/>
      <c r="H870" s="49"/>
      <c r="I870" s="49"/>
    </row>
    <row r="871" spans="2:9">
      <c r="B871" s="49"/>
      <c r="C871" s="49"/>
      <c r="D871" s="49"/>
      <c r="E871" s="49"/>
      <c r="F871" s="49"/>
      <c r="G871" s="49"/>
      <c r="H871" s="49"/>
      <c r="I871" s="49"/>
    </row>
    <row r="872" spans="2:9">
      <c r="B872" s="49"/>
      <c r="C872" s="49"/>
      <c r="D872" s="49"/>
      <c r="E872" s="49"/>
      <c r="F872" s="49"/>
      <c r="G872" s="49"/>
      <c r="H872" s="49"/>
      <c r="I872" s="49"/>
    </row>
    <row r="873" spans="2:9">
      <c r="B873" s="49"/>
      <c r="C873" s="49"/>
      <c r="D873" s="49"/>
      <c r="E873" s="49"/>
      <c r="F873" s="49"/>
      <c r="G873" s="49"/>
      <c r="H873" s="49"/>
      <c r="I873" s="49"/>
    </row>
    <row r="874" spans="2:9">
      <c r="B874" s="49"/>
      <c r="C874" s="49"/>
      <c r="D874" s="49"/>
      <c r="E874" s="49"/>
      <c r="F874" s="49"/>
      <c r="G874" s="49"/>
      <c r="H874" s="49"/>
      <c r="I874" s="49"/>
    </row>
    <row r="875" spans="2:9">
      <c r="B875" s="49"/>
      <c r="C875" s="49"/>
      <c r="D875" s="49"/>
      <c r="E875" s="49"/>
      <c r="F875" s="49"/>
      <c r="G875" s="49"/>
      <c r="H875" s="49"/>
      <c r="I875" s="49"/>
    </row>
    <row r="876" spans="2:9">
      <c r="B876" s="49"/>
      <c r="C876" s="49"/>
      <c r="D876" s="49"/>
      <c r="E876" s="49"/>
      <c r="F876" s="49"/>
      <c r="G876" s="49"/>
      <c r="H876" s="49"/>
      <c r="I876" s="49"/>
    </row>
    <row r="877" spans="2:9">
      <c r="B877" s="49"/>
      <c r="C877" s="49"/>
      <c r="D877" s="49"/>
      <c r="E877" s="49"/>
      <c r="F877" s="49"/>
      <c r="G877" s="49"/>
      <c r="H877" s="49"/>
      <c r="I877" s="49"/>
    </row>
    <row r="878" spans="2:9">
      <c r="B878" s="49"/>
      <c r="C878" s="49"/>
      <c r="D878" s="49"/>
      <c r="E878" s="49"/>
      <c r="F878" s="49"/>
      <c r="G878" s="49"/>
      <c r="H878" s="49"/>
      <c r="I878" s="49"/>
    </row>
    <row r="879" spans="2:9">
      <c r="B879" s="49"/>
      <c r="C879" s="49"/>
      <c r="D879" s="49"/>
      <c r="E879" s="49"/>
      <c r="F879" s="49"/>
      <c r="G879" s="49"/>
      <c r="H879" s="49"/>
      <c r="I879" s="49"/>
    </row>
    <row r="880" spans="2:9">
      <c r="B880" s="49"/>
      <c r="C880" s="49"/>
      <c r="D880" s="49"/>
      <c r="E880" s="49"/>
      <c r="F880" s="49"/>
      <c r="G880" s="49"/>
      <c r="H880" s="49"/>
      <c r="I880" s="49"/>
    </row>
    <row r="881" spans="2:16">
      <c r="B881" s="49"/>
      <c r="C881" s="49"/>
      <c r="D881" s="49"/>
      <c r="E881" s="49"/>
      <c r="F881" s="49"/>
      <c r="G881" s="49"/>
      <c r="H881" s="49"/>
    </row>
    <row r="882" spans="2:16">
      <c r="B882" s="49"/>
      <c r="C882" s="49"/>
      <c r="D882" s="49"/>
      <c r="E882" s="49"/>
      <c r="F882" s="49"/>
      <c r="G882" s="49"/>
      <c r="H882" s="49"/>
    </row>
    <row r="883" spans="2:16">
      <c r="B883" s="49"/>
      <c r="C883" s="49"/>
      <c r="D883" s="49"/>
      <c r="E883" s="49"/>
      <c r="F883" s="49"/>
      <c r="G883" s="49"/>
      <c r="H883" s="49"/>
    </row>
    <row r="884" spans="2:16">
      <c r="B884" s="49"/>
      <c r="C884" s="49"/>
      <c r="D884" s="49"/>
      <c r="E884" s="49"/>
      <c r="F884" s="49"/>
      <c r="G884" s="49"/>
      <c r="H884" s="49"/>
    </row>
    <row r="885" spans="2:16">
      <c r="B885" s="49"/>
      <c r="C885" s="49"/>
      <c r="D885" s="49"/>
      <c r="E885" s="49"/>
      <c r="F885" s="49"/>
      <c r="G885" s="49"/>
      <c r="H885" s="49"/>
    </row>
    <row r="886" spans="2:16">
      <c r="B886" s="49"/>
      <c r="C886" s="49"/>
      <c r="D886" s="49"/>
      <c r="E886" s="49"/>
      <c r="F886" s="49"/>
      <c r="G886" s="49"/>
      <c r="H886" s="49"/>
    </row>
    <row r="887" spans="2:16">
      <c r="B887" s="49"/>
      <c r="C887" s="49"/>
      <c r="D887" s="49"/>
      <c r="E887" s="49"/>
      <c r="F887" s="49"/>
      <c r="G887" s="49"/>
      <c r="H887" s="49"/>
    </row>
    <row r="888" spans="2:16">
      <c r="B888" s="49"/>
      <c r="C888" s="49"/>
      <c r="D888" s="49"/>
      <c r="E888" s="49"/>
      <c r="F888" s="49"/>
      <c r="G888" s="49"/>
      <c r="H888" s="49"/>
    </row>
    <row r="889" spans="2:16">
      <c r="B889" s="49"/>
      <c r="C889" s="49"/>
      <c r="D889" s="49"/>
      <c r="E889" s="49"/>
      <c r="F889" s="49"/>
      <c r="G889" s="49"/>
      <c r="H889" s="49"/>
    </row>
    <row r="890" spans="2:16">
      <c r="B890" s="49"/>
      <c r="C890" s="49"/>
      <c r="D890" s="49"/>
      <c r="E890" s="49"/>
      <c r="F890" s="49"/>
      <c r="G890" s="49"/>
      <c r="H890" s="49"/>
    </row>
    <row r="891" spans="2:16">
      <c r="B891" s="49"/>
      <c r="C891" s="49"/>
      <c r="D891" s="49"/>
      <c r="E891" s="49"/>
      <c r="F891" s="49"/>
      <c r="G891" s="49"/>
      <c r="H891" s="49"/>
    </row>
    <row r="892" spans="2:16">
      <c r="B892" s="49"/>
      <c r="C892" s="49"/>
      <c r="D892" s="49"/>
      <c r="E892" s="49"/>
      <c r="F892" s="49"/>
      <c r="G892" s="49"/>
      <c r="H892" s="49"/>
    </row>
    <row r="893" spans="2:16" s="63" customFormat="1">
      <c r="B893" s="49"/>
      <c r="C893" s="49"/>
      <c r="D893" s="49"/>
      <c r="E893" s="49"/>
      <c r="F893" s="49"/>
      <c r="G893" s="49"/>
      <c r="H893" s="49"/>
      <c r="J893" s="49"/>
      <c r="K893" s="49"/>
      <c r="L893" s="49"/>
      <c r="M893" s="49"/>
      <c r="N893" s="49"/>
      <c r="O893" s="49"/>
      <c r="P893" s="49"/>
    </row>
    <row r="894" spans="2:16" s="63" customFormat="1">
      <c r="B894" s="49"/>
      <c r="C894" s="49"/>
      <c r="D894" s="49"/>
      <c r="E894" s="49"/>
      <c r="F894" s="49"/>
      <c r="G894" s="49"/>
      <c r="H894" s="49"/>
    </row>
    <row r="895" spans="2:16" s="63" customFormat="1">
      <c r="B895" s="49"/>
      <c r="C895" s="49"/>
      <c r="D895" s="49"/>
      <c r="E895" s="49"/>
      <c r="F895" s="49"/>
      <c r="G895" s="49"/>
      <c r="H895" s="49"/>
    </row>
    <row r="896" spans="2:16" s="63" customFormat="1">
      <c r="B896" s="49"/>
      <c r="C896" s="49"/>
      <c r="D896" s="49"/>
      <c r="E896" s="49"/>
      <c r="F896" s="49"/>
      <c r="G896" s="49"/>
      <c r="H896" s="49"/>
    </row>
    <row r="897" spans="2:8" s="63" customFormat="1">
      <c r="B897" s="49"/>
      <c r="C897" s="49"/>
      <c r="D897" s="49"/>
      <c r="E897" s="49"/>
      <c r="F897" s="49"/>
      <c r="G897" s="49"/>
      <c r="H897" s="49"/>
    </row>
    <row r="898" spans="2:8" s="63" customFormat="1">
      <c r="B898" s="49"/>
      <c r="C898" s="49"/>
      <c r="D898" s="49"/>
      <c r="E898" s="49"/>
      <c r="F898" s="49"/>
      <c r="G898" s="49"/>
      <c r="H898" s="49"/>
    </row>
    <row r="899" spans="2:8" s="63" customFormat="1">
      <c r="B899" s="49"/>
      <c r="C899" s="49"/>
      <c r="D899" s="49"/>
      <c r="E899" s="49"/>
      <c r="F899" s="49"/>
      <c r="G899" s="49"/>
      <c r="H899" s="49"/>
    </row>
    <row r="900" spans="2:8" s="63" customFormat="1">
      <c r="B900" s="49"/>
      <c r="C900" s="49"/>
      <c r="D900" s="49"/>
      <c r="E900" s="49"/>
      <c r="F900" s="49"/>
      <c r="G900" s="49"/>
      <c r="H900" s="49"/>
    </row>
    <row r="901" spans="2:8" s="63" customFormat="1">
      <c r="B901" s="49"/>
      <c r="C901" s="49"/>
      <c r="D901" s="49"/>
      <c r="E901" s="49"/>
      <c r="F901" s="49"/>
      <c r="G901" s="49"/>
      <c r="H901" s="49"/>
    </row>
    <row r="902" spans="2:8" s="63" customFormat="1">
      <c r="B902" s="49"/>
      <c r="C902" s="49"/>
      <c r="D902" s="49"/>
      <c r="E902" s="49"/>
      <c r="F902" s="49"/>
      <c r="G902" s="49"/>
      <c r="H902" s="49"/>
    </row>
    <row r="903" spans="2:8" s="63" customFormat="1">
      <c r="B903" s="49"/>
      <c r="C903" s="49"/>
      <c r="D903" s="49"/>
      <c r="E903" s="49"/>
      <c r="F903" s="49"/>
      <c r="G903" s="49"/>
      <c r="H903" s="49"/>
    </row>
    <row r="904" spans="2:8" s="63" customFormat="1">
      <c r="B904" s="49"/>
      <c r="C904" s="49"/>
      <c r="D904" s="49"/>
      <c r="E904" s="49"/>
      <c r="F904" s="49"/>
      <c r="G904" s="49"/>
      <c r="H904" s="49"/>
    </row>
    <row r="905" spans="2:8" s="63" customFormat="1">
      <c r="B905" s="49"/>
      <c r="C905" s="49"/>
      <c r="D905" s="49"/>
      <c r="E905" s="49"/>
      <c r="F905" s="49"/>
      <c r="G905" s="49"/>
      <c r="H905" s="49"/>
    </row>
    <row r="906" spans="2:8" s="63" customFormat="1">
      <c r="B906" s="49"/>
      <c r="C906" s="49"/>
      <c r="D906" s="49"/>
      <c r="E906" s="49"/>
      <c r="F906" s="49"/>
      <c r="G906" s="49"/>
      <c r="H906" s="49"/>
    </row>
    <row r="907" spans="2:8" s="63" customFormat="1">
      <c r="B907" s="49"/>
      <c r="C907" s="49"/>
      <c r="D907" s="49"/>
      <c r="E907" s="49"/>
      <c r="F907" s="49"/>
      <c r="G907" s="49"/>
      <c r="H907" s="49"/>
    </row>
    <row r="908" spans="2:8" s="63" customFormat="1">
      <c r="B908" s="49"/>
      <c r="C908" s="49"/>
      <c r="D908" s="49"/>
      <c r="E908" s="49"/>
      <c r="F908" s="49"/>
      <c r="G908" s="49"/>
      <c r="H908" s="49"/>
    </row>
    <row r="909" spans="2:8" s="63" customFormat="1">
      <c r="B909" s="49"/>
      <c r="C909" s="49"/>
      <c r="D909" s="49"/>
      <c r="E909" s="49"/>
      <c r="F909" s="49"/>
      <c r="G909" s="49"/>
      <c r="H909" s="49"/>
    </row>
    <row r="910" spans="2:8" s="63" customFormat="1">
      <c r="B910" s="49"/>
      <c r="C910" s="49"/>
      <c r="D910" s="49"/>
      <c r="E910" s="49"/>
      <c r="F910" s="49"/>
      <c r="G910" s="49"/>
      <c r="H910" s="49"/>
    </row>
    <row r="911" spans="2:8" s="63" customFormat="1">
      <c r="B911" s="49"/>
      <c r="C911" s="49"/>
      <c r="D911" s="49"/>
      <c r="E911" s="49"/>
      <c r="F911" s="49"/>
      <c r="G911" s="49"/>
      <c r="H911" s="49"/>
    </row>
    <row r="912" spans="2:8" s="63" customFormat="1">
      <c r="B912" s="49"/>
      <c r="C912" s="49"/>
      <c r="D912" s="49"/>
      <c r="E912" s="49"/>
      <c r="F912" s="49"/>
      <c r="G912" s="49"/>
      <c r="H912" s="49"/>
    </row>
    <row r="913" spans="2:8" s="63" customFormat="1">
      <c r="B913" s="49"/>
      <c r="C913" s="49"/>
      <c r="D913" s="49"/>
      <c r="E913" s="49"/>
      <c r="F913" s="49"/>
      <c r="G913" s="49"/>
      <c r="H913" s="49"/>
    </row>
    <row r="914" spans="2:8" s="63" customFormat="1">
      <c r="B914" s="49"/>
      <c r="C914" s="49"/>
      <c r="D914" s="49"/>
      <c r="E914" s="49"/>
      <c r="F914" s="49"/>
      <c r="G914" s="49"/>
      <c r="H914" s="49"/>
    </row>
    <row r="915" spans="2:8" s="63" customFormat="1">
      <c r="B915" s="49"/>
      <c r="C915" s="49"/>
      <c r="D915" s="49"/>
      <c r="E915" s="49"/>
      <c r="F915" s="49"/>
      <c r="G915" s="49"/>
      <c r="H915" s="49"/>
    </row>
    <row r="916" spans="2:8" s="63" customFormat="1">
      <c r="B916" s="49"/>
      <c r="C916" s="49"/>
      <c r="D916" s="49"/>
      <c r="E916" s="49"/>
      <c r="F916" s="49"/>
      <c r="G916" s="49"/>
      <c r="H916" s="49"/>
    </row>
    <row r="917" spans="2:8" s="63" customFormat="1">
      <c r="B917" s="49"/>
      <c r="C917" s="49"/>
      <c r="D917" s="49"/>
      <c r="E917" s="49"/>
      <c r="F917" s="49"/>
      <c r="G917" s="49"/>
      <c r="H917" s="49"/>
    </row>
    <row r="918" spans="2:8" s="63" customFormat="1">
      <c r="B918" s="49"/>
      <c r="C918" s="49"/>
      <c r="D918" s="49"/>
      <c r="E918" s="49"/>
      <c r="F918" s="49"/>
      <c r="G918" s="49"/>
      <c r="H918" s="49"/>
    </row>
    <row r="919" spans="2:8" s="63" customFormat="1">
      <c r="B919" s="49"/>
      <c r="C919" s="49"/>
      <c r="D919" s="49"/>
      <c r="E919" s="49"/>
      <c r="F919" s="49"/>
      <c r="G919" s="49"/>
      <c r="H919" s="49"/>
    </row>
    <row r="920" spans="2:8" s="63" customFormat="1">
      <c r="B920" s="49"/>
      <c r="C920" s="49"/>
      <c r="D920" s="49"/>
      <c r="E920" s="49"/>
      <c r="F920" s="49"/>
      <c r="G920" s="49"/>
      <c r="H920" s="49"/>
    </row>
    <row r="921" spans="2:8" s="63" customFormat="1">
      <c r="B921" s="49"/>
      <c r="C921" s="49"/>
      <c r="D921" s="49"/>
      <c r="E921" s="49"/>
      <c r="F921" s="49"/>
      <c r="G921" s="49"/>
      <c r="H921" s="49"/>
    </row>
    <row r="922" spans="2:8" s="63" customFormat="1">
      <c r="B922" s="49"/>
      <c r="C922" s="49"/>
      <c r="D922" s="49"/>
      <c r="E922" s="49"/>
      <c r="F922" s="49"/>
      <c r="G922" s="49"/>
      <c r="H922" s="49"/>
    </row>
    <row r="923" spans="2:8" s="63" customFormat="1">
      <c r="B923" s="49"/>
      <c r="C923" s="49"/>
      <c r="D923" s="49"/>
      <c r="E923" s="49"/>
      <c r="F923" s="49"/>
      <c r="G923" s="49"/>
      <c r="H923" s="49"/>
    </row>
    <row r="924" spans="2:8" s="63" customFormat="1">
      <c r="B924" s="49"/>
      <c r="C924" s="49"/>
      <c r="D924" s="49"/>
      <c r="E924" s="49"/>
      <c r="F924" s="49"/>
      <c r="G924" s="49"/>
      <c r="H924" s="49"/>
    </row>
    <row r="925" spans="2:8" s="63" customFormat="1">
      <c r="B925" s="49"/>
      <c r="C925" s="49"/>
      <c r="D925" s="49"/>
      <c r="E925" s="49"/>
      <c r="F925" s="49"/>
      <c r="G925" s="49"/>
      <c r="H925" s="49"/>
    </row>
    <row r="926" spans="2:8" s="63" customFormat="1">
      <c r="B926" s="49"/>
      <c r="C926" s="49"/>
      <c r="D926" s="49"/>
      <c r="E926" s="49"/>
      <c r="F926" s="49"/>
      <c r="G926" s="49"/>
      <c r="H926" s="49"/>
    </row>
    <row r="927" spans="2:8" s="63" customFormat="1">
      <c r="B927" s="49"/>
      <c r="C927" s="49"/>
      <c r="D927" s="49"/>
      <c r="E927" s="49"/>
      <c r="F927" s="49"/>
      <c r="G927" s="49"/>
      <c r="H927" s="49"/>
    </row>
    <row r="928" spans="2:8" s="63" customFormat="1">
      <c r="B928" s="49"/>
      <c r="C928" s="49"/>
      <c r="D928" s="49"/>
      <c r="E928" s="49"/>
      <c r="F928" s="49"/>
      <c r="G928" s="49"/>
      <c r="H928" s="49"/>
    </row>
    <row r="929" spans="2:8" s="63" customFormat="1">
      <c r="B929" s="49"/>
      <c r="C929" s="49"/>
      <c r="D929" s="49"/>
      <c r="E929" s="49"/>
      <c r="F929" s="49"/>
      <c r="G929" s="49"/>
      <c r="H929" s="49"/>
    </row>
    <row r="930" spans="2:8" s="63" customFormat="1">
      <c r="B930" s="49"/>
      <c r="C930" s="49"/>
      <c r="D930" s="49"/>
      <c r="E930" s="49"/>
      <c r="F930" s="49"/>
      <c r="G930" s="49"/>
      <c r="H930" s="49"/>
    </row>
    <row r="931" spans="2:8" s="63" customFormat="1">
      <c r="B931" s="49"/>
      <c r="C931" s="49"/>
      <c r="D931" s="49"/>
      <c r="E931" s="49"/>
      <c r="F931" s="49"/>
      <c r="G931" s="49"/>
      <c r="H931" s="49"/>
    </row>
    <row r="932" spans="2:8" s="63" customFormat="1">
      <c r="B932" s="49"/>
      <c r="C932" s="49"/>
      <c r="D932" s="49"/>
      <c r="E932" s="49"/>
      <c r="F932" s="49"/>
      <c r="G932" s="49"/>
      <c r="H932" s="49"/>
    </row>
    <row r="933" spans="2:8" s="63" customFormat="1">
      <c r="B933" s="49"/>
      <c r="C933" s="49"/>
      <c r="D933" s="49"/>
      <c r="E933" s="49"/>
      <c r="F933" s="49"/>
      <c r="G933" s="49"/>
      <c r="H933" s="49"/>
    </row>
    <row r="934" spans="2:8" s="63" customFormat="1">
      <c r="B934" s="49"/>
      <c r="C934" s="49"/>
      <c r="D934" s="49"/>
      <c r="E934" s="49"/>
      <c r="F934" s="49"/>
      <c r="G934" s="49"/>
      <c r="H934" s="49"/>
    </row>
    <row r="935" spans="2:8" s="63" customFormat="1">
      <c r="B935" s="49"/>
      <c r="C935" s="49"/>
      <c r="D935" s="49"/>
      <c r="E935" s="49"/>
      <c r="F935" s="49"/>
      <c r="G935" s="49"/>
      <c r="H935" s="49"/>
    </row>
    <row r="936" spans="2:8" s="63" customFormat="1">
      <c r="B936" s="49"/>
      <c r="C936" s="49"/>
      <c r="D936" s="49"/>
      <c r="E936" s="49"/>
      <c r="F936" s="49"/>
      <c r="G936" s="49"/>
      <c r="H936" s="49"/>
    </row>
    <row r="937" spans="2:8" s="63" customFormat="1">
      <c r="B937" s="49"/>
      <c r="C937" s="49"/>
      <c r="D937" s="49"/>
      <c r="E937" s="49"/>
      <c r="F937" s="49"/>
      <c r="G937" s="49"/>
      <c r="H937" s="49"/>
    </row>
    <row r="938" spans="2:8" s="63" customFormat="1">
      <c r="B938" s="49"/>
      <c r="C938" s="49"/>
      <c r="D938" s="49"/>
      <c r="E938" s="49"/>
      <c r="F938" s="49"/>
      <c r="G938" s="49"/>
      <c r="H938" s="49"/>
    </row>
    <row r="939" spans="2:8" s="63" customFormat="1">
      <c r="B939" s="49"/>
      <c r="C939" s="49"/>
      <c r="D939" s="49"/>
      <c r="E939" s="49"/>
      <c r="F939" s="49"/>
      <c r="G939" s="49"/>
      <c r="H939" s="49"/>
    </row>
    <row r="940" spans="2:8" s="63" customFormat="1">
      <c r="B940" s="49"/>
      <c r="C940" s="49"/>
      <c r="D940" s="49"/>
      <c r="E940" s="49"/>
      <c r="F940" s="49"/>
      <c r="G940" s="49"/>
      <c r="H940" s="49"/>
    </row>
    <row r="941" spans="2:8" s="63" customFormat="1">
      <c r="B941" s="49"/>
      <c r="C941" s="49"/>
      <c r="D941" s="49"/>
      <c r="E941" s="49"/>
      <c r="F941" s="49"/>
      <c r="G941" s="49"/>
      <c r="H941" s="49"/>
    </row>
    <row r="942" spans="2:8" s="63" customFormat="1">
      <c r="B942" s="49"/>
      <c r="C942" s="49"/>
      <c r="D942" s="49"/>
      <c r="E942" s="49"/>
      <c r="F942" s="49"/>
      <c r="G942" s="49"/>
      <c r="H942" s="49"/>
    </row>
    <row r="943" spans="2:8" s="63" customFormat="1">
      <c r="B943" s="49"/>
      <c r="C943" s="49"/>
      <c r="D943" s="49"/>
      <c r="E943" s="49"/>
      <c r="F943" s="49"/>
      <c r="G943" s="49"/>
      <c r="H943" s="49"/>
    </row>
    <row r="944" spans="2:8" s="63" customFormat="1">
      <c r="B944" s="49"/>
      <c r="C944" s="49"/>
      <c r="D944" s="49"/>
      <c r="E944" s="49"/>
      <c r="F944" s="49"/>
      <c r="G944" s="49"/>
      <c r="H944" s="49"/>
    </row>
    <row r="945" spans="2:8" s="63" customFormat="1">
      <c r="B945" s="49"/>
      <c r="C945" s="49"/>
      <c r="D945" s="49"/>
      <c r="E945" s="49"/>
      <c r="F945" s="49"/>
      <c r="G945" s="49"/>
      <c r="H945" s="49"/>
    </row>
    <row r="946" spans="2:8" s="63" customFormat="1">
      <c r="B946" s="49"/>
      <c r="C946" s="49"/>
      <c r="D946" s="49"/>
      <c r="E946" s="49"/>
      <c r="F946" s="49"/>
      <c r="G946" s="49"/>
      <c r="H946" s="49"/>
    </row>
    <row r="947" spans="2:8" s="63" customFormat="1">
      <c r="B947" s="49"/>
      <c r="C947" s="49"/>
      <c r="D947" s="49"/>
      <c r="E947" s="49"/>
      <c r="F947" s="49"/>
      <c r="G947" s="49"/>
      <c r="H947" s="49"/>
    </row>
    <row r="948" spans="2:8" s="63" customFormat="1">
      <c r="B948" s="49"/>
      <c r="C948" s="49"/>
      <c r="D948" s="49"/>
      <c r="E948" s="49"/>
      <c r="F948" s="49"/>
      <c r="G948" s="49"/>
      <c r="H948" s="49"/>
    </row>
    <row r="949" spans="2:8" s="63" customFormat="1">
      <c r="B949" s="49"/>
      <c r="C949" s="49"/>
      <c r="D949" s="49"/>
      <c r="E949" s="49"/>
      <c r="F949" s="49"/>
      <c r="G949" s="49"/>
      <c r="H949" s="49"/>
    </row>
    <row r="950" spans="2:8" s="63" customFormat="1">
      <c r="B950" s="49"/>
      <c r="C950" s="49"/>
      <c r="D950" s="49"/>
      <c r="E950" s="49"/>
      <c r="F950" s="49"/>
      <c r="G950" s="49"/>
      <c r="H950" s="49"/>
    </row>
    <row r="951" spans="2:8" s="63" customFormat="1">
      <c r="B951" s="49"/>
      <c r="C951" s="49"/>
      <c r="D951" s="49"/>
      <c r="E951" s="49"/>
      <c r="F951" s="49"/>
      <c r="G951" s="49"/>
      <c r="H951" s="49"/>
    </row>
    <row r="952" spans="2:8" s="63" customFormat="1">
      <c r="B952" s="49"/>
      <c r="C952" s="49"/>
      <c r="D952" s="49"/>
      <c r="E952" s="49"/>
      <c r="F952" s="49"/>
      <c r="G952" s="49"/>
      <c r="H952" s="49"/>
    </row>
    <row r="953" spans="2:8" s="63" customFormat="1">
      <c r="B953" s="49"/>
      <c r="C953" s="49"/>
      <c r="D953" s="49"/>
      <c r="E953" s="49"/>
      <c r="F953" s="49"/>
      <c r="G953" s="49"/>
      <c r="H953" s="49"/>
    </row>
    <row r="954" spans="2:8" s="63" customFormat="1">
      <c r="B954" s="49"/>
      <c r="C954" s="49"/>
      <c r="D954" s="49"/>
      <c r="E954" s="49"/>
      <c r="F954" s="49"/>
      <c r="G954" s="49"/>
      <c r="H954" s="49"/>
    </row>
    <row r="955" spans="2:8" s="63" customFormat="1">
      <c r="B955" s="49"/>
      <c r="C955" s="49"/>
      <c r="D955" s="49"/>
      <c r="E955" s="49"/>
      <c r="F955" s="49"/>
      <c r="G955" s="49"/>
      <c r="H955" s="49"/>
    </row>
    <row r="956" spans="2:8" s="63" customFormat="1">
      <c r="B956" s="49"/>
      <c r="C956" s="49"/>
      <c r="D956" s="49"/>
      <c r="E956" s="49"/>
      <c r="F956" s="49"/>
      <c r="G956" s="49"/>
      <c r="H956" s="49"/>
    </row>
    <row r="957" spans="2:8" s="63" customFormat="1">
      <c r="B957" s="49"/>
      <c r="C957" s="49"/>
      <c r="D957" s="49"/>
      <c r="E957" s="49"/>
      <c r="F957" s="49"/>
      <c r="G957" s="49"/>
      <c r="H957" s="49"/>
    </row>
    <row r="958" spans="2:8" s="63" customFormat="1">
      <c r="B958" s="49"/>
      <c r="C958" s="49"/>
      <c r="D958" s="49"/>
      <c r="E958" s="49"/>
      <c r="F958" s="49"/>
      <c r="G958" s="49"/>
      <c r="H958" s="49"/>
    </row>
    <row r="959" spans="2:8" s="63" customFormat="1">
      <c r="B959" s="49"/>
      <c r="C959" s="49"/>
      <c r="D959" s="49"/>
      <c r="E959" s="49"/>
      <c r="F959" s="49"/>
      <c r="G959" s="49"/>
      <c r="H959" s="49"/>
    </row>
    <row r="960" spans="2:8" s="63" customFormat="1">
      <c r="B960" s="49"/>
      <c r="C960" s="49"/>
      <c r="D960" s="49"/>
      <c r="E960" s="49"/>
      <c r="F960" s="49"/>
      <c r="G960" s="49"/>
      <c r="H960" s="49"/>
    </row>
    <row r="961" spans="2:8" s="63" customFormat="1">
      <c r="B961" s="49"/>
      <c r="C961" s="49"/>
      <c r="D961" s="49"/>
      <c r="E961" s="49"/>
      <c r="F961" s="49"/>
      <c r="G961" s="49"/>
      <c r="H961" s="49"/>
    </row>
    <row r="962" spans="2:8" s="63" customFormat="1">
      <c r="B962" s="49"/>
      <c r="C962" s="49"/>
      <c r="D962" s="49"/>
      <c r="E962" s="49"/>
      <c r="F962" s="49"/>
      <c r="G962" s="49"/>
      <c r="H962" s="49"/>
    </row>
    <row r="963" spans="2:8" s="63" customFormat="1">
      <c r="B963" s="49"/>
      <c r="C963" s="49"/>
      <c r="D963" s="49"/>
      <c r="E963" s="49"/>
      <c r="F963" s="49"/>
      <c r="G963" s="49"/>
      <c r="H963" s="49"/>
    </row>
    <row r="964" spans="2:8" s="63" customFormat="1">
      <c r="B964" s="49"/>
      <c r="C964" s="49"/>
      <c r="D964" s="49"/>
      <c r="E964" s="49"/>
      <c r="F964" s="49"/>
      <c r="G964" s="49"/>
      <c r="H964" s="49"/>
    </row>
    <row r="965" spans="2:8" s="63" customFormat="1">
      <c r="B965" s="49"/>
      <c r="C965" s="49"/>
      <c r="D965" s="49"/>
      <c r="E965" s="49"/>
      <c r="F965" s="49"/>
      <c r="G965" s="49"/>
      <c r="H965" s="49"/>
    </row>
    <row r="966" spans="2:8" s="63" customFormat="1">
      <c r="B966" s="49"/>
      <c r="C966" s="49"/>
      <c r="D966" s="49"/>
      <c r="E966" s="49"/>
      <c r="F966" s="49"/>
      <c r="G966" s="49"/>
      <c r="H966" s="49"/>
    </row>
    <row r="967" spans="2:8" s="63" customFormat="1">
      <c r="B967" s="49"/>
      <c r="C967" s="49"/>
      <c r="D967" s="49"/>
      <c r="E967" s="49"/>
      <c r="F967" s="49"/>
      <c r="G967" s="49"/>
      <c r="H967" s="49"/>
    </row>
    <row r="968" spans="2:8" s="63" customFormat="1">
      <c r="B968" s="49"/>
      <c r="C968" s="49"/>
      <c r="D968" s="49"/>
      <c r="E968" s="49"/>
      <c r="F968" s="49"/>
      <c r="G968" s="49"/>
      <c r="H968" s="49"/>
    </row>
    <row r="969" spans="2:8" s="63" customFormat="1">
      <c r="B969" s="49"/>
      <c r="C969" s="49"/>
      <c r="D969" s="49"/>
      <c r="E969" s="49"/>
      <c r="F969" s="49"/>
      <c r="G969" s="49"/>
      <c r="H969" s="49"/>
    </row>
    <row r="970" spans="2:8" s="63" customFormat="1">
      <c r="B970" s="49"/>
      <c r="C970" s="49"/>
      <c r="D970" s="49"/>
      <c r="E970" s="49"/>
      <c r="F970" s="49"/>
      <c r="G970" s="49"/>
      <c r="H970" s="49"/>
    </row>
    <row r="971" spans="2:8" s="63" customFormat="1">
      <c r="B971" s="49"/>
      <c r="C971" s="49"/>
      <c r="D971" s="49"/>
      <c r="E971" s="49"/>
      <c r="F971" s="49"/>
      <c r="G971" s="49"/>
      <c r="H971" s="49"/>
    </row>
    <row r="972" spans="2:8" s="63" customFormat="1">
      <c r="B972" s="49"/>
      <c r="C972" s="49"/>
      <c r="D972" s="49"/>
      <c r="E972" s="49"/>
      <c r="F972" s="49"/>
      <c r="G972" s="49"/>
      <c r="H972" s="49"/>
    </row>
    <row r="973" spans="2:8" s="63" customFormat="1">
      <c r="B973" s="49"/>
      <c r="C973" s="49"/>
      <c r="D973" s="49"/>
      <c r="E973" s="49"/>
      <c r="F973" s="49"/>
      <c r="G973" s="49"/>
      <c r="H973" s="49"/>
    </row>
    <row r="974" spans="2:8" s="63" customFormat="1">
      <c r="B974" s="49"/>
      <c r="C974" s="49"/>
      <c r="D974" s="49"/>
      <c r="E974" s="49"/>
      <c r="F974" s="49"/>
      <c r="G974" s="49"/>
      <c r="H974" s="49"/>
    </row>
    <row r="975" spans="2:8" s="63" customFormat="1">
      <c r="B975" s="49"/>
      <c r="C975" s="49"/>
      <c r="D975" s="49"/>
      <c r="E975" s="49"/>
      <c r="F975" s="49"/>
      <c r="G975" s="49"/>
      <c r="H975" s="49"/>
    </row>
    <row r="976" spans="2:8" s="63" customFormat="1">
      <c r="B976" s="49"/>
      <c r="C976" s="49"/>
      <c r="D976" s="49"/>
      <c r="E976" s="49"/>
      <c r="F976" s="49"/>
      <c r="G976" s="49"/>
      <c r="H976" s="49"/>
    </row>
    <row r="977" spans="2:8" s="63" customFormat="1">
      <c r="B977" s="49"/>
      <c r="C977" s="49"/>
      <c r="D977" s="49"/>
      <c r="E977" s="49"/>
      <c r="F977" s="49"/>
      <c r="G977" s="49"/>
      <c r="H977" s="49"/>
    </row>
    <row r="978" spans="2:8" s="63" customFormat="1">
      <c r="B978" s="49"/>
      <c r="C978" s="49"/>
      <c r="D978" s="49"/>
      <c r="E978" s="49"/>
      <c r="F978" s="49"/>
      <c r="G978" s="49"/>
      <c r="H978" s="49"/>
    </row>
    <row r="979" spans="2:8" s="63" customFormat="1">
      <c r="B979" s="49"/>
      <c r="C979" s="49"/>
      <c r="D979" s="49"/>
      <c r="E979" s="49"/>
      <c r="F979" s="49"/>
      <c r="G979" s="49"/>
      <c r="H979" s="49"/>
    </row>
    <row r="980" spans="2:8" s="63" customFormat="1">
      <c r="B980" s="49"/>
      <c r="C980" s="49"/>
      <c r="D980" s="49"/>
      <c r="E980" s="49"/>
      <c r="F980" s="49"/>
      <c r="G980" s="49"/>
      <c r="H980" s="49"/>
    </row>
    <row r="981" spans="2:8" s="63" customFormat="1">
      <c r="B981" s="49"/>
      <c r="C981" s="49"/>
      <c r="D981" s="49"/>
      <c r="E981" s="49"/>
      <c r="F981" s="49"/>
      <c r="G981" s="49"/>
      <c r="H981" s="49"/>
    </row>
    <row r="982" spans="2:8" s="63" customFormat="1">
      <c r="B982" s="49"/>
      <c r="C982" s="49"/>
      <c r="D982" s="49"/>
      <c r="E982" s="49"/>
      <c r="F982" s="49"/>
      <c r="G982" s="49"/>
      <c r="H982" s="49"/>
    </row>
    <row r="983" spans="2:8" s="63" customFormat="1">
      <c r="B983" s="49"/>
      <c r="C983" s="49"/>
      <c r="D983" s="49"/>
      <c r="E983" s="49"/>
      <c r="F983" s="49"/>
      <c r="G983" s="49"/>
      <c r="H983" s="49"/>
    </row>
    <row r="984" spans="2:8" s="63" customFormat="1">
      <c r="B984" s="49"/>
      <c r="C984" s="49"/>
      <c r="D984" s="49"/>
      <c r="E984" s="49"/>
      <c r="F984" s="49"/>
      <c r="G984" s="49"/>
      <c r="H984" s="49"/>
    </row>
    <row r="985" spans="2:8" s="63" customFormat="1">
      <c r="B985" s="49"/>
      <c r="C985" s="49"/>
      <c r="D985" s="49"/>
      <c r="E985" s="49"/>
      <c r="F985" s="49"/>
      <c r="G985" s="49"/>
      <c r="H985" s="49"/>
    </row>
    <row r="986" spans="2:8" s="63" customFormat="1">
      <c r="B986" s="49"/>
      <c r="C986" s="49"/>
      <c r="D986" s="49"/>
      <c r="E986" s="49"/>
      <c r="F986" s="49"/>
      <c r="G986" s="49"/>
      <c r="H986" s="49"/>
    </row>
    <row r="987" spans="2:8" s="63" customFormat="1">
      <c r="B987" s="49"/>
      <c r="C987" s="49"/>
      <c r="D987" s="49"/>
      <c r="E987" s="49"/>
      <c r="F987" s="49"/>
      <c r="G987" s="49"/>
      <c r="H987" s="49"/>
    </row>
    <row r="988" spans="2:8" s="63" customFormat="1">
      <c r="B988" s="49"/>
      <c r="C988" s="49"/>
      <c r="D988" s="49"/>
      <c r="E988" s="49"/>
      <c r="F988" s="49"/>
      <c r="G988" s="49"/>
      <c r="H988" s="49"/>
    </row>
    <row r="989" spans="2:8" s="63" customFormat="1">
      <c r="B989" s="49"/>
      <c r="C989" s="49"/>
      <c r="D989" s="49"/>
      <c r="E989" s="49"/>
      <c r="F989" s="49"/>
      <c r="G989" s="49"/>
      <c r="H989" s="49"/>
    </row>
    <row r="990" spans="2:8" s="63" customFormat="1">
      <c r="B990" s="49"/>
      <c r="C990" s="49"/>
      <c r="D990" s="49"/>
      <c r="E990" s="49"/>
      <c r="F990" s="49"/>
      <c r="G990" s="49"/>
      <c r="H990" s="49"/>
    </row>
    <row r="991" spans="2:8" s="63" customFormat="1">
      <c r="B991" s="49"/>
      <c r="C991" s="49"/>
      <c r="D991" s="49"/>
      <c r="E991" s="49"/>
      <c r="F991" s="49"/>
      <c r="G991" s="49"/>
      <c r="H991" s="49"/>
    </row>
    <row r="992" spans="2:8" s="63" customFormat="1">
      <c r="B992" s="49"/>
      <c r="C992" s="49"/>
      <c r="D992" s="49"/>
      <c r="E992" s="49"/>
      <c r="F992" s="49"/>
      <c r="G992" s="49"/>
      <c r="H992" s="49"/>
    </row>
    <row r="993" spans="2:8" s="63" customFormat="1">
      <c r="B993" s="49"/>
      <c r="C993" s="49"/>
      <c r="D993" s="49"/>
      <c r="E993" s="49"/>
      <c r="F993" s="49"/>
      <c r="G993" s="49"/>
      <c r="H993" s="49"/>
    </row>
    <row r="994" spans="2:8" s="63" customFormat="1">
      <c r="B994" s="49"/>
      <c r="C994" s="49"/>
      <c r="D994" s="49"/>
      <c r="E994" s="49"/>
      <c r="F994" s="49"/>
      <c r="G994" s="49"/>
      <c r="H994" s="49"/>
    </row>
    <row r="995" spans="2:8" s="63" customFormat="1">
      <c r="B995" s="49"/>
      <c r="C995" s="49"/>
      <c r="D995" s="49"/>
      <c r="E995" s="49"/>
      <c r="F995" s="49"/>
      <c r="G995" s="49"/>
      <c r="H995" s="49"/>
    </row>
    <row r="996" spans="2:8" s="63" customFormat="1">
      <c r="B996" s="49"/>
      <c r="C996" s="49"/>
      <c r="D996" s="49"/>
      <c r="E996" s="49"/>
      <c r="F996" s="49"/>
      <c r="G996" s="49"/>
      <c r="H996" s="49"/>
    </row>
    <row r="997" spans="2:8" s="63" customFormat="1">
      <c r="B997" s="49"/>
      <c r="C997" s="49"/>
      <c r="D997" s="49"/>
      <c r="E997" s="49"/>
      <c r="F997" s="49"/>
      <c r="G997" s="49"/>
      <c r="H997" s="49"/>
    </row>
    <row r="998" spans="2:8" s="63" customFormat="1">
      <c r="B998" s="49"/>
      <c r="C998" s="49"/>
      <c r="D998" s="49"/>
      <c r="E998" s="49"/>
      <c r="F998" s="49"/>
      <c r="G998" s="49"/>
      <c r="H998" s="49"/>
    </row>
    <row r="999" spans="2:8" s="63" customFormat="1">
      <c r="B999" s="49"/>
      <c r="C999" s="49"/>
      <c r="D999" s="49"/>
      <c r="E999" s="49"/>
      <c r="F999" s="49"/>
      <c r="G999" s="49"/>
      <c r="H999" s="49"/>
    </row>
    <row r="1000" spans="2:8" s="63" customFormat="1">
      <c r="B1000" s="49"/>
      <c r="C1000" s="49"/>
      <c r="D1000" s="49"/>
      <c r="E1000" s="49"/>
      <c r="F1000" s="49"/>
      <c r="G1000" s="49"/>
      <c r="H1000" s="49"/>
    </row>
    <row r="1001" spans="2:8" s="63" customFormat="1">
      <c r="B1001" s="49"/>
      <c r="C1001" s="49"/>
      <c r="D1001" s="49"/>
      <c r="E1001" s="49"/>
      <c r="F1001" s="49"/>
      <c r="G1001" s="49"/>
      <c r="H1001" s="49"/>
    </row>
    <row r="1002" spans="2:8" s="63" customFormat="1">
      <c r="B1002" s="49"/>
      <c r="C1002" s="49"/>
      <c r="D1002" s="49"/>
      <c r="E1002" s="49"/>
      <c r="F1002" s="49"/>
      <c r="G1002" s="49"/>
      <c r="H1002" s="49"/>
    </row>
    <row r="1003" spans="2:8" s="63" customFormat="1">
      <c r="B1003" s="49"/>
      <c r="C1003" s="49"/>
      <c r="D1003" s="49"/>
      <c r="E1003" s="49"/>
      <c r="F1003" s="49"/>
      <c r="G1003" s="49"/>
      <c r="H1003" s="49"/>
    </row>
    <row r="1004" spans="2:8" s="63" customFormat="1">
      <c r="B1004" s="49"/>
      <c r="C1004" s="49"/>
      <c r="D1004" s="49"/>
      <c r="E1004" s="49"/>
      <c r="F1004" s="49"/>
      <c r="G1004" s="49"/>
      <c r="H1004" s="49"/>
    </row>
    <row r="1005" spans="2:8" s="63" customFormat="1">
      <c r="B1005" s="49"/>
      <c r="C1005" s="49"/>
      <c r="D1005" s="49"/>
      <c r="E1005" s="49"/>
      <c r="F1005" s="49"/>
      <c r="G1005" s="49"/>
      <c r="H1005" s="49"/>
    </row>
    <row r="1006" spans="2:8" s="63" customFormat="1">
      <c r="B1006" s="49"/>
      <c r="C1006" s="49"/>
      <c r="D1006" s="49"/>
      <c r="E1006" s="49"/>
      <c r="F1006" s="49"/>
      <c r="G1006" s="49"/>
      <c r="H1006" s="49"/>
    </row>
    <row r="1007" spans="2:8" s="63" customFormat="1">
      <c r="B1007" s="49"/>
      <c r="C1007" s="49"/>
      <c r="D1007" s="49"/>
      <c r="E1007" s="49"/>
      <c r="F1007" s="49"/>
      <c r="G1007" s="49"/>
      <c r="H1007" s="49"/>
    </row>
    <row r="1008" spans="2:8" s="63" customFormat="1">
      <c r="B1008" s="49"/>
      <c r="C1008" s="49"/>
      <c r="D1008" s="49"/>
      <c r="E1008" s="49"/>
      <c r="F1008" s="49"/>
      <c r="G1008" s="49"/>
      <c r="H1008" s="49"/>
    </row>
    <row r="1009" spans="2:8" s="63" customFormat="1">
      <c r="B1009" s="49"/>
      <c r="C1009" s="49"/>
      <c r="D1009" s="49"/>
      <c r="E1009" s="49"/>
      <c r="F1009" s="49"/>
      <c r="G1009" s="49"/>
      <c r="H1009" s="49"/>
    </row>
    <row r="1010" spans="2:8" s="63" customFormat="1">
      <c r="B1010" s="49"/>
      <c r="C1010" s="49"/>
      <c r="D1010" s="49"/>
      <c r="E1010" s="49"/>
      <c r="F1010" s="49"/>
      <c r="G1010" s="49"/>
      <c r="H1010" s="49"/>
    </row>
    <row r="1011" spans="2:8" s="63" customFormat="1">
      <c r="B1011" s="49"/>
      <c r="C1011" s="49"/>
      <c r="D1011" s="49"/>
      <c r="E1011" s="49"/>
      <c r="F1011" s="49"/>
      <c r="G1011" s="49"/>
      <c r="H1011" s="49"/>
    </row>
    <row r="1012" spans="2:8" s="63" customFormat="1">
      <c r="B1012" s="49"/>
      <c r="C1012" s="49"/>
      <c r="D1012" s="49"/>
      <c r="E1012" s="49"/>
      <c r="F1012" s="49"/>
      <c r="G1012" s="49"/>
      <c r="H1012" s="49"/>
    </row>
    <row r="1013" spans="2:8" s="63" customFormat="1">
      <c r="B1013" s="49"/>
      <c r="C1013" s="49"/>
      <c r="D1013" s="49"/>
      <c r="E1013" s="49"/>
      <c r="F1013" s="49"/>
      <c r="G1013" s="49"/>
      <c r="H1013" s="49"/>
    </row>
    <row r="1014" spans="2:8" s="63" customFormat="1">
      <c r="B1014" s="49"/>
      <c r="C1014" s="49"/>
      <c r="D1014" s="49"/>
      <c r="E1014" s="49"/>
      <c r="F1014" s="49"/>
      <c r="G1014" s="49"/>
      <c r="H1014" s="49"/>
    </row>
    <row r="1015" spans="2:8" s="63" customFormat="1">
      <c r="B1015" s="49"/>
      <c r="C1015" s="49"/>
      <c r="D1015" s="49"/>
      <c r="E1015" s="49"/>
      <c r="F1015" s="49"/>
      <c r="G1015" s="49"/>
      <c r="H1015" s="49"/>
    </row>
    <row r="1016" spans="2:8" s="63" customFormat="1">
      <c r="B1016" s="49"/>
      <c r="C1016" s="49"/>
      <c r="D1016" s="49"/>
      <c r="E1016" s="49"/>
      <c r="F1016" s="49"/>
      <c r="G1016" s="49"/>
      <c r="H1016" s="49"/>
    </row>
    <row r="1017" spans="2:8" s="63" customFormat="1">
      <c r="B1017" s="49"/>
      <c r="C1017" s="49"/>
      <c r="D1017" s="49"/>
      <c r="E1017" s="49"/>
      <c r="F1017" s="49"/>
      <c r="G1017" s="49"/>
      <c r="H1017" s="49"/>
    </row>
    <row r="1018" spans="2:8" s="63" customFormat="1">
      <c r="B1018" s="49"/>
      <c r="C1018" s="49"/>
      <c r="D1018" s="49"/>
      <c r="E1018" s="49"/>
      <c r="F1018" s="49"/>
      <c r="G1018" s="49"/>
      <c r="H1018" s="49"/>
    </row>
    <row r="1019" spans="2:8" s="63" customFormat="1">
      <c r="B1019" s="49"/>
      <c r="C1019" s="49"/>
      <c r="D1019" s="49"/>
      <c r="E1019" s="49"/>
      <c r="F1019" s="49"/>
      <c r="G1019" s="49"/>
      <c r="H1019" s="49"/>
    </row>
    <row r="1020" spans="2:8" s="63" customFormat="1">
      <c r="B1020" s="49"/>
      <c r="C1020" s="49"/>
      <c r="D1020" s="49"/>
      <c r="E1020" s="49"/>
      <c r="F1020" s="49"/>
      <c r="G1020" s="49"/>
      <c r="H1020" s="49"/>
    </row>
    <row r="1021" spans="2:8" s="63" customFormat="1">
      <c r="B1021" s="49"/>
      <c r="C1021" s="49"/>
      <c r="D1021" s="49"/>
      <c r="E1021" s="49"/>
      <c r="F1021" s="49"/>
      <c r="G1021" s="49"/>
      <c r="H1021" s="49"/>
    </row>
    <row r="1022" spans="2:8" s="63" customFormat="1">
      <c r="B1022" s="49"/>
      <c r="C1022" s="49"/>
      <c r="D1022" s="49"/>
      <c r="E1022" s="49"/>
      <c r="F1022" s="49"/>
      <c r="G1022" s="49"/>
      <c r="H1022" s="49"/>
    </row>
    <row r="1023" spans="2:8" s="63" customFormat="1">
      <c r="B1023" s="49"/>
      <c r="C1023" s="49"/>
      <c r="D1023" s="49"/>
      <c r="E1023" s="49"/>
      <c r="F1023" s="49"/>
      <c r="G1023" s="49"/>
      <c r="H1023" s="49"/>
    </row>
    <row r="1024" spans="2:8" s="63" customFormat="1">
      <c r="B1024" s="49"/>
      <c r="C1024" s="49"/>
      <c r="D1024" s="49"/>
      <c r="E1024" s="49"/>
      <c r="F1024" s="49"/>
      <c r="G1024" s="49"/>
      <c r="H1024" s="49"/>
    </row>
    <row r="1025" spans="2:8" s="63" customFormat="1">
      <c r="B1025" s="49"/>
      <c r="C1025" s="49"/>
      <c r="D1025" s="49"/>
      <c r="E1025" s="49"/>
      <c r="F1025" s="49"/>
      <c r="G1025" s="49"/>
      <c r="H1025" s="49"/>
    </row>
    <row r="1026" spans="2:8" s="63" customFormat="1">
      <c r="B1026" s="49"/>
      <c r="C1026" s="49"/>
      <c r="D1026" s="49"/>
      <c r="E1026" s="49"/>
      <c r="F1026" s="49"/>
      <c r="G1026" s="49"/>
      <c r="H1026" s="49"/>
    </row>
    <row r="1027" spans="2:8" s="63" customFormat="1">
      <c r="B1027" s="49"/>
      <c r="C1027" s="49"/>
      <c r="D1027" s="49"/>
      <c r="E1027" s="49"/>
      <c r="F1027" s="49"/>
      <c r="G1027" s="49"/>
      <c r="H1027" s="49"/>
    </row>
    <row r="1028" spans="2:8" s="63" customFormat="1">
      <c r="B1028" s="49"/>
      <c r="C1028" s="49"/>
      <c r="D1028" s="49"/>
      <c r="E1028" s="49"/>
      <c r="F1028" s="49"/>
      <c r="G1028" s="49"/>
      <c r="H1028" s="49"/>
    </row>
    <row r="1029" spans="2:8" s="63" customFormat="1">
      <c r="B1029" s="49"/>
      <c r="C1029" s="49"/>
      <c r="D1029" s="49"/>
      <c r="E1029" s="49"/>
      <c r="F1029" s="49"/>
      <c r="G1029" s="49"/>
      <c r="H1029" s="49"/>
    </row>
    <row r="1030" spans="2:8" s="63" customFormat="1">
      <c r="B1030" s="49"/>
      <c r="C1030" s="49"/>
      <c r="D1030" s="49"/>
      <c r="E1030" s="49"/>
      <c r="F1030" s="49"/>
      <c r="G1030" s="49"/>
      <c r="H1030" s="49"/>
    </row>
    <row r="1031" spans="2:8" s="63" customFormat="1">
      <c r="B1031" s="49"/>
      <c r="C1031" s="49"/>
      <c r="D1031" s="49"/>
      <c r="E1031" s="49"/>
      <c r="F1031" s="49"/>
      <c r="G1031" s="49"/>
      <c r="H1031" s="49"/>
    </row>
    <row r="1032" spans="2:8" s="63" customFormat="1">
      <c r="B1032" s="49"/>
      <c r="C1032" s="49"/>
      <c r="D1032" s="49"/>
      <c r="E1032" s="49"/>
      <c r="F1032" s="49"/>
      <c r="G1032" s="49"/>
      <c r="H1032" s="49"/>
    </row>
    <row r="1033" spans="2:8" s="63" customFormat="1">
      <c r="B1033" s="49"/>
      <c r="C1033" s="49"/>
      <c r="D1033" s="49"/>
      <c r="E1033" s="49"/>
      <c r="F1033" s="49"/>
      <c r="G1033" s="49"/>
      <c r="H1033" s="49"/>
    </row>
    <row r="1034" spans="2:8" s="63" customFormat="1">
      <c r="B1034" s="49"/>
      <c r="C1034" s="49"/>
      <c r="D1034" s="49"/>
      <c r="E1034" s="49"/>
      <c r="F1034" s="49"/>
      <c r="G1034" s="49"/>
      <c r="H1034" s="49"/>
    </row>
    <row r="1035" spans="2:8" s="63" customFormat="1">
      <c r="B1035" s="49"/>
      <c r="C1035" s="49"/>
      <c r="D1035" s="49"/>
      <c r="E1035" s="49"/>
      <c r="F1035" s="49"/>
      <c r="G1035" s="49"/>
      <c r="H1035" s="49"/>
    </row>
    <row r="1036" spans="2:8" s="63" customFormat="1">
      <c r="B1036" s="49"/>
      <c r="C1036" s="49"/>
      <c r="D1036" s="49"/>
      <c r="E1036" s="49"/>
      <c r="F1036" s="49"/>
      <c r="G1036" s="49"/>
      <c r="H1036" s="49"/>
    </row>
    <row r="1037" spans="2:8" s="63" customFormat="1">
      <c r="B1037" s="49"/>
      <c r="C1037" s="49"/>
      <c r="D1037" s="49"/>
      <c r="E1037" s="49"/>
      <c r="F1037" s="49"/>
      <c r="G1037" s="49"/>
      <c r="H1037" s="49"/>
    </row>
    <row r="1038" spans="2:8" s="63" customFormat="1">
      <c r="B1038" s="49"/>
      <c r="C1038" s="49"/>
      <c r="D1038" s="49"/>
      <c r="E1038" s="49"/>
      <c r="F1038" s="49"/>
      <c r="G1038" s="49"/>
      <c r="H1038" s="49"/>
    </row>
    <row r="1039" spans="2:8" s="63" customFormat="1">
      <c r="B1039" s="49"/>
      <c r="C1039" s="49"/>
      <c r="D1039" s="49"/>
      <c r="E1039" s="49"/>
      <c r="F1039" s="49"/>
      <c r="G1039" s="49"/>
      <c r="H1039" s="49"/>
    </row>
    <row r="1040" spans="2:8" s="63" customFormat="1">
      <c r="B1040" s="49"/>
      <c r="C1040" s="49"/>
      <c r="D1040" s="49"/>
      <c r="E1040" s="49"/>
      <c r="F1040" s="49"/>
      <c r="G1040" s="49"/>
      <c r="H1040" s="49"/>
    </row>
    <row r="1041" spans="2:8" s="63" customFormat="1">
      <c r="B1041" s="49"/>
      <c r="C1041" s="49"/>
      <c r="D1041" s="49"/>
      <c r="E1041" s="49"/>
      <c r="F1041" s="49"/>
      <c r="G1041" s="49"/>
      <c r="H1041" s="49"/>
    </row>
    <row r="1042" spans="2:8" s="63" customFormat="1">
      <c r="B1042" s="49"/>
      <c r="C1042" s="49"/>
      <c r="D1042" s="49"/>
      <c r="E1042" s="49"/>
      <c r="F1042" s="49"/>
      <c r="G1042" s="49"/>
      <c r="H1042" s="49"/>
    </row>
    <row r="1043" spans="2:8" s="63" customFormat="1">
      <c r="B1043" s="49"/>
      <c r="C1043" s="49"/>
      <c r="D1043" s="49"/>
      <c r="E1043" s="49"/>
      <c r="F1043" s="49"/>
      <c r="G1043" s="49"/>
      <c r="H1043" s="49"/>
    </row>
    <row r="1044" spans="2:8" s="63" customFormat="1">
      <c r="B1044" s="49"/>
      <c r="C1044" s="49"/>
      <c r="D1044" s="49"/>
      <c r="E1044" s="49"/>
      <c r="F1044" s="49"/>
      <c r="G1044" s="49"/>
      <c r="H1044" s="49"/>
    </row>
    <row r="1045" spans="2:8" s="63" customFormat="1">
      <c r="B1045" s="49"/>
      <c r="C1045" s="49"/>
      <c r="D1045" s="49"/>
      <c r="E1045" s="49"/>
      <c r="F1045" s="49"/>
      <c r="G1045" s="49"/>
      <c r="H1045" s="49"/>
    </row>
    <row r="1046" spans="2:8" s="63" customFormat="1">
      <c r="B1046" s="49"/>
      <c r="C1046" s="49"/>
      <c r="D1046" s="49"/>
      <c r="E1046" s="49"/>
      <c r="F1046" s="49"/>
      <c r="G1046" s="49"/>
      <c r="H1046" s="49"/>
    </row>
    <row r="1047" spans="2:8" s="63" customFormat="1">
      <c r="B1047" s="49"/>
      <c r="C1047" s="49"/>
      <c r="D1047" s="49"/>
      <c r="E1047" s="49"/>
      <c r="F1047" s="49"/>
      <c r="G1047" s="49"/>
      <c r="H1047" s="49"/>
    </row>
    <row r="1048" spans="2:8" s="63" customFormat="1">
      <c r="B1048" s="49"/>
      <c r="C1048" s="49"/>
      <c r="D1048" s="49"/>
      <c r="E1048" s="49"/>
      <c r="F1048" s="49"/>
      <c r="G1048" s="49"/>
      <c r="H1048" s="49"/>
    </row>
    <row r="1049" spans="2:8" s="63" customFormat="1">
      <c r="B1049" s="49"/>
      <c r="C1049" s="49"/>
      <c r="D1049" s="49"/>
      <c r="E1049" s="49"/>
      <c r="F1049" s="49"/>
      <c r="G1049" s="49"/>
      <c r="H1049" s="49"/>
    </row>
    <row r="1050" spans="2:8" s="63" customFormat="1">
      <c r="B1050" s="49"/>
      <c r="C1050" s="49"/>
      <c r="D1050" s="49"/>
      <c r="E1050" s="49"/>
      <c r="F1050" s="49"/>
      <c r="G1050" s="49"/>
      <c r="H1050" s="49"/>
    </row>
    <row r="1051" spans="2:8" s="63" customFormat="1">
      <c r="B1051" s="49"/>
      <c r="C1051" s="49"/>
      <c r="D1051" s="49"/>
      <c r="E1051" s="49"/>
      <c r="F1051" s="49"/>
      <c r="G1051" s="49"/>
      <c r="H1051" s="49"/>
    </row>
    <row r="1052" spans="2:8" s="63" customFormat="1">
      <c r="B1052" s="49"/>
      <c r="C1052" s="49"/>
      <c r="D1052" s="49"/>
      <c r="E1052" s="49"/>
      <c r="F1052" s="49"/>
      <c r="G1052" s="49"/>
      <c r="H1052" s="49"/>
    </row>
    <row r="1053" spans="2:8" s="63" customFormat="1">
      <c r="B1053" s="49"/>
      <c r="C1053" s="49"/>
      <c r="D1053" s="49"/>
      <c r="E1053" s="49"/>
      <c r="F1053" s="49"/>
      <c r="G1053" s="49"/>
      <c r="H1053" s="49"/>
    </row>
    <row r="1054" spans="2:8" s="63" customFormat="1">
      <c r="B1054" s="49"/>
      <c r="C1054" s="49"/>
      <c r="D1054" s="49"/>
      <c r="E1054" s="49"/>
      <c r="F1054" s="49"/>
      <c r="G1054" s="49"/>
      <c r="H1054" s="49"/>
    </row>
    <row r="1055" spans="2:8" s="63" customFormat="1">
      <c r="B1055" s="49"/>
      <c r="C1055" s="49"/>
      <c r="D1055" s="49"/>
      <c r="E1055" s="49"/>
      <c r="F1055" s="49"/>
      <c r="G1055" s="49"/>
      <c r="H1055" s="49"/>
    </row>
    <row r="1056" spans="2:8" s="63" customFormat="1">
      <c r="B1056" s="49"/>
      <c r="C1056" s="49"/>
      <c r="D1056" s="49"/>
      <c r="E1056" s="49"/>
      <c r="F1056" s="49"/>
      <c r="G1056" s="49"/>
      <c r="H1056" s="49"/>
    </row>
    <row r="1057" spans="2:8" s="63" customFormat="1">
      <c r="B1057" s="49"/>
      <c r="C1057" s="49"/>
      <c r="D1057" s="49"/>
      <c r="E1057" s="49"/>
      <c r="F1057" s="49"/>
      <c r="G1057" s="49"/>
      <c r="H1057" s="49"/>
    </row>
    <row r="1058" spans="2:8" s="63" customFormat="1">
      <c r="B1058" s="49"/>
      <c r="C1058" s="49"/>
      <c r="D1058" s="49"/>
      <c r="E1058" s="49"/>
      <c r="F1058" s="49"/>
      <c r="G1058" s="49"/>
      <c r="H1058" s="49"/>
    </row>
    <row r="1059" spans="2:8" s="63" customFormat="1">
      <c r="B1059" s="49"/>
      <c r="C1059" s="49"/>
      <c r="D1059" s="49"/>
      <c r="E1059" s="49"/>
      <c r="F1059" s="49"/>
      <c r="G1059" s="49"/>
      <c r="H1059" s="49"/>
    </row>
    <row r="1060" spans="2:8" s="63" customFormat="1">
      <c r="B1060" s="49"/>
      <c r="C1060" s="49"/>
      <c r="D1060" s="49"/>
      <c r="E1060" s="49"/>
      <c r="F1060" s="49"/>
      <c r="G1060" s="49"/>
      <c r="H1060" s="49"/>
    </row>
    <row r="1061" spans="2:8" s="63" customFormat="1">
      <c r="B1061" s="49"/>
      <c r="C1061" s="49"/>
      <c r="D1061" s="49"/>
      <c r="E1061" s="49"/>
      <c r="F1061" s="49"/>
      <c r="G1061" s="49"/>
      <c r="H1061" s="49"/>
    </row>
    <row r="1062" spans="2:8" s="63" customFormat="1">
      <c r="B1062" s="49"/>
      <c r="C1062" s="49"/>
      <c r="D1062" s="49"/>
      <c r="E1062" s="49"/>
      <c r="F1062" s="49"/>
      <c r="G1062" s="49"/>
      <c r="H1062" s="49"/>
    </row>
    <row r="1063" spans="2:8" s="63" customFormat="1">
      <c r="B1063" s="49"/>
      <c r="C1063" s="49"/>
      <c r="D1063" s="49"/>
      <c r="E1063" s="49"/>
      <c r="F1063" s="49"/>
      <c r="G1063" s="49"/>
      <c r="H1063" s="49"/>
    </row>
    <row r="1064" spans="2:8" s="63" customFormat="1">
      <c r="B1064" s="49"/>
      <c r="C1064" s="49"/>
      <c r="D1064" s="49"/>
      <c r="E1064" s="49"/>
      <c r="F1064" s="49"/>
      <c r="G1064" s="49"/>
      <c r="H1064" s="49"/>
    </row>
    <row r="1065" spans="2:8" s="63" customFormat="1">
      <c r="B1065" s="49"/>
      <c r="C1065" s="49"/>
      <c r="D1065" s="49"/>
      <c r="E1065" s="49"/>
      <c r="F1065" s="49"/>
      <c r="G1065" s="49"/>
      <c r="H1065" s="49"/>
    </row>
    <row r="1066" spans="2:8" s="63" customFormat="1">
      <c r="B1066" s="49"/>
      <c r="C1066" s="49"/>
      <c r="D1066" s="49"/>
      <c r="E1066" s="49"/>
      <c r="F1066" s="49"/>
      <c r="G1066" s="49"/>
      <c r="H1066" s="49"/>
    </row>
    <row r="1067" spans="2:8" s="63" customFormat="1">
      <c r="B1067" s="49"/>
      <c r="C1067" s="49"/>
      <c r="D1067" s="49"/>
      <c r="E1067" s="49"/>
      <c r="F1067" s="49"/>
      <c r="G1067" s="49"/>
      <c r="H1067" s="49"/>
    </row>
    <row r="1068" spans="2:8" s="63" customFormat="1">
      <c r="B1068" s="49"/>
      <c r="C1068" s="49"/>
      <c r="D1068" s="49"/>
      <c r="E1068" s="49"/>
      <c r="F1068" s="49"/>
      <c r="G1068" s="49"/>
      <c r="H1068" s="49"/>
    </row>
    <row r="1069" spans="2:8" s="63" customFormat="1">
      <c r="B1069" s="49"/>
      <c r="C1069" s="49"/>
      <c r="D1069" s="49"/>
      <c r="E1069" s="49"/>
      <c r="F1069" s="49"/>
      <c r="G1069" s="49"/>
      <c r="H1069" s="49"/>
    </row>
    <row r="1070" spans="2:8" s="63" customFormat="1">
      <c r="B1070" s="49"/>
      <c r="C1070" s="49"/>
      <c r="D1070" s="49"/>
      <c r="E1070" s="49"/>
      <c r="F1070" s="49"/>
      <c r="G1070" s="49"/>
      <c r="H1070" s="49"/>
    </row>
    <row r="1071" spans="2:8" s="63" customFormat="1">
      <c r="B1071" s="49"/>
      <c r="C1071" s="49"/>
      <c r="D1071" s="49"/>
      <c r="E1071" s="49"/>
      <c r="F1071" s="49"/>
      <c r="G1071" s="49"/>
      <c r="H1071" s="49"/>
    </row>
    <row r="1072" spans="2:8" s="63" customFormat="1">
      <c r="B1072" s="49"/>
      <c r="C1072" s="49"/>
      <c r="D1072" s="49"/>
      <c r="E1072" s="49"/>
      <c r="F1072" s="49"/>
      <c r="G1072" s="49"/>
      <c r="H1072" s="49"/>
    </row>
    <row r="1073" spans="2:8" s="63" customFormat="1">
      <c r="B1073" s="49"/>
      <c r="C1073" s="49"/>
      <c r="D1073" s="49"/>
      <c r="E1073" s="49"/>
      <c r="F1073" s="49"/>
      <c r="G1073" s="49"/>
      <c r="H1073" s="49"/>
    </row>
    <row r="1074" spans="2:8" s="63" customFormat="1">
      <c r="B1074" s="49"/>
      <c r="C1074" s="49"/>
      <c r="D1074" s="49"/>
      <c r="E1074" s="49"/>
      <c r="F1074" s="49"/>
      <c r="G1074" s="49"/>
      <c r="H1074" s="49"/>
    </row>
    <row r="1075" spans="2:8" s="63" customFormat="1">
      <c r="B1075" s="49"/>
      <c r="C1075" s="49"/>
      <c r="D1075" s="49"/>
      <c r="E1075" s="49"/>
      <c r="F1075" s="49"/>
      <c r="G1075" s="49"/>
      <c r="H1075" s="49"/>
    </row>
    <row r="1076" spans="2:8" s="63" customFormat="1">
      <c r="B1076" s="49"/>
      <c r="C1076" s="49"/>
      <c r="D1076" s="49"/>
      <c r="E1076" s="49"/>
      <c r="F1076" s="49"/>
      <c r="G1076" s="49"/>
      <c r="H1076" s="49"/>
    </row>
    <row r="1077" spans="2:8" s="63" customFormat="1">
      <c r="B1077" s="49"/>
      <c r="C1077" s="49"/>
      <c r="D1077" s="49"/>
      <c r="E1077" s="49"/>
      <c r="F1077" s="49"/>
      <c r="G1077" s="49"/>
      <c r="H1077" s="49"/>
    </row>
    <row r="1078" spans="2:8" s="63" customFormat="1">
      <c r="B1078" s="49"/>
      <c r="C1078" s="49"/>
      <c r="D1078" s="49"/>
      <c r="E1078" s="49"/>
      <c r="F1078" s="49"/>
      <c r="G1078" s="49"/>
      <c r="H1078" s="49"/>
    </row>
    <row r="1079" spans="2:8" s="63" customFormat="1">
      <c r="B1079" s="49"/>
      <c r="C1079" s="49"/>
      <c r="D1079" s="49"/>
      <c r="E1079" s="49"/>
      <c r="F1079" s="49"/>
      <c r="G1079" s="49"/>
      <c r="H1079" s="49"/>
    </row>
    <row r="1080" spans="2:8" s="63" customFormat="1">
      <c r="B1080" s="49"/>
      <c r="C1080" s="49"/>
      <c r="D1080" s="49"/>
      <c r="E1080" s="49"/>
      <c r="F1080" s="49"/>
      <c r="G1080" s="49"/>
      <c r="H1080" s="49"/>
    </row>
    <row r="1081" spans="2:8" s="63" customFormat="1">
      <c r="B1081" s="49"/>
      <c r="C1081" s="49"/>
      <c r="D1081" s="49"/>
      <c r="E1081" s="49"/>
      <c r="F1081" s="49"/>
      <c r="G1081" s="49"/>
      <c r="H1081" s="49"/>
    </row>
    <row r="1082" spans="2:8" s="63" customFormat="1">
      <c r="B1082" s="49"/>
      <c r="C1082" s="49"/>
      <c r="D1082" s="49"/>
      <c r="E1082" s="49"/>
      <c r="F1082" s="49"/>
      <c r="G1082" s="49"/>
      <c r="H1082" s="49"/>
    </row>
    <row r="1083" spans="2:8" s="63" customFormat="1">
      <c r="B1083" s="49"/>
      <c r="C1083" s="49"/>
      <c r="D1083" s="49"/>
      <c r="E1083" s="49"/>
      <c r="F1083" s="49"/>
      <c r="G1083" s="49"/>
      <c r="H1083" s="49"/>
    </row>
    <row r="1084" spans="2:8" s="63" customFormat="1">
      <c r="B1084" s="49"/>
      <c r="C1084" s="49"/>
      <c r="D1084" s="49"/>
      <c r="E1084" s="49"/>
      <c r="F1084" s="49"/>
      <c r="G1084" s="49"/>
      <c r="H1084" s="49"/>
    </row>
    <row r="1085" spans="2:8" s="63" customFormat="1">
      <c r="B1085" s="49"/>
      <c r="C1085" s="49"/>
      <c r="D1085" s="49"/>
      <c r="E1085" s="49"/>
      <c r="F1085" s="49"/>
      <c r="G1085" s="49"/>
      <c r="H1085" s="49"/>
    </row>
    <row r="1086" spans="2:8" s="63" customFormat="1">
      <c r="B1086" s="49"/>
      <c r="C1086" s="49"/>
      <c r="D1086" s="49"/>
      <c r="E1086" s="49"/>
      <c r="F1086" s="49"/>
      <c r="G1086" s="49"/>
      <c r="H1086" s="49"/>
    </row>
    <row r="1087" spans="2:8" s="63" customFormat="1">
      <c r="B1087" s="49"/>
      <c r="C1087" s="49"/>
      <c r="D1087" s="49"/>
      <c r="E1087" s="49"/>
      <c r="F1087" s="49"/>
      <c r="G1087" s="49"/>
      <c r="H1087" s="49"/>
    </row>
    <row r="1088" spans="2:8" s="63" customFormat="1">
      <c r="B1088" s="49"/>
      <c r="C1088" s="49"/>
      <c r="D1088" s="49"/>
      <c r="E1088" s="49"/>
      <c r="F1088" s="49"/>
      <c r="G1088" s="49"/>
      <c r="H1088" s="49"/>
    </row>
    <row r="1089" spans="2:8" s="63" customFormat="1">
      <c r="B1089" s="49"/>
      <c r="C1089" s="49"/>
      <c r="D1089" s="49"/>
      <c r="E1089" s="49"/>
      <c r="F1089" s="49"/>
      <c r="G1089" s="49"/>
      <c r="H1089" s="49"/>
    </row>
    <row r="1090" spans="2:8" s="63" customFormat="1">
      <c r="B1090" s="49"/>
      <c r="C1090" s="49"/>
      <c r="D1090" s="49"/>
      <c r="E1090" s="49"/>
      <c r="F1090" s="49"/>
      <c r="G1090" s="49"/>
      <c r="H1090" s="49"/>
    </row>
    <row r="1091" spans="2:8" s="63" customFormat="1">
      <c r="B1091" s="49"/>
      <c r="C1091" s="49"/>
      <c r="D1091" s="49"/>
      <c r="E1091" s="49"/>
      <c r="F1091" s="49"/>
      <c r="G1091" s="49"/>
      <c r="H1091" s="49"/>
    </row>
    <row r="1092" spans="2:8" s="63" customFormat="1">
      <c r="B1092" s="49"/>
      <c r="C1092" s="49"/>
      <c r="D1092" s="49"/>
      <c r="E1092" s="49"/>
      <c r="F1092" s="49"/>
      <c r="G1092" s="49"/>
      <c r="H1092" s="49"/>
    </row>
    <row r="1093" spans="2:8" s="63" customFormat="1">
      <c r="B1093" s="49"/>
      <c r="C1093" s="49"/>
      <c r="D1093" s="49"/>
      <c r="E1093" s="49"/>
      <c r="F1093" s="49"/>
      <c r="G1093" s="49"/>
      <c r="H1093" s="49"/>
    </row>
    <row r="1094" spans="2:8" s="63" customFormat="1">
      <c r="B1094" s="49"/>
      <c r="C1094" s="49"/>
      <c r="D1094" s="49"/>
      <c r="E1094" s="49"/>
      <c r="F1094" s="49"/>
      <c r="G1094" s="49"/>
      <c r="H1094" s="49"/>
    </row>
    <row r="1095" spans="2:8" s="63" customFormat="1">
      <c r="B1095" s="49"/>
      <c r="C1095" s="49"/>
      <c r="D1095" s="49"/>
      <c r="E1095" s="49"/>
      <c r="F1095" s="49"/>
      <c r="G1095" s="49"/>
      <c r="H1095" s="49"/>
    </row>
    <row r="1096" spans="2:8" s="63" customFormat="1">
      <c r="B1096" s="49"/>
      <c r="C1096" s="49"/>
      <c r="D1096" s="49"/>
      <c r="E1096" s="49"/>
      <c r="F1096" s="49"/>
      <c r="G1096" s="49"/>
      <c r="H1096" s="49"/>
    </row>
    <row r="1097" spans="2:8" s="63" customFormat="1">
      <c r="B1097" s="49"/>
      <c r="C1097" s="49"/>
      <c r="D1097" s="49"/>
      <c r="E1097" s="49"/>
      <c r="F1097" s="49"/>
      <c r="G1097" s="49"/>
      <c r="H1097" s="49"/>
    </row>
    <row r="1098" spans="2:8" s="63" customFormat="1">
      <c r="B1098" s="49"/>
      <c r="C1098" s="49"/>
      <c r="D1098" s="49"/>
      <c r="E1098" s="49"/>
      <c r="F1098" s="49"/>
      <c r="G1098" s="49"/>
      <c r="H1098" s="49"/>
    </row>
    <row r="1099" spans="2:8" s="63" customFormat="1">
      <c r="B1099" s="49"/>
      <c r="C1099" s="49"/>
      <c r="D1099" s="49"/>
      <c r="E1099" s="49"/>
      <c r="F1099" s="49"/>
      <c r="G1099" s="49"/>
      <c r="H1099" s="49"/>
    </row>
    <row r="1100" spans="2:8" s="63" customFormat="1">
      <c r="B1100" s="49"/>
      <c r="C1100" s="49"/>
      <c r="D1100" s="49"/>
      <c r="E1100" s="49"/>
      <c r="F1100" s="49"/>
      <c r="G1100" s="49"/>
      <c r="H1100" s="49"/>
    </row>
    <row r="1101" spans="2:8" s="63" customFormat="1">
      <c r="B1101" s="49"/>
      <c r="C1101" s="49"/>
      <c r="D1101" s="49"/>
      <c r="E1101" s="49"/>
      <c r="F1101" s="49"/>
      <c r="G1101" s="49"/>
      <c r="H1101" s="49"/>
    </row>
    <row r="1102" spans="2:8" s="63" customFormat="1">
      <c r="B1102" s="49"/>
      <c r="C1102" s="49"/>
      <c r="D1102" s="49"/>
      <c r="E1102" s="49"/>
      <c r="F1102" s="49"/>
      <c r="G1102" s="49"/>
      <c r="H1102" s="49"/>
    </row>
    <row r="1103" spans="2:8" s="63" customFormat="1">
      <c r="B1103" s="49"/>
      <c r="C1103" s="49"/>
      <c r="D1103" s="49"/>
      <c r="E1103" s="49"/>
      <c r="F1103" s="49"/>
      <c r="G1103" s="49"/>
      <c r="H1103" s="49"/>
    </row>
    <row r="1104" spans="2:8" s="63" customFormat="1">
      <c r="B1104" s="49"/>
      <c r="C1104" s="49"/>
      <c r="D1104" s="49"/>
      <c r="E1104" s="49"/>
      <c r="F1104" s="49"/>
      <c r="G1104" s="49"/>
      <c r="H1104" s="49"/>
    </row>
    <row r="1105" spans="2:8" s="63" customFormat="1">
      <c r="B1105" s="49"/>
      <c r="C1105" s="49"/>
      <c r="D1105" s="49"/>
      <c r="E1105" s="49"/>
      <c r="F1105" s="49"/>
      <c r="G1105" s="49"/>
      <c r="H1105" s="49"/>
    </row>
    <row r="1106" spans="2:8" s="63" customFormat="1">
      <c r="B1106" s="49"/>
      <c r="C1106" s="49"/>
      <c r="D1106" s="49"/>
      <c r="E1106" s="49"/>
      <c r="F1106" s="49"/>
      <c r="G1106" s="49"/>
      <c r="H1106" s="49"/>
    </row>
    <row r="1107" spans="2:8" s="63" customFormat="1">
      <c r="B1107" s="49"/>
      <c r="C1107" s="49"/>
      <c r="D1107" s="49"/>
      <c r="E1107" s="49"/>
      <c r="F1107" s="49"/>
      <c r="G1107" s="49"/>
      <c r="H1107" s="49"/>
    </row>
    <row r="1108" spans="2:8" s="63" customFormat="1">
      <c r="B1108" s="49"/>
      <c r="C1108" s="49"/>
      <c r="D1108" s="49"/>
      <c r="E1108" s="49"/>
      <c r="F1108" s="49"/>
      <c r="G1108" s="49"/>
      <c r="H1108" s="49"/>
    </row>
    <row r="1109" spans="2:8" s="63" customFormat="1">
      <c r="B1109" s="49"/>
      <c r="C1109" s="49"/>
      <c r="D1109" s="49"/>
      <c r="E1109" s="49"/>
      <c r="F1109" s="49"/>
      <c r="G1109" s="49"/>
      <c r="H1109" s="49"/>
    </row>
    <row r="1110" spans="2:8" s="63" customFormat="1">
      <c r="B1110" s="49"/>
      <c r="C1110" s="49"/>
      <c r="D1110" s="49"/>
      <c r="E1110" s="49"/>
      <c r="F1110" s="49"/>
      <c r="G1110" s="49"/>
      <c r="H1110" s="49"/>
    </row>
    <row r="1111" spans="2:8" s="63" customFormat="1">
      <c r="B1111" s="49"/>
      <c r="C1111" s="49"/>
      <c r="D1111" s="49"/>
      <c r="E1111" s="49"/>
      <c r="F1111" s="49"/>
      <c r="G1111" s="49"/>
      <c r="H1111" s="49"/>
    </row>
    <row r="1112" spans="2:8" s="63" customFormat="1">
      <c r="B1112" s="49"/>
      <c r="C1112" s="49"/>
      <c r="D1112" s="49"/>
      <c r="E1112" s="49"/>
      <c r="F1112" s="49"/>
      <c r="G1112" s="49"/>
      <c r="H1112" s="49"/>
    </row>
    <row r="1113" spans="2:8" s="63" customFormat="1">
      <c r="B1113" s="49"/>
      <c r="C1113" s="49"/>
      <c r="D1113" s="49"/>
      <c r="E1113" s="49"/>
      <c r="F1113" s="49"/>
      <c r="G1113" s="49"/>
      <c r="H1113" s="49"/>
    </row>
    <row r="1114" spans="2:8" s="63" customFormat="1">
      <c r="B1114" s="49"/>
      <c r="C1114" s="49"/>
      <c r="D1114" s="49"/>
      <c r="E1114" s="49"/>
      <c r="F1114" s="49"/>
      <c r="G1114" s="49"/>
      <c r="H1114" s="49"/>
    </row>
    <row r="1115" spans="2:8" s="63" customFormat="1">
      <c r="B1115" s="49"/>
      <c r="C1115" s="49"/>
      <c r="D1115" s="49"/>
      <c r="E1115" s="49"/>
      <c r="F1115" s="49"/>
      <c r="G1115" s="49"/>
      <c r="H1115" s="49"/>
    </row>
    <row r="1116" spans="2:8" s="63" customFormat="1">
      <c r="B1116" s="49"/>
      <c r="C1116" s="49"/>
      <c r="D1116" s="49"/>
      <c r="E1116" s="49"/>
      <c r="F1116" s="49"/>
      <c r="G1116" s="49"/>
      <c r="H1116" s="49"/>
    </row>
    <row r="1117" spans="2:8" s="63" customFormat="1">
      <c r="B1117" s="49"/>
      <c r="C1117" s="49"/>
      <c r="D1117" s="49"/>
      <c r="E1117" s="49"/>
      <c r="F1117" s="49"/>
      <c r="G1117" s="49"/>
      <c r="H1117" s="49"/>
    </row>
    <row r="1118" spans="2:8" s="63" customFormat="1">
      <c r="B1118" s="49"/>
      <c r="C1118" s="49"/>
      <c r="D1118" s="49"/>
      <c r="E1118" s="49"/>
      <c r="F1118" s="49"/>
      <c r="G1118" s="49"/>
      <c r="H1118" s="49"/>
    </row>
    <row r="1119" spans="2:8" s="63" customFormat="1">
      <c r="B1119" s="49"/>
      <c r="C1119" s="49"/>
      <c r="D1119" s="49"/>
      <c r="E1119" s="49"/>
      <c r="F1119" s="49"/>
      <c r="G1119" s="49"/>
      <c r="H1119" s="49"/>
    </row>
    <row r="1120" spans="2:8" s="63" customFormat="1">
      <c r="B1120" s="49"/>
      <c r="C1120" s="49"/>
      <c r="D1120" s="49"/>
      <c r="E1120" s="49"/>
      <c r="F1120" s="49"/>
      <c r="G1120" s="49"/>
      <c r="H1120" s="49"/>
    </row>
    <row r="1121" spans="2:8" s="63" customFormat="1">
      <c r="B1121" s="49"/>
      <c r="C1121" s="49"/>
      <c r="D1121" s="49"/>
      <c r="E1121" s="49"/>
      <c r="F1121" s="49"/>
      <c r="G1121" s="49"/>
      <c r="H1121" s="49"/>
    </row>
    <row r="1122" spans="2:8" s="63" customFormat="1">
      <c r="B1122" s="49"/>
      <c r="C1122" s="49"/>
      <c r="D1122" s="49"/>
      <c r="E1122" s="49"/>
      <c r="F1122" s="49"/>
      <c r="G1122" s="49"/>
      <c r="H1122" s="49"/>
    </row>
    <row r="1123" spans="2:8" s="63" customFormat="1">
      <c r="B1123" s="49"/>
      <c r="C1123" s="49"/>
      <c r="D1123" s="49"/>
      <c r="E1123" s="49"/>
      <c r="F1123" s="49"/>
      <c r="G1123" s="49"/>
      <c r="H1123" s="49"/>
    </row>
    <row r="1124" spans="2:8" s="63" customFormat="1">
      <c r="B1124" s="49"/>
      <c r="C1124" s="49"/>
      <c r="D1124" s="49"/>
      <c r="E1124" s="49"/>
      <c r="F1124" s="49"/>
      <c r="G1124" s="49"/>
      <c r="H1124" s="49"/>
    </row>
    <row r="1125" spans="2:8" s="63" customFormat="1">
      <c r="B1125" s="49"/>
      <c r="C1125" s="49"/>
      <c r="D1125" s="49"/>
      <c r="E1125" s="49"/>
      <c r="F1125" s="49"/>
      <c r="G1125" s="49"/>
      <c r="H1125" s="49"/>
    </row>
    <row r="1126" spans="2:8" s="63" customFormat="1">
      <c r="B1126" s="49"/>
      <c r="C1126" s="49"/>
      <c r="D1126" s="49"/>
      <c r="E1126" s="49"/>
      <c r="F1126" s="49"/>
      <c r="G1126" s="49"/>
      <c r="H1126" s="49"/>
    </row>
    <row r="1127" spans="2:8" s="63" customFormat="1">
      <c r="B1127" s="49"/>
      <c r="C1127" s="49"/>
      <c r="D1127" s="49"/>
      <c r="E1127" s="49"/>
      <c r="F1127" s="49"/>
      <c r="G1127" s="49"/>
      <c r="H1127" s="49"/>
    </row>
    <row r="1128" spans="2:8" s="63" customFormat="1">
      <c r="B1128" s="49"/>
      <c r="C1128" s="49"/>
      <c r="D1128" s="49"/>
      <c r="E1128" s="49"/>
      <c r="F1128" s="49"/>
      <c r="G1128" s="49"/>
      <c r="H1128" s="49"/>
    </row>
    <row r="1129" spans="2:8" s="63" customFormat="1">
      <c r="B1129" s="49"/>
      <c r="C1129" s="49"/>
      <c r="D1129" s="49"/>
      <c r="E1129" s="49"/>
      <c r="F1129" s="49"/>
      <c r="G1129" s="49"/>
      <c r="H1129" s="49"/>
    </row>
    <row r="1130" spans="2:8" s="63" customFormat="1">
      <c r="B1130" s="49"/>
      <c r="C1130" s="49"/>
      <c r="D1130" s="49"/>
      <c r="E1130" s="49"/>
      <c r="F1130" s="49"/>
      <c r="G1130" s="49"/>
      <c r="H1130" s="49"/>
    </row>
    <row r="1131" spans="2:8" s="63" customFormat="1">
      <c r="B1131" s="49"/>
      <c r="C1131" s="49"/>
      <c r="D1131" s="49"/>
      <c r="E1131" s="49"/>
      <c r="F1131" s="49"/>
      <c r="G1131" s="49"/>
      <c r="H1131" s="49"/>
    </row>
    <row r="1132" spans="2:8" s="63" customFormat="1">
      <c r="B1132" s="49"/>
      <c r="C1132" s="49"/>
      <c r="D1132" s="49"/>
      <c r="E1132" s="49"/>
      <c r="F1132" s="49"/>
      <c r="G1132" s="49"/>
      <c r="H1132" s="49"/>
    </row>
    <row r="1133" spans="2:8" s="63" customFormat="1">
      <c r="B1133" s="49"/>
      <c r="C1133" s="49"/>
      <c r="D1133" s="49"/>
      <c r="E1133" s="49"/>
      <c r="F1133" s="49"/>
      <c r="G1133" s="49"/>
      <c r="H1133" s="49"/>
    </row>
    <row r="1134" spans="2:8" s="63" customFormat="1">
      <c r="B1134" s="49"/>
      <c r="C1134" s="49"/>
      <c r="D1134" s="49"/>
      <c r="E1134" s="49"/>
      <c r="F1134" s="49"/>
      <c r="G1134" s="49"/>
      <c r="H1134" s="49"/>
    </row>
    <row r="1135" spans="2:8" s="63" customFormat="1">
      <c r="B1135" s="49"/>
      <c r="C1135" s="49"/>
      <c r="D1135" s="49"/>
      <c r="E1135" s="49"/>
      <c r="F1135" s="49"/>
      <c r="G1135" s="49"/>
      <c r="H1135" s="49"/>
    </row>
    <row r="1136" spans="2:8" s="63" customFormat="1">
      <c r="B1136" s="49"/>
      <c r="C1136" s="49"/>
      <c r="D1136" s="49"/>
      <c r="E1136" s="49"/>
      <c r="F1136" s="49"/>
      <c r="G1136" s="49"/>
      <c r="H1136" s="49"/>
    </row>
    <row r="1137" spans="2:8" s="63" customFormat="1">
      <c r="B1137" s="49"/>
      <c r="C1137" s="49"/>
      <c r="D1137" s="49"/>
      <c r="E1137" s="49"/>
      <c r="F1137" s="49"/>
      <c r="G1137" s="49"/>
      <c r="H1137" s="49"/>
    </row>
    <row r="1138" spans="2:8" s="63" customFormat="1">
      <c r="B1138" s="49"/>
      <c r="C1138" s="49"/>
      <c r="D1138" s="49"/>
      <c r="E1138" s="49"/>
      <c r="F1138" s="49"/>
      <c r="G1138" s="49"/>
      <c r="H1138" s="49"/>
    </row>
    <row r="1139" spans="2:8" s="63" customFormat="1">
      <c r="B1139" s="49"/>
      <c r="C1139" s="49"/>
      <c r="D1139" s="49"/>
      <c r="E1139" s="49"/>
      <c r="F1139" s="49"/>
      <c r="G1139" s="49"/>
      <c r="H1139" s="49"/>
    </row>
    <row r="1140" spans="2:8" s="63" customFormat="1">
      <c r="B1140" s="49"/>
      <c r="C1140" s="49"/>
      <c r="D1140" s="49"/>
      <c r="E1140" s="49"/>
      <c r="F1140" s="49"/>
      <c r="G1140" s="49"/>
      <c r="H1140" s="49"/>
    </row>
    <row r="1141" spans="2:8" s="63" customFormat="1">
      <c r="B1141" s="49"/>
      <c r="C1141" s="49"/>
      <c r="D1141" s="49"/>
      <c r="E1141" s="49"/>
      <c r="F1141" s="49"/>
      <c r="G1141" s="49"/>
      <c r="H1141" s="49"/>
    </row>
    <row r="1142" spans="2:8" s="63" customFormat="1">
      <c r="B1142" s="49"/>
      <c r="C1142" s="49"/>
      <c r="D1142" s="49"/>
      <c r="E1142" s="49"/>
      <c r="F1142" s="49"/>
      <c r="G1142" s="49"/>
      <c r="H1142" s="49"/>
    </row>
    <row r="1143" spans="2:8" s="63" customFormat="1">
      <c r="B1143" s="49"/>
      <c r="C1143" s="49"/>
      <c r="D1143" s="49"/>
      <c r="E1143" s="49"/>
      <c r="F1143" s="49"/>
      <c r="G1143" s="49"/>
      <c r="H1143" s="49"/>
    </row>
    <row r="1144" spans="2:8" s="63" customFormat="1">
      <c r="B1144" s="49"/>
      <c r="C1144" s="49"/>
      <c r="D1144" s="49"/>
      <c r="E1144" s="49"/>
      <c r="F1144" s="49"/>
      <c r="G1144" s="49"/>
      <c r="H1144" s="49"/>
    </row>
    <row r="1145" spans="2:8" s="63" customFormat="1">
      <c r="B1145" s="49"/>
      <c r="C1145" s="49"/>
      <c r="D1145" s="49"/>
      <c r="E1145" s="49"/>
      <c r="F1145" s="49"/>
      <c r="G1145" s="49"/>
      <c r="H1145" s="49"/>
    </row>
    <row r="1146" spans="2:8" s="63" customFormat="1">
      <c r="B1146" s="49"/>
      <c r="C1146" s="49"/>
      <c r="D1146" s="49"/>
      <c r="E1146" s="49"/>
      <c r="F1146" s="49"/>
      <c r="G1146" s="49"/>
      <c r="H1146" s="49"/>
    </row>
    <row r="1147" spans="2:8" s="63" customFormat="1">
      <c r="B1147" s="49"/>
      <c r="C1147" s="49"/>
      <c r="D1147" s="49"/>
      <c r="E1147" s="49"/>
      <c r="F1147" s="49"/>
      <c r="G1147" s="49"/>
      <c r="H1147" s="49"/>
    </row>
    <row r="1148" spans="2:8" s="63" customFormat="1">
      <c r="B1148" s="49"/>
      <c r="C1148" s="49"/>
      <c r="D1148" s="49"/>
      <c r="E1148" s="49"/>
      <c r="F1148" s="49"/>
      <c r="G1148" s="49"/>
      <c r="H1148" s="49"/>
    </row>
    <row r="1149" spans="2:8" s="63" customFormat="1">
      <c r="B1149" s="49"/>
      <c r="C1149" s="49"/>
      <c r="D1149" s="49"/>
      <c r="E1149" s="49"/>
      <c r="F1149" s="49"/>
      <c r="G1149" s="49"/>
      <c r="H1149" s="49"/>
    </row>
    <row r="1150" spans="2:8" s="63" customFormat="1">
      <c r="B1150" s="49"/>
      <c r="C1150" s="49"/>
      <c r="D1150" s="49"/>
      <c r="E1150" s="49"/>
      <c r="F1150" s="49"/>
      <c r="G1150" s="49"/>
      <c r="H1150" s="49"/>
    </row>
    <row r="1151" spans="2:8" s="63" customFormat="1">
      <c r="B1151" s="49"/>
      <c r="C1151" s="49"/>
      <c r="D1151" s="49"/>
      <c r="E1151" s="49"/>
      <c r="F1151" s="49"/>
      <c r="G1151" s="49"/>
      <c r="H1151" s="49"/>
    </row>
    <row r="1152" spans="2:8" s="63" customFormat="1">
      <c r="B1152" s="49"/>
      <c r="C1152" s="49"/>
      <c r="D1152" s="49"/>
      <c r="E1152" s="49"/>
      <c r="F1152" s="49"/>
      <c r="G1152" s="49"/>
      <c r="H1152" s="49"/>
    </row>
    <row r="1153" spans="2:8" s="63" customFormat="1">
      <c r="B1153" s="49"/>
      <c r="C1153" s="49"/>
      <c r="D1153" s="49"/>
      <c r="E1153" s="49"/>
      <c r="F1153" s="49"/>
      <c r="G1153" s="49"/>
      <c r="H1153" s="49"/>
    </row>
    <row r="1154" spans="2:8" s="63" customFormat="1">
      <c r="B1154" s="49"/>
      <c r="C1154" s="49"/>
      <c r="D1154" s="49"/>
      <c r="E1154" s="49"/>
      <c r="F1154" s="49"/>
      <c r="G1154" s="49"/>
      <c r="H1154" s="49"/>
    </row>
    <row r="1155" spans="2:8" s="63" customFormat="1">
      <c r="B1155" s="49"/>
      <c r="C1155" s="49"/>
      <c r="D1155" s="49"/>
      <c r="E1155" s="49"/>
      <c r="F1155" s="49"/>
      <c r="G1155" s="49"/>
      <c r="H1155" s="49"/>
    </row>
    <row r="1156" spans="2:8" s="63" customFormat="1">
      <c r="B1156" s="49"/>
      <c r="C1156" s="49"/>
      <c r="D1156" s="49"/>
      <c r="E1156" s="49"/>
      <c r="F1156" s="49"/>
      <c r="G1156" s="49"/>
      <c r="H1156" s="49"/>
    </row>
    <row r="1157" spans="2:8" s="63" customFormat="1">
      <c r="B1157" s="49"/>
      <c r="C1157" s="49"/>
      <c r="D1157" s="49"/>
      <c r="E1157" s="49"/>
      <c r="F1157" s="49"/>
      <c r="G1157" s="49"/>
      <c r="H1157" s="49"/>
    </row>
    <row r="1158" spans="2:8" s="63" customFormat="1">
      <c r="B1158" s="49"/>
      <c r="C1158" s="49"/>
      <c r="D1158" s="49"/>
      <c r="E1158" s="49"/>
      <c r="F1158" s="49"/>
      <c r="G1158" s="49"/>
      <c r="H1158" s="49"/>
    </row>
    <row r="1159" spans="2:8" s="63" customFormat="1">
      <c r="B1159" s="49"/>
      <c r="C1159" s="49"/>
      <c r="D1159" s="49"/>
      <c r="E1159" s="49"/>
      <c r="F1159" s="49"/>
      <c r="G1159" s="49"/>
      <c r="H1159" s="49"/>
    </row>
    <row r="1160" spans="2:8" s="63" customFormat="1">
      <c r="B1160" s="49"/>
      <c r="C1160" s="49"/>
      <c r="D1160" s="49"/>
      <c r="E1160" s="49"/>
      <c r="F1160" s="49"/>
      <c r="G1160" s="49"/>
      <c r="H1160" s="49"/>
    </row>
    <row r="1161" spans="2:8" s="63" customFormat="1">
      <c r="B1161" s="49"/>
      <c r="C1161" s="49"/>
      <c r="D1161" s="49"/>
      <c r="E1161" s="49"/>
      <c r="F1161" s="49"/>
      <c r="G1161" s="49"/>
      <c r="H1161" s="49"/>
    </row>
    <row r="1162" spans="2:8" s="63" customFormat="1">
      <c r="B1162" s="49"/>
      <c r="C1162" s="49"/>
      <c r="D1162" s="49"/>
      <c r="E1162" s="49"/>
      <c r="F1162" s="49"/>
      <c r="G1162" s="49"/>
      <c r="H1162" s="49"/>
    </row>
    <row r="1163" spans="2:8" s="63" customFormat="1">
      <c r="B1163" s="49"/>
      <c r="C1163" s="49"/>
      <c r="D1163" s="49"/>
      <c r="E1163" s="49"/>
      <c r="F1163" s="49"/>
      <c r="G1163" s="49"/>
      <c r="H1163" s="49"/>
    </row>
    <row r="1164" spans="2:8" s="63" customFormat="1">
      <c r="B1164" s="49"/>
      <c r="C1164" s="49"/>
      <c r="D1164" s="49"/>
      <c r="E1164" s="49"/>
      <c r="F1164" s="49"/>
      <c r="G1164" s="49"/>
      <c r="H1164" s="49"/>
    </row>
    <row r="1165" spans="2:8" s="63" customFormat="1">
      <c r="B1165" s="49"/>
      <c r="C1165" s="49"/>
      <c r="D1165" s="49"/>
      <c r="E1165" s="49"/>
      <c r="F1165" s="49"/>
      <c r="G1165" s="49"/>
      <c r="H1165" s="49"/>
    </row>
    <row r="1166" spans="2:8" s="63" customFormat="1">
      <c r="B1166" s="49"/>
      <c r="C1166" s="49"/>
      <c r="D1166" s="49"/>
      <c r="E1166" s="49"/>
      <c r="F1166" s="49"/>
      <c r="G1166" s="49"/>
      <c r="H1166" s="49"/>
    </row>
    <row r="1167" spans="2:8" s="63" customFormat="1">
      <c r="B1167" s="49"/>
      <c r="C1167" s="49"/>
      <c r="D1167" s="49"/>
      <c r="E1167" s="49"/>
      <c r="F1167" s="49"/>
      <c r="G1167" s="49"/>
      <c r="H1167" s="49"/>
    </row>
    <row r="1168" spans="2:8" s="63" customFormat="1">
      <c r="B1168" s="49"/>
      <c r="C1168" s="49"/>
      <c r="D1168" s="49"/>
      <c r="E1168" s="49"/>
      <c r="F1168" s="49"/>
      <c r="G1168" s="49"/>
      <c r="H1168" s="49"/>
    </row>
    <row r="1169" spans="2:8" s="63" customFormat="1">
      <c r="B1169" s="49"/>
      <c r="C1169" s="49"/>
      <c r="D1169" s="49"/>
      <c r="E1169" s="49"/>
      <c r="F1169" s="49"/>
      <c r="G1169" s="49"/>
      <c r="H1169" s="49"/>
    </row>
    <row r="1170" spans="2:8" s="63" customFormat="1">
      <c r="B1170" s="49"/>
      <c r="C1170" s="49"/>
      <c r="D1170" s="49"/>
      <c r="E1170" s="49"/>
      <c r="F1170" s="49"/>
      <c r="G1170" s="49"/>
      <c r="H1170" s="49"/>
    </row>
    <row r="1171" spans="2:8" s="63" customFormat="1">
      <c r="B1171" s="49"/>
      <c r="C1171" s="49"/>
      <c r="D1171" s="49"/>
      <c r="E1171" s="49"/>
      <c r="F1171" s="49"/>
      <c r="G1171" s="49"/>
      <c r="H1171" s="49"/>
    </row>
    <row r="1172" spans="2:8" s="63" customFormat="1">
      <c r="B1172" s="49"/>
      <c r="C1172" s="49"/>
      <c r="D1172" s="49"/>
      <c r="E1172" s="49"/>
      <c r="F1172" s="49"/>
      <c r="G1172" s="49"/>
      <c r="H1172" s="49"/>
    </row>
    <row r="1173" spans="2:8" s="63" customFormat="1">
      <c r="B1173" s="49"/>
      <c r="C1173" s="49"/>
      <c r="D1173" s="49"/>
      <c r="E1173" s="49"/>
      <c r="F1173" s="49"/>
      <c r="G1173" s="49"/>
      <c r="H1173" s="49"/>
    </row>
    <row r="1174" spans="2:8" s="63" customFormat="1">
      <c r="B1174" s="49"/>
      <c r="C1174" s="49"/>
      <c r="D1174" s="49"/>
      <c r="E1174" s="49"/>
      <c r="F1174" s="49"/>
      <c r="G1174" s="49"/>
      <c r="H1174" s="49"/>
    </row>
    <row r="1175" spans="2:8" s="63" customFormat="1">
      <c r="B1175" s="49"/>
      <c r="C1175" s="49"/>
      <c r="D1175" s="49"/>
      <c r="E1175" s="49"/>
      <c r="F1175" s="49"/>
      <c r="G1175" s="49"/>
      <c r="H1175" s="49"/>
    </row>
    <row r="1176" spans="2:8" s="63" customFormat="1">
      <c r="B1176" s="49"/>
      <c r="C1176" s="49"/>
      <c r="D1176" s="49"/>
      <c r="E1176" s="49"/>
      <c r="F1176" s="49"/>
      <c r="G1176" s="49"/>
      <c r="H1176" s="49"/>
    </row>
    <row r="1177" spans="2:8" s="63" customFormat="1">
      <c r="B1177" s="49"/>
      <c r="C1177" s="49"/>
      <c r="D1177" s="49"/>
      <c r="E1177" s="49"/>
      <c r="F1177" s="49"/>
      <c r="G1177" s="49"/>
      <c r="H1177" s="49"/>
    </row>
    <row r="1178" spans="2:8" s="63" customFormat="1">
      <c r="B1178" s="49"/>
      <c r="C1178" s="49"/>
      <c r="D1178" s="49"/>
      <c r="E1178" s="49"/>
      <c r="F1178" s="49"/>
      <c r="G1178" s="49"/>
      <c r="H1178" s="49"/>
    </row>
    <row r="1179" spans="2:8" s="63" customFormat="1">
      <c r="B1179" s="49"/>
      <c r="C1179" s="49"/>
      <c r="D1179" s="49"/>
      <c r="E1179" s="49"/>
      <c r="F1179" s="49"/>
      <c r="G1179" s="49"/>
      <c r="H1179" s="49"/>
    </row>
    <row r="1180" spans="2:8" s="63" customFormat="1">
      <c r="B1180" s="49"/>
      <c r="C1180" s="49"/>
      <c r="D1180" s="49"/>
      <c r="E1180" s="49"/>
      <c r="F1180" s="49"/>
      <c r="G1180" s="49"/>
      <c r="H1180" s="49"/>
    </row>
    <row r="1181" spans="2:8" s="63" customFormat="1">
      <c r="B1181" s="49"/>
      <c r="C1181" s="49"/>
      <c r="D1181" s="49"/>
      <c r="E1181" s="49"/>
      <c r="F1181" s="49"/>
      <c r="G1181" s="49"/>
      <c r="H1181" s="49"/>
    </row>
    <row r="1182" spans="2:8" s="63" customFormat="1">
      <c r="B1182" s="49"/>
      <c r="C1182" s="49"/>
      <c r="D1182" s="49"/>
      <c r="E1182" s="49"/>
      <c r="F1182" s="49"/>
      <c r="G1182" s="49"/>
      <c r="H1182" s="49"/>
    </row>
    <row r="1183" spans="2:8" s="63" customFormat="1">
      <c r="B1183" s="49"/>
      <c r="C1183" s="49"/>
      <c r="D1183" s="49"/>
      <c r="E1183" s="49"/>
      <c r="F1183" s="49"/>
      <c r="G1183" s="49"/>
      <c r="H1183" s="49"/>
    </row>
    <row r="1184" spans="2:8" s="63" customFormat="1">
      <c r="B1184" s="49"/>
      <c r="C1184" s="49"/>
      <c r="D1184" s="49"/>
      <c r="E1184" s="49"/>
      <c r="F1184" s="49"/>
      <c r="G1184" s="49"/>
      <c r="H1184" s="49"/>
    </row>
    <row r="1185" spans="2:8" s="63" customFormat="1">
      <c r="B1185" s="49"/>
      <c r="C1185" s="49"/>
      <c r="D1185" s="49"/>
      <c r="E1185" s="49"/>
      <c r="F1185" s="49"/>
      <c r="G1185" s="49"/>
      <c r="H1185" s="49"/>
    </row>
    <row r="1186" spans="2:8" s="63" customFormat="1">
      <c r="B1186" s="49"/>
      <c r="C1186" s="49"/>
      <c r="D1186" s="49"/>
      <c r="E1186" s="49"/>
      <c r="F1186" s="49"/>
      <c r="G1186" s="49"/>
      <c r="H1186" s="49"/>
    </row>
    <row r="1187" spans="2:8" s="63" customFormat="1">
      <c r="B1187" s="49"/>
      <c r="C1187" s="49"/>
      <c r="D1187" s="49"/>
      <c r="E1187" s="49"/>
      <c r="F1187" s="49"/>
      <c r="G1187" s="49"/>
      <c r="H1187" s="49"/>
    </row>
    <row r="1188" spans="2:8" s="63" customFormat="1">
      <c r="B1188" s="49"/>
      <c r="C1188" s="49"/>
      <c r="D1188" s="49"/>
      <c r="E1188" s="49"/>
      <c r="F1188" s="49"/>
      <c r="G1188" s="49"/>
      <c r="H1188" s="49"/>
    </row>
    <row r="1189" spans="2:8" s="63" customFormat="1">
      <c r="B1189" s="49"/>
      <c r="C1189" s="49"/>
      <c r="D1189" s="49"/>
      <c r="E1189" s="49"/>
      <c r="F1189" s="49"/>
      <c r="G1189" s="49"/>
      <c r="H1189" s="49"/>
    </row>
    <row r="1190" spans="2:8" s="63" customFormat="1">
      <c r="B1190" s="49"/>
      <c r="C1190" s="49"/>
      <c r="D1190" s="49"/>
      <c r="E1190" s="49"/>
      <c r="F1190" s="49"/>
      <c r="G1190" s="49"/>
      <c r="H1190" s="49"/>
    </row>
    <row r="1191" spans="2:8" s="63" customFormat="1">
      <c r="B1191" s="49"/>
      <c r="C1191" s="49"/>
      <c r="D1191" s="49"/>
      <c r="E1191" s="49"/>
      <c r="F1191" s="49"/>
      <c r="G1191" s="49"/>
      <c r="H1191" s="49"/>
    </row>
    <row r="1192" spans="2:8" s="63" customFormat="1">
      <c r="B1192" s="49"/>
      <c r="C1192" s="49"/>
      <c r="D1192" s="49"/>
      <c r="E1192" s="49"/>
      <c r="F1192" s="49"/>
      <c r="G1192" s="49"/>
      <c r="H1192" s="49"/>
    </row>
    <row r="1193" spans="2:8" s="63" customFormat="1">
      <c r="B1193" s="49"/>
      <c r="C1193" s="49"/>
      <c r="D1193" s="49"/>
      <c r="E1193" s="49"/>
      <c r="F1193" s="49"/>
      <c r="G1193" s="49"/>
      <c r="H1193" s="49"/>
    </row>
    <row r="1194" spans="2:8" s="63" customFormat="1">
      <c r="B1194" s="49"/>
      <c r="C1194" s="49"/>
      <c r="D1194" s="49"/>
      <c r="E1194" s="49"/>
      <c r="F1194" s="49"/>
      <c r="G1194" s="49"/>
      <c r="H1194" s="49"/>
    </row>
    <row r="1195" spans="2:8" s="63" customFormat="1">
      <c r="B1195" s="49"/>
      <c r="C1195" s="49"/>
      <c r="D1195" s="49"/>
      <c r="E1195" s="49"/>
      <c r="F1195" s="49"/>
      <c r="G1195" s="49"/>
      <c r="H1195" s="49"/>
    </row>
    <row r="1196" spans="2:8" s="63" customFormat="1">
      <c r="B1196" s="49"/>
      <c r="C1196" s="49"/>
      <c r="D1196" s="49"/>
      <c r="E1196" s="49"/>
      <c r="F1196" s="49"/>
      <c r="G1196" s="49"/>
      <c r="H1196" s="49"/>
    </row>
    <row r="1197" spans="2:8" s="63" customFormat="1">
      <c r="B1197" s="49"/>
      <c r="C1197" s="49"/>
      <c r="D1197" s="49"/>
      <c r="E1197" s="49"/>
      <c r="F1197" s="49"/>
      <c r="G1197" s="49"/>
      <c r="H1197" s="49"/>
    </row>
    <row r="1198" spans="2:8" s="63" customFormat="1">
      <c r="B1198" s="49"/>
      <c r="C1198" s="49"/>
      <c r="D1198" s="49"/>
      <c r="E1198" s="49"/>
      <c r="F1198" s="49"/>
      <c r="G1198" s="49"/>
      <c r="H1198" s="49"/>
    </row>
    <row r="1199" spans="2:8" s="63" customFormat="1">
      <c r="B1199" s="49"/>
      <c r="C1199" s="49"/>
      <c r="D1199" s="49"/>
      <c r="E1199" s="49"/>
      <c r="F1199" s="49"/>
      <c r="G1199" s="49"/>
      <c r="H1199" s="49"/>
    </row>
    <row r="1200" spans="2:8" s="63" customFormat="1">
      <c r="B1200" s="49"/>
      <c r="C1200" s="49"/>
      <c r="D1200" s="49"/>
      <c r="E1200" s="49"/>
      <c r="F1200" s="49"/>
      <c r="G1200" s="49"/>
      <c r="H1200" s="49"/>
    </row>
    <row r="1201" spans="2:8" s="63" customFormat="1">
      <c r="B1201" s="49"/>
      <c r="C1201" s="49"/>
      <c r="D1201" s="49"/>
      <c r="E1201" s="49"/>
      <c r="F1201" s="49"/>
      <c r="G1201" s="49"/>
      <c r="H1201" s="49"/>
    </row>
    <row r="1202" spans="2:8" s="63" customFormat="1">
      <c r="B1202" s="49"/>
      <c r="C1202" s="49"/>
      <c r="D1202" s="49"/>
      <c r="E1202" s="49"/>
      <c r="F1202" s="49"/>
      <c r="G1202" s="49"/>
      <c r="H1202" s="49"/>
    </row>
    <row r="1203" spans="2:8" s="63" customFormat="1">
      <c r="B1203" s="49"/>
      <c r="C1203" s="49"/>
      <c r="D1203" s="49"/>
      <c r="E1203" s="49"/>
      <c r="F1203" s="49"/>
      <c r="G1203" s="49"/>
      <c r="H1203" s="49"/>
    </row>
    <row r="1204" spans="2:8" s="63" customFormat="1">
      <c r="B1204" s="49"/>
      <c r="C1204" s="49"/>
      <c r="D1204" s="49"/>
      <c r="E1204" s="49"/>
      <c r="F1204" s="49"/>
      <c r="G1204" s="49"/>
      <c r="H1204" s="49"/>
    </row>
    <row r="1205" spans="2:8" s="63" customFormat="1">
      <c r="B1205" s="49"/>
      <c r="C1205" s="49"/>
      <c r="D1205" s="49"/>
      <c r="E1205" s="49"/>
      <c r="F1205" s="49"/>
      <c r="G1205" s="49"/>
      <c r="H1205" s="49"/>
    </row>
    <row r="1206" spans="2:8" s="63" customFormat="1">
      <c r="B1206" s="49"/>
      <c r="C1206" s="49"/>
      <c r="D1206" s="49"/>
      <c r="E1206" s="49"/>
      <c r="F1206" s="49"/>
      <c r="G1206" s="49"/>
      <c r="H1206" s="49"/>
    </row>
    <row r="1207" spans="2:8" s="63" customFormat="1">
      <c r="B1207" s="49"/>
      <c r="C1207" s="49"/>
      <c r="D1207" s="49"/>
      <c r="E1207" s="49"/>
      <c r="F1207" s="49"/>
      <c r="G1207" s="49"/>
      <c r="H1207" s="49"/>
    </row>
    <row r="1208" spans="2:8" s="63" customFormat="1">
      <c r="B1208" s="49"/>
      <c r="C1208" s="49"/>
      <c r="D1208" s="49"/>
      <c r="E1208" s="49"/>
      <c r="F1208" s="49"/>
      <c r="G1208" s="49"/>
      <c r="H1208" s="49"/>
    </row>
    <row r="1209" spans="2:8" s="63" customFormat="1">
      <c r="B1209" s="49"/>
      <c r="C1209" s="49"/>
      <c r="D1209" s="49"/>
      <c r="E1209" s="49"/>
      <c r="F1209" s="49"/>
      <c r="G1209" s="49"/>
      <c r="H1209" s="49"/>
    </row>
    <row r="1210" spans="2:8" s="63" customFormat="1">
      <c r="B1210" s="49"/>
      <c r="C1210" s="49"/>
      <c r="D1210" s="49"/>
      <c r="E1210" s="49"/>
      <c r="F1210" s="49"/>
      <c r="G1210" s="49"/>
      <c r="H1210" s="49"/>
    </row>
    <row r="1211" spans="2:8" s="63" customFormat="1">
      <c r="B1211" s="49"/>
      <c r="C1211" s="49"/>
      <c r="D1211" s="49"/>
      <c r="E1211" s="49"/>
      <c r="F1211" s="49"/>
      <c r="G1211" s="49"/>
      <c r="H1211" s="49"/>
    </row>
    <row r="1212" spans="2:8" s="63" customFormat="1">
      <c r="B1212" s="49"/>
      <c r="C1212" s="49"/>
      <c r="D1212" s="49"/>
      <c r="E1212" s="49"/>
      <c r="F1212" s="49"/>
      <c r="G1212" s="49"/>
      <c r="H1212" s="49"/>
    </row>
    <row r="1213" spans="2:8" s="63" customFormat="1">
      <c r="B1213" s="49"/>
      <c r="C1213" s="49"/>
      <c r="D1213" s="49"/>
      <c r="E1213" s="49"/>
      <c r="F1213" s="49"/>
      <c r="G1213" s="49"/>
      <c r="H1213" s="49"/>
    </row>
    <row r="1214" spans="2:8" s="63" customFormat="1">
      <c r="B1214" s="49"/>
      <c r="C1214" s="49"/>
      <c r="D1214" s="49"/>
      <c r="E1214" s="49"/>
      <c r="F1214" s="49"/>
      <c r="G1214" s="49"/>
      <c r="H1214" s="49"/>
    </row>
    <row r="1215" spans="2:8" s="63" customFormat="1">
      <c r="B1215" s="49"/>
      <c r="C1215" s="49"/>
      <c r="D1215" s="49"/>
      <c r="E1215" s="49"/>
      <c r="F1215" s="49"/>
      <c r="G1215" s="49"/>
      <c r="H1215" s="49"/>
    </row>
    <row r="1216" spans="2:8" s="63" customFormat="1">
      <c r="B1216" s="49"/>
      <c r="C1216" s="49"/>
      <c r="D1216" s="49"/>
      <c r="E1216" s="49"/>
      <c r="F1216" s="49"/>
      <c r="G1216" s="49"/>
      <c r="H1216" s="49"/>
    </row>
    <row r="1217" spans="2:8" s="63" customFormat="1">
      <c r="B1217" s="49"/>
      <c r="C1217" s="49"/>
      <c r="D1217" s="49"/>
      <c r="E1217" s="49"/>
      <c r="F1217" s="49"/>
      <c r="G1217" s="49"/>
      <c r="H1217" s="49"/>
    </row>
    <row r="1218" spans="2:8" s="63" customFormat="1">
      <c r="B1218" s="49"/>
      <c r="C1218" s="49"/>
      <c r="D1218" s="49"/>
      <c r="E1218" s="49"/>
      <c r="F1218" s="49"/>
      <c r="G1218" s="49"/>
      <c r="H1218" s="49"/>
    </row>
    <row r="1219" spans="2:8" s="63" customFormat="1">
      <c r="B1219" s="49"/>
      <c r="C1219" s="49"/>
      <c r="D1219" s="49"/>
      <c r="E1219" s="49"/>
      <c r="F1219" s="49"/>
      <c r="G1219" s="49"/>
      <c r="H1219" s="49"/>
    </row>
    <row r="1220" spans="2:8" s="63" customFormat="1">
      <c r="B1220" s="49"/>
      <c r="C1220" s="49"/>
      <c r="D1220" s="49"/>
      <c r="E1220" s="49"/>
      <c r="F1220" s="49"/>
      <c r="G1220" s="49"/>
      <c r="H1220" s="49"/>
    </row>
    <row r="1221" spans="2:8" s="63" customFormat="1">
      <c r="B1221" s="49"/>
      <c r="C1221" s="49"/>
      <c r="D1221" s="49"/>
      <c r="E1221" s="49"/>
      <c r="F1221" s="49"/>
      <c r="G1221" s="49"/>
      <c r="H1221" s="49"/>
    </row>
    <row r="1222" spans="2:8" s="63" customFormat="1">
      <c r="B1222" s="49"/>
      <c r="C1222" s="49"/>
      <c r="D1222" s="49"/>
      <c r="E1222" s="49"/>
      <c r="F1222" s="49"/>
      <c r="G1222" s="49"/>
      <c r="H1222" s="49"/>
    </row>
    <row r="1223" spans="2:8" s="63" customFormat="1">
      <c r="B1223" s="49"/>
      <c r="C1223" s="49"/>
      <c r="D1223" s="49"/>
      <c r="E1223" s="49"/>
      <c r="F1223" s="49"/>
      <c r="G1223" s="49"/>
      <c r="H1223" s="49"/>
    </row>
    <row r="1224" spans="2:8" s="63" customFormat="1">
      <c r="B1224" s="49"/>
      <c r="C1224" s="49"/>
      <c r="D1224" s="49"/>
      <c r="E1224" s="49"/>
      <c r="F1224" s="49"/>
      <c r="G1224" s="49"/>
      <c r="H1224" s="49"/>
    </row>
    <row r="1225" spans="2:8" s="63" customFormat="1">
      <c r="B1225" s="49"/>
      <c r="C1225" s="49"/>
      <c r="D1225" s="49"/>
      <c r="E1225" s="49"/>
      <c r="F1225" s="49"/>
      <c r="G1225" s="49"/>
      <c r="H1225" s="49"/>
    </row>
    <row r="1226" spans="2:8" s="63" customFormat="1">
      <c r="B1226" s="49"/>
      <c r="C1226" s="49"/>
      <c r="D1226" s="49"/>
      <c r="E1226" s="49"/>
      <c r="F1226" s="49"/>
      <c r="G1226" s="49"/>
      <c r="H1226" s="49"/>
    </row>
    <row r="1227" spans="2:8" s="63" customFormat="1">
      <c r="B1227" s="49"/>
      <c r="C1227" s="49"/>
      <c r="D1227" s="49"/>
      <c r="E1227" s="49"/>
      <c r="F1227" s="49"/>
      <c r="G1227" s="49"/>
      <c r="H1227" s="49"/>
    </row>
    <row r="1228" spans="2:8" s="63" customFormat="1">
      <c r="B1228" s="49"/>
      <c r="C1228" s="49"/>
      <c r="D1228" s="49"/>
      <c r="E1228" s="49"/>
      <c r="F1228" s="49"/>
      <c r="G1228" s="49"/>
      <c r="H1228" s="49"/>
    </row>
    <row r="1229" spans="2:8" s="63" customFormat="1">
      <c r="B1229" s="49"/>
      <c r="C1229" s="49"/>
      <c r="D1229" s="49"/>
      <c r="E1229" s="49"/>
      <c r="F1229" s="49"/>
      <c r="G1229" s="49"/>
      <c r="H1229" s="49"/>
    </row>
    <row r="1230" spans="2:8" s="63" customFormat="1">
      <c r="B1230" s="49"/>
      <c r="C1230" s="49"/>
      <c r="D1230" s="49"/>
      <c r="E1230" s="49"/>
      <c r="F1230" s="49"/>
      <c r="G1230" s="49"/>
      <c r="H1230" s="49"/>
    </row>
    <row r="1231" spans="2:8" s="63" customFormat="1">
      <c r="B1231" s="49"/>
      <c r="C1231" s="49"/>
      <c r="D1231" s="49"/>
      <c r="E1231" s="49"/>
      <c r="F1231" s="49"/>
      <c r="G1231" s="49"/>
      <c r="H1231" s="49"/>
    </row>
    <row r="1232" spans="2:8" s="63" customFormat="1">
      <c r="B1232" s="49"/>
      <c r="C1232" s="49"/>
      <c r="D1232" s="49"/>
      <c r="E1232" s="49"/>
      <c r="F1232" s="49"/>
      <c r="G1232" s="49"/>
      <c r="H1232" s="49"/>
    </row>
    <row r="1233" spans="2:8" s="63" customFormat="1">
      <c r="B1233" s="49"/>
      <c r="C1233" s="49"/>
      <c r="D1233" s="49"/>
      <c r="E1233" s="49"/>
      <c r="F1233" s="49"/>
      <c r="G1233" s="49"/>
      <c r="H1233" s="49"/>
    </row>
    <row r="1234" spans="2:8" s="63" customFormat="1">
      <c r="B1234" s="49"/>
      <c r="C1234" s="49"/>
      <c r="D1234" s="49"/>
      <c r="E1234" s="49"/>
      <c r="F1234" s="49"/>
      <c r="G1234" s="49"/>
      <c r="H1234" s="49"/>
    </row>
    <row r="1235" spans="2:8" s="63" customFormat="1">
      <c r="B1235" s="49"/>
      <c r="C1235" s="49"/>
      <c r="D1235" s="49"/>
      <c r="E1235" s="49"/>
      <c r="F1235" s="49"/>
      <c r="G1235" s="49"/>
      <c r="H1235" s="49"/>
    </row>
    <row r="1236" spans="2:8" s="63" customFormat="1">
      <c r="B1236" s="49"/>
      <c r="C1236" s="49"/>
      <c r="D1236" s="49"/>
      <c r="E1236" s="49"/>
      <c r="F1236" s="49"/>
      <c r="G1236" s="49"/>
      <c r="H1236" s="49"/>
    </row>
    <row r="1237" spans="2:8" s="63" customFormat="1">
      <c r="B1237" s="49"/>
      <c r="C1237" s="49"/>
      <c r="D1237" s="49"/>
      <c r="E1237" s="49"/>
      <c r="F1237" s="49"/>
      <c r="G1237" s="49"/>
      <c r="H1237" s="49"/>
    </row>
    <row r="1238" spans="2:8" s="63" customFormat="1">
      <c r="B1238" s="49"/>
      <c r="C1238" s="49"/>
      <c r="D1238" s="49"/>
      <c r="E1238" s="49"/>
      <c r="F1238" s="49"/>
      <c r="G1238" s="49"/>
      <c r="H1238" s="49"/>
    </row>
    <row r="1239" spans="2:8" s="63" customFormat="1">
      <c r="B1239" s="49"/>
      <c r="C1239" s="49"/>
      <c r="D1239" s="49"/>
      <c r="E1239" s="49"/>
      <c r="F1239" s="49"/>
      <c r="G1239" s="49"/>
      <c r="H1239" s="49"/>
    </row>
    <row r="1240" spans="2:8" s="63" customFormat="1">
      <c r="B1240" s="49"/>
      <c r="C1240" s="49"/>
      <c r="D1240" s="49"/>
      <c r="E1240" s="49"/>
      <c r="F1240" s="49"/>
      <c r="G1240" s="49"/>
      <c r="H1240" s="49"/>
    </row>
    <row r="1241" spans="2:8" s="63" customFormat="1">
      <c r="B1241" s="49"/>
      <c r="C1241" s="49"/>
      <c r="D1241" s="49"/>
      <c r="E1241" s="49"/>
      <c r="F1241" s="49"/>
      <c r="G1241" s="49"/>
      <c r="H1241" s="49"/>
    </row>
    <row r="1242" spans="2:8" s="63" customFormat="1">
      <c r="B1242" s="49"/>
      <c r="C1242" s="49"/>
      <c r="D1242" s="49"/>
      <c r="E1242" s="49"/>
      <c r="F1242" s="49"/>
      <c r="G1242" s="49"/>
      <c r="H1242" s="49"/>
    </row>
    <row r="1243" spans="2:8" s="63" customFormat="1">
      <c r="B1243" s="49"/>
      <c r="C1243" s="49"/>
      <c r="D1243" s="49"/>
      <c r="E1243" s="49"/>
      <c r="F1243" s="49"/>
      <c r="G1243" s="49"/>
      <c r="H1243" s="49"/>
    </row>
    <row r="1244" spans="2:8" s="63" customFormat="1">
      <c r="B1244" s="49"/>
      <c r="C1244" s="49"/>
      <c r="D1244" s="49"/>
      <c r="E1244" s="49"/>
      <c r="F1244" s="49"/>
      <c r="G1244" s="49"/>
      <c r="H1244" s="49"/>
    </row>
    <row r="1245" spans="2:8" s="63" customFormat="1">
      <c r="B1245" s="49"/>
      <c r="C1245" s="49"/>
      <c r="D1245" s="49"/>
      <c r="E1245" s="49"/>
      <c r="F1245" s="49"/>
      <c r="G1245" s="49"/>
      <c r="H1245" s="49"/>
    </row>
    <row r="1246" spans="2:8" s="63" customFormat="1">
      <c r="B1246" s="49"/>
      <c r="C1246" s="49"/>
      <c r="D1246" s="49"/>
      <c r="E1246" s="49"/>
      <c r="F1246" s="49"/>
      <c r="G1246" s="49"/>
      <c r="H1246" s="49"/>
    </row>
    <row r="1247" spans="2:8" s="63" customFormat="1">
      <c r="B1247" s="49"/>
      <c r="C1247" s="49"/>
      <c r="D1247" s="49"/>
      <c r="E1247" s="49"/>
      <c r="F1247" s="49"/>
      <c r="G1247" s="49"/>
      <c r="H1247" s="49"/>
    </row>
    <row r="1248" spans="2:8" s="63" customFormat="1">
      <c r="B1248" s="49"/>
      <c r="C1248" s="49"/>
      <c r="D1248" s="49"/>
      <c r="E1248" s="49"/>
      <c r="F1248" s="49"/>
      <c r="G1248" s="49"/>
      <c r="H1248" s="49"/>
    </row>
    <row r="1249" spans="2:8" s="63" customFormat="1">
      <c r="B1249" s="49"/>
      <c r="C1249" s="49"/>
      <c r="D1249" s="49"/>
      <c r="E1249" s="49"/>
      <c r="F1249" s="49"/>
      <c r="G1249" s="49"/>
      <c r="H1249" s="49"/>
    </row>
    <row r="1250" spans="2:8" s="63" customFormat="1">
      <c r="B1250" s="49"/>
      <c r="C1250" s="49"/>
      <c r="D1250" s="49"/>
      <c r="E1250" s="49"/>
      <c r="F1250" s="49"/>
      <c r="G1250" s="49"/>
      <c r="H1250" s="49"/>
    </row>
    <row r="1251" spans="2:8" s="63" customFormat="1">
      <c r="B1251" s="49"/>
      <c r="C1251" s="49"/>
      <c r="D1251" s="49"/>
      <c r="E1251" s="49"/>
      <c r="F1251" s="49"/>
      <c r="G1251" s="49"/>
      <c r="H1251" s="49"/>
    </row>
    <row r="1252" spans="2:8" s="63" customFormat="1">
      <c r="B1252" s="49"/>
      <c r="C1252" s="49"/>
      <c r="D1252" s="49"/>
      <c r="E1252" s="49"/>
      <c r="F1252" s="49"/>
      <c r="G1252" s="49"/>
      <c r="H1252" s="49"/>
    </row>
    <row r="1253" spans="2:8" s="63" customFormat="1">
      <c r="B1253" s="49"/>
      <c r="C1253" s="49"/>
      <c r="D1253" s="49"/>
      <c r="E1253" s="49"/>
      <c r="F1253" s="49"/>
      <c r="G1253" s="49"/>
      <c r="H1253" s="49"/>
    </row>
    <row r="1254" spans="2:8" s="63" customFormat="1">
      <c r="B1254" s="49"/>
      <c r="C1254" s="49"/>
      <c r="D1254" s="49"/>
      <c r="E1254" s="49"/>
      <c r="F1254" s="49"/>
      <c r="G1254" s="49"/>
      <c r="H1254" s="49"/>
    </row>
    <row r="1255" spans="2:8" s="63" customFormat="1">
      <c r="B1255" s="49"/>
      <c r="C1255" s="49"/>
      <c r="D1255" s="49"/>
      <c r="E1255" s="49"/>
      <c r="F1255" s="49"/>
      <c r="G1255" s="49"/>
      <c r="H1255" s="49"/>
    </row>
    <row r="1256" spans="2:8" s="63" customFormat="1">
      <c r="B1256" s="49"/>
      <c r="C1256" s="49"/>
      <c r="D1256" s="49"/>
      <c r="E1256" s="49"/>
      <c r="F1256" s="49"/>
      <c r="G1256" s="49"/>
      <c r="H1256" s="49"/>
    </row>
    <row r="1257" spans="2:8" s="63" customFormat="1">
      <c r="B1257" s="49"/>
      <c r="C1257" s="49"/>
      <c r="D1257" s="49"/>
      <c r="E1257" s="49"/>
      <c r="F1257" s="49"/>
      <c r="G1257" s="49"/>
      <c r="H1257" s="49"/>
    </row>
    <row r="1258" spans="2:8" s="63" customFormat="1">
      <c r="B1258" s="49"/>
      <c r="C1258" s="49"/>
      <c r="D1258" s="49"/>
      <c r="E1258" s="49"/>
      <c r="F1258" s="49"/>
      <c r="G1258" s="49"/>
      <c r="H1258" s="49"/>
    </row>
    <row r="1259" spans="2:8" s="63" customFormat="1">
      <c r="B1259" s="49"/>
      <c r="C1259" s="49"/>
      <c r="D1259" s="49"/>
      <c r="E1259" s="49"/>
      <c r="F1259" s="49"/>
      <c r="G1259" s="49"/>
      <c r="H1259" s="49"/>
    </row>
    <row r="1260" spans="2:8" s="63" customFormat="1">
      <c r="B1260" s="49"/>
      <c r="C1260" s="49"/>
      <c r="D1260" s="49"/>
      <c r="E1260" s="49"/>
      <c r="F1260" s="49"/>
      <c r="G1260" s="49"/>
      <c r="H1260" s="49"/>
    </row>
    <row r="1261" spans="2:8" s="63" customFormat="1">
      <c r="B1261" s="49"/>
      <c r="C1261" s="49"/>
      <c r="D1261" s="49"/>
      <c r="E1261" s="49"/>
      <c r="F1261" s="49"/>
      <c r="G1261" s="49"/>
      <c r="H1261" s="49"/>
    </row>
    <row r="1262" spans="2:8" s="63" customFormat="1">
      <c r="B1262" s="49"/>
      <c r="C1262" s="49"/>
      <c r="D1262" s="49"/>
      <c r="E1262" s="49"/>
      <c r="F1262" s="49"/>
      <c r="G1262" s="49"/>
      <c r="H1262" s="49"/>
    </row>
    <row r="1263" spans="2:8" s="63" customFormat="1">
      <c r="B1263" s="49"/>
      <c r="C1263" s="49"/>
      <c r="D1263" s="49"/>
      <c r="E1263" s="49"/>
      <c r="F1263" s="49"/>
      <c r="G1263" s="49"/>
      <c r="H1263" s="49"/>
    </row>
    <row r="1264" spans="2:8" s="63" customFormat="1">
      <c r="B1264" s="49"/>
      <c r="C1264" s="49"/>
      <c r="D1264" s="49"/>
      <c r="E1264" s="49"/>
      <c r="F1264" s="49"/>
      <c r="G1264" s="49"/>
      <c r="H1264" s="49"/>
    </row>
    <row r="1265" spans="2:8" s="63" customFormat="1">
      <c r="B1265" s="49"/>
      <c r="C1265" s="49"/>
      <c r="D1265" s="49"/>
      <c r="E1265" s="49"/>
      <c r="F1265" s="49"/>
      <c r="G1265" s="49"/>
      <c r="H1265" s="49"/>
    </row>
    <row r="1266" spans="2:8" s="63" customFormat="1">
      <c r="B1266" s="49"/>
      <c r="C1266" s="49"/>
      <c r="D1266" s="49"/>
      <c r="E1266" s="49"/>
      <c r="F1266" s="49"/>
      <c r="G1266" s="49"/>
      <c r="H1266" s="49"/>
    </row>
    <row r="1267" spans="2:8" s="63" customFormat="1">
      <c r="B1267" s="49"/>
      <c r="C1267" s="49"/>
      <c r="D1267" s="49"/>
      <c r="E1267" s="49"/>
      <c r="F1267" s="49"/>
      <c r="G1267" s="49"/>
      <c r="H1267" s="49"/>
    </row>
    <row r="1268" spans="2:8" s="63" customFormat="1">
      <c r="B1268" s="49"/>
      <c r="C1268" s="49"/>
      <c r="D1268" s="49"/>
      <c r="E1268" s="49"/>
      <c r="F1268" s="49"/>
      <c r="G1268" s="49"/>
      <c r="H1268" s="49"/>
    </row>
    <row r="1269" spans="2:8" s="63" customFormat="1">
      <c r="B1269" s="49"/>
      <c r="C1269" s="49"/>
      <c r="D1269" s="49"/>
      <c r="E1269" s="49"/>
      <c r="F1269" s="49"/>
      <c r="G1269" s="49"/>
      <c r="H1269" s="49"/>
    </row>
    <row r="1270" spans="2:8" s="63" customFormat="1">
      <c r="B1270" s="49"/>
      <c r="C1270" s="49"/>
      <c r="D1270" s="49"/>
      <c r="E1270" s="49"/>
      <c r="F1270" s="49"/>
      <c r="G1270" s="49"/>
      <c r="H1270" s="49"/>
    </row>
    <row r="1271" spans="2:8" s="63" customFormat="1">
      <c r="B1271" s="49"/>
      <c r="C1271" s="49"/>
      <c r="D1271" s="49"/>
      <c r="E1271" s="49"/>
      <c r="F1271" s="49"/>
      <c r="G1271" s="49"/>
      <c r="H1271" s="49"/>
    </row>
    <row r="1272" spans="2:8" s="63" customFormat="1">
      <c r="B1272" s="49"/>
      <c r="C1272" s="49"/>
      <c r="D1272" s="49"/>
      <c r="E1272" s="49"/>
      <c r="F1272" s="49"/>
      <c r="G1272" s="49"/>
      <c r="H1272" s="49"/>
    </row>
    <row r="1273" spans="2:8" s="63" customFormat="1">
      <c r="B1273" s="49"/>
      <c r="C1273" s="49"/>
      <c r="D1273" s="49"/>
      <c r="E1273" s="49"/>
      <c r="F1273" s="49"/>
      <c r="G1273" s="49"/>
      <c r="H1273" s="49"/>
    </row>
    <row r="1274" spans="2:8" s="63" customFormat="1">
      <c r="B1274" s="49"/>
      <c r="C1274" s="49"/>
      <c r="D1274" s="49"/>
      <c r="E1274" s="49"/>
      <c r="F1274" s="49"/>
      <c r="G1274" s="49"/>
      <c r="H1274" s="49"/>
    </row>
    <row r="1275" spans="2:8" s="63" customFormat="1">
      <c r="B1275" s="49"/>
      <c r="C1275" s="49"/>
      <c r="D1275" s="49"/>
      <c r="E1275" s="49"/>
      <c r="F1275" s="49"/>
      <c r="G1275" s="49"/>
      <c r="H1275" s="49"/>
    </row>
    <row r="1276" spans="2:8" s="63" customFormat="1">
      <c r="B1276" s="49"/>
      <c r="C1276" s="49"/>
      <c r="D1276" s="49"/>
      <c r="E1276" s="49"/>
      <c r="F1276" s="49"/>
      <c r="G1276" s="49"/>
      <c r="H1276" s="49"/>
    </row>
    <row r="1277" spans="2:8" s="63" customFormat="1">
      <c r="B1277" s="49"/>
      <c r="C1277" s="49"/>
      <c r="D1277" s="49"/>
      <c r="E1277" s="49"/>
      <c r="F1277" s="49"/>
      <c r="G1277" s="49"/>
      <c r="H1277" s="49"/>
    </row>
    <row r="1278" spans="2:8" s="63" customFormat="1">
      <c r="B1278" s="49"/>
      <c r="C1278" s="49"/>
      <c r="D1278" s="49"/>
      <c r="E1278" s="49"/>
      <c r="F1278" s="49"/>
      <c r="G1278" s="49"/>
      <c r="H1278" s="49"/>
    </row>
    <row r="1279" spans="2:8" s="63" customFormat="1">
      <c r="B1279" s="49"/>
      <c r="C1279" s="49"/>
      <c r="D1279" s="49"/>
      <c r="E1279" s="49"/>
      <c r="F1279" s="49"/>
      <c r="G1279" s="49"/>
      <c r="H1279" s="49"/>
    </row>
    <row r="1280" spans="2:8" s="63" customFormat="1">
      <c r="B1280" s="49"/>
      <c r="C1280" s="49"/>
      <c r="D1280" s="49"/>
      <c r="E1280" s="49"/>
      <c r="F1280" s="49"/>
      <c r="G1280" s="49"/>
      <c r="H1280" s="49"/>
    </row>
    <row r="1281" spans="2:8" s="63" customFormat="1">
      <c r="B1281" s="49"/>
      <c r="C1281" s="49"/>
      <c r="D1281" s="49"/>
      <c r="E1281" s="49"/>
      <c r="F1281" s="49"/>
      <c r="G1281" s="49"/>
      <c r="H1281" s="49"/>
    </row>
    <row r="1282" spans="2:8" s="63" customFormat="1">
      <c r="B1282" s="49"/>
      <c r="C1282" s="49"/>
      <c r="D1282" s="49"/>
      <c r="E1282" s="49"/>
      <c r="F1282" s="49"/>
      <c r="G1282" s="49"/>
      <c r="H1282" s="49"/>
    </row>
    <row r="1283" spans="2:8" s="63" customFormat="1">
      <c r="B1283" s="49"/>
      <c r="C1283" s="49"/>
      <c r="D1283" s="49"/>
      <c r="E1283" s="49"/>
      <c r="F1283" s="49"/>
      <c r="G1283" s="49"/>
      <c r="H1283" s="49"/>
    </row>
    <row r="1284" spans="2:8" s="63" customFormat="1">
      <c r="B1284" s="49"/>
      <c r="C1284" s="49"/>
      <c r="D1284" s="49"/>
      <c r="E1284" s="49"/>
      <c r="F1284" s="49"/>
      <c r="G1284" s="49"/>
      <c r="H1284" s="49"/>
    </row>
    <row r="1285" spans="2:8" s="63" customFormat="1">
      <c r="B1285" s="49"/>
      <c r="C1285" s="49"/>
      <c r="D1285" s="49"/>
      <c r="E1285" s="49"/>
      <c r="F1285" s="49"/>
      <c r="G1285" s="49"/>
      <c r="H1285" s="49"/>
    </row>
    <row r="1286" spans="2:8" s="63" customFormat="1">
      <c r="B1286" s="49"/>
      <c r="C1286" s="49"/>
      <c r="D1286" s="49"/>
      <c r="E1286" s="49"/>
      <c r="F1286" s="49"/>
      <c r="G1286" s="49"/>
      <c r="H1286" s="49"/>
    </row>
    <row r="1287" spans="2:8" s="63" customFormat="1">
      <c r="B1287" s="49"/>
      <c r="C1287" s="49"/>
      <c r="D1287" s="49"/>
      <c r="E1287" s="49"/>
      <c r="F1287" s="49"/>
      <c r="G1287" s="49"/>
      <c r="H1287" s="49"/>
    </row>
    <row r="1288" spans="2:8" s="63" customFormat="1">
      <c r="B1288" s="49"/>
      <c r="C1288" s="49"/>
      <c r="D1288" s="49"/>
      <c r="E1288" s="49"/>
      <c r="F1288" s="49"/>
      <c r="G1288" s="49"/>
      <c r="H1288" s="49"/>
    </row>
    <row r="1289" spans="2:8" s="63" customFormat="1">
      <c r="B1289" s="49"/>
      <c r="C1289" s="49"/>
      <c r="D1289" s="49"/>
      <c r="E1289" s="49"/>
      <c r="F1289" s="49"/>
      <c r="G1289" s="49"/>
      <c r="H1289" s="49"/>
    </row>
    <row r="1290" spans="2:8" s="63" customFormat="1">
      <c r="B1290" s="49"/>
      <c r="C1290" s="49"/>
      <c r="D1290" s="49"/>
      <c r="E1290" s="49"/>
      <c r="F1290" s="49"/>
      <c r="G1290" s="49"/>
      <c r="H1290" s="49"/>
    </row>
    <row r="1291" spans="2:8" s="63" customFormat="1">
      <c r="B1291" s="49"/>
      <c r="C1291" s="49"/>
      <c r="D1291" s="49"/>
      <c r="E1291" s="49"/>
      <c r="F1291" s="49"/>
      <c r="G1291" s="49"/>
      <c r="H1291" s="49"/>
    </row>
    <row r="1292" spans="2:8" s="63" customFormat="1">
      <c r="B1292" s="49"/>
      <c r="C1292" s="49"/>
      <c r="D1292" s="49"/>
      <c r="E1292" s="49"/>
      <c r="F1292" s="49"/>
      <c r="G1292" s="49"/>
      <c r="H1292" s="49"/>
    </row>
    <row r="1293" spans="2:8" s="63" customFormat="1">
      <c r="B1293" s="49"/>
      <c r="C1293" s="49"/>
      <c r="D1293" s="49"/>
      <c r="E1293" s="49"/>
      <c r="F1293" s="49"/>
      <c r="G1293" s="49"/>
      <c r="H1293" s="49"/>
    </row>
    <row r="1294" spans="2:8" s="63" customFormat="1">
      <c r="B1294" s="49"/>
      <c r="C1294" s="49"/>
      <c r="D1294" s="49"/>
      <c r="E1294" s="49"/>
      <c r="F1294" s="49"/>
      <c r="G1294" s="49"/>
      <c r="H1294" s="49"/>
    </row>
    <row r="1295" spans="2:8" s="63" customFormat="1">
      <c r="B1295" s="49"/>
      <c r="C1295" s="49"/>
      <c r="D1295" s="49"/>
      <c r="E1295" s="49"/>
      <c r="F1295" s="49"/>
      <c r="G1295" s="49"/>
      <c r="H1295" s="49"/>
    </row>
    <row r="1296" spans="2:8" s="63" customFormat="1">
      <c r="B1296" s="49"/>
      <c r="C1296" s="49"/>
      <c r="D1296" s="49"/>
      <c r="E1296" s="49"/>
      <c r="F1296" s="49"/>
      <c r="G1296" s="49"/>
      <c r="H1296" s="49"/>
    </row>
    <row r="1297" spans="2:8" s="63" customFormat="1">
      <c r="B1297" s="49"/>
      <c r="C1297" s="49"/>
      <c r="D1297" s="49"/>
      <c r="E1297" s="49"/>
      <c r="F1297" s="49"/>
      <c r="G1297" s="49"/>
      <c r="H1297" s="49"/>
    </row>
    <row r="1298" spans="2:8" s="63" customFormat="1">
      <c r="B1298" s="49"/>
      <c r="C1298" s="49"/>
      <c r="D1298" s="49"/>
      <c r="E1298" s="49"/>
      <c r="F1298" s="49"/>
      <c r="G1298" s="49"/>
      <c r="H1298" s="49"/>
    </row>
    <row r="1299" spans="2:8" s="63" customFormat="1">
      <c r="B1299" s="49"/>
      <c r="C1299" s="49"/>
      <c r="D1299" s="49"/>
      <c r="E1299" s="49"/>
      <c r="F1299" s="49"/>
      <c r="G1299" s="49"/>
      <c r="H1299" s="49"/>
    </row>
    <row r="1300" spans="2:8" s="63" customFormat="1">
      <c r="B1300" s="49"/>
      <c r="C1300" s="49"/>
      <c r="D1300" s="49"/>
      <c r="E1300" s="49"/>
      <c r="F1300" s="49"/>
      <c r="G1300" s="49"/>
      <c r="H1300" s="49"/>
    </row>
    <row r="1301" spans="2:8" s="63" customFormat="1">
      <c r="B1301" s="49"/>
      <c r="C1301" s="49"/>
      <c r="D1301" s="49"/>
      <c r="E1301" s="49"/>
      <c r="F1301" s="49"/>
      <c r="G1301" s="49"/>
      <c r="H1301" s="49"/>
    </row>
    <row r="1302" spans="2:8" s="63" customFormat="1">
      <c r="B1302" s="49"/>
      <c r="C1302" s="49"/>
      <c r="D1302" s="49"/>
      <c r="E1302" s="49"/>
      <c r="F1302" s="49"/>
      <c r="G1302" s="49"/>
      <c r="H1302" s="49"/>
    </row>
    <row r="1303" spans="2:8" s="63" customFormat="1">
      <c r="B1303" s="49"/>
      <c r="C1303" s="49"/>
      <c r="D1303" s="49"/>
      <c r="E1303" s="49"/>
      <c r="F1303" s="49"/>
      <c r="G1303" s="49"/>
      <c r="H1303" s="49"/>
    </row>
    <row r="1304" spans="2:8" s="63" customFormat="1">
      <c r="B1304" s="49"/>
      <c r="C1304" s="49"/>
      <c r="D1304" s="49"/>
      <c r="E1304" s="49"/>
      <c r="F1304" s="49"/>
      <c r="G1304" s="49"/>
      <c r="H1304" s="49"/>
    </row>
    <row r="1305" spans="2:8" s="63" customFormat="1">
      <c r="B1305" s="49"/>
      <c r="C1305" s="49"/>
      <c r="D1305" s="49"/>
      <c r="E1305" s="49"/>
      <c r="F1305" s="49"/>
      <c r="G1305" s="49"/>
      <c r="H1305" s="49"/>
    </row>
    <row r="1306" spans="2:8" s="63" customFormat="1">
      <c r="B1306" s="49"/>
      <c r="C1306" s="49"/>
      <c r="D1306" s="49"/>
      <c r="E1306" s="49"/>
      <c r="F1306" s="49"/>
      <c r="G1306" s="49"/>
      <c r="H1306" s="49"/>
    </row>
    <row r="1307" spans="2:8" s="63" customFormat="1">
      <c r="B1307" s="49"/>
      <c r="C1307" s="49"/>
      <c r="D1307" s="49"/>
      <c r="E1307" s="49"/>
      <c r="F1307" s="49"/>
      <c r="G1307" s="49"/>
      <c r="H1307" s="49"/>
    </row>
    <row r="1308" spans="2:8" s="63" customFormat="1">
      <c r="B1308" s="49"/>
      <c r="C1308" s="49"/>
      <c r="D1308" s="49"/>
      <c r="E1308" s="49"/>
      <c r="F1308" s="49"/>
      <c r="G1308" s="49"/>
      <c r="H1308" s="49"/>
    </row>
    <row r="1309" spans="2:8" s="63" customFormat="1">
      <c r="B1309" s="49"/>
      <c r="C1309" s="49"/>
      <c r="D1309" s="49"/>
      <c r="E1309" s="49"/>
      <c r="F1309" s="49"/>
      <c r="G1309" s="49"/>
      <c r="H1309" s="49"/>
    </row>
    <row r="1310" spans="2:8" s="63" customFormat="1">
      <c r="B1310" s="49"/>
      <c r="C1310" s="49"/>
      <c r="D1310" s="49"/>
      <c r="E1310" s="49"/>
      <c r="F1310" s="49"/>
      <c r="G1310" s="49"/>
      <c r="H1310" s="49"/>
    </row>
    <row r="1311" spans="2:8" s="63" customFormat="1">
      <c r="B1311" s="49"/>
      <c r="C1311" s="49"/>
      <c r="D1311" s="49"/>
      <c r="E1311" s="49"/>
      <c r="F1311" s="49"/>
      <c r="G1311" s="49"/>
      <c r="H1311" s="49"/>
    </row>
    <row r="1312" spans="2:8" s="63" customFormat="1">
      <c r="B1312" s="49"/>
      <c r="C1312" s="49"/>
      <c r="D1312" s="49"/>
      <c r="E1312" s="49"/>
      <c r="F1312" s="49"/>
      <c r="G1312" s="49"/>
      <c r="H1312" s="49"/>
    </row>
    <row r="1313" spans="2:8" s="63" customFormat="1">
      <c r="B1313" s="49"/>
      <c r="C1313" s="49"/>
      <c r="D1313" s="49"/>
      <c r="E1313" s="49"/>
      <c r="F1313" s="49"/>
      <c r="G1313" s="49"/>
      <c r="H1313" s="49"/>
    </row>
    <row r="1314" spans="2:8" s="63" customFormat="1">
      <c r="B1314" s="49"/>
      <c r="C1314" s="49"/>
      <c r="D1314" s="49"/>
      <c r="E1314" s="49"/>
      <c r="F1314" s="49"/>
      <c r="G1314" s="49"/>
      <c r="H1314" s="49"/>
    </row>
    <row r="1315" spans="2:8" s="63" customFormat="1">
      <c r="B1315" s="49"/>
      <c r="C1315" s="49"/>
      <c r="D1315" s="49"/>
      <c r="E1315" s="49"/>
      <c r="F1315" s="49"/>
      <c r="G1315" s="49"/>
      <c r="H1315" s="49"/>
    </row>
    <row r="1316" spans="2:8" s="63" customFormat="1">
      <c r="B1316" s="49"/>
      <c r="C1316" s="49"/>
      <c r="D1316" s="49"/>
      <c r="E1316" s="49"/>
      <c r="F1316" s="49"/>
      <c r="G1316" s="49"/>
      <c r="H1316" s="49"/>
    </row>
    <row r="1317" spans="2:8" s="63" customFormat="1">
      <c r="B1317" s="49"/>
      <c r="C1317" s="49"/>
      <c r="D1317" s="49"/>
      <c r="E1317" s="49"/>
      <c r="F1317" s="49"/>
      <c r="G1317" s="49"/>
      <c r="H1317" s="49"/>
    </row>
    <row r="1318" spans="2:8" s="63" customFormat="1">
      <c r="B1318" s="49"/>
      <c r="C1318" s="49"/>
      <c r="D1318" s="49"/>
      <c r="E1318" s="49"/>
      <c r="F1318" s="49"/>
      <c r="G1318" s="49"/>
      <c r="H1318" s="49"/>
    </row>
    <row r="1319" spans="2:8" s="63" customFormat="1">
      <c r="B1319" s="49"/>
      <c r="C1319" s="49"/>
      <c r="D1319" s="49"/>
      <c r="E1319" s="49"/>
      <c r="F1319" s="49"/>
      <c r="G1319" s="49"/>
      <c r="H1319" s="49"/>
    </row>
    <row r="1320" spans="2:8" s="63" customFormat="1">
      <c r="B1320" s="49"/>
      <c r="C1320" s="49"/>
      <c r="D1320" s="49"/>
      <c r="E1320" s="49"/>
      <c r="F1320" s="49"/>
      <c r="G1320" s="49"/>
      <c r="H1320" s="49"/>
    </row>
    <row r="1321" spans="2:8" s="63" customFormat="1">
      <c r="B1321" s="49"/>
      <c r="C1321" s="49"/>
      <c r="D1321" s="49"/>
      <c r="E1321" s="49"/>
      <c r="F1321" s="49"/>
      <c r="G1321" s="49"/>
      <c r="H1321" s="49"/>
    </row>
    <row r="1322" spans="2:8" s="63" customFormat="1">
      <c r="B1322" s="49"/>
      <c r="C1322" s="49"/>
      <c r="D1322" s="49"/>
      <c r="E1322" s="49"/>
      <c r="F1322" s="49"/>
      <c r="G1322" s="49"/>
      <c r="H1322" s="49"/>
    </row>
    <row r="1323" spans="2:8" s="63" customFormat="1">
      <c r="B1323" s="49"/>
      <c r="C1323" s="49"/>
      <c r="D1323" s="49"/>
      <c r="E1323" s="49"/>
      <c r="F1323" s="49"/>
      <c r="G1323" s="49"/>
      <c r="H1323" s="49"/>
    </row>
    <row r="1324" spans="2:8" s="63" customFormat="1">
      <c r="B1324" s="49"/>
      <c r="C1324" s="49"/>
      <c r="D1324" s="49"/>
      <c r="E1324" s="49"/>
      <c r="F1324" s="49"/>
      <c r="G1324" s="49"/>
      <c r="H1324" s="49"/>
    </row>
    <row r="1325" spans="2:8" s="63" customFormat="1">
      <c r="B1325" s="49"/>
      <c r="C1325" s="49"/>
      <c r="D1325" s="49"/>
      <c r="E1325" s="49"/>
      <c r="F1325" s="49"/>
      <c r="G1325" s="49"/>
      <c r="H1325" s="49"/>
    </row>
    <row r="1326" spans="2:8" s="63" customFormat="1">
      <c r="B1326" s="49"/>
      <c r="C1326" s="49"/>
      <c r="D1326" s="49"/>
      <c r="E1326" s="49"/>
      <c r="F1326" s="49"/>
      <c r="G1326" s="49"/>
      <c r="H1326" s="49"/>
    </row>
    <row r="1327" spans="2:8" s="63" customFormat="1">
      <c r="B1327" s="49"/>
      <c r="C1327" s="49"/>
      <c r="D1327" s="49"/>
      <c r="E1327" s="49"/>
      <c r="F1327" s="49"/>
      <c r="G1327" s="49"/>
      <c r="H1327" s="49"/>
    </row>
    <row r="1328" spans="2:8" s="63" customFormat="1">
      <c r="B1328" s="49"/>
      <c r="C1328" s="49"/>
      <c r="D1328" s="49"/>
      <c r="E1328" s="49"/>
      <c r="F1328" s="49"/>
      <c r="G1328" s="49"/>
      <c r="H1328" s="49"/>
    </row>
    <row r="1329" spans="2:8" s="63" customFormat="1">
      <c r="B1329" s="49"/>
      <c r="C1329" s="49"/>
      <c r="D1329" s="49"/>
      <c r="E1329" s="49"/>
      <c r="F1329" s="49"/>
      <c r="G1329" s="49"/>
      <c r="H1329" s="49"/>
    </row>
    <row r="1330" spans="2:8" s="63" customFormat="1">
      <c r="B1330" s="49"/>
      <c r="C1330" s="49"/>
      <c r="D1330" s="49"/>
      <c r="E1330" s="49"/>
      <c r="F1330" s="49"/>
      <c r="G1330" s="49"/>
      <c r="H1330" s="49"/>
    </row>
    <row r="1331" spans="2:8" s="63" customFormat="1">
      <c r="B1331" s="49"/>
      <c r="C1331" s="49"/>
      <c r="D1331" s="49"/>
      <c r="E1331" s="49"/>
      <c r="F1331" s="49"/>
      <c r="G1331" s="49"/>
      <c r="H1331" s="49"/>
    </row>
    <row r="1332" spans="2:8" s="63" customFormat="1">
      <c r="B1332" s="49"/>
      <c r="C1332" s="49"/>
      <c r="D1332" s="49"/>
      <c r="E1332" s="49"/>
      <c r="F1332" s="49"/>
      <c r="G1332" s="49"/>
      <c r="H1332" s="49"/>
    </row>
    <row r="1333" spans="2:8" s="63" customFormat="1">
      <c r="B1333" s="49"/>
      <c r="C1333" s="49"/>
      <c r="D1333" s="49"/>
      <c r="E1333" s="49"/>
      <c r="F1333" s="49"/>
      <c r="G1333" s="49"/>
      <c r="H1333" s="49"/>
    </row>
    <row r="1334" spans="2:8" s="63" customFormat="1">
      <c r="B1334" s="49"/>
      <c r="C1334" s="49"/>
      <c r="D1334" s="49"/>
      <c r="E1334" s="49"/>
      <c r="F1334" s="49"/>
      <c r="G1334" s="49"/>
      <c r="H1334" s="49"/>
    </row>
    <row r="1335" spans="2:8" s="63" customFormat="1">
      <c r="B1335" s="49"/>
      <c r="C1335" s="49"/>
      <c r="D1335" s="49"/>
      <c r="E1335" s="49"/>
      <c r="F1335" s="49"/>
      <c r="G1335" s="49"/>
      <c r="H1335" s="49"/>
    </row>
    <row r="1336" spans="2:8" s="63" customFormat="1">
      <c r="B1336" s="49"/>
      <c r="C1336" s="49"/>
      <c r="D1336" s="49"/>
      <c r="E1336" s="49"/>
      <c r="F1336" s="49"/>
      <c r="G1336" s="49"/>
      <c r="H1336" s="49"/>
    </row>
    <row r="1337" spans="2:8" s="63" customFormat="1">
      <c r="B1337" s="49"/>
      <c r="C1337" s="49"/>
      <c r="D1337" s="49"/>
      <c r="E1337" s="49"/>
      <c r="F1337" s="49"/>
      <c r="G1337" s="49"/>
      <c r="H1337" s="49"/>
    </row>
    <row r="1338" spans="2:8" s="63" customFormat="1">
      <c r="B1338" s="49"/>
      <c r="C1338" s="49"/>
      <c r="D1338" s="49"/>
      <c r="E1338" s="49"/>
      <c r="F1338" s="49"/>
      <c r="G1338" s="49"/>
      <c r="H1338" s="49"/>
    </row>
    <row r="1339" spans="2:8" s="63" customFormat="1">
      <c r="B1339" s="49"/>
      <c r="C1339" s="49"/>
      <c r="D1339" s="49"/>
      <c r="E1339" s="49"/>
      <c r="F1339" s="49"/>
      <c r="G1339" s="49"/>
      <c r="H1339" s="49"/>
    </row>
    <row r="1340" spans="2:8" s="63" customFormat="1">
      <c r="B1340" s="49"/>
      <c r="C1340" s="49"/>
      <c r="D1340" s="49"/>
      <c r="E1340" s="49"/>
      <c r="F1340" s="49"/>
      <c r="G1340" s="49"/>
      <c r="H1340" s="49"/>
    </row>
    <row r="1341" spans="2:8" s="63" customFormat="1">
      <c r="B1341" s="49"/>
      <c r="C1341" s="49"/>
      <c r="D1341" s="49"/>
      <c r="E1341" s="49"/>
      <c r="F1341" s="49"/>
      <c r="G1341" s="49"/>
      <c r="H1341" s="49"/>
    </row>
    <row r="1342" spans="2:8" s="63" customFormat="1">
      <c r="B1342" s="49"/>
      <c r="C1342" s="49"/>
      <c r="D1342" s="49"/>
      <c r="E1342" s="49"/>
      <c r="F1342" s="49"/>
      <c r="G1342" s="49"/>
      <c r="H1342" s="49"/>
    </row>
    <row r="1343" spans="2:8" s="63" customFormat="1">
      <c r="B1343" s="49"/>
      <c r="C1343" s="49"/>
      <c r="D1343" s="49"/>
      <c r="E1343" s="49"/>
      <c r="F1343" s="49"/>
      <c r="G1343" s="49"/>
      <c r="H1343" s="49"/>
    </row>
    <row r="1344" spans="2:8" s="63" customFormat="1">
      <c r="B1344" s="49"/>
      <c r="C1344" s="49"/>
      <c r="D1344" s="49"/>
      <c r="E1344" s="49"/>
      <c r="F1344" s="49"/>
      <c r="G1344" s="49"/>
      <c r="H1344" s="49"/>
    </row>
    <row r="1345" spans="2:8" s="63" customFormat="1">
      <c r="B1345" s="49"/>
      <c r="C1345" s="49"/>
      <c r="D1345" s="49"/>
      <c r="E1345" s="49"/>
      <c r="F1345" s="49"/>
      <c r="G1345" s="49"/>
      <c r="H1345" s="49"/>
    </row>
    <row r="1346" spans="2:8" s="63" customFormat="1">
      <c r="B1346" s="49"/>
      <c r="C1346" s="49"/>
      <c r="D1346" s="49"/>
      <c r="E1346" s="49"/>
      <c r="F1346" s="49"/>
      <c r="G1346" s="49"/>
      <c r="H1346" s="49"/>
    </row>
    <row r="1347" spans="2:8" s="63" customFormat="1">
      <c r="B1347" s="49"/>
      <c r="C1347" s="49"/>
      <c r="D1347" s="49"/>
      <c r="E1347" s="49"/>
      <c r="F1347" s="49"/>
      <c r="G1347" s="49"/>
      <c r="H1347" s="49"/>
    </row>
    <row r="1348" spans="2:8" s="63" customFormat="1">
      <c r="B1348" s="49"/>
      <c r="C1348" s="49"/>
      <c r="D1348" s="49"/>
      <c r="E1348" s="49"/>
      <c r="F1348" s="49"/>
      <c r="G1348" s="49"/>
      <c r="H1348" s="49"/>
    </row>
    <row r="1349" spans="2:8" s="63" customFormat="1">
      <c r="B1349" s="49"/>
      <c r="C1349" s="49"/>
      <c r="D1349" s="49"/>
      <c r="E1349" s="49"/>
      <c r="F1349" s="49"/>
      <c r="G1349" s="49"/>
      <c r="H1349" s="49"/>
    </row>
    <row r="1350" spans="2:8" s="63" customFormat="1">
      <c r="B1350" s="49"/>
      <c r="C1350" s="49"/>
      <c r="D1350" s="49"/>
      <c r="E1350" s="49"/>
      <c r="F1350" s="49"/>
      <c r="G1350" s="49"/>
      <c r="H1350" s="49"/>
    </row>
    <row r="1351" spans="2:8" s="63" customFormat="1">
      <c r="B1351" s="49"/>
      <c r="C1351" s="49"/>
      <c r="D1351" s="49"/>
      <c r="E1351" s="49"/>
      <c r="F1351" s="49"/>
      <c r="G1351" s="49"/>
      <c r="H1351" s="49"/>
    </row>
    <row r="1352" spans="2:8" s="63" customFormat="1">
      <c r="B1352" s="49"/>
      <c r="C1352" s="49"/>
      <c r="D1352" s="49"/>
      <c r="E1352" s="49"/>
      <c r="F1352" s="49"/>
      <c r="G1352" s="49"/>
      <c r="H1352" s="49"/>
    </row>
    <row r="1353" spans="2:8" s="63" customFormat="1">
      <c r="B1353" s="49"/>
      <c r="C1353" s="49"/>
      <c r="D1353" s="49"/>
      <c r="E1353" s="49"/>
      <c r="F1353" s="49"/>
      <c r="G1353" s="49"/>
      <c r="H1353" s="49"/>
    </row>
    <row r="1354" spans="2:8" s="63" customFormat="1">
      <c r="B1354" s="49"/>
      <c r="C1354" s="49"/>
      <c r="D1354" s="49"/>
      <c r="E1354" s="49"/>
      <c r="F1354" s="49"/>
      <c r="G1354" s="49"/>
      <c r="H1354" s="49"/>
    </row>
    <row r="1355" spans="2:8" s="63" customFormat="1">
      <c r="B1355" s="49"/>
      <c r="C1355" s="49"/>
      <c r="D1355" s="49"/>
      <c r="E1355" s="49"/>
      <c r="F1355" s="49"/>
      <c r="G1355" s="49"/>
      <c r="H1355" s="49"/>
    </row>
    <row r="1356" spans="2:8" s="63" customFormat="1">
      <c r="B1356" s="49"/>
      <c r="C1356" s="49"/>
      <c r="D1356" s="49"/>
      <c r="E1356" s="49"/>
      <c r="F1356" s="49"/>
      <c r="G1356" s="49"/>
      <c r="H1356" s="49"/>
    </row>
    <row r="1357" spans="2:8" s="63" customFormat="1">
      <c r="B1357" s="49"/>
      <c r="C1357" s="49"/>
      <c r="D1357" s="49"/>
      <c r="E1357" s="49"/>
      <c r="F1357" s="49"/>
      <c r="G1357" s="49"/>
      <c r="H1357" s="49"/>
    </row>
    <row r="1358" spans="2:8" s="63" customFormat="1">
      <c r="B1358" s="49"/>
      <c r="C1358" s="49"/>
      <c r="D1358" s="49"/>
      <c r="E1358" s="49"/>
      <c r="F1358" s="49"/>
      <c r="G1358" s="49"/>
      <c r="H1358" s="49"/>
    </row>
    <row r="1359" spans="2:8" s="63" customFormat="1">
      <c r="B1359" s="49"/>
      <c r="C1359" s="49"/>
      <c r="D1359" s="49"/>
      <c r="E1359" s="49"/>
      <c r="F1359" s="49"/>
      <c r="G1359" s="49"/>
      <c r="H1359" s="49"/>
    </row>
    <row r="1360" spans="2:8" s="63" customFormat="1">
      <c r="B1360" s="49"/>
      <c r="C1360" s="49"/>
      <c r="D1360" s="49"/>
      <c r="E1360" s="49"/>
      <c r="F1360" s="49"/>
      <c r="G1360" s="49"/>
      <c r="H1360" s="49"/>
    </row>
    <row r="1361" spans="2:8" s="63" customFormat="1">
      <c r="B1361" s="49"/>
      <c r="C1361" s="49"/>
      <c r="D1361" s="49"/>
      <c r="E1361" s="49"/>
      <c r="F1361" s="49"/>
      <c r="G1361" s="49"/>
      <c r="H1361" s="49"/>
    </row>
    <row r="1362" spans="2:8" s="63" customFormat="1">
      <c r="B1362" s="49"/>
      <c r="C1362" s="49"/>
      <c r="D1362" s="49"/>
      <c r="E1362" s="49"/>
      <c r="F1362" s="49"/>
      <c r="G1362" s="49"/>
      <c r="H1362" s="49"/>
    </row>
    <row r="1363" spans="2:8" s="63" customFormat="1">
      <c r="B1363" s="49"/>
      <c r="C1363" s="49"/>
      <c r="D1363" s="49"/>
      <c r="E1363" s="49"/>
      <c r="F1363" s="49"/>
      <c r="G1363" s="49"/>
      <c r="H1363" s="49"/>
    </row>
    <row r="1364" spans="2:8" s="63" customFormat="1">
      <c r="B1364" s="49"/>
      <c r="C1364" s="49"/>
      <c r="D1364" s="49"/>
      <c r="E1364" s="49"/>
      <c r="F1364" s="49"/>
      <c r="G1364" s="49"/>
      <c r="H1364" s="49"/>
    </row>
    <row r="1365" spans="2:8" s="63" customFormat="1">
      <c r="B1365" s="49"/>
      <c r="C1365" s="49"/>
      <c r="D1365" s="49"/>
      <c r="E1365" s="49"/>
      <c r="F1365" s="49"/>
      <c r="G1365" s="49"/>
      <c r="H1365" s="49"/>
    </row>
    <row r="1366" spans="2:8" s="63" customFormat="1">
      <c r="B1366" s="49"/>
      <c r="C1366" s="49"/>
      <c r="D1366" s="49"/>
      <c r="E1366" s="49"/>
      <c r="F1366" s="49"/>
      <c r="G1366" s="49"/>
      <c r="H1366" s="49"/>
    </row>
    <row r="1367" spans="2:8" s="63" customFormat="1">
      <c r="B1367" s="49"/>
      <c r="C1367" s="49"/>
      <c r="D1367" s="49"/>
      <c r="E1367" s="49"/>
      <c r="F1367" s="49"/>
      <c r="G1367" s="49"/>
      <c r="H1367" s="49"/>
    </row>
    <row r="1368" spans="2:8" s="63" customFormat="1">
      <c r="B1368" s="49"/>
      <c r="C1368" s="49"/>
      <c r="D1368" s="49"/>
      <c r="E1368" s="49"/>
      <c r="F1368" s="49"/>
      <c r="G1368" s="49"/>
      <c r="H1368" s="49"/>
    </row>
    <row r="1369" spans="2:8" s="63" customFormat="1">
      <c r="B1369" s="49"/>
      <c r="C1369" s="49"/>
      <c r="D1369" s="49"/>
      <c r="E1369" s="49"/>
      <c r="F1369" s="49"/>
      <c r="G1369" s="49"/>
      <c r="H1369" s="49"/>
    </row>
    <row r="1370" spans="2:8" s="63" customFormat="1">
      <c r="B1370" s="49"/>
      <c r="C1370" s="49"/>
      <c r="D1370" s="49"/>
      <c r="E1370" s="49"/>
      <c r="F1370" s="49"/>
      <c r="G1370" s="49"/>
      <c r="H1370" s="49"/>
    </row>
    <row r="1371" spans="2:8" s="63" customFormat="1">
      <c r="B1371" s="49"/>
      <c r="C1371" s="49"/>
      <c r="D1371" s="49"/>
      <c r="E1371" s="49"/>
      <c r="F1371" s="49"/>
      <c r="G1371" s="49"/>
      <c r="H1371" s="49"/>
    </row>
    <row r="1372" spans="2:8" s="63" customFormat="1">
      <c r="B1372" s="49"/>
      <c r="C1372" s="49"/>
      <c r="D1372" s="49"/>
      <c r="E1372" s="49"/>
      <c r="F1372" s="49"/>
      <c r="G1372" s="49"/>
      <c r="H1372" s="49"/>
    </row>
    <row r="1373" spans="2:8" s="63" customFormat="1">
      <c r="B1373" s="49"/>
      <c r="C1373" s="49"/>
      <c r="D1373" s="49"/>
      <c r="E1373" s="49"/>
      <c r="F1373" s="49"/>
      <c r="G1373" s="49"/>
      <c r="H1373" s="49"/>
    </row>
    <row r="1374" spans="2:8" s="63" customFormat="1">
      <c r="B1374" s="49"/>
      <c r="C1374" s="49"/>
      <c r="D1374" s="49"/>
      <c r="E1374" s="49"/>
      <c r="F1374" s="49"/>
      <c r="G1374" s="49"/>
      <c r="H1374" s="49"/>
    </row>
    <row r="1375" spans="2:8" s="63" customFormat="1">
      <c r="B1375" s="49"/>
      <c r="C1375" s="49"/>
      <c r="D1375" s="49"/>
      <c r="E1375" s="49"/>
      <c r="F1375" s="49"/>
      <c r="G1375" s="49"/>
      <c r="H1375" s="49"/>
    </row>
    <row r="1376" spans="2:8" s="63" customFormat="1">
      <c r="B1376" s="49"/>
      <c r="C1376" s="49"/>
      <c r="D1376" s="49"/>
      <c r="E1376" s="49"/>
      <c r="F1376" s="49"/>
      <c r="G1376" s="49"/>
      <c r="H1376" s="49"/>
    </row>
    <row r="1377" spans="2:16" s="63" customFormat="1">
      <c r="B1377" s="49"/>
      <c r="C1377" s="49"/>
      <c r="D1377" s="49"/>
      <c r="E1377" s="49"/>
      <c r="F1377" s="49"/>
      <c r="G1377" s="49"/>
      <c r="H1377" s="49"/>
    </row>
    <row r="1378" spans="2:16" s="63" customFormat="1">
      <c r="B1378" s="49"/>
      <c r="C1378" s="49"/>
      <c r="D1378" s="49"/>
      <c r="E1378" s="49"/>
      <c r="F1378" s="49"/>
      <c r="G1378" s="49"/>
      <c r="H1378" s="49"/>
    </row>
    <row r="1379" spans="2:16" s="63" customFormat="1">
      <c r="B1379" s="49"/>
      <c r="C1379" s="49"/>
      <c r="D1379" s="49"/>
      <c r="E1379" s="49"/>
      <c r="F1379" s="49"/>
      <c r="G1379" s="49"/>
      <c r="H1379" s="49"/>
    </row>
    <row r="1380" spans="2:16" s="63" customFormat="1">
      <c r="B1380" s="49"/>
      <c r="C1380" s="49"/>
      <c r="D1380" s="49"/>
      <c r="E1380" s="49"/>
      <c r="F1380" s="49"/>
      <c r="G1380" s="49"/>
      <c r="H1380" s="49"/>
    </row>
    <row r="1381" spans="2:16" s="63" customFormat="1">
      <c r="B1381" s="49"/>
      <c r="C1381" s="49"/>
      <c r="D1381" s="49"/>
      <c r="E1381" s="49"/>
      <c r="F1381" s="49"/>
      <c r="G1381" s="49"/>
      <c r="H1381" s="49"/>
    </row>
    <row r="1382" spans="2:16" s="63" customFormat="1">
      <c r="B1382" s="49"/>
      <c r="C1382" s="49"/>
      <c r="D1382" s="49"/>
      <c r="E1382" s="49"/>
      <c r="F1382" s="49"/>
      <c r="G1382" s="49"/>
      <c r="H1382" s="49"/>
    </row>
    <row r="1383" spans="2:16" s="63" customFormat="1">
      <c r="B1383" s="49"/>
      <c r="C1383" s="49"/>
      <c r="D1383" s="49"/>
      <c r="E1383" s="49"/>
      <c r="F1383" s="49"/>
      <c r="G1383" s="49"/>
      <c r="H1383" s="49"/>
    </row>
    <row r="1384" spans="2:16" s="63" customFormat="1">
      <c r="B1384" s="49"/>
      <c r="C1384" s="49"/>
      <c r="D1384" s="49"/>
      <c r="E1384" s="49"/>
      <c r="F1384" s="49"/>
      <c r="G1384" s="49"/>
      <c r="H1384" s="49"/>
    </row>
    <row r="1385" spans="2:16" s="63" customFormat="1">
      <c r="B1385" s="49"/>
      <c r="C1385" s="49"/>
      <c r="D1385" s="49"/>
      <c r="E1385" s="49"/>
      <c r="F1385" s="49"/>
      <c r="G1385" s="49"/>
      <c r="H1385" s="49"/>
    </row>
    <row r="1386" spans="2:16" s="63" customFormat="1">
      <c r="B1386" s="49"/>
      <c r="C1386" s="49"/>
      <c r="D1386" s="49"/>
      <c r="E1386" s="49"/>
      <c r="F1386" s="49"/>
      <c r="G1386" s="49"/>
      <c r="H1386" s="49"/>
    </row>
    <row r="1387" spans="2:16" s="63" customFormat="1">
      <c r="B1387" s="49"/>
      <c r="C1387" s="49"/>
      <c r="D1387" s="49"/>
      <c r="E1387" s="49"/>
      <c r="F1387" s="49"/>
      <c r="G1387" s="49"/>
      <c r="H1387" s="49"/>
    </row>
    <row r="1388" spans="2:16" s="63" customFormat="1">
      <c r="B1388" s="49"/>
      <c r="C1388" s="49"/>
      <c r="D1388" s="49"/>
      <c r="E1388" s="49"/>
      <c r="F1388" s="49"/>
      <c r="G1388" s="49"/>
      <c r="H1388" s="49"/>
    </row>
    <row r="1389" spans="2:16">
      <c r="B1389" s="49"/>
      <c r="C1389" s="49"/>
      <c r="D1389" s="49"/>
      <c r="E1389" s="49"/>
      <c r="F1389" s="49"/>
      <c r="G1389" s="49"/>
      <c r="H1389" s="49"/>
      <c r="J1389" s="63"/>
      <c r="K1389" s="63"/>
      <c r="L1389" s="63"/>
      <c r="M1389" s="63"/>
      <c r="N1389" s="63"/>
      <c r="O1389" s="63"/>
      <c r="P1389" s="63"/>
    </row>
    <row r="1390" spans="2:16">
      <c r="B1390" s="49"/>
      <c r="C1390" s="49"/>
      <c r="D1390" s="49"/>
      <c r="E1390" s="49"/>
      <c r="F1390" s="49"/>
      <c r="G1390" s="49"/>
      <c r="H1390" s="49"/>
      <c r="J1390" s="63"/>
      <c r="K1390" s="63"/>
      <c r="L1390" s="63"/>
      <c r="M1390" s="63"/>
      <c r="N1390" s="63"/>
      <c r="O1390" s="63"/>
      <c r="P1390" s="63"/>
    </row>
    <row r="1391" spans="2:16">
      <c r="B1391" s="49"/>
      <c r="C1391" s="49"/>
      <c r="D1391" s="49"/>
      <c r="E1391" s="49"/>
      <c r="F1391" s="49"/>
      <c r="G1391" s="49"/>
      <c r="H1391" s="49"/>
      <c r="J1391" s="63"/>
      <c r="K1391" s="63"/>
      <c r="L1391" s="63"/>
      <c r="M1391" s="63"/>
      <c r="N1391" s="63"/>
      <c r="O1391" s="63"/>
      <c r="P1391" s="63"/>
    </row>
    <row r="1392" spans="2:16" s="63" customFormat="1">
      <c r="B1392" s="49"/>
      <c r="C1392" s="49"/>
      <c r="D1392" s="49"/>
      <c r="E1392" s="49"/>
      <c r="F1392" s="49"/>
      <c r="G1392" s="49"/>
      <c r="H1392" s="49"/>
    </row>
    <row r="1393" spans="2:8" s="63" customFormat="1">
      <c r="B1393" s="49"/>
      <c r="C1393" s="49"/>
      <c r="D1393" s="49"/>
      <c r="E1393" s="49"/>
      <c r="F1393" s="49"/>
      <c r="G1393" s="49"/>
      <c r="H1393" s="49"/>
    </row>
    <row r="1394" spans="2:8" s="63" customFormat="1">
      <c r="B1394" s="49"/>
      <c r="C1394" s="49"/>
      <c r="D1394" s="49"/>
      <c r="E1394" s="49"/>
      <c r="F1394" s="49"/>
      <c r="G1394" s="49"/>
      <c r="H1394" s="49"/>
    </row>
    <row r="1395" spans="2:8" s="63" customFormat="1">
      <c r="B1395" s="49"/>
      <c r="C1395" s="49"/>
      <c r="D1395" s="49"/>
      <c r="E1395" s="49"/>
      <c r="F1395" s="49"/>
      <c r="G1395" s="49"/>
      <c r="H1395" s="49"/>
    </row>
    <row r="1396" spans="2:8" s="63" customFormat="1">
      <c r="B1396" s="49"/>
      <c r="C1396" s="49"/>
      <c r="D1396" s="49"/>
      <c r="E1396" s="49"/>
      <c r="F1396" s="49"/>
      <c r="G1396" s="49"/>
      <c r="H1396" s="49"/>
    </row>
    <row r="1397" spans="2:8" s="63" customFormat="1">
      <c r="B1397" s="49"/>
      <c r="C1397" s="49"/>
      <c r="D1397" s="49"/>
      <c r="E1397" s="49"/>
      <c r="F1397" s="49"/>
      <c r="G1397" s="49"/>
      <c r="H1397" s="49"/>
    </row>
    <row r="1398" spans="2:8" s="63" customFormat="1">
      <c r="B1398" s="49"/>
      <c r="C1398" s="49"/>
      <c r="D1398" s="49"/>
      <c r="E1398" s="49"/>
      <c r="F1398" s="49"/>
      <c r="G1398" s="49"/>
      <c r="H1398" s="49"/>
    </row>
    <row r="1399" spans="2:8" s="63" customFormat="1">
      <c r="B1399" s="49"/>
      <c r="C1399" s="49"/>
      <c r="D1399" s="49"/>
      <c r="E1399" s="49"/>
      <c r="F1399" s="49"/>
      <c r="G1399" s="49"/>
      <c r="H1399" s="49"/>
    </row>
    <row r="1400" spans="2:8" s="63" customFormat="1">
      <c r="B1400" s="49"/>
      <c r="C1400" s="49"/>
      <c r="D1400" s="49"/>
      <c r="E1400" s="49"/>
      <c r="F1400" s="49"/>
      <c r="G1400" s="49"/>
      <c r="H1400" s="49"/>
    </row>
    <row r="1401" spans="2:8" s="63" customFormat="1">
      <c r="B1401" s="49"/>
      <c r="C1401" s="49"/>
      <c r="D1401" s="49"/>
      <c r="E1401" s="49"/>
      <c r="F1401" s="49"/>
      <c r="G1401" s="49"/>
      <c r="H1401" s="49"/>
    </row>
    <row r="1402" spans="2:8" s="63" customFormat="1">
      <c r="B1402" s="49"/>
      <c r="C1402" s="49"/>
      <c r="D1402" s="49"/>
      <c r="E1402" s="49"/>
      <c r="F1402" s="49"/>
      <c r="G1402" s="49"/>
      <c r="H1402" s="49"/>
    </row>
    <row r="1403" spans="2:8" s="63" customFormat="1">
      <c r="B1403" s="49"/>
      <c r="C1403" s="49"/>
      <c r="D1403" s="49"/>
      <c r="E1403" s="49"/>
      <c r="F1403" s="49"/>
      <c r="G1403" s="49"/>
      <c r="H1403" s="49"/>
    </row>
    <row r="1404" spans="2:8" s="63" customFormat="1">
      <c r="B1404" s="49"/>
      <c r="C1404" s="49"/>
      <c r="D1404" s="49"/>
      <c r="E1404" s="49"/>
      <c r="F1404" s="49"/>
      <c r="G1404" s="49"/>
      <c r="H1404" s="49"/>
    </row>
    <row r="1405" spans="2:8" s="63" customFormat="1">
      <c r="B1405" s="49"/>
      <c r="C1405" s="49"/>
      <c r="D1405" s="49"/>
      <c r="E1405" s="49"/>
      <c r="F1405" s="49"/>
      <c r="G1405" s="49"/>
      <c r="H1405" s="49"/>
    </row>
    <row r="1406" spans="2:8" s="63" customFormat="1">
      <c r="B1406" s="49"/>
      <c r="C1406" s="49"/>
      <c r="D1406" s="49"/>
      <c r="E1406" s="49"/>
      <c r="F1406" s="49"/>
      <c r="G1406" s="49"/>
      <c r="H1406" s="49"/>
    </row>
    <row r="1407" spans="2:8" s="63" customFormat="1">
      <c r="B1407" s="49"/>
      <c r="C1407" s="49"/>
      <c r="D1407" s="49"/>
      <c r="E1407" s="49"/>
      <c r="F1407" s="49"/>
      <c r="G1407" s="49"/>
      <c r="H1407" s="49"/>
    </row>
    <row r="1408" spans="2:8" s="63" customFormat="1">
      <c r="B1408" s="49"/>
      <c r="C1408" s="49"/>
      <c r="D1408" s="49"/>
      <c r="E1408" s="49"/>
      <c r="F1408" s="49"/>
      <c r="G1408" s="49"/>
      <c r="H1408" s="49"/>
    </row>
    <row r="1409" spans="2:8" s="63" customFormat="1">
      <c r="B1409" s="49"/>
      <c r="C1409" s="49"/>
      <c r="D1409" s="49"/>
      <c r="E1409" s="49"/>
      <c r="F1409" s="49"/>
      <c r="G1409" s="49"/>
      <c r="H1409" s="49"/>
    </row>
    <row r="1410" spans="2:8" s="63" customFormat="1">
      <c r="B1410" s="49"/>
      <c r="C1410" s="49"/>
      <c r="D1410" s="49"/>
      <c r="E1410" s="49"/>
      <c r="F1410" s="49"/>
      <c r="G1410" s="49"/>
      <c r="H1410" s="49"/>
    </row>
    <row r="1411" spans="2:8" s="63" customFormat="1">
      <c r="B1411" s="49"/>
      <c r="C1411" s="49"/>
      <c r="D1411" s="49"/>
      <c r="E1411" s="49"/>
      <c r="F1411" s="49"/>
      <c r="G1411" s="49"/>
      <c r="H1411" s="49"/>
    </row>
    <row r="1412" spans="2:8" s="63" customFormat="1">
      <c r="B1412" s="49"/>
      <c r="C1412" s="49"/>
      <c r="D1412" s="49"/>
      <c r="E1412" s="49"/>
      <c r="F1412" s="49"/>
      <c r="G1412" s="49"/>
      <c r="H1412" s="49"/>
    </row>
    <row r="1413" spans="2:8" s="63" customFormat="1">
      <c r="B1413" s="49"/>
      <c r="C1413" s="49"/>
      <c r="D1413" s="49"/>
      <c r="E1413" s="49"/>
      <c r="F1413" s="49"/>
      <c r="G1413" s="49"/>
      <c r="H1413" s="49"/>
    </row>
    <row r="1414" spans="2:8" s="63" customFormat="1">
      <c r="B1414" s="49"/>
      <c r="C1414" s="49"/>
      <c r="D1414" s="49"/>
      <c r="E1414" s="49"/>
      <c r="F1414" s="49"/>
      <c r="G1414" s="49"/>
      <c r="H1414" s="49"/>
    </row>
    <row r="1415" spans="2:8" s="63" customFormat="1">
      <c r="B1415" s="49"/>
      <c r="C1415" s="49"/>
      <c r="D1415" s="49"/>
      <c r="E1415" s="49"/>
      <c r="F1415" s="49"/>
      <c r="G1415" s="49"/>
      <c r="H1415" s="49"/>
    </row>
    <row r="1416" spans="2:8" s="63" customFormat="1">
      <c r="B1416" s="49"/>
      <c r="C1416" s="49"/>
      <c r="D1416" s="49"/>
      <c r="E1416" s="49"/>
      <c r="F1416" s="49"/>
      <c r="G1416" s="49"/>
      <c r="H1416" s="49"/>
    </row>
    <row r="1417" spans="2:8" s="63" customFormat="1">
      <c r="B1417" s="49"/>
      <c r="C1417" s="49"/>
      <c r="D1417" s="49"/>
      <c r="E1417" s="49"/>
      <c r="F1417" s="49"/>
      <c r="G1417" s="49"/>
      <c r="H1417" s="49"/>
    </row>
    <row r="1418" spans="2:8" s="63" customFormat="1">
      <c r="B1418" s="49"/>
      <c r="C1418" s="49"/>
      <c r="D1418" s="49"/>
      <c r="E1418" s="49"/>
      <c r="F1418" s="49"/>
      <c r="G1418" s="49"/>
      <c r="H1418" s="49"/>
    </row>
    <row r="1419" spans="2:8" s="63" customFormat="1">
      <c r="B1419" s="49"/>
      <c r="C1419" s="49"/>
      <c r="D1419" s="49"/>
      <c r="E1419" s="49"/>
      <c r="F1419" s="49"/>
      <c r="G1419" s="49"/>
      <c r="H1419" s="49"/>
    </row>
    <row r="1420" spans="2:8" s="63" customFormat="1">
      <c r="B1420" s="49"/>
      <c r="C1420" s="49"/>
      <c r="D1420" s="49"/>
      <c r="E1420" s="49"/>
      <c r="F1420" s="49"/>
      <c r="G1420" s="49"/>
      <c r="H1420" s="49"/>
    </row>
    <row r="1421" spans="2:8" s="63" customFormat="1">
      <c r="B1421" s="49"/>
      <c r="C1421" s="49"/>
      <c r="D1421" s="49"/>
      <c r="E1421" s="49"/>
      <c r="F1421" s="49"/>
      <c r="G1421" s="49"/>
      <c r="H1421" s="49"/>
    </row>
    <row r="1422" spans="2:8" s="63" customFormat="1">
      <c r="B1422" s="49"/>
      <c r="C1422" s="49"/>
      <c r="D1422" s="49"/>
      <c r="E1422" s="49"/>
      <c r="F1422" s="49"/>
      <c r="G1422" s="49"/>
      <c r="H1422" s="49"/>
    </row>
    <row r="1423" spans="2:8" s="63" customFormat="1">
      <c r="B1423" s="49"/>
      <c r="C1423" s="49"/>
      <c r="D1423" s="49"/>
      <c r="E1423" s="49"/>
      <c r="F1423" s="49"/>
      <c r="G1423" s="49"/>
      <c r="H1423" s="49"/>
    </row>
    <row r="1424" spans="2:8" s="63" customFormat="1">
      <c r="B1424" s="49"/>
      <c r="C1424" s="49"/>
      <c r="D1424" s="49"/>
      <c r="E1424" s="49"/>
      <c r="F1424" s="49"/>
      <c r="G1424" s="49"/>
      <c r="H1424" s="49"/>
    </row>
    <row r="1425" spans="2:8" s="63" customFormat="1">
      <c r="B1425" s="49"/>
      <c r="C1425" s="49"/>
      <c r="D1425" s="49"/>
      <c r="E1425" s="49"/>
      <c r="F1425" s="49"/>
      <c r="G1425" s="49"/>
      <c r="H1425" s="49"/>
    </row>
    <row r="1426" spans="2:8" s="63" customFormat="1">
      <c r="B1426" s="49"/>
      <c r="C1426" s="49"/>
      <c r="D1426" s="49"/>
      <c r="E1426" s="49"/>
      <c r="F1426" s="49"/>
      <c r="G1426" s="49"/>
      <c r="H1426" s="49"/>
    </row>
    <row r="1427" spans="2:8" s="63" customFormat="1">
      <c r="B1427" s="49"/>
      <c r="C1427" s="49"/>
      <c r="D1427" s="49"/>
      <c r="E1427" s="49"/>
      <c r="F1427" s="49"/>
      <c r="G1427" s="49"/>
      <c r="H1427" s="49"/>
    </row>
    <row r="1428" spans="2:8" s="63" customFormat="1">
      <c r="B1428" s="49"/>
      <c r="C1428" s="49"/>
      <c r="D1428" s="49"/>
      <c r="E1428" s="49"/>
      <c r="F1428" s="49"/>
      <c r="G1428" s="49"/>
      <c r="H1428" s="49"/>
    </row>
    <row r="1429" spans="2:8" s="63" customFormat="1">
      <c r="B1429" s="49"/>
      <c r="C1429" s="49"/>
      <c r="D1429" s="49"/>
      <c r="E1429" s="49"/>
      <c r="F1429" s="49"/>
      <c r="G1429" s="49"/>
      <c r="H1429" s="49"/>
    </row>
    <row r="1430" spans="2:8" s="63" customFormat="1">
      <c r="B1430" s="49"/>
      <c r="C1430" s="49"/>
      <c r="D1430" s="49"/>
      <c r="E1430" s="49"/>
      <c r="F1430" s="49"/>
      <c r="G1430" s="49"/>
      <c r="H1430" s="49"/>
    </row>
    <row r="1431" spans="2:8" s="63" customFormat="1">
      <c r="B1431" s="49"/>
      <c r="C1431" s="49"/>
      <c r="D1431" s="49"/>
      <c r="E1431" s="49"/>
      <c r="F1431" s="49"/>
      <c r="G1431" s="49"/>
      <c r="H1431" s="49"/>
    </row>
    <row r="1432" spans="2:8" s="63" customFormat="1">
      <c r="B1432" s="49"/>
      <c r="C1432" s="49"/>
      <c r="D1432" s="49"/>
      <c r="E1432" s="49"/>
      <c r="F1432" s="49"/>
      <c r="G1432" s="49"/>
      <c r="H1432" s="49"/>
    </row>
    <row r="1433" spans="2:8" s="63" customFormat="1">
      <c r="B1433" s="49"/>
      <c r="C1433" s="49"/>
      <c r="D1433" s="49"/>
      <c r="E1433" s="49"/>
      <c r="F1433" s="49"/>
      <c r="G1433" s="49"/>
      <c r="H1433" s="49"/>
    </row>
    <row r="1434" spans="2:8" s="63" customFormat="1">
      <c r="B1434" s="49"/>
      <c r="C1434" s="49"/>
      <c r="D1434" s="49"/>
      <c r="E1434" s="49"/>
      <c r="F1434" s="49"/>
      <c r="G1434" s="49"/>
      <c r="H1434" s="49"/>
    </row>
    <row r="1435" spans="2:8" s="63" customFormat="1">
      <c r="B1435" s="49"/>
      <c r="C1435" s="49"/>
      <c r="D1435" s="49"/>
      <c r="E1435" s="49"/>
      <c r="F1435" s="49"/>
      <c r="G1435" s="49"/>
      <c r="H1435" s="49"/>
    </row>
    <row r="1436" spans="2:8" s="63" customFormat="1">
      <c r="B1436" s="49"/>
      <c r="C1436" s="49"/>
      <c r="D1436" s="49"/>
      <c r="E1436" s="49"/>
      <c r="F1436" s="49"/>
      <c r="G1436" s="49"/>
      <c r="H1436" s="49"/>
    </row>
    <row r="1437" spans="2:8" s="63" customFormat="1">
      <c r="B1437" s="49"/>
      <c r="C1437" s="49"/>
      <c r="D1437" s="49"/>
      <c r="E1437" s="49"/>
      <c r="F1437" s="49"/>
      <c r="G1437" s="49"/>
      <c r="H1437" s="49"/>
    </row>
    <row r="1438" spans="2:8" s="63" customFormat="1">
      <c r="B1438" s="49"/>
      <c r="C1438" s="49"/>
      <c r="D1438" s="49"/>
      <c r="E1438" s="49"/>
      <c r="F1438" s="49"/>
      <c r="G1438" s="49"/>
      <c r="H1438" s="49"/>
    </row>
    <row r="1439" spans="2:8" s="63" customFormat="1">
      <c r="B1439" s="49"/>
      <c r="C1439" s="49"/>
      <c r="D1439" s="49"/>
      <c r="E1439" s="49"/>
      <c r="F1439" s="49"/>
      <c r="G1439" s="49"/>
      <c r="H1439" s="49"/>
    </row>
    <row r="1440" spans="2:8" s="63" customFormat="1">
      <c r="B1440" s="49"/>
      <c r="C1440" s="49"/>
      <c r="D1440" s="49"/>
      <c r="E1440" s="49"/>
      <c r="F1440" s="49"/>
      <c r="G1440" s="49"/>
      <c r="H1440" s="49"/>
    </row>
    <row r="1441" spans="2:8" s="63" customFormat="1">
      <c r="B1441" s="49"/>
      <c r="C1441" s="49"/>
      <c r="D1441" s="49"/>
      <c r="E1441" s="49"/>
      <c r="F1441" s="49"/>
      <c r="G1441" s="49"/>
      <c r="H1441" s="49"/>
    </row>
    <row r="1442" spans="2:8" s="63" customFormat="1">
      <c r="B1442" s="49"/>
      <c r="C1442" s="49"/>
      <c r="D1442" s="49"/>
      <c r="E1442" s="49"/>
      <c r="F1442" s="49"/>
      <c r="G1442" s="49"/>
      <c r="H1442" s="49"/>
    </row>
    <row r="1443" spans="2:8" s="63" customFormat="1">
      <c r="B1443" s="49"/>
      <c r="C1443" s="49"/>
      <c r="D1443" s="49"/>
      <c r="E1443" s="49"/>
      <c r="F1443" s="49"/>
      <c r="G1443" s="49"/>
      <c r="H1443" s="49"/>
    </row>
    <row r="1444" spans="2:8" s="63" customFormat="1">
      <c r="B1444" s="49"/>
      <c r="C1444" s="49"/>
      <c r="D1444" s="49"/>
      <c r="E1444" s="49"/>
      <c r="F1444" s="49"/>
      <c r="G1444" s="49"/>
      <c r="H1444" s="49"/>
    </row>
    <row r="1445" spans="2:8" s="63" customFormat="1">
      <c r="B1445" s="49"/>
      <c r="C1445" s="49"/>
      <c r="D1445" s="49"/>
      <c r="E1445" s="49"/>
      <c r="F1445" s="49"/>
      <c r="G1445" s="49"/>
      <c r="H1445" s="49"/>
    </row>
    <row r="1446" spans="2:8" s="63" customFormat="1">
      <c r="B1446" s="49"/>
      <c r="C1446" s="49"/>
      <c r="D1446" s="49"/>
      <c r="E1446" s="49"/>
      <c r="F1446" s="49"/>
      <c r="G1446" s="49"/>
      <c r="H1446" s="49"/>
    </row>
    <row r="1447" spans="2:8" s="63" customFormat="1">
      <c r="B1447" s="49"/>
      <c r="C1447" s="49"/>
      <c r="D1447" s="49"/>
      <c r="E1447" s="49"/>
      <c r="F1447" s="49"/>
      <c r="G1447" s="49"/>
      <c r="H1447" s="49"/>
    </row>
    <row r="1448" spans="2:8" s="63" customFormat="1">
      <c r="B1448" s="49"/>
      <c r="C1448" s="49"/>
      <c r="D1448" s="49"/>
      <c r="E1448" s="49"/>
      <c r="F1448" s="49"/>
      <c r="G1448" s="49"/>
      <c r="H1448" s="49"/>
    </row>
    <row r="1449" spans="2:8" s="63" customFormat="1">
      <c r="B1449" s="49"/>
      <c r="C1449" s="49"/>
      <c r="D1449" s="49"/>
      <c r="E1449" s="49"/>
      <c r="F1449" s="49"/>
      <c r="G1449" s="49"/>
      <c r="H1449" s="49"/>
    </row>
    <row r="1450" spans="2:8" s="63" customFormat="1">
      <c r="B1450" s="49"/>
      <c r="C1450" s="49"/>
      <c r="D1450" s="49"/>
      <c r="E1450" s="49"/>
      <c r="F1450" s="49"/>
      <c r="G1450" s="49"/>
      <c r="H1450" s="49"/>
    </row>
    <row r="1451" spans="2:8" s="63" customFormat="1">
      <c r="B1451" s="49"/>
      <c r="C1451" s="49"/>
      <c r="D1451" s="49"/>
      <c r="E1451" s="49"/>
      <c r="F1451" s="49"/>
      <c r="G1451" s="49"/>
      <c r="H1451" s="49"/>
    </row>
    <row r="1452" spans="2:8" s="63" customFormat="1">
      <c r="B1452" s="49"/>
      <c r="C1452" s="49"/>
      <c r="D1452" s="49"/>
      <c r="E1452" s="49"/>
      <c r="F1452" s="49"/>
      <c r="G1452" s="49"/>
      <c r="H1452" s="49"/>
    </row>
    <row r="1453" spans="2:8" s="63" customFormat="1">
      <c r="B1453" s="49"/>
      <c r="C1453" s="49"/>
      <c r="D1453" s="49"/>
      <c r="E1453" s="49"/>
      <c r="F1453" s="49"/>
      <c r="G1453" s="49"/>
      <c r="H1453" s="49"/>
    </row>
    <row r="1454" spans="2:8" s="63" customFormat="1">
      <c r="B1454" s="49"/>
      <c r="C1454" s="49"/>
      <c r="D1454" s="49"/>
      <c r="E1454" s="49"/>
      <c r="F1454" s="49"/>
      <c r="G1454" s="49"/>
      <c r="H1454" s="49"/>
    </row>
    <row r="1455" spans="2:8" s="63" customFormat="1">
      <c r="B1455" s="49"/>
      <c r="C1455" s="49"/>
      <c r="D1455" s="49"/>
      <c r="E1455" s="49"/>
      <c r="F1455" s="49"/>
      <c r="G1455" s="49"/>
      <c r="H1455" s="49"/>
    </row>
    <row r="1456" spans="2:8" s="63" customFormat="1">
      <c r="B1456" s="49"/>
      <c r="C1456" s="49"/>
      <c r="D1456" s="49"/>
      <c r="E1456" s="49"/>
      <c r="F1456" s="49"/>
      <c r="G1456" s="49"/>
      <c r="H1456" s="49"/>
    </row>
    <row r="1457" spans="2:8" s="63" customFormat="1">
      <c r="B1457" s="49"/>
      <c r="C1457" s="49"/>
      <c r="D1457" s="49"/>
      <c r="E1457" s="49"/>
      <c r="F1457" s="49"/>
      <c r="G1457" s="49"/>
      <c r="H1457" s="49"/>
    </row>
    <row r="1458" spans="2:8" s="63" customFormat="1">
      <c r="B1458" s="49"/>
      <c r="C1458" s="49"/>
      <c r="D1458" s="49"/>
      <c r="E1458" s="49"/>
      <c r="F1458" s="49"/>
      <c r="G1458" s="49"/>
      <c r="H1458" s="49"/>
    </row>
    <row r="1459" spans="2:8" s="63" customFormat="1">
      <c r="B1459" s="49"/>
      <c r="C1459" s="49"/>
      <c r="D1459" s="49"/>
      <c r="E1459" s="49"/>
      <c r="F1459" s="49"/>
      <c r="G1459" s="49"/>
      <c r="H1459" s="49"/>
    </row>
    <row r="1460" spans="2:8" s="63" customFormat="1">
      <c r="B1460" s="49"/>
      <c r="C1460" s="49"/>
      <c r="D1460" s="49"/>
      <c r="E1460" s="49"/>
      <c r="F1460" s="49"/>
      <c r="G1460" s="49"/>
      <c r="H1460" s="49"/>
    </row>
    <row r="1461" spans="2:8" s="63" customFormat="1">
      <c r="B1461" s="49"/>
      <c r="C1461" s="49"/>
      <c r="D1461" s="49"/>
      <c r="E1461" s="49"/>
      <c r="F1461" s="49"/>
      <c r="G1461" s="49"/>
      <c r="H1461" s="49"/>
    </row>
    <row r="1462" spans="2:8" s="63" customFormat="1">
      <c r="B1462" s="49"/>
      <c r="C1462" s="49"/>
      <c r="D1462" s="49"/>
      <c r="E1462" s="49"/>
      <c r="F1462" s="49"/>
      <c r="G1462" s="49"/>
      <c r="H1462" s="49"/>
    </row>
    <row r="1463" spans="2:8" s="63" customFormat="1">
      <c r="B1463" s="49"/>
      <c r="C1463" s="49"/>
      <c r="D1463" s="49"/>
      <c r="E1463" s="49"/>
      <c r="F1463" s="49"/>
      <c r="G1463" s="49"/>
      <c r="H1463" s="49"/>
    </row>
    <row r="1464" spans="2:8" s="63" customFormat="1">
      <c r="B1464" s="49"/>
      <c r="C1464" s="49"/>
      <c r="D1464" s="49"/>
      <c r="E1464" s="49"/>
      <c r="F1464" s="49"/>
      <c r="G1464" s="49"/>
      <c r="H1464" s="49"/>
    </row>
    <row r="1465" spans="2:8" s="63" customFormat="1">
      <c r="B1465" s="49"/>
      <c r="C1465" s="49"/>
      <c r="D1465" s="49"/>
      <c r="E1465" s="49"/>
      <c r="F1465" s="49"/>
      <c r="G1465" s="49"/>
      <c r="H1465" s="49"/>
    </row>
    <row r="1466" spans="2:8" s="63" customFormat="1">
      <c r="B1466" s="49"/>
      <c r="C1466" s="49"/>
      <c r="D1466" s="49"/>
      <c r="E1466" s="49"/>
      <c r="F1466" s="49"/>
      <c r="G1466" s="49"/>
      <c r="H1466" s="49"/>
    </row>
    <row r="1467" spans="2:8" s="63" customFormat="1">
      <c r="B1467" s="49"/>
      <c r="C1467" s="49"/>
      <c r="D1467" s="49"/>
      <c r="E1467" s="49"/>
      <c r="F1467" s="49"/>
      <c r="G1467" s="49"/>
      <c r="H1467" s="49"/>
    </row>
    <row r="1468" spans="2:8" s="63" customFormat="1">
      <c r="B1468" s="49"/>
      <c r="C1468" s="49"/>
      <c r="D1468" s="49"/>
      <c r="E1468" s="49"/>
      <c r="F1468" s="49"/>
      <c r="G1468" s="49"/>
      <c r="H1468" s="49"/>
    </row>
    <row r="1469" spans="2:8" s="63" customFormat="1">
      <c r="B1469" s="49"/>
      <c r="C1469" s="49"/>
      <c r="D1469" s="49"/>
      <c r="E1469" s="49"/>
      <c r="F1469" s="49"/>
      <c r="G1469" s="49"/>
      <c r="H1469" s="49"/>
    </row>
    <row r="1470" spans="2:8" s="63" customFormat="1">
      <c r="B1470" s="49"/>
      <c r="C1470" s="49"/>
      <c r="D1470" s="49"/>
      <c r="E1470" s="49"/>
      <c r="F1470" s="49"/>
      <c r="G1470" s="49"/>
      <c r="H1470" s="49"/>
    </row>
    <row r="1471" spans="2:8" s="63" customFormat="1">
      <c r="B1471" s="49"/>
      <c r="C1471" s="49"/>
      <c r="D1471" s="49"/>
      <c r="E1471" s="49"/>
      <c r="F1471" s="49"/>
      <c r="G1471" s="49"/>
      <c r="H1471" s="49"/>
    </row>
    <row r="1472" spans="2:8" s="63" customFormat="1">
      <c r="B1472" s="49"/>
      <c r="C1472" s="49"/>
      <c r="D1472" s="49"/>
      <c r="E1472" s="49"/>
      <c r="F1472" s="49"/>
      <c r="G1472" s="49"/>
      <c r="H1472" s="49"/>
    </row>
    <row r="1473" spans="2:8" s="63" customFormat="1">
      <c r="B1473" s="49"/>
      <c r="C1473" s="49"/>
      <c r="D1473" s="49"/>
      <c r="E1473" s="49"/>
      <c r="F1473" s="49"/>
      <c r="G1473" s="49"/>
      <c r="H1473" s="49"/>
    </row>
    <row r="1474" spans="2:8" s="63" customFormat="1">
      <c r="B1474" s="49"/>
      <c r="C1474" s="49"/>
      <c r="D1474" s="49"/>
      <c r="E1474" s="49"/>
      <c r="F1474" s="49"/>
      <c r="G1474" s="49"/>
      <c r="H1474" s="49"/>
    </row>
    <row r="1475" spans="2:8" s="63" customFormat="1">
      <c r="B1475" s="49"/>
      <c r="C1475" s="49"/>
      <c r="D1475" s="49"/>
      <c r="E1475" s="49"/>
      <c r="F1475" s="49"/>
      <c r="G1475" s="49"/>
      <c r="H1475" s="49"/>
    </row>
    <row r="1476" spans="2:8" s="63" customFormat="1">
      <c r="B1476" s="49"/>
      <c r="C1476" s="49"/>
      <c r="D1476" s="49"/>
      <c r="E1476" s="49"/>
      <c r="F1476" s="49"/>
      <c r="G1476" s="49"/>
      <c r="H1476" s="49"/>
    </row>
    <row r="1477" spans="2:8" s="63" customFormat="1">
      <c r="B1477" s="49"/>
      <c r="C1477" s="49"/>
      <c r="D1477" s="49"/>
      <c r="E1477" s="49"/>
      <c r="F1477" s="49"/>
      <c r="G1477" s="49"/>
      <c r="H1477" s="49"/>
    </row>
    <row r="1478" spans="2:8" s="63" customFormat="1">
      <c r="B1478" s="49"/>
      <c r="C1478" s="49"/>
      <c r="D1478" s="49"/>
      <c r="E1478" s="49"/>
      <c r="F1478" s="49"/>
      <c r="G1478" s="49"/>
      <c r="H1478" s="49"/>
    </row>
    <row r="1479" spans="2:8" s="63" customFormat="1">
      <c r="B1479" s="49"/>
      <c r="C1479" s="49"/>
      <c r="D1479" s="49"/>
      <c r="E1479" s="49"/>
      <c r="F1479" s="49"/>
      <c r="G1479" s="49"/>
      <c r="H1479" s="49"/>
    </row>
    <row r="1480" spans="2:8" s="63" customFormat="1">
      <c r="B1480" s="49"/>
      <c r="C1480" s="49"/>
      <c r="D1480" s="49"/>
      <c r="E1480" s="49"/>
      <c r="F1480" s="49"/>
      <c r="G1480" s="49"/>
      <c r="H1480" s="49"/>
    </row>
    <row r="1481" spans="2:8" s="63" customFormat="1">
      <c r="B1481" s="49"/>
      <c r="C1481" s="49"/>
      <c r="D1481" s="49"/>
      <c r="E1481" s="49"/>
      <c r="F1481" s="49"/>
      <c r="G1481" s="49"/>
      <c r="H1481" s="49"/>
    </row>
    <row r="1482" spans="2:8" s="63" customFormat="1">
      <c r="B1482" s="49"/>
      <c r="C1482" s="49"/>
      <c r="D1482" s="49"/>
      <c r="E1482" s="49"/>
      <c r="F1482" s="49"/>
      <c r="G1482" s="49"/>
      <c r="H1482" s="49"/>
    </row>
    <row r="1483" spans="2:8" s="63" customFormat="1">
      <c r="B1483" s="49"/>
      <c r="C1483" s="49"/>
      <c r="D1483" s="49"/>
      <c r="E1483" s="49"/>
      <c r="F1483" s="49"/>
      <c r="G1483" s="49"/>
      <c r="H1483" s="49"/>
    </row>
    <row r="1484" spans="2:8" s="63" customFormat="1">
      <c r="B1484" s="49"/>
      <c r="C1484" s="49"/>
      <c r="D1484" s="49"/>
      <c r="E1484" s="49"/>
      <c r="F1484" s="49"/>
      <c r="G1484" s="49"/>
      <c r="H1484" s="49"/>
    </row>
    <row r="1485" spans="2:8" s="63" customFormat="1">
      <c r="B1485" s="49"/>
      <c r="C1485" s="49"/>
      <c r="D1485" s="49"/>
      <c r="E1485" s="49"/>
      <c r="F1485" s="49"/>
      <c r="G1485" s="49"/>
      <c r="H1485" s="49"/>
    </row>
    <row r="1486" spans="2:8" s="63" customFormat="1">
      <c r="B1486" s="49"/>
      <c r="C1486" s="49"/>
      <c r="D1486" s="49"/>
      <c r="E1486" s="49"/>
      <c r="F1486" s="49"/>
      <c r="G1486" s="49"/>
      <c r="H1486" s="49"/>
    </row>
    <row r="1487" spans="2:8" s="63" customFormat="1">
      <c r="B1487" s="49"/>
      <c r="C1487" s="49"/>
      <c r="D1487" s="49"/>
      <c r="E1487" s="49"/>
      <c r="F1487" s="49"/>
      <c r="G1487" s="49"/>
      <c r="H1487" s="49"/>
    </row>
    <row r="1488" spans="2:8" s="63" customFormat="1">
      <c r="B1488" s="49"/>
      <c r="C1488" s="49"/>
      <c r="D1488" s="49"/>
      <c r="E1488" s="49"/>
      <c r="F1488" s="49"/>
      <c r="G1488" s="49"/>
      <c r="H1488" s="49"/>
    </row>
    <row r="1489" spans="2:8" s="63" customFormat="1">
      <c r="B1489" s="49"/>
      <c r="C1489" s="49"/>
      <c r="D1489" s="49"/>
      <c r="E1489" s="49"/>
      <c r="F1489" s="49"/>
      <c r="G1489" s="49"/>
      <c r="H1489" s="49"/>
    </row>
    <row r="1490" spans="2:8" s="63" customFormat="1">
      <c r="B1490" s="49"/>
      <c r="C1490" s="49"/>
      <c r="D1490" s="49"/>
      <c r="E1490" s="49"/>
      <c r="F1490" s="49"/>
      <c r="G1490" s="49"/>
      <c r="H1490" s="49"/>
    </row>
    <row r="1491" spans="2:8" s="63" customFormat="1">
      <c r="B1491" s="49"/>
      <c r="C1491" s="49"/>
      <c r="D1491" s="49"/>
      <c r="E1491" s="49"/>
      <c r="F1491" s="49"/>
      <c r="G1491" s="49"/>
      <c r="H1491" s="49"/>
    </row>
    <row r="1492" spans="2:8" s="63" customFormat="1">
      <c r="B1492" s="49"/>
      <c r="C1492" s="49"/>
      <c r="D1492" s="49"/>
      <c r="E1492" s="49"/>
      <c r="F1492" s="49"/>
      <c r="G1492" s="49"/>
      <c r="H1492" s="49"/>
    </row>
    <row r="1493" spans="2:8" s="63" customFormat="1">
      <c r="B1493" s="49"/>
      <c r="C1493" s="49"/>
      <c r="D1493" s="49"/>
      <c r="E1493" s="49"/>
      <c r="F1493" s="49"/>
      <c r="G1493" s="49"/>
      <c r="H1493" s="49"/>
    </row>
    <row r="1494" spans="2:8" s="63" customFormat="1">
      <c r="B1494" s="49"/>
      <c r="C1494" s="49"/>
      <c r="D1494" s="49"/>
      <c r="E1494" s="49"/>
      <c r="F1494" s="49"/>
      <c r="G1494" s="49"/>
      <c r="H1494" s="49"/>
    </row>
    <row r="1495" spans="2:8" s="63" customFormat="1">
      <c r="B1495" s="49"/>
      <c r="C1495" s="49"/>
      <c r="D1495" s="49"/>
      <c r="E1495" s="49"/>
      <c r="F1495" s="49"/>
      <c r="G1495" s="49"/>
      <c r="H1495" s="49"/>
    </row>
    <row r="1496" spans="2:8" s="63" customFormat="1">
      <c r="B1496" s="49"/>
      <c r="C1496" s="49"/>
      <c r="D1496" s="49"/>
      <c r="E1496" s="49"/>
      <c r="F1496" s="49"/>
      <c r="G1496" s="49"/>
      <c r="H1496" s="49"/>
    </row>
    <row r="1497" spans="2:8" s="63" customFormat="1">
      <c r="B1497" s="49"/>
      <c r="C1497" s="49"/>
      <c r="D1497" s="49"/>
      <c r="E1497" s="49"/>
      <c r="F1497" s="49"/>
      <c r="G1497" s="49"/>
      <c r="H1497" s="49"/>
    </row>
    <row r="1498" spans="2:8" s="63" customFormat="1">
      <c r="B1498" s="49"/>
      <c r="C1498" s="49"/>
      <c r="D1498" s="49"/>
      <c r="E1498" s="49"/>
      <c r="F1498" s="49"/>
      <c r="G1498" s="49"/>
      <c r="H1498" s="49"/>
    </row>
    <row r="1499" spans="2:8" s="63" customFormat="1">
      <c r="B1499" s="49"/>
      <c r="C1499" s="49"/>
      <c r="D1499" s="49"/>
      <c r="E1499" s="49"/>
      <c r="F1499" s="49"/>
      <c r="G1499" s="49"/>
      <c r="H1499" s="49"/>
    </row>
    <row r="1500" spans="2:8" s="63" customFormat="1">
      <c r="B1500" s="49"/>
      <c r="C1500" s="49"/>
      <c r="D1500" s="49"/>
      <c r="E1500" s="49"/>
      <c r="F1500" s="49"/>
      <c r="G1500" s="49"/>
      <c r="H1500" s="49"/>
    </row>
    <row r="1501" spans="2:8" s="63" customFormat="1">
      <c r="B1501" s="49"/>
      <c r="C1501" s="49"/>
      <c r="D1501" s="49"/>
      <c r="E1501" s="49"/>
      <c r="F1501" s="49"/>
      <c r="G1501" s="49"/>
      <c r="H1501" s="49"/>
    </row>
    <row r="1502" spans="2:8" s="63" customFormat="1">
      <c r="B1502" s="49"/>
      <c r="C1502" s="49"/>
      <c r="D1502" s="49"/>
      <c r="E1502" s="49"/>
      <c r="F1502" s="49"/>
      <c r="G1502" s="49"/>
      <c r="H1502" s="49"/>
    </row>
    <row r="1503" spans="2:8" s="63" customFormat="1">
      <c r="B1503" s="49"/>
      <c r="C1503" s="49"/>
      <c r="D1503" s="49"/>
      <c r="E1503" s="49"/>
      <c r="F1503" s="49"/>
      <c r="G1503" s="49"/>
      <c r="H1503" s="49"/>
    </row>
    <row r="1504" spans="2:8" s="63" customFormat="1">
      <c r="B1504" s="49"/>
      <c r="C1504" s="49"/>
      <c r="D1504" s="49"/>
      <c r="E1504" s="49"/>
      <c r="F1504" s="49"/>
      <c r="G1504" s="49"/>
      <c r="H1504" s="49"/>
    </row>
    <row r="1505" spans="2:8" s="63" customFormat="1">
      <c r="B1505" s="49"/>
      <c r="C1505" s="49"/>
      <c r="D1505" s="49"/>
      <c r="E1505" s="49"/>
      <c r="F1505" s="49"/>
      <c r="G1505" s="49"/>
      <c r="H1505" s="49"/>
    </row>
    <row r="1506" spans="2:8" s="63" customFormat="1">
      <c r="B1506" s="49"/>
      <c r="C1506" s="49"/>
      <c r="D1506" s="49"/>
      <c r="E1506" s="49"/>
      <c r="F1506" s="49"/>
      <c r="G1506" s="49"/>
      <c r="H1506" s="49"/>
    </row>
    <row r="1507" spans="2:8" s="63" customFormat="1">
      <c r="B1507" s="49"/>
      <c r="C1507" s="49"/>
      <c r="D1507" s="49"/>
      <c r="E1507" s="49"/>
      <c r="F1507" s="49"/>
      <c r="G1507" s="49"/>
      <c r="H1507" s="49"/>
    </row>
    <row r="1508" spans="2:8" s="63" customFormat="1">
      <c r="B1508" s="49"/>
      <c r="C1508" s="49"/>
      <c r="D1508" s="49"/>
      <c r="E1508" s="49"/>
      <c r="F1508" s="49"/>
      <c r="G1508" s="49"/>
      <c r="H1508" s="49"/>
    </row>
    <row r="1509" spans="2:8" s="63" customFormat="1">
      <c r="B1509" s="49"/>
      <c r="C1509" s="49"/>
      <c r="D1509" s="49"/>
      <c r="E1509" s="49"/>
      <c r="F1509" s="49"/>
      <c r="G1509" s="49"/>
      <c r="H1509" s="49"/>
    </row>
    <row r="1510" spans="2:8" s="63" customFormat="1">
      <c r="B1510" s="49"/>
      <c r="C1510" s="49"/>
      <c r="D1510" s="49"/>
      <c r="E1510" s="49"/>
      <c r="F1510" s="49"/>
      <c r="G1510" s="49"/>
      <c r="H1510" s="49"/>
    </row>
    <row r="1511" spans="2:8" s="63" customFormat="1">
      <c r="B1511" s="49"/>
      <c r="C1511" s="49"/>
      <c r="D1511" s="49"/>
      <c r="E1511" s="49"/>
      <c r="F1511" s="49"/>
      <c r="G1511" s="49"/>
      <c r="H1511" s="49"/>
    </row>
    <row r="1512" spans="2:8" s="63" customFormat="1">
      <c r="B1512" s="49"/>
      <c r="C1512" s="49"/>
      <c r="D1512" s="49"/>
      <c r="E1512" s="49"/>
      <c r="F1512" s="49"/>
      <c r="G1512" s="49"/>
      <c r="H1512" s="49"/>
    </row>
    <row r="1513" spans="2:8" s="63" customFormat="1">
      <c r="B1513" s="49"/>
      <c r="C1513" s="49"/>
      <c r="D1513" s="49"/>
      <c r="E1513" s="49"/>
      <c r="F1513" s="49"/>
      <c r="G1513" s="49"/>
      <c r="H1513" s="49"/>
    </row>
    <row r="1514" spans="2:8" s="63" customFormat="1">
      <c r="B1514" s="49"/>
      <c r="C1514" s="49"/>
      <c r="D1514" s="49"/>
      <c r="E1514" s="49"/>
      <c r="F1514" s="49"/>
      <c r="G1514" s="49"/>
      <c r="H1514" s="49"/>
    </row>
    <row r="1515" spans="2:8" s="63" customFormat="1">
      <c r="B1515" s="49"/>
      <c r="C1515" s="49"/>
      <c r="D1515" s="49"/>
      <c r="E1515" s="49"/>
      <c r="F1515" s="49"/>
      <c r="G1515" s="49"/>
      <c r="H1515" s="49"/>
    </row>
    <row r="1516" spans="2:8" s="63" customFormat="1">
      <c r="B1516" s="49"/>
      <c r="C1516" s="49"/>
      <c r="D1516" s="49"/>
      <c r="E1516" s="49"/>
      <c r="F1516" s="49"/>
      <c r="G1516" s="49"/>
      <c r="H1516" s="49"/>
    </row>
    <row r="1517" spans="2:8" s="63" customFormat="1">
      <c r="B1517" s="49"/>
      <c r="C1517" s="49"/>
      <c r="D1517" s="49"/>
      <c r="E1517" s="49"/>
      <c r="F1517" s="49"/>
      <c r="G1517" s="49"/>
      <c r="H1517" s="49"/>
    </row>
    <row r="1518" spans="2:8" s="63" customFormat="1">
      <c r="B1518" s="49"/>
      <c r="C1518" s="49"/>
      <c r="D1518" s="49"/>
      <c r="E1518" s="49"/>
      <c r="F1518" s="49"/>
      <c r="G1518" s="49"/>
      <c r="H1518" s="49"/>
    </row>
    <row r="1519" spans="2:8" s="63" customFormat="1">
      <c r="B1519" s="49"/>
      <c r="C1519" s="49"/>
      <c r="D1519" s="49"/>
      <c r="E1519" s="49"/>
      <c r="F1519" s="49"/>
      <c r="G1519" s="49"/>
      <c r="H1519" s="49"/>
    </row>
    <row r="1520" spans="2:8" s="63" customFormat="1">
      <c r="B1520" s="49"/>
      <c r="C1520" s="49"/>
      <c r="D1520" s="49"/>
      <c r="E1520" s="49"/>
      <c r="F1520" s="49"/>
      <c r="G1520" s="49"/>
      <c r="H1520" s="49"/>
    </row>
    <row r="1521" spans="2:8" s="63" customFormat="1">
      <c r="B1521" s="49"/>
      <c r="C1521" s="49"/>
      <c r="D1521" s="49"/>
      <c r="E1521" s="49"/>
      <c r="F1521" s="49"/>
      <c r="G1521" s="49"/>
      <c r="H1521" s="49"/>
    </row>
    <row r="1522" spans="2:8" s="63" customFormat="1">
      <c r="B1522" s="49"/>
      <c r="C1522" s="49"/>
      <c r="D1522" s="49"/>
      <c r="E1522" s="49"/>
      <c r="F1522" s="49"/>
      <c r="G1522" s="49"/>
      <c r="H1522" s="49"/>
    </row>
    <row r="1523" spans="2:8" s="63" customFormat="1">
      <c r="B1523" s="49"/>
      <c r="C1523" s="49"/>
      <c r="D1523" s="49"/>
      <c r="E1523" s="49"/>
      <c r="F1523" s="49"/>
      <c r="G1523" s="49"/>
      <c r="H1523" s="49"/>
    </row>
    <row r="1524" spans="2:8" s="63" customFormat="1">
      <c r="B1524" s="49"/>
      <c r="C1524" s="49"/>
      <c r="D1524" s="49"/>
      <c r="E1524" s="49"/>
      <c r="F1524" s="49"/>
      <c r="G1524" s="49"/>
      <c r="H1524" s="49"/>
    </row>
    <row r="1525" spans="2:8" s="63" customFormat="1">
      <c r="B1525" s="49"/>
      <c r="C1525" s="49"/>
      <c r="D1525" s="49"/>
      <c r="E1525" s="49"/>
      <c r="F1525" s="49"/>
      <c r="G1525" s="49"/>
      <c r="H1525" s="49"/>
    </row>
    <row r="1526" spans="2:8" s="63" customFormat="1">
      <c r="B1526" s="49"/>
      <c r="C1526" s="49"/>
      <c r="D1526" s="49"/>
      <c r="E1526" s="49"/>
      <c r="F1526" s="49"/>
      <c r="G1526" s="49"/>
      <c r="H1526" s="49"/>
    </row>
    <row r="1527" spans="2:8" s="63" customFormat="1">
      <c r="B1527" s="49"/>
      <c r="C1527" s="49"/>
      <c r="D1527" s="49"/>
      <c r="E1527" s="49"/>
      <c r="F1527" s="49"/>
      <c r="G1527" s="49"/>
      <c r="H1527" s="49"/>
    </row>
    <row r="1528" spans="2:8" s="63" customFormat="1">
      <c r="B1528" s="49"/>
      <c r="C1528" s="49"/>
      <c r="D1528" s="49"/>
      <c r="E1528" s="49"/>
      <c r="F1528" s="49"/>
      <c r="G1528" s="49"/>
      <c r="H1528" s="49"/>
    </row>
    <row r="1529" spans="2:8" s="63" customFormat="1">
      <c r="B1529" s="49"/>
      <c r="C1529" s="49"/>
      <c r="D1529" s="49"/>
      <c r="E1529" s="49"/>
      <c r="F1529" s="49"/>
      <c r="G1529" s="49"/>
      <c r="H1529" s="49"/>
    </row>
    <row r="1530" spans="2:8" s="63" customFormat="1">
      <c r="B1530" s="49"/>
      <c r="C1530" s="49"/>
      <c r="D1530" s="49"/>
      <c r="E1530" s="49"/>
      <c r="F1530" s="49"/>
      <c r="G1530" s="49"/>
      <c r="H1530" s="49"/>
    </row>
    <row r="1531" spans="2:8" s="63" customFormat="1">
      <c r="B1531" s="49"/>
      <c r="C1531" s="49"/>
      <c r="D1531" s="49"/>
      <c r="E1531" s="49"/>
      <c r="F1531" s="49"/>
      <c r="G1531" s="49"/>
      <c r="H1531" s="49"/>
    </row>
    <row r="1532" spans="2:8" s="63" customFormat="1">
      <c r="B1532" s="49"/>
      <c r="C1532" s="49"/>
      <c r="D1532" s="49"/>
      <c r="E1532" s="49"/>
      <c r="F1532" s="49"/>
      <c r="G1532" s="49"/>
      <c r="H1532" s="49"/>
    </row>
    <row r="1533" spans="2:8" s="63" customFormat="1">
      <c r="B1533" s="49"/>
      <c r="C1533" s="49"/>
      <c r="D1533" s="49"/>
      <c r="E1533" s="49"/>
      <c r="F1533" s="49"/>
      <c r="G1533" s="49"/>
      <c r="H1533" s="49"/>
    </row>
    <row r="1534" spans="2:8" s="63" customFormat="1">
      <c r="B1534" s="49"/>
      <c r="C1534" s="49"/>
      <c r="D1534" s="49"/>
      <c r="E1534" s="49"/>
      <c r="F1534" s="49"/>
      <c r="G1534" s="49"/>
      <c r="H1534" s="49"/>
    </row>
    <row r="1535" spans="2:8" s="63" customFormat="1">
      <c r="B1535" s="49"/>
      <c r="C1535" s="49"/>
      <c r="D1535" s="49"/>
      <c r="E1535" s="49"/>
      <c r="F1535" s="49"/>
      <c r="G1535" s="49"/>
      <c r="H1535" s="49"/>
    </row>
    <row r="1536" spans="2:8" s="63" customFormat="1">
      <c r="B1536" s="49"/>
      <c r="C1536" s="49"/>
      <c r="D1536" s="49"/>
      <c r="E1536" s="49"/>
      <c r="F1536" s="49"/>
      <c r="G1536" s="49"/>
      <c r="H1536" s="49"/>
    </row>
    <row r="1537" spans="2:8" s="63" customFormat="1">
      <c r="B1537" s="49"/>
      <c r="C1537" s="49"/>
      <c r="D1537" s="49"/>
      <c r="E1537" s="49"/>
      <c r="F1537" s="49"/>
      <c r="G1537" s="49"/>
      <c r="H1537" s="49"/>
    </row>
    <row r="1538" spans="2:8" s="63" customFormat="1">
      <c r="B1538" s="49"/>
      <c r="C1538" s="49"/>
      <c r="D1538" s="49"/>
      <c r="E1538" s="49"/>
      <c r="F1538" s="49"/>
      <c r="G1538" s="49"/>
      <c r="H1538" s="49"/>
    </row>
    <row r="1539" spans="2:8" s="63" customFormat="1">
      <c r="B1539" s="49"/>
      <c r="C1539" s="49"/>
      <c r="D1539" s="49"/>
      <c r="E1539" s="49"/>
      <c r="F1539" s="49"/>
      <c r="G1539" s="49"/>
      <c r="H1539" s="49"/>
    </row>
    <row r="1540" spans="2:8" s="63" customFormat="1">
      <c r="B1540" s="49"/>
      <c r="C1540" s="49"/>
      <c r="D1540" s="49"/>
      <c r="E1540" s="49"/>
      <c r="F1540" s="49"/>
      <c r="G1540" s="49"/>
      <c r="H1540" s="49"/>
    </row>
    <row r="1541" spans="2:8" s="63" customFormat="1">
      <c r="B1541" s="49"/>
      <c r="C1541" s="49"/>
      <c r="D1541" s="49"/>
      <c r="E1541" s="49"/>
      <c r="F1541" s="49"/>
      <c r="G1541" s="49"/>
      <c r="H1541" s="49"/>
    </row>
    <row r="1542" spans="2:8" s="63" customFormat="1">
      <c r="B1542" s="49"/>
      <c r="C1542" s="49"/>
      <c r="D1542" s="49"/>
      <c r="E1542" s="49"/>
      <c r="F1542" s="49"/>
      <c r="G1542" s="49"/>
      <c r="H1542" s="49"/>
    </row>
    <row r="1543" spans="2:8" s="63" customFormat="1">
      <c r="B1543" s="49"/>
      <c r="C1543" s="49"/>
      <c r="D1543" s="49"/>
      <c r="E1543" s="49"/>
      <c r="F1543" s="49"/>
      <c r="G1543" s="49"/>
      <c r="H1543" s="49"/>
    </row>
    <row r="1544" spans="2:8" s="63" customFormat="1">
      <c r="B1544" s="49"/>
      <c r="C1544" s="49"/>
      <c r="D1544" s="49"/>
      <c r="E1544" s="49"/>
      <c r="F1544" s="49"/>
      <c r="G1544" s="49"/>
      <c r="H1544" s="49"/>
    </row>
    <row r="1545" spans="2:8" s="63" customFormat="1">
      <c r="B1545" s="49"/>
      <c r="C1545" s="49"/>
      <c r="D1545" s="49"/>
      <c r="E1545" s="49"/>
      <c r="F1545" s="49"/>
      <c r="G1545" s="49"/>
      <c r="H1545" s="49"/>
    </row>
    <row r="1546" spans="2:8" s="63" customFormat="1">
      <c r="B1546" s="49"/>
      <c r="C1546" s="49"/>
      <c r="D1546" s="49"/>
      <c r="E1546" s="49"/>
      <c r="F1546" s="49"/>
      <c r="G1546" s="49"/>
      <c r="H1546" s="49"/>
    </row>
    <row r="1547" spans="2:8" s="63" customFormat="1">
      <c r="B1547" s="49"/>
      <c r="C1547" s="49"/>
      <c r="D1547" s="49"/>
      <c r="E1547" s="49"/>
      <c r="F1547" s="49"/>
      <c r="G1547" s="49"/>
      <c r="H1547" s="49"/>
    </row>
    <row r="1548" spans="2:8" s="63" customFormat="1">
      <c r="B1548" s="49"/>
      <c r="C1548" s="49"/>
      <c r="D1548" s="49"/>
      <c r="E1548" s="49"/>
      <c r="F1548" s="49"/>
      <c r="G1548" s="49"/>
      <c r="H1548" s="49"/>
    </row>
    <row r="1549" spans="2:8" s="63" customFormat="1">
      <c r="B1549" s="49"/>
      <c r="C1549" s="49"/>
      <c r="D1549" s="49"/>
      <c r="E1549" s="49"/>
      <c r="F1549" s="49"/>
      <c r="G1549" s="49"/>
      <c r="H1549" s="49"/>
    </row>
    <row r="1550" spans="2:8" s="63" customFormat="1">
      <c r="B1550" s="49"/>
      <c r="C1550" s="49"/>
      <c r="D1550" s="49"/>
      <c r="E1550" s="49"/>
      <c r="F1550" s="49"/>
      <c r="G1550" s="49"/>
      <c r="H1550" s="49"/>
    </row>
    <row r="1551" spans="2:8" s="63" customFormat="1">
      <c r="B1551" s="49"/>
      <c r="C1551" s="49"/>
      <c r="D1551" s="49"/>
      <c r="E1551" s="49"/>
      <c r="F1551" s="49"/>
      <c r="G1551" s="49"/>
      <c r="H1551" s="49"/>
    </row>
    <row r="1552" spans="2:8" s="63" customFormat="1">
      <c r="B1552" s="49"/>
      <c r="C1552" s="49"/>
      <c r="D1552" s="49"/>
      <c r="E1552" s="49"/>
      <c r="F1552" s="49"/>
      <c r="G1552" s="49"/>
      <c r="H1552" s="49"/>
    </row>
    <row r="1553" spans="2:8" s="63" customFormat="1">
      <c r="B1553" s="49"/>
      <c r="C1553" s="49"/>
      <c r="D1553" s="49"/>
      <c r="E1553" s="49"/>
      <c r="F1553" s="49"/>
      <c r="G1553" s="49"/>
      <c r="H1553" s="49"/>
    </row>
    <row r="1554" spans="2:8" s="63" customFormat="1">
      <c r="B1554" s="49"/>
      <c r="C1554" s="49"/>
      <c r="D1554" s="49"/>
      <c r="E1554" s="49"/>
      <c r="F1554" s="49"/>
      <c r="G1554" s="49"/>
      <c r="H1554" s="49"/>
    </row>
    <row r="1555" spans="2:8" s="63" customFormat="1">
      <c r="B1555" s="49"/>
      <c r="C1555" s="49"/>
      <c r="D1555" s="49"/>
      <c r="E1555" s="49"/>
      <c r="F1555" s="49"/>
      <c r="G1555" s="49"/>
      <c r="H1555" s="49"/>
    </row>
    <row r="1556" spans="2:8" s="63" customFormat="1">
      <c r="B1556" s="49"/>
      <c r="C1556" s="49"/>
      <c r="D1556" s="49"/>
      <c r="E1556" s="49"/>
      <c r="F1556" s="49"/>
      <c r="G1556" s="49"/>
      <c r="H1556" s="49"/>
    </row>
    <row r="1557" spans="2:8" s="63" customFormat="1">
      <c r="B1557" s="49"/>
      <c r="C1557" s="49"/>
      <c r="D1557" s="49"/>
      <c r="E1557" s="49"/>
      <c r="F1557" s="49"/>
      <c r="G1557" s="49"/>
      <c r="H1557" s="49"/>
    </row>
    <row r="1558" spans="2:8" s="63" customFormat="1">
      <c r="B1558" s="49"/>
      <c r="C1558" s="49"/>
      <c r="D1558" s="49"/>
      <c r="E1558" s="49"/>
      <c r="F1558" s="49"/>
      <c r="G1558" s="49"/>
      <c r="H1558" s="49"/>
    </row>
    <row r="1559" spans="2:8" s="63" customFormat="1">
      <c r="B1559" s="49"/>
      <c r="C1559" s="49"/>
      <c r="D1559" s="49"/>
      <c r="E1559" s="49"/>
      <c r="F1559" s="49"/>
      <c r="G1559" s="49"/>
      <c r="H1559" s="49"/>
    </row>
    <row r="1560" spans="2:8" s="63" customFormat="1">
      <c r="B1560" s="49"/>
      <c r="C1560" s="49"/>
      <c r="D1560" s="49"/>
      <c r="E1560" s="49"/>
      <c r="F1560" s="49"/>
      <c r="G1560" s="49"/>
      <c r="H1560" s="49"/>
    </row>
    <row r="1561" spans="2:8" s="63" customFormat="1">
      <c r="B1561" s="49"/>
      <c r="C1561" s="49"/>
      <c r="D1561" s="49"/>
      <c r="E1561" s="49"/>
      <c r="F1561" s="49"/>
      <c r="G1561" s="49"/>
      <c r="H1561" s="49"/>
    </row>
    <row r="1562" spans="2:8" s="63" customFormat="1">
      <c r="B1562" s="49"/>
      <c r="C1562" s="49"/>
      <c r="D1562" s="49"/>
      <c r="E1562" s="49"/>
      <c r="F1562" s="49"/>
      <c r="G1562" s="49"/>
      <c r="H1562" s="49"/>
    </row>
    <row r="1563" spans="2:8" s="63" customFormat="1">
      <c r="B1563" s="49"/>
      <c r="C1563" s="49"/>
      <c r="D1563" s="49"/>
      <c r="E1563" s="49"/>
      <c r="F1563" s="49"/>
      <c r="G1563" s="49"/>
      <c r="H1563" s="49"/>
    </row>
    <row r="1564" spans="2:8" s="63" customFormat="1">
      <c r="B1564" s="49"/>
      <c r="C1564" s="49"/>
      <c r="D1564" s="49"/>
      <c r="E1564" s="49"/>
      <c r="F1564" s="49"/>
      <c r="G1564" s="49"/>
      <c r="H1564" s="49"/>
    </row>
    <row r="1565" spans="2:8" s="63" customFormat="1">
      <c r="B1565" s="49"/>
      <c r="C1565" s="49"/>
      <c r="D1565" s="49"/>
      <c r="E1565" s="49"/>
      <c r="F1565" s="49"/>
      <c r="G1565" s="49"/>
      <c r="H1565" s="49"/>
    </row>
    <row r="1566" spans="2:8" s="63" customFormat="1">
      <c r="B1566" s="49"/>
      <c r="C1566" s="49"/>
      <c r="D1566" s="49"/>
      <c r="E1566" s="49"/>
      <c r="F1566" s="49"/>
      <c r="G1566" s="49"/>
      <c r="H1566" s="49"/>
    </row>
    <row r="1567" spans="2:8" s="63" customFormat="1">
      <c r="B1567" s="49"/>
      <c r="C1567" s="49"/>
      <c r="D1567" s="49"/>
      <c r="E1567" s="49"/>
      <c r="F1567" s="49"/>
      <c r="G1567" s="49"/>
      <c r="H1567" s="49"/>
    </row>
    <row r="1568" spans="2:8" s="63" customFormat="1">
      <c r="B1568" s="49"/>
      <c r="C1568" s="49"/>
      <c r="D1568" s="49"/>
      <c r="E1568" s="49"/>
      <c r="F1568" s="49"/>
      <c r="G1568" s="49"/>
      <c r="H1568" s="49"/>
    </row>
    <row r="1569" spans="2:8" s="63" customFormat="1">
      <c r="B1569" s="49"/>
      <c r="C1569" s="49"/>
      <c r="D1569" s="49"/>
      <c r="E1569" s="49"/>
      <c r="F1569" s="49"/>
      <c r="G1569" s="49"/>
      <c r="H1569" s="49"/>
    </row>
    <row r="1570" spans="2:8" s="63" customFormat="1">
      <c r="B1570" s="49"/>
      <c r="C1570" s="49"/>
      <c r="D1570" s="49"/>
      <c r="E1570" s="49"/>
      <c r="F1570" s="49"/>
      <c r="G1570" s="49"/>
      <c r="H1570" s="49"/>
    </row>
    <row r="1571" spans="2:8" s="63" customFormat="1">
      <c r="B1571" s="49"/>
      <c r="C1571" s="49"/>
      <c r="D1571" s="49"/>
      <c r="E1571" s="49"/>
      <c r="F1571" s="49"/>
      <c r="G1571" s="49"/>
      <c r="H1571" s="49"/>
    </row>
    <row r="1572" spans="2:8" s="63" customFormat="1">
      <c r="B1572" s="49"/>
      <c r="C1572" s="49"/>
      <c r="D1572" s="49"/>
      <c r="E1572" s="49"/>
      <c r="F1572" s="49"/>
      <c r="G1572" s="49"/>
      <c r="H1572" s="49"/>
    </row>
    <row r="1573" spans="2:8" s="63" customFormat="1">
      <c r="B1573" s="49"/>
      <c r="C1573" s="49"/>
      <c r="D1573" s="49"/>
      <c r="E1573" s="49"/>
      <c r="F1573" s="49"/>
      <c r="G1573" s="49"/>
      <c r="H1573" s="49"/>
    </row>
    <row r="1574" spans="2:8" s="63" customFormat="1">
      <c r="B1574" s="49"/>
      <c r="C1574" s="49"/>
      <c r="D1574" s="49"/>
      <c r="E1574" s="49"/>
      <c r="F1574" s="49"/>
      <c r="G1574" s="49"/>
      <c r="H1574" s="49"/>
    </row>
    <row r="1575" spans="2:8" s="63" customFormat="1">
      <c r="B1575" s="49"/>
      <c r="C1575" s="49"/>
      <c r="D1575" s="49"/>
      <c r="E1575" s="49"/>
      <c r="F1575" s="49"/>
      <c r="G1575" s="49"/>
      <c r="H1575" s="49"/>
    </row>
    <row r="1576" spans="2:8" s="63" customFormat="1">
      <c r="B1576" s="49"/>
      <c r="C1576" s="49"/>
      <c r="D1576" s="49"/>
      <c r="E1576" s="49"/>
      <c r="F1576" s="49"/>
      <c r="G1576" s="49"/>
      <c r="H1576" s="49"/>
    </row>
    <row r="1577" spans="2:8" s="63" customFormat="1">
      <c r="B1577" s="49"/>
      <c r="C1577" s="49"/>
      <c r="D1577" s="49"/>
      <c r="E1577" s="49"/>
      <c r="F1577" s="49"/>
      <c r="G1577" s="49"/>
      <c r="H1577" s="49"/>
    </row>
    <row r="1578" spans="2:8" s="63" customFormat="1">
      <c r="B1578" s="49"/>
      <c r="C1578" s="49"/>
      <c r="D1578" s="49"/>
      <c r="E1578" s="49"/>
      <c r="F1578" s="49"/>
      <c r="G1578" s="49"/>
      <c r="H1578" s="49"/>
    </row>
    <row r="1579" spans="2:8" s="63" customFormat="1">
      <c r="B1579" s="49"/>
      <c r="C1579" s="49"/>
      <c r="D1579" s="49"/>
      <c r="E1579" s="49"/>
      <c r="F1579" s="49"/>
      <c r="G1579" s="49"/>
      <c r="H1579" s="49"/>
    </row>
    <row r="1580" spans="2:8" s="63" customFormat="1">
      <c r="B1580" s="49"/>
      <c r="C1580" s="49"/>
      <c r="D1580" s="49"/>
      <c r="E1580" s="49"/>
      <c r="F1580" s="49"/>
      <c r="G1580" s="49"/>
      <c r="H1580" s="49"/>
    </row>
    <row r="1581" spans="2:8" s="63" customFormat="1">
      <c r="B1581" s="49"/>
      <c r="C1581" s="49"/>
      <c r="D1581" s="49"/>
      <c r="E1581" s="49"/>
      <c r="F1581" s="49"/>
      <c r="G1581" s="49"/>
      <c r="H1581" s="49"/>
    </row>
    <row r="1582" spans="2:8" s="63" customFormat="1">
      <c r="B1582" s="49"/>
      <c r="C1582" s="49"/>
      <c r="D1582" s="49"/>
      <c r="E1582" s="49"/>
      <c r="F1582" s="49"/>
      <c r="G1582" s="49"/>
      <c r="H1582" s="49"/>
    </row>
    <row r="1583" spans="2:8" s="63" customFormat="1">
      <c r="B1583" s="49"/>
      <c r="C1583" s="49"/>
      <c r="D1583" s="49"/>
      <c r="E1583" s="49"/>
      <c r="F1583" s="49"/>
      <c r="G1583" s="49"/>
      <c r="H1583" s="49"/>
    </row>
    <row r="1584" spans="2:8" s="63" customFormat="1">
      <c r="B1584" s="49"/>
      <c r="C1584" s="49"/>
      <c r="D1584" s="49"/>
      <c r="E1584" s="49"/>
      <c r="F1584" s="49"/>
      <c r="G1584" s="49"/>
      <c r="H1584" s="49"/>
    </row>
    <row r="1585" spans="2:8" s="63" customFormat="1">
      <c r="B1585" s="49"/>
      <c r="C1585" s="49"/>
      <c r="D1585" s="49"/>
      <c r="E1585" s="49"/>
      <c r="F1585" s="49"/>
      <c r="G1585" s="49"/>
      <c r="H1585" s="49"/>
    </row>
    <row r="1586" spans="2:8" s="63" customFormat="1">
      <c r="B1586" s="49"/>
      <c r="C1586" s="49"/>
      <c r="D1586" s="49"/>
      <c r="E1586" s="49"/>
      <c r="F1586" s="49"/>
      <c r="G1586" s="49"/>
      <c r="H1586" s="49"/>
    </row>
    <row r="1587" spans="2:8" s="63" customFormat="1">
      <c r="B1587" s="49"/>
      <c r="C1587" s="49"/>
      <c r="D1587" s="49"/>
      <c r="E1587" s="49"/>
      <c r="F1587" s="49"/>
      <c r="G1587" s="49"/>
      <c r="H1587" s="49"/>
    </row>
    <row r="1588" spans="2:8" s="63" customFormat="1">
      <c r="B1588" s="49"/>
      <c r="C1588" s="49"/>
      <c r="D1588" s="49"/>
      <c r="E1588" s="49"/>
      <c r="F1588" s="49"/>
      <c r="G1588" s="49"/>
      <c r="H1588" s="49"/>
    </row>
    <row r="1589" spans="2:8" s="63" customFormat="1">
      <c r="B1589" s="49"/>
      <c r="C1589" s="49"/>
      <c r="D1589" s="49"/>
      <c r="E1589" s="49"/>
      <c r="F1589" s="49"/>
      <c r="G1589" s="49"/>
      <c r="H1589" s="49"/>
    </row>
    <row r="1590" spans="2:8" s="63" customFormat="1">
      <c r="B1590" s="49"/>
      <c r="C1590" s="49"/>
      <c r="D1590" s="49"/>
      <c r="E1590" s="49"/>
      <c r="F1590" s="49"/>
      <c r="G1590" s="49"/>
      <c r="H1590" s="49"/>
    </row>
    <row r="1591" spans="2:8" s="63" customFormat="1">
      <c r="B1591" s="49"/>
      <c r="C1591" s="49"/>
      <c r="D1591" s="49"/>
      <c r="E1591" s="49"/>
      <c r="F1591" s="49"/>
      <c r="G1591" s="49"/>
      <c r="H1591" s="49"/>
    </row>
    <row r="1592" spans="2:8" s="63" customFormat="1">
      <c r="B1592" s="49"/>
      <c r="C1592" s="49"/>
      <c r="D1592" s="49"/>
      <c r="E1592" s="49"/>
      <c r="F1592" s="49"/>
      <c r="G1592" s="49"/>
      <c r="H1592" s="49"/>
    </row>
    <row r="1593" spans="2:8" s="63" customFormat="1">
      <c r="B1593" s="49"/>
      <c r="C1593" s="49"/>
      <c r="D1593" s="49"/>
      <c r="E1593" s="49"/>
      <c r="F1593" s="49"/>
      <c r="G1593" s="49"/>
      <c r="H1593" s="49"/>
    </row>
    <row r="1594" spans="2:8" s="63" customFormat="1">
      <c r="B1594" s="49"/>
      <c r="C1594" s="49"/>
      <c r="D1594" s="49"/>
      <c r="E1594" s="49"/>
      <c r="F1594" s="49"/>
      <c r="G1594" s="49"/>
      <c r="H1594" s="49"/>
    </row>
    <row r="1595" spans="2:8" s="63" customFormat="1">
      <c r="B1595" s="49"/>
      <c r="C1595" s="49"/>
      <c r="D1595" s="49"/>
      <c r="E1595" s="49"/>
      <c r="F1595" s="49"/>
      <c r="G1595" s="49"/>
      <c r="H1595" s="49"/>
    </row>
    <row r="1596" spans="2:8" s="63" customFormat="1">
      <c r="B1596" s="49"/>
      <c r="C1596" s="49"/>
      <c r="D1596" s="49"/>
      <c r="E1596" s="49"/>
      <c r="F1596" s="49"/>
      <c r="G1596" s="49"/>
      <c r="H1596" s="49"/>
    </row>
    <row r="1597" spans="2:8" s="63" customFormat="1">
      <c r="B1597" s="49"/>
      <c r="C1597" s="49"/>
      <c r="D1597" s="49"/>
      <c r="E1597" s="49"/>
      <c r="F1597" s="49"/>
      <c r="G1597" s="49"/>
      <c r="H1597" s="49"/>
    </row>
    <row r="1598" spans="2:8" s="63" customFormat="1">
      <c r="B1598" s="49"/>
      <c r="C1598" s="49"/>
      <c r="D1598" s="49"/>
      <c r="E1598" s="49"/>
      <c r="F1598" s="49"/>
      <c r="G1598" s="49"/>
      <c r="H1598" s="49"/>
    </row>
    <row r="1599" spans="2:8" s="63" customFormat="1">
      <c r="B1599" s="49"/>
      <c r="C1599" s="49"/>
      <c r="D1599" s="49"/>
      <c r="E1599" s="49"/>
      <c r="F1599" s="49"/>
      <c r="G1599" s="49"/>
      <c r="H1599" s="49"/>
    </row>
    <row r="1600" spans="2:8" s="63" customFormat="1">
      <c r="B1600" s="49"/>
      <c r="C1600" s="49"/>
      <c r="D1600" s="49"/>
      <c r="E1600" s="49"/>
      <c r="F1600" s="49"/>
      <c r="G1600" s="49"/>
      <c r="H1600" s="49"/>
    </row>
    <row r="1601" spans="2:8" s="63" customFormat="1">
      <c r="B1601" s="49"/>
      <c r="C1601" s="49"/>
      <c r="D1601" s="49"/>
      <c r="E1601" s="49"/>
      <c r="F1601" s="49"/>
      <c r="G1601" s="49"/>
      <c r="H1601" s="49"/>
    </row>
    <row r="1602" spans="2:8" s="63" customFormat="1">
      <c r="B1602" s="49"/>
      <c r="C1602" s="49"/>
      <c r="D1602" s="49"/>
      <c r="E1602" s="49"/>
      <c r="F1602" s="49"/>
      <c r="G1602" s="49"/>
      <c r="H1602" s="49"/>
    </row>
    <row r="1603" spans="2:8" s="63" customFormat="1">
      <c r="B1603" s="49"/>
      <c r="C1603" s="49"/>
      <c r="D1603" s="49"/>
      <c r="E1603" s="49"/>
      <c r="F1603" s="49"/>
      <c r="G1603" s="49"/>
      <c r="H1603" s="49"/>
    </row>
    <row r="1604" spans="2:8" s="63" customFormat="1">
      <c r="B1604" s="49"/>
      <c r="C1604" s="49"/>
      <c r="D1604" s="49"/>
      <c r="E1604" s="49"/>
      <c r="F1604" s="49"/>
      <c r="G1604" s="49"/>
      <c r="H1604" s="49"/>
    </row>
    <row r="1605" spans="2:8" s="63" customFormat="1">
      <c r="B1605" s="49"/>
      <c r="C1605" s="49"/>
      <c r="D1605" s="49"/>
      <c r="E1605" s="49"/>
      <c r="F1605" s="49"/>
      <c r="G1605" s="49"/>
      <c r="H1605" s="49"/>
    </row>
    <row r="1606" spans="2:8" s="63" customFormat="1">
      <c r="B1606" s="49"/>
      <c r="C1606" s="49"/>
      <c r="D1606" s="49"/>
      <c r="E1606" s="49"/>
      <c r="F1606" s="49"/>
      <c r="G1606" s="49"/>
      <c r="H1606" s="49"/>
    </row>
    <row r="1607" spans="2:8" s="63" customFormat="1">
      <c r="B1607" s="49"/>
      <c r="C1607" s="49"/>
      <c r="D1607" s="49"/>
      <c r="E1607" s="49"/>
      <c r="F1607" s="49"/>
      <c r="G1607" s="49"/>
      <c r="H1607" s="49"/>
    </row>
    <row r="1608" spans="2:8" s="63" customFormat="1">
      <c r="B1608" s="49"/>
      <c r="C1608" s="49"/>
      <c r="D1608" s="49"/>
      <c r="E1608" s="49"/>
      <c r="F1608" s="49"/>
      <c r="G1608" s="49"/>
      <c r="H1608" s="49"/>
    </row>
    <row r="1609" spans="2:8" s="63" customFormat="1">
      <c r="B1609" s="49"/>
      <c r="C1609" s="49"/>
      <c r="D1609" s="49"/>
      <c r="E1609" s="49"/>
      <c r="F1609" s="49"/>
      <c r="G1609" s="49"/>
      <c r="H1609" s="49"/>
    </row>
    <row r="1610" spans="2:8" s="63" customFormat="1">
      <c r="B1610" s="49"/>
      <c r="C1610" s="49"/>
      <c r="D1610" s="49"/>
      <c r="E1610" s="49"/>
      <c r="F1610" s="49"/>
      <c r="G1610" s="49"/>
      <c r="H1610" s="49"/>
    </row>
    <row r="1611" spans="2:8" s="63" customFormat="1">
      <c r="B1611" s="49"/>
      <c r="C1611" s="49"/>
      <c r="D1611" s="49"/>
      <c r="E1611" s="49"/>
      <c r="F1611" s="49"/>
      <c r="G1611" s="49"/>
      <c r="H1611" s="49"/>
    </row>
    <row r="1612" spans="2:8" s="63" customFormat="1">
      <c r="B1612" s="49"/>
      <c r="C1612" s="49"/>
      <c r="D1612" s="49"/>
      <c r="E1612" s="49"/>
      <c r="F1612" s="49"/>
      <c r="G1612" s="49"/>
      <c r="H1612" s="49"/>
    </row>
    <row r="1613" spans="2:8" s="63" customFormat="1">
      <c r="B1613" s="49"/>
      <c r="C1613" s="49"/>
      <c r="D1613" s="49"/>
      <c r="E1613" s="49"/>
      <c r="F1613" s="49"/>
      <c r="G1613" s="49"/>
      <c r="H1613" s="49"/>
    </row>
    <row r="1614" spans="2:8" s="63" customFormat="1">
      <c r="B1614" s="49"/>
      <c r="C1614" s="49"/>
      <c r="D1614" s="49"/>
      <c r="E1614" s="49"/>
      <c r="F1614" s="49"/>
      <c r="G1614" s="49"/>
      <c r="H1614" s="49"/>
    </row>
    <row r="1615" spans="2:8" s="63" customFormat="1">
      <c r="B1615" s="49"/>
      <c r="C1615" s="49"/>
      <c r="D1615" s="49"/>
      <c r="E1615" s="49"/>
      <c r="F1615" s="49"/>
      <c r="G1615" s="49"/>
      <c r="H1615" s="49"/>
    </row>
    <row r="1616" spans="2:8" s="63" customFormat="1">
      <c r="B1616" s="49"/>
      <c r="C1616" s="49"/>
      <c r="D1616" s="49"/>
      <c r="E1616" s="49"/>
      <c r="F1616" s="49"/>
      <c r="G1616" s="49"/>
      <c r="H1616" s="49"/>
    </row>
    <row r="1617" spans="2:8" s="63" customFormat="1">
      <c r="B1617" s="49"/>
      <c r="C1617" s="49"/>
      <c r="D1617" s="49"/>
      <c r="E1617" s="49"/>
      <c r="F1617" s="49"/>
      <c r="G1617" s="49"/>
      <c r="H1617" s="49"/>
    </row>
    <row r="1618" spans="2:8" s="63" customFormat="1">
      <c r="B1618" s="49"/>
      <c r="C1618" s="49"/>
      <c r="D1618" s="49"/>
      <c r="E1618" s="49"/>
      <c r="F1618" s="49"/>
      <c r="G1618" s="49"/>
      <c r="H1618" s="49"/>
    </row>
    <row r="1619" spans="2:8" s="63" customFormat="1">
      <c r="B1619" s="49"/>
      <c r="C1619" s="49"/>
      <c r="D1619" s="49"/>
      <c r="E1619" s="49"/>
      <c r="F1619" s="49"/>
      <c r="G1619" s="49"/>
      <c r="H1619" s="49"/>
    </row>
    <row r="1620" spans="2:8" s="63" customFormat="1">
      <c r="B1620" s="49"/>
      <c r="C1620" s="49"/>
      <c r="D1620" s="49"/>
      <c r="E1620" s="49"/>
      <c r="F1620" s="49"/>
      <c r="G1620" s="49"/>
      <c r="H1620" s="49"/>
    </row>
    <row r="1621" spans="2:8" s="63" customFormat="1">
      <c r="B1621" s="49"/>
      <c r="C1621" s="49"/>
      <c r="D1621" s="49"/>
      <c r="E1621" s="49"/>
      <c r="F1621" s="49"/>
      <c r="G1621" s="49"/>
      <c r="H1621" s="49"/>
    </row>
    <row r="1622" spans="2:8" s="63" customFormat="1">
      <c r="B1622" s="49"/>
      <c r="C1622" s="49"/>
      <c r="D1622" s="49"/>
      <c r="E1622" s="49"/>
      <c r="F1622" s="49"/>
      <c r="G1622" s="49"/>
      <c r="H1622" s="49"/>
    </row>
    <row r="1623" spans="2:8" s="63" customFormat="1">
      <c r="B1623" s="49"/>
      <c r="C1623" s="49"/>
      <c r="D1623" s="49"/>
      <c r="E1623" s="49"/>
      <c r="F1623" s="49"/>
      <c r="G1623" s="49"/>
      <c r="H1623" s="49"/>
    </row>
    <row r="1624" spans="2:8" s="63" customFormat="1">
      <c r="B1624" s="49"/>
      <c r="C1624" s="49"/>
      <c r="D1624" s="49"/>
      <c r="E1624" s="49"/>
      <c r="F1624" s="49"/>
      <c r="G1624" s="49"/>
      <c r="H1624" s="49"/>
    </row>
    <row r="1625" spans="2:8" s="63" customFormat="1">
      <c r="B1625" s="49"/>
      <c r="C1625" s="49"/>
      <c r="D1625" s="49"/>
      <c r="E1625" s="49"/>
      <c r="F1625" s="49"/>
      <c r="G1625" s="49"/>
      <c r="H1625" s="49"/>
    </row>
    <row r="1626" spans="2:8" s="63" customFormat="1">
      <c r="B1626" s="49"/>
      <c r="C1626" s="49"/>
      <c r="D1626" s="49"/>
      <c r="E1626" s="49"/>
      <c r="F1626" s="49"/>
      <c r="G1626" s="49"/>
      <c r="H1626" s="49"/>
    </row>
    <row r="1627" spans="2:8" s="63" customFormat="1">
      <c r="B1627" s="49"/>
      <c r="C1627" s="49"/>
      <c r="D1627" s="49"/>
      <c r="E1627" s="49"/>
      <c r="F1627" s="49"/>
      <c r="G1627" s="49"/>
      <c r="H1627" s="49"/>
    </row>
    <row r="1628" spans="2:8" s="63" customFormat="1">
      <c r="B1628" s="49"/>
      <c r="C1628" s="49"/>
      <c r="D1628" s="49"/>
      <c r="E1628" s="49"/>
      <c r="F1628" s="49"/>
      <c r="G1628" s="49"/>
      <c r="H1628" s="49"/>
    </row>
    <row r="1629" spans="2:8" s="63" customFormat="1">
      <c r="B1629" s="49"/>
      <c r="C1629" s="49"/>
      <c r="D1629" s="49"/>
      <c r="E1629" s="49"/>
      <c r="F1629" s="49"/>
      <c r="G1629" s="49"/>
      <c r="H1629" s="49"/>
    </row>
    <row r="1630" spans="2:8" s="63" customFormat="1">
      <c r="B1630" s="49"/>
      <c r="C1630" s="49"/>
      <c r="D1630" s="49"/>
      <c r="E1630" s="49"/>
      <c r="F1630" s="49"/>
      <c r="G1630" s="49"/>
      <c r="H1630" s="49"/>
    </row>
    <row r="1631" spans="2:8" s="63" customFormat="1">
      <c r="B1631" s="49"/>
      <c r="C1631" s="49"/>
      <c r="D1631" s="49"/>
      <c r="E1631" s="49"/>
      <c r="F1631" s="49"/>
      <c r="G1631" s="49"/>
      <c r="H1631" s="49"/>
    </row>
    <row r="1632" spans="2:8" s="63" customFormat="1">
      <c r="B1632" s="49"/>
      <c r="C1632" s="49"/>
      <c r="D1632" s="49"/>
      <c r="E1632" s="49"/>
      <c r="F1632" s="49"/>
      <c r="G1632" s="49"/>
      <c r="H1632" s="49"/>
    </row>
    <row r="1633" spans="2:8" s="63" customFormat="1">
      <c r="B1633" s="49"/>
      <c r="C1633" s="49"/>
      <c r="D1633" s="49"/>
      <c r="E1633" s="49"/>
      <c r="F1633" s="49"/>
      <c r="G1633" s="49"/>
      <c r="H1633" s="49"/>
    </row>
    <row r="1634" spans="2:8" s="63" customFormat="1">
      <c r="B1634" s="49"/>
      <c r="C1634" s="49"/>
      <c r="D1634" s="49"/>
      <c r="E1634" s="49"/>
      <c r="F1634" s="49"/>
      <c r="G1634" s="49"/>
      <c r="H1634" s="49"/>
    </row>
    <row r="1635" spans="2:8" s="63" customFormat="1">
      <c r="B1635" s="49"/>
      <c r="C1635" s="49"/>
      <c r="D1635" s="49"/>
      <c r="E1635" s="49"/>
      <c r="F1635" s="49"/>
      <c r="G1635" s="49"/>
      <c r="H1635" s="49"/>
    </row>
    <row r="1636" spans="2:8" s="63" customFormat="1">
      <c r="B1636" s="49"/>
      <c r="C1636" s="49"/>
      <c r="D1636" s="49"/>
      <c r="E1636" s="49"/>
      <c r="F1636" s="49"/>
      <c r="G1636" s="49"/>
      <c r="H1636" s="49"/>
    </row>
    <row r="1637" spans="2:8" s="63" customFormat="1">
      <c r="B1637" s="49"/>
      <c r="C1637" s="49"/>
      <c r="D1637" s="49"/>
      <c r="E1637" s="49"/>
      <c r="F1637" s="49"/>
      <c r="G1637" s="49"/>
      <c r="H1637" s="49"/>
    </row>
    <row r="1638" spans="2:8" s="63" customFormat="1">
      <c r="B1638" s="49"/>
      <c r="C1638" s="49"/>
      <c r="D1638" s="49"/>
      <c r="E1638" s="49"/>
      <c r="F1638" s="49"/>
      <c r="G1638" s="49"/>
      <c r="H1638" s="49"/>
    </row>
    <row r="1639" spans="2:8" s="63" customFormat="1">
      <c r="B1639" s="49"/>
      <c r="C1639" s="49"/>
      <c r="D1639" s="49"/>
      <c r="E1639" s="49"/>
      <c r="F1639" s="49"/>
      <c r="G1639" s="49"/>
      <c r="H1639" s="49"/>
    </row>
    <row r="1640" spans="2:8" s="63" customFormat="1">
      <c r="B1640" s="49"/>
      <c r="C1640" s="49"/>
      <c r="D1640" s="49"/>
      <c r="E1640" s="49"/>
      <c r="F1640" s="49"/>
      <c r="G1640" s="49"/>
      <c r="H1640" s="49"/>
    </row>
    <row r="1641" spans="2:8" s="63" customFormat="1">
      <c r="B1641" s="49"/>
      <c r="C1641" s="49"/>
      <c r="D1641" s="49"/>
      <c r="E1641" s="49"/>
      <c r="F1641" s="49"/>
      <c r="G1641" s="49"/>
      <c r="H1641" s="49"/>
    </row>
    <row r="1642" spans="2:8" s="63" customFormat="1">
      <c r="B1642" s="49"/>
      <c r="C1642" s="49"/>
      <c r="D1642" s="49"/>
      <c r="E1642" s="49"/>
      <c r="F1642" s="49"/>
      <c r="G1642" s="49"/>
      <c r="H1642" s="49"/>
    </row>
    <row r="1643" spans="2:8" s="63" customFormat="1">
      <c r="B1643" s="49"/>
      <c r="C1643" s="49"/>
      <c r="D1643" s="49"/>
      <c r="E1643" s="49"/>
      <c r="F1643" s="49"/>
      <c r="G1643" s="49"/>
      <c r="H1643" s="49"/>
    </row>
    <row r="1644" spans="2:8" s="63" customFormat="1">
      <c r="B1644" s="49"/>
      <c r="C1644" s="49"/>
      <c r="D1644" s="49"/>
      <c r="E1644" s="49"/>
      <c r="F1644" s="49"/>
      <c r="G1644" s="49"/>
      <c r="H1644" s="49"/>
    </row>
    <row r="1645" spans="2:8" s="63" customFormat="1">
      <c r="B1645" s="49"/>
      <c r="C1645" s="49"/>
      <c r="D1645" s="49"/>
      <c r="E1645" s="49"/>
      <c r="F1645" s="49"/>
      <c r="G1645" s="49"/>
      <c r="H1645" s="49"/>
    </row>
    <row r="1646" spans="2:8" s="63" customFormat="1">
      <c r="B1646" s="49"/>
      <c r="C1646" s="49"/>
      <c r="D1646" s="49"/>
      <c r="E1646" s="49"/>
      <c r="F1646" s="49"/>
      <c r="G1646" s="49"/>
      <c r="H1646" s="49"/>
    </row>
    <row r="1647" spans="2:8" s="63" customFormat="1">
      <c r="B1647" s="49"/>
      <c r="C1647" s="49"/>
      <c r="D1647" s="49"/>
      <c r="E1647" s="49"/>
      <c r="F1647" s="49"/>
      <c r="G1647" s="49"/>
      <c r="H1647" s="49"/>
    </row>
    <row r="1648" spans="2:8" s="63" customFormat="1">
      <c r="B1648" s="49"/>
      <c r="C1648" s="49"/>
      <c r="D1648" s="49"/>
      <c r="E1648" s="49"/>
      <c r="F1648" s="49"/>
      <c r="G1648" s="49"/>
      <c r="H1648" s="49"/>
    </row>
    <row r="1649" spans="2:8" s="63" customFormat="1">
      <c r="B1649" s="49"/>
      <c r="C1649" s="49"/>
      <c r="D1649" s="49"/>
      <c r="E1649" s="49"/>
      <c r="F1649" s="49"/>
      <c r="G1649" s="49"/>
      <c r="H1649" s="49"/>
    </row>
    <row r="1650" spans="2:8" s="63" customFormat="1">
      <c r="B1650" s="49"/>
      <c r="C1650" s="49"/>
      <c r="D1650" s="49"/>
      <c r="E1650" s="49"/>
      <c r="F1650" s="49"/>
      <c r="G1650" s="49"/>
      <c r="H1650" s="49"/>
    </row>
    <row r="1651" spans="2:8" s="63" customFormat="1">
      <c r="B1651" s="49"/>
      <c r="C1651" s="49"/>
      <c r="D1651" s="49"/>
      <c r="E1651" s="49"/>
      <c r="F1651" s="49"/>
      <c r="G1651" s="49"/>
      <c r="H1651" s="49"/>
    </row>
    <row r="1652" spans="2:8" s="63" customFormat="1">
      <c r="B1652" s="49"/>
      <c r="C1652" s="49"/>
      <c r="D1652" s="49"/>
      <c r="E1652" s="49"/>
      <c r="F1652" s="49"/>
      <c r="G1652" s="49"/>
      <c r="H1652" s="49"/>
    </row>
    <row r="1653" spans="2:8" s="63" customFormat="1">
      <c r="B1653" s="49"/>
      <c r="C1653" s="49"/>
      <c r="D1653" s="49"/>
      <c r="E1653" s="49"/>
      <c r="F1653" s="49"/>
      <c r="G1653" s="49"/>
      <c r="H1653" s="49"/>
    </row>
    <row r="1654" spans="2:8" s="63" customFormat="1">
      <c r="B1654" s="49"/>
      <c r="C1654" s="49"/>
      <c r="D1654" s="49"/>
      <c r="E1654" s="49"/>
      <c r="F1654" s="49"/>
      <c r="G1654" s="49"/>
      <c r="H1654" s="49"/>
    </row>
    <row r="1655" spans="2:8" s="63" customFormat="1">
      <c r="B1655" s="49"/>
      <c r="C1655" s="49"/>
      <c r="D1655" s="49"/>
      <c r="E1655" s="49"/>
      <c r="F1655" s="49"/>
      <c r="G1655" s="49"/>
      <c r="H1655" s="49"/>
    </row>
    <row r="1656" spans="2:8" s="63" customFormat="1">
      <c r="B1656" s="49"/>
      <c r="C1656" s="49"/>
      <c r="D1656" s="49"/>
      <c r="E1656" s="49"/>
      <c r="F1656" s="49"/>
      <c r="G1656" s="49"/>
      <c r="H1656" s="49"/>
    </row>
    <row r="1657" spans="2:8" s="63" customFormat="1">
      <c r="B1657" s="49"/>
      <c r="C1657" s="49"/>
      <c r="D1657" s="49"/>
      <c r="E1657" s="49"/>
      <c r="F1657" s="49"/>
      <c r="G1657" s="49"/>
      <c r="H1657" s="49"/>
    </row>
    <row r="1658" spans="2:8" s="63" customFormat="1">
      <c r="B1658" s="49"/>
      <c r="C1658" s="49"/>
      <c r="D1658" s="49"/>
      <c r="E1658" s="49"/>
      <c r="F1658" s="49"/>
      <c r="G1658" s="49"/>
      <c r="H1658" s="49"/>
    </row>
    <row r="1659" spans="2:8" s="63" customFormat="1">
      <c r="B1659" s="49"/>
      <c r="C1659" s="49"/>
      <c r="D1659" s="49"/>
      <c r="E1659" s="49"/>
      <c r="F1659" s="49"/>
      <c r="G1659" s="49"/>
      <c r="H1659" s="49"/>
    </row>
    <row r="1660" spans="2:8" s="63" customFormat="1">
      <c r="B1660" s="49"/>
      <c r="C1660" s="49"/>
      <c r="D1660" s="49"/>
      <c r="E1660" s="49"/>
      <c r="F1660" s="49"/>
      <c r="G1660" s="49"/>
      <c r="H1660" s="49"/>
    </row>
    <row r="1661" spans="2:8" s="63" customFormat="1">
      <c r="B1661" s="49"/>
      <c r="C1661" s="49"/>
      <c r="D1661" s="49"/>
      <c r="E1661" s="49"/>
      <c r="F1661" s="49"/>
      <c r="G1661" s="49"/>
      <c r="H1661" s="49"/>
    </row>
    <row r="1662" spans="2:8" s="63" customFormat="1">
      <c r="B1662" s="49"/>
      <c r="C1662" s="49"/>
      <c r="D1662" s="49"/>
      <c r="E1662" s="49"/>
      <c r="F1662" s="49"/>
      <c r="G1662" s="49"/>
      <c r="H1662" s="49"/>
    </row>
    <row r="1663" spans="2:8" s="63" customFormat="1">
      <c r="B1663" s="49"/>
      <c r="C1663" s="49"/>
      <c r="D1663" s="49"/>
      <c r="E1663" s="49"/>
      <c r="F1663" s="49"/>
      <c r="G1663" s="49"/>
      <c r="H1663" s="49"/>
    </row>
    <row r="1664" spans="2:8" s="63" customFormat="1">
      <c r="B1664" s="49"/>
      <c r="C1664" s="49"/>
      <c r="D1664" s="49"/>
      <c r="E1664" s="49"/>
      <c r="F1664" s="49"/>
      <c r="G1664" s="49"/>
      <c r="H1664" s="49"/>
    </row>
    <row r="1665" spans="2:8" s="63" customFormat="1">
      <c r="B1665" s="49"/>
      <c r="C1665" s="49"/>
      <c r="D1665" s="49"/>
      <c r="E1665" s="49"/>
      <c r="F1665" s="49"/>
      <c r="G1665" s="49"/>
      <c r="H1665" s="49"/>
    </row>
    <row r="1666" spans="2:8" s="63" customFormat="1">
      <c r="B1666" s="49"/>
      <c r="C1666" s="49"/>
      <c r="D1666" s="49"/>
      <c r="E1666" s="49"/>
      <c r="F1666" s="49"/>
      <c r="G1666" s="49"/>
      <c r="H1666" s="49"/>
    </row>
    <row r="1667" spans="2:8" s="63" customFormat="1">
      <c r="B1667" s="49"/>
      <c r="C1667" s="49"/>
      <c r="D1667" s="49"/>
      <c r="E1667" s="49"/>
      <c r="F1667" s="49"/>
      <c r="G1667" s="49"/>
      <c r="H1667" s="49"/>
    </row>
    <row r="1668" spans="2:8" s="63" customFormat="1">
      <c r="B1668" s="49"/>
      <c r="C1668" s="49"/>
      <c r="D1668" s="49"/>
      <c r="E1668" s="49"/>
      <c r="F1668" s="49"/>
      <c r="G1668" s="49"/>
      <c r="H1668" s="49"/>
    </row>
    <row r="1669" spans="2:8" s="63" customFormat="1">
      <c r="B1669" s="49"/>
      <c r="C1669" s="49"/>
      <c r="D1669" s="49"/>
      <c r="E1669" s="49"/>
      <c r="F1669" s="49"/>
      <c r="G1669" s="49"/>
      <c r="H1669" s="49"/>
    </row>
    <row r="1670" spans="2:8" s="63" customFormat="1">
      <c r="B1670" s="49"/>
      <c r="C1670" s="49"/>
      <c r="D1670" s="49"/>
      <c r="E1670" s="49"/>
      <c r="F1670" s="49"/>
      <c r="G1670" s="49"/>
      <c r="H1670" s="49"/>
    </row>
    <row r="1671" spans="2:8" s="63" customFormat="1">
      <c r="B1671" s="49"/>
      <c r="C1671" s="49"/>
      <c r="D1671" s="49"/>
      <c r="E1671" s="49"/>
      <c r="F1671" s="49"/>
      <c r="G1671" s="49"/>
      <c r="H1671" s="49"/>
    </row>
    <row r="1672" spans="2:8" s="63" customFormat="1">
      <c r="B1672" s="49"/>
      <c r="C1672" s="49"/>
      <c r="D1672" s="49"/>
      <c r="E1672" s="49"/>
      <c r="F1672" s="49"/>
      <c r="G1672" s="49"/>
      <c r="H1672" s="49"/>
    </row>
    <row r="1673" spans="2:8" s="63" customFormat="1">
      <c r="B1673" s="49"/>
      <c r="C1673" s="49"/>
      <c r="D1673" s="49"/>
      <c r="E1673" s="49"/>
      <c r="F1673" s="49"/>
      <c r="G1673" s="49"/>
      <c r="H1673" s="49"/>
    </row>
    <row r="1674" spans="2:8" s="63" customFormat="1">
      <c r="B1674" s="49"/>
      <c r="C1674" s="49"/>
      <c r="D1674" s="49"/>
      <c r="E1674" s="49"/>
      <c r="F1674" s="49"/>
      <c r="G1674" s="49"/>
      <c r="H1674" s="49"/>
    </row>
    <row r="1675" spans="2:8" s="63" customFormat="1">
      <c r="B1675" s="49"/>
      <c r="C1675" s="49"/>
      <c r="D1675" s="49"/>
      <c r="E1675" s="49"/>
      <c r="F1675" s="49"/>
      <c r="G1675" s="49"/>
      <c r="H1675" s="49"/>
    </row>
    <row r="1676" spans="2:8" s="63" customFormat="1">
      <c r="B1676" s="49"/>
      <c r="C1676" s="49"/>
      <c r="D1676" s="49"/>
      <c r="E1676" s="49"/>
      <c r="F1676" s="49"/>
      <c r="G1676" s="49"/>
      <c r="H1676" s="49"/>
    </row>
    <row r="1677" spans="2:8" s="63" customFormat="1">
      <c r="B1677" s="49"/>
      <c r="C1677" s="49"/>
      <c r="D1677" s="49"/>
      <c r="E1677" s="49"/>
      <c r="F1677" s="49"/>
      <c r="G1677" s="49"/>
      <c r="H1677" s="49"/>
    </row>
    <row r="1678" spans="2:8" s="63" customFormat="1">
      <c r="B1678" s="49"/>
      <c r="C1678" s="49"/>
      <c r="D1678" s="49"/>
      <c r="E1678" s="49"/>
      <c r="F1678" s="49"/>
      <c r="G1678" s="49"/>
      <c r="H1678" s="49"/>
    </row>
    <row r="1679" spans="2:8" s="63" customFormat="1">
      <c r="B1679" s="49"/>
      <c r="C1679" s="49"/>
      <c r="D1679" s="49"/>
      <c r="E1679" s="49"/>
      <c r="F1679" s="49"/>
      <c r="G1679" s="49"/>
      <c r="H1679" s="49"/>
    </row>
    <row r="1680" spans="2:8" s="63" customFormat="1">
      <c r="B1680" s="49"/>
      <c r="C1680" s="49"/>
      <c r="D1680" s="49"/>
      <c r="E1680" s="49"/>
      <c r="F1680" s="49"/>
      <c r="G1680" s="49"/>
      <c r="H1680" s="49"/>
    </row>
    <row r="1681" spans="2:8" s="63" customFormat="1">
      <c r="B1681" s="49"/>
      <c r="C1681" s="49"/>
      <c r="D1681" s="49"/>
      <c r="E1681" s="49"/>
      <c r="F1681" s="49"/>
      <c r="G1681" s="49"/>
      <c r="H1681" s="49"/>
    </row>
    <row r="1682" spans="2:8" s="63" customFormat="1">
      <c r="B1682" s="49"/>
      <c r="C1682" s="49"/>
      <c r="D1682" s="49"/>
      <c r="E1682" s="49"/>
      <c r="F1682" s="49"/>
      <c r="G1682" s="49"/>
      <c r="H1682" s="49"/>
    </row>
    <row r="1683" spans="2:8" s="63" customFormat="1">
      <c r="B1683" s="49"/>
      <c r="C1683" s="49"/>
      <c r="D1683" s="49"/>
      <c r="E1683" s="49"/>
      <c r="F1683" s="49"/>
      <c r="G1683" s="49"/>
      <c r="H1683" s="49"/>
    </row>
    <row r="1684" spans="2:8" s="63" customFormat="1">
      <c r="B1684" s="49"/>
      <c r="C1684" s="49"/>
      <c r="D1684" s="49"/>
      <c r="E1684" s="49"/>
      <c r="F1684" s="49"/>
      <c r="G1684" s="49"/>
      <c r="H1684" s="49"/>
    </row>
    <row r="1685" spans="2:8" s="63" customFormat="1">
      <c r="B1685" s="49"/>
      <c r="C1685" s="49"/>
      <c r="D1685" s="49"/>
      <c r="E1685" s="49"/>
      <c r="F1685" s="49"/>
      <c r="G1685" s="49"/>
      <c r="H1685" s="49"/>
    </row>
    <row r="1686" spans="2:8" s="63" customFormat="1">
      <c r="B1686" s="49"/>
      <c r="C1686" s="49"/>
      <c r="D1686" s="49"/>
      <c r="E1686" s="49"/>
      <c r="F1686" s="49"/>
      <c r="G1686" s="49"/>
      <c r="H1686" s="49"/>
    </row>
    <row r="1687" spans="2:8" s="63" customFormat="1">
      <c r="B1687" s="49"/>
      <c r="C1687" s="49"/>
      <c r="D1687" s="49"/>
      <c r="E1687" s="49"/>
      <c r="F1687" s="49"/>
      <c r="G1687" s="49"/>
      <c r="H1687" s="49"/>
    </row>
    <row r="1688" spans="2:8" s="63" customFormat="1">
      <c r="B1688" s="49"/>
      <c r="C1688" s="49"/>
      <c r="D1688" s="49"/>
      <c r="E1688" s="49"/>
      <c r="F1688" s="49"/>
      <c r="G1688" s="49"/>
      <c r="H1688" s="49"/>
    </row>
    <row r="1689" spans="2:8" s="63" customFormat="1">
      <c r="B1689" s="49"/>
      <c r="C1689" s="49"/>
      <c r="D1689" s="49"/>
      <c r="E1689" s="49"/>
      <c r="F1689" s="49"/>
      <c r="G1689" s="49"/>
      <c r="H1689" s="49"/>
    </row>
    <row r="1690" spans="2:8" s="63" customFormat="1">
      <c r="B1690" s="49"/>
      <c r="C1690" s="49"/>
      <c r="D1690" s="49"/>
      <c r="E1690" s="49"/>
      <c r="F1690" s="49"/>
      <c r="G1690" s="49"/>
      <c r="H1690" s="49"/>
    </row>
    <row r="1691" spans="2:8" s="63" customFormat="1">
      <c r="B1691" s="49"/>
      <c r="C1691" s="49"/>
      <c r="D1691" s="49"/>
      <c r="E1691" s="49"/>
      <c r="F1691" s="49"/>
      <c r="G1691" s="49"/>
      <c r="H1691" s="49"/>
    </row>
    <row r="1692" spans="2:8" s="63" customFormat="1">
      <c r="B1692" s="49"/>
      <c r="C1692" s="49"/>
      <c r="D1692" s="49"/>
      <c r="E1692" s="49"/>
      <c r="F1692" s="49"/>
      <c r="G1692" s="49"/>
      <c r="H1692" s="49"/>
    </row>
    <row r="1693" spans="2:8" s="63" customFormat="1">
      <c r="B1693" s="49"/>
      <c r="C1693" s="49"/>
      <c r="D1693" s="49"/>
      <c r="E1693" s="49"/>
      <c r="F1693" s="49"/>
      <c r="G1693" s="49"/>
      <c r="H1693" s="49"/>
    </row>
    <row r="1694" spans="2:8" s="63" customFormat="1">
      <c r="B1694" s="49"/>
      <c r="C1694" s="49"/>
      <c r="D1694" s="49"/>
      <c r="E1694" s="49"/>
      <c r="F1694" s="49"/>
      <c r="G1694" s="49"/>
      <c r="H1694" s="49"/>
    </row>
    <row r="1695" spans="2:8" s="63" customFormat="1">
      <c r="B1695" s="49"/>
      <c r="C1695" s="49"/>
      <c r="D1695" s="49"/>
      <c r="E1695" s="49"/>
      <c r="F1695" s="49"/>
      <c r="G1695" s="49"/>
      <c r="H1695" s="49"/>
    </row>
    <row r="1696" spans="2:8" s="63" customFormat="1">
      <c r="B1696" s="49"/>
      <c r="C1696" s="49"/>
      <c r="D1696" s="49"/>
      <c r="E1696" s="49"/>
      <c r="F1696" s="49"/>
      <c r="G1696" s="49"/>
      <c r="H1696" s="49"/>
    </row>
    <row r="1697" spans="2:8" s="63" customFormat="1">
      <c r="B1697" s="49"/>
      <c r="C1697" s="49"/>
      <c r="D1697" s="49"/>
      <c r="E1697" s="49"/>
      <c r="F1697" s="49"/>
      <c r="G1697" s="49"/>
      <c r="H1697" s="49"/>
    </row>
    <row r="1698" spans="2:8" s="63" customFormat="1">
      <c r="B1698" s="49"/>
      <c r="C1698" s="49"/>
      <c r="D1698" s="49"/>
      <c r="E1698" s="49"/>
      <c r="F1698" s="49"/>
      <c r="G1698" s="49"/>
      <c r="H1698" s="49"/>
    </row>
    <row r="1699" spans="2:8" s="63" customFormat="1">
      <c r="B1699" s="49"/>
      <c r="C1699" s="49"/>
      <c r="D1699" s="49"/>
      <c r="E1699" s="49"/>
      <c r="F1699" s="49"/>
      <c r="G1699" s="49"/>
      <c r="H1699" s="49"/>
    </row>
    <row r="1700" spans="2:8" s="63" customFormat="1">
      <c r="B1700" s="49"/>
      <c r="C1700" s="49"/>
      <c r="D1700" s="49"/>
      <c r="E1700" s="49"/>
      <c r="F1700" s="49"/>
      <c r="G1700" s="49"/>
      <c r="H1700" s="49"/>
    </row>
    <row r="1701" spans="2:8" s="63" customFormat="1">
      <c r="B1701" s="49"/>
      <c r="C1701" s="49"/>
      <c r="D1701" s="49"/>
      <c r="E1701" s="49"/>
      <c r="F1701" s="49"/>
      <c r="G1701" s="49"/>
      <c r="H1701" s="49"/>
    </row>
    <row r="1702" spans="2:8" s="63" customFormat="1">
      <c r="B1702" s="49"/>
      <c r="C1702" s="49"/>
      <c r="D1702" s="49"/>
      <c r="E1702" s="49"/>
      <c r="F1702" s="49"/>
      <c r="G1702" s="49"/>
      <c r="H1702" s="49"/>
    </row>
    <row r="1703" spans="2:8" s="63" customFormat="1">
      <c r="B1703" s="49"/>
      <c r="C1703" s="49"/>
      <c r="D1703" s="49"/>
      <c r="E1703" s="49"/>
      <c r="F1703" s="49"/>
      <c r="G1703" s="49"/>
      <c r="H1703" s="49"/>
    </row>
    <row r="1704" spans="2:8" s="63" customFormat="1">
      <c r="B1704" s="49"/>
      <c r="C1704" s="49"/>
      <c r="D1704" s="49"/>
      <c r="E1704" s="49"/>
      <c r="F1704" s="49"/>
      <c r="G1704" s="49"/>
      <c r="H1704" s="49"/>
    </row>
    <row r="1705" spans="2:8" s="63" customFormat="1">
      <c r="B1705" s="49"/>
      <c r="C1705" s="49"/>
      <c r="D1705" s="49"/>
      <c r="E1705" s="49"/>
      <c r="F1705" s="49"/>
      <c r="G1705" s="49"/>
      <c r="H1705" s="49"/>
    </row>
    <row r="1706" spans="2:8" s="63" customFormat="1">
      <c r="B1706" s="49"/>
      <c r="C1706" s="49"/>
      <c r="D1706" s="49"/>
      <c r="E1706" s="49"/>
      <c r="F1706" s="49"/>
      <c r="G1706" s="49"/>
      <c r="H1706" s="49"/>
    </row>
    <row r="1707" spans="2:8" s="63" customFormat="1">
      <c r="B1707" s="49"/>
      <c r="C1707" s="49"/>
      <c r="D1707" s="49"/>
      <c r="E1707" s="49"/>
      <c r="F1707" s="49"/>
      <c r="G1707" s="49"/>
      <c r="H1707" s="49"/>
    </row>
    <row r="1708" spans="2:8" s="63" customFormat="1">
      <c r="B1708" s="49"/>
      <c r="C1708" s="49"/>
      <c r="D1708" s="49"/>
      <c r="E1708" s="49"/>
      <c r="F1708" s="49"/>
      <c r="G1708" s="49"/>
      <c r="H1708" s="49"/>
    </row>
    <row r="1709" spans="2:8" s="63" customFormat="1">
      <c r="B1709" s="49"/>
      <c r="C1709" s="49"/>
      <c r="D1709" s="49"/>
      <c r="E1709" s="49"/>
      <c r="F1709" s="49"/>
      <c r="G1709" s="49"/>
      <c r="H1709" s="49"/>
    </row>
    <row r="1710" spans="2:8" s="63" customFormat="1">
      <c r="B1710" s="49"/>
      <c r="C1710" s="49"/>
      <c r="D1710" s="49"/>
      <c r="E1710" s="49"/>
      <c r="F1710" s="49"/>
      <c r="G1710" s="49"/>
      <c r="H1710" s="49"/>
    </row>
    <row r="1711" spans="2:8" s="63" customFormat="1">
      <c r="B1711" s="49"/>
      <c r="C1711" s="49"/>
      <c r="D1711" s="49"/>
      <c r="E1711" s="49"/>
      <c r="F1711" s="49"/>
      <c r="G1711" s="49"/>
      <c r="H1711" s="49"/>
    </row>
    <row r="1712" spans="2:8" s="63" customFormat="1">
      <c r="B1712" s="49"/>
      <c r="C1712" s="49"/>
      <c r="D1712" s="49"/>
      <c r="E1712" s="49"/>
      <c r="F1712" s="49"/>
      <c r="G1712" s="49"/>
      <c r="H1712" s="49"/>
    </row>
    <row r="1713" spans="2:8" s="63" customFormat="1">
      <c r="B1713" s="49"/>
      <c r="C1713" s="49"/>
      <c r="D1713" s="49"/>
      <c r="E1713" s="49"/>
      <c r="F1713" s="49"/>
      <c r="G1713" s="49"/>
      <c r="H1713" s="49"/>
    </row>
    <row r="1714" spans="2:8" s="63" customFormat="1">
      <c r="B1714" s="49"/>
      <c r="C1714" s="49"/>
      <c r="D1714" s="49"/>
      <c r="E1714" s="49"/>
      <c r="F1714" s="49"/>
      <c r="G1714" s="49"/>
      <c r="H1714" s="49"/>
    </row>
    <row r="1715" spans="2:8" s="63" customFormat="1">
      <c r="B1715" s="49"/>
      <c r="C1715" s="49"/>
      <c r="D1715" s="49"/>
      <c r="E1715" s="49"/>
      <c r="F1715" s="49"/>
      <c r="G1715" s="49"/>
      <c r="H1715" s="49"/>
    </row>
    <row r="1716" spans="2:8" s="63" customFormat="1">
      <c r="B1716" s="49"/>
      <c r="C1716" s="49"/>
      <c r="D1716" s="49"/>
      <c r="E1716" s="49"/>
      <c r="F1716" s="49"/>
      <c r="G1716" s="49"/>
      <c r="H1716" s="49"/>
    </row>
    <row r="1717" spans="2:8" s="63" customFormat="1">
      <c r="B1717" s="49"/>
      <c r="C1717" s="49"/>
      <c r="D1717" s="49"/>
      <c r="E1717" s="49"/>
      <c r="F1717" s="49"/>
      <c r="G1717" s="49"/>
      <c r="H1717" s="49"/>
    </row>
    <row r="1718" spans="2:8" s="63" customFormat="1">
      <c r="B1718" s="49"/>
      <c r="C1718" s="49"/>
      <c r="D1718" s="49"/>
      <c r="E1718" s="49"/>
      <c r="F1718" s="49"/>
      <c r="G1718" s="49"/>
      <c r="H1718" s="49"/>
    </row>
    <row r="1719" spans="2:8" s="63" customFormat="1">
      <c r="B1719" s="49"/>
      <c r="C1719" s="49"/>
      <c r="D1719" s="49"/>
      <c r="E1719" s="49"/>
      <c r="F1719" s="49"/>
      <c r="G1719" s="49"/>
      <c r="H1719" s="49"/>
    </row>
    <row r="1720" spans="2:8" s="63" customFormat="1">
      <c r="B1720" s="49"/>
      <c r="C1720" s="49"/>
      <c r="D1720" s="49"/>
      <c r="E1720" s="49"/>
      <c r="F1720" s="49"/>
      <c r="G1720" s="49"/>
      <c r="H1720" s="49"/>
    </row>
    <row r="1721" spans="2:8" s="63" customFormat="1">
      <c r="B1721" s="49"/>
      <c r="C1721" s="49"/>
      <c r="D1721" s="49"/>
      <c r="E1721" s="49"/>
      <c r="F1721" s="49"/>
      <c r="G1721" s="49"/>
      <c r="H1721" s="49"/>
    </row>
    <row r="1722" spans="2:8" s="63" customFormat="1">
      <c r="B1722" s="49"/>
      <c r="C1722" s="49"/>
      <c r="D1722" s="49"/>
      <c r="E1722" s="49"/>
      <c r="F1722" s="49"/>
      <c r="G1722" s="49"/>
      <c r="H1722" s="49"/>
    </row>
    <row r="1723" spans="2:8" s="63" customFormat="1">
      <c r="B1723" s="49"/>
      <c r="C1723" s="49"/>
      <c r="D1723" s="49"/>
      <c r="E1723" s="49"/>
      <c r="F1723" s="49"/>
      <c r="G1723" s="49"/>
      <c r="H1723" s="49"/>
    </row>
    <row r="1724" spans="2:8" s="63" customFormat="1">
      <c r="B1724" s="49"/>
      <c r="C1724" s="49"/>
      <c r="D1724" s="49"/>
      <c r="E1724" s="49"/>
      <c r="F1724" s="49"/>
      <c r="G1724" s="49"/>
      <c r="H1724" s="49"/>
    </row>
    <row r="1725" spans="2:8" s="63" customFormat="1">
      <c r="B1725" s="49"/>
      <c r="C1725" s="49"/>
      <c r="D1725" s="49"/>
      <c r="E1725" s="49"/>
      <c r="F1725" s="49"/>
      <c r="G1725" s="49"/>
      <c r="H1725" s="49"/>
    </row>
    <row r="1726" spans="2:8" s="63" customFormat="1">
      <c r="B1726" s="49"/>
      <c r="C1726" s="49"/>
      <c r="D1726" s="49"/>
      <c r="E1726" s="49"/>
      <c r="F1726" s="49"/>
      <c r="G1726" s="49"/>
      <c r="H1726" s="49"/>
    </row>
    <row r="1727" spans="2:8" s="63" customFormat="1">
      <c r="B1727" s="49"/>
      <c r="C1727" s="49"/>
      <c r="D1727" s="49"/>
      <c r="E1727" s="49"/>
      <c r="F1727" s="49"/>
      <c r="G1727" s="49"/>
      <c r="H1727" s="49"/>
    </row>
    <row r="1728" spans="2:8" s="63" customFormat="1">
      <c r="B1728" s="49"/>
      <c r="C1728" s="49"/>
      <c r="D1728" s="49"/>
      <c r="E1728" s="49"/>
      <c r="F1728" s="49"/>
      <c r="G1728" s="49"/>
      <c r="H1728" s="49"/>
    </row>
    <row r="1729" spans="2:8" s="63" customFormat="1">
      <c r="B1729" s="49"/>
      <c r="C1729" s="49"/>
      <c r="D1729" s="49"/>
      <c r="E1729" s="49"/>
      <c r="F1729" s="49"/>
      <c r="G1729" s="49"/>
      <c r="H1729" s="49"/>
    </row>
    <row r="1730" spans="2:8" s="63" customFormat="1">
      <c r="B1730" s="49"/>
      <c r="C1730" s="49"/>
      <c r="D1730" s="49"/>
      <c r="E1730" s="49"/>
      <c r="F1730" s="49"/>
      <c r="G1730" s="49"/>
      <c r="H1730" s="49"/>
    </row>
    <row r="1731" spans="2:8" s="63" customFormat="1">
      <c r="B1731" s="49"/>
      <c r="C1731" s="49"/>
      <c r="D1731" s="49"/>
      <c r="E1731" s="49"/>
      <c r="F1731" s="49"/>
      <c r="G1731" s="49"/>
      <c r="H1731" s="49"/>
    </row>
    <row r="1732" spans="2:8" s="63" customFormat="1">
      <c r="B1732" s="49"/>
      <c r="C1732" s="49"/>
      <c r="D1732" s="49"/>
      <c r="E1732" s="49"/>
      <c r="F1732" s="49"/>
      <c r="G1732" s="49"/>
      <c r="H1732" s="49"/>
    </row>
    <row r="1733" spans="2:8" s="63" customFormat="1">
      <c r="B1733" s="49"/>
      <c r="C1733" s="49"/>
      <c r="D1733" s="49"/>
      <c r="E1733" s="49"/>
      <c r="F1733" s="49"/>
      <c r="G1733" s="49"/>
      <c r="H1733" s="49"/>
    </row>
    <row r="1734" spans="2:8" s="63" customFormat="1">
      <c r="B1734" s="49"/>
      <c r="C1734" s="49"/>
      <c r="D1734" s="49"/>
      <c r="E1734" s="49"/>
      <c r="F1734" s="49"/>
      <c r="G1734" s="49"/>
      <c r="H1734" s="49"/>
    </row>
    <row r="1735" spans="2:8" s="63" customFormat="1">
      <c r="B1735" s="49"/>
      <c r="C1735" s="49"/>
      <c r="D1735" s="49"/>
      <c r="E1735" s="49"/>
      <c r="F1735" s="49"/>
      <c r="G1735" s="49"/>
      <c r="H1735" s="49"/>
    </row>
    <row r="1736" spans="2:8" s="63" customFormat="1">
      <c r="B1736" s="49"/>
      <c r="C1736" s="49"/>
      <c r="D1736" s="49"/>
      <c r="E1736" s="49"/>
      <c r="F1736" s="49"/>
      <c r="G1736" s="49"/>
      <c r="H1736" s="49"/>
    </row>
    <row r="1737" spans="2:8" s="63" customFormat="1">
      <c r="B1737" s="49"/>
      <c r="C1737" s="49"/>
      <c r="D1737" s="49"/>
      <c r="E1737" s="49"/>
      <c r="F1737" s="49"/>
      <c r="G1737" s="49"/>
      <c r="H1737" s="49"/>
    </row>
    <row r="1738" spans="2:8" s="63" customFormat="1">
      <c r="B1738" s="49"/>
      <c r="C1738" s="49"/>
      <c r="D1738" s="49"/>
      <c r="E1738" s="49"/>
      <c r="F1738" s="49"/>
      <c r="G1738" s="49"/>
      <c r="H1738" s="49"/>
    </row>
    <row r="1739" spans="2:8" s="63" customFormat="1">
      <c r="B1739" s="49"/>
      <c r="C1739" s="49"/>
      <c r="D1739" s="49"/>
      <c r="E1739" s="49"/>
      <c r="F1739" s="49"/>
      <c r="G1739" s="49"/>
      <c r="H1739" s="49"/>
    </row>
    <row r="1740" spans="2:8" s="63" customFormat="1">
      <c r="B1740" s="49"/>
      <c r="C1740" s="49"/>
      <c r="D1740" s="49"/>
      <c r="E1740" s="49"/>
      <c r="F1740" s="49"/>
      <c r="G1740" s="49"/>
      <c r="H1740" s="49"/>
    </row>
    <row r="1741" spans="2:8" s="63" customFormat="1">
      <c r="B1741" s="49"/>
      <c r="C1741" s="49"/>
      <c r="D1741" s="49"/>
      <c r="E1741" s="49"/>
      <c r="F1741" s="49"/>
      <c r="G1741" s="49"/>
      <c r="H1741" s="49"/>
    </row>
    <row r="1742" spans="2:8" s="63" customFormat="1">
      <c r="B1742" s="49"/>
      <c r="C1742" s="49"/>
      <c r="D1742" s="49"/>
      <c r="E1742" s="49"/>
      <c r="F1742" s="49"/>
      <c r="G1742" s="49"/>
      <c r="H1742" s="49"/>
    </row>
    <row r="1743" spans="2:8" s="63" customFormat="1">
      <c r="B1743" s="49"/>
      <c r="C1743" s="49"/>
      <c r="D1743" s="49"/>
      <c r="E1743" s="49"/>
      <c r="F1743" s="49"/>
      <c r="G1743" s="49"/>
      <c r="H1743" s="49"/>
    </row>
    <row r="1744" spans="2:8" s="63" customFormat="1">
      <c r="B1744" s="49"/>
      <c r="C1744" s="49"/>
      <c r="D1744" s="49"/>
      <c r="E1744" s="49"/>
      <c r="F1744" s="49"/>
      <c r="G1744" s="49"/>
      <c r="H1744" s="49"/>
    </row>
    <row r="1745" spans="2:8" s="63" customFormat="1">
      <c r="B1745" s="49"/>
      <c r="C1745" s="49"/>
      <c r="D1745" s="49"/>
      <c r="E1745" s="49"/>
      <c r="F1745" s="49"/>
      <c r="G1745" s="49"/>
      <c r="H1745" s="49"/>
    </row>
    <row r="1746" spans="2:8" s="63" customFormat="1">
      <c r="B1746" s="49"/>
      <c r="C1746" s="49"/>
      <c r="D1746" s="49"/>
      <c r="E1746" s="49"/>
      <c r="F1746" s="49"/>
      <c r="G1746" s="49"/>
      <c r="H1746" s="49"/>
    </row>
    <row r="1747" spans="2:8" s="63" customFormat="1">
      <c r="B1747" s="49"/>
      <c r="C1747" s="49"/>
      <c r="D1747" s="49"/>
      <c r="E1747" s="49"/>
      <c r="F1747" s="49"/>
      <c r="G1747" s="49"/>
      <c r="H1747" s="49"/>
    </row>
    <row r="1748" spans="2:8" s="63" customFormat="1">
      <c r="B1748" s="49"/>
      <c r="C1748" s="49"/>
      <c r="D1748" s="49"/>
      <c r="E1748" s="49"/>
      <c r="F1748" s="49"/>
      <c r="G1748" s="49"/>
      <c r="H1748" s="49"/>
    </row>
    <row r="1749" spans="2:8" s="63" customFormat="1">
      <c r="B1749" s="49"/>
      <c r="C1749" s="49"/>
      <c r="D1749" s="49"/>
      <c r="E1749" s="49"/>
      <c r="F1749" s="49"/>
      <c r="G1749" s="49"/>
      <c r="H1749" s="49"/>
    </row>
    <row r="1750" spans="2:8" s="63" customFormat="1">
      <c r="B1750" s="49"/>
      <c r="C1750" s="49"/>
      <c r="D1750" s="49"/>
      <c r="E1750" s="49"/>
      <c r="F1750" s="49"/>
      <c r="G1750" s="49"/>
      <c r="H1750" s="49"/>
    </row>
    <row r="1751" spans="2:8" s="63" customFormat="1">
      <c r="B1751" s="49"/>
      <c r="C1751" s="49"/>
      <c r="D1751" s="49"/>
      <c r="E1751" s="49"/>
      <c r="F1751" s="49"/>
      <c r="G1751" s="49"/>
      <c r="H1751" s="49"/>
    </row>
    <row r="1752" spans="2:8" s="63" customFormat="1">
      <c r="B1752" s="49"/>
      <c r="C1752" s="49"/>
      <c r="D1752" s="49"/>
      <c r="E1752" s="49"/>
      <c r="F1752" s="49"/>
      <c r="G1752" s="49"/>
      <c r="H1752" s="49"/>
    </row>
    <row r="1753" spans="2:8" s="63" customFormat="1">
      <c r="B1753" s="49"/>
      <c r="C1753" s="49"/>
      <c r="D1753" s="49"/>
      <c r="E1753" s="49"/>
      <c r="F1753" s="49"/>
      <c r="G1753" s="49"/>
      <c r="H1753" s="49"/>
    </row>
    <row r="1754" spans="2:8" s="63" customFormat="1">
      <c r="B1754" s="49"/>
      <c r="C1754" s="49"/>
      <c r="D1754" s="49"/>
      <c r="E1754" s="49"/>
      <c r="F1754" s="49"/>
      <c r="G1754" s="49"/>
      <c r="H1754" s="49"/>
    </row>
    <row r="1755" spans="2:8" s="63" customFormat="1">
      <c r="B1755" s="49"/>
      <c r="C1755" s="49"/>
      <c r="D1755" s="49"/>
      <c r="E1755" s="49"/>
      <c r="F1755" s="49"/>
      <c r="G1755" s="49"/>
      <c r="H1755" s="49"/>
    </row>
    <row r="1756" spans="2:8" s="63" customFormat="1">
      <c r="B1756" s="49"/>
      <c r="C1756" s="49"/>
      <c r="D1756" s="49"/>
      <c r="E1756" s="49"/>
      <c r="F1756" s="49"/>
      <c r="G1756" s="49"/>
      <c r="H1756" s="49"/>
    </row>
    <row r="1757" spans="2:8" s="63" customFormat="1">
      <c r="B1757" s="49"/>
      <c r="C1757" s="49"/>
      <c r="D1757" s="49"/>
      <c r="E1757" s="49"/>
      <c r="F1757" s="49"/>
      <c r="G1757" s="49"/>
      <c r="H1757" s="49"/>
    </row>
    <row r="1758" spans="2:8" s="63" customFormat="1">
      <c r="B1758" s="49"/>
      <c r="C1758" s="49"/>
      <c r="D1758" s="49"/>
      <c r="E1758" s="49"/>
      <c r="F1758" s="49"/>
      <c r="G1758" s="49"/>
      <c r="H1758" s="49"/>
    </row>
    <row r="1759" spans="2:8" s="63" customFormat="1">
      <c r="B1759" s="49"/>
      <c r="C1759" s="49"/>
      <c r="D1759" s="49"/>
      <c r="E1759" s="49"/>
      <c r="F1759" s="49"/>
      <c r="G1759" s="49"/>
      <c r="H1759" s="49"/>
    </row>
    <row r="1760" spans="2:8" s="63" customFormat="1">
      <c r="B1760" s="49"/>
      <c r="C1760" s="49"/>
      <c r="D1760" s="49"/>
      <c r="E1760" s="49"/>
      <c r="F1760" s="49"/>
      <c r="G1760" s="49"/>
      <c r="H1760" s="49"/>
    </row>
    <row r="1761" spans="2:8" s="63" customFormat="1">
      <c r="B1761" s="49"/>
      <c r="C1761" s="49"/>
      <c r="D1761" s="49"/>
      <c r="E1761" s="49"/>
      <c r="F1761" s="49"/>
      <c r="G1761" s="49"/>
      <c r="H1761" s="49"/>
    </row>
    <row r="1762" spans="2:8" s="63" customFormat="1">
      <c r="B1762" s="49"/>
      <c r="C1762" s="49"/>
      <c r="D1762" s="49"/>
      <c r="E1762" s="49"/>
      <c r="F1762" s="49"/>
      <c r="G1762" s="49"/>
      <c r="H1762" s="49"/>
    </row>
    <row r="1763" spans="2:8" s="63" customFormat="1">
      <c r="B1763" s="49"/>
      <c r="C1763" s="49"/>
      <c r="D1763" s="49"/>
      <c r="E1763" s="49"/>
      <c r="F1763" s="49"/>
      <c r="G1763" s="49"/>
      <c r="H1763" s="49"/>
    </row>
    <row r="1764" spans="2:8" s="63" customFormat="1">
      <c r="B1764" s="49"/>
      <c r="C1764" s="49"/>
      <c r="D1764" s="49"/>
      <c r="E1764" s="49"/>
      <c r="F1764" s="49"/>
      <c r="G1764" s="49"/>
      <c r="H1764" s="49"/>
    </row>
    <row r="1765" spans="2:8" s="63" customFormat="1">
      <c r="B1765" s="49"/>
      <c r="C1765" s="49"/>
      <c r="D1765" s="49"/>
      <c r="E1765" s="49"/>
      <c r="F1765" s="49"/>
      <c r="G1765" s="49"/>
      <c r="H1765" s="49"/>
    </row>
    <row r="1766" spans="2:8" s="63" customFormat="1">
      <c r="B1766" s="49"/>
      <c r="C1766" s="49"/>
      <c r="D1766" s="49"/>
      <c r="E1766" s="49"/>
      <c r="F1766" s="49"/>
      <c r="G1766" s="49"/>
      <c r="H1766" s="49"/>
    </row>
    <row r="1767" spans="2:8" s="63" customFormat="1">
      <c r="B1767" s="49"/>
      <c r="C1767" s="49"/>
      <c r="D1767" s="49"/>
      <c r="E1767" s="49"/>
      <c r="F1767" s="49"/>
      <c r="G1767" s="49"/>
      <c r="H1767" s="49"/>
    </row>
    <row r="1768" spans="2:8" s="63" customFormat="1">
      <c r="B1768" s="49"/>
      <c r="C1768" s="49"/>
      <c r="D1768" s="49"/>
      <c r="E1768" s="49"/>
      <c r="F1768" s="49"/>
      <c r="G1768" s="49"/>
      <c r="H1768" s="49"/>
    </row>
    <row r="1769" spans="2:8" s="63" customFormat="1">
      <c r="B1769" s="49"/>
      <c r="C1769" s="49"/>
      <c r="D1769" s="49"/>
      <c r="E1769" s="49"/>
      <c r="F1769" s="49"/>
      <c r="G1769" s="49"/>
      <c r="H1769" s="49"/>
    </row>
    <row r="1770" spans="2:8" s="63" customFormat="1">
      <c r="B1770" s="49"/>
      <c r="C1770" s="49"/>
      <c r="D1770" s="49"/>
      <c r="E1770" s="49"/>
      <c r="F1770" s="49"/>
      <c r="G1770" s="49"/>
      <c r="H1770" s="49"/>
    </row>
    <row r="1771" spans="2:8" s="63" customFormat="1">
      <c r="B1771" s="49"/>
      <c r="C1771" s="49"/>
      <c r="D1771" s="49"/>
      <c r="E1771" s="49"/>
      <c r="F1771" s="49"/>
      <c r="G1771" s="49"/>
      <c r="H1771" s="49"/>
    </row>
    <row r="1772" spans="2:8" s="63" customFormat="1">
      <c r="B1772" s="49"/>
      <c r="C1772" s="49"/>
      <c r="D1772" s="49"/>
      <c r="E1772" s="49"/>
      <c r="F1772" s="49"/>
      <c r="G1772" s="49"/>
      <c r="H1772" s="49"/>
    </row>
    <row r="1773" spans="2:8" s="63" customFormat="1">
      <c r="B1773" s="49"/>
      <c r="C1773" s="49"/>
      <c r="D1773" s="49"/>
      <c r="E1773" s="49"/>
      <c r="F1773" s="49"/>
      <c r="G1773" s="49"/>
      <c r="H1773" s="49"/>
    </row>
    <row r="1774" spans="2:8" s="63" customFormat="1">
      <c r="B1774" s="49"/>
      <c r="C1774" s="49"/>
      <c r="D1774" s="49"/>
      <c r="E1774" s="49"/>
      <c r="F1774" s="49"/>
      <c r="G1774" s="49"/>
      <c r="H1774" s="49"/>
    </row>
    <row r="1775" spans="2:8" s="63" customFormat="1">
      <c r="B1775" s="49"/>
      <c r="C1775" s="49"/>
      <c r="D1775" s="49"/>
      <c r="E1775" s="49"/>
      <c r="F1775" s="49"/>
      <c r="G1775" s="49"/>
      <c r="H1775" s="49"/>
    </row>
    <row r="1776" spans="2:8" s="63" customFormat="1">
      <c r="B1776" s="49"/>
      <c r="C1776" s="49"/>
      <c r="D1776" s="49"/>
      <c r="E1776" s="49"/>
      <c r="F1776" s="49"/>
      <c r="G1776" s="49"/>
      <c r="H1776" s="49"/>
    </row>
    <row r="1777" spans="2:8" s="63" customFormat="1">
      <c r="B1777" s="49"/>
      <c r="C1777" s="49"/>
      <c r="D1777" s="49"/>
      <c r="E1777" s="49"/>
      <c r="F1777" s="49"/>
      <c r="G1777" s="49"/>
      <c r="H1777" s="49"/>
    </row>
    <row r="1778" spans="2:8" s="63" customFormat="1">
      <c r="B1778" s="49"/>
      <c r="C1778" s="49"/>
      <c r="D1778" s="49"/>
      <c r="E1778" s="49"/>
      <c r="F1778" s="49"/>
      <c r="G1778" s="49"/>
      <c r="H1778" s="49"/>
    </row>
    <row r="1779" spans="2:8" s="63" customFormat="1">
      <c r="B1779" s="49"/>
      <c r="C1779" s="49"/>
      <c r="D1779" s="49"/>
      <c r="E1779" s="49"/>
      <c r="F1779" s="49"/>
      <c r="G1779" s="49"/>
      <c r="H1779" s="49"/>
    </row>
    <row r="1780" spans="2:8" s="63" customFormat="1">
      <c r="B1780" s="49"/>
      <c r="C1780" s="49"/>
      <c r="D1780" s="49"/>
      <c r="E1780" s="49"/>
      <c r="F1780" s="49"/>
      <c r="G1780" s="49"/>
      <c r="H1780" s="49"/>
    </row>
    <row r="1781" spans="2:8" s="63" customFormat="1">
      <c r="B1781" s="49"/>
      <c r="C1781" s="49"/>
      <c r="D1781" s="49"/>
      <c r="E1781" s="49"/>
      <c r="F1781" s="49"/>
      <c r="G1781" s="49"/>
      <c r="H1781" s="49"/>
    </row>
    <row r="1782" spans="2:8" s="63" customFormat="1">
      <c r="B1782" s="49"/>
      <c r="C1782" s="49"/>
      <c r="D1782" s="49"/>
      <c r="E1782" s="49"/>
      <c r="F1782" s="49"/>
      <c r="G1782" s="49"/>
      <c r="H1782" s="49"/>
    </row>
    <row r="1783" spans="2:8" s="63" customFormat="1">
      <c r="B1783" s="49"/>
      <c r="C1783" s="49"/>
      <c r="D1783" s="49"/>
      <c r="E1783" s="49"/>
      <c r="F1783" s="49"/>
      <c r="G1783" s="49"/>
      <c r="H1783" s="49"/>
    </row>
    <row r="1784" spans="2:8" s="63" customFormat="1">
      <c r="B1784" s="49"/>
      <c r="C1784" s="49"/>
      <c r="D1784" s="49"/>
      <c r="E1784" s="49"/>
      <c r="F1784" s="49"/>
      <c r="G1784" s="49"/>
      <c r="H1784" s="49"/>
    </row>
    <row r="1785" spans="2:8" s="63" customFormat="1">
      <c r="B1785" s="49"/>
      <c r="C1785" s="49"/>
      <c r="D1785" s="49"/>
      <c r="E1785" s="49"/>
      <c r="F1785" s="49"/>
      <c r="G1785" s="49"/>
      <c r="H1785" s="49"/>
    </row>
    <row r="1786" spans="2:8" s="63" customFormat="1">
      <c r="B1786" s="49"/>
      <c r="C1786" s="49"/>
      <c r="D1786" s="49"/>
      <c r="E1786" s="49"/>
      <c r="F1786" s="49"/>
      <c r="G1786" s="49"/>
      <c r="H1786" s="49"/>
    </row>
    <row r="1787" spans="2:8" s="63" customFormat="1">
      <c r="B1787" s="49"/>
      <c r="C1787" s="49"/>
      <c r="D1787" s="49"/>
      <c r="E1787" s="49"/>
      <c r="F1787" s="49"/>
      <c r="G1787" s="49"/>
      <c r="H1787" s="49"/>
    </row>
    <row r="1788" spans="2:8" s="63" customFormat="1">
      <c r="B1788" s="49"/>
      <c r="C1788" s="49"/>
      <c r="D1788" s="49"/>
      <c r="E1788" s="49"/>
      <c r="F1788" s="49"/>
      <c r="G1788" s="49"/>
      <c r="H1788" s="49"/>
    </row>
    <row r="1789" spans="2:8" s="63" customFormat="1">
      <c r="B1789" s="49"/>
      <c r="C1789" s="49"/>
      <c r="D1789" s="49"/>
      <c r="E1789" s="49"/>
      <c r="F1789" s="49"/>
      <c r="G1789" s="49"/>
      <c r="H1789" s="49"/>
    </row>
    <row r="1790" spans="2:8" s="63" customFormat="1">
      <c r="B1790" s="49"/>
      <c r="C1790" s="49"/>
      <c r="D1790" s="49"/>
      <c r="E1790" s="49"/>
      <c r="F1790" s="49"/>
      <c r="G1790" s="49"/>
      <c r="H1790" s="49"/>
    </row>
    <row r="1791" spans="2:8" s="63" customFormat="1">
      <c r="B1791" s="49"/>
      <c r="C1791" s="49"/>
      <c r="D1791" s="49"/>
      <c r="E1791" s="49"/>
      <c r="F1791" s="49"/>
      <c r="G1791" s="49"/>
      <c r="H1791" s="49"/>
    </row>
    <row r="1792" spans="2:8" s="63" customFormat="1">
      <c r="B1792" s="49"/>
      <c r="C1792" s="49"/>
      <c r="D1792" s="49"/>
      <c r="E1792" s="49"/>
      <c r="F1792" s="49"/>
      <c r="G1792" s="49"/>
      <c r="H1792" s="49"/>
    </row>
    <row r="1793" spans="2:8" s="63" customFormat="1">
      <c r="B1793" s="49"/>
      <c r="C1793" s="49"/>
      <c r="D1793" s="49"/>
      <c r="E1793" s="49"/>
      <c r="F1793" s="49"/>
      <c r="G1793" s="49"/>
      <c r="H1793" s="49"/>
    </row>
    <row r="1794" spans="2:8" s="63" customFormat="1">
      <c r="B1794" s="49"/>
      <c r="C1794" s="49"/>
      <c r="D1794" s="49"/>
      <c r="E1794" s="49"/>
      <c r="F1794" s="49"/>
      <c r="G1794" s="49"/>
      <c r="H1794" s="49"/>
    </row>
    <row r="1795" spans="2:8" s="63" customFormat="1">
      <c r="B1795" s="49"/>
      <c r="C1795" s="49"/>
      <c r="D1795" s="49"/>
      <c r="E1795" s="49"/>
      <c r="F1795" s="49"/>
      <c r="G1795" s="49"/>
      <c r="H1795" s="49"/>
    </row>
    <row r="1796" spans="2:8" s="63" customFormat="1">
      <c r="B1796" s="49"/>
      <c r="C1796" s="49"/>
      <c r="D1796" s="49"/>
      <c r="E1796" s="49"/>
      <c r="F1796" s="49"/>
      <c r="G1796" s="49"/>
      <c r="H1796" s="49"/>
    </row>
    <row r="1797" spans="2:8" s="63" customFormat="1">
      <c r="B1797" s="49"/>
      <c r="C1797" s="49"/>
      <c r="D1797" s="49"/>
      <c r="E1797" s="49"/>
      <c r="F1797" s="49"/>
      <c r="G1797" s="49"/>
      <c r="H1797" s="49"/>
    </row>
    <row r="1798" spans="2:8" s="63" customFormat="1">
      <c r="B1798" s="49"/>
      <c r="C1798" s="49"/>
      <c r="D1798" s="49"/>
      <c r="E1798" s="49"/>
      <c r="F1798" s="49"/>
      <c r="G1798" s="49"/>
      <c r="H1798" s="49"/>
    </row>
    <row r="1799" spans="2:8" s="63" customFormat="1">
      <c r="B1799" s="49"/>
      <c r="C1799" s="49"/>
      <c r="D1799" s="49"/>
      <c r="E1799" s="49"/>
      <c r="F1799" s="49"/>
      <c r="G1799" s="49"/>
      <c r="H1799" s="49"/>
    </row>
    <row r="1800" spans="2:8" s="63" customFormat="1">
      <c r="B1800" s="49"/>
      <c r="C1800" s="49"/>
      <c r="D1800" s="49"/>
      <c r="E1800" s="49"/>
      <c r="F1800" s="49"/>
      <c r="G1800" s="49"/>
      <c r="H1800" s="49"/>
    </row>
    <row r="1801" spans="2:8" s="63" customFormat="1">
      <c r="B1801" s="49"/>
      <c r="C1801" s="49"/>
      <c r="D1801" s="49"/>
      <c r="E1801" s="49"/>
      <c r="F1801" s="49"/>
      <c r="G1801" s="49"/>
      <c r="H1801" s="49"/>
    </row>
    <row r="1802" spans="2:8" s="63" customFormat="1">
      <c r="B1802" s="49"/>
      <c r="C1802" s="49"/>
      <c r="D1802" s="49"/>
      <c r="E1802" s="49"/>
      <c r="F1802" s="49"/>
      <c r="G1802" s="49"/>
      <c r="H1802" s="49"/>
    </row>
    <row r="1803" spans="2:8" s="63" customFormat="1">
      <c r="B1803" s="49"/>
      <c r="C1803" s="49"/>
      <c r="D1803" s="49"/>
      <c r="E1803" s="49"/>
      <c r="F1803" s="49"/>
      <c r="G1803" s="49"/>
      <c r="H1803" s="49"/>
    </row>
    <row r="1804" spans="2:8" s="63" customFormat="1">
      <c r="B1804" s="49"/>
      <c r="C1804" s="49"/>
      <c r="D1804" s="49"/>
      <c r="E1804" s="49"/>
      <c r="F1804" s="49"/>
      <c r="G1804" s="49"/>
      <c r="H1804" s="49"/>
    </row>
    <row r="1805" spans="2:8" s="63" customFormat="1">
      <c r="B1805" s="49"/>
      <c r="C1805" s="49"/>
      <c r="D1805" s="49"/>
      <c r="E1805" s="49"/>
      <c r="F1805" s="49"/>
      <c r="G1805" s="49"/>
      <c r="H1805" s="49"/>
    </row>
    <row r="1806" spans="2:8" s="63" customFormat="1">
      <c r="B1806" s="49"/>
      <c r="C1806" s="49"/>
      <c r="D1806" s="49"/>
      <c r="E1806" s="49"/>
      <c r="F1806" s="49"/>
      <c r="G1806" s="49"/>
      <c r="H1806" s="49"/>
    </row>
    <row r="1807" spans="2:8" s="63" customFormat="1">
      <c r="B1807" s="49"/>
      <c r="C1807" s="49"/>
      <c r="D1807" s="49"/>
      <c r="E1807" s="49"/>
      <c r="F1807" s="49"/>
      <c r="G1807" s="49"/>
      <c r="H1807" s="49"/>
    </row>
    <row r="1808" spans="2:8" s="63" customFormat="1">
      <c r="B1808" s="49"/>
      <c r="C1808" s="49"/>
      <c r="D1808" s="49"/>
      <c r="E1808" s="49"/>
      <c r="F1808" s="49"/>
      <c r="G1808" s="49"/>
      <c r="H1808" s="49"/>
    </row>
    <row r="1809" spans="2:8" s="63" customFormat="1">
      <c r="B1809" s="49"/>
      <c r="C1809" s="49"/>
      <c r="D1809" s="49"/>
      <c r="E1809" s="49"/>
      <c r="F1809" s="49"/>
      <c r="G1809" s="49"/>
      <c r="H1809" s="49"/>
    </row>
    <row r="1810" spans="2:8" s="63" customFormat="1">
      <c r="B1810" s="49"/>
      <c r="C1810" s="49"/>
      <c r="D1810" s="49"/>
      <c r="E1810" s="49"/>
      <c r="F1810" s="49"/>
      <c r="G1810" s="49"/>
      <c r="H1810" s="49"/>
    </row>
    <row r="1811" spans="2:8" s="63" customFormat="1">
      <c r="B1811" s="49"/>
      <c r="C1811" s="49"/>
      <c r="D1811" s="49"/>
      <c r="E1811" s="49"/>
      <c r="F1811" s="49"/>
      <c r="G1811" s="49"/>
      <c r="H1811" s="49"/>
    </row>
    <row r="1812" spans="2:8" s="63" customFormat="1">
      <c r="B1812" s="49"/>
      <c r="C1812" s="49"/>
      <c r="D1812" s="49"/>
      <c r="E1812" s="49"/>
      <c r="F1812" s="49"/>
      <c r="G1812" s="49"/>
      <c r="H1812" s="49"/>
    </row>
    <row r="1813" spans="2:8" s="63" customFormat="1">
      <c r="B1813" s="49"/>
      <c r="C1813" s="49"/>
      <c r="D1813" s="49"/>
      <c r="E1813" s="49"/>
      <c r="F1813" s="49"/>
      <c r="G1813" s="49"/>
      <c r="H1813" s="49"/>
    </row>
    <row r="1814" spans="2:8" s="63" customFormat="1">
      <c r="B1814" s="49"/>
      <c r="C1814" s="49"/>
      <c r="D1814" s="49"/>
      <c r="E1814" s="49"/>
      <c r="F1814" s="49"/>
      <c r="G1814" s="49"/>
      <c r="H1814" s="49"/>
    </row>
    <row r="1815" spans="2:8" s="63" customFormat="1">
      <c r="B1815" s="49"/>
      <c r="C1815" s="49"/>
      <c r="D1815" s="49"/>
      <c r="E1815" s="49"/>
      <c r="F1815" s="49"/>
      <c r="G1815" s="49"/>
      <c r="H1815" s="49"/>
    </row>
    <row r="1816" spans="2:8" s="63" customFormat="1">
      <c r="B1816" s="49"/>
      <c r="C1816" s="49"/>
      <c r="D1816" s="49"/>
      <c r="E1816" s="49"/>
      <c r="F1816" s="49"/>
      <c r="G1816" s="49"/>
      <c r="H1816" s="49"/>
    </row>
    <row r="1817" spans="2:8" s="63" customFormat="1">
      <c r="B1817" s="49"/>
      <c r="C1817" s="49"/>
      <c r="D1817" s="49"/>
      <c r="E1817" s="49"/>
      <c r="F1817" s="49"/>
      <c r="G1817" s="49"/>
      <c r="H1817" s="49"/>
    </row>
    <row r="1818" spans="2:8" s="63" customFormat="1">
      <c r="B1818" s="49"/>
      <c r="C1818" s="49"/>
      <c r="D1818" s="49"/>
      <c r="E1818" s="49"/>
      <c r="F1818" s="49"/>
      <c r="G1818" s="49"/>
      <c r="H1818" s="49"/>
    </row>
    <row r="1819" spans="2:8" s="63" customFormat="1">
      <c r="B1819" s="49"/>
      <c r="C1819" s="49"/>
      <c r="D1819" s="49"/>
      <c r="E1819" s="49"/>
      <c r="F1819" s="49"/>
      <c r="G1819" s="49"/>
      <c r="H1819" s="49"/>
    </row>
    <row r="1820" spans="2:8" s="63" customFormat="1">
      <c r="B1820" s="49"/>
      <c r="C1820" s="49"/>
      <c r="D1820" s="49"/>
      <c r="E1820" s="49"/>
      <c r="F1820" s="49"/>
      <c r="G1820" s="49"/>
      <c r="H1820" s="49"/>
    </row>
    <row r="1821" spans="2:8" s="63" customFormat="1">
      <c r="B1821" s="49"/>
      <c r="C1821" s="49"/>
      <c r="D1821" s="49"/>
      <c r="E1821" s="49"/>
      <c r="F1821" s="49"/>
      <c r="G1821" s="49"/>
      <c r="H1821" s="49"/>
    </row>
    <row r="1822" spans="2:8" s="63" customFormat="1">
      <c r="B1822" s="49"/>
      <c r="C1822" s="49"/>
      <c r="D1822" s="49"/>
      <c r="E1822" s="49"/>
      <c r="F1822" s="49"/>
      <c r="G1822" s="49"/>
      <c r="H1822" s="49"/>
    </row>
    <row r="1823" spans="2:8" s="63" customFormat="1">
      <c r="B1823" s="49"/>
      <c r="C1823" s="49"/>
      <c r="D1823" s="49"/>
      <c r="E1823" s="49"/>
      <c r="F1823" s="49"/>
      <c r="G1823" s="49"/>
      <c r="H1823" s="49"/>
    </row>
    <row r="1824" spans="2:8" s="63" customFormat="1">
      <c r="B1824" s="49"/>
      <c r="C1824" s="49"/>
      <c r="D1824" s="49"/>
      <c r="E1824" s="49"/>
      <c r="F1824" s="49"/>
      <c r="G1824" s="49"/>
      <c r="H1824" s="49"/>
    </row>
    <row r="1825" spans="2:8" s="63" customFormat="1">
      <c r="B1825" s="49"/>
      <c r="C1825" s="49"/>
      <c r="D1825" s="49"/>
      <c r="E1825" s="49"/>
      <c r="F1825" s="49"/>
      <c r="G1825" s="49"/>
      <c r="H1825" s="49"/>
    </row>
    <row r="1826" spans="2:8" s="63" customFormat="1">
      <c r="B1826" s="49"/>
      <c r="C1826" s="49"/>
      <c r="D1826" s="49"/>
      <c r="E1826" s="49"/>
      <c r="F1826" s="49"/>
      <c r="G1826" s="49"/>
      <c r="H1826" s="49"/>
    </row>
    <row r="1827" spans="2:8" s="63" customFormat="1">
      <c r="B1827" s="49"/>
      <c r="C1827" s="49"/>
      <c r="D1827" s="49"/>
      <c r="E1827" s="49"/>
      <c r="F1827" s="49"/>
      <c r="G1827" s="49"/>
      <c r="H1827" s="49"/>
    </row>
    <row r="1828" spans="2:8" s="63" customFormat="1">
      <c r="B1828" s="49"/>
      <c r="C1828" s="49"/>
      <c r="D1828" s="49"/>
      <c r="E1828" s="49"/>
      <c r="F1828" s="49"/>
      <c r="G1828" s="49"/>
      <c r="H1828" s="49"/>
    </row>
    <row r="1829" spans="2:8" s="63" customFormat="1">
      <c r="B1829" s="49"/>
      <c r="C1829" s="49"/>
      <c r="D1829" s="49"/>
      <c r="E1829" s="49"/>
      <c r="F1829" s="49"/>
      <c r="G1829" s="49"/>
      <c r="H1829" s="49"/>
    </row>
    <row r="1830" spans="2:8" s="63" customFormat="1">
      <c r="B1830" s="49"/>
      <c r="C1830" s="49"/>
      <c r="D1830" s="49"/>
      <c r="E1830" s="49"/>
      <c r="F1830" s="49"/>
      <c r="G1830" s="49"/>
      <c r="H1830" s="49"/>
    </row>
    <row r="1831" spans="2:8" s="63" customFormat="1">
      <c r="B1831" s="49"/>
      <c r="C1831" s="49"/>
      <c r="D1831" s="49"/>
      <c r="E1831" s="49"/>
      <c r="F1831" s="49"/>
      <c r="G1831" s="49"/>
      <c r="H1831" s="49"/>
    </row>
    <row r="1832" spans="2:8" s="63" customFormat="1">
      <c r="B1832" s="49"/>
      <c r="C1832" s="49"/>
      <c r="D1832" s="49"/>
      <c r="E1832" s="49"/>
      <c r="F1832" s="49"/>
      <c r="G1832" s="49"/>
      <c r="H1832" s="49"/>
    </row>
    <row r="1833" spans="2:8" s="63" customFormat="1">
      <c r="B1833" s="49"/>
      <c r="C1833" s="49"/>
      <c r="D1833" s="49"/>
      <c r="E1833" s="49"/>
      <c r="F1833" s="49"/>
      <c r="G1833" s="49"/>
      <c r="H1833" s="49"/>
    </row>
    <row r="1834" spans="2:8" s="63" customFormat="1">
      <c r="B1834" s="49"/>
      <c r="C1834" s="49"/>
      <c r="D1834" s="49"/>
      <c r="E1834" s="49"/>
      <c r="F1834" s="49"/>
      <c r="G1834" s="49"/>
      <c r="H1834" s="49"/>
    </row>
    <row r="1835" spans="2:8" s="63" customFormat="1">
      <c r="B1835" s="49"/>
      <c r="C1835" s="49"/>
      <c r="D1835" s="49"/>
      <c r="E1835" s="49"/>
      <c r="F1835" s="49"/>
      <c r="G1835" s="49"/>
      <c r="H1835" s="49"/>
    </row>
    <row r="1836" spans="2:8" s="63" customFormat="1">
      <c r="B1836" s="49"/>
      <c r="C1836" s="49"/>
      <c r="D1836" s="49"/>
      <c r="E1836" s="49"/>
      <c r="F1836" s="49"/>
      <c r="G1836" s="49"/>
      <c r="H1836" s="49"/>
    </row>
    <row r="1837" spans="2:8" s="63" customFormat="1">
      <c r="B1837" s="49"/>
      <c r="C1837" s="49"/>
      <c r="D1837" s="49"/>
      <c r="E1837" s="49"/>
      <c r="F1837" s="49"/>
      <c r="G1837" s="49"/>
      <c r="H1837" s="49"/>
    </row>
    <row r="1838" spans="2:8" s="63" customFormat="1">
      <c r="B1838" s="49"/>
      <c r="C1838" s="49"/>
      <c r="D1838" s="49"/>
      <c r="E1838" s="49"/>
      <c r="F1838" s="49"/>
      <c r="G1838" s="49"/>
      <c r="H1838" s="49"/>
    </row>
    <row r="1839" spans="2:8" s="63" customFormat="1">
      <c r="B1839" s="49"/>
      <c r="C1839" s="49"/>
      <c r="D1839" s="49"/>
      <c r="E1839" s="49"/>
      <c r="F1839" s="49"/>
      <c r="G1839" s="49"/>
      <c r="H1839" s="49"/>
    </row>
    <row r="1840" spans="2:8" s="63" customFormat="1">
      <c r="B1840" s="49"/>
      <c r="C1840" s="49"/>
      <c r="D1840" s="49"/>
      <c r="E1840" s="49"/>
      <c r="F1840" s="49"/>
      <c r="G1840" s="49"/>
      <c r="H1840" s="49"/>
    </row>
    <row r="1841" spans="2:8" s="63" customFormat="1">
      <c r="B1841" s="49"/>
      <c r="C1841" s="49"/>
      <c r="D1841" s="49"/>
      <c r="E1841" s="49"/>
      <c r="F1841" s="49"/>
      <c r="G1841" s="49"/>
      <c r="H1841" s="49"/>
    </row>
    <row r="1842" spans="2:8" s="63" customFormat="1">
      <c r="B1842" s="49"/>
      <c r="C1842" s="49"/>
      <c r="D1842" s="49"/>
      <c r="E1842" s="49"/>
      <c r="F1842" s="49"/>
      <c r="G1842" s="49"/>
      <c r="H1842" s="49"/>
    </row>
    <row r="1843" spans="2:8" s="63" customFormat="1">
      <c r="B1843" s="49"/>
      <c r="C1843" s="49"/>
      <c r="D1843" s="49"/>
      <c r="E1843" s="49"/>
      <c r="F1843" s="49"/>
      <c r="G1843" s="49"/>
      <c r="H1843" s="49"/>
    </row>
    <row r="1844" spans="2:8" s="63" customFormat="1">
      <c r="B1844" s="49"/>
      <c r="C1844" s="49"/>
      <c r="D1844" s="49"/>
      <c r="E1844" s="49"/>
      <c r="F1844" s="49"/>
      <c r="G1844" s="49"/>
      <c r="H1844" s="49"/>
    </row>
    <row r="1845" spans="2:8" s="63" customFormat="1">
      <c r="B1845" s="49"/>
      <c r="C1845" s="49"/>
      <c r="D1845" s="49"/>
      <c r="E1845" s="49"/>
      <c r="F1845" s="49"/>
      <c r="G1845" s="49"/>
      <c r="H1845" s="49"/>
    </row>
    <row r="1846" spans="2:8" s="63" customFormat="1">
      <c r="B1846" s="49"/>
      <c r="C1846" s="49"/>
      <c r="D1846" s="49"/>
      <c r="E1846" s="49"/>
      <c r="F1846" s="49"/>
      <c r="G1846" s="49"/>
      <c r="H1846" s="49"/>
    </row>
    <row r="1847" spans="2:8" s="63" customFormat="1">
      <c r="B1847" s="49"/>
      <c r="C1847" s="49"/>
      <c r="D1847" s="49"/>
      <c r="E1847" s="49"/>
      <c r="F1847" s="49"/>
      <c r="G1847" s="49"/>
      <c r="H1847" s="49"/>
    </row>
    <row r="1848" spans="2:8" s="63" customFormat="1">
      <c r="B1848" s="49"/>
      <c r="C1848" s="49"/>
      <c r="D1848" s="49"/>
      <c r="E1848" s="49"/>
      <c r="F1848" s="49"/>
      <c r="G1848" s="49"/>
      <c r="H1848" s="49"/>
    </row>
    <row r="1849" spans="2:8" s="63" customFormat="1">
      <c r="B1849" s="49"/>
      <c r="C1849" s="49"/>
      <c r="D1849" s="49"/>
      <c r="E1849" s="49"/>
      <c r="F1849" s="49"/>
      <c r="G1849" s="49"/>
      <c r="H1849" s="49"/>
    </row>
    <row r="1850" spans="2:8" s="63" customFormat="1">
      <c r="B1850" s="49"/>
      <c r="C1850" s="49"/>
      <c r="D1850" s="49"/>
      <c r="E1850" s="49"/>
      <c r="F1850" s="49"/>
      <c r="G1850" s="49"/>
      <c r="H1850" s="49"/>
    </row>
    <row r="1851" spans="2:8" s="63" customFormat="1">
      <c r="B1851" s="49"/>
      <c r="C1851" s="49"/>
      <c r="D1851" s="49"/>
      <c r="E1851" s="49"/>
      <c r="F1851" s="49"/>
      <c r="G1851" s="49"/>
    </row>
    <row r="1852" spans="2:8" s="63" customFormat="1">
      <c r="B1852" s="49"/>
      <c r="C1852" s="49"/>
      <c r="D1852" s="49"/>
      <c r="E1852" s="49"/>
      <c r="F1852" s="49"/>
      <c r="G1852" s="49"/>
    </row>
    <row r="1853" spans="2:8" s="63" customFormat="1">
      <c r="B1853" s="49"/>
      <c r="C1853" s="49"/>
      <c r="D1853" s="49"/>
      <c r="E1853" s="49"/>
      <c r="F1853" s="49"/>
      <c r="G1853" s="49"/>
    </row>
    <row r="1854" spans="2:8" s="63" customFormat="1">
      <c r="B1854" s="49"/>
      <c r="C1854" s="49"/>
      <c r="D1854" s="49"/>
      <c r="E1854" s="49"/>
      <c r="F1854" s="49"/>
      <c r="G1854" s="49"/>
    </row>
    <row r="1855" spans="2:8" s="63" customFormat="1">
      <c r="B1855" s="49"/>
      <c r="C1855" s="49"/>
      <c r="D1855" s="49"/>
      <c r="E1855" s="49"/>
      <c r="F1855" s="49"/>
      <c r="G1855" s="49"/>
    </row>
    <row r="1856" spans="2:8" s="63" customFormat="1">
      <c r="B1856" s="49"/>
      <c r="C1856" s="49"/>
      <c r="D1856" s="49"/>
      <c r="E1856" s="49"/>
      <c r="F1856" s="49"/>
      <c r="G1856" s="49"/>
    </row>
    <row r="1857" spans="2:7" s="63" customFormat="1">
      <c r="B1857" s="49"/>
      <c r="C1857" s="49"/>
      <c r="D1857" s="49"/>
      <c r="E1857" s="49"/>
      <c r="F1857" s="49"/>
      <c r="G1857" s="49"/>
    </row>
    <row r="1858" spans="2:7" s="63" customFormat="1">
      <c r="B1858" s="49"/>
      <c r="C1858" s="49"/>
      <c r="D1858" s="49"/>
      <c r="E1858" s="49"/>
      <c r="F1858" s="49"/>
      <c r="G1858" s="49"/>
    </row>
    <row r="1859" spans="2:7" s="63" customFormat="1">
      <c r="B1859" s="49"/>
      <c r="C1859" s="49"/>
      <c r="D1859" s="49"/>
      <c r="E1859" s="49"/>
      <c r="F1859" s="49"/>
      <c r="G1859" s="49"/>
    </row>
    <row r="1860" spans="2:7" s="63" customFormat="1">
      <c r="B1860" s="49"/>
      <c r="C1860" s="49"/>
      <c r="D1860" s="49"/>
      <c r="E1860" s="49"/>
      <c r="F1860" s="49"/>
      <c r="G1860" s="49"/>
    </row>
    <row r="1861" spans="2:7" s="63" customFormat="1">
      <c r="B1861" s="49"/>
      <c r="C1861" s="49"/>
      <c r="D1861" s="49"/>
      <c r="E1861" s="49"/>
      <c r="F1861" s="49"/>
      <c r="G1861" s="49"/>
    </row>
    <row r="1862" spans="2:7" s="63" customFormat="1">
      <c r="B1862" s="49"/>
      <c r="C1862" s="49"/>
      <c r="D1862" s="49"/>
      <c r="E1862" s="49"/>
      <c r="F1862" s="49"/>
      <c r="G1862" s="49"/>
    </row>
    <row r="1863" spans="2:7" s="63" customFormat="1">
      <c r="B1863" s="49"/>
      <c r="C1863" s="49"/>
      <c r="D1863" s="49"/>
      <c r="E1863" s="49"/>
      <c r="F1863" s="49"/>
      <c r="G1863" s="49"/>
    </row>
    <row r="1864" spans="2:7" s="63" customFormat="1">
      <c r="B1864" s="49"/>
      <c r="C1864" s="49"/>
      <c r="D1864" s="49"/>
      <c r="E1864" s="49"/>
      <c r="F1864" s="49"/>
      <c r="G1864" s="49"/>
    </row>
    <row r="1865" spans="2:7" s="63" customFormat="1">
      <c r="B1865" s="49"/>
      <c r="C1865" s="49"/>
      <c r="D1865" s="49"/>
      <c r="E1865" s="49"/>
      <c r="F1865" s="49"/>
      <c r="G1865" s="49"/>
    </row>
    <row r="1866" spans="2:7" s="63" customFormat="1">
      <c r="B1866" s="49"/>
      <c r="C1866" s="49"/>
      <c r="D1866" s="49"/>
      <c r="E1866" s="49"/>
      <c r="F1866" s="49"/>
      <c r="G1866" s="49"/>
    </row>
    <row r="1867" spans="2:7" s="63" customFormat="1">
      <c r="B1867" s="49"/>
      <c r="C1867" s="49"/>
      <c r="D1867" s="49"/>
      <c r="E1867" s="49"/>
      <c r="F1867" s="49"/>
      <c r="G1867" s="49"/>
    </row>
    <row r="1868" spans="2:7" s="63" customFormat="1">
      <c r="B1868" s="49"/>
      <c r="C1868" s="49"/>
      <c r="D1868" s="49"/>
      <c r="E1868" s="49"/>
      <c r="F1868" s="49"/>
      <c r="G1868" s="49"/>
    </row>
    <row r="1869" spans="2:7" s="63" customFormat="1">
      <c r="B1869" s="49"/>
      <c r="C1869" s="49"/>
      <c r="D1869" s="49"/>
      <c r="E1869" s="49"/>
      <c r="F1869" s="49"/>
      <c r="G1869" s="49"/>
    </row>
    <row r="1870" spans="2:7" s="63" customFormat="1">
      <c r="B1870" s="49"/>
      <c r="C1870" s="49"/>
      <c r="D1870" s="49"/>
      <c r="E1870" s="49"/>
      <c r="F1870" s="49"/>
      <c r="G1870" s="49"/>
    </row>
    <row r="1871" spans="2:7" s="63" customFormat="1">
      <c r="B1871" s="49"/>
      <c r="C1871" s="49"/>
      <c r="D1871" s="49"/>
      <c r="E1871" s="49"/>
      <c r="F1871" s="49"/>
      <c r="G1871" s="49"/>
    </row>
    <row r="1872" spans="2:7" s="63" customFormat="1">
      <c r="B1872" s="49"/>
      <c r="C1872" s="49"/>
      <c r="D1872" s="49"/>
      <c r="E1872" s="49"/>
      <c r="F1872" s="49"/>
      <c r="G1872" s="49"/>
    </row>
    <row r="1873" spans="2:7" s="63" customFormat="1">
      <c r="B1873" s="49"/>
      <c r="C1873" s="49"/>
      <c r="D1873" s="49"/>
      <c r="E1873" s="49"/>
      <c r="F1873" s="49"/>
      <c r="G1873" s="49"/>
    </row>
    <row r="1874" spans="2:7" s="63" customFormat="1">
      <c r="B1874" s="49"/>
      <c r="C1874" s="49"/>
      <c r="D1874" s="49"/>
      <c r="E1874" s="49"/>
      <c r="F1874" s="49"/>
      <c r="G1874" s="49"/>
    </row>
    <row r="1875" spans="2:7" s="63" customFormat="1">
      <c r="B1875" s="49"/>
      <c r="C1875" s="49"/>
      <c r="D1875" s="49"/>
      <c r="E1875" s="49"/>
      <c r="F1875" s="49"/>
      <c r="G1875" s="49"/>
    </row>
    <row r="1876" spans="2:7" s="63" customFormat="1">
      <c r="B1876" s="49"/>
      <c r="C1876" s="49"/>
      <c r="D1876" s="49"/>
      <c r="E1876" s="49"/>
      <c r="F1876" s="49"/>
      <c r="G1876" s="49"/>
    </row>
    <row r="1877" spans="2:7" s="63" customFormat="1">
      <c r="B1877" s="49"/>
      <c r="C1877" s="49"/>
      <c r="D1877" s="49"/>
      <c r="E1877" s="49"/>
      <c r="F1877" s="49"/>
      <c r="G1877" s="49"/>
    </row>
    <row r="1878" spans="2:7" s="63" customFormat="1">
      <c r="B1878" s="49"/>
      <c r="C1878" s="49"/>
      <c r="D1878" s="49"/>
      <c r="E1878" s="49"/>
      <c r="F1878" s="49"/>
      <c r="G1878" s="49"/>
    </row>
    <row r="1879" spans="2:7" s="63" customFormat="1">
      <c r="B1879" s="49"/>
      <c r="C1879" s="49"/>
      <c r="D1879" s="49"/>
      <c r="E1879" s="49"/>
      <c r="F1879" s="49"/>
      <c r="G1879" s="49"/>
    </row>
    <row r="1880" spans="2:7" s="63" customFormat="1">
      <c r="B1880" s="49"/>
      <c r="C1880" s="49"/>
      <c r="D1880" s="49"/>
      <c r="E1880" s="49"/>
      <c r="F1880" s="49"/>
      <c r="G1880" s="49"/>
    </row>
    <row r="1881" spans="2:7" s="63" customFormat="1">
      <c r="B1881" s="49"/>
      <c r="C1881" s="49"/>
      <c r="D1881" s="49"/>
      <c r="E1881" s="49"/>
      <c r="F1881" s="49"/>
      <c r="G1881" s="49"/>
    </row>
    <row r="1882" spans="2:7" s="63" customFormat="1">
      <c r="B1882" s="49"/>
      <c r="C1882" s="49"/>
      <c r="D1882" s="49"/>
      <c r="E1882" s="49"/>
      <c r="F1882" s="49"/>
      <c r="G1882" s="49"/>
    </row>
    <row r="1883" spans="2:7" s="63" customFormat="1">
      <c r="B1883" s="49"/>
      <c r="C1883" s="49"/>
      <c r="D1883" s="49"/>
      <c r="E1883" s="49"/>
      <c r="F1883" s="49"/>
      <c r="G1883" s="49"/>
    </row>
    <row r="1884" spans="2:7" s="63" customFormat="1">
      <c r="B1884" s="49"/>
      <c r="C1884" s="49"/>
      <c r="D1884" s="49"/>
      <c r="E1884" s="49"/>
      <c r="F1884" s="49"/>
      <c r="G1884" s="49"/>
    </row>
    <row r="1885" spans="2:7" s="63" customFormat="1">
      <c r="B1885" s="49"/>
      <c r="C1885" s="49"/>
      <c r="D1885" s="49"/>
      <c r="E1885" s="49"/>
      <c r="F1885" s="49"/>
      <c r="G1885" s="49"/>
    </row>
    <row r="1886" spans="2:7" s="63" customFormat="1">
      <c r="B1886" s="49"/>
      <c r="C1886" s="49"/>
      <c r="D1886" s="49"/>
      <c r="E1886" s="49"/>
      <c r="F1886" s="49"/>
      <c r="G1886" s="49"/>
    </row>
    <row r="1887" spans="2:7" s="63" customFormat="1">
      <c r="B1887" s="49"/>
      <c r="C1887" s="49"/>
      <c r="D1887" s="49"/>
      <c r="E1887" s="49"/>
      <c r="F1887" s="49"/>
      <c r="G1887" s="49"/>
    </row>
    <row r="1888" spans="2:7" s="63" customFormat="1">
      <c r="B1888" s="49"/>
      <c r="C1888" s="49"/>
      <c r="D1888" s="49"/>
      <c r="E1888" s="49"/>
      <c r="F1888" s="49"/>
      <c r="G1888" s="49"/>
    </row>
    <row r="1889" spans="2:7" s="63" customFormat="1">
      <c r="B1889" s="49"/>
      <c r="C1889" s="49"/>
      <c r="D1889" s="49"/>
      <c r="E1889" s="49"/>
      <c r="F1889" s="49"/>
      <c r="G1889" s="49"/>
    </row>
    <row r="1890" spans="2:7" s="63" customFormat="1">
      <c r="B1890" s="49"/>
      <c r="C1890" s="49"/>
      <c r="D1890" s="49"/>
      <c r="E1890" s="49"/>
      <c r="F1890" s="49"/>
      <c r="G1890" s="49"/>
    </row>
    <row r="1891" spans="2:7" s="63" customFormat="1">
      <c r="B1891" s="49"/>
      <c r="C1891" s="49"/>
      <c r="D1891" s="49"/>
      <c r="E1891" s="49"/>
      <c r="F1891" s="49"/>
      <c r="G1891" s="49"/>
    </row>
    <row r="1892" spans="2:7" s="63" customFormat="1">
      <c r="B1892" s="49"/>
      <c r="C1892" s="49"/>
      <c r="D1892" s="49"/>
      <c r="E1892" s="49"/>
      <c r="F1892" s="49"/>
      <c r="G1892" s="49"/>
    </row>
    <row r="1893" spans="2:7" s="63" customFormat="1">
      <c r="B1893" s="49"/>
      <c r="C1893" s="49"/>
      <c r="D1893" s="49"/>
      <c r="E1893" s="49"/>
      <c r="F1893" s="49"/>
      <c r="G1893" s="49"/>
    </row>
    <row r="1894" spans="2:7" s="63" customFormat="1">
      <c r="B1894" s="49"/>
      <c r="C1894" s="49"/>
      <c r="D1894" s="49"/>
      <c r="E1894" s="49"/>
      <c r="F1894" s="49"/>
      <c r="G1894" s="49"/>
    </row>
    <row r="1895" spans="2:7" s="63" customFormat="1">
      <c r="B1895" s="49"/>
      <c r="C1895" s="49"/>
      <c r="D1895" s="49"/>
      <c r="E1895" s="49"/>
      <c r="F1895" s="49"/>
      <c r="G1895" s="49"/>
    </row>
    <row r="1896" spans="2:7" s="63" customFormat="1">
      <c r="B1896" s="49"/>
      <c r="C1896" s="49"/>
      <c r="D1896" s="49"/>
      <c r="E1896" s="49"/>
      <c r="F1896" s="49"/>
      <c r="G1896" s="49"/>
    </row>
    <row r="1897" spans="2:7" s="63" customFormat="1">
      <c r="B1897" s="49"/>
      <c r="C1897" s="49"/>
      <c r="D1897" s="49"/>
      <c r="E1897" s="49"/>
      <c r="F1897" s="49"/>
      <c r="G1897" s="49"/>
    </row>
    <row r="1898" spans="2:7" s="63" customFormat="1">
      <c r="B1898" s="49"/>
      <c r="C1898" s="49"/>
      <c r="D1898" s="49"/>
      <c r="E1898" s="49"/>
      <c r="F1898" s="49"/>
      <c r="G1898" s="49"/>
    </row>
    <row r="1899" spans="2:7" s="63" customFormat="1">
      <c r="B1899" s="49"/>
      <c r="C1899" s="49"/>
      <c r="D1899" s="49"/>
      <c r="E1899" s="49"/>
      <c r="F1899" s="49"/>
      <c r="G1899" s="49"/>
    </row>
    <row r="1900" spans="2:7" s="63" customFormat="1">
      <c r="B1900" s="49"/>
      <c r="C1900" s="49"/>
      <c r="D1900" s="49"/>
      <c r="E1900" s="49"/>
      <c r="F1900" s="49"/>
      <c r="G1900" s="49"/>
    </row>
    <row r="1901" spans="2:7" s="63" customFormat="1">
      <c r="B1901" s="49"/>
      <c r="C1901" s="49"/>
      <c r="D1901" s="49"/>
      <c r="E1901" s="49"/>
      <c r="F1901" s="49"/>
      <c r="G1901" s="49"/>
    </row>
    <row r="1902" spans="2:7" s="63" customFormat="1">
      <c r="B1902" s="49"/>
      <c r="C1902" s="49"/>
      <c r="D1902" s="49"/>
      <c r="E1902" s="49"/>
      <c r="F1902" s="49"/>
      <c r="G1902" s="49"/>
    </row>
    <row r="1903" spans="2:7" s="63" customFormat="1">
      <c r="B1903" s="49"/>
      <c r="C1903" s="49"/>
      <c r="D1903" s="49"/>
      <c r="E1903" s="49"/>
      <c r="F1903" s="49"/>
      <c r="G1903" s="49"/>
    </row>
    <row r="1904" spans="2:7" s="63" customFormat="1">
      <c r="B1904" s="49"/>
      <c r="C1904" s="49"/>
      <c r="D1904" s="49"/>
      <c r="E1904" s="49"/>
      <c r="F1904" s="49"/>
      <c r="G1904" s="49"/>
    </row>
    <row r="1905" spans="2:7" s="63" customFormat="1">
      <c r="B1905" s="49"/>
      <c r="C1905" s="49"/>
      <c r="D1905" s="49"/>
      <c r="E1905" s="49"/>
      <c r="F1905" s="49"/>
      <c r="G1905" s="49"/>
    </row>
    <row r="1906" spans="2:7" s="63" customFormat="1">
      <c r="B1906" s="49"/>
      <c r="C1906" s="49"/>
      <c r="D1906" s="49"/>
      <c r="E1906" s="49"/>
      <c r="F1906" s="49"/>
      <c r="G1906" s="49"/>
    </row>
    <row r="1907" spans="2:7" s="63" customFormat="1">
      <c r="B1907" s="49"/>
      <c r="C1907" s="49"/>
      <c r="D1907" s="49"/>
      <c r="E1907" s="49"/>
      <c r="F1907" s="49"/>
      <c r="G1907" s="49"/>
    </row>
    <row r="1908" spans="2:7" s="63" customFormat="1">
      <c r="B1908" s="49"/>
      <c r="C1908" s="49"/>
      <c r="D1908" s="49"/>
      <c r="E1908" s="49"/>
      <c r="F1908" s="49"/>
      <c r="G1908" s="49"/>
    </row>
    <row r="1909" spans="2:7" s="63" customFormat="1">
      <c r="B1909" s="49"/>
      <c r="C1909" s="49"/>
      <c r="D1909" s="49"/>
      <c r="E1909" s="49"/>
      <c r="F1909" s="49"/>
      <c r="G1909" s="49"/>
    </row>
    <row r="1910" spans="2:7" s="63" customFormat="1">
      <c r="B1910" s="49"/>
      <c r="C1910" s="49"/>
      <c r="D1910" s="49"/>
      <c r="E1910" s="49"/>
      <c r="F1910" s="49"/>
      <c r="G1910" s="49"/>
    </row>
    <row r="1911" spans="2:7" s="63" customFormat="1">
      <c r="B1911" s="49"/>
      <c r="C1911" s="49"/>
      <c r="D1911" s="49"/>
      <c r="E1911" s="49"/>
      <c r="F1911" s="49"/>
      <c r="G1911" s="49"/>
    </row>
    <row r="1912" spans="2:7" s="63" customFormat="1">
      <c r="B1912" s="49"/>
      <c r="C1912" s="49"/>
      <c r="D1912" s="49"/>
      <c r="E1912" s="49"/>
      <c r="F1912" s="49"/>
      <c r="G1912" s="49"/>
    </row>
    <row r="1913" spans="2:7" s="63" customFormat="1">
      <c r="B1913" s="49"/>
      <c r="C1913" s="49"/>
      <c r="D1913" s="49"/>
      <c r="E1913" s="49"/>
      <c r="F1913" s="49"/>
      <c r="G1913" s="49"/>
    </row>
    <row r="1914" spans="2:7" s="63" customFormat="1">
      <c r="B1914" s="49"/>
      <c r="C1914" s="49"/>
      <c r="D1914" s="49"/>
      <c r="E1914" s="49"/>
      <c r="F1914" s="49"/>
      <c r="G1914" s="49"/>
    </row>
    <row r="1915" spans="2:7" s="63" customFormat="1">
      <c r="B1915" s="49"/>
      <c r="C1915" s="49"/>
      <c r="D1915" s="49"/>
      <c r="E1915" s="49"/>
      <c r="F1915" s="49"/>
      <c r="G1915" s="49"/>
    </row>
    <row r="1916" spans="2:7" s="63" customFormat="1">
      <c r="B1916" s="49"/>
      <c r="C1916" s="49"/>
      <c r="D1916" s="49"/>
      <c r="E1916" s="49"/>
      <c r="F1916" s="49"/>
      <c r="G1916" s="49"/>
    </row>
    <row r="1917" spans="2:7" s="63" customFormat="1">
      <c r="B1917" s="49"/>
      <c r="C1917" s="49"/>
      <c r="D1917" s="49"/>
      <c r="E1917" s="49"/>
      <c r="F1917" s="49"/>
      <c r="G1917" s="49"/>
    </row>
    <row r="1918" spans="2:7" s="63" customFormat="1">
      <c r="B1918" s="49"/>
      <c r="C1918" s="49"/>
      <c r="D1918" s="49"/>
      <c r="E1918" s="49"/>
      <c r="F1918" s="49"/>
      <c r="G1918" s="49"/>
    </row>
    <row r="1919" spans="2:7" s="63" customFormat="1">
      <c r="B1919" s="49"/>
      <c r="C1919" s="49"/>
      <c r="D1919" s="49"/>
      <c r="E1919" s="49"/>
      <c r="F1919" s="49"/>
      <c r="G1919" s="49"/>
    </row>
    <row r="1920" spans="2:7" s="63" customFormat="1">
      <c r="B1920" s="49"/>
      <c r="C1920" s="49"/>
      <c r="D1920" s="49"/>
      <c r="E1920" s="49"/>
      <c r="F1920" s="49"/>
      <c r="G1920" s="49"/>
    </row>
    <row r="1921" spans="2:7" s="63" customFormat="1">
      <c r="B1921" s="49"/>
      <c r="C1921" s="49"/>
      <c r="D1921" s="49"/>
      <c r="E1921" s="49"/>
      <c r="F1921" s="49"/>
      <c r="G1921" s="49"/>
    </row>
    <row r="1922" spans="2:7" s="63" customFormat="1">
      <c r="B1922" s="49"/>
      <c r="C1922" s="49"/>
      <c r="D1922" s="49"/>
      <c r="E1922" s="49"/>
      <c r="F1922" s="49"/>
      <c r="G1922" s="49"/>
    </row>
    <row r="1923" spans="2:7" s="63" customFormat="1">
      <c r="B1923" s="49"/>
      <c r="C1923" s="49"/>
      <c r="D1923" s="49"/>
      <c r="E1923" s="49"/>
      <c r="F1923" s="49"/>
      <c r="G1923" s="49"/>
    </row>
    <row r="1924" spans="2:7" s="63" customFormat="1">
      <c r="B1924" s="49"/>
      <c r="C1924" s="49"/>
      <c r="D1924" s="49"/>
      <c r="E1924" s="49"/>
      <c r="F1924" s="49"/>
      <c r="G1924" s="49"/>
    </row>
    <row r="1925" spans="2:7" s="63" customFormat="1">
      <c r="B1925" s="49"/>
      <c r="C1925" s="49"/>
      <c r="D1925" s="49"/>
      <c r="E1925" s="49"/>
      <c r="F1925" s="49"/>
      <c r="G1925" s="49"/>
    </row>
    <row r="1926" spans="2:7" s="63" customFormat="1">
      <c r="B1926" s="49"/>
      <c r="C1926" s="49"/>
      <c r="D1926" s="49"/>
      <c r="E1926" s="49"/>
      <c r="F1926" s="49"/>
      <c r="G1926" s="49"/>
    </row>
    <row r="1927" spans="2:7" s="63" customFormat="1">
      <c r="B1927" s="49"/>
      <c r="C1927" s="49"/>
      <c r="D1927" s="49"/>
      <c r="E1927" s="49"/>
      <c r="F1927" s="49"/>
      <c r="G1927" s="49"/>
    </row>
    <row r="1928" spans="2:7" s="63" customFormat="1">
      <c r="B1928" s="49"/>
      <c r="C1928" s="49"/>
      <c r="D1928" s="49"/>
      <c r="E1928" s="49"/>
      <c r="F1928" s="49"/>
      <c r="G1928" s="49"/>
    </row>
    <row r="1929" spans="2:7" s="63" customFormat="1">
      <c r="B1929" s="49"/>
      <c r="C1929" s="49"/>
      <c r="D1929" s="49"/>
      <c r="E1929" s="49"/>
      <c r="F1929" s="49"/>
      <c r="G1929" s="49"/>
    </row>
    <row r="1930" spans="2:7" s="63" customFormat="1">
      <c r="B1930" s="49"/>
      <c r="C1930" s="49"/>
      <c r="D1930" s="49"/>
      <c r="E1930" s="49"/>
      <c r="F1930" s="49"/>
      <c r="G1930" s="49"/>
    </row>
    <row r="1931" spans="2:7" s="63" customFormat="1">
      <c r="B1931" s="49"/>
      <c r="C1931" s="49"/>
      <c r="D1931" s="49"/>
      <c r="E1931" s="49"/>
      <c r="F1931" s="49"/>
      <c r="G1931" s="49"/>
    </row>
    <row r="1932" spans="2:7" s="63" customFormat="1">
      <c r="B1932" s="49"/>
      <c r="C1932" s="49"/>
      <c r="D1932" s="49"/>
      <c r="E1932" s="49"/>
      <c r="F1932" s="49"/>
      <c r="G1932" s="49"/>
    </row>
    <row r="1933" spans="2:7" s="63" customFormat="1">
      <c r="B1933" s="49"/>
      <c r="C1933" s="49"/>
      <c r="D1933" s="49"/>
      <c r="E1933" s="49"/>
      <c r="F1933" s="49"/>
      <c r="G1933" s="49"/>
    </row>
    <row r="1934" spans="2:7" s="63" customFormat="1">
      <c r="B1934" s="49"/>
      <c r="C1934" s="49"/>
      <c r="D1934" s="49"/>
      <c r="E1934" s="49"/>
      <c r="F1934" s="49"/>
      <c r="G1934" s="49"/>
    </row>
    <row r="1935" spans="2:7" s="63" customFormat="1">
      <c r="B1935" s="49"/>
      <c r="C1935" s="49"/>
      <c r="D1935" s="49"/>
      <c r="E1935" s="49"/>
      <c r="F1935" s="49"/>
      <c r="G1935" s="49"/>
    </row>
    <row r="1936" spans="2:7" s="63" customFormat="1">
      <c r="B1936" s="49"/>
      <c r="C1936" s="49"/>
      <c r="D1936" s="49"/>
      <c r="E1936" s="49"/>
      <c r="F1936" s="49"/>
      <c r="G1936" s="49"/>
    </row>
    <row r="1937" spans="2:7" s="63" customFormat="1">
      <c r="B1937" s="49"/>
      <c r="C1937" s="49"/>
      <c r="D1937" s="49"/>
      <c r="E1937" s="49"/>
      <c r="F1937" s="49"/>
      <c r="G1937" s="49"/>
    </row>
    <row r="1938" spans="2:7" s="63" customFormat="1">
      <c r="B1938" s="49"/>
      <c r="C1938" s="49"/>
      <c r="D1938" s="49"/>
      <c r="E1938" s="49"/>
      <c r="F1938" s="49"/>
      <c r="G1938" s="49"/>
    </row>
    <row r="1939" spans="2:7" s="63" customFormat="1">
      <c r="B1939" s="49"/>
      <c r="C1939" s="49"/>
      <c r="D1939" s="49"/>
      <c r="E1939" s="49"/>
      <c r="F1939" s="49"/>
      <c r="G1939" s="49"/>
    </row>
    <row r="1940" spans="2:7" s="63" customFormat="1">
      <c r="B1940" s="49"/>
      <c r="C1940" s="49"/>
      <c r="D1940" s="49"/>
      <c r="E1940" s="49"/>
      <c r="F1940" s="49"/>
      <c r="G1940" s="49"/>
    </row>
    <row r="1941" spans="2:7" s="63" customFormat="1">
      <c r="B1941" s="49"/>
      <c r="C1941" s="49"/>
      <c r="D1941" s="49"/>
      <c r="E1941" s="49"/>
      <c r="F1941" s="49"/>
      <c r="G1941" s="49"/>
    </row>
    <row r="1942" spans="2:7" s="63" customFormat="1">
      <c r="B1942" s="49"/>
      <c r="C1942" s="49"/>
      <c r="D1942" s="49"/>
      <c r="E1942" s="49"/>
      <c r="F1942" s="49"/>
      <c r="G1942" s="49"/>
    </row>
    <row r="1943" spans="2:7" s="63" customFormat="1">
      <c r="B1943" s="49"/>
      <c r="C1943" s="49"/>
      <c r="D1943" s="49"/>
      <c r="E1943" s="49"/>
      <c r="F1943" s="49"/>
      <c r="G1943" s="49"/>
    </row>
    <row r="1944" spans="2:7" s="63" customFormat="1">
      <c r="B1944" s="49"/>
      <c r="C1944" s="49"/>
      <c r="D1944" s="49"/>
      <c r="E1944" s="49"/>
      <c r="F1944" s="49"/>
      <c r="G1944" s="49"/>
    </row>
    <row r="1945" spans="2:7" s="63" customFormat="1">
      <c r="B1945" s="49"/>
      <c r="C1945" s="49"/>
      <c r="D1945" s="49"/>
      <c r="E1945" s="49"/>
      <c r="F1945" s="49"/>
      <c r="G1945" s="49"/>
    </row>
    <row r="1946" spans="2:7" s="63" customFormat="1">
      <c r="B1946" s="49"/>
      <c r="C1946" s="49"/>
      <c r="D1946" s="49"/>
      <c r="E1946" s="49"/>
      <c r="F1946" s="49"/>
      <c r="G1946" s="49"/>
    </row>
    <row r="1947" spans="2:7" s="63" customFormat="1">
      <c r="B1947" s="49"/>
      <c r="C1947" s="49"/>
      <c r="D1947" s="49"/>
      <c r="E1947" s="49"/>
      <c r="F1947" s="49"/>
      <c r="G1947" s="49"/>
    </row>
    <row r="1948" spans="2:7" s="63" customFormat="1">
      <c r="B1948" s="49"/>
      <c r="C1948" s="49"/>
      <c r="D1948" s="49"/>
      <c r="E1948" s="49"/>
      <c r="F1948" s="49"/>
      <c r="G1948" s="49"/>
    </row>
    <row r="1949" spans="2:7" s="63" customFormat="1">
      <c r="B1949" s="49"/>
      <c r="C1949" s="49"/>
      <c r="D1949" s="49"/>
      <c r="E1949" s="49"/>
      <c r="F1949" s="49"/>
      <c r="G1949" s="49"/>
    </row>
    <row r="1950" spans="2:7" s="63" customFormat="1">
      <c r="B1950" s="49"/>
      <c r="C1950" s="49"/>
      <c r="D1950" s="49"/>
      <c r="E1950" s="49"/>
      <c r="F1950" s="49"/>
      <c r="G1950" s="49"/>
    </row>
    <row r="1951" spans="2:7" s="63" customFormat="1">
      <c r="B1951" s="49"/>
      <c r="C1951" s="49"/>
      <c r="D1951" s="49"/>
      <c r="E1951" s="49"/>
      <c r="F1951" s="49"/>
      <c r="G1951" s="49"/>
    </row>
    <row r="1952" spans="2:7" s="63" customFormat="1">
      <c r="B1952" s="49"/>
      <c r="C1952" s="49"/>
      <c r="D1952" s="49"/>
      <c r="E1952" s="49"/>
      <c r="F1952" s="49"/>
      <c r="G1952" s="49"/>
    </row>
    <row r="1953" spans="2:7" s="63" customFormat="1">
      <c r="B1953" s="49"/>
      <c r="C1953" s="49"/>
      <c r="D1953" s="49"/>
      <c r="E1953" s="49"/>
      <c r="F1953" s="49"/>
      <c r="G1953" s="49"/>
    </row>
    <row r="1954" spans="2:7" s="63" customFormat="1">
      <c r="B1954" s="49"/>
      <c r="C1954" s="49"/>
      <c r="D1954" s="49"/>
      <c r="E1954" s="49"/>
      <c r="F1954" s="49"/>
      <c r="G1954" s="49"/>
    </row>
    <row r="1955" spans="2:7" s="63" customFormat="1">
      <c r="B1955" s="49"/>
      <c r="C1955" s="49"/>
      <c r="D1955" s="49"/>
      <c r="E1955" s="49"/>
      <c r="F1955" s="49"/>
      <c r="G1955" s="49"/>
    </row>
    <row r="1956" spans="2:7" s="63" customFormat="1">
      <c r="B1956" s="49"/>
      <c r="C1956" s="49"/>
      <c r="D1956" s="49"/>
      <c r="E1956" s="49"/>
      <c r="F1956" s="49"/>
      <c r="G1956" s="49"/>
    </row>
    <row r="1957" spans="2:7" s="63" customFormat="1">
      <c r="B1957" s="49"/>
      <c r="C1957" s="49"/>
      <c r="D1957" s="49"/>
      <c r="E1957" s="49"/>
      <c r="F1957" s="49"/>
      <c r="G1957" s="49"/>
    </row>
    <row r="1958" spans="2:7" s="63" customFormat="1">
      <c r="B1958" s="49"/>
      <c r="C1958" s="49"/>
      <c r="D1958" s="49"/>
      <c r="E1958" s="49"/>
      <c r="F1958" s="49"/>
      <c r="G1958" s="49"/>
    </row>
    <row r="1959" spans="2:7" s="63" customFormat="1">
      <c r="B1959" s="49"/>
      <c r="C1959" s="49"/>
      <c r="D1959" s="49"/>
      <c r="E1959" s="49"/>
      <c r="F1959" s="49"/>
      <c r="G1959" s="49"/>
    </row>
    <row r="1960" spans="2:7" s="63" customFormat="1">
      <c r="B1960" s="49"/>
      <c r="C1960" s="49"/>
      <c r="D1960" s="49"/>
      <c r="E1960" s="49"/>
      <c r="F1960" s="49"/>
      <c r="G1960" s="49"/>
    </row>
    <row r="1961" spans="2:7" s="63" customFormat="1">
      <c r="B1961" s="49"/>
      <c r="C1961" s="49"/>
      <c r="D1961" s="49"/>
      <c r="E1961" s="49"/>
      <c r="F1961" s="49"/>
      <c r="G1961" s="49"/>
    </row>
    <row r="1962" spans="2:7" s="63" customFormat="1">
      <c r="B1962" s="49"/>
      <c r="C1962" s="49"/>
      <c r="D1962" s="49"/>
      <c r="E1962" s="49"/>
      <c r="F1962" s="49"/>
      <c r="G1962" s="49"/>
    </row>
    <row r="1963" spans="2:7" s="63" customFormat="1">
      <c r="B1963" s="49"/>
      <c r="C1963" s="49"/>
      <c r="D1963" s="49"/>
      <c r="E1963" s="49"/>
      <c r="F1963" s="49"/>
      <c r="G1963" s="49"/>
    </row>
    <row r="1964" spans="2:7" s="63" customFormat="1">
      <c r="B1964" s="49"/>
      <c r="C1964" s="49"/>
      <c r="D1964" s="49"/>
      <c r="E1964" s="49"/>
      <c r="F1964" s="49"/>
      <c r="G1964" s="49"/>
    </row>
    <row r="1965" spans="2:7" s="63" customFormat="1">
      <c r="B1965" s="49"/>
      <c r="C1965" s="49"/>
      <c r="D1965" s="49"/>
      <c r="E1965" s="49"/>
      <c r="F1965" s="49"/>
      <c r="G1965" s="49"/>
    </row>
    <row r="1966" spans="2:7" s="63" customFormat="1">
      <c r="B1966" s="49"/>
      <c r="C1966" s="49"/>
      <c r="D1966" s="49"/>
      <c r="E1966" s="49"/>
      <c r="F1966" s="49"/>
      <c r="G1966" s="49"/>
    </row>
    <row r="1967" spans="2:7" s="63" customFormat="1">
      <c r="B1967" s="49"/>
      <c r="C1967" s="49"/>
      <c r="D1967" s="49"/>
      <c r="E1967" s="49"/>
      <c r="F1967" s="49"/>
      <c r="G1967" s="49"/>
    </row>
    <row r="1968" spans="2:7" s="63" customFormat="1">
      <c r="B1968" s="49"/>
      <c r="C1968" s="49"/>
      <c r="D1968" s="49"/>
      <c r="E1968" s="49"/>
      <c r="F1968" s="49"/>
      <c r="G1968" s="49"/>
    </row>
    <row r="1969" spans="2:7" s="63" customFormat="1">
      <c r="B1969" s="49"/>
      <c r="C1969" s="49"/>
      <c r="D1969" s="49"/>
      <c r="E1969" s="49"/>
      <c r="F1969" s="49"/>
      <c r="G1969" s="49"/>
    </row>
    <row r="1970" spans="2:7" s="63" customFormat="1">
      <c r="B1970" s="49"/>
      <c r="C1970" s="49"/>
      <c r="D1970" s="49"/>
      <c r="E1970" s="49"/>
      <c r="F1970" s="49"/>
      <c r="G1970" s="49"/>
    </row>
    <row r="1971" spans="2:7" s="63" customFormat="1">
      <c r="B1971" s="49"/>
      <c r="C1971" s="49"/>
      <c r="D1971" s="49"/>
      <c r="E1971" s="49"/>
      <c r="F1971" s="49"/>
      <c r="G1971" s="49"/>
    </row>
    <row r="1972" spans="2:7" s="63" customFormat="1">
      <c r="B1972" s="49"/>
      <c r="C1972" s="49"/>
      <c r="D1972" s="49"/>
      <c r="E1972" s="49"/>
      <c r="F1972" s="49"/>
      <c r="G1972" s="49"/>
    </row>
    <row r="1973" spans="2:7" s="63" customFormat="1">
      <c r="B1973" s="49"/>
      <c r="C1973" s="49"/>
      <c r="D1973" s="49"/>
      <c r="E1973" s="49"/>
      <c r="F1973" s="49"/>
      <c r="G1973" s="49"/>
    </row>
    <row r="1974" spans="2:7" s="63" customFormat="1">
      <c r="B1974" s="49"/>
      <c r="C1974" s="49"/>
      <c r="D1974" s="49"/>
      <c r="E1974" s="49"/>
      <c r="F1974" s="49"/>
      <c r="G1974" s="49"/>
    </row>
    <row r="1975" spans="2:7" s="63" customFormat="1">
      <c r="B1975" s="49"/>
      <c r="C1975" s="49"/>
      <c r="D1975" s="49"/>
      <c r="E1975" s="49"/>
      <c r="F1975" s="49"/>
      <c r="G1975" s="49"/>
    </row>
    <row r="1976" spans="2:7" s="63" customFormat="1">
      <c r="B1976" s="49"/>
      <c r="C1976" s="49"/>
      <c r="D1976" s="49"/>
      <c r="E1976" s="49"/>
      <c r="F1976" s="49"/>
      <c r="G1976" s="49"/>
    </row>
    <row r="1977" spans="2:7" s="63" customFormat="1">
      <c r="B1977" s="49"/>
      <c r="C1977" s="49"/>
      <c r="D1977" s="49"/>
      <c r="E1977" s="49"/>
      <c r="F1977" s="49"/>
      <c r="G1977" s="49"/>
    </row>
    <row r="1978" spans="2:7" s="63" customFormat="1">
      <c r="B1978" s="49"/>
      <c r="C1978" s="49"/>
      <c r="D1978" s="49"/>
      <c r="E1978" s="49"/>
      <c r="F1978" s="49"/>
      <c r="G1978" s="49"/>
    </row>
    <row r="1979" spans="2:7" s="63" customFormat="1">
      <c r="B1979" s="49"/>
      <c r="C1979" s="49"/>
      <c r="D1979" s="49"/>
      <c r="E1979" s="49"/>
      <c r="F1979" s="49"/>
      <c r="G1979" s="49"/>
    </row>
    <row r="1980" spans="2:7" s="63" customFormat="1">
      <c r="B1980" s="49"/>
      <c r="C1980" s="49"/>
      <c r="D1980" s="49"/>
      <c r="E1980" s="49"/>
      <c r="F1980" s="49"/>
      <c r="G1980" s="49"/>
    </row>
    <row r="1981" spans="2:7" s="63" customFormat="1">
      <c r="B1981" s="49"/>
      <c r="C1981" s="49"/>
      <c r="D1981" s="49"/>
      <c r="E1981" s="49"/>
      <c r="F1981" s="49"/>
      <c r="G1981" s="49"/>
    </row>
    <row r="1982" spans="2:7" s="63" customFormat="1">
      <c r="B1982" s="49"/>
      <c r="C1982" s="49"/>
      <c r="D1982" s="49"/>
      <c r="E1982" s="49"/>
      <c r="F1982" s="49"/>
      <c r="G1982" s="49"/>
    </row>
    <row r="1983" spans="2:7" s="63" customFormat="1">
      <c r="B1983" s="49"/>
      <c r="C1983" s="49"/>
      <c r="D1983" s="49"/>
      <c r="E1983" s="49"/>
      <c r="F1983" s="49"/>
      <c r="G1983" s="49"/>
    </row>
    <row r="1984" spans="2:7" s="63" customFormat="1">
      <c r="B1984" s="49"/>
      <c r="C1984" s="49"/>
      <c r="D1984" s="49"/>
      <c r="E1984" s="49"/>
      <c r="F1984" s="49"/>
      <c r="G1984" s="49"/>
    </row>
    <row r="1985" spans="2:7" s="63" customFormat="1">
      <c r="B1985" s="49"/>
      <c r="C1985" s="49"/>
      <c r="D1985" s="49"/>
      <c r="E1985" s="49"/>
      <c r="F1985" s="49"/>
      <c r="G1985" s="49"/>
    </row>
    <row r="1986" spans="2:7" s="63" customFormat="1">
      <c r="B1986" s="49"/>
      <c r="C1986" s="49"/>
      <c r="D1986" s="49"/>
      <c r="E1986" s="49"/>
      <c r="F1986" s="49"/>
      <c r="G1986" s="49"/>
    </row>
    <row r="1987" spans="2:7" s="63" customFormat="1">
      <c r="B1987" s="49"/>
      <c r="C1987" s="49"/>
      <c r="D1987" s="49"/>
      <c r="E1987" s="49"/>
      <c r="F1987" s="49"/>
      <c r="G1987" s="49"/>
    </row>
    <row r="1988" spans="2:7" s="63" customFormat="1">
      <c r="B1988" s="49"/>
      <c r="C1988" s="49"/>
      <c r="D1988" s="49"/>
      <c r="E1988" s="49"/>
      <c r="F1988" s="49"/>
      <c r="G1988" s="49"/>
    </row>
    <row r="1989" spans="2:7" s="63" customFormat="1">
      <c r="B1989" s="49"/>
      <c r="C1989" s="49"/>
      <c r="D1989" s="49"/>
      <c r="E1989" s="49"/>
      <c r="F1989" s="49"/>
      <c r="G1989" s="49"/>
    </row>
    <row r="1990" spans="2:7" s="63" customFormat="1">
      <c r="B1990" s="49"/>
      <c r="C1990" s="49"/>
      <c r="D1990" s="49"/>
      <c r="E1990" s="49"/>
      <c r="F1990" s="49"/>
      <c r="G1990" s="49"/>
    </row>
    <row r="1991" spans="2:7" s="63" customFormat="1">
      <c r="B1991" s="49"/>
      <c r="C1991" s="49"/>
      <c r="D1991" s="49"/>
      <c r="E1991" s="49"/>
      <c r="F1991" s="49"/>
      <c r="G1991" s="49"/>
    </row>
    <row r="1992" spans="2:7" s="63" customFormat="1">
      <c r="B1992" s="49"/>
      <c r="C1992" s="49"/>
      <c r="D1992" s="49"/>
      <c r="E1992" s="49"/>
      <c r="F1992" s="49"/>
      <c r="G1992" s="49"/>
    </row>
    <row r="1993" spans="2:7" s="63" customFormat="1">
      <c r="B1993" s="49"/>
      <c r="C1993" s="49"/>
      <c r="D1993" s="49"/>
      <c r="E1993" s="49"/>
      <c r="F1993" s="49"/>
      <c r="G1993" s="49"/>
    </row>
    <row r="1994" spans="2:7" s="63" customFormat="1">
      <c r="B1994" s="49"/>
      <c r="C1994" s="49"/>
      <c r="D1994" s="49"/>
      <c r="E1994" s="49"/>
      <c r="F1994" s="49"/>
      <c r="G1994" s="49"/>
    </row>
    <row r="1995" spans="2:7" s="63" customFormat="1">
      <c r="B1995" s="49"/>
      <c r="C1995" s="49"/>
      <c r="D1995" s="49"/>
      <c r="E1995" s="49"/>
      <c r="F1995" s="49"/>
      <c r="G1995" s="49"/>
    </row>
    <row r="1996" spans="2:7" s="63" customFormat="1">
      <c r="B1996" s="49"/>
      <c r="C1996" s="49"/>
      <c r="D1996" s="49"/>
      <c r="E1996" s="49"/>
      <c r="F1996" s="49"/>
      <c r="G1996" s="49"/>
    </row>
    <row r="1997" spans="2:7" s="63" customFormat="1">
      <c r="B1997" s="49"/>
      <c r="C1997" s="49"/>
      <c r="D1997" s="49"/>
      <c r="E1997" s="49"/>
      <c r="F1997" s="49"/>
      <c r="G1997" s="49"/>
    </row>
    <row r="1998" spans="2:7" s="63" customFormat="1">
      <c r="B1998" s="49"/>
      <c r="C1998" s="49"/>
      <c r="D1998" s="49"/>
      <c r="E1998" s="49"/>
      <c r="F1998" s="49"/>
      <c r="G1998" s="49"/>
    </row>
    <row r="1999" spans="2:7" s="63" customFormat="1">
      <c r="B1999" s="49"/>
      <c r="C1999" s="49"/>
      <c r="D1999" s="49"/>
      <c r="E1999" s="49"/>
      <c r="F1999" s="49"/>
      <c r="G1999" s="49"/>
    </row>
    <row r="2000" spans="2:7" s="63" customFormat="1">
      <c r="B2000" s="49"/>
      <c r="C2000" s="49"/>
      <c r="D2000" s="49"/>
      <c r="E2000" s="49"/>
      <c r="F2000" s="49"/>
      <c r="G2000" s="49"/>
    </row>
    <row r="2001" spans="2:7" s="63" customFormat="1">
      <c r="B2001" s="49"/>
      <c r="C2001" s="49"/>
      <c r="D2001" s="49"/>
      <c r="E2001" s="49"/>
      <c r="F2001" s="49"/>
      <c r="G2001" s="49"/>
    </row>
    <row r="2002" spans="2:7" s="63" customFormat="1">
      <c r="B2002" s="49"/>
      <c r="C2002" s="49"/>
      <c r="D2002" s="49"/>
      <c r="E2002" s="49"/>
      <c r="F2002" s="49"/>
      <c r="G2002" s="49"/>
    </row>
    <row r="2003" spans="2:7" s="63" customFormat="1">
      <c r="B2003" s="49"/>
      <c r="C2003" s="49"/>
      <c r="D2003" s="49"/>
      <c r="E2003" s="49"/>
      <c r="F2003" s="49"/>
      <c r="G2003" s="49"/>
    </row>
    <row r="2004" spans="2:7" s="63" customFormat="1">
      <c r="B2004" s="49"/>
      <c r="C2004" s="49"/>
      <c r="D2004" s="49"/>
      <c r="E2004" s="49"/>
      <c r="F2004" s="49"/>
      <c r="G2004" s="49"/>
    </row>
    <row r="2005" spans="2:7" s="63" customFormat="1">
      <c r="B2005" s="49"/>
      <c r="C2005" s="49"/>
      <c r="D2005" s="49"/>
      <c r="E2005" s="49"/>
      <c r="F2005" s="49"/>
      <c r="G2005" s="49"/>
    </row>
    <row r="2006" spans="2:7" s="63" customFormat="1">
      <c r="B2006" s="49"/>
      <c r="C2006" s="49"/>
      <c r="D2006" s="49"/>
      <c r="E2006" s="49"/>
      <c r="F2006" s="49"/>
      <c r="G2006" s="49"/>
    </row>
    <row r="2007" spans="2:7" s="63" customFormat="1">
      <c r="B2007" s="49"/>
      <c r="C2007" s="49"/>
      <c r="D2007" s="49"/>
      <c r="E2007" s="49"/>
      <c r="F2007" s="49"/>
      <c r="G2007" s="49"/>
    </row>
    <row r="2008" spans="2:7" s="63" customFormat="1">
      <c r="B2008" s="49"/>
      <c r="C2008" s="49"/>
      <c r="D2008" s="49"/>
      <c r="E2008" s="49"/>
      <c r="F2008" s="49"/>
      <c r="G2008" s="49"/>
    </row>
    <row r="2009" spans="2:7" s="63" customFormat="1">
      <c r="B2009" s="49"/>
      <c r="C2009" s="49"/>
      <c r="D2009" s="49"/>
      <c r="E2009" s="49"/>
      <c r="F2009" s="49"/>
      <c r="G2009" s="49"/>
    </row>
    <row r="2010" spans="2:7" s="63" customFormat="1">
      <c r="B2010" s="49"/>
      <c r="C2010" s="49"/>
      <c r="D2010" s="49"/>
      <c r="E2010" s="49"/>
      <c r="F2010" s="49"/>
      <c r="G2010" s="49"/>
    </row>
    <row r="2011" spans="2:7" s="63" customFormat="1">
      <c r="B2011" s="49"/>
      <c r="C2011" s="49"/>
      <c r="D2011" s="49"/>
      <c r="E2011" s="49"/>
      <c r="F2011" s="49"/>
      <c r="G2011" s="49"/>
    </row>
    <row r="2012" spans="2:7" s="63" customFormat="1">
      <c r="B2012" s="49"/>
      <c r="C2012" s="49"/>
      <c r="D2012" s="49"/>
      <c r="E2012" s="49"/>
      <c r="F2012" s="49"/>
      <c r="G2012" s="49"/>
    </row>
    <row r="2013" spans="2:7" s="63" customFormat="1">
      <c r="B2013" s="49"/>
      <c r="C2013" s="49"/>
      <c r="D2013" s="49"/>
      <c r="E2013" s="49"/>
      <c r="F2013" s="49"/>
      <c r="G2013" s="49"/>
    </row>
    <row r="2014" spans="2:7" s="63" customFormat="1">
      <c r="B2014" s="49"/>
      <c r="C2014" s="49"/>
      <c r="D2014" s="49"/>
      <c r="E2014" s="49"/>
      <c r="F2014" s="49"/>
      <c r="G2014" s="49"/>
    </row>
    <row r="2015" spans="2:7" s="63" customFormat="1">
      <c r="B2015" s="49"/>
      <c r="C2015" s="49"/>
      <c r="D2015" s="49"/>
      <c r="E2015" s="49"/>
      <c r="F2015" s="49"/>
      <c r="G2015" s="49"/>
    </row>
    <row r="2016" spans="2:7" s="63" customFormat="1">
      <c r="B2016" s="49"/>
      <c r="C2016" s="49"/>
      <c r="D2016" s="49"/>
      <c r="E2016" s="49"/>
      <c r="F2016" s="49"/>
      <c r="G2016" s="49"/>
    </row>
    <row r="2017" spans="2:7" s="63" customFormat="1">
      <c r="B2017" s="49"/>
      <c r="C2017" s="49"/>
      <c r="D2017" s="49"/>
      <c r="E2017" s="49"/>
      <c r="F2017" s="49"/>
      <c r="G2017" s="49"/>
    </row>
    <row r="2018" spans="2:7" s="63" customFormat="1">
      <c r="B2018" s="49"/>
      <c r="C2018" s="49"/>
      <c r="D2018" s="49"/>
      <c r="E2018" s="49"/>
      <c r="F2018" s="49"/>
      <c r="G2018" s="49"/>
    </row>
    <row r="2019" spans="2:7" s="63" customFormat="1">
      <c r="B2019" s="49"/>
      <c r="C2019" s="49"/>
      <c r="D2019" s="49"/>
      <c r="E2019" s="49"/>
      <c r="F2019" s="49"/>
      <c r="G2019" s="49"/>
    </row>
    <row r="2020" spans="2:7" s="63" customFormat="1">
      <c r="B2020" s="49"/>
      <c r="C2020" s="49"/>
      <c r="D2020" s="49"/>
      <c r="E2020" s="49"/>
      <c r="F2020" s="49"/>
      <c r="G2020" s="49"/>
    </row>
    <row r="2021" spans="2:7" s="63" customFormat="1">
      <c r="B2021" s="49"/>
      <c r="C2021" s="49"/>
      <c r="D2021" s="49"/>
      <c r="E2021" s="49"/>
      <c r="F2021" s="49"/>
      <c r="G2021" s="49"/>
    </row>
    <row r="2022" spans="2:7" s="63" customFormat="1">
      <c r="B2022" s="49"/>
      <c r="C2022" s="49"/>
      <c r="D2022" s="49"/>
      <c r="E2022" s="49"/>
      <c r="F2022" s="49"/>
      <c r="G2022" s="49"/>
    </row>
    <row r="2023" spans="2:7" s="63" customFormat="1">
      <c r="B2023" s="49"/>
      <c r="C2023" s="49"/>
      <c r="D2023" s="49"/>
      <c r="E2023" s="49"/>
      <c r="F2023" s="49"/>
      <c r="G2023" s="49"/>
    </row>
    <row r="2024" spans="2:7" s="63" customFormat="1">
      <c r="B2024" s="49"/>
      <c r="C2024" s="49"/>
      <c r="D2024" s="49"/>
      <c r="E2024" s="49"/>
      <c r="F2024" s="49"/>
      <c r="G2024" s="49"/>
    </row>
    <row r="2025" spans="2:7" s="63" customFormat="1">
      <c r="B2025" s="49"/>
      <c r="C2025" s="49"/>
      <c r="D2025" s="49"/>
      <c r="E2025" s="49"/>
      <c r="F2025" s="49"/>
      <c r="G2025" s="49"/>
    </row>
    <row r="2026" spans="2:7" s="63" customFormat="1">
      <c r="B2026" s="49"/>
      <c r="C2026" s="49"/>
      <c r="D2026" s="49"/>
      <c r="E2026" s="49"/>
      <c r="F2026" s="49"/>
      <c r="G2026" s="49"/>
    </row>
    <row r="2027" spans="2:7" s="63" customFormat="1">
      <c r="B2027" s="49"/>
      <c r="C2027" s="49"/>
      <c r="D2027" s="49"/>
      <c r="E2027" s="49"/>
      <c r="F2027" s="49"/>
      <c r="G2027" s="49"/>
    </row>
    <row r="2028" spans="2:7" s="63" customFormat="1">
      <c r="B2028" s="49"/>
      <c r="C2028" s="49"/>
      <c r="D2028" s="49"/>
      <c r="E2028" s="49"/>
      <c r="F2028" s="49"/>
      <c r="G2028" s="49"/>
    </row>
    <row r="2029" spans="2:7" s="63" customFormat="1">
      <c r="B2029" s="49"/>
      <c r="C2029" s="49"/>
      <c r="D2029" s="49"/>
      <c r="E2029" s="49"/>
      <c r="F2029" s="49"/>
      <c r="G2029" s="49"/>
    </row>
    <row r="2030" spans="2:7" s="63" customFormat="1">
      <c r="B2030" s="49"/>
      <c r="C2030" s="49"/>
      <c r="D2030" s="49"/>
      <c r="E2030" s="49"/>
      <c r="F2030" s="49"/>
      <c r="G2030" s="49"/>
    </row>
    <row r="2031" spans="2:7" s="63" customFormat="1">
      <c r="B2031" s="49"/>
      <c r="C2031" s="49"/>
      <c r="D2031" s="49"/>
      <c r="E2031" s="49"/>
      <c r="F2031" s="49"/>
      <c r="G2031" s="49"/>
    </row>
    <row r="2032" spans="2:7" s="63" customFormat="1">
      <c r="B2032" s="49"/>
      <c r="C2032" s="49"/>
      <c r="D2032" s="49"/>
      <c r="E2032" s="49"/>
      <c r="F2032" s="49"/>
      <c r="G2032" s="49"/>
    </row>
    <row r="2033" spans="2:7" s="63" customFormat="1">
      <c r="B2033" s="49"/>
      <c r="C2033" s="49"/>
      <c r="D2033" s="49"/>
      <c r="E2033" s="49"/>
      <c r="F2033" s="49"/>
      <c r="G2033" s="49"/>
    </row>
    <row r="2034" spans="2:7" s="63" customFormat="1">
      <c r="B2034" s="49"/>
      <c r="C2034" s="49"/>
      <c r="D2034" s="49"/>
      <c r="E2034" s="49"/>
      <c r="F2034" s="49"/>
      <c r="G2034" s="49"/>
    </row>
    <row r="2035" spans="2:7" s="63" customFormat="1">
      <c r="B2035" s="49"/>
      <c r="C2035" s="49"/>
      <c r="D2035" s="49"/>
      <c r="E2035" s="49"/>
      <c r="F2035" s="49"/>
      <c r="G2035" s="49"/>
    </row>
    <row r="2036" spans="2:7" s="63" customFormat="1">
      <c r="B2036" s="49"/>
      <c r="C2036" s="49"/>
      <c r="D2036" s="49"/>
      <c r="E2036" s="49"/>
      <c r="F2036" s="49"/>
      <c r="G2036" s="49"/>
    </row>
    <row r="2037" spans="2:7" s="63" customFormat="1">
      <c r="B2037" s="49"/>
      <c r="C2037" s="49"/>
      <c r="D2037" s="49"/>
      <c r="E2037" s="49"/>
      <c r="F2037" s="49"/>
      <c r="G2037" s="49"/>
    </row>
    <row r="2038" spans="2:7" s="63" customFormat="1">
      <c r="B2038" s="49"/>
      <c r="C2038" s="49"/>
      <c r="D2038" s="49"/>
      <c r="E2038" s="49"/>
      <c r="F2038" s="49"/>
      <c r="G2038" s="49"/>
    </row>
    <row r="2039" spans="2:7" s="63" customFormat="1">
      <c r="B2039" s="49"/>
      <c r="C2039" s="49"/>
      <c r="D2039" s="49"/>
      <c r="E2039" s="49"/>
      <c r="F2039" s="49"/>
      <c r="G2039" s="49"/>
    </row>
    <row r="2040" spans="2:7" s="63" customFormat="1">
      <c r="B2040" s="49"/>
      <c r="C2040" s="49"/>
      <c r="D2040" s="49"/>
      <c r="E2040" s="49"/>
      <c r="F2040" s="49"/>
      <c r="G2040" s="49"/>
    </row>
    <row r="2041" spans="2:7" s="63" customFormat="1">
      <c r="B2041" s="49"/>
      <c r="C2041" s="49"/>
      <c r="D2041" s="49"/>
      <c r="E2041" s="49"/>
      <c r="F2041" s="49"/>
      <c r="G2041" s="49"/>
    </row>
    <row r="2042" spans="2:7" s="63" customFormat="1">
      <c r="B2042" s="49"/>
      <c r="C2042" s="49"/>
      <c r="D2042" s="49"/>
      <c r="E2042" s="49"/>
      <c r="F2042" s="49"/>
      <c r="G2042" s="49"/>
    </row>
    <row r="2043" spans="2:7" s="63" customFormat="1">
      <c r="B2043" s="49"/>
      <c r="C2043" s="49"/>
      <c r="D2043" s="49"/>
      <c r="E2043" s="49"/>
      <c r="F2043" s="49"/>
      <c r="G2043" s="49"/>
    </row>
    <row r="2044" spans="2:7" s="63" customFormat="1">
      <c r="B2044" s="49"/>
      <c r="C2044" s="49"/>
      <c r="D2044" s="49"/>
      <c r="E2044" s="49"/>
      <c r="F2044" s="49"/>
      <c r="G2044" s="49"/>
    </row>
    <row r="2045" spans="2:7" s="63" customFormat="1">
      <c r="B2045" s="49"/>
      <c r="C2045" s="49"/>
      <c r="D2045" s="49"/>
      <c r="E2045" s="49"/>
      <c r="F2045" s="49"/>
      <c r="G2045" s="49"/>
    </row>
    <row r="2046" spans="2:7" s="63" customFormat="1">
      <c r="B2046" s="49"/>
      <c r="C2046" s="49"/>
      <c r="D2046" s="49"/>
      <c r="E2046" s="49"/>
      <c r="F2046" s="49"/>
      <c r="G2046" s="49"/>
    </row>
    <row r="2047" spans="2:7" s="63" customFormat="1">
      <c r="B2047" s="49"/>
      <c r="C2047" s="49"/>
      <c r="D2047" s="49"/>
      <c r="E2047" s="49"/>
      <c r="F2047" s="49"/>
      <c r="G2047" s="49"/>
    </row>
    <row r="2048" spans="2:7" s="63" customFormat="1">
      <c r="B2048" s="49"/>
      <c r="C2048" s="49"/>
      <c r="D2048" s="49"/>
      <c r="E2048" s="49"/>
      <c r="F2048" s="49"/>
      <c r="G2048" s="49"/>
    </row>
    <row r="2049" spans="2:7" s="63" customFormat="1">
      <c r="B2049" s="49"/>
      <c r="C2049" s="49"/>
      <c r="D2049" s="49"/>
      <c r="E2049" s="49"/>
      <c r="F2049" s="49"/>
      <c r="G2049" s="49"/>
    </row>
    <row r="2050" spans="2:7" s="63" customFormat="1">
      <c r="B2050" s="49"/>
      <c r="C2050" s="49"/>
      <c r="D2050" s="49"/>
      <c r="E2050" s="49"/>
      <c r="F2050" s="49"/>
      <c r="G2050" s="49"/>
    </row>
    <row r="2051" spans="2:7" s="63" customFormat="1">
      <c r="B2051" s="49"/>
      <c r="C2051" s="49"/>
      <c r="D2051" s="49"/>
      <c r="E2051" s="49"/>
      <c r="F2051" s="49"/>
      <c r="G2051" s="49"/>
    </row>
    <row r="2052" spans="2:7" s="63" customFormat="1">
      <c r="B2052" s="49"/>
      <c r="C2052" s="49"/>
      <c r="D2052" s="49"/>
      <c r="E2052" s="49"/>
      <c r="F2052" s="49"/>
      <c r="G2052" s="49"/>
    </row>
    <row r="2053" spans="2:7" s="63" customFormat="1">
      <c r="B2053" s="49"/>
      <c r="C2053" s="49"/>
      <c r="D2053" s="49"/>
      <c r="E2053" s="49"/>
      <c r="F2053" s="49"/>
      <c r="G2053" s="49"/>
    </row>
    <row r="2054" spans="2:7" s="63" customFormat="1">
      <c r="B2054" s="49"/>
      <c r="C2054" s="49"/>
      <c r="D2054" s="49"/>
      <c r="E2054" s="49"/>
      <c r="F2054" s="49"/>
      <c r="G2054" s="49"/>
    </row>
    <row r="2055" spans="2:7" s="63" customFormat="1">
      <c r="B2055" s="49"/>
      <c r="C2055" s="49"/>
      <c r="D2055" s="49"/>
      <c r="E2055" s="49"/>
      <c r="F2055" s="49"/>
      <c r="G2055" s="49"/>
    </row>
    <row r="2056" spans="2:7" s="63" customFormat="1">
      <c r="B2056" s="49"/>
      <c r="C2056" s="49"/>
      <c r="D2056" s="49"/>
      <c r="E2056" s="49"/>
      <c r="F2056" s="49"/>
      <c r="G2056" s="49"/>
    </row>
    <row r="2057" spans="2:7" s="63" customFormat="1">
      <c r="B2057" s="49"/>
      <c r="C2057" s="49"/>
      <c r="D2057" s="49"/>
      <c r="E2057" s="49"/>
      <c r="F2057" s="49"/>
      <c r="G2057" s="49"/>
    </row>
    <row r="2058" spans="2:7" s="63" customFormat="1">
      <c r="B2058" s="49"/>
      <c r="C2058" s="49"/>
      <c r="D2058" s="49"/>
      <c r="E2058" s="49"/>
      <c r="F2058" s="49"/>
      <c r="G2058" s="49"/>
    </row>
    <row r="2059" spans="2:7" s="63" customFormat="1">
      <c r="B2059" s="49"/>
      <c r="C2059" s="49"/>
      <c r="D2059" s="49"/>
      <c r="E2059" s="49"/>
      <c r="F2059" s="49"/>
      <c r="G2059" s="49"/>
    </row>
    <row r="2060" spans="2:7" s="63" customFormat="1">
      <c r="B2060" s="49"/>
      <c r="C2060" s="49"/>
      <c r="D2060" s="49"/>
      <c r="E2060" s="49"/>
      <c r="F2060" s="49"/>
      <c r="G2060" s="49"/>
    </row>
    <row r="2061" spans="2:7" s="63" customFormat="1">
      <c r="B2061" s="49"/>
      <c r="C2061" s="49"/>
      <c r="D2061" s="49"/>
      <c r="E2061" s="49"/>
      <c r="F2061" s="49"/>
      <c r="G2061" s="49"/>
    </row>
    <row r="2062" spans="2:7" s="63" customFormat="1">
      <c r="B2062" s="49"/>
      <c r="C2062" s="49"/>
      <c r="D2062" s="49"/>
      <c r="E2062" s="49"/>
      <c r="F2062" s="49"/>
      <c r="G2062" s="49"/>
    </row>
    <row r="2063" spans="2:7" s="63" customFormat="1">
      <c r="B2063" s="49"/>
      <c r="C2063" s="49"/>
      <c r="D2063" s="49"/>
      <c r="E2063" s="49"/>
      <c r="F2063" s="49"/>
      <c r="G2063" s="49"/>
    </row>
    <row r="2064" spans="2:7" s="63" customFormat="1">
      <c r="B2064" s="49"/>
      <c r="C2064" s="49"/>
      <c r="D2064" s="49"/>
      <c r="E2064" s="49"/>
      <c r="F2064" s="49"/>
      <c r="G2064" s="49"/>
    </row>
    <row r="2065" spans="2:7" s="63" customFormat="1">
      <c r="B2065" s="49"/>
      <c r="C2065" s="49"/>
      <c r="D2065" s="49"/>
      <c r="E2065" s="49"/>
      <c r="F2065" s="49"/>
      <c r="G2065" s="49"/>
    </row>
    <row r="2066" spans="2:7" s="63" customFormat="1">
      <c r="B2066" s="49"/>
      <c r="C2066" s="49"/>
      <c r="D2066" s="49"/>
      <c r="E2066" s="49"/>
      <c r="F2066" s="49"/>
      <c r="G2066" s="49"/>
    </row>
    <row r="2067" spans="2:7" s="63" customFormat="1">
      <c r="B2067" s="49"/>
      <c r="C2067" s="49"/>
      <c r="D2067" s="49"/>
      <c r="E2067" s="49"/>
      <c r="F2067" s="49"/>
      <c r="G2067" s="49"/>
    </row>
    <row r="2068" spans="2:7" s="63" customFormat="1">
      <c r="B2068" s="49"/>
      <c r="C2068" s="49"/>
      <c r="D2068" s="49"/>
      <c r="E2068" s="49"/>
      <c r="F2068" s="49"/>
      <c r="G2068" s="49"/>
    </row>
    <row r="2069" spans="2:7" s="63" customFormat="1">
      <c r="B2069" s="49"/>
      <c r="C2069" s="49"/>
      <c r="D2069" s="49"/>
      <c r="E2069" s="49"/>
      <c r="F2069" s="49"/>
      <c r="G2069" s="49"/>
    </row>
    <row r="2070" spans="2:7" s="63" customFormat="1">
      <c r="B2070" s="49"/>
      <c r="C2070" s="49"/>
      <c r="D2070" s="49"/>
      <c r="E2070" s="49"/>
      <c r="F2070" s="49"/>
      <c r="G2070" s="49"/>
    </row>
    <row r="2071" spans="2:7" s="63" customFormat="1">
      <c r="B2071" s="49"/>
      <c r="C2071" s="49"/>
      <c r="D2071" s="49"/>
      <c r="E2071" s="49"/>
      <c r="F2071" s="49"/>
      <c r="G2071" s="49"/>
    </row>
    <row r="2072" spans="2:7" s="63" customFormat="1">
      <c r="B2072" s="49"/>
      <c r="C2072" s="49"/>
      <c r="D2072" s="49"/>
      <c r="E2072" s="49"/>
      <c r="F2072" s="49"/>
      <c r="G2072" s="49"/>
    </row>
    <row r="2073" spans="2:7" s="63" customFormat="1">
      <c r="B2073" s="49"/>
      <c r="C2073" s="49"/>
      <c r="D2073" s="49"/>
      <c r="E2073" s="49"/>
      <c r="F2073" s="49"/>
      <c r="G2073" s="49"/>
    </row>
    <row r="2074" spans="2:7" s="63" customFormat="1">
      <c r="B2074" s="49"/>
      <c r="C2074" s="49"/>
      <c r="D2074" s="49"/>
      <c r="E2074" s="49"/>
      <c r="F2074" s="49"/>
      <c r="G2074" s="49"/>
    </row>
    <row r="2075" spans="2:7" s="63" customFormat="1">
      <c r="B2075" s="49"/>
      <c r="C2075" s="49"/>
      <c r="D2075" s="49"/>
      <c r="E2075" s="49"/>
      <c r="F2075" s="49"/>
      <c r="G2075" s="49"/>
    </row>
    <row r="2076" spans="2:7" s="63" customFormat="1">
      <c r="B2076" s="49"/>
      <c r="C2076" s="49"/>
      <c r="D2076" s="49"/>
      <c r="E2076" s="49"/>
      <c r="F2076" s="49"/>
      <c r="G2076" s="49"/>
    </row>
    <row r="2077" spans="2:7" s="63" customFormat="1">
      <c r="B2077" s="49"/>
      <c r="C2077" s="49"/>
      <c r="D2077" s="49"/>
      <c r="E2077" s="49"/>
      <c r="F2077" s="49"/>
      <c r="G2077" s="49"/>
    </row>
    <row r="2078" spans="2:7" s="63" customFormat="1">
      <c r="B2078" s="49"/>
      <c r="C2078" s="49"/>
      <c r="D2078" s="49"/>
      <c r="E2078" s="49"/>
      <c r="F2078" s="49"/>
      <c r="G2078" s="49"/>
    </row>
    <row r="2079" spans="2:7" s="63" customFormat="1">
      <c r="B2079" s="49"/>
      <c r="C2079" s="49"/>
      <c r="D2079" s="49"/>
      <c r="E2079" s="49"/>
      <c r="F2079" s="49"/>
      <c r="G2079" s="49"/>
    </row>
    <row r="2080" spans="2:7" s="63" customFormat="1">
      <c r="B2080" s="49"/>
      <c r="C2080" s="49"/>
      <c r="D2080" s="49"/>
      <c r="E2080" s="49"/>
      <c r="F2080" s="49"/>
      <c r="G2080" s="49"/>
    </row>
    <row r="2081" spans="2:7" s="63" customFormat="1">
      <c r="B2081" s="49"/>
      <c r="C2081" s="49"/>
      <c r="D2081" s="49"/>
      <c r="E2081" s="49"/>
      <c r="F2081" s="49"/>
      <c r="G2081" s="49"/>
    </row>
    <row r="2082" spans="2:7" s="63" customFormat="1">
      <c r="B2082" s="49"/>
      <c r="C2082" s="49"/>
      <c r="D2082" s="49"/>
      <c r="E2082" s="49"/>
      <c r="F2082" s="49"/>
      <c r="G2082" s="49"/>
    </row>
    <row r="2083" spans="2:7" s="63" customFormat="1">
      <c r="B2083" s="49"/>
      <c r="C2083" s="49"/>
      <c r="D2083" s="49"/>
      <c r="E2083" s="49"/>
      <c r="F2083" s="49"/>
      <c r="G2083" s="49"/>
    </row>
    <row r="2084" spans="2:7" s="63" customFormat="1">
      <c r="B2084" s="49"/>
      <c r="C2084" s="49"/>
      <c r="D2084" s="49"/>
      <c r="E2084" s="49"/>
      <c r="F2084" s="49"/>
      <c r="G2084" s="49"/>
    </row>
    <row r="2085" spans="2:7" s="63" customFormat="1">
      <c r="B2085" s="49"/>
      <c r="C2085" s="49"/>
      <c r="D2085" s="49"/>
      <c r="E2085" s="49"/>
      <c r="F2085" s="49"/>
      <c r="G2085" s="49"/>
    </row>
    <row r="2086" spans="2:7" s="63" customFormat="1">
      <c r="B2086" s="49"/>
      <c r="C2086" s="49"/>
      <c r="D2086" s="49"/>
      <c r="E2086" s="49"/>
      <c r="F2086" s="49"/>
      <c r="G2086" s="49"/>
    </row>
    <row r="2087" spans="2:7" s="63" customFormat="1">
      <c r="B2087" s="49"/>
      <c r="C2087" s="49"/>
      <c r="D2087" s="49"/>
      <c r="E2087" s="49"/>
      <c r="F2087" s="49"/>
      <c r="G2087" s="49"/>
    </row>
    <row r="2088" spans="2:7" s="63" customFormat="1">
      <c r="B2088" s="49"/>
      <c r="C2088" s="49"/>
      <c r="D2088" s="49"/>
      <c r="E2088" s="49"/>
      <c r="F2088" s="49"/>
      <c r="G2088" s="49"/>
    </row>
    <row r="2089" spans="2:7" s="63" customFormat="1">
      <c r="B2089" s="49"/>
      <c r="C2089" s="49"/>
      <c r="D2089" s="49"/>
      <c r="E2089" s="49"/>
      <c r="F2089" s="49"/>
      <c r="G2089" s="49"/>
    </row>
    <row r="2090" spans="2:7" s="63" customFormat="1">
      <c r="B2090" s="49"/>
      <c r="C2090" s="49"/>
      <c r="D2090" s="49"/>
      <c r="E2090" s="49"/>
      <c r="F2090" s="49"/>
      <c r="G2090" s="49"/>
    </row>
    <row r="2091" spans="2:7" s="63" customFormat="1">
      <c r="B2091" s="49"/>
      <c r="C2091" s="49"/>
      <c r="D2091" s="49"/>
      <c r="E2091" s="49"/>
      <c r="F2091" s="49"/>
      <c r="G2091" s="49"/>
    </row>
    <row r="2092" spans="2:7" s="63" customFormat="1">
      <c r="B2092" s="49"/>
      <c r="C2092" s="49"/>
      <c r="D2092" s="49"/>
      <c r="E2092" s="49"/>
      <c r="F2092" s="49"/>
      <c r="G2092" s="49"/>
    </row>
    <row r="2093" spans="2:7" s="63" customFormat="1">
      <c r="B2093" s="49"/>
      <c r="C2093" s="49"/>
      <c r="D2093" s="49"/>
      <c r="E2093" s="49"/>
      <c r="F2093" s="49"/>
      <c r="G2093" s="49"/>
    </row>
    <row r="2094" spans="2:7" s="63" customFormat="1">
      <c r="B2094" s="49"/>
      <c r="C2094" s="49"/>
      <c r="D2094" s="49"/>
      <c r="E2094" s="49"/>
      <c r="F2094" s="49"/>
      <c r="G2094" s="49"/>
    </row>
    <row r="2095" spans="2:7" s="63" customFormat="1">
      <c r="B2095" s="49"/>
      <c r="C2095" s="49"/>
      <c r="D2095" s="49"/>
      <c r="E2095" s="49"/>
      <c r="F2095" s="49"/>
      <c r="G2095" s="49"/>
    </row>
    <row r="2096" spans="2:7" s="63" customFormat="1">
      <c r="B2096" s="49"/>
      <c r="C2096" s="49"/>
      <c r="D2096" s="49"/>
      <c r="E2096" s="49"/>
      <c r="F2096" s="49"/>
      <c r="G2096" s="49"/>
    </row>
    <row r="2097" spans="2:7" s="63" customFormat="1">
      <c r="B2097" s="49"/>
      <c r="C2097" s="49"/>
      <c r="D2097" s="49"/>
      <c r="E2097" s="49"/>
      <c r="F2097" s="49"/>
      <c r="G2097" s="49"/>
    </row>
    <row r="2098" spans="2:7" s="63" customFormat="1">
      <c r="B2098" s="49"/>
      <c r="C2098" s="49"/>
      <c r="D2098" s="49"/>
      <c r="E2098" s="49"/>
      <c r="F2098" s="49"/>
      <c r="G2098" s="49"/>
    </row>
    <row r="2099" spans="2:7" s="63" customFormat="1">
      <c r="B2099" s="49"/>
      <c r="C2099" s="49"/>
      <c r="D2099" s="49"/>
      <c r="E2099" s="49"/>
      <c r="F2099" s="49"/>
      <c r="G2099" s="49"/>
    </row>
    <row r="2100" spans="2:7" s="63" customFormat="1">
      <c r="B2100" s="49"/>
      <c r="C2100" s="49"/>
      <c r="D2100" s="49"/>
      <c r="E2100" s="49"/>
      <c r="F2100" s="49"/>
      <c r="G2100" s="49"/>
    </row>
    <row r="2101" spans="2:7" s="63" customFormat="1">
      <c r="B2101" s="49"/>
      <c r="C2101" s="49"/>
      <c r="D2101" s="49"/>
      <c r="E2101" s="49"/>
      <c r="F2101" s="49"/>
      <c r="G2101" s="49"/>
    </row>
    <row r="2102" spans="2:7" s="63" customFormat="1">
      <c r="B2102" s="49"/>
      <c r="C2102" s="49"/>
      <c r="D2102" s="49"/>
      <c r="E2102" s="49"/>
      <c r="F2102" s="49"/>
      <c r="G2102" s="49"/>
    </row>
    <row r="2103" spans="2:7" s="63" customFormat="1">
      <c r="B2103" s="49"/>
      <c r="C2103" s="49"/>
      <c r="D2103" s="49"/>
      <c r="E2103" s="49"/>
      <c r="F2103" s="49"/>
      <c r="G2103" s="49"/>
    </row>
    <row r="2104" spans="2:7" s="63" customFormat="1">
      <c r="B2104" s="49"/>
      <c r="C2104" s="49"/>
      <c r="D2104" s="49"/>
      <c r="E2104" s="49"/>
      <c r="F2104" s="49"/>
      <c r="G2104" s="49"/>
    </row>
    <row r="2105" spans="2:7" s="63" customFormat="1">
      <c r="B2105" s="49"/>
      <c r="C2105" s="49"/>
      <c r="D2105" s="49"/>
      <c r="E2105" s="49"/>
      <c r="F2105" s="49"/>
      <c r="G2105" s="49"/>
    </row>
    <row r="2106" spans="2:7" s="63" customFormat="1">
      <c r="B2106" s="49"/>
      <c r="C2106" s="49"/>
      <c r="D2106" s="49"/>
      <c r="E2106" s="49"/>
      <c r="F2106" s="49"/>
      <c r="G2106" s="49"/>
    </row>
    <row r="2107" spans="2:7" s="63" customFormat="1">
      <c r="B2107" s="49"/>
      <c r="C2107" s="49"/>
      <c r="D2107" s="49"/>
      <c r="E2107" s="49"/>
      <c r="F2107" s="49"/>
      <c r="G2107" s="49"/>
    </row>
    <row r="2108" spans="2:7" s="63" customFormat="1">
      <c r="B2108" s="49"/>
      <c r="C2108" s="49"/>
      <c r="D2108" s="49"/>
      <c r="E2108" s="49"/>
      <c r="F2108" s="49"/>
      <c r="G2108" s="49"/>
    </row>
    <row r="2109" spans="2:7" s="63" customFormat="1">
      <c r="B2109" s="49"/>
      <c r="C2109" s="49"/>
      <c r="D2109" s="49"/>
      <c r="E2109" s="49"/>
      <c r="F2109" s="49"/>
      <c r="G2109" s="49"/>
    </row>
    <row r="2110" spans="2:7" s="63" customFormat="1">
      <c r="B2110" s="49"/>
      <c r="C2110" s="49"/>
      <c r="D2110" s="49"/>
      <c r="E2110" s="49"/>
      <c r="F2110" s="49"/>
      <c r="G2110" s="49"/>
    </row>
    <row r="2111" spans="2:7" s="63" customFormat="1">
      <c r="B2111" s="49"/>
      <c r="C2111" s="49"/>
      <c r="D2111" s="49"/>
      <c r="E2111" s="49"/>
      <c r="F2111" s="49"/>
      <c r="G2111" s="49"/>
    </row>
    <row r="2112" spans="2:7" s="63" customFormat="1">
      <c r="B2112" s="49"/>
      <c r="C2112" s="49"/>
      <c r="D2112" s="49"/>
      <c r="E2112" s="49"/>
      <c r="F2112" s="49"/>
      <c r="G2112" s="49"/>
    </row>
    <row r="2113" spans="2:7" s="63" customFormat="1">
      <c r="B2113" s="49"/>
      <c r="C2113" s="49"/>
      <c r="D2113" s="49"/>
      <c r="E2113" s="49"/>
      <c r="F2113" s="49"/>
      <c r="G2113" s="49"/>
    </row>
    <row r="2114" spans="2:7" s="63" customFormat="1">
      <c r="B2114" s="49"/>
      <c r="C2114" s="49"/>
      <c r="D2114" s="49"/>
      <c r="E2114" s="49"/>
      <c r="F2114" s="49"/>
      <c r="G2114" s="49"/>
    </row>
    <row r="2115" spans="2:7" s="63" customFormat="1">
      <c r="B2115" s="49"/>
      <c r="C2115" s="49"/>
      <c r="D2115" s="49"/>
      <c r="E2115" s="49"/>
      <c r="F2115" s="49"/>
      <c r="G2115" s="49"/>
    </row>
    <row r="2116" spans="2:7" s="63" customFormat="1">
      <c r="B2116" s="49"/>
      <c r="C2116" s="49"/>
      <c r="D2116" s="49"/>
      <c r="E2116" s="49"/>
      <c r="F2116" s="49"/>
      <c r="G2116" s="49"/>
    </row>
    <row r="2117" spans="2:7" s="63" customFormat="1">
      <c r="B2117" s="49"/>
      <c r="C2117" s="49"/>
      <c r="D2117" s="49"/>
      <c r="E2117" s="49"/>
      <c r="F2117" s="49"/>
      <c r="G2117" s="49"/>
    </row>
    <row r="2118" spans="2:7" s="63" customFormat="1">
      <c r="B2118" s="49"/>
      <c r="C2118" s="49"/>
      <c r="D2118" s="49"/>
      <c r="E2118" s="49"/>
      <c r="F2118" s="49"/>
      <c r="G2118" s="49"/>
    </row>
    <row r="2119" spans="2:7" s="63" customFormat="1">
      <c r="B2119" s="49"/>
      <c r="C2119" s="49"/>
      <c r="D2119" s="49"/>
      <c r="E2119" s="49"/>
      <c r="F2119" s="49"/>
      <c r="G2119" s="49"/>
    </row>
    <row r="2120" spans="2:7" s="63" customFormat="1">
      <c r="B2120" s="49"/>
      <c r="C2120" s="49"/>
      <c r="D2120" s="49"/>
      <c r="E2120" s="49"/>
      <c r="F2120" s="49"/>
      <c r="G2120" s="49"/>
    </row>
    <row r="2121" spans="2:7" s="63" customFormat="1">
      <c r="B2121" s="49"/>
      <c r="C2121" s="49"/>
      <c r="D2121" s="49"/>
      <c r="E2121" s="49"/>
      <c r="F2121" s="49"/>
      <c r="G2121" s="49"/>
    </row>
    <row r="2122" spans="2:7" s="63" customFormat="1">
      <c r="B2122" s="49"/>
      <c r="C2122" s="49"/>
      <c r="D2122" s="49"/>
      <c r="E2122" s="49"/>
      <c r="F2122" s="49"/>
      <c r="G2122" s="49"/>
    </row>
    <row r="2123" spans="2:7" s="63" customFormat="1">
      <c r="B2123" s="49"/>
      <c r="C2123" s="49"/>
      <c r="D2123" s="49"/>
      <c r="E2123" s="49"/>
      <c r="F2123" s="49"/>
      <c r="G2123" s="49"/>
    </row>
    <row r="2124" spans="2:7" s="63" customFormat="1">
      <c r="B2124" s="49"/>
      <c r="C2124" s="49"/>
      <c r="D2124" s="49"/>
      <c r="E2124" s="49"/>
      <c r="F2124" s="49"/>
      <c r="G2124" s="49"/>
    </row>
    <row r="2125" spans="2:7" s="63" customFormat="1">
      <c r="B2125" s="49"/>
      <c r="C2125" s="49"/>
      <c r="D2125" s="49"/>
      <c r="E2125" s="49"/>
      <c r="F2125" s="49"/>
      <c r="G2125" s="49"/>
    </row>
    <row r="2126" spans="2:7" s="63" customFormat="1">
      <c r="B2126" s="49"/>
      <c r="C2126" s="49"/>
      <c r="D2126" s="49"/>
      <c r="E2126" s="49"/>
      <c r="F2126" s="49"/>
      <c r="G2126" s="49"/>
    </row>
    <row r="2127" spans="2:7" s="63" customFormat="1">
      <c r="B2127" s="49"/>
      <c r="C2127" s="49"/>
      <c r="D2127" s="49"/>
      <c r="E2127" s="49"/>
      <c r="F2127" s="49"/>
      <c r="G2127" s="49"/>
    </row>
    <row r="2128" spans="2:7" s="63" customFormat="1">
      <c r="B2128" s="49"/>
      <c r="C2128" s="49"/>
      <c r="D2128" s="49"/>
      <c r="E2128" s="49"/>
      <c r="F2128" s="49"/>
      <c r="G2128" s="49"/>
    </row>
    <row r="2129" spans="2:7" s="63" customFormat="1">
      <c r="B2129" s="49"/>
      <c r="C2129" s="49"/>
      <c r="D2129" s="49"/>
      <c r="E2129" s="49"/>
      <c r="F2129" s="49"/>
      <c r="G2129" s="49"/>
    </row>
    <row r="2130" spans="2:7" s="63" customFormat="1">
      <c r="B2130" s="49"/>
      <c r="C2130" s="49"/>
      <c r="D2130" s="49"/>
      <c r="E2130" s="49"/>
      <c r="F2130" s="49"/>
      <c r="G2130" s="49"/>
    </row>
    <row r="2131" spans="2:7" s="63" customFormat="1">
      <c r="B2131" s="49"/>
      <c r="C2131" s="49"/>
      <c r="D2131" s="49"/>
      <c r="E2131" s="49"/>
      <c r="F2131" s="49"/>
      <c r="G2131" s="49"/>
    </row>
    <row r="2132" spans="2:7" s="63" customFormat="1">
      <c r="B2132" s="49"/>
      <c r="C2132" s="49"/>
      <c r="D2132" s="49"/>
      <c r="E2132" s="49"/>
      <c r="F2132" s="49"/>
      <c r="G2132" s="49"/>
    </row>
    <row r="2133" spans="2:7" s="63" customFormat="1">
      <c r="B2133" s="49"/>
      <c r="C2133" s="49"/>
      <c r="D2133" s="49"/>
      <c r="E2133" s="49"/>
      <c r="F2133" s="49"/>
      <c r="G2133" s="49"/>
    </row>
    <row r="2134" spans="2:7" s="63" customFormat="1">
      <c r="B2134" s="49"/>
      <c r="C2134" s="49"/>
      <c r="D2134" s="49"/>
      <c r="E2134" s="49"/>
      <c r="F2134" s="49"/>
      <c r="G2134" s="49"/>
    </row>
    <row r="2135" spans="2:7" s="63" customFormat="1">
      <c r="B2135" s="49"/>
      <c r="C2135" s="49"/>
      <c r="D2135" s="49"/>
      <c r="E2135" s="49"/>
      <c r="F2135" s="49"/>
      <c r="G2135" s="49"/>
    </row>
    <row r="2136" spans="2:7" s="63" customFormat="1">
      <c r="B2136" s="49"/>
      <c r="C2136" s="49"/>
      <c r="D2136" s="49"/>
      <c r="E2136" s="49"/>
      <c r="F2136" s="49"/>
      <c r="G2136" s="49"/>
    </row>
    <row r="2137" spans="2:7" s="63" customFormat="1">
      <c r="B2137" s="49"/>
      <c r="C2137" s="49"/>
      <c r="D2137" s="49"/>
      <c r="E2137" s="49"/>
      <c r="F2137" s="49"/>
      <c r="G2137" s="49"/>
    </row>
    <row r="2138" spans="2:7" s="63" customFormat="1">
      <c r="B2138" s="49"/>
      <c r="C2138" s="49"/>
      <c r="D2138" s="49"/>
      <c r="E2138" s="49"/>
      <c r="F2138" s="49"/>
      <c r="G2138" s="49"/>
    </row>
    <row r="2139" spans="2:7" s="63" customFormat="1">
      <c r="B2139" s="49"/>
      <c r="C2139" s="49"/>
      <c r="D2139" s="49"/>
      <c r="E2139" s="49"/>
      <c r="F2139" s="49"/>
      <c r="G2139" s="49"/>
    </row>
    <row r="2140" spans="2:7" s="63" customFormat="1">
      <c r="B2140" s="49"/>
      <c r="C2140" s="49"/>
      <c r="D2140" s="49"/>
      <c r="E2140" s="49"/>
      <c r="F2140" s="49"/>
      <c r="G2140" s="49"/>
    </row>
    <row r="2141" spans="2:7" s="63" customFormat="1">
      <c r="B2141" s="49"/>
      <c r="C2141" s="49"/>
      <c r="D2141" s="49"/>
      <c r="E2141" s="49"/>
      <c r="F2141" s="49"/>
      <c r="G2141" s="49"/>
    </row>
    <row r="2142" spans="2:7" s="63" customFormat="1">
      <c r="B2142" s="49"/>
      <c r="C2142" s="49"/>
      <c r="D2142" s="49"/>
      <c r="E2142" s="49"/>
      <c r="F2142" s="49"/>
      <c r="G2142" s="49"/>
    </row>
    <row r="2143" spans="2:7" s="63" customFormat="1">
      <c r="B2143" s="49"/>
      <c r="C2143" s="49"/>
      <c r="D2143" s="49"/>
      <c r="E2143" s="49"/>
      <c r="F2143" s="49"/>
      <c r="G2143" s="49"/>
    </row>
    <row r="2144" spans="2:7" s="63" customFormat="1">
      <c r="B2144" s="49"/>
      <c r="C2144" s="49"/>
      <c r="D2144" s="49"/>
      <c r="E2144" s="49"/>
      <c r="F2144" s="49"/>
      <c r="G2144" s="49"/>
    </row>
    <row r="2145" spans="2:7" s="63" customFormat="1">
      <c r="B2145" s="49"/>
      <c r="C2145" s="49"/>
      <c r="D2145" s="49"/>
      <c r="E2145" s="49"/>
      <c r="F2145" s="49"/>
      <c r="G2145" s="49"/>
    </row>
    <row r="2146" spans="2:7" s="63" customFormat="1">
      <c r="B2146" s="49"/>
      <c r="C2146" s="49"/>
      <c r="D2146" s="49"/>
      <c r="E2146" s="49"/>
      <c r="F2146" s="49"/>
      <c r="G2146" s="49"/>
    </row>
    <row r="2147" spans="2:7" s="63" customFormat="1">
      <c r="B2147" s="49"/>
      <c r="C2147" s="49"/>
      <c r="D2147" s="49"/>
      <c r="E2147" s="49"/>
      <c r="F2147" s="49"/>
      <c r="G2147" s="49"/>
    </row>
    <row r="2148" spans="2:7" s="63" customFormat="1">
      <c r="B2148" s="49"/>
      <c r="C2148" s="49"/>
      <c r="D2148" s="49"/>
      <c r="E2148" s="49"/>
      <c r="F2148" s="49"/>
      <c r="G2148" s="49"/>
    </row>
    <row r="2149" spans="2:7" s="63" customFormat="1">
      <c r="B2149" s="49"/>
      <c r="C2149" s="49"/>
      <c r="D2149" s="49"/>
      <c r="E2149" s="49"/>
      <c r="F2149" s="49"/>
      <c r="G2149" s="49"/>
    </row>
    <row r="2150" spans="2:7" s="63" customFormat="1">
      <c r="B2150" s="49"/>
      <c r="C2150" s="49"/>
      <c r="D2150" s="49"/>
      <c r="E2150" s="49"/>
      <c r="F2150" s="49"/>
      <c r="G2150" s="49"/>
    </row>
    <row r="2151" spans="2:7" s="63" customFormat="1">
      <c r="B2151" s="49"/>
      <c r="C2151" s="49"/>
      <c r="D2151" s="49"/>
      <c r="E2151" s="49"/>
      <c r="F2151" s="49"/>
      <c r="G2151" s="49"/>
    </row>
    <row r="2152" spans="2:7" s="63" customFormat="1">
      <c r="B2152" s="49"/>
      <c r="C2152" s="49"/>
      <c r="D2152" s="49"/>
      <c r="E2152" s="49"/>
      <c r="F2152" s="49"/>
      <c r="G2152" s="49"/>
    </row>
    <row r="2153" spans="2:7" s="63" customFormat="1">
      <c r="B2153" s="49"/>
      <c r="C2153" s="49"/>
      <c r="D2153" s="49"/>
      <c r="E2153" s="49"/>
      <c r="F2153" s="49"/>
      <c r="G2153" s="49"/>
    </row>
    <row r="2154" spans="2:7" s="63" customFormat="1">
      <c r="B2154" s="49"/>
      <c r="C2154" s="49"/>
      <c r="D2154" s="49"/>
      <c r="E2154" s="49"/>
      <c r="F2154" s="49"/>
      <c r="G2154" s="49"/>
    </row>
    <row r="2155" spans="2:7" s="63" customFormat="1">
      <c r="B2155" s="49"/>
      <c r="C2155" s="49"/>
      <c r="D2155" s="49"/>
      <c r="E2155" s="49"/>
      <c r="F2155" s="49"/>
      <c r="G2155" s="49"/>
    </row>
    <row r="2156" spans="2:7" s="63" customFormat="1">
      <c r="B2156" s="49"/>
      <c r="C2156" s="49"/>
      <c r="D2156" s="49"/>
      <c r="E2156" s="49"/>
      <c r="F2156" s="49"/>
      <c r="G2156" s="49"/>
    </row>
    <row r="2157" spans="2:7" s="63" customFormat="1">
      <c r="B2157" s="49"/>
      <c r="C2157" s="49"/>
      <c r="D2157" s="49"/>
      <c r="E2157" s="49"/>
      <c r="F2157" s="49"/>
      <c r="G2157" s="49"/>
    </row>
    <row r="2158" spans="2:7" s="63" customFormat="1">
      <c r="B2158" s="49"/>
      <c r="C2158" s="49"/>
      <c r="D2158" s="49"/>
      <c r="E2158" s="49"/>
      <c r="F2158" s="49"/>
      <c r="G2158" s="49"/>
    </row>
    <row r="2159" spans="2:7" s="63" customFormat="1">
      <c r="B2159" s="49"/>
      <c r="C2159" s="49"/>
      <c r="D2159" s="49"/>
      <c r="E2159" s="49"/>
      <c r="F2159" s="49"/>
      <c r="G2159" s="49"/>
    </row>
    <row r="2160" spans="2:7" s="63" customFormat="1">
      <c r="B2160" s="49"/>
      <c r="C2160" s="49"/>
      <c r="D2160" s="49"/>
      <c r="E2160" s="49"/>
      <c r="F2160" s="49"/>
      <c r="G2160" s="49"/>
    </row>
    <row r="2161" spans="2:7" s="63" customFormat="1">
      <c r="B2161" s="49"/>
      <c r="C2161" s="49"/>
      <c r="D2161" s="49"/>
      <c r="E2161" s="49"/>
      <c r="F2161" s="49"/>
      <c r="G2161" s="49"/>
    </row>
    <row r="2162" spans="2:7" s="63" customFormat="1">
      <c r="B2162" s="49"/>
      <c r="C2162" s="49"/>
      <c r="D2162" s="49"/>
      <c r="E2162" s="49"/>
      <c r="F2162" s="49"/>
      <c r="G2162" s="49"/>
    </row>
    <row r="2163" spans="2:7" s="63" customFormat="1">
      <c r="B2163" s="49"/>
      <c r="C2163" s="49"/>
      <c r="D2163" s="49"/>
      <c r="E2163" s="49"/>
      <c r="F2163" s="49"/>
      <c r="G2163" s="49"/>
    </row>
    <row r="2164" spans="2:7" s="63" customFormat="1">
      <c r="B2164" s="49"/>
      <c r="C2164" s="49"/>
      <c r="D2164" s="49"/>
      <c r="E2164" s="49"/>
      <c r="F2164" s="49"/>
      <c r="G2164" s="49"/>
    </row>
    <row r="2165" spans="2:7" s="63" customFormat="1">
      <c r="B2165" s="49"/>
      <c r="C2165" s="49"/>
      <c r="D2165" s="49"/>
      <c r="E2165" s="49"/>
      <c r="F2165" s="49"/>
      <c r="G2165" s="49"/>
    </row>
    <row r="2166" spans="2:7" s="63" customFormat="1">
      <c r="B2166" s="49"/>
      <c r="C2166" s="49"/>
      <c r="D2166" s="49"/>
      <c r="E2166" s="49"/>
      <c r="F2166" s="49"/>
      <c r="G2166" s="49"/>
    </row>
    <row r="2167" spans="2:7" s="63" customFormat="1">
      <c r="B2167" s="49"/>
      <c r="C2167" s="49"/>
      <c r="D2167" s="49"/>
      <c r="E2167" s="49"/>
      <c r="F2167" s="49"/>
      <c r="G2167" s="49"/>
    </row>
    <row r="2168" spans="2:7" s="63" customFormat="1">
      <c r="B2168" s="49"/>
      <c r="C2168" s="49"/>
      <c r="D2168" s="49"/>
      <c r="E2168" s="49"/>
      <c r="F2168" s="49"/>
      <c r="G2168" s="49"/>
    </row>
    <row r="2169" spans="2:7" s="63" customFormat="1">
      <c r="B2169" s="49"/>
      <c r="C2169" s="49"/>
      <c r="D2169" s="49"/>
      <c r="E2169" s="49"/>
      <c r="F2169" s="49"/>
      <c r="G2169" s="49"/>
    </row>
    <row r="2170" spans="2:7" s="63" customFormat="1">
      <c r="B2170" s="49"/>
      <c r="C2170" s="49"/>
      <c r="D2170" s="49"/>
      <c r="E2170" s="49"/>
      <c r="F2170" s="49"/>
      <c r="G2170" s="49"/>
    </row>
    <row r="2171" spans="2:7" s="63" customFormat="1">
      <c r="B2171" s="49"/>
      <c r="C2171" s="49"/>
      <c r="D2171" s="49"/>
      <c r="E2171" s="49"/>
      <c r="F2171" s="49"/>
      <c r="G2171" s="49"/>
    </row>
    <row r="2172" spans="2:7" s="63" customFormat="1">
      <c r="B2172" s="49"/>
      <c r="C2172" s="49"/>
      <c r="D2172" s="49"/>
      <c r="E2172" s="49"/>
      <c r="F2172" s="49"/>
      <c r="G2172" s="49"/>
    </row>
    <row r="2173" spans="2:7" s="63" customFormat="1">
      <c r="B2173" s="49"/>
      <c r="C2173" s="49"/>
      <c r="D2173" s="49"/>
      <c r="E2173" s="49"/>
      <c r="F2173" s="49"/>
      <c r="G2173" s="49"/>
    </row>
    <row r="2174" spans="2:7" s="63" customFormat="1">
      <c r="B2174" s="49"/>
      <c r="C2174" s="49"/>
      <c r="D2174" s="49"/>
      <c r="E2174" s="49"/>
      <c r="F2174" s="49"/>
      <c r="G2174" s="49"/>
    </row>
    <row r="2175" spans="2:7" s="63" customFormat="1">
      <c r="B2175" s="49"/>
      <c r="C2175" s="49"/>
      <c r="D2175" s="49"/>
      <c r="E2175" s="49"/>
      <c r="F2175" s="49"/>
      <c r="G2175" s="49"/>
    </row>
    <row r="2176" spans="2:7" s="63" customFormat="1">
      <c r="B2176" s="49"/>
      <c r="C2176" s="49"/>
      <c r="D2176" s="49"/>
      <c r="E2176" s="49"/>
      <c r="F2176" s="49"/>
      <c r="G2176" s="49"/>
    </row>
    <row r="2177" spans="2:7" s="63" customFormat="1">
      <c r="B2177" s="49"/>
      <c r="C2177" s="49"/>
      <c r="D2177" s="49"/>
      <c r="E2177" s="49"/>
      <c r="F2177" s="49"/>
      <c r="G2177" s="49"/>
    </row>
    <row r="2178" spans="2:7" s="63" customFormat="1">
      <c r="B2178" s="49"/>
      <c r="C2178" s="49"/>
      <c r="D2178" s="49"/>
      <c r="E2178" s="49"/>
      <c r="F2178" s="49"/>
      <c r="G2178" s="49"/>
    </row>
    <row r="2179" spans="2:7" s="63" customFormat="1">
      <c r="B2179" s="49"/>
      <c r="C2179" s="49"/>
      <c r="D2179" s="49"/>
      <c r="E2179" s="49"/>
      <c r="F2179" s="49"/>
      <c r="G2179" s="49"/>
    </row>
    <row r="2180" spans="2:7" s="63" customFormat="1">
      <c r="B2180" s="49"/>
      <c r="C2180" s="49"/>
      <c r="D2180" s="49"/>
      <c r="E2180" s="49"/>
      <c r="F2180" s="49"/>
      <c r="G2180" s="49"/>
    </row>
    <row r="2181" spans="2:7" s="63" customFormat="1">
      <c r="B2181" s="49"/>
      <c r="C2181" s="49"/>
      <c r="D2181" s="49"/>
      <c r="E2181" s="49"/>
      <c r="F2181" s="49"/>
      <c r="G2181" s="49"/>
    </row>
    <row r="2182" spans="2:7" s="63" customFormat="1">
      <c r="B2182" s="49"/>
      <c r="C2182" s="49"/>
      <c r="D2182" s="49"/>
      <c r="E2182" s="49"/>
      <c r="F2182" s="49"/>
      <c r="G2182" s="49"/>
    </row>
    <row r="2183" spans="2:7" s="63" customFormat="1">
      <c r="B2183" s="49"/>
      <c r="C2183" s="49"/>
      <c r="D2183" s="49"/>
      <c r="E2183" s="49"/>
      <c r="F2183" s="49"/>
      <c r="G2183" s="49"/>
    </row>
    <row r="2184" spans="2:7" s="63" customFormat="1">
      <c r="B2184" s="49"/>
      <c r="C2184" s="49"/>
      <c r="D2184" s="49"/>
      <c r="E2184" s="49"/>
      <c r="F2184" s="49"/>
      <c r="G2184" s="49"/>
    </row>
    <row r="2185" spans="2:7" s="63" customFormat="1">
      <c r="B2185" s="49"/>
      <c r="C2185" s="49"/>
      <c r="D2185" s="49"/>
      <c r="E2185" s="49"/>
      <c r="F2185" s="49"/>
      <c r="G2185" s="49"/>
    </row>
    <row r="2186" spans="2:7" s="63" customFormat="1">
      <c r="B2186" s="49"/>
      <c r="C2186" s="49"/>
      <c r="D2186" s="49"/>
      <c r="E2186" s="49"/>
      <c r="F2186" s="49"/>
      <c r="G2186" s="49"/>
    </row>
    <row r="2187" spans="2:7" s="63" customFormat="1">
      <c r="B2187" s="49"/>
      <c r="C2187" s="49"/>
      <c r="D2187" s="49"/>
      <c r="E2187" s="49"/>
      <c r="F2187" s="49"/>
      <c r="G2187" s="49"/>
    </row>
    <row r="2188" spans="2:7" s="63" customFormat="1">
      <c r="B2188" s="49"/>
      <c r="C2188" s="49"/>
      <c r="D2188" s="49"/>
      <c r="E2188" s="49"/>
      <c r="F2188" s="49"/>
      <c r="G2188" s="49"/>
    </row>
    <row r="2189" spans="2:7" s="63" customFormat="1">
      <c r="B2189" s="49"/>
      <c r="C2189" s="49"/>
      <c r="D2189" s="49"/>
      <c r="E2189" s="49"/>
      <c r="F2189" s="49"/>
      <c r="G2189" s="49"/>
    </row>
    <row r="2190" spans="2:7" s="63" customFormat="1">
      <c r="B2190" s="49"/>
      <c r="C2190" s="49"/>
      <c r="D2190" s="49"/>
      <c r="E2190" s="49"/>
      <c r="F2190" s="49"/>
      <c r="G2190" s="49"/>
    </row>
    <row r="2191" spans="2:7" s="63" customFormat="1">
      <c r="B2191" s="49"/>
      <c r="C2191" s="49"/>
      <c r="D2191" s="49"/>
      <c r="E2191" s="49"/>
      <c r="F2191" s="49"/>
      <c r="G2191" s="49"/>
    </row>
    <row r="2192" spans="2:7" s="63" customFormat="1">
      <c r="B2192" s="49"/>
      <c r="C2192" s="49"/>
      <c r="D2192" s="49"/>
      <c r="E2192" s="49"/>
      <c r="F2192" s="49"/>
      <c r="G2192" s="49"/>
    </row>
    <row r="2193" spans="2:7" s="63" customFormat="1">
      <c r="B2193" s="49"/>
      <c r="C2193" s="49"/>
      <c r="D2193" s="49"/>
      <c r="E2193" s="49"/>
      <c r="F2193" s="49"/>
      <c r="G2193" s="49"/>
    </row>
    <row r="2194" spans="2:7" s="63" customFormat="1">
      <c r="B2194" s="49"/>
      <c r="C2194" s="49"/>
      <c r="D2194" s="49"/>
      <c r="E2194" s="49"/>
      <c r="F2194" s="49"/>
      <c r="G2194" s="49"/>
    </row>
    <row r="2195" spans="2:7" s="63" customFormat="1">
      <c r="B2195" s="49"/>
      <c r="C2195" s="49"/>
      <c r="D2195" s="49"/>
      <c r="E2195" s="49"/>
      <c r="F2195" s="49"/>
      <c r="G2195" s="49"/>
    </row>
    <row r="2196" spans="2:7" s="63" customFormat="1">
      <c r="B2196" s="49"/>
      <c r="C2196" s="49"/>
      <c r="D2196" s="49"/>
      <c r="E2196" s="49"/>
      <c r="F2196" s="49"/>
      <c r="G2196" s="49"/>
    </row>
    <row r="2197" spans="2:7" s="63" customFormat="1">
      <c r="B2197" s="49"/>
      <c r="C2197" s="49"/>
      <c r="D2197" s="49"/>
      <c r="E2197" s="49"/>
      <c r="F2197" s="49"/>
      <c r="G2197" s="49"/>
    </row>
    <row r="2198" spans="2:7" s="63" customFormat="1">
      <c r="B2198" s="49"/>
      <c r="C2198" s="49"/>
      <c r="D2198" s="49"/>
      <c r="E2198" s="49"/>
      <c r="F2198" s="49"/>
      <c r="G2198" s="49"/>
    </row>
    <row r="2199" spans="2:7" s="63" customFormat="1">
      <c r="B2199" s="49"/>
      <c r="C2199" s="49"/>
      <c r="D2199" s="49"/>
      <c r="E2199" s="49"/>
      <c r="F2199" s="49"/>
      <c r="G2199" s="49"/>
    </row>
    <row r="2200" spans="2:7" s="63" customFormat="1">
      <c r="B2200" s="49"/>
      <c r="C2200" s="49"/>
      <c r="D2200" s="49"/>
      <c r="E2200" s="49"/>
      <c r="F2200" s="49"/>
      <c r="G2200" s="49"/>
    </row>
    <row r="2201" spans="2:7" s="63" customFormat="1">
      <c r="B2201" s="49"/>
      <c r="C2201" s="49"/>
      <c r="D2201" s="49"/>
      <c r="E2201" s="49"/>
      <c r="F2201" s="49"/>
      <c r="G2201" s="49"/>
    </row>
    <row r="2202" spans="2:7" s="63" customFormat="1">
      <c r="B2202" s="49"/>
      <c r="C2202" s="49"/>
      <c r="D2202" s="49"/>
      <c r="E2202" s="49"/>
      <c r="F2202" s="49"/>
      <c r="G2202" s="49"/>
    </row>
    <row r="2203" spans="2:7" s="63" customFormat="1">
      <c r="B2203" s="49"/>
      <c r="C2203" s="49"/>
      <c r="D2203" s="49"/>
      <c r="E2203" s="49"/>
      <c r="F2203" s="49"/>
      <c r="G2203" s="49"/>
    </row>
    <row r="2204" spans="2:7" s="63" customFormat="1">
      <c r="B2204" s="49"/>
      <c r="C2204" s="49"/>
      <c r="D2204" s="49"/>
      <c r="E2204" s="49"/>
      <c r="F2204" s="49"/>
      <c r="G2204" s="49"/>
    </row>
    <row r="2205" spans="2:7" s="63" customFormat="1">
      <c r="B2205" s="49"/>
      <c r="C2205" s="49"/>
      <c r="D2205" s="49"/>
      <c r="E2205" s="49"/>
      <c r="F2205" s="49"/>
      <c r="G2205" s="49"/>
    </row>
    <row r="2206" spans="2:7" s="63" customFormat="1">
      <c r="B2206" s="49"/>
      <c r="C2206" s="49"/>
      <c r="D2206" s="49"/>
      <c r="E2206" s="49"/>
      <c r="F2206" s="49"/>
      <c r="G2206" s="49"/>
    </row>
    <row r="2207" spans="2:7" s="63" customFormat="1">
      <c r="B2207" s="49"/>
      <c r="C2207" s="49"/>
      <c r="D2207" s="49"/>
      <c r="E2207" s="49"/>
      <c r="F2207" s="49"/>
      <c r="G2207" s="49"/>
    </row>
    <row r="2208" spans="2:7" s="63" customFormat="1">
      <c r="B2208" s="49"/>
      <c r="C2208" s="49"/>
      <c r="D2208" s="49"/>
      <c r="E2208" s="49"/>
      <c r="F2208" s="49"/>
      <c r="G2208" s="49"/>
    </row>
    <row r="2209" spans="2:7" s="63" customFormat="1">
      <c r="B2209" s="49"/>
      <c r="C2209" s="49"/>
      <c r="D2209" s="49"/>
      <c r="E2209" s="49"/>
      <c r="F2209" s="49"/>
      <c r="G2209" s="49"/>
    </row>
    <row r="2210" spans="2:7" s="63" customFormat="1">
      <c r="B2210" s="49"/>
      <c r="C2210" s="49"/>
      <c r="D2210" s="49"/>
      <c r="E2210" s="49"/>
      <c r="F2210" s="49"/>
      <c r="G2210" s="49"/>
    </row>
    <row r="2211" spans="2:7" s="63" customFormat="1">
      <c r="B2211" s="49"/>
      <c r="C2211" s="49"/>
      <c r="D2211" s="49"/>
      <c r="E2211" s="49"/>
      <c r="F2211" s="49"/>
      <c r="G2211" s="49"/>
    </row>
    <row r="2212" spans="2:7" s="63" customFormat="1">
      <c r="B2212" s="49"/>
      <c r="C2212" s="49"/>
      <c r="D2212" s="49"/>
      <c r="E2212" s="49"/>
      <c r="F2212" s="49"/>
      <c r="G2212" s="49"/>
    </row>
    <row r="2213" spans="2:7" s="63" customFormat="1">
      <c r="B2213" s="49"/>
      <c r="C2213" s="49"/>
      <c r="D2213" s="49"/>
      <c r="E2213" s="49"/>
      <c r="F2213" s="49"/>
      <c r="G2213" s="49"/>
    </row>
    <row r="2214" spans="2:7" s="63" customFormat="1">
      <c r="B2214" s="49"/>
      <c r="C2214" s="49"/>
      <c r="D2214" s="49"/>
      <c r="E2214" s="49"/>
      <c r="F2214" s="49"/>
      <c r="G2214" s="49"/>
    </row>
    <row r="2215" spans="2:7" s="63" customFormat="1">
      <c r="B2215" s="49"/>
      <c r="C2215" s="49"/>
      <c r="D2215" s="49"/>
      <c r="E2215" s="49"/>
      <c r="F2215" s="49"/>
      <c r="G2215" s="49"/>
    </row>
    <row r="2216" spans="2:7" s="63" customFormat="1">
      <c r="B2216" s="49"/>
      <c r="C2216" s="49"/>
      <c r="D2216" s="49"/>
      <c r="E2216" s="49"/>
      <c r="F2216" s="49"/>
      <c r="G2216" s="49"/>
    </row>
    <row r="2217" spans="2:7" s="63" customFormat="1">
      <c r="B2217" s="49"/>
      <c r="C2217" s="49"/>
      <c r="D2217" s="49"/>
      <c r="E2217" s="49"/>
      <c r="F2217" s="49"/>
      <c r="G2217" s="49"/>
    </row>
    <row r="2218" spans="2:7" s="63" customFormat="1">
      <c r="B2218" s="49"/>
      <c r="C2218" s="49"/>
      <c r="D2218" s="49"/>
      <c r="E2218" s="49"/>
      <c r="F2218" s="49"/>
      <c r="G2218" s="49"/>
    </row>
    <row r="2219" spans="2:7" s="63" customFormat="1">
      <c r="B2219" s="49"/>
      <c r="C2219" s="49"/>
      <c r="D2219" s="49"/>
      <c r="E2219" s="49"/>
      <c r="F2219" s="49"/>
      <c r="G2219" s="49"/>
    </row>
    <row r="2220" spans="2:7" s="63" customFormat="1">
      <c r="B2220" s="49"/>
      <c r="C2220" s="49"/>
      <c r="D2220" s="49"/>
      <c r="E2220" s="49"/>
      <c r="F2220" s="49"/>
      <c r="G2220" s="49"/>
    </row>
    <row r="2221" spans="2:7" s="63" customFormat="1">
      <c r="B2221" s="49"/>
      <c r="C2221" s="49"/>
      <c r="D2221" s="49"/>
      <c r="E2221" s="49"/>
      <c r="F2221" s="49"/>
      <c r="G2221" s="49"/>
    </row>
    <row r="2222" spans="2:7" s="63" customFormat="1">
      <c r="B2222" s="49"/>
      <c r="C2222" s="49"/>
      <c r="D2222" s="49"/>
      <c r="E2222" s="49"/>
      <c r="F2222" s="49"/>
      <c r="G2222" s="49"/>
    </row>
    <row r="2223" spans="2:7" s="63" customFormat="1">
      <c r="B2223" s="49"/>
      <c r="C2223" s="49"/>
      <c r="D2223" s="49"/>
      <c r="E2223" s="49"/>
      <c r="F2223" s="49"/>
      <c r="G2223" s="49"/>
    </row>
    <row r="2224" spans="2:7" s="63" customFormat="1">
      <c r="B2224" s="49"/>
      <c r="C2224" s="49"/>
      <c r="D2224" s="49"/>
      <c r="E2224" s="49"/>
      <c r="F2224" s="49"/>
      <c r="G2224" s="49"/>
    </row>
    <row r="2225" spans="2:7" s="63" customFormat="1">
      <c r="B2225" s="49"/>
      <c r="C2225" s="49"/>
      <c r="D2225" s="49"/>
      <c r="E2225" s="49"/>
      <c r="F2225" s="49"/>
      <c r="G2225" s="49"/>
    </row>
    <row r="2226" spans="2:7" s="63" customFormat="1">
      <c r="B2226" s="49"/>
      <c r="C2226" s="49"/>
      <c r="D2226" s="49"/>
      <c r="E2226" s="49"/>
      <c r="F2226" s="49"/>
      <c r="G2226" s="49"/>
    </row>
    <row r="2227" spans="2:7" s="63" customFormat="1">
      <c r="B2227" s="49"/>
      <c r="C2227" s="49"/>
      <c r="D2227" s="49"/>
      <c r="E2227" s="49"/>
      <c r="F2227" s="49"/>
      <c r="G2227" s="49"/>
    </row>
    <row r="2228" spans="2:7" s="63" customFormat="1">
      <c r="B2228" s="49"/>
      <c r="C2228" s="49"/>
      <c r="D2228" s="49"/>
      <c r="E2228" s="49"/>
      <c r="F2228" s="49"/>
      <c r="G2228" s="49"/>
    </row>
    <row r="2229" spans="2:7" s="63" customFormat="1">
      <c r="B2229" s="49"/>
      <c r="C2229" s="49"/>
      <c r="D2229" s="49"/>
      <c r="E2229" s="49"/>
      <c r="F2229" s="49"/>
      <c r="G2229" s="49"/>
    </row>
    <row r="2230" spans="2:7" s="63" customFormat="1">
      <c r="B2230" s="49"/>
      <c r="C2230" s="49"/>
      <c r="D2230" s="49"/>
      <c r="E2230" s="49"/>
      <c r="F2230" s="49"/>
      <c r="G2230" s="49"/>
    </row>
    <row r="2231" spans="2:7" s="63" customFormat="1">
      <c r="B2231" s="49"/>
      <c r="C2231" s="49"/>
      <c r="D2231" s="49"/>
      <c r="E2231" s="49"/>
      <c r="F2231" s="49"/>
      <c r="G2231" s="49"/>
    </row>
    <row r="2232" spans="2:7" s="63" customFormat="1">
      <c r="B2232" s="49"/>
      <c r="C2232" s="49"/>
      <c r="D2232" s="49"/>
      <c r="E2232" s="49"/>
      <c r="F2232" s="49"/>
      <c r="G2232" s="49"/>
    </row>
    <row r="2233" spans="2:7" s="63" customFormat="1">
      <c r="B2233" s="49"/>
      <c r="C2233" s="49"/>
      <c r="D2233" s="49"/>
      <c r="E2233" s="49"/>
      <c r="F2233" s="49"/>
      <c r="G2233" s="49"/>
    </row>
    <row r="2234" spans="2:7" s="63" customFormat="1">
      <c r="B2234" s="49"/>
      <c r="C2234" s="49"/>
      <c r="D2234" s="49"/>
      <c r="E2234" s="49"/>
      <c r="F2234" s="49"/>
      <c r="G2234" s="49"/>
    </row>
    <row r="2235" spans="2:7" s="63" customFormat="1">
      <c r="B2235" s="49"/>
      <c r="C2235" s="49"/>
      <c r="D2235" s="49"/>
      <c r="E2235" s="49"/>
      <c r="F2235" s="49"/>
      <c r="G2235" s="49"/>
    </row>
    <row r="2236" spans="2:7" s="63" customFormat="1">
      <c r="B2236" s="49"/>
      <c r="C2236" s="49"/>
      <c r="D2236" s="49"/>
      <c r="E2236" s="49"/>
      <c r="F2236" s="49"/>
      <c r="G2236" s="49"/>
    </row>
    <row r="2237" spans="2:7" s="63" customFormat="1">
      <c r="B2237" s="49"/>
      <c r="C2237" s="49"/>
      <c r="D2237" s="49"/>
      <c r="E2237" s="49"/>
      <c r="F2237" s="49"/>
      <c r="G2237" s="49"/>
    </row>
    <row r="2238" spans="2:7" s="63" customFormat="1">
      <c r="B2238" s="49"/>
      <c r="C2238" s="49"/>
      <c r="D2238" s="49"/>
      <c r="E2238" s="49"/>
      <c r="F2238" s="49"/>
      <c r="G2238" s="49"/>
    </row>
    <row r="2239" spans="2:7" s="63" customFormat="1">
      <c r="B2239" s="49"/>
      <c r="C2239" s="49"/>
      <c r="D2239" s="49"/>
      <c r="E2239" s="49"/>
      <c r="F2239" s="49"/>
      <c r="G2239" s="49"/>
    </row>
    <row r="2240" spans="2:7" s="63" customFormat="1">
      <c r="B2240" s="49"/>
      <c r="C2240" s="49"/>
      <c r="D2240" s="49"/>
      <c r="E2240" s="49"/>
      <c r="F2240" s="49"/>
      <c r="G2240" s="49"/>
    </row>
    <row r="2241" spans="2:7" s="63" customFormat="1">
      <c r="B2241" s="49"/>
      <c r="C2241" s="49"/>
      <c r="D2241" s="49"/>
      <c r="E2241" s="49"/>
      <c r="F2241" s="49"/>
      <c r="G2241" s="49"/>
    </row>
    <row r="2242" spans="2:7" s="63" customFormat="1">
      <c r="B2242" s="49"/>
      <c r="C2242" s="49"/>
      <c r="D2242" s="49"/>
      <c r="E2242" s="49"/>
      <c r="F2242" s="49"/>
      <c r="G2242" s="49"/>
    </row>
    <row r="2243" spans="2:7" s="63" customFormat="1">
      <c r="B2243" s="49"/>
      <c r="C2243" s="49"/>
      <c r="D2243" s="49"/>
      <c r="E2243" s="49"/>
      <c r="F2243" s="49"/>
      <c r="G2243" s="49"/>
    </row>
    <row r="2244" spans="2:7" s="63" customFormat="1">
      <c r="B2244" s="49"/>
      <c r="C2244" s="49"/>
      <c r="D2244" s="49"/>
      <c r="E2244" s="49"/>
      <c r="F2244" s="49"/>
      <c r="G2244" s="49"/>
    </row>
    <row r="2245" spans="2:7" s="63" customFormat="1">
      <c r="B2245" s="49"/>
      <c r="C2245" s="49"/>
      <c r="D2245" s="49"/>
      <c r="E2245" s="49"/>
      <c r="F2245" s="49"/>
      <c r="G2245" s="49"/>
    </row>
    <row r="2246" spans="2:7" s="63" customFormat="1">
      <c r="B2246" s="49"/>
      <c r="C2246" s="49"/>
      <c r="D2246" s="49"/>
      <c r="E2246" s="49"/>
      <c r="F2246" s="49"/>
      <c r="G2246" s="49"/>
    </row>
    <row r="2247" spans="2:7" s="63" customFormat="1">
      <c r="B2247" s="49"/>
      <c r="C2247" s="49"/>
      <c r="D2247" s="49"/>
      <c r="E2247" s="49"/>
      <c r="F2247" s="49"/>
      <c r="G2247" s="49"/>
    </row>
    <row r="2248" spans="2:7" s="63" customFormat="1">
      <c r="B2248" s="49"/>
      <c r="C2248" s="49"/>
      <c r="D2248" s="49"/>
      <c r="E2248" s="49"/>
      <c r="F2248" s="49"/>
      <c r="G2248" s="49"/>
    </row>
    <row r="2249" spans="2:7" s="63" customFormat="1">
      <c r="B2249" s="49"/>
      <c r="C2249" s="49"/>
      <c r="D2249" s="49"/>
      <c r="E2249" s="49"/>
      <c r="F2249" s="49"/>
      <c r="G2249" s="49"/>
    </row>
    <row r="2250" spans="2:7" s="63" customFormat="1">
      <c r="B2250" s="49"/>
      <c r="C2250" s="49"/>
      <c r="D2250" s="49"/>
      <c r="E2250" s="49"/>
      <c r="F2250" s="49"/>
      <c r="G2250" s="49"/>
    </row>
    <row r="2251" spans="2:7" s="63" customFormat="1">
      <c r="B2251" s="49"/>
      <c r="C2251" s="49"/>
      <c r="D2251" s="49"/>
      <c r="E2251" s="49"/>
      <c r="F2251" s="49"/>
      <c r="G2251" s="49"/>
    </row>
    <row r="2252" spans="2:7" s="63" customFormat="1">
      <c r="B2252" s="49"/>
      <c r="C2252" s="49"/>
      <c r="D2252" s="49"/>
      <c r="E2252" s="49"/>
      <c r="F2252" s="49"/>
      <c r="G2252" s="49"/>
    </row>
    <row r="2253" spans="2:7" s="63" customFormat="1">
      <c r="B2253" s="49"/>
      <c r="C2253" s="49"/>
      <c r="D2253" s="49"/>
      <c r="E2253" s="49"/>
      <c r="F2253" s="49"/>
      <c r="G2253" s="49"/>
    </row>
    <row r="2254" spans="2:7" s="63" customFormat="1">
      <c r="B2254" s="49"/>
      <c r="C2254" s="49"/>
      <c r="D2254" s="49"/>
      <c r="E2254" s="49"/>
      <c r="F2254" s="49"/>
      <c r="G2254" s="49"/>
    </row>
    <row r="2255" spans="2:7" s="63" customFormat="1">
      <c r="B2255" s="49"/>
      <c r="C2255" s="49"/>
      <c r="D2255" s="49"/>
      <c r="E2255" s="49"/>
      <c r="F2255" s="49"/>
      <c r="G2255" s="49"/>
    </row>
    <row r="2256" spans="2:7" s="63" customFormat="1">
      <c r="B2256" s="49"/>
      <c r="C2256" s="49"/>
      <c r="D2256" s="49"/>
      <c r="E2256" s="49"/>
      <c r="F2256" s="49"/>
      <c r="G2256" s="49"/>
    </row>
    <row r="2257" spans="2:7" s="63" customFormat="1">
      <c r="B2257" s="49"/>
      <c r="C2257" s="49"/>
      <c r="D2257" s="49"/>
      <c r="E2257" s="49"/>
      <c r="F2257" s="49"/>
      <c r="G2257" s="49"/>
    </row>
    <row r="2258" spans="2:7" s="63" customFormat="1">
      <c r="B2258" s="49"/>
      <c r="C2258" s="49"/>
      <c r="D2258" s="49"/>
      <c r="E2258" s="49"/>
      <c r="F2258" s="49"/>
      <c r="G2258" s="49"/>
    </row>
    <row r="2259" spans="2:7" s="63" customFormat="1">
      <c r="B2259" s="49"/>
      <c r="C2259" s="49"/>
      <c r="D2259" s="49"/>
      <c r="E2259" s="49"/>
      <c r="F2259" s="49"/>
      <c r="G2259" s="49"/>
    </row>
    <row r="2260" spans="2:7" s="63" customFormat="1">
      <c r="B2260" s="49"/>
      <c r="C2260" s="49"/>
      <c r="D2260" s="49"/>
      <c r="E2260" s="49"/>
      <c r="F2260" s="49"/>
      <c r="G2260" s="49"/>
    </row>
    <row r="2261" spans="2:7" s="63" customFormat="1">
      <c r="B2261" s="49"/>
      <c r="C2261" s="49"/>
      <c r="D2261" s="49"/>
      <c r="E2261" s="49"/>
      <c r="F2261" s="49"/>
      <c r="G2261" s="49"/>
    </row>
    <row r="2262" spans="2:7" s="63" customFormat="1">
      <c r="B2262" s="49"/>
      <c r="C2262" s="49"/>
      <c r="D2262" s="49"/>
      <c r="E2262" s="49"/>
      <c r="F2262" s="49"/>
      <c r="G2262" s="49"/>
    </row>
    <row r="2263" spans="2:7" s="63" customFormat="1">
      <c r="B2263" s="49"/>
      <c r="C2263" s="49"/>
      <c r="D2263" s="49"/>
      <c r="E2263" s="49"/>
      <c r="F2263" s="49"/>
      <c r="G2263" s="49"/>
    </row>
    <row r="2264" spans="2:7" s="63" customFormat="1">
      <c r="B2264" s="49"/>
      <c r="C2264" s="49"/>
      <c r="D2264" s="49"/>
      <c r="E2264" s="49"/>
      <c r="F2264" s="49"/>
      <c r="G2264" s="49"/>
    </row>
    <row r="2265" spans="2:7" s="63" customFormat="1">
      <c r="B2265" s="49"/>
      <c r="C2265" s="49"/>
      <c r="D2265" s="49"/>
      <c r="E2265" s="49"/>
      <c r="F2265" s="49"/>
      <c r="G2265" s="49"/>
    </row>
    <row r="2266" spans="2:7" s="63" customFormat="1">
      <c r="B2266" s="49"/>
      <c r="C2266" s="49"/>
      <c r="D2266" s="49"/>
      <c r="E2266" s="49"/>
      <c r="F2266" s="49"/>
      <c r="G2266" s="49"/>
    </row>
    <row r="2267" spans="2:7" s="63" customFormat="1">
      <c r="B2267" s="49"/>
      <c r="C2267" s="49"/>
      <c r="D2267" s="49"/>
      <c r="E2267" s="49"/>
      <c r="F2267" s="49"/>
      <c r="G2267" s="49"/>
    </row>
    <row r="2268" spans="2:7" s="63" customFormat="1">
      <c r="B2268" s="49"/>
      <c r="C2268" s="49"/>
      <c r="D2268" s="49"/>
      <c r="E2268" s="49"/>
      <c r="F2268" s="49"/>
      <c r="G2268" s="49"/>
    </row>
    <row r="2269" spans="2:7" s="63" customFormat="1">
      <c r="B2269" s="49"/>
      <c r="C2269" s="49"/>
      <c r="D2269" s="49"/>
      <c r="E2269" s="49"/>
      <c r="F2269" s="49"/>
      <c r="G2269" s="49"/>
    </row>
    <row r="2270" spans="2:7" s="63" customFormat="1">
      <c r="B2270" s="49"/>
      <c r="C2270" s="49"/>
      <c r="D2270" s="49"/>
      <c r="E2270" s="49"/>
      <c r="F2270" s="49"/>
      <c r="G2270" s="49"/>
    </row>
    <row r="2271" spans="2:7" s="63" customFormat="1">
      <c r="B2271" s="49"/>
      <c r="C2271" s="49"/>
      <c r="D2271" s="49"/>
      <c r="E2271" s="49"/>
      <c r="F2271" s="49"/>
      <c r="G2271" s="49"/>
    </row>
    <row r="2272" spans="2:7" s="63" customFormat="1">
      <c r="B2272" s="49"/>
      <c r="C2272" s="49"/>
      <c r="D2272" s="49"/>
      <c r="E2272" s="49"/>
      <c r="F2272" s="49"/>
      <c r="G2272" s="49"/>
    </row>
    <row r="2273" spans="2:7" s="63" customFormat="1">
      <c r="B2273" s="49"/>
      <c r="C2273" s="49"/>
      <c r="D2273" s="49"/>
      <c r="E2273" s="49"/>
      <c r="F2273" s="49"/>
      <c r="G2273" s="49"/>
    </row>
    <row r="2274" spans="2:7" s="63" customFormat="1">
      <c r="B2274" s="49"/>
      <c r="C2274" s="49"/>
      <c r="D2274" s="49"/>
      <c r="E2274" s="49"/>
      <c r="F2274" s="49"/>
      <c r="G2274" s="49"/>
    </row>
    <row r="2275" spans="2:7" s="63" customFormat="1">
      <c r="B2275" s="49"/>
      <c r="C2275" s="49"/>
      <c r="D2275" s="49"/>
      <c r="E2275" s="49"/>
      <c r="F2275" s="49"/>
      <c r="G2275" s="49"/>
    </row>
    <row r="2276" spans="2:7" s="63" customFormat="1">
      <c r="B2276" s="49"/>
      <c r="C2276" s="49"/>
      <c r="D2276" s="49"/>
      <c r="E2276" s="49"/>
      <c r="F2276" s="49"/>
      <c r="G2276" s="49"/>
    </row>
    <row r="2277" spans="2:7" s="63" customFormat="1">
      <c r="B2277" s="49"/>
      <c r="C2277" s="49"/>
      <c r="D2277" s="49"/>
      <c r="E2277" s="49"/>
      <c r="F2277" s="49"/>
      <c r="G2277" s="49"/>
    </row>
    <row r="2278" spans="2:7" s="63" customFormat="1">
      <c r="B2278" s="49"/>
      <c r="C2278" s="49"/>
      <c r="D2278" s="49"/>
      <c r="E2278" s="49"/>
      <c r="F2278" s="49"/>
      <c r="G2278" s="49"/>
    </row>
    <row r="2279" spans="2:7" s="63" customFormat="1">
      <c r="B2279" s="49"/>
      <c r="C2279" s="49"/>
      <c r="D2279" s="49"/>
      <c r="E2279" s="49"/>
      <c r="F2279" s="49"/>
      <c r="G2279" s="49"/>
    </row>
    <row r="2280" spans="2:7" s="63" customFormat="1">
      <c r="B2280" s="49"/>
      <c r="C2280" s="49"/>
      <c r="D2280" s="49"/>
      <c r="E2280" s="49"/>
      <c r="F2280" s="49"/>
      <c r="G2280" s="49"/>
    </row>
    <row r="2281" spans="2:7" s="63" customFormat="1">
      <c r="B2281" s="49"/>
      <c r="C2281" s="49"/>
      <c r="D2281" s="49"/>
      <c r="E2281" s="49"/>
      <c r="F2281" s="49"/>
      <c r="G2281" s="49"/>
    </row>
    <row r="2282" spans="2:7" s="63" customFormat="1">
      <c r="B2282" s="49"/>
      <c r="C2282" s="49"/>
      <c r="D2282" s="49"/>
      <c r="E2282" s="49"/>
      <c r="F2282" s="49"/>
      <c r="G2282" s="49"/>
    </row>
    <row r="2283" spans="2:7" s="63" customFormat="1">
      <c r="B2283" s="49"/>
      <c r="C2283" s="49"/>
      <c r="D2283" s="49"/>
      <c r="E2283" s="49"/>
      <c r="F2283" s="49"/>
      <c r="G2283" s="49"/>
    </row>
    <row r="2284" spans="2:7" s="63" customFormat="1">
      <c r="B2284" s="49"/>
      <c r="C2284" s="49"/>
      <c r="D2284" s="49"/>
      <c r="E2284" s="49"/>
      <c r="F2284" s="49"/>
      <c r="G2284" s="49"/>
    </row>
    <row r="2285" spans="2:7" s="63" customFormat="1">
      <c r="B2285" s="49"/>
      <c r="C2285" s="49"/>
      <c r="D2285" s="49"/>
      <c r="E2285" s="49"/>
      <c r="F2285" s="49"/>
      <c r="G2285" s="49"/>
    </row>
    <row r="2286" spans="2:7" s="63" customFormat="1">
      <c r="B2286" s="49"/>
      <c r="C2286" s="49"/>
      <c r="D2286" s="49"/>
      <c r="E2286" s="49"/>
      <c r="F2286" s="49"/>
      <c r="G2286" s="49"/>
    </row>
    <row r="2287" spans="2:7" s="63" customFormat="1">
      <c r="B2287" s="49"/>
      <c r="C2287" s="49"/>
      <c r="D2287" s="49"/>
      <c r="E2287" s="49"/>
      <c r="F2287" s="49"/>
      <c r="G2287" s="49"/>
    </row>
    <row r="2288" spans="2:7" s="63" customFormat="1">
      <c r="B2288" s="49"/>
      <c r="C2288" s="49"/>
      <c r="D2288" s="49"/>
      <c r="E2288" s="49"/>
      <c r="F2288" s="49"/>
      <c r="G2288" s="49"/>
    </row>
    <row r="2289" spans="2:7" s="63" customFormat="1">
      <c r="B2289" s="49"/>
      <c r="C2289" s="49"/>
      <c r="D2289" s="49"/>
      <c r="E2289" s="49"/>
      <c r="F2289" s="49"/>
      <c r="G2289" s="49"/>
    </row>
    <row r="2290" spans="2:7" s="63" customFormat="1">
      <c r="B2290" s="49"/>
      <c r="C2290" s="49"/>
      <c r="D2290" s="49"/>
      <c r="E2290" s="49"/>
      <c r="F2290" s="49"/>
      <c r="G2290" s="49"/>
    </row>
    <row r="2291" spans="2:7" s="63" customFormat="1">
      <c r="B2291" s="49"/>
      <c r="C2291" s="49"/>
      <c r="D2291" s="49"/>
      <c r="E2291" s="49"/>
      <c r="F2291" s="49"/>
      <c r="G2291" s="49"/>
    </row>
    <row r="2292" spans="2:7" s="63" customFormat="1">
      <c r="B2292" s="49"/>
      <c r="C2292" s="49"/>
      <c r="D2292" s="49"/>
      <c r="E2292" s="49"/>
      <c r="F2292" s="49"/>
      <c r="G2292" s="49"/>
    </row>
    <row r="2293" spans="2:7" s="63" customFormat="1">
      <c r="B2293" s="49"/>
      <c r="C2293" s="49"/>
      <c r="D2293" s="49"/>
      <c r="E2293" s="49"/>
      <c r="F2293" s="49"/>
      <c r="G2293" s="49"/>
    </row>
    <row r="2294" spans="2:7" s="63" customFormat="1">
      <c r="B2294" s="49"/>
      <c r="C2294" s="49"/>
      <c r="D2294" s="49"/>
      <c r="E2294" s="49"/>
      <c r="F2294" s="49"/>
      <c r="G2294" s="49"/>
    </row>
    <row r="2295" spans="2:7" s="63" customFormat="1">
      <c r="B2295" s="49"/>
      <c r="C2295" s="49"/>
      <c r="D2295" s="49"/>
      <c r="E2295" s="49"/>
      <c r="F2295" s="49"/>
      <c r="G2295" s="49"/>
    </row>
    <row r="2296" spans="2:7" s="63" customFormat="1">
      <c r="B2296" s="49"/>
      <c r="C2296" s="49"/>
      <c r="D2296" s="49"/>
      <c r="E2296" s="49"/>
      <c r="F2296" s="49"/>
      <c r="G2296" s="49"/>
    </row>
    <row r="2297" spans="2:7" s="63" customFormat="1">
      <c r="B2297" s="49"/>
      <c r="C2297" s="49"/>
      <c r="D2297" s="49"/>
      <c r="E2297" s="49"/>
      <c r="F2297" s="49"/>
      <c r="G2297" s="49"/>
    </row>
    <row r="2298" spans="2:7" s="63" customFormat="1">
      <c r="B2298" s="49"/>
      <c r="C2298" s="49"/>
      <c r="D2298" s="49"/>
      <c r="E2298" s="49"/>
      <c r="F2298" s="49"/>
      <c r="G2298" s="49"/>
    </row>
    <row r="2299" spans="2:7" s="63" customFormat="1">
      <c r="B2299" s="49"/>
      <c r="C2299" s="49"/>
      <c r="D2299" s="49"/>
      <c r="E2299" s="49"/>
      <c r="F2299" s="49"/>
      <c r="G2299" s="49"/>
    </row>
    <row r="2300" spans="2:7" s="63" customFormat="1">
      <c r="B2300" s="49"/>
      <c r="C2300" s="49"/>
      <c r="D2300" s="49"/>
      <c r="E2300" s="49"/>
      <c r="F2300" s="49"/>
      <c r="G2300" s="49"/>
    </row>
    <row r="2301" spans="2:7" s="63" customFormat="1">
      <c r="B2301" s="49"/>
      <c r="C2301" s="49"/>
      <c r="D2301" s="49"/>
      <c r="E2301" s="49"/>
      <c r="F2301" s="49"/>
      <c r="G2301" s="49"/>
    </row>
    <row r="2302" spans="2:7" s="63" customFormat="1">
      <c r="B2302" s="49"/>
      <c r="C2302" s="49"/>
      <c r="D2302" s="49"/>
      <c r="E2302" s="49"/>
      <c r="F2302" s="49"/>
      <c r="G2302" s="49"/>
    </row>
    <row r="2303" spans="2:7" s="63" customFormat="1">
      <c r="B2303" s="49"/>
      <c r="C2303" s="49"/>
      <c r="D2303" s="49"/>
      <c r="E2303" s="49"/>
      <c r="F2303" s="49"/>
      <c r="G2303" s="49"/>
    </row>
    <row r="2304" spans="2:7" s="63" customFormat="1">
      <c r="B2304" s="49"/>
      <c r="C2304" s="49"/>
      <c r="D2304" s="49"/>
      <c r="E2304" s="49"/>
      <c r="F2304" s="49"/>
      <c r="G2304" s="49"/>
    </row>
    <row r="2305" spans="2:7" s="63" customFormat="1">
      <c r="B2305" s="49"/>
      <c r="C2305" s="49"/>
      <c r="D2305" s="49"/>
      <c r="E2305" s="49"/>
      <c r="F2305" s="49"/>
      <c r="G2305" s="49"/>
    </row>
    <row r="2306" spans="2:7" s="63" customFormat="1">
      <c r="B2306" s="49"/>
      <c r="C2306" s="49"/>
      <c r="D2306" s="49"/>
      <c r="E2306" s="49"/>
      <c r="F2306" s="49"/>
      <c r="G2306" s="49"/>
    </row>
    <row r="2307" spans="2:7" s="63" customFormat="1">
      <c r="B2307" s="49"/>
      <c r="C2307" s="49"/>
      <c r="D2307" s="49"/>
      <c r="E2307" s="49"/>
      <c r="F2307" s="49"/>
      <c r="G2307" s="49"/>
    </row>
    <row r="2308" spans="2:7" s="63" customFormat="1">
      <c r="B2308" s="49"/>
      <c r="C2308" s="49"/>
      <c r="D2308" s="49"/>
      <c r="E2308" s="49"/>
      <c r="F2308" s="49"/>
      <c r="G2308" s="49"/>
    </row>
    <row r="2309" spans="2:7" s="63" customFormat="1">
      <c r="B2309" s="49"/>
      <c r="C2309" s="49"/>
      <c r="D2309" s="49"/>
      <c r="E2309" s="49"/>
      <c r="F2309" s="49"/>
      <c r="G2309" s="49"/>
    </row>
    <row r="2310" spans="2:7" s="63" customFormat="1">
      <c r="B2310" s="49"/>
      <c r="C2310" s="49"/>
      <c r="D2310" s="49"/>
      <c r="E2310" s="49"/>
      <c r="F2310" s="49"/>
      <c r="G2310" s="49"/>
    </row>
    <row r="2311" spans="2:7" s="63" customFormat="1">
      <c r="B2311" s="49"/>
      <c r="C2311" s="49"/>
      <c r="D2311" s="49"/>
      <c r="E2311" s="49"/>
      <c r="F2311" s="49"/>
      <c r="G2311" s="49"/>
    </row>
    <row r="2312" spans="2:7" s="63" customFormat="1">
      <c r="B2312" s="49"/>
      <c r="C2312" s="49"/>
      <c r="D2312" s="49"/>
      <c r="E2312" s="49"/>
      <c r="F2312" s="49"/>
      <c r="G2312" s="49"/>
    </row>
    <row r="2313" spans="2:7" s="63" customFormat="1">
      <c r="B2313" s="49"/>
      <c r="C2313" s="49"/>
      <c r="D2313" s="49"/>
      <c r="E2313" s="49"/>
      <c r="F2313" s="49"/>
      <c r="G2313" s="49"/>
    </row>
    <row r="2314" spans="2:7" s="63" customFormat="1">
      <c r="B2314" s="49"/>
      <c r="C2314" s="49"/>
      <c r="D2314" s="49"/>
      <c r="E2314" s="49"/>
      <c r="F2314" s="49"/>
      <c r="G2314" s="49"/>
    </row>
    <row r="2315" spans="2:7" s="63" customFormat="1">
      <c r="B2315" s="49"/>
      <c r="C2315" s="49"/>
      <c r="D2315" s="49"/>
      <c r="E2315" s="49"/>
      <c r="F2315" s="49"/>
      <c r="G2315" s="49"/>
    </row>
    <row r="2316" spans="2:7" s="63" customFormat="1">
      <c r="B2316" s="49"/>
      <c r="C2316" s="49"/>
      <c r="D2316" s="49"/>
      <c r="E2316" s="49"/>
      <c r="F2316" s="49"/>
      <c r="G2316" s="49"/>
    </row>
    <row r="2317" spans="2:7" s="63" customFormat="1">
      <c r="B2317" s="49"/>
      <c r="C2317" s="49"/>
      <c r="D2317" s="49"/>
      <c r="E2317" s="49"/>
      <c r="F2317" s="49"/>
      <c r="G2317" s="49"/>
    </row>
    <row r="2318" spans="2:7" s="63" customFormat="1">
      <c r="B2318" s="49"/>
      <c r="C2318" s="49"/>
      <c r="D2318" s="49"/>
      <c r="E2318" s="49"/>
      <c r="F2318" s="49"/>
      <c r="G2318" s="49"/>
    </row>
    <row r="2319" spans="2:7" s="63" customFormat="1">
      <c r="B2319" s="49"/>
      <c r="C2319" s="49"/>
      <c r="D2319" s="49"/>
      <c r="E2319" s="49"/>
      <c r="F2319" s="49"/>
      <c r="G2319" s="49"/>
    </row>
    <row r="2320" spans="2:7" s="63" customFormat="1">
      <c r="B2320" s="49"/>
      <c r="C2320" s="49"/>
      <c r="D2320" s="49"/>
      <c r="E2320" s="49"/>
      <c r="F2320" s="49"/>
      <c r="G2320" s="49"/>
    </row>
    <row r="2321" spans="2:7" s="63" customFormat="1">
      <c r="B2321" s="49"/>
      <c r="C2321" s="49"/>
      <c r="D2321" s="49"/>
      <c r="E2321" s="49"/>
      <c r="F2321" s="49"/>
      <c r="G2321" s="49"/>
    </row>
    <row r="2322" spans="2:7" s="63" customFormat="1">
      <c r="B2322" s="49"/>
      <c r="C2322" s="49"/>
      <c r="D2322" s="49"/>
      <c r="E2322" s="49"/>
      <c r="F2322" s="49"/>
      <c r="G2322" s="49"/>
    </row>
    <row r="2323" spans="2:7" s="63" customFormat="1">
      <c r="B2323" s="49"/>
      <c r="C2323" s="49"/>
      <c r="D2323" s="49"/>
      <c r="E2323" s="49"/>
      <c r="F2323" s="49"/>
      <c r="G2323" s="49"/>
    </row>
    <row r="2324" spans="2:7" s="63" customFormat="1">
      <c r="B2324" s="49"/>
      <c r="C2324" s="49"/>
      <c r="D2324" s="49"/>
      <c r="E2324" s="49"/>
      <c r="F2324" s="49"/>
      <c r="G2324" s="49"/>
    </row>
    <row r="2325" spans="2:7" s="63" customFormat="1">
      <c r="B2325" s="49"/>
      <c r="C2325" s="49"/>
      <c r="D2325" s="49"/>
      <c r="E2325" s="49"/>
      <c r="F2325" s="49"/>
      <c r="G2325" s="49"/>
    </row>
    <row r="2326" spans="2:7" s="63" customFormat="1">
      <c r="B2326" s="49"/>
      <c r="C2326" s="49"/>
      <c r="D2326" s="49"/>
      <c r="E2326" s="49"/>
      <c r="F2326" s="49"/>
      <c r="G2326" s="49"/>
    </row>
    <row r="2327" spans="2:7" s="63" customFormat="1">
      <c r="B2327" s="49"/>
      <c r="C2327" s="49"/>
      <c r="D2327" s="49"/>
      <c r="E2327" s="49"/>
      <c r="F2327" s="49"/>
      <c r="G2327" s="49"/>
    </row>
    <row r="2328" spans="2:7" s="63" customFormat="1">
      <c r="B2328" s="49"/>
      <c r="C2328" s="49"/>
      <c r="D2328" s="49"/>
      <c r="E2328" s="49"/>
      <c r="F2328" s="49"/>
      <c r="G2328" s="49"/>
    </row>
    <row r="2329" spans="2:7" s="63" customFormat="1">
      <c r="B2329" s="49"/>
      <c r="C2329" s="49"/>
      <c r="D2329" s="49"/>
      <c r="E2329" s="49"/>
      <c r="F2329" s="49"/>
      <c r="G2329" s="49"/>
    </row>
    <row r="2330" spans="2:7" s="63" customFormat="1">
      <c r="B2330" s="49"/>
      <c r="C2330" s="49"/>
      <c r="D2330" s="49"/>
      <c r="E2330" s="49"/>
      <c r="F2330" s="49"/>
      <c r="G2330" s="49"/>
    </row>
    <row r="2331" spans="2:7" s="63" customFormat="1">
      <c r="B2331" s="49"/>
      <c r="C2331" s="49"/>
      <c r="D2331" s="49"/>
      <c r="E2331" s="49"/>
      <c r="F2331" s="49"/>
      <c r="G2331" s="49"/>
    </row>
    <row r="2332" spans="2:7" s="63" customFormat="1">
      <c r="B2332" s="49"/>
      <c r="C2332" s="49"/>
      <c r="D2332" s="49"/>
      <c r="E2332" s="49"/>
      <c r="F2332" s="49"/>
      <c r="G2332" s="49"/>
    </row>
    <row r="2333" spans="2:7" s="63" customFormat="1">
      <c r="B2333" s="49"/>
      <c r="C2333" s="49"/>
      <c r="D2333" s="49"/>
      <c r="E2333" s="49"/>
      <c r="F2333" s="49"/>
      <c r="G2333" s="49"/>
    </row>
    <row r="2334" spans="2:7" s="63" customFormat="1">
      <c r="B2334" s="49"/>
      <c r="C2334" s="49"/>
      <c r="D2334" s="49"/>
      <c r="E2334" s="49"/>
      <c r="F2334" s="49"/>
      <c r="G2334" s="49"/>
    </row>
    <row r="2335" spans="2:7" s="63" customFormat="1">
      <c r="B2335" s="49"/>
      <c r="C2335" s="49"/>
      <c r="D2335" s="49"/>
      <c r="E2335" s="49"/>
      <c r="F2335" s="49"/>
      <c r="G2335" s="49"/>
    </row>
    <row r="2336" spans="2:7" s="63" customFormat="1">
      <c r="B2336" s="49"/>
      <c r="C2336" s="49"/>
      <c r="D2336" s="49"/>
      <c r="E2336" s="49"/>
      <c r="F2336" s="49"/>
      <c r="G2336" s="49"/>
    </row>
    <row r="2337" spans="2:7" s="63" customFormat="1">
      <c r="B2337" s="49"/>
      <c r="C2337" s="49"/>
      <c r="D2337" s="49"/>
      <c r="E2337" s="49"/>
      <c r="F2337" s="49"/>
      <c r="G2337" s="49"/>
    </row>
    <row r="2338" spans="2:7" s="63" customFormat="1">
      <c r="B2338" s="49"/>
      <c r="C2338" s="49"/>
      <c r="D2338" s="49"/>
      <c r="E2338" s="49"/>
      <c r="F2338" s="49"/>
      <c r="G2338" s="49"/>
    </row>
    <row r="2339" spans="2:7" s="63" customFormat="1">
      <c r="B2339" s="49"/>
      <c r="C2339" s="49"/>
      <c r="D2339" s="49"/>
      <c r="E2339" s="49"/>
      <c r="F2339" s="49"/>
      <c r="G2339" s="49"/>
    </row>
    <row r="2340" spans="2:7" s="63" customFormat="1">
      <c r="B2340" s="49"/>
      <c r="C2340" s="49"/>
      <c r="D2340" s="49"/>
      <c r="E2340" s="49"/>
      <c r="F2340" s="49"/>
      <c r="G2340" s="49"/>
    </row>
    <row r="2341" spans="2:7" s="63" customFormat="1">
      <c r="B2341" s="49"/>
      <c r="C2341" s="49"/>
      <c r="D2341" s="49"/>
      <c r="E2341" s="49"/>
      <c r="F2341" s="49"/>
      <c r="G2341" s="49"/>
    </row>
    <row r="2342" spans="2:7" s="63" customFormat="1">
      <c r="B2342" s="49"/>
      <c r="C2342" s="49"/>
      <c r="D2342" s="49"/>
      <c r="E2342" s="49"/>
      <c r="F2342" s="49"/>
      <c r="G2342" s="49"/>
    </row>
    <row r="2343" spans="2:7" s="63" customFormat="1">
      <c r="B2343" s="49"/>
      <c r="C2343" s="49"/>
      <c r="D2343" s="49"/>
      <c r="E2343" s="49"/>
      <c r="F2343" s="49"/>
      <c r="G2343" s="49"/>
    </row>
    <row r="2344" spans="2:7" s="63" customFormat="1">
      <c r="B2344" s="49"/>
      <c r="C2344" s="49"/>
      <c r="D2344" s="49"/>
      <c r="E2344" s="49"/>
      <c r="F2344" s="49"/>
      <c r="G2344" s="49"/>
    </row>
    <row r="2345" spans="2:7" s="63" customFormat="1">
      <c r="B2345" s="49"/>
      <c r="C2345" s="49"/>
      <c r="D2345" s="49"/>
      <c r="E2345" s="49"/>
      <c r="F2345" s="49"/>
      <c r="G2345" s="49"/>
    </row>
    <row r="2346" spans="2:7" s="63" customFormat="1">
      <c r="B2346" s="49"/>
      <c r="C2346" s="49"/>
      <c r="D2346" s="49"/>
      <c r="E2346" s="49"/>
      <c r="F2346" s="49"/>
      <c r="G2346" s="49"/>
    </row>
    <row r="2347" spans="2:7" s="63" customFormat="1">
      <c r="B2347" s="49"/>
      <c r="C2347" s="49"/>
      <c r="D2347" s="49"/>
      <c r="E2347" s="49"/>
      <c r="F2347" s="49"/>
      <c r="G2347" s="49"/>
    </row>
    <row r="2348" spans="2:7" s="63" customFormat="1">
      <c r="B2348" s="49"/>
      <c r="C2348" s="49"/>
      <c r="D2348" s="49"/>
      <c r="E2348" s="49"/>
      <c r="F2348" s="49"/>
      <c r="G2348" s="49"/>
    </row>
    <row r="2349" spans="2:7" s="63" customFormat="1">
      <c r="B2349" s="49"/>
      <c r="C2349" s="49"/>
      <c r="D2349" s="49"/>
      <c r="E2349" s="49"/>
      <c r="F2349" s="49"/>
      <c r="G2349" s="49"/>
    </row>
    <row r="2350" spans="2:7" s="63" customFormat="1">
      <c r="B2350" s="49"/>
      <c r="C2350" s="49"/>
      <c r="D2350" s="49"/>
      <c r="E2350" s="49"/>
      <c r="F2350" s="49"/>
      <c r="G2350" s="49"/>
    </row>
    <row r="2351" spans="2:7" s="63" customFormat="1">
      <c r="B2351" s="49"/>
      <c r="C2351" s="49"/>
      <c r="D2351" s="49"/>
      <c r="E2351" s="49"/>
      <c r="F2351" s="49"/>
      <c r="G2351" s="49"/>
    </row>
    <row r="2352" spans="2:7" s="63" customFormat="1">
      <c r="B2352" s="49"/>
      <c r="C2352" s="49"/>
      <c r="D2352" s="49"/>
      <c r="E2352" s="49"/>
      <c r="F2352" s="49"/>
      <c r="G2352" s="49"/>
    </row>
    <row r="2353" spans="2:7" s="63" customFormat="1">
      <c r="B2353" s="49"/>
      <c r="C2353" s="49"/>
      <c r="D2353" s="49"/>
      <c r="E2353" s="49"/>
      <c r="F2353" s="49"/>
      <c r="G2353" s="49"/>
    </row>
    <row r="2354" spans="2:7" s="63" customFormat="1">
      <c r="B2354" s="49"/>
      <c r="C2354" s="49"/>
      <c r="D2354" s="49"/>
      <c r="E2354" s="49"/>
      <c r="F2354" s="49"/>
      <c r="G2354" s="49"/>
    </row>
    <row r="2355" spans="2:7" s="63" customFormat="1">
      <c r="B2355" s="49"/>
      <c r="C2355" s="49"/>
      <c r="D2355" s="49"/>
      <c r="E2355" s="49"/>
      <c r="F2355" s="49"/>
      <c r="G2355" s="49"/>
    </row>
    <row r="2356" spans="2:7" s="63" customFormat="1">
      <c r="B2356" s="49"/>
      <c r="C2356" s="49"/>
      <c r="D2356" s="49"/>
      <c r="E2356" s="49"/>
      <c r="F2356" s="49"/>
      <c r="G2356" s="49"/>
    </row>
    <row r="2357" spans="2:7" s="63" customFormat="1">
      <c r="B2357" s="49"/>
      <c r="C2357" s="49"/>
      <c r="D2357" s="49"/>
      <c r="E2357" s="49"/>
      <c r="F2357" s="49"/>
      <c r="G2357" s="49"/>
    </row>
    <row r="2358" spans="2:7" s="63" customFormat="1">
      <c r="B2358" s="49"/>
      <c r="C2358" s="49"/>
      <c r="D2358" s="49"/>
      <c r="E2358" s="49"/>
      <c r="F2358" s="49"/>
      <c r="G2358" s="49"/>
    </row>
    <row r="2359" spans="2:7" s="63" customFormat="1">
      <c r="B2359" s="49"/>
      <c r="C2359" s="49"/>
      <c r="D2359" s="49"/>
      <c r="E2359" s="49"/>
      <c r="F2359" s="49"/>
      <c r="G2359" s="49"/>
    </row>
    <row r="2360" spans="2:7" s="63" customFormat="1">
      <c r="B2360" s="49"/>
      <c r="C2360" s="49"/>
      <c r="D2360" s="49"/>
      <c r="E2360" s="49"/>
      <c r="F2360" s="49"/>
      <c r="G2360" s="49"/>
    </row>
    <row r="2361" spans="2:7" s="63" customFormat="1">
      <c r="B2361" s="49"/>
      <c r="C2361" s="49"/>
      <c r="D2361" s="49"/>
      <c r="E2361" s="49"/>
      <c r="F2361" s="49"/>
      <c r="G2361" s="49"/>
    </row>
    <row r="2362" spans="2:7" s="63" customFormat="1">
      <c r="B2362" s="49"/>
      <c r="C2362" s="49"/>
      <c r="D2362" s="49"/>
      <c r="E2362" s="49"/>
      <c r="F2362" s="49"/>
      <c r="G2362" s="49"/>
    </row>
    <row r="2363" spans="2:7" s="63" customFormat="1">
      <c r="B2363" s="49"/>
      <c r="C2363" s="49"/>
      <c r="D2363" s="49"/>
      <c r="E2363" s="49"/>
      <c r="F2363" s="49"/>
      <c r="G2363" s="49"/>
    </row>
    <row r="2364" spans="2:7" s="63" customFormat="1">
      <c r="B2364" s="49"/>
      <c r="C2364" s="49"/>
      <c r="D2364" s="49"/>
      <c r="E2364" s="49"/>
      <c r="F2364" s="49"/>
      <c r="G2364" s="49"/>
    </row>
    <row r="2365" spans="2:7" s="63" customFormat="1">
      <c r="B2365" s="49"/>
      <c r="C2365" s="49"/>
      <c r="D2365" s="49"/>
      <c r="E2365" s="49"/>
      <c r="F2365" s="49"/>
      <c r="G2365" s="49"/>
    </row>
    <row r="2366" spans="2:7" s="63" customFormat="1">
      <c r="B2366" s="49"/>
      <c r="C2366" s="49"/>
      <c r="D2366" s="49"/>
      <c r="E2366" s="49"/>
      <c r="F2366" s="49"/>
      <c r="G2366" s="49"/>
    </row>
    <row r="2367" spans="2:7" s="63" customFormat="1">
      <c r="B2367" s="49"/>
      <c r="C2367" s="49"/>
      <c r="D2367" s="49"/>
      <c r="E2367" s="49"/>
      <c r="F2367" s="49"/>
      <c r="G2367" s="49"/>
    </row>
    <row r="2368" spans="2:7" s="63" customFormat="1">
      <c r="B2368" s="49"/>
      <c r="C2368" s="49"/>
      <c r="D2368" s="49"/>
      <c r="E2368" s="49"/>
      <c r="F2368" s="49"/>
      <c r="G2368" s="49"/>
    </row>
    <row r="2369" spans="2:7" s="63" customFormat="1">
      <c r="B2369" s="49"/>
      <c r="C2369" s="49"/>
      <c r="D2369" s="49"/>
      <c r="E2369" s="49"/>
      <c r="F2369" s="49"/>
      <c r="G2369" s="49"/>
    </row>
    <row r="2370" spans="2:7" s="63" customFormat="1">
      <c r="B2370" s="49"/>
      <c r="C2370" s="49"/>
      <c r="D2370" s="49"/>
      <c r="E2370" s="49"/>
      <c r="F2370" s="49"/>
      <c r="G2370" s="49"/>
    </row>
    <row r="2371" spans="2:7" s="63" customFormat="1">
      <c r="B2371" s="49"/>
      <c r="C2371" s="49"/>
      <c r="D2371" s="49"/>
      <c r="E2371" s="49"/>
      <c r="F2371" s="49"/>
      <c r="G2371" s="49"/>
    </row>
    <row r="2372" spans="2:7" s="63" customFormat="1">
      <c r="B2372" s="49"/>
      <c r="C2372" s="49"/>
      <c r="D2372" s="49"/>
      <c r="E2372" s="49"/>
      <c r="F2372" s="49"/>
      <c r="G2372" s="49"/>
    </row>
    <row r="2373" spans="2:7" s="63" customFormat="1">
      <c r="B2373" s="49"/>
      <c r="C2373" s="49"/>
      <c r="D2373" s="49"/>
      <c r="E2373" s="49"/>
      <c r="F2373" s="49"/>
      <c r="G2373" s="49"/>
    </row>
    <row r="2374" spans="2:7" s="63" customFormat="1">
      <c r="B2374" s="49"/>
      <c r="C2374" s="49"/>
      <c r="D2374" s="49"/>
      <c r="E2374" s="49"/>
      <c r="F2374" s="49"/>
      <c r="G2374" s="49"/>
    </row>
    <row r="2375" spans="2:7" s="63" customFormat="1">
      <c r="B2375" s="49"/>
      <c r="C2375" s="49"/>
      <c r="D2375" s="49"/>
      <c r="E2375" s="49"/>
      <c r="F2375" s="49"/>
      <c r="G2375" s="49"/>
    </row>
    <row r="2376" spans="2:7" s="63" customFormat="1">
      <c r="B2376" s="49"/>
      <c r="C2376" s="49"/>
      <c r="D2376" s="49"/>
      <c r="E2376" s="49"/>
      <c r="F2376" s="49"/>
      <c r="G2376" s="49"/>
    </row>
    <row r="2377" spans="2:7" s="63" customFormat="1">
      <c r="B2377" s="49"/>
      <c r="C2377" s="49"/>
      <c r="D2377" s="49"/>
      <c r="E2377" s="49"/>
      <c r="F2377" s="49"/>
      <c r="G2377" s="49"/>
    </row>
    <row r="2378" spans="2:7" s="63" customFormat="1">
      <c r="B2378" s="49"/>
      <c r="C2378" s="49"/>
      <c r="D2378" s="49"/>
      <c r="E2378" s="49"/>
      <c r="F2378" s="49"/>
      <c r="G2378" s="49"/>
    </row>
    <row r="2379" spans="2:7" s="63" customFormat="1">
      <c r="B2379" s="49"/>
      <c r="C2379" s="49"/>
      <c r="D2379" s="49"/>
      <c r="E2379" s="49"/>
      <c r="F2379" s="49"/>
      <c r="G2379" s="49"/>
    </row>
    <row r="2380" spans="2:7" s="63" customFormat="1">
      <c r="B2380" s="49"/>
      <c r="C2380" s="49"/>
      <c r="D2380" s="49"/>
      <c r="E2380" s="49"/>
      <c r="F2380" s="49"/>
      <c r="G2380" s="49"/>
    </row>
    <row r="2381" spans="2:7" s="63" customFormat="1">
      <c r="B2381" s="49"/>
      <c r="C2381" s="49"/>
      <c r="D2381" s="49"/>
      <c r="E2381" s="49"/>
      <c r="F2381" s="49"/>
      <c r="G2381" s="49"/>
    </row>
    <row r="2382" spans="2:7" s="63" customFormat="1">
      <c r="B2382" s="49"/>
      <c r="C2382" s="49"/>
      <c r="D2382" s="49"/>
      <c r="E2382" s="49"/>
      <c r="F2382" s="49"/>
      <c r="G2382" s="49"/>
    </row>
    <row r="2383" spans="2:7" s="63" customFormat="1">
      <c r="B2383" s="49"/>
      <c r="C2383" s="49"/>
      <c r="D2383" s="49"/>
      <c r="E2383" s="49"/>
      <c r="F2383" s="49"/>
      <c r="G2383" s="49"/>
    </row>
    <row r="2384" spans="2:7" s="63" customFormat="1">
      <c r="B2384" s="49"/>
      <c r="C2384" s="49"/>
      <c r="D2384" s="49"/>
      <c r="E2384" s="49"/>
      <c r="F2384" s="49"/>
      <c r="G2384" s="49"/>
    </row>
    <row r="2385" spans="2:7" s="63" customFormat="1">
      <c r="B2385" s="49"/>
      <c r="C2385" s="49"/>
      <c r="D2385" s="49"/>
      <c r="E2385" s="49"/>
      <c r="F2385" s="49"/>
      <c r="G2385" s="49"/>
    </row>
    <row r="2386" spans="2:7" s="63" customFormat="1">
      <c r="B2386" s="49"/>
      <c r="C2386" s="49"/>
      <c r="D2386" s="49"/>
      <c r="E2386" s="49"/>
      <c r="F2386" s="49"/>
      <c r="G2386" s="49"/>
    </row>
    <row r="2387" spans="2:7" s="63" customFormat="1">
      <c r="B2387" s="49"/>
      <c r="C2387" s="49"/>
      <c r="D2387" s="49"/>
      <c r="E2387" s="49"/>
      <c r="F2387" s="49"/>
      <c r="G2387" s="49"/>
    </row>
    <row r="2388" spans="2:7" s="63" customFormat="1">
      <c r="B2388" s="49"/>
      <c r="C2388" s="49"/>
      <c r="D2388" s="49"/>
      <c r="E2388" s="49"/>
      <c r="F2388" s="49"/>
      <c r="G2388" s="49"/>
    </row>
    <row r="2389" spans="2:7" s="63" customFormat="1">
      <c r="B2389" s="49"/>
      <c r="C2389" s="49"/>
      <c r="D2389" s="49"/>
      <c r="E2389" s="49"/>
      <c r="F2389" s="49"/>
      <c r="G2389" s="49"/>
    </row>
    <row r="2390" spans="2:7" s="63" customFormat="1">
      <c r="B2390" s="49"/>
      <c r="C2390" s="49"/>
      <c r="D2390" s="49"/>
      <c r="E2390" s="49"/>
      <c r="F2390" s="49"/>
      <c r="G2390" s="49"/>
    </row>
    <row r="2391" spans="2:7" s="63" customFormat="1">
      <c r="B2391" s="49"/>
      <c r="C2391" s="49"/>
      <c r="D2391" s="49"/>
      <c r="E2391" s="49"/>
      <c r="F2391" s="49"/>
      <c r="G2391" s="49"/>
    </row>
    <row r="2392" spans="2:7" s="63" customFormat="1">
      <c r="B2392" s="49"/>
      <c r="C2392" s="49"/>
      <c r="D2392" s="49"/>
      <c r="E2392" s="49"/>
      <c r="F2392" s="49"/>
      <c r="G2392" s="49"/>
    </row>
    <row r="2393" spans="2:7" s="63" customFormat="1">
      <c r="B2393" s="49"/>
      <c r="C2393" s="49"/>
      <c r="D2393" s="49"/>
      <c r="E2393" s="49"/>
      <c r="F2393" s="49"/>
      <c r="G2393" s="49"/>
    </row>
    <row r="2394" spans="2:7" s="63" customFormat="1">
      <c r="B2394" s="49"/>
      <c r="C2394" s="49"/>
      <c r="D2394" s="49"/>
      <c r="E2394" s="49"/>
      <c r="F2394" s="49"/>
      <c r="G2394" s="49"/>
    </row>
    <row r="2395" spans="2:7" s="63" customFormat="1">
      <c r="B2395" s="49"/>
      <c r="C2395" s="49"/>
      <c r="D2395" s="49"/>
      <c r="E2395" s="49"/>
      <c r="F2395" s="49"/>
      <c r="G2395" s="49"/>
    </row>
    <row r="2396" spans="2:7" s="63" customFormat="1">
      <c r="B2396" s="49"/>
      <c r="C2396" s="49"/>
      <c r="D2396" s="49"/>
      <c r="E2396" s="49"/>
      <c r="F2396" s="49"/>
      <c r="G2396" s="49"/>
    </row>
    <row r="2397" spans="2:7" s="63" customFormat="1">
      <c r="B2397" s="49"/>
      <c r="C2397" s="49"/>
      <c r="D2397" s="49"/>
      <c r="E2397" s="49"/>
      <c r="F2397" s="49"/>
      <c r="G2397" s="49"/>
    </row>
    <row r="2398" spans="2:7" s="63" customFormat="1">
      <c r="B2398" s="49"/>
      <c r="C2398" s="49"/>
      <c r="D2398" s="49"/>
      <c r="E2398" s="49"/>
      <c r="F2398" s="49"/>
      <c r="G2398" s="49"/>
    </row>
    <row r="2399" spans="2:7" s="63" customFormat="1">
      <c r="B2399" s="49"/>
      <c r="C2399" s="49"/>
      <c r="D2399" s="49"/>
      <c r="E2399" s="49"/>
      <c r="F2399" s="49"/>
      <c r="G2399" s="49"/>
    </row>
    <row r="2400" spans="2:7" s="63" customFormat="1">
      <c r="B2400" s="49"/>
      <c r="C2400" s="49"/>
      <c r="D2400" s="49"/>
      <c r="E2400" s="49"/>
      <c r="F2400" s="49"/>
      <c r="G2400" s="49"/>
    </row>
    <row r="2401" spans="2:7" s="63" customFormat="1">
      <c r="B2401" s="49"/>
      <c r="C2401" s="49"/>
      <c r="D2401" s="49"/>
      <c r="E2401" s="49"/>
      <c r="F2401" s="49"/>
      <c r="G2401" s="49"/>
    </row>
    <row r="2402" spans="2:7" s="63" customFormat="1">
      <c r="B2402" s="49"/>
      <c r="C2402" s="49"/>
      <c r="D2402" s="49"/>
      <c r="E2402" s="49"/>
      <c r="F2402" s="49"/>
      <c r="G2402" s="49"/>
    </row>
    <row r="2403" spans="2:7" s="63" customFormat="1">
      <c r="B2403" s="49"/>
      <c r="C2403" s="49"/>
      <c r="D2403" s="49"/>
      <c r="E2403" s="49"/>
      <c r="F2403" s="49"/>
      <c r="G2403" s="49"/>
    </row>
    <row r="2404" spans="2:7" s="63" customFormat="1">
      <c r="B2404" s="49"/>
      <c r="C2404" s="49"/>
      <c r="D2404" s="49"/>
      <c r="E2404" s="49"/>
      <c r="F2404" s="49"/>
      <c r="G2404" s="49"/>
    </row>
    <row r="2405" spans="2:7" s="63" customFormat="1">
      <c r="B2405" s="49"/>
      <c r="C2405" s="49"/>
      <c r="D2405" s="49"/>
      <c r="E2405" s="49"/>
      <c r="F2405" s="49"/>
      <c r="G2405" s="49"/>
    </row>
    <row r="2406" spans="2:7" s="63" customFormat="1">
      <c r="B2406" s="49"/>
      <c r="C2406" s="49"/>
      <c r="D2406" s="49"/>
      <c r="E2406" s="49"/>
      <c r="F2406" s="49"/>
      <c r="G2406" s="49"/>
    </row>
    <row r="2407" spans="2:7" s="63" customFormat="1">
      <c r="B2407" s="49"/>
      <c r="C2407" s="49"/>
      <c r="D2407" s="49"/>
      <c r="E2407" s="49"/>
      <c r="F2407" s="49"/>
      <c r="G2407" s="49"/>
    </row>
    <row r="2408" spans="2:7" s="63" customFormat="1">
      <c r="B2408" s="49"/>
      <c r="C2408" s="49"/>
      <c r="D2408" s="49"/>
      <c r="E2408" s="49"/>
      <c r="F2408" s="49"/>
      <c r="G2408" s="49"/>
    </row>
    <row r="2409" spans="2:7" s="63" customFormat="1">
      <c r="B2409" s="49"/>
      <c r="C2409" s="49"/>
      <c r="D2409" s="49"/>
      <c r="E2409" s="49"/>
      <c r="F2409" s="49"/>
      <c r="G2409" s="49"/>
    </row>
    <row r="2410" spans="2:7" s="63" customFormat="1">
      <c r="B2410" s="49"/>
      <c r="C2410" s="49"/>
      <c r="D2410" s="49"/>
      <c r="E2410" s="49"/>
      <c r="F2410" s="49"/>
      <c r="G2410" s="49"/>
    </row>
    <row r="2411" spans="2:7" s="63" customFormat="1">
      <c r="B2411" s="49"/>
      <c r="C2411" s="49"/>
      <c r="D2411" s="49"/>
      <c r="E2411" s="49"/>
      <c r="F2411" s="49"/>
      <c r="G2411" s="49"/>
    </row>
    <row r="2412" spans="2:7" s="63" customFormat="1">
      <c r="B2412" s="49"/>
      <c r="C2412" s="49"/>
      <c r="D2412" s="49"/>
      <c r="E2412" s="49"/>
      <c r="F2412" s="49"/>
      <c r="G2412" s="49"/>
    </row>
    <row r="2413" spans="2:7" s="63" customFormat="1">
      <c r="B2413" s="49"/>
      <c r="C2413" s="49"/>
      <c r="D2413" s="49"/>
      <c r="E2413" s="49"/>
      <c r="F2413" s="49"/>
      <c r="G2413" s="49"/>
    </row>
    <row r="2414" spans="2:7" s="63" customFormat="1">
      <c r="B2414" s="49"/>
      <c r="C2414" s="49"/>
      <c r="D2414" s="49"/>
      <c r="E2414" s="49"/>
      <c r="F2414" s="49"/>
      <c r="G2414" s="49"/>
    </row>
    <row r="2415" spans="2:7" s="63" customFormat="1">
      <c r="B2415" s="49"/>
      <c r="C2415" s="49"/>
      <c r="D2415" s="49"/>
      <c r="E2415" s="49"/>
      <c r="F2415" s="49"/>
      <c r="G2415" s="49"/>
    </row>
    <row r="2416" spans="2:7" s="63" customFormat="1">
      <c r="B2416" s="49"/>
      <c r="C2416" s="49"/>
      <c r="D2416" s="49"/>
      <c r="E2416" s="49"/>
      <c r="F2416" s="49"/>
      <c r="G2416" s="49"/>
    </row>
    <row r="2417" spans="2:7" s="63" customFormat="1">
      <c r="B2417" s="49"/>
      <c r="C2417" s="49"/>
      <c r="D2417" s="49"/>
      <c r="E2417" s="49"/>
      <c r="F2417" s="49"/>
      <c r="G2417" s="49"/>
    </row>
    <row r="2418" spans="2:7" s="63" customFormat="1">
      <c r="B2418" s="49"/>
      <c r="C2418" s="49"/>
      <c r="D2418" s="49"/>
      <c r="E2418" s="49"/>
      <c r="F2418" s="49"/>
      <c r="G2418" s="49"/>
    </row>
    <row r="2419" spans="2:7" s="63" customFormat="1">
      <c r="B2419" s="49"/>
      <c r="C2419" s="49"/>
      <c r="D2419" s="49"/>
      <c r="E2419" s="49"/>
      <c r="F2419" s="49"/>
      <c r="G2419" s="49"/>
    </row>
    <row r="2420" spans="2:7" s="63" customFormat="1">
      <c r="B2420" s="49"/>
      <c r="C2420" s="49"/>
      <c r="D2420" s="49"/>
      <c r="E2420" s="49"/>
      <c r="F2420" s="49"/>
      <c r="G2420" s="49"/>
    </row>
    <row r="2421" spans="2:7" s="63" customFormat="1">
      <c r="B2421" s="49"/>
      <c r="C2421" s="49"/>
      <c r="D2421" s="49"/>
      <c r="E2421" s="49"/>
      <c r="F2421" s="49"/>
      <c r="G2421" s="49"/>
    </row>
    <row r="2422" spans="2:7" s="63" customFormat="1">
      <c r="B2422" s="49"/>
      <c r="C2422" s="49"/>
      <c r="D2422" s="49"/>
      <c r="E2422" s="49"/>
      <c r="F2422" s="49"/>
      <c r="G2422" s="49"/>
    </row>
    <row r="2423" spans="2:7" s="63" customFormat="1">
      <c r="B2423" s="49"/>
      <c r="C2423" s="49"/>
      <c r="D2423" s="49"/>
      <c r="E2423" s="49"/>
      <c r="F2423" s="49"/>
      <c r="G2423" s="49"/>
    </row>
    <row r="2424" spans="2:7" s="63" customFormat="1">
      <c r="B2424" s="49"/>
      <c r="C2424" s="49"/>
      <c r="D2424" s="49"/>
      <c r="E2424" s="49"/>
      <c r="F2424" s="49"/>
      <c r="G2424" s="49"/>
    </row>
    <row r="2425" spans="2:7" s="63" customFormat="1">
      <c r="B2425" s="49"/>
      <c r="C2425" s="49"/>
      <c r="D2425" s="49"/>
      <c r="E2425" s="49"/>
      <c r="F2425" s="49"/>
      <c r="G2425" s="49"/>
    </row>
    <row r="2426" spans="2:7" s="63" customFormat="1">
      <c r="B2426" s="49"/>
      <c r="C2426" s="49"/>
      <c r="D2426" s="49"/>
      <c r="E2426" s="49"/>
      <c r="F2426" s="49"/>
      <c r="G2426" s="49"/>
    </row>
    <row r="2427" spans="2:7" s="63" customFormat="1">
      <c r="B2427" s="49"/>
      <c r="C2427" s="49"/>
      <c r="D2427" s="49"/>
      <c r="E2427" s="49"/>
      <c r="F2427" s="49"/>
      <c r="G2427" s="49"/>
    </row>
    <row r="2428" spans="2:7" s="63" customFormat="1">
      <c r="B2428" s="49"/>
      <c r="C2428" s="49"/>
      <c r="D2428" s="49"/>
      <c r="E2428" s="49"/>
      <c r="F2428" s="49"/>
      <c r="G2428" s="49"/>
    </row>
    <row r="2429" spans="2:7" s="63" customFormat="1">
      <c r="B2429" s="49"/>
      <c r="C2429" s="49"/>
      <c r="D2429" s="49"/>
      <c r="E2429" s="49"/>
      <c r="F2429" s="49"/>
      <c r="G2429" s="49"/>
    </row>
    <row r="2430" spans="2:7" s="63" customFormat="1">
      <c r="B2430" s="49"/>
      <c r="C2430" s="49"/>
      <c r="D2430" s="49"/>
      <c r="E2430" s="49"/>
      <c r="F2430" s="49"/>
      <c r="G2430" s="49"/>
    </row>
    <row r="2431" spans="2:7" s="63" customFormat="1">
      <c r="B2431" s="49"/>
      <c r="C2431" s="49"/>
      <c r="D2431" s="49"/>
      <c r="E2431" s="49"/>
      <c r="F2431" s="49"/>
      <c r="G2431" s="49"/>
    </row>
    <row r="2432" spans="2:7" s="63" customFormat="1">
      <c r="B2432" s="49"/>
      <c r="C2432" s="49"/>
      <c r="D2432" s="49"/>
      <c r="E2432" s="49"/>
      <c r="F2432" s="49"/>
      <c r="G2432" s="49"/>
    </row>
    <row r="2433" spans="2:7" s="63" customFormat="1">
      <c r="B2433" s="49"/>
      <c r="C2433" s="49"/>
      <c r="D2433" s="49"/>
      <c r="E2433" s="49"/>
      <c r="F2433" s="49"/>
      <c r="G2433" s="49"/>
    </row>
    <row r="2434" spans="2:7" s="63" customFormat="1">
      <c r="B2434" s="49"/>
      <c r="C2434" s="49"/>
      <c r="D2434" s="49"/>
      <c r="E2434" s="49"/>
      <c r="F2434" s="49"/>
      <c r="G2434" s="49"/>
    </row>
    <row r="2435" spans="2:7" s="63" customFormat="1">
      <c r="B2435" s="49"/>
      <c r="C2435" s="49"/>
      <c r="D2435" s="49"/>
      <c r="E2435" s="49"/>
      <c r="F2435" s="49"/>
      <c r="G2435" s="49"/>
    </row>
    <row r="2436" spans="2:7" s="63" customFormat="1">
      <c r="B2436" s="49"/>
      <c r="C2436" s="49"/>
      <c r="D2436" s="49"/>
      <c r="E2436" s="49"/>
      <c r="F2436" s="49"/>
      <c r="G2436" s="49"/>
    </row>
    <row r="2437" spans="2:7" s="63" customFormat="1">
      <c r="B2437" s="49"/>
      <c r="C2437" s="49"/>
      <c r="D2437" s="49"/>
      <c r="E2437" s="49"/>
      <c r="F2437" s="49"/>
      <c r="G2437" s="49"/>
    </row>
    <row r="2438" spans="2:7" s="63" customFormat="1">
      <c r="B2438" s="49"/>
      <c r="C2438" s="49"/>
      <c r="D2438" s="49"/>
      <c r="E2438" s="49"/>
      <c r="F2438" s="49"/>
      <c r="G2438" s="49"/>
    </row>
    <row r="2439" spans="2:7" s="63" customFormat="1">
      <c r="B2439" s="49"/>
      <c r="C2439" s="49"/>
      <c r="D2439" s="49"/>
      <c r="E2439" s="49"/>
      <c r="F2439" s="49"/>
      <c r="G2439" s="49"/>
    </row>
    <row r="2440" spans="2:7" s="63" customFormat="1">
      <c r="B2440" s="49"/>
      <c r="C2440" s="49"/>
      <c r="D2440" s="49"/>
      <c r="E2440" s="49"/>
      <c r="F2440" s="49"/>
      <c r="G2440" s="49"/>
    </row>
    <row r="2441" spans="2:7" s="63" customFormat="1">
      <c r="B2441" s="49"/>
      <c r="C2441" s="49"/>
      <c r="D2441" s="49"/>
      <c r="E2441" s="49"/>
      <c r="F2441" s="49"/>
      <c r="G2441" s="49"/>
    </row>
    <row r="2442" spans="2:7" s="63" customFormat="1">
      <c r="B2442" s="49"/>
      <c r="C2442" s="49"/>
      <c r="D2442" s="49"/>
      <c r="E2442" s="49"/>
      <c r="F2442" s="49"/>
      <c r="G2442" s="49"/>
    </row>
    <row r="2443" spans="2:7" s="63" customFormat="1">
      <c r="B2443" s="49"/>
      <c r="C2443" s="49"/>
      <c r="D2443" s="49"/>
      <c r="E2443" s="49"/>
      <c r="F2443" s="49"/>
      <c r="G2443" s="49"/>
    </row>
    <row r="2444" spans="2:7" s="63" customFormat="1">
      <c r="B2444" s="49"/>
      <c r="C2444" s="49"/>
      <c r="D2444" s="49"/>
      <c r="E2444" s="49"/>
      <c r="F2444" s="49"/>
      <c r="G2444" s="49"/>
    </row>
    <row r="2445" spans="2:7" s="63" customFormat="1">
      <c r="B2445" s="49"/>
      <c r="C2445" s="49"/>
      <c r="D2445" s="49"/>
      <c r="E2445" s="49"/>
      <c r="F2445" s="49"/>
      <c r="G2445" s="49"/>
    </row>
    <row r="2446" spans="2:7" s="63" customFormat="1">
      <c r="B2446" s="49"/>
      <c r="C2446" s="49"/>
      <c r="D2446" s="49"/>
      <c r="E2446" s="49"/>
      <c r="F2446" s="49"/>
      <c r="G2446" s="49"/>
    </row>
    <row r="2447" spans="2:7" s="63" customFormat="1">
      <c r="B2447" s="49"/>
      <c r="C2447" s="49"/>
      <c r="D2447" s="49"/>
      <c r="E2447" s="49"/>
      <c r="F2447" s="49"/>
      <c r="G2447" s="49"/>
    </row>
    <row r="2448" spans="2:7" s="63" customFormat="1">
      <c r="B2448" s="49"/>
      <c r="C2448" s="49"/>
      <c r="D2448" s="49"/>
      <c r="E2448" s="49"/>
      <c r="F2448" s="49"/>
      <c r="G2448" s="49"/>
    </row>
    <row r="2449" spans="2:7" s="63" customFormat="1">
      <c r="B2449" s="49"/>
      <c r="C2449" s="49"/>
      <c r="D2449" s="49"/>
      <c r="E2449" s="49"/>
      <c r="F2449" s="49"/>
      <c r="G2449" s="49"/>
    </row>
    <row r="2450" spans="2:7" s="63" customFormat="1">
      <c r="B2450" s="49"/>
      <c r="C2450" s="49"/>
      <c r="D2450" s="49"/>
      <c r="E2450" s="49"/>
      <c r="F2450" s="49"/>
      <c r="G2450" s="49"/>
    </row>
    <row r="2451" spans="2:7" s="63" customFormat="1">
      <c r="B2451" s="49"/>
      <c r="C2451" s="49"/>
      <c r="D2451" s="49"/>
      <c r="E2451" s="49"/>
      <c r="F2451" s="49"/>
      <c r="G2451" s="49"/>
    </row>
    <row r="2452" spans="2:7" s="63" customFormat="1">
      <c r="B2452" s="49"/>
      <c r="C2452" s="49"/>
      <c r="D2452" s="49"/>
      <c r="E2452" s="49"/>
      <c r="F2452" s="49"/>
      <c r="G2452" s="49"/>
    </row>
    <row r="2453" spans="2:7" s="63" customFormat="1">
      <c r="B2453" s="49"/>
      <c r="C2453" s="49"/>
      <c r="D2453" s="49"/>
      <c r="E2453" s="49"/>
      <c r="F2453" s="49"/>
      <c r="G2453" s="49"/>
    </row>
    <row r="2454" spans="2:7" s="63" customFormat="1">
      <c r="B2454" s="49"/>
      <c r="C2454" s="49"/>
      <c r="D2454" s="49"/>
      <c r="E2454" s="49"/>
      <c r="F2454" s="49"/>
      <c r="G2454" s="49"/>
    </row>
    <row r="2455" spans="2:7" s="63" customFormat="1">
      <c r="B2455" s="49"/>
      <c r="C2455" s="49"/>
      <c r="D2455" s="49"/>
      <c r="E2455" s="49"/>
      <c r="F2455" s="49"/>
      <c r="G2455" s="49"/>
    </row>
    <row r="2456" spans="2:7" s="63" customFormat="1">
      <c r="B2456" s="49"/>
      <c r="C2456" s="49"/>
      <c r="D2456" s="49"/>
      <c r="E2456" s="49"/>
      <c r="F2456" s="49"/>
      <c r="G2456" s="49"/>
    </row>
    <row r="2457" spans="2:7" s="63" customFormat="1">
      <c r="B2457" s="49"/>
      <c r="C2457" s="49"/>
      <c r="D2457" s="49"/>
      <c r="E2457" s="49"/>
      <c r="F2457" s="49"/>
      <c r="G2457" s="49"/>
    </row>
    <row r="2458" spans="2:7" s="63" customFormat="1">
      <c r="B2458" s="49"/>
      <c r="C2458" s="49"/>
      <c r="D2458" s="49"/>
      <c r="E2458" s="49"/>
      <c r="F2458" s="49"/>
      <c r="G2458" s="49"/>
    </row>
    <row r="2459" spans="2:7" s="63" customFormat="1">
      <c r="B2459" s="49"/>
      <c r="C2459" s="49"/>
      <c r="D2459" s="49"/>
      <c r="E2459" s="49"/>
      <c r="F2459" s="49"/>
      <c r="G2459" s="49"/>
    </row>
    <row r="2460" spans="2:7" s="63" customFormat="1">
      <c r="B2460" s="49"/>
      <c r="C2460" s="49"/>
      <c r="D2460" s="49"/>
      <c r="E2460" s="49"/>
      <c r="F2460" s="49"/>
      <c r="G2460" s="49"/>
    </row>
    <row r="2461" spans="2:7" s="63" customFormat="1">
      <c r="B2461" s="49"/>
      <c r="C2461" s="49"/>
      <c r="D2461" s="49"/>
      <c r="E2461" s="49"/>
      <c r="F2461" s="49"/>
      <c r="G2461" s="49"/>
    </row>
    <row r="2462" spans="2:7" s="63" customFormat="1">
      <c r="B2462" s="49"/>
      <c r="C2462" s="49"/>
      <c r="D2462" s="49"/>
      <c r="E2462" s="49"/>
      <c r="F2462" s="49"/>
      <c r="G2462" s="49"/>
    </row>
    <row r="2463" spans="2:7" s="63" customFormat="1">
      <c r="B2463" s="49"/>
      <c r="C2463" s="49"/>
      <c r="D2463" s="49"/>
      <c r="E2463" s="49"/>
      <c r="F2463" s="49"/>
      <c r="G2463" s="49"/>
    </row>
    <row r="2464" spans="2:7" s="63" customFormat="1">
      <c r="B2464" s="49"/>
      <c r="C2464" s="49"/>
      <c r="D2464" s="49"/>
      <c r="E2464" s="49"/>
      <c r="F2464" s="49"/>
      <c r="G2464" s="49"/>
    </row>
    <row r="2465" spans="2:7" s="63" customFormat="1">
      <c r="B2465" s="49"/>
      <c r="C2465" s="49"/>
      <c r="D2465" s="49"/>
      <c r="E2465" s="49"/>
      <c r="F2465" s="49"/>
      <c r="G2465" s="49"/>
    </row>
    <row r="2466" spans="2:7" s="63" customFormat="1">
      <c r="B2466" s="49"/>
      <c r="C2466" s="49"/>
      <c r="D2466" s="49"/>
      <c r="E2466" s="49"/>
      <c r="F2466" s="49"/>
      <c r="G2466" s="49"/>
    </row>
    <row r="2467" spans="2:7" s="63" customFormat="1">
      <c r="B2467" s="49"/>
      <c r="C2467" s="49"/>
      <c r="D2467" s="49"/>
      <c r="E2467" s="49"/>
      <c r="F2467" s="49"/>
      <c r="G2467" s="49"/>
    </row>
    <row r="2468" spans="2:7" s="63" customFormat="1">
      <c r="B2468" s="49"/>
      <c r="C2468" s="49"/>
      <c r="D2468" s="49"/>
      <c r="E2468" s="49"/>
      <c r="F2468" s="49"/>
      <c r="G2468" s="49"/>
    </row>
    <row r="2469" spans="2:7" s="63" customFormat="1">
      <c r="B2469" s="49"/>
      <c r="C2469" s="49"/>
      <c r="D2469" s="49"/>
      <c r="E2469" s="49"/>
      <c r="F2469" s="49"/>
      <c r="G2469" s="49"/>
    </row>
    <row r="2470" spans="2:7" s="63" customFormat="1">
      <c r="B2470" s="49"/>
      <c r="C2470" s="49"/>
      <c r="D2470" s="49"/>
      <c r="E2470" s="49"/>
      <c r="F2470" s="49"/>
      <c r="G2470" s="49"/>
    </row>
    <row r="2471" spans="2:7" s="63" customFormat="1">
      <c r="B2471" s="49"/>
      <c r="C2471" s="49"/>
      <c r="D2471" s="49"/>
      <c r="E2471" s="49"/>
      <c r="F2471" s="49"/>
      <c r="G2471" s="49"/>
    </row>
    <row r="2472" spans="2:7" s="63" customFormat="1">
      <c r="B2472" s="49"/>
      <c r="C2472" s="49"/>
      <c r="D2472" s="49"/>
      <c r="E2472" s="49"/>
      <c r="F2472" s="49"/>
      <c r="G2472" s="49"/>
    </row>
    <row r="2473" spans="2:7" s="63" customFormat="1">
      <c r="B2473" s="49"/>
      <c r="C2473" s="49"/>
      <c r="D2473" s="49"/>
      <c r="E2473" s="49"/>
      <c r="F2473" s="49"/>
      <c r="G2473" s="49"/>
    </row>
    <row r="2474" spans="2:7" s="63" customFormat="1">
      <c r="B2474" s="49"/>
      <c r="C2474" s="49"/>
      <c r="D2474" s="49"/>
      <c r="E2474" s="49"/>
      <c r="F2474" s="49"/>
      <c r="G2474" s="49"/>
    </row>
    <row r="2475" spans="2:7" s="63" customFormat="1">
      <c r="B2475" s="49"/>
      <c r="C2475" s="49"/>
      <c r="D2475" s="49"/>
      <c r="E2475" s="49"/>
      <c r="F2475" s="49"/>
      <c r="G2475" s="49"/>
    </row>
    <row r="2476" spans="2:7" s="63" customFormat="1">
      <c r="B2476" s="49"/>
      <c r="C2476" s="49"/>
      <c r="D2476" s="49"/>
      <c r="E2476" s="49"/>
      <c r="F2476" s="49"/>
      <c r="G2476" s="49"/>
    </row>
    <row r="2477" spans="2:7" s="63" customFormat="1">
      <c r="B2477" s="49"/>
      <c r="C2477" s="49"/>
      <c r="D2477" s="49"/>
      <c r="E2477" s="49"/>
      <c r="F2477" s="49"/>
      <c r="G2477" s="49"/>
    </row>
    <row r="2478" spans="2:7" s="63" customFormat="1">
      <c r="B2478" s="49"/>
      <c r="C2478" s="49"/>
      <c r="D2478" s="49"/>
      <c r="E2478" s="49"/>
      <c r="F2478" s="49"/>
      <c r="G2478" s="49"/>
    </row>
    <row r="2479" spans="2:7" s="63" customFormat="1">
      <c r="B2479" s="49"/>
      <c r="C2479" s="49"/>
      <c r="D2479" s="49"/>
      <c r="E2479" s="49"/>
      <c r="F2479" s="49"/>
      <c r="G2479" s="49"/>
    </row>
    <row r="2480" spans="2:7" s="63" customFormat="1">
      <c r="B2480" s="49"/>
      <c r="C2480" s="49"/>
      <c r="D2480" s="49"/>
      <c r="E2480" s="49"/>
      <c r="F2480" s="49"/>
      <c r="G2480" s="49"/>
    </row>
    <row r="2481" spans="2:7" s="63" customFormat="1">
      <c r="B2481" s="49"/>
      <c r="C2481" s="49"/>
      <c r="D2481" s="49"/>
      <c r="E2481" s="49"/>
      <c r="F2481" s="49"/>
      <c r="G2481" s="49"/>
    </row>
    <row r="2482" spans="2:7" s="63" customFormat="1">
      <c r="B2482" s="49"/>
      <c r="C2482" s="49"/>
      <c r="D2482" s="49"/>
      <c r="E2482" s="49"/>
      <c r="F2482" s="49"/>
      <c r="G2482" s="49"/>
    </row>
    <row r="2483" spans="2:7" s="63" customFormat="1">
      <c r="B2483" s="49"/>
      <c r="C2483" s="49"/>
      <c r="D2483" s="49"/>
      <c r="E2483" s="49"/>
      <c r="F2483" s="49"/>
      <c r="G2483" s="49"/>
    </row>
    <row r="2484" spans="2:7" s="63" customFormat="1">
      <c r="B2484" s="49"/>
      <c r="C2484" s="49"/>
      <c r="D2484" s="49"/>
      <c r="E2484" s="49"/>
      <c r="F2484" s="49"/>
      <c r="G2484" s="49"/>
    </row>
    <row r="2485" spans="2:7" s="63" customFormat="1">
      <c r="B2485" s="49"/>
      <c r="C2485" s="49"/>
      <c r="D2485" s="49"/>
      <c r="E2485" s="49"/>
      <c r="F2485" s="49"/>
      <c r="G2485" s="49"/>
    </row>
    <row r="2486" spans="2:7" s="63" customFormat="1">
      <c r="B2486" s="49"/>
      <c r="C2486" s="49"/>
      <c r="D2486" s="49"/>
      <c r="E2486" s="49"/>
      <c r="F2486" s="49"/>
      <c r="G2486" s="49"/>
    </row>
    <row r="2487" spans="2:7" s="63" customFormat="1">
      <c r="B2487" s="49"/>
      <c r="C2487" s="49"/>
      <c r="D2487" s="49"/>
      <c r="E2487" s="49"/>
      <c r="F2487" s="49"/>
      <c r="G2487" s="49"/>
    </row>
    <row r="2488" spans="2:7" s="63" customFormat="1">
      <c r="B2488" s="49"/>
      <c r="C2488" s="49"/>
      <c r="D2488" s="49"/>
      <c r="E2488" s="49"/>
      <c r="F2488" s="49"/>
      <c r="G2488" s="49"/>
    </row>
    <row r="2489" spans="2:7" s="63" customFormat="1">
      <c r="B2489" s="49"/>
      <c r="C2489" s="49"/>
      <c r="D2489" s="49"/>
      <c r="E2489" s="49"/>
      <c r="F2489" s="49"/>
      <c r="G2489" s="49"/>
    </row>
    <row r="2490" spans="2:7" s="63" customFormat="1">
      <c r="B2490" s="49"/>
      <c r="C2490" s="49"/>
      <c r="D2490" s="49"/>
      <c r="E2490" s="49"/>
      <c r="F2490" s="49"/>
      <c r="G2490" s="49"/>
    </row>
    <row r="2491" spans="2:7" s="63" customFormat="1">
      <c r="B2491" s="49"/>
      <c r="C2491" s="49"/>
      <c r="D2491" s="49"/>
      <c r="E2491" s="49"/>
      <c r="F2491" s="49"/>
      <c r="G2491" s="49"/>
    </row>
    <row r="2492" spans="2:7" s="63" customFormat="1">
      <c r="B2492" s="49"/>
      <c r="C2492" s="49"/>
      <c r="D2492" s="49"/>
      <c r="E2492" s="49"/>
      <c r="F2492" s="49"/>
      <c r="G2492" s="49"/>
    </row>
    <row r="2493" spans="2:7" s="63" customFormat="1">
      <c r="B2493" s="49"/>
      <c r="C2493" s="49"/>
      <c r="D2493" s="49"/>
      <c r="E2493" s="49"/>
      <c r="F2493" s="49"/>
      <c r="G2493" s="49"/>
    </row>
    <row r="2494" spans="2:7" s="63" customFormat="1">
      <c r="B2494" s="49"/>
      <c r="C2494" s="49"/>
      <c r="D2494" s="49"/>
      <c r="E2494" s="49"/>
      <c r="F2494" s="49"/>
      <c r="G2494" s="49"/>
    </row>
    <row r="2495" spans="2:7" s="63" customFormat="1">
      <c r="B2495" s="49"/>
      <c r="C2495" s="49"/>
      <c r="D2495" s="49"/>
      <c r="E2495" s="49"/>
      <c r="F2495" s="49"/>
      <c r="G2495" s="49"/>
    </row>
    <row r="2496" spans="2:7" s="63" customFormat="1">
      <c r="B2496" s="49"/>
      <c r="C2496" s="49"/>
      <c r="D2496" s="49"/>
      <c r="E2496" s="49"/>
      <c r="F2496" s="49"/>
      <c r="G2496" s="49"/>
    </row>
    <row r="2497" spans="2:7" s="63" customFormat="1">
      <c r="B2497" s="49"/>
      <c r="C2497" s="49"/>
      <c r="D2497" s="49"/>
      <c r="E2497" s="49"/>
      <c r="F2497" s="49"/>
      <c r="G2497" s="49"/>
    </row>
    <row r="2498" spans="2:7" s="63" customFormat="1">
      <c r="B2498" s="49"/>
      <c r="C2498" s="49"/>
      <c r="D2498" s="49"/>
      <c r="E2498" s="49"/>
      <c r="F2498" s="49"/>
      <c r="G2498" s="49"/>
    </row>
    <row r="2499" spans="2:7" s="63" customFormat="1">
      <c r="B2499" s="49"/>
      <c r="C2499" s="49"/>
      <c r="D2499" s="49"/>
      <c r="E2499" s="49"/>
      <c r="F2499" s="49"/>
      <c r="G2499" s="49"/>
    </row>
    <row r="2500" spans="2:7" s="63" customFormat="1">
      <c r="B2500" s="49"/>
      <c r="C2500" s="49"/>
      <c r="D2500" s="49"/>
      <c r="E2500" s="49"/>
      <c r="F2500" s="49"/>
      <c r="G2500" s="49"/>
    </row>
    <row r="2501" spans="2:7" s="63" customFormat="1">
      <c r="B2501" s="49"/>
      <c r="C2501" s="49"/>
      <c r="D2501" s="49"/>
      <c r="E2501" s="49"/>
      <c r="F2501" s="49"/>
      <c r="G2501" s="49"/>
    </row>
    <row r="2502" spans="2:7" s="63" customFormat="1">
      <c r="B2502" s="49"/>
      <c r="C2502" s="49"/>
      <c r="D2502" s="49"/>
      <c r="E2502" s="49"/>
      <c r="F2502" s="49"/>
      <c r="G2502" s="49"/>
    </row>
    <row r="2503" spans="2:7" s="63" customFormat="1">
      <c r="B2503" s="49"/>
      <c r="C2503" s="49"/>
      <c r="D2503" s="49"/>
      <c r="E2503" s="49"/>
      <c r="F2503" s="49"/>
      <c r="G2503" s="49"/>
    </row>
    <row r="2504" spans="2:7" s="63" customFormat="1">
      <c r="B2504" s="49"/>
      <c r="C2504" s="49"/>
      <c r="D2504" s="49"/>
      <c r="E2504" s="49"/>
      <c r="F2504" s="49"/>
      <c r="G2504" s="49"/>
    </row>
    <row r="2505" spans="2:7" s="63" customFormat="1">
      <c r="B2505" s="49"/>
      <c r="C2505" s="49"/>
      <c r="D2505" s="49"/>
      <c r="E2505" s="49"/>
      <c r="F2505" s="49"/>
      <c r="G2505" s="49"/>
    </row>
    <row r="2506" spans="2:7" s="63" customFormat="1">
      <c r="B2506" s="49"/>
      <c r="C2506" s="49"/>
      <c r="D2506" s="49"/>
      <c r="E2506" s="49"/>
      <c r="F2506" s="49"/>
      <c r="G2506" s="49"/>
    </row>
    <row r="2507" spans="2:7" s="63" customFormat="1">
      <c r="B2507" s="49"/>
      <c r="C2507" s="49"/>
      <c r="D2507" s="49"/>
      <c r="E2507" s="49"/>
      <c r="F2507" s="49"/>
      <c r="G2507" s="49"/>
    </row>
    <row r="2508" spans="2:7" s="63" customFormat="1">
      <c r="B2508" s="49"/>
      <c r="C2508" s="49"/>
      <c r="D2508" s="49"/>
      <c r="E2508" s="49"/>
      <c r="F2508" s="49"/>
      <c r="G2508" s="49"/>
    </row>
    <row r="2509" spans="2:7" s="63" customFormat="1">
      <c r="B2509" s="49"/>
      <c r="C2509" s="49"/>
      <c r="D2509" s="49"/>
      <c r="E2509" s="49"/>
      <c r="F2509" s="49"/>
      <c r="G2509" s="49"/>
    </row>
    <row r="2510" spans="2:7" s="63" customFormat="1">
      <c r="B2510" s="49"/>
      <c r="C2510" s="49"/>
      <c r="D2510" s="49"/>
      <c r="E2510" s="49"/>
      <c r="F2510" s="49"/>
      <c r="G2510" s="49"/>
    </row>
    <row r="2511" spans="2:7" s="63" customFormat="1">
      <c r="B2511" s="49"/>
      <c r="C2511" s="49"/>
      <c r="D2511" s="49"/>
      <c r="E2511" s="49"/>
      <c r="F2511" s="49"/>
      <c r="G2511" s="49"/>
    </row>
    <row r="2512" spans="2:7" s="63" customFormat="1">
      <c r="B2512" s="49"/>
      <c r="C2512" s="49"/>
      <c r="D2512" s="49"/>
      <c r="E2512" s="49"/>
      <c r="F2512" s="49"/>
      <c r="G2512" s="49"/>
    </row>
    <row r="2513" spans="2:7" s="63" customFormat="1">
      <c r="B2513" s="49"/>
      <c r="C2513" s="49"/>
      <c r="D2513" s="49"/>
      <c r="E2513" s="49"/>
      <c r="F2513" s="49"/>
      <c r="G2513" s="49"/>
    </row>
    <row r="2514" spans="2:7" s="63" customFormat="1">
      <c r="B2514" s="49"/>
      <c r="C2514" s="49"/>
      <c r="D2514" s="49"/>
      <c r="E2514" s="49"/>
      <c r="F2514" s="49"/>
      <c r="G2514" s="49"/>
    </row>
    <row r="2515" spans="2:7" s="63" customFormat="1">
      <c r="B2515" s="49"/>
      <c r="C2515" s="49"/>
      <c r="D2515" s="49"/>
      <c r="E2515" s="49"/>
      <c r="F2515" s="49"/>
      <c r="G2515" s="49"/>
    </row>
    <row r="2516" spans="2:7" s="63" customFormat="1">
      <c r="B2516" s="49"/>
      <c r="C2516" s="49"/>
      <c r="D2516" s="49"/>
      <c r="E2516" s="49"/>
      <c r="F2516" s="49"/>
      <c r="G2516" s="49"/>
    </row>
    <row r="2517" spans="2:7" s="63" customFormat="1">
      <c r="B2517" s="49"/>
      <c r="C2517" s="49"/>
      <c r="D2517" s="49"/>
      <c r="E2517" s="49"/>
      <c r="F2517" s="49"/>
      <c r="G2517" s="49"/>
    </row>
    <row r="2518" spans="2:7" s="63" customFormat="1">
      <c r="B2518" s="49"/>
      <c r="C2518" s="49"/>
      <c r="D2518" s="49"/>
      <c r="E2518" s="49"/>
      <c r="F2518" s="49"/>
      <c r="G2518" s="49"/>
    </row>
    <row r="2519" spans="2:7" s="63" customFormat="1">
      <c r="B2519" s="49"/>
      <c r="C2519" s="49"/>
      <c r="D2519" s="49"/>
      <c r="E2519" s="49"/>
      <c r="F2519" s="49"/>
      <c r="G2519" s="49"/>
    </row>
    <row r="2520" spans="2:7" s="63" customFormat="1">
      <c r="B2520" s="49"/>
      <c r="C2520" s="49"/>
      <c r="D2520" s="49"/>
      <c r="E2520" s="49"/>
      <c r="F2520" s="49"/>
      <c r="G2520" s="49"/>
    </row>
    <row r="2521" spans="2:7" s="63" customFormat="1">
      <c r="B2521" s="49"/>
      <c r="C2521" s="49"/>
      <c r="D2521" s="49"/>
      <c r="E2521" s="49"/>
      <c r="F2521" s="49"/>
      <c r="G2521" s="49"/>
    </row>
    <row r="2522" spans="2:7" s="63" customFormat="1">
      <c r="B2522" s="49"/>
      <c r="C2522" s="49"/>
      <c r="D2522" s="49"/>
      <c r="E2522" s="49"/>
      <c r="F2522" s="49"/>
      <c r="G2522" s="49"/>
    </row>
    <row r="2523" spans="2:7" s="63" customFormat="1">
      <c r="B2523" s="49"/>
      <c r="C2523" s="49"/>
      <c r="D2523" s="49"/>
      <c r="E2523" s="49"/>
      <c r="F2523" s="49"/>
      <c r="G2523" s="49"/>
    </row>
    <row r="2524" spans="2:7" s="63" customFormat="1">
      <c r="B2524" s="49"/>
      <c r="C2524" s="49"/>
      <c r="D2524" s="49"/>
      <c r="E2524" s="49"/>
      <c r="F2524" s="49"/>
      <c r="G2524" s="49"/>
    </row>
    <row r="2525" spans="2:7" s="63" customFormat="1">
      <c r="B2525" s="49"/>
      <c r="C2525" s="49"/>
      <c r="D2525" s="49"/>
      <c r="E2525" s="49"/>
      <c r="F2525" s="49"/>
      <c r="G2525" s="49"/>
    </row>
    <row r="2526" spans="2:7" s="63" customFormat="1">
      <c r="B2526" s="49"/>
      <c r="C2526" s="49"/>
      <c r="D2526" s="49"/>
      <c r="E2526" s="49"/>
      <c r="F2526" s="49"/>
      <c r="G2526" s="49"/>
    </row>
    <row r="2527" spans="2:7" s="63" customFormat="1">
      <c r="B2527" s="49"/>
      <c r="C2527" s="49"/>
      <c r="D2527" s="49"/>
      <c r="E2527" s="49"/>
      <c r="F2527" s="49"/>
      <c r="G2527" s="49"/>
    </row>
    <row r="2528" spans="2:7" s="63" customFormat="1">
      <c r="B2528" s="49"/>
      <c r="C2528" s="49"/>
      <c r="D2528" s="49"/>
      <c r="E2528" s="49"/>
      <c r="F2528" s="49"/>
      <c r="G2528" s="49"/>
    </row>
    <row r="2529" spans="2:7" s="63" customFormat="1">
      <c r="B2529" s="49"/>
      <c r="C2529" s="49"/>
      <c r="D2529" s="49"/>
      <c r="E2529" s="49"/>
      <c r="F2529" s="49"/>
      <c r="G2529" s="49"/>
    </row>
    <row r="2530" spans="2:7" s="63" customFormat="1">
      <c r="B2530" s="49"/>
      <c r="C2530" s="49"/>
      <c r="D2530" s="49"/>
      <c r="E2530" s="49"/>
      <c r="F2530" s="49"/>
      <c r="G2530" s="49"/>
    </row>
    <row r="2531" spans="2:7" s="63" customFormat="1">
      <c r="B2531" s="49"/>
      <c r="C2531" s="49"/>
      <c r="D2531" s="49"/>
      <c r="E2531" s="49"/>
      <c r="F2531" s="49"/>
      <c r="G2531" s="49"/>
    </row>
    <row r="2532" spans="2:7" s="63" customFormat="1">
      <c r="B2532" s="49"/>
      <c r="C2532" s="49"/>
      <c r="D2532" s="49"/>
      <c r="E2532" s="49"/>
      <c r="F2532" s="49"/>
      <c r="G2532" s="49"/>
    </row>
    <row r="2533" spans="2:7" s="63" customFormat="1">
      <c r="B2533" s="49"/>
      <c r="C2533" s="49"/>
      <c r="D2533" s="49"/>
      <c r="E2533" s="49"/>
      <c r="F2533" s="49"/>
      <c r="G2533" s="49"/>
    </row>
    <row r="2534" spans="2:7" s="63" customFormat="1">
      <c r="B2534" s="49"/>
      <c r="C2534" s="49"/>
      <c r="D2534" s="49"/>
      <c r="E2534" s="49"/>
      <c r="F2534" s="49"/>
      <c r="G2534" s="49"/>
    </row>
    <row r="2535" spans="2:7" s="63" customFormat="1">
      <c r="B2535" s="49"/>
      <c r="C2535" s="49"/>
      <c r="D2535" s="49"/>
      <c r="E2535" s="49"/>
      <c r="F2535" s="49"/>
      <c r="G2535" s="49"/>
    </row>
    <row r="2536" spans="2:7" s="63" customFormat="1">
      <c r="B2536" s="49"/>
      <c r="C2536" s="49"/>
      <c r="D2536" s="49"/>
      <c r="E2536" s="49"/>
      <c r="F2536" s="49"/>
      <c r="G2536" s="49"/>
    </row>
    <row r="2537" spans="2:7" s="63" customFormat="1">
      <c r="B2537" s="49"/>
      <c r="C2537" s="49"/>
      <c r="D2537" s="49"/>
      <c r="E2537" s="49"/>
      <c r="F2537" s="49"/>
      <c r="G2537" s="49"/>
    </row>
    <row r="2538" spans="2:7" s="63" customFormat="1">
      <c r="B2538" s="49"/>
      <c r="C2538" s="49"/>
      <c r="D2538" s="49"/>
      <c r="E2538" s="49"/>
      <c r="F2538" s="49"/>
      <c r="G2538" s="49"/>
    </row>
    <row r="2539" spans="2:7" s="63" customFormat="1">
      <c r="B2539" s="49"/>
      <c r="C2539" s="49"/>
      <c r="D2539" s="49"/>
      <c r="E2539" s="49"/>
      <c r="F2539" s="49"/>
      <c r="G2539" s="49"/>
    </row>
    <row r="2540" spans="2:7" s="63" customFormat="1">
      <c r="B2540" s="49"/>
      <c r="C2540" s="49"/>
      <c r="D2540" s="49"/>
      <c r="E2540" s="49"/>
      <c r="F2540" s="49"/>
      <c r="G2540" s="49"/>
    </row>
    <row r="2541" spans="2:7" s="63" customFormat="1">
      <c r="B2541" s="49"/>
      <c r="C2541" s="49"/>
      <c r="D2541" s="49"/>
      <c r="E2541" s="49"/>
      <c r="F2541" s="49"/>
      <c r="G2541" s="49"/>
    </row>
    <row r="2542" spans="2:7" s="63" customFormat="1">
      <c r="B2542" s="49"/>
      <c r="C2542" s="49"/>
      <c r="D2542" s="49"/>
      <c r="E2542" s="49"/>
      <c r="F2542" s="49"/>
      <c r="G2542" s="49"/>
    </row>
    <row r="2543" spans="2:7" s="63" customFormat="1">
      <c r="B2543" s="49"/>
      <c r="C2543" s="49"/>
      <c r="D2543" s="49"/>
      <c r="E2543" s="49"/>
      <c r="F2543" s="49"/>
      <c r="G2543" s="49"/>
    </row>
    <row r="2544" spans="2:7" s="63" customFormat="1">
      <c r="B2544" s="49"/>
      <c r="C2544" s="49"/>
      <c r="D2544" s="49"/>
      <c r="E2544" s="49"/>
      <c r="F2544" s="49"/>
      <c r="G2544" s="49"/>
    </row>
    <row r="2545" spans="2:7" s="63" customFormat="1">
      <c r="B2545" s="49"/>
      <c r="C2545" s="49"/>
      <c r="D2545" s="49"/>
      <c r="E2545" s="49"/>
      <c r="F2545" s="49"/>
      <c r="G2545" s="49"/>
    </row>
    <row r="2546" spans="2:7" s="63" customFormat="1">
      <c r="B2546" s="49"/>
      <c r="C2546" s="49"/>
      <c r="D2546" s="49"/>
      <c r="E2546" s="49"/>
      <c r="F2546" s="49"/>
      <c r="G2546" s="49"/>
    </row>
    <row r="2547" spans="2:7" s="63" customFormat="1">
      <c r="B2547" s="49"/>
      <c r="C2547" s="49"/>
      <c r="D2547" s="49"/>
      <c r="E2547" s="49"/>
      <c r="F2547" s="49"/>
      <c r="G2547" s="49"/>
    </row>
    <row r="2548" spans="2:7" s="63" customFormat="1">
      <c r="B2548" s="49"/>
      <c r="C2548" s="49"/>
      <c r="D2548" s="49"/>
      <c r="E2548" s="49"/>
      <c r="F2548" s="49"/>
      <c r="G2548" s="49"/>
    </row>
    <row r="2549" spans="2:7" s="63" customFormat="1">
      <c r="B2549" s="49"/>
      <c r="C2549" s="49"/>
      <c r="D2549" s="49"/>
      <c r="E2549" s="49"/>
      <c r="F2549" s="49"/>
      <c r="G2549" s="49"/>
    </row>
    <row r="2550" spans="2:7" s="63" customFormat="1">
      <c r="B2550" s="49"/>
      <c r="C2550" s="49"/>
      <c r="D2550" s="49"/>
      <c r="E2550" s="49"/>
      <c r="F2550" s="49"/>
      <c r="G2550" s="49"/>
    </row>
    <row r="2551" spans="2:7" s="63" customFormat="1">
      <c r="B2551" s="49"/>
      <c r="C2551" s="49"/>
      <c r="D2551" s="49"/>
      <c r="E2551" s="49"/>
      <c r="F2551" s="49"/>
      <c r="G2551" s="49"/>
    </row>
    <row r="2552" spans="2:7" s="63" customFormat="1">
      <c r="B2552" s="49"/>
      <c r="C2552" s="49"/>
      <c r="D2552" s="49"/>
      <c r="E2552" s="49"/>
      <c r="F2552" s="49"/>
      <c r="G2552" s="49"/>
    </row>
    <row r="2553" spans="2:7" s="63" customFormat="1">
      <c r="B2553" s="49"/>
      <c r="C2553" s="49"/>
      <c r="D2553" s="49"/>
      <c r="E2553" s="49"/>
      <c r="F2553" s="49"/>
      <c r="G2553" s="49"/>
    </row>
    <row r="2554" spans="2:7" s="63" customFormat="1">
      <c r="B2554" s="49"/>
      <c r="C2554" s="49"/>
      <c r="D2554" s="49"/>
      <c r="E2554" s="49"/>
      <c r="F2554" s="49"/>
      <c r="G2554" s="49"/>
    </row>
    <row r="2555" spans="2:7" s="63" customFormat="1">
      <c r="B2555" s="49"/>
      <c r="C2555" s="49"/>
      <c r="D2555" s="49"/>
      <c r="E2555" s="49"/>
      <c r="F2555" s="49"/>
      <c r="G2555" s="49"/>
    </row>
    <row r="2556" spans="2:7" s="63" customFormat="1">
      <c r="B2556" s="49"/>
      <c r="C2556" s="49"/>
      <c r="D2556" s="49"/>
      <c r="E2556" s="49"/>
      <c r="F2556" s="49"/>
      <c r="G2556" s="49"/>
    </row>
    <row r="2557" spans="2:7" s="63" customFormat="1">
      <c r="B2557" s="49"/>
      <c r="C2557" s="49"/>
      <c r="D2557" s="49"/>
      <c r="E2557" s="49"/>
      <c r="F2557" s="49"/>
      <c r="G2557" s="49"/>
    </row>
    <row r="2558" spans="2:7" s="63" customFormat="1">
      <c r="B2558" s="49"/>
      <c r="C2558" s="49"/>
      <c r="D2558" s="49"/>
      <c r="E2558" s="49"/>
      <c r="F2558" s="49"/>
      <c r="G2558" s="49"/>
    </row>
    <row r="2559" spans="2:7" s="63" customFormat="1">
      <c r="B2559" s="49"/>
      <c r="C2559" s="49"/>
      <c r="D2559" s="49"/>
      <c r="E2559" s="49"/>
      <c r="F2559" s="49"/>
      <c r="G2559" s="49"/>
    </row>
    <row r="2560" spans="2:7" s="63" customFormat="1">
      <c r="B2560" s="49"/>
      <c r="C2560" s="49"/>
      <c r="D2560" s="49"/>
      <c r="E2560" s="49"/>
      <c r="F2560" s="49"/>
      <c r="G2560" s="49"/>
    </row>
    <row r="2561" spans="2:7" s="63" customFormat="1">
      <c r="B2561" s="49"/>
      <c r="C2561" s="49"/>
      <c r="D2561" s="49"/>
      <c r="E2561" s="49"/>
      <c r="F2561" s="49"/>
      <c r="G2561" s="49"/>
    </row>
    <row r="2562" spans="2:7" s="63" customFormat="1">
      <c r="B2562" s="49"/>
      <c r="C2562" s="49"/>
      <c r="D2562" s="49"/>
      <c r="E2562" s="49"/>
      <c r="F2562" s="49"/>
      <c r="G2562" s="49"/>
    </row>
    <row r="2563" spans="2:7" s="63" customFormat="1">
      <c r="B2563" s="49"/>
      <c r="C2563" s="49"/>
      <c r="D2563" s="49"/>
      <c r="E2563" s="49"/>
      <c r="F2563" s="49"/>
      <c r="G2563" s="49"/>
    </row>
    <row r="2564" spans="2:7" s="63" customFormat="1">
      <c r="B2564" s="49"/>
      <c r="C2564" s="49"/>
      <c r="D2564" s="49"/>
      <c r="E2564" s="49"/>
      <c r="F2564" s="49"/>
      <c r="G2564" s="49"/>
    </row>
    <row r="2565" spans="2:7" s="63" customFormat="1">
      <c r="B2565" s="49"/>
      <c r="C2565" s="49"/>
      <c r="D2565" s="49"/>
      <c r="E2565" s="49"/>
      <c r="F2565" s="49"/>
      <c r="G2565" s="49"/>
    </row>
    <row r="2566" spans="2:7" s="63" customFormat="1">
      <c r="B2566" s="49"/>
      <c r="C2566" s="49"/>
      <c r="D2566" s="49"/>
      <c r="E2566" s="49"/>
      <c r="F2566" s="49"/>
      <c r="G2566" s="49"/>
    </row>
    <row r="2567" spans="2:7" s="63" customFormat="1">
      <c r="B2567" s="49"/>
      <c r="C2567" s="49"/>
      <c r="D2567" s="49"/>
      <c r="E2567" s="49"/>
      <c r="F2567" s="49"/>
      <c r="G2567" s="49"/>
    </row>
    <row r="2568" spans="2:7" s="63" customFormat="1">
      <c r="B2568" s="49"/>
      <c r="C2568" s="49"/>
      <c r="D2568" s="49"/>
      <c r="E2568" s="49"/>
      <c r="F2568" s="49"/>
      <c r="G2568" s="49"/>
    </row>
    <row r="2569" spans="2:7" s="63" customFormat="1">
      <c r="B2569" s="49"/>
      <c r="C2569" s="49"/>
      <c r="D2569" s="49"/>
      <c r="E2569" s="49"/>
      <c r="F2569" s="49"/>
      <c r="G2569" s="49"/>
    </row>
    <row r="2570" spans="2:7" s="63" customFormat="1">
      <c r="B2570" s="49"/>
      <c r="C2570" s="49"/>
      <c r="D2570" s="49"/>
      <c r="E2570" s="49"/>
      <c r="F2570" s="49"/>
      <c r="G2570" s="49"/>
    </row>
    <row r="2571" spans="2:7" s="63" customFormat="1">
      <c r="B2571" s="49"/>
      <c r="C2571" s="49"/>
      <c r="D2571" s="49"/>
      <c r="E2571" s="49"/>
      <c r="F2571" s="49"/>
      <c r="G2571" s="49"/>
    </row>
    <row r="2572" spans="2:7" s="63" customFormat="1">
      <c r="B2572" s="49"/>
      <c r="C2572" s="49"/>
      <c r="D2572" s="49"/>
      <c r="E2572" s="49"/>
      <c r="F2572" s="49"/>
      <c r="G2572" s="49"/>
    </row>
    <row r="2573" spans="2:7" s="63" customFormat="1">
      <c r="B2573" s="49"/>
      <c r="C2573" s="49"/>
      <c r="D2573" s="49"/>
      <c r="E2573" s="49"/>
      <c r="F2573" s="49"/>
      <c r="G2573" s="49"/>
    </row>
    <row r="2574" spans="2:7" s="63" customFormat="1">
      <c r="B2574" s="49"/>
      <c r="C2574" s="49"/>
      <c r="D2574" s="49"/>
      <c r="E2574" s="49"/>
      <c r="F2574" s="49"/>
      <c r="G2574" s="49"/>
    </row>
    <row r="2575" spans="2:7" s="63" customFormat="1">
      <c r="B2575" s="49"/>
      <c r="C2575" s="49"/>
      <c r="D2575" s="49"/>
      <c r="E2575" s="49"/>
      <c r="F2575" s="49"/>
      <c r="G2575" s="49"/>
    </row>
    <row r="2576" spans="2:7" s="63" customFormat="1">
      <c r="B2576" s="49"/>
      <c r="C2576" s="49"/>
      <c r="D2576" s="49"/>
      <c r="E2576" s="49"/>
      <c r="F2576" s="49"/>
      <c r="G2576" s="49"/>
    </row>
    <row r="2577" spans="2:7" s="63" customFormat="1">
      <c r="B2577" s="49"/>
      <c r="C2577" s="49"/>
      <c r="D2577" s="49"/>
      <c r="E2577" s="49"/>
      <c r="F2577" s="49"/>
      <c r="G2577" s="49"/>
    </row>
    <row r="2578" spans="2:7" s="63" customFormat="1">
      <c r="B2578" s="49"/>
      <c r="C2578" s="49"/>
      <c r="D2578" s="49"/>
      <c r="E2578" s="49"/>
      <c r="F2578" s="49"/>
      <c r="G2578" s="49"/>
    </row>
    <row r="2579" spans="2:7" s="63" customFormat="1">
      <c r="B2579" s="49"/>
      <c r="C2579" s="49"/>
      <c r="D2579" s="49"/>
      <c r="E2579" s="49"/>
      <c r="F2579" s="49"/>
      <c r="G2579" s="49"/>
    </row>
    <row r="2580" spans="2:7" s="63" customFormat="1">
      <c r="B2580" s="49"/>
      <c r="C2580" s="49"/>
      <c r="D2580" s="49"/>
      <c r="E2580" s="49"/>
      <c r="F2580" s="49"/>
      <c r="G2580" s="49"/>
    </row>
    <row r="2581" spans="2:7" s="63" customFormat="1">
      <c r="B2581" s="49"/>
      <c r="C2581" s="49"/>
      <c r="D2581" s="49"/>
      <c r="E2581" s="49"/>
      <c r="F2581" s="49"/>
      <c r="G2581" s="49"/>
    </row>
    <row r="2582" spans="2:7" s="63" customFormat="1">
      <c r="B2582" s="49"/>
      <c r="C2582" s="49"/>
      <c r="D2582" s="49"/>
      <c r="E2582" s="49"/>
      <c r="F2582" s="49"/>
      <c r="G2582" s="49"/>
    </row>
    <row r="2583" spans="2:7" s="63" customFormat="1">
      <c r="B2583" s="49"/>
      <c r="C2583" s="49"/>
      <c r="D2583" s="49"/>
      <c r="E2583" s="49"/>
      <c r="F2583" s="49"/>
      <c r="G2583" s="49"/>
    </row>
    <row r="2584" spans="2:7" s="63" customFormat="1">
      <c r="B2584" s="49"/>
      <c r="C2584" s="49"/>
      <c r="D2584" s="49"/>
      <c r="E2584" s="49"/>
      <c r="F2584" s="49"/>
      <c r="G2584" s="49"/>
    </row>
    <row r="2585" spans="2:7" s="63" customFormat="1">
      <c r="B2585" s="49"/>
      <c r="C2585" s="49"/>
      <c r="D2585" s="49"/>
      <c r="E2585" s="49"/>
      <c r="F2585" s="49"/>
      <c r="G2585" s="49"/>
    </row>
    <row r="2586" spans="2:7" s="63" customFormat="1">
      <c r="B2586" s="49"/>
      <c r="C2586" s="49"/>
      <c r="D2586" s="49"/>
      <c r="E2586" s="49"/>
      <c r="F2586" s="49"/>
      <c r="G2586" s="49"/>
    </row>
    <row r="2587" spans="2:7" s="63" customFormat="1">
      <c r="B2587" s="49"/>
      <c r="C2587" s="49"/>
      <c r="D2587" s="49"/>
      <c r="E2587" s="49"/>
      <c r="F2587" s="49"/>
      <c r="G2587" s="49"/>
    </row>
    <row r="2588" spans="2:7" s="63" customFormat="1">
      <c r="B2588" s="49"/>
      <c r="C2588" s="49"/>
      <c r="D2588" s="49"/>
      <c r="E2588" s="49"/>
      <c r="F2588" s="49"/>
      <c r="G2588" s="49"/>
    </row>
    <row r="2589" spans="2:7" s="63" customFormat="1">
      <c r="B2589" s="49"/>
      <c r="C2589" s="49"/>
      <c r="D2589" s="49"/>
      <c r="E2589" s="49"/>
      <c r="F2589" s="49"/>
      <c r="G2589" s="49"/>
    </row>
    <row r="2590" spans="2:7" s="63" customFormat="1">
      <c r="B2590" s="49"/>
      <c r="C2590" s="49"/>
      <c r="D2590" s="49"/>
      <c r="E2590" s="49"/>
      <c r="F2590" s="49"/>
      <c r="G2590" s="49"/>
    </row>
    <row r="2591" spans="2:7" s="63" customFormat="1">
      <c r="B2591" s="49"/>
      <c r="C2591" s="49"/>
      <c r="D2591" s="49"/>
      <c r="E2591" s="49"/>
      <c r="F2591" s="49"/>
      <c r="G2591" s="49"/>
    </row>
    <row r="2592" spans="2:7" s="63" customFormat="1">
      <c r="B2592" s="49"/>
      <c r="C2592" s="49"/>
      <c r="D2592" s="49"/>
      <c r="E2592" s="49"/>
      <c r="F2592" s="49"/>
      <c r="G2592" s="49"/>
    </row>
    <row r="2593" spans="2:7" s="63" customFormat="1">
      <c r="B2593" s="49"/>
      <c r="C2593" s="49"/>
      <c r="D2593" s="49"/>
      <c r="E2593" s="49"/>
      <c r="F2593" s="49"/>
      <c r="G2593" s="49"/>
    </row>
    <row r="2594" spans="2:7" s="63" customFormat="1">
      <c r="B2594" s="49"/>
      <c r="C2594" s="49"/>
      <c r="D2594" s="49"/>
      <c r="E2594" s="49"/>
      <c r="F2594" s="49"/>
      <c r="G2594" s="49"/>
    </row>
    <row r="2595" spans="2:7" s="63" customFormat="1">
      <c r="B2595" s="49"/>
      <c r="C2595" s="49"/>
      <c r="D2595" s="49"/>
      <c r="E2595" s="49"/>
      <c r="F2595" s="49"/>
      <c r="G2595" s="49"/>
    </row>
    <row r="2596" spans="2:7" s="63" customFormat="1">
      <c r="B2596" s="49"/>
      <c r="C2596" s="49"/>
      <c r="D2596" s="49"/>
      <c r="E2596" s="49"/>
      <c r="F2596" s="49"/>
      <c r="G2596" s="49"/>
    </row>
    <row r="2597" spans="2:7" s="63" customFormat="1">
      <c r="B2597" s="49"/>
      <c r="C2597" s="49"/>
      <c r="D2597" s="49"/>
      <c r="E2597" s="49"/>
      <c r="F2597" s="49"/>
      <c r="G2597" s="49"/>
    </row>
    <row r="2598" spans="2:7" s="63" customFormat="1">
      <c r="B2598" s="49"/>
      <c r="C2598" s="49"/>
      <c r="D2598" s="49"/>
      <c r="E2598" s="49"/>
      <c r="F2598" s="49"/>
      <c r="G2598" s="49"/>
    </row>
    <row r="2599" spans="2:7" s="63" customFormat="1">
      <c r="B2599" s="49"/>
      <c r="C2599" s="49"/>
      <c r="D2599" s="49"/>
      <c r="E2599" s="49"/>
      <c r="F2599" s="49"/>
      <c r="G2599" s="49"/>
    </row>
    <row r="2600" spans="2:7" s="63" customFormat="1">
      <c r="B2600" s="49"/>
      <c r="C2600" s="49"/>
      <c r="D2600" s="49"/>
      <c r="E2600" s="49"/>
      <c r="F2600" s="49"/>
      <c r="G2600" s="49"/>
    </row>
    <row r="2601" spans="2:7" s="63" customFormat="1">
      <c r="B2601" s="49"/>
      <c r="C2601" s="49"/>
      <c r="D2601" s="49"/>
      <c r="E2601" s="49"/>
      <c r="F2601" s="49"/>
      <c r="G2601" s="49"/>
    </row>
    <row r="2602" spans="2:7" s="63" customFormat="1">
      <c r="B2602" s="49"/>
      <c r="C2602" s="49"/>
      <c r="D2602" s="49"/>
      <c r="E2602" s="49"/>
      <c r="F2602" s="49"/>
      <c r="G2602" s="49"/>
    </row>
    <row r="2603" spans="2:7" s="63" customFormat="1">
      <c r="B2603" s="49"/>
      <c r="C2603" s="49"/>
      <c r="D2603" s="49"/>
      <c r="E2603" s="49"/>
      <c r="F2603" s="49"/>
      <c r="G2603" s="49"/>
    </row>
    <row r="2604" spans="2:7" s="63" customFormat="1">
      <c r="B2604" s="49"/>
      <c r="C2604" s="49"/>
      <c r="D2604" s="49"/>
      <c r="E2604" s="49"/>
      <c r="F2604" s="49"/>
      <c r="G2604" s="49"/>
    </row>
    <row r="2605" spans="2:7" s="63" customFormat="1">
      <c r="B2605" s="49"/>
      <c r="C2605" s="49"/>
      <c r="D2605" s="49"/>
      <c r="E2605" s="49"/>
      <c r="F2605" s="49"/>
      <c r="G2605" s="49"/>
    </row>
    <row r="2606" spans="2:7" s="63" customFormat="1">
      <c r="B2606" s="49"/>
      <c r="C2606" s="49"/>
      <c r="D2606" s="49"/>
      <c r="E2606" s="49"/>
      <c r="F2606" s="49"/>
      <c r="G2606" s="49"/>
    </row>
    <row r="2607" spans="2:7" s="63" customFormat="1">
      <c r="B2607" s="49"/>
      <c r="C2607" s="49"/>
      <c r="D2607" s="49"/>
      <c r="E2607" s="49"/>
      <c r="F2607" s="49"/>
      <c r="G2607" s="49"/>
    </row>
    <row r="2608" spans="2:7" s="63" customFormat="1">
      <c r="B2608" s="49"/>
      <c r="C2608" s="49"/>
      <c r="D2608" s="49"/>
      <c r="E2608" s="49"/>
      <c r="F2608" s="49"/>
      <c r="G2608" s="49"/>
    </row>
    <row r="2609" spans="2:7" s="63" customFormat="1">
      <c r="B2609" s="49"/>
      <c r="C2609" s="49"/>
      <c r="D2609" s="49"/>
      <c r="E2609" s="49"/>
      <c r="F2609" s="49"/>
      <c r="G2609" s="49"/>
    </row>
    <row r="2610" spans="2:7" s="63" customFormat="1">
      <c r="B2610" s="49"/>
      <c r="C2610" s="49"/>
      <c r="D2610" s="49"/>
      <c r="E2610" s="49"/>
      <c r="F2610" s="49"/>
      <c r="G2610" s="49"/>
    </row>
    <row r="2611" spans="2:7" s="63" customFormat="1">
      <c r="B2611" s="49"/>
      <c r="C2611" s="49"/>
      <c r="D2611" s="49"/>
      <c r="E2611" s="49"/>
      <c r="F2611" s="49"/>
      <c r="G2611" s="49"/>
    </row>
    <row r="2612" spans="2:7" s="63" customFormat="1">
      <c r="B2612" s="49"/>
      <c r="C2612" s="49"/>
      <c r="D2612" s="49"/>
      <c r="E2612" s="49"/>
      <c r="F2612" s="49"/>
      <c r="G2612" s="49"/>
    </row>
    <row r="2613" spans="2:7" s="63" customFormat="1">
      <c r="B2613" s="49"/>
      <c r="C2613" s="49"/>
      <c r="D2613" s="49"/>
      <c r="E2613" s="49"/>
      <c r="F2613" s="49"/>
      <c r="G2613" s="49"/>
    </row>
    <row r="2614" spans="2:7" s="63" customFormat="1">
      <c r="B2614" s="49"/>
      <c r="C2614" s="49"/>
      <c r="D2614" s="49"/>
      <c r="E2614" s="49"/>
      <c r="F2614" s="49"/>
      <c r="G2614" s="49"/>
    </row>
    <row r="2615" spans="2:7" s="63" customFormat="1">
      <c r="B2615" s="49"/>
      <c r="C2615" s="49"/>
      <c r="D2615" s="49"/>
      <c r="E2615" s="49"/>
      <c r="F2615" s="49"/>
      <c r="G2615" s="49"/>
    </row>
    <row r="2616" spans="2:7" s="63" customFormat="1">
      <c r="B2616" s="49"/>
      <c r="C2616" s="49"/>
      <c r="D2616" s="49"/>
      <c r="E2616" s="49"/>
      <c r="F2616" s="49"/>
      <c r="G2616" s="49"/>
    </row>
    <row r="2617" spans="2:7" s="63" customFormat="1">
      <c r="B2617" s="49"/>
      <c r="C2617" s="49"/>
      <c r="D2617" s="49"/>
      <c r="E2617" s="49"/>
      <c r="F2617" s="49"/>
      <c r="G2617" s="49"/>
    </row>
    <row r="2618" spans="2:7" s="63" customFormat="1">
      <c r="B2618" s="49"/>
      <c r="C2618" s="49"/>
      <c r="D2618" s="49"/>
      <c r="E2618" s="49"/>
      <c r="F2618" s="49"/>
      <c r="G2618" s="49"/>
    </row>
    <row r="2619" spans="2:7" s="63" customFormat="1">
      <c r="B2619" s="49"/>
      <c r="C2619" s="49"/>
      <c r="D2619" s="49"/>
      <c r="E2619" s="49"/>
      <c r="F2619" s="49"/>
      <c r="G2619" s="49"/>
    </row>
    <row r="2620" spans="2:7" s="63" customFormat="1">
      <c r="B2620" s="49"/>
      <c r="C2620" s="49"/>
      <c r="D2620" s="49"/>
      <c r="E2620" s="49"/>
      <c r="F2620" s="49"/>
      <c r="G2620" s="49"/>
    </row>
    <row r="2621" spans="2:7" s="63" customFormat="1">
      <c r="B2621" s="49"/>
      <c r="C2621" s="49"/>
      <c r="D2621" s="49"/>
      <c r="E2621" s="49"/>
      <c r="F2621" s="49"/>
      <c r="G2621" s="49"/>
    </row>
    <row r="2622" spans="2:7" s="63" customFormat="1">
      <c r="B2622" s="49"/>
      <c r="C2622" s="49"/>
      <c r="D2622" s="49"/>
      <c r="E2622" s="49"/>
      <c r="F2622" s="49"/>
      <c r="G2622" s="49"/>
    </row>
    <row r="2623" spans="2:7" s="63" customFormat="1">
      <c r="B2623" s="49"/>
      <c r="C2623" s="49"/>
      <c r="D2623" s="49"/>
      <c r="E2623" s="49"/>
      <c r="F2623" s="49"/>
      <c r="G2623" s="49"/>
    </row>
    <row r="2624" spans="2:7" s="63" customFormat="1">
      <c r="B2624" s="49"/>
      <c r="C2624" s="49"/>
      <c r="D2624" s="49"/>
      <c r="E2624" s="49"/>
      <c r="F2624" s="49"/>
      <c r="G2624" s="49"/>
    </row>
    <row r="2625" spans="2:7" s="63" customFormat="1">
      <c r="B2625" s="49"/>
      <c r="C2625" s="49"/>
      <c r="D2625" s="49"/>
      <c r="E2625" s="49"/>
      <c r="F2625" s="49"/>
      <c r="G2625" s="49"/>
    </row>
    <row r="2626" spans="2:7" s="63" customFormat="1">
      <c r="B2626" s="49"/>
      <c r="C2626" s="49"/>
      <c r="D2626" s="49"/>
      <c r="E2626" s="49"/>
      <c r="F2626" s="49"/>
      <c r="G2626" s="49"/>
    </row>
    <row r="2627" spans="2:7" s="63" customFormat="1">
      <c r="B2627" s="49"/>
      <c r="C2627" s="49"/>
      <c r="D2627" s="49"/>
      <c r="E2627" s="49"/>
      <c r="F2627" s="49"/>
      <c r="G2627" s="49"/>
    </row>
    <row r="2628" spans="2:7" s="63" customFormat="1">
      <c r="B2628" s="49"/>
      <c r="C2628" s="49"/>
      <c r="D2628" s="49"/>
      <c r="E2628" s="49"/>
      <c r="F2628" s="49"/>
      <c r="G2628" s="49"/>
    </row>
    <row r="2629" spans="2:7" s="63" customFormat="1">
      <c r="B2629" s="49"/>
      <c r="C2629" s="49"/>
      <c r="D2629" s="49"/>
      <c r="E2629" s="49"/>
      <c r="F2629" s="49"/>
      <c r="G2629" s="49"/>
    </row>
    <row r="2630" spans="2:7" s="63" customFormat="1">
      <c r="B2630" s="49"/>
      <c r="C2630" s="49"/>
      <c r="D2630" s="49"/>
      <c r="E2630" s="49"/>
      <c r="F2630" s="49"/>
      <c r="G2630" s="49"/>
    </row>
    <row r="2631" spans="2:7" s="63" customFormat="1">
      <c r="B2631" s="49"/>
      <c r="C2631" s="49"/>
      <c r="D2631" s="49"/>
      <c r="E2631" s="49"/>
      <c r="F2631" s="49"/>
      <c r="G2631" s="49"/>
    </row>
    <row r="2632" spans="2:7" s="63" customFormat="1">
      <c r="B2632" s="49"/>
      <c r="C2632" s="49"/>
      <c r="D2632" s="49"/>
      <c r="E2632" s="49"/>
      <c r="F2632" s="49"/>
      <c r="G2632" s="49"/>
    </row>
    <row r="2633" spans="2:7" s="63" customFormat="1">
      <c r="B2633" s="49"/>
      <c r="C2633" s="49"/>
      <c r="D2633" s="49"/>
      <c r="E2633" s="49"/>
      <c r="F2633" s="49"/>
      <c r="G2633" s="49"/>
    </row>
    <row r="2634" spans="2:7" s="63" customFormat="1">
      <c r="B2634" s="49"/>
      <c r="C2634" s="49"/>
      <c r="D2634" s="49"/>
      <c r="E2634" s="49"/>
      <c r="F2634" s="49"/>
      <c r="G2634" s="49"/>
    </row>
    <row r="2635" spans="2:7" s="63" customFormat="1">
      <c r="B2635" s="49"/>
      <c r="C2635" s="49"/>
      <c r="D2635" s="49"/>
      <c r="E2635" s="49"/>
      <c r="F2635" s="49"/>
      <c r="G2635" s="49"/>
    </row>
    <row r="2636" spans="2:7" s="63" customFormat="1">
      <c r="B2636" s="49"/>
      <c r="C2636" s="49"/>
      <c r="D2636" s="49"/>
      <c r="E2636" s="49"/>
      <c r="F2636" s="49"/>
      <c r="G2636" s="49"/>
    </row>
    <row r="2637" spans="2:7" s="63" customFormat="1">
      <c r="B2637" s="49"/>
      <c r="C2637" s="49"/>
      <c r="D2637" s="49"/>
      <c r="E2637" s="49"/>
      <c r="F2637" s="49"/>
      <c r="G2637" s="49"/>
    </row>
    <row r="2638" spans="2:7" s="63" customFormat="1">
      <c r="B2638" s="49"/>
      <c r="C2638" s="49"/>
      <c r="D2638" s="49"/>
      <c r="E2638" s="49"/>
      <c r="F2638" s="49"/>
      <c r="G2638" s="49"/>
    </row>
    <row r="2639" spans="2:7" s="63" customFormat="1">
      <c r="B2639" s="49"/>
      <c r="C2639" s="49"/>
      <c r="D2639" s="49"/>
      <c r="E2639" s="49"/>
      <c r="F2639" s="49"/>
      <c r="G2639" s="49"/>
    </row>
    <row r="2640" spans="2:7" s="63" customFormat="1">
      <c r="B2640" s="49"/>
      <c r="C2640" s="49"/>
      <c r="D2640" s="49"/>
      <c r="E2640" s="49"/>
      <c r="F2640" s="49"/>
      <c r="G2640" s="49"/>
    </row>
    <row r="2641" spans="2:7" s="63" customFormat="1">
      <c r="B2641" s="49"/>
      <c r="C2641" s="49"/>
      <c r="D2641" s="49"/>
      <c r="E2641" s="49"/>
      <c r="F2641" s="49"/>
      <c r="G2641" s="49"/>
    </row>
    <row r="2642" spans="2:7" s="63" customFormat="1">
      <c r="B2642" s="49"/>
      <c r="C2642" s="49"/>
      <c r="D2642" s="49"/>
      <c r="E2642" s="49"/>
      <c r="F2642" s="49"/>
      <c r="G2642" s="49"/>
    </row>
    <row r="2643" spans="2:7" s="63" customFormat="1">
      <c r="B2643" s="49"/>
      <c r="C2643" s="49"/>
      <c r="D2643" s="49"/>
      <c r="E2643" s="49"/>
      <c r="F2643" s="49"/>
      <c r="G2643" s="49"/>
    </row>
    <row r="2644" spans="2:7" s="63" customFormat="1">
      <c r="B2644" s="49"/>
      <c r="C2644" s="49"/>
      <c r="D2644" s="49"/>
      <c r="E2644" s="49"/>
      <c r="F2644" s="49"/>
      <c r="G2644" s="49"/>
    </row>
    <row r="2645" spans="2:7" s="63" customFormat="1">
      <c r="B2645" s="49"/>
      <c r="C2645" s="49"/>
      <c r="D2645" s="49"/>
      <c r="E2645" s="49"/>
      <c r="F2645" s="49"/>
      <c r="G2645" s="49"/>
    </row>
    <row r="2646" spans="2:7" s="63" customFormat="1">
      <c r="B2646" s="49"/>
      <c r="C2646" s="49"/>
      <c r="D2646" s="49"/>
      <c r="E2646" s="49"/>
      <c r="F2646" s="49"/>
      <c r="G2646" s="49"/>
    </row>
    <row r="2647" spans="2:7" s="63" customFormat="1">
      <c r="B2647" s="49"/>
      <c r="C2647" s="49"/>
      <c r="D2647" s="49"/>
      <c r="E2647" s="49"/>
      <c r="F2647" s="49"/>
      <c r="G2647" s="49"/>
    </row>
    <row r="2648" spans="2:7" s="63" customFormat="1">
      <c r="B2648" s="49"/>
      <c r="C2648" s="49"/>
      <c r="D2648" s="49"/>
      <c r="E2648" s="49"/>
      <c r="F2648" s="49"/>
      <c r="G2648" s="49"/>
    </row>
    <row r="2649" spans="2:7" s="63" customFormat="1">
      <c r="B2649" s="49"/>
      <c r="C2649" s="49"/>
      <c r="D2649" s="49"/>
      <c r="E2649" s="49"/>
      <c r="F2649" s="49"/>
      <c r="G2649" s="49"/>
    </row>
    <row r="2650" spans="2:7" s="63" customFormat="1">
      <c r="B2650" s="49"/>
      <c r="C2650" s="49"/>
      <c r="D2650" s="49"/>
      <c r="E2650" s="49"/>
      <c r="F2650" s="49"/>
      <c r="G2650" s="49"/>
    </row>
    <row r="2651" spans="2:7" s="63" customFormat="1">
      <c r="B2651" s="49"/>
      <c r="C2651" s="49"/>
      <c r="D2651" s="49"/>
      <c r="E2651" s="49"/>
      <c r="F2651" s="49"/>
      <c r="G2651" s="49"/>
    </row>
    <row r="2652" spans="2:7" s="63" customFormat="1">
      <c r="B2652" s="49"/>
      <c r="C2652" s="49"/>
      <c r="D2652" s="49"/>
      <c r="E2652" s="49"/>
      <c r="F2652" s="49"/>
      <c r="G2652" s="49"/>
    </row>
    <row r="2653" spans="2:7" s="63" customFormat="1">
      <c r="B2653" s="49"/>
      <c r="C2653" s="49"/>
      <c r="D2653" s="49"/>
      <c r="E2653" s="49"/>
      <c r="F2653" s="49"/>
      <c r="G2653" s="49"/>
    </row>
    <row r="2654" spans="2:7" s="63" customFormat="1">
      <c r="B2654" s="49"/>
      <c r="C2654" s="49"/>
      <c r="D2654" s="49"/>
      <c r="E2654" s="49"/>
      <c r="F2654" s="49"/>
      <c r="G2654" s="49"/>
    </row>
    <row r="2655" spans="2:7" s="63" customFormat="1">
      <c r="B2655" s="49"/>
      <c r="C2655" s="49"/>
      <c r="D2655" s="49"/>
      <c r="E2655" s="49"/>
      <c r="F2655" s="49"/>
      <c r="G2655" s="49"/>
    </row>
    <row r="2656" spans="2:7" s="63" customFormat="1">
      <c r="B2656" s="49"/>
      <c r="C2656" s="49"/>
      <c r="D2656" s="49"/>
      <c r="E2656" s="49"/>
      <c r="F2656" s="49"/>
      <c r="G2656" s="49"/>
    </row>
    <row r="2657" spans="2:7" s="63" customFormat="1">
      <c r="B2657" s="49"/>
      <c r="C2657" s="49"/>
      <c r="D2657" s="49"/>
      <c r="E2657" s="49"/>
      <c r="F2657" s="49"/>
      <c r="G2657" s="49"/>
    </row>
    <row r="2658" spans="2:7" s="63" customFormat="1">
      <c r="B2658" s="49"/>
      <c r="C2658" s="49"/>
      <c r="D2658" s="49"/>
      <c r="E2658" s="49"/>
      <c r="F2658" s="49"/>
      <c r="G2658" s="49"/>
    </row>
    <row r="2659" spans="2:7" s="63" customFormat="1">
      <c r="B2659" s="49"/>
      <c r="C2659" s="49"/>
      <c r="D2659" s="49"/>
      <c r="E2659" s="49"/>
      <c r="F2659" s="49"/>
      <c r="G2659" s="49"/>
    </row>
    <row r="2660" spans="2:7" s="63" customFormat="1">
      <c r="B2660" s="49"/>
      <c r="C2660" s="49"/>
      <c r="D2660" s="49"/>
      <c r="E2660" s="49"/>
      <c r="F2660" s="49"/>
      <c r="G2660" s="49"/>
    </row>
    <row r="2661" spans="2:7" s="63" customFormat="1">
      <c r="B2661" s="49"/>
      <c r="C2661" s="49"/>
      <c r="D2661" s="49"/>
      <c r="E2661" s="49"/>
      <c r="F2661" s="49"/>
      <c r="G2661" s="49"/>
    </row>
    <row r="2662" spans="2:7" s="63" customFormat="1">
      <c r="B2662" s="49"/>
      <c r="C2662" s="49"/>
      <c r="D2662" s="49"/>
      <c r="E2662" s="49"/>
      <c r="F2662" s="49"/>
      <c r="G2662" s="49"/>
    </row>
    <row r="2663" spans="2:7" s="63" customFormat="1">
      <c r="B2663" s="49"/>
      <c r="C2663" s="49"/>
      <c r="D2663" s="49"/>
      <c r="E2663" s="49"/>
      <c r="F2663" s="49"/>
      <c r="G2663" s="49"/>
    </row>
    <row r="2664" spans="2:7" s="63" customFormat="1">
      <c r="B2664" s="49"/>
      <c r="C2664" s="49"/>
      <c r="D2664" s="49"/>
      <c r="E2664" s="49"/>
      <c r="F2664" s="49"/>
      <c r="G2664" s="49"/>
    </row>
    <row r="2665" spans="2:7" s="63" customFormat="1">
      <c r="B2665" s="49"/>
      <c r="C2665" s="49"/>
      <c r="D2665" s="49"/>
      <c r="E2665" s="49"/>
      <c r="F2665" s="49"/>
      <c r="G2665" s="49"/>
    </row>
    <row r="2666" spans="2:7" s="63" customFormat="1">
      <c r="B2666" s="49"/>
      <c r="C2666" s="49"/>
      <c r="D2666" s="49"/>
      <c r="E2666" s="49"/>
      <c r="F2666" s="49"/>
      <c r="G2666" s="49"/>
    </row>
    <row r="2667" spans="2:7" s="63" customFormat="1">
      <c r="B2667" s="49"/>
      <c r="C2667" s="49"/>
      <c r="D2667" s="49"/>
      <c r="E2667" s="49"/>
      <c r="F2667" s="49"/>
      <c r="G2667" s="49"/>
    </row>
    <row r="2668" spans="2:7" s="63" customFormat="1">
      <c r="B2668" s="49"/>
      <c r="C2668" s="49"/>
      <c r="D2668" s="49"/>
      <c r="E2668" s="49"/>
      <c r="F2668" s="49"/>
      <c r="G2668" s="49"/>
    </row>
    <row r="2669" spans="2:7" s="63" customFormat="1">
      <c r="B2669" s="49"/>
      <c r="C2669" s="49"/>
      <c r="D2669" s="49"/>
      <c r="E2669" s="49"/>
      <c r="F2669" s="49"/>
      <c r="G2669" s="49"/>
    </row>
    <row r="2670" spans="2:7" s="63" customFormat="1">
      <c r="B2670" s="49"/>
      <c r="C2670" s="49"/>
      <c r="D2670" s="49"/>
      <c r="E2670" s="49"/>
      <c r="F2670" s="49"/>
      <c r="G2670" s="49"/>
    </row>
    <row r="2671" spans="2:7" s="63" customFormat="1">
      <c r="B2671" s="49"/>
      <c r="C2671" s="49"/>
      <c r="D2671" s="49"/>
      <c r="E2671" s="49"/>
      <c r="F2671" s="49"/>
      <c r="G2671" s="49"/>
    </row>
    <row r="2672" spans="2:7" s="63" customFormat="1">
      <c r="B2672" s="49"/>
      <c r="C2672" s="49"/>
      <c r="D2672" s="49"/>
      <c r="E2672" s="49"/>
      <c r="F2672" s="49"/>
      <c r="G2672" s="49"/>
    </row>
    <row r="2673" spans="2:7" s="63" customFormat="1">
      <c r="B2673" s="49"/>
      <c r="C2673" s="49"/>
      <c r="D2673" s="49"/>
      <c r="E2673" s="49"/>
      <c r="F2673" s="49"/>
      <c r="G2673" s="49"/>
    </row>
    <row r="2674" spans="2:7" s="63" customFormat="1">
      <c r="B2674" s="49"/>
      <c r="C2674" s="49"/>
      <c r="D2674" s="49"/>
      <c r="E2674" s="49"/>
      <c r="F2674" s="49"/>
      <c r="G2674" s="49"/>
    </row>
    <row r="2675" spans="2:7" s="63" customFormat="1">
      <c r="B2675" s="49"/>
      <c r="C2675" s="49"/>
      <c r="D2675" s="49"/>
      <c r="E2675" s="49"/>
      <c r="F2675" s="49"/>
      <c r="G2675" s="49"/>
    </row>
    <row r="2676" spans="2:7" s="63" customFormat="1">
      <c r="B2676" s="49"/>
      <c r="C2676" s="49"/>
      <c r="D2676" s="49"/>
      <c r="E2676" s="49"/>
      <c r="F2676" s="49"/>
      <c r="G2676" s="49"/>
    </row>
    <row r="2677" spans="2:7" s="63" customFormat="1">
      <c r="B2677" s="49"/>
      <c r="C2677" s="49"/>
      <c r="D2677" s="49"/>
      <c r="E2677" s="49"/>
      <c r="F2677" s="49"/>
      <c r="G2677" s="49"/>
    </row>
    <row r="2678" spans="2:7" s="63" customFormat="1">
      <c r="B2678" s="49"/>
      <c r="C2678" s="49"/>
      <c r="D2678" s="49"/>
      <c r="E2678" s="49"/>
      <c r="F2678" s="49"/>
      <c r="G2678" s="49"/>
    </row>
    <row r="2679" spans="2:7" s="63" customFormat="1">
      <c r="B2679" s="49"/>
      <c r="C2679" s="49"/>
      <c r="D2679" s="49"/>
      <c r="E2679" s="49"/>
      <c r="F2679" s="49"/>
      <c r="G2679" s="49"/>
    </row>
    <row r="2680" spans="2:7" s="63" customFormat="1">
      <c r="B2680" s="49"/>
      <c r="C2680" s="49"/>
      <c r="D2680" s="49"/>
      <c r="E2680" s="49"/>
      <c r="F2680" s="49"/>
      <c r="G2680" s="49"/>
    </row>
    <row r="2681" spans="2:7" s="63" customFormat="1">
      <c r="B2681" s="49"/>
      <c r="C2681" s="49"/>
      <c r="D2681" s="49"/>
      <c r="E2681" s="49"/>
      <c r="F2681" s="49"/>
      <c r="G2681" s="49"/>
    </row>
    <row r="2682" spans="2:7" s="63" customFormat="1">
      <c r="B2682" s="49"/>
      <c r="C2682" s="49"/>
      <c r="D2682" s="49"/>
      <c r="E2682" s="49"/>
      <c r="F2682" s="49"/>
      <c r="G2682" s="49"/>
    </row>
    <row r="2683" spans="2:7" s="63" customFormat="1">
      <c r="B2683" s="49"/>
      <c r="C2683" s="49"/>
      <c r="D2683" s="49"/>
      <c r="E2683" s="49"/>
      <c r="F2683" s="49"/>
      <c r="G2683" s="49"/>
    </row>
    <row r="2684" spans="2:7" s="63" customFormat="1">
      <c r="B2684" s="49"/>
      <c r="C2684" s="49"/>
      <c r="D2684" s="49"/>
      <c r="E2684" s="49"/>
      <c r="F2684" s="49"/>
      <c r="G2684" s="49"/>
    </row>
    <row r="2685" spans="2:7" s="63" customFormat="1">
      <c r="B2685" s="49"/>
      <c r="C2685" s="49"/>
      <c r="D2685" s="49"/>
      <c r="E2685" s="49"/>
      <c r="F2685" s="49"/>
      <c r="G2685" s="49"/>
    </row>
    <row r="2686" spans="2:7" s="63" customFormat="1">
      <c r="B2686" s="49"/>
      <c r="C2686" s="49"/>
      <c r="D2686" s="49"/>
      <c r="E2686" s="49"/>
      <c r="F2686" s="49"/>
      <c r="G2686" s="49"/>
    </row>
    <row r="2687" spans="2:7" s="63" customFormat="1">
      <c r="B2687" s="49"/>
      <c r="C2687" s="49"/>
      <c r="D2687" s="49"/>
      <c r="E2687" s="49"/>
      <c r="F2687" s="49"/>
      <c r="G2687" s="49"/>
    </row>
    <row r="2688" spans="2:7" s="63" customFormat="1">
      <c r="B2688" s="49"/>
      <c r="C2688" s="49"/>
      <c r="D2688" s="49"/>
      <c r="E2688" s="49"/>
      <c r="F2688" s="49"/>
      <c r="G2688" s="49"/>
    </row>
    <row r="2689" spans="2:7" s="63" customFormat="1">
      <c r="B2689" s="49"/>
      <c r="C2689" s="49"/>
      <c r="D2689" s="49"/>
      <c r="E2689" s="49"/>
      <c r="F2689" s="49"/>
      <c r="G2689" s="49"/>
    </row>
    <row r="2690" spans="2:7" s="63" customFormat="1">
      <c r="B2690" s="49"/>
      <c r="C2690" s="49"/>
      <c r="D2690" s="49"/>
      <c r="E2690" s="49"/>
      <c r="F2690" s="49"/>
      <c r="G2690" s="49"/>
    </row>
    <row r="2691" spans="2:7" s="63" customFormat="1">
      <c r="B2691" s="49"/>
      <c r="C2691" s="49"/>
      <c r="D2691" s="49"/>
      <c r="E2691" s="49"/>
      <c r="F2691" s="49"/>
      <c r="G2691" s="49"/>
    </row>
    <row r="2692" spans="2:7" s="63" customFormat="1">
      <c r="B2692" s="49"/>
      <c r="C2692" s="49"/>
      <c r="D2692" s="49"/>
      <c r="E2692" s="49"/>
      <c r="F2692" s="49"/>
      <c r="G2692" s="49"/>
    </row>
    <row r="2693" spans="2:7" s="63" customFormat="1">
      <c r="B2693" s="49"/>
      <c r="C2693" s="49"/>
      <c r="D2693" s="49"/>
      <c r="E2693" s="49"/>
      <c r="F2693" s="49"/>
      <c r="G2693" s="49"/>
    </row>
    <row r="2694" spans="2:7" s="63" customFormat="1">
      <c r="B2694" s="49"/>
      <c r="C2694" s="49"/>
      <c r="D2694" s="49"/>
      <c r="E2694" s="49"/>
      <c r="F2694" s="49"/>
      <c r="G2694" s="49"/>
    </row>
    <row r="2695" spans="2:7" s="63" customFormat="1">
      <c r="B2695" s="49"/>
      <c r="C2695" s="49"/>
      <c r="D2695" s="49"/>
      <c r="E2695" s="49"/>
      <c r="F2695" s="49"/>
      <c r="G2695" s="49"/>
    </row>
    <row r="2696" spans="2:7" s="63" customFormat="1">
      <c r="B2696" s="49"/>
      <c r="C2696" s="49"/>
      <c r="D2696" s="49"/>
      <c r="E2696" s="49"/>
      <c r="F2696" s="49"/>
      <c r="G2696" s="49"/>
    </row>
    <row r="2697" spans="2:7" s="63" customFormat="1">
      <c r="B2697" s="49"/>
      <c r="C2697" s="49"/>
      <c r="D2697" s="49"/>
      <c r="E2697" s="49"/>
      <c r="F2697" s="49"/>
      <c r="G2697" s="49"/>
    </row>
    <row r="2698" spans="2:7" s="63" customFormat="1">
      <c r="B2698" s="49"/>
      <c r="C2698" s="49"/>
      <c r="D2698" s="49"/>
      <c r="E2698" s="49"/>
      <c r="F2698" s="49"/>
      <c r="G2698" s="49"/>
    </row>
    <row r="2699" spans="2:7" s="63" customFormat="1">
      <c r="B2699" s="49"/>
      <c r="C2699" s="49"/>
      <c r="D2699" s="49"/>
      <c r="E2699" s="49"/>
      <c r="F2699" s="49"/>
      <c r="G2699" s="49"/>
    </row>
    <row r="2700" spans="2:7" s="63" customFormat="1">
      <c r="B2700" s="49"/>
      <c r="C2700" s="49"/>
      <c r="D2700" s="49"/>
      <c r="E2700" s="49"/>
      <c r="F2700" s="49"/>
      <c r="G2700" s="49"/>
    </row>
    <row r="2701" spans="2:7" s="63" customFormat="1">
      <c r="B2701" s="49"/>
      <c r="C2701" s="49"/>
      <c r="D2701" s="49"/>
      <c r="E2701" s="49"/>
      <c r="F2701" s="49"/>
      <c r="G2701" s="49"/>
    </row>
    <row r="2702" spans="2:7" s="63" customFormat="1">
      <c r="B2702" s="49"/>
      <c r="C2702" s="49"/>
      <c r="D2702" s="49"/>
      <c r="E2702" s="49"/>
      <c r="F2702" s="49"/>
      <c r="G2702" s="49"/>
    </row>
    <row r="2703" spans="2:7" s="63" customFormat="1">
      <c r="B2703" s="49"/>
      <c r="C2703" s="49"/>
      <c r="D2703" s="49"/>
      <c r="E2703" s="49"/>
      <c r="F2703" s="49"/>
      <c r="G2703" s="49"/>
    </row>
    <row r="2704" spans="2:7" s="63" customFormat="1">
      <c r="B2704" s="49"/>
      <c r="C2704" s="49"/>
      <c r="D2704" s="49"/>
      <c r="E2704" s="49"/>
      <c r="F2704" s="49"/>
      <c r="G2704" s="49"/>
    </row>
    <row r="2705" spans="2:7" s="63" customFormat="1">
      <c r="B2705" s="49"/>
      <c r="C2705" s="49"/>
      <c r="D2705" s="49"/>
      <c r="E2705" s="49"/>
      <c r="F2705" s="49"/>
      <c r="G2705" s="49"/>
    </row>
    <row r="2706" spans="2:7" s="63" customFormat="1">
      <c r="B2706" s="49"/>
      <c r="C2706" s="49"/>
      <c r="D2706" s="49"/>
      <c r="E2706" s="49"/>
      <c r="F2706" s="49"/>
      <c r="G2706" s="49"/>
    </row>
    <row r="2707" spans="2:7" s="63" customFormat="1">
      <c r="B2707" s="49"/>
      <c r="C2707" s="49"/>
      <c r="D2707" s="49"/>
      <c r="E2707" s="49"/>
      <c r="F2707" s="49"/>
      <c r="G2707" s="49"/>
    </row>
    <row r="2708" spans="2:7" s="63" customFormat="1">
      <c r="B2708" s="49"/>
      <c r="C2708" s="49"/>
      <c r="D2708" s="49"/>
      <c r="E2708" s="49"/>
      <c r="F2708" s="49"/>
      <c r="G2708" s="49"/>
    </row>
    <row r="2709" spans="2:7" s="63" customFormat="1">
      <c r="B2709" s="49"/>
      <c r="C2709" s="49"/>
      <c r="D2709" s="49"/>
      <c r="E2709" s="49"/>
      <c r="F2709" s="49"/>
      <c r="G2709" s="49"/>
    </row>
    <row r="2710" spans="2:7" s="63" customFormat="1">
      <c r="B2710" s="49"/>
      <c r="C2710" s="49"/>
      <c r="D2710" s="49"/>
      <c r="E2710" s="49"/>
      <c r="F2710" s="49"/>
      <c r="G2710" s="49"/>
    </row>
    <row r="2711" spans="2:7" s="63" customFormat="1">
      <c r="B2711" s="49"/>
      <c r="C2711" s="49"/>
      <c r="D2711" s="49"/>
      <c r="E2711" s="49"/>
      <c r="F2711" s="49"/>
      <c r="G2711" s="49"/>
    </row>
    <row r="2712" spans="2:7" s="63" customFormat="1">
      <c r="B2712" s="49"/>
      <c r="C2712" s="49"/>
      <c r="D2712" s="49"/>
      <c r="E2712" s="49"/>
      <c r="F2712" s="49"/>
      <c r="G2712" s="49"/>
    </row>
    <row r="2713" spans="2:7" s="63" customFormat="1">
      <c r="B2713" s="49"/>
      <c r="C2713" s="49"/>
      <c r="D2713" s="49"/>
      <c r="E2713" s="49"/>
      <c r="F2713" s="49"/>
      <c r="G2713" s="49"/>
    </row>
    <row r="2714" spans="2:7" s="63" customFormat="1">
      <c r="B2714" s="49"/>
      <c r="C2714" s="49"/>
      <c r="D2714" s="49"/>
      <c r="E2714" s="49"/>
      <c r="F2714" s="49"/>
      <c r="G2714" s="49"/>
    </row>
    <row r="2715" spans="2:7" s="63" customFormat="1">
      <c r="B2715" s="49"/>
      <c r="C2715" s="49"/>
      <c r="D2715" s="49"/>
      <c r="E2715" s="49"/>
      <c r="F2715" s="49"/>
      <c r="G2715" s="49"/>
    </row>
    <row r="2716" spans="2:7" s="63" customFormat="1">
      <c r="B2716" s="49"/>
      <c r="C2716" s="49"/>
      <c r="D2716" s="49"/>
      <c r="E2716" s="49"/>
      <c r="F2716" s="49"/>
      <c r="G2716" s="49"/>
    </row>
    <row r="2717" spans="2:7" s="63" customFormat="1">
      <c r="B2717" s="49"/>
      <c r="C2717" s="49"/>
      <c r="D2717" s="49"/>
      <c r="E2717" s="49"/>
      <c r="F2717" s="49"/>
      <c r="G2717" s="49"/>
    </row>
    <row r="2718" spans="2:7" s="63" customFormat="1">
      <c r="B2718" s="49"/>
      <c r="C2718" s="49"/>
      <c r="D2718" s="49"/>
      <c r="E2718" s="49"/>
      <c r="F2718" s="49"/>
      <c r="G2718" s="49"/>
    </row>
    <row r="2719" spans="2:7" s="63" customFormat="1">
      <c r="B2719" s="49"/>
      <c r="C2719" s="49"/>
      <c r="D2719" s="49"/>
      <c r="E2719" s="49"/>
      <c r="F2719" s="49"/>
      <c r="G2719" s="49"/>
    </row>
    <row r="2720" spans="2:7" s="63" customFormat="1">
      <c r="B2720" s="49"/>
      <c r="C2720" s="49"/>
      <c r="D2720" s="49"/>
      <c r="E2720" s="49"/>
      <c r="F2720" s="49"/>
      <c r="G2720" s="49"/>
    </row>
    <row r="2721" spans="2:7" s="63" customFormat="1">
      <c r="B2721" s="49"/>
      <c r="C2721" s="49"/>
      <c r="D2721" s="49"/>
      <c r="E2721" s="49"/>
      <c r="F2721" s="49"/>
      <c r="G2721" s="49"/>
    </row>
    <row r="2722" spans="2:7" s="63" customFormat="1">
      <c r="B2722" s="49"/>
      <c r="C2722" s="49"/>
      <c r="D2722" s="49"/>
      <c r="E2722" s="49"/>
      <c r="F2722" s="49"/>
      <c r="G2722" s="49"/>
    </row>
    <row r="2723" spans="2:7" s="63" customFormat="1">
      <c r="B2723" s="49"/>
      <c r="C2723" s="49"/>
      <c r="D2723" s="49"/>
      <c r="E2723" s="49"/>
      <c r="F2723" s="49"/>
      <c r="G2723" s="49"/>
    </row>
    <row r="2724" spans="2:7" s="63" customFormat="1">
      <c r="B2724" s="49"/>
      <c r="C2724" s="49"/>
      <c r="D2724" s="49"/>
      <c r="E2724" s="49"/>
      <c r="F2724" s="49"/>
      <c r="G2724" s="49"/>
    </row>
    <row r="2725" spans="2:7" s="63" customFormat="1">
      <c r="B2725" s="49"/>
      <c r="C2725" s="49"/>
      <c r="D2725" s="49"/>
      <c r="E2725" s="49"/>
      <c r="F2725" s="49"/>
      <c r="G2725" s="49"/>
    </row>
    <row r="2726" spans="2:7" s="63" customFormat="1">
      <c r="B2726" s="49"/>
      <c r="C2726" s="49"/>
      <c r="D2726" s="49"/>
      <c r="E2726" s="49"/>
      <c r="F2726" s="49"/>
      <c r="G2726" s="49"/>
    </row>
    <row r="2727" spans="2:7" s="63" customFormat="1">
      <c r="B2727" s="49"/>
      <c r="C2727" s="49"/>
      <c r="D2727" s="49"/>
      <c r="E2727" s="49"/>
      <c r="F2727" s="49"/>
      <c r="G2727" s="49"/>
    </row>
    <row r="2728" spans="2:7" s="63" customFormat="1">
      <c r="B2728" s="49"/>
      <c r="C2728" s="49"/>
      <c r="D2728" s="49"/>
      <c r="E2728" s="49"/>
      <c r="F2728" s="49"/>
      <c r="G2728" s="49"/>
    </row>
    <row r="2729" spans="2:7" s="63" customFormat="1">
      <c r="B2729" s="49"/>
      <c r="C2729" s="49"/>
      <c r="D2729" s="49"/>
      <c r="E2729" s="49"/>
      <c r="F2729" s="49"/>
      <c r="G2729" s="49"/>
    </row>
    <row r="2730" spans="2:7" s="63" customFormat="1">
      <c r="B2730" s="49"/>
      <c r="C2730" s="49"/>
      <c r="D2730" s="49"/>
      <c r="E2730" s="49"/>
      <c r="F2730" s="49"/>
      <c r="G2730" s="49"/>
    </row>
    <row r="2731" spans="2:7" s="63" customFormat="1">
      <c r="B2731" s="49"/>
      <c r="C2731" s="49"/>
      <c r="D2731" s="49"/>
      <c r="E2731" s="49"/>
      <c r="F2731" s="49"/>
      <c r="G2731" s="49"/>
    </row>
    <row r="2732" spans="2:7" s="63" customFormat="1">
      <c r="B2732" s="49"/>
      <c r="C2732" s="49"/>
      <c r="D2732" s="49"/>
      <c r="E2732" s="49"/>
      <c r="F2732" s="49"/>
      <c r="G2732" s="49"/>
    </row>
    <row r="2733" spans="2:7" s="63" customFormat="1">
      <c r="B2733" s="49"/>
      <c r="C2733" s="49"/>
      <c r="D2733" s="49"/>
      <c r="E2733" s="49"/>
      <c r="F2733" s="49"/>
      <c r="G2733" s="49"/>
    </row>
    <row r="2734" spans="2:7" s="63" customFormat="1">
      <c r="B2734" s="49"/>
      <c r="C2734" s="49"/>
      <c r="D2734" s="49"/>
      <c r="E2734" s="49"/>
      <c r="F2734" s="49"/>
      <c r="G2734" s="49"/>
    </row>
    <row r="2735" spans="2:7" s="63" customFormat="1">
      <c r="B2735" s="49"/>
      <c r="C2735" s="49"/>
      <c r="D2735" s="49"/>
      <c r="E2735" s="49"/>
      <c r="F2735" s="49"/>
      <c r="G2735" s="49"/>
    </row>
    <row r="2736" spans="2:7" s="63" customFormat="1">
      <c r="B2736" s="49"/>
      <c r="C2736" s="49"/>
      <c r="D2736" s="49"/>
      <c r="E2736" s="49"/>
      <c r="F2736" s="49"/>
      <c r="G2736" s="49"/>
    </row>
    <row r="2737" spans="2:7" s="63" customFormat="1">
      <c r="B2737" s="49"/>
      <c r="C2737" s="49"/>
      <c r="D2737" s="49"/>
      <c r="E2737" s="49"/>
      <c r="F2737" s="49"/>
      <c r="G2737" s="49"/>
    </row>
    <row r="2738" spans="2:7" s="63" customFormat="1">
      <c r="B2738" s="49"/>
      <c r="C2738" s="49"/>
      <c r="D2738" s="49"/>
      <c r="E2738" s="49"/>
      <c r="F2738" s="49"/>
      <c r="G2738" s="49"/>
    </row>
    <row r="2739" spans="2:7" s="63" customFormat="1">
      <c r="B2739" s="49"/>
      <c r="C2739" s="49"/>
      <c r="D2739" s="49"/>
      <c r="E2739" s="49"/>
      <c r="F2739" s="49"/>
      <c r="G2739" s="49"/>
    </row>
    <row r="2740" spans="2:7" s="63" customFormat="1">
      <c r="B2740" s="49"/>
      <c r="C2740" s="49"/>
      <c r="D2740" s="49"/>
      <c r="E2740" s="49"/>
      <c r="F2740" s="49"/>
      <c r="G2740" s="49"/>
    </row>
    <row r="2741" spans="2:7" s="63" customFormat="1">
      <c r="B2741" s="49"/>
      <c r="C2741" s="49"/>
      <c r="D2741" s="49"/>
      <c r="E2741" s="49"/>
      <c r="F2741" s="49"/>
      <c r="G2741" s="49"/>
    </row>
    <row r="2742" spans="2:7" s="63" customFormat="1">
      <c r="B2742" s="49"/>
      <c r="C2742" s="49"/>
      <c r="D2742" s="49"/>
      <c r="E2742" s="49"/>
      <c r="F2742" s="49"/>
      <c r="G2742" s="49"/>
    </row>
    <row r="2743" spans="2:7" s="63" customFormat="1">
      <c r="B2743" s="49"/>
      <c r="C2743" s="49"/>
      <c r="D2743" s="49"/>
      <c r="E2743" s="49"/>
      <c r="F2743" s="49"/>
      <c r="G2743" s="49"/>
    </row>
    <row r="2744" spans="2:7" s="63" customFormat="1">
      <c r="B2744" s="49"/>
      <c r="C2744" s="49"/>
      <c r="D2744" s="49"/>
      <c r="E2744" s="49"/>
      <c r="F2744" s="49"/>
      <c r="G2744" s="49"/>
    </row>
    <row r="2745" spans="2:7" s="63" customFormat="1">
      <c r="B2745" s="49"/>
      <c r="C2745" s="49"/>
      <c r="D2745" s="49"/>
      <c r="E2745" s="49"/>
      <c r="F2745" s="49"/>
      <c r="G2745" s="49"/>
    </row>
    <row r="2746" spans="2:7" s="63" customFormat="1">
      <c r="B2746" s="49"/>
      <c r="C2746" s="49"/>
      <c r="D2746" s="49"/>
      <c r="E2746" s="49"/>
      <c r="F2746" s="49"/>
      <c r="G2746" s="49"/>
    </row>
    <row r="2747" spans="2:7" s="63" customFormat="1">
      <c r="B2747" s="49"/>
      <c r="C2747" s="49"/>
      <c r="D2747" s="49"/>
      <c r="E2747" s="49"/>
      <c r="F2747" s="49"/>
      <c r="G2747" s="49"/>
    </row>
    <row r="2748" spans="2:7" s="63" customFormat="1">
      <c r="B2748" s="49"/>
      <c r="C2748" s="49"/>
      <c r="D2748" s="49"/>
      <c r="E2748" s="49"/>
      <c r="F2748" s="49"/>
      <c r="G2748" s="49"/>
    </row>
    <row r="2749" spans="2:7" s="63" customFormat="1">
      <c r="B2749" s="49"/>
      <c r="C2749" s="49"/>
      <c r="D2749" s="49"/>
      <c r="E2749" s="49"/>
      <c r="F2749" s="49"/>
      <c r="G2749" s="49"/>
    </row>
    <row r="2750" spans="2:7" s="63" customFormat="1">
      <c r="B2750" s="49"/>
      <c r="C2750" s="49"/>
      <c r="D2750" s="49"/>
      <c r="E2750" s="49"/>
      <c r="F2750" s="49"/>
      <c r="G2750" s="49"/>
    </row>
    <row r="2751" spans="2:7" s="63" customFormat="1">
      <c r="B2751" s="49"/>
      <c r="C2751" s="49"/>
      <c r="D2751" s="49"/>
      <c r="E2751" s="49"/>
      <c r="F2751" s="49"/>
      <c r="G2751" s="49"/>
    </row>
    <row r="2752" spans="2:7" s="63" customFormat="1">
      <c r="B2752" s="49"/>
      <c r="C2752" s="49"/>
      <c r="D2752" s="49"/>
      <c r="E2752" s="49"/>
      <c r="F2752" s="49"/>
      <c r="G2752" s="49"/>
    </row>
    <row r="2753" spans="2:7" s="63" customFormat="1">
      <c r="B2753" s="49"/>
      <c r="C2753" s="49"/>
      <c r="D2753" s="49"/>
      <c r="E2753" s="49"/>
      <c r="F2753" s="49"/>
      <c r="G2753" s="49"/>
    </row>
    <row r="2754" spans="2:7" s="63" customFormat="1">
      <c r="B2754" s="49"/>
      <c r="C2754" s="49"/>
      <c r="D2754" s="49"/>
      <c r="E2754" s="49"/>
      <c r="F2754" s="49"/>
      <c r="G2754" s="49"/>
    </row>
    <row r="2755" spans="2:7" s="63" customFormat="1">
      <c r="B2755" s="49"/>
      <c r="C2755" s="49"/>
      <c r="D2755" s="49"/>
      <c r="E2755" s="49"/>
      <c r="F2755" s="49"/>
      <c r="G2755" s="49"/>
    </row>
    <row r="2756" spans="2:7" s="63" customFormat="1">
      <c r="B2756" s="49"/>
      <c r="C2756" s="49"/>
      <c r="D2756" s="49"/>
      <c r="E2756" s="49"/>
      <c r="F2756" s="49"/>
      <c r="G2756" s="49"/>
    </row>
    <row r="2757" spans="2:7" s="63" customFormat="1">
      <c r="B2757" s="49"/>
      <c r="C2757" s="49"/>
      <c r="D2757" s="49"/>
      <c r="E2757" s="49"/>
      <c r="F2757" s="49"/>
      <c r="G2757" s="49"/>
    </row>
    <row r="2758" spans="2:7" s="63" customFormat="1">
      <c r="B2758" s="49"/>
      <c r="C2758" s="49"/>
      <c r="D2758" s="49"/>
      <c r="E2758" s="49"/>
      <c r="F2758" s="49"/>
      <c r="G2758" s="49"/>
    </row>
    <row r="2759" spans="2:7" s="63" customFormat="1">
      <c r="B2759" s="49"/>
      <c r="C2759" s="49"/>
      <c r="D2759" s="49"/>
      <c r="E2759" s="49"/>
      <c r="F2759" s="49"/>
      <c r="G2759" s="49"/>
    </row>
    <row r="2760" spans="2:7" s="63" customFormat="1">
      <c r="B2760" s="49"/>
      <c r="C2760" s="49"/>
      <c r="D2760" s="49"/>
      <c r="E2760" s="49"/>
      <c r="F2760" s="49"/>
      <c r="G2760" s="49"/>
    </row>
    <row r="2761" spans="2:7" s="63" customFormat="1">
      <c r="B2761" s="49"/>
      <c r="C2761" s="49"/>
      <c r="D2761" s="49"/>
      <c r="E2761" s="49"/>
      <c r="F2761" s="49"/>
      <c r="G2761" s="49"/>
    </row>
    <row r="2762" spans="2:7" s="63" customFormat="1">
      <c r="B2762" s="49"/>
      <c r="C2762" s="49"/>
      <c r="D2762" s="49"/>
      <c r="E2762" s="49"/>
      <c r="F2762" s="49"/>
      <c r="G2762" s="49"/>
    </row>
    <row r="2763" spans="2:7" s="63" customFormat="1">
      <c r="B2763" s="49"/>
      <c r="C2763" s="49"/>
      <c r="D2763" s="49"/>
      <c r="E2763" s="49"/>
      <c r="F2763" s="49"/>
      <c r="G2763" s="49"/>
    </row>
    <row r="2764" spans="2:7" s="63" customFormat="1">
      <c r="B2764" s="49"/>
      <c r="C2764" s="49"/>
      <c r="D2764" s="49"/>
      <c r="E2764" s="49"/>
      <c r="F2764" s="49"/>
      <c r="G2764" s="49"/>
    </row>
    <row r="2765" spans="2:7" s="63" customFormat="1">
      <c r="B2765" s="49"/>
      <c r="C2765" s="49"/>
      <c r="D2765" s="49"/>
      <c r="E2765" s="49"/>
      <c r="F2765" s="49"/>
      <c r="G2765" s="49"/>
    </row>
    <row r="2766" spans="2:7" s="63" customFormat="1">
      <c r="B2766" s="49"/>
      <c r="C2766" s="49"/>
      <c r="D2766" s="49"/>
      <c r="E2766" s="49"/>
      <c r="F2766" s="49"/>
      <c r="G2766" s="49"/>
    </row>
    <row r="2767" spans="2:7" s="63" customFormat="1">
      <c r="B2767" s="49"/>
      <c r="C2767" s="49"/>
      <c r="D2767" s="49"/>
      <c r="E2767" s="49"/>
      <c r="F2767" s="49"/>
      <c r="G2767" s="49"/>
    </row>
    <row r="2768" spans="2:7" s="63" customFormat="1">
      <c r="B2768" s="49"/>
      <c r="C2768" s="49"/>
      <c r="D2768" s="49"/>
      <c r="E2768" s="49"/>
      <c r="F2768" s="49"/>
      <c r="G2768" s="49"/>
    </row>
    <row r="2769" spans="2:7" s="63" customFormat="1">
      <c r="B2769" s="49"/>
      <c r="C2769" s="49"/>
      <c r="D2769" s="49"/>
      <c r="E2769" s="49"/>
      <c r="F2769" s="49"/>
      <c r="G2769" s="49"/>
    </row>
    <row r="2770" spans="2:7" s="63" customFormat="1">
      <c r="B2770" s="49"/>
      <c r="C2770" s="49"/>
      <c r="D2770" s="49"/>
      <c r="E2770" s="49"/>
      <c r="F2770" s="49"/>
      <c r="G2770" s="49"/>
    </row>
    <row r="2771" spans="2:7" s="63" customFormat="1">
      <c r="B2771" s="49"/>
      <c r="C2771" s="49"/>
      <c r="D2771" s="49"/>
      <c r="E2771" s="49"/>
      <c r="F2771" s="49"/>
      <c r="G2771" s="49"/>
    </row>
    <row r="2772" spans="2:7" s="63" customFormat="1">
      <c r="B2772" s="49"/>
      <c r="C2772" s="49"/>
      <c r="D2772" s="49"/>
      <c r="E2772" s="49"/>
      <c r="F2772" s="49"/>
      <c r="G2772" s="49"/>
    </row>
    <row r="2773" spans="2:7" s="63" customFormat="1">
      <c r="B2773" s="49"/>
      <c r="C2773" s="49"/>
      <c r="D2773" s="49"/>
      <c r="E2773" s="49"/>
      <c r="F2773" s="49"/>
      <c r="G2773" s="49"/>
    </row>
    <row r="2774" spans="2:7" s="63" customFormat="1">
      <c r="B2774" s="49"/>
      <c r="C2774" s="49"/>
      <c r="D2774" s="49"/>
      <c r="E2774" s="49"/>
      <c r="F2774" s="49"/>
      <c r="G2774" s="49"/>
    </row>
    <row r="2775" spans="2:7" s="63" customFormat="1">
      <c r="B2775" s="49"/>
      <c r="C2775" s="49"/>
      <c r="D2775" s="49"/>
      <c r="E2775" s="49"/>
      <c r="F2775" s="49"/>
      <c r="G2775" s="49"/>
    </row>
    <row r="2776" spans="2:7" s="63" customFormat="1">
      <c r="B2776" s="49"/>
      <c r="C2776" s="49"/>
      <c r="D2776" s="49"/>
      <c r="E2776" s="49"/>
      <c r="F2776" s="49"/>
      <c r="G2776" s="49"/>
    </row>
    <row r="2777" spans="2:7" s="63" customFormat="1">
      <c r="B2777" s="49"/>
      <c r="C2777" s="49"/>
      <c r="D2777" s="49"/>
      <c r="E2777" s="49"/>
      <c r="F2777" s="49"/>
      <c r="G2777" s="49"/>
    </row>
    <row r="2778" spans="2:7" s="63" customFormat="1">
      <c r="B2778" s="49"/>
      <c r="C2778" s="49"/>
      <c r="D2778" s="49"/>
      <c r="E2778" s="49"/>
      <c r="F2778" s="49"/>
      <c r="G2778" s="49"/>
    </row>
    <row r="2779" spans="2:7" s="63" customFormat="1">
      <c r="B2779" s="49"/>
      <c r="C2779" s="49"/>
      <c r="D2779" s="49"/>
      <c r="E2779" s="49"/>
      <c r="F2779" s="49"/>
      <c r="G2779" s="49"/>
    </row>
    <row r="2780" spans="2:7" s="63" customFormat="1">
      <c r="B2780" s="49"/>
      <c r="C2780" s="49"/>
      <c r="D2780" s="49"/>
      <c r="E2780" s="49"/>
      <c r="F2780" s="49"/>
      <c r="G2780" s="49"/>
    </row>
    <row r="2781" spans="2:7" s="63" customFormat="1">
      <c r="B2781" s="49"/>
      <c r="C2781" s="49"/>
      <c r="D2781" s="49"/>
      <c r="E2781" s="49"/>
      <c r="F2781" s="49"/>
      <c r="G2781" s="49"/>
    </row>
    <row r="2782" spans="2:7" s="63" customFormat="1">
      <c r="B2782" s="49"/>
      <c r="C2782" s="49"/>
      <c r="D2782" s="49"/>
      <c r="E2782" s="49"/>
      <c r="F2782" s="49"/>
      <c r="G2782" s="49"/>
    </row>
    <row r="2783" spans="2:7" s="63" customFormat="1">
      <c r="B2783" s="49"/>
      <c r="C2783" s="49"/>
      <c r="D2783" s="49"/>
      <c r="E2783" s="49"/>
      <c r="F2783" s="49"/>
      <c r="G2783" s="49"/>
    </row>
    <row r="2784" spans="2:7" s="63" customFormat="1">
      <c r="B2784" s="49"/>
      <c r="C2784" s="49"/>
      <c r="D2784" s="49"/>
      <c r="E2784" s="49"/>
      <c r="F2784" s="49"/>
      <c r="G2784" s="49"/>
    </row>
    <row r="2785" spans="2:7" s="63" customFormat="1">
      <c r="B2785" s="49"/>
      <c r="C2785" s="49"/>
      <c r="D2785" s="49"/>
      <c r="E2785" s="49"/>
      <c r="F2785" s="49"/>
      <c r="G2785" s="49"/>
    </row>
    <row r="2786" spans="2:7" s="63" customFormat="1">
      <c r="B2786" s="49"/>
      <c r="C2786" s="49"/>
      <c r="D2786" s="49"/>
      <c r="E2786" s="49"/>
      <c r="F2786" s="49"/>
      <c r="G2786" s="49"/>
    </row>
    <row r="2787" spans="2:7" s="63" customFormat="1">
      <c r="B2787" s="49"/>
      <c r="C2787" s="49"/>
      <c r="D2787" s="49"/>
      <c r="E2787" s="49"/>
      <c r="F2787" s="49"/>
      <c r="G2787" s="49"/>
    </row>
    <row r="2788" spans="2:7" s="63" customFormat="1">
      <c r="B2788" s="49"/>
      <c r="C2788" s="49"/>
      <c r="D2788" s="49"/>
      <c r="E2788" s="49"/>
      <c r="F2788" s="49"/>
      <c r="G2788" s="49"/>
    </row>
    <row r="2789" spans="2:7" s="63" customFormat="1">
      <c r="B2789" s="49"/>
      <c r="C2789" s="49"/>
      <c r="D2789" s="49"/>
      <c r="E2789" s="49"/>
      <c r="F2789" s="49"/>
      <c r="G2789" s="49"/>
    </row>
    <row r="2790" spans="2:7" s="63" customFormat="1">
      <c r="B2790" s="49"/>
      <c r="C2790" s="49"/>
      <c r="D2790" s="49"/>
      <c r="E2790" s="49"/>
      <c r="F2790" s="49"/>
      <c r="G2790" s="49"/>
    </row>
    <row r="2791" spans="2:7" s="63" customFormat="1">
      <c r="B2791" s="49"/>
      <c r="C2791" s="49"/>
      <c r="D2791" s="49"/>
      <c r="E2791" s="49"/>
      <c r="F2791" s="49"/>
      <c r="G2791" s="49"/>
    </row>
    <row r="2792" spans="2:7" s="63" customFormat="1">
      <c r="B2792" s="49"/>
      <c r="C2792" s="49"/>
      <c r="D2792" s="49"/>
      <c r="E2792" s="49"/>
      <c r="F2792" s="49"/>
      <c r="G2792" s="49"/>
    </row>
    <row r="2793" spans="2:7" s="63" customFormat="1">
      <c r="B2793" s="49"/>
      <c r="C2793" s="49"/>
      <c r="D2793" s="49"/>
      <c r="E2793" s="49"/>
      <c r="F2793" s="49"/>
      <c r="G2793" s="49"/>
    </row>
    <row r="2794" spans="2:7" s="63" customFormat="1">
      <c r="B2794" s="49"/>
      <c r="C2794" s="49"/>
      <c r="D2794" s="49"/>
      <c r="E2794" s="49"/>
      <c r="F2794" s="49"/>
      <c r="G2794" s="49"/>
    </row>
    <row r="2795" spans="2:7" s="63" customFormat="1">
      <c r="B2795" s="49"/>
      <c r="C2795" s="49"/>
      <c r="D2795" s="49"/>
      <c r="E2795" s="49"/>
      <c r="F2795" s="49"/>
      <c r="G2795" s="49"/>
    </row>
    <row r="2796" spans="2:7" s="63" customFormat="1">
      <c r="B2796" s="49"/>
      <c r="C2796" s="49"/>
      <c r="D2796" s="49"/>
      <c r="E2796" s="49"/>
      <c r="F2796" s="49"/>
      <c r="G2796" s="49"/>
    </row>
    <row r="2797" spans="2:7" s="63" customFormat="1">
      <c r="B2797" s="49"/>
      <c r="C2797" s="49"/>
      <c r="D2797" s="49"/>
      <c r="E2797" s="49"/>
      <c r="F2797" s="49"/>
      <c r="G2797" s="49"/>
    </row>
    <row r="2798" spans="2:7" s="63" customFormat="1">
      <c r="B2798" s="49"/>
      <c r="C2798" s="49"/>
      <c r="D2798" s="49"/>
      <c r="E2798" s="49"/>
      <c r="F2798" s="49"/>
      <c r="G2798" s="49"/>
    </row>
    <row r="2799" spans="2:7" s="63" customFormat="1">
      <c r="B2799" s="49"/>
      <c r="C2799" s="49"/>
      <c r="D2799" s="49"/>
      <c r="E2799" s="49"/>
      <c r="F2799" s="49"/>
      <c r="G2799" s="49"/>
    </row>
    <row r="2800" spans="2:7" s="63" customFormat="1">
      <c r="B2800" s="49"/>
      <c r="C2800" s="49"/>
      <c r="D2800" s="49"/>
      <c r="E2800" s="49"/>
      <c r="F2800" s="49"/>
      <c r="G2800" s="49"/>
    </row>
    <row r="2801" spans="2:7" s="63" customFormat="1">
      <c r="B2801" s="49"/>
      <c r="C2801" s="49"/>
      <c r="D2801" s="49"/>
      <c r="E2801" s="49"/>
      <c r="F2801" s="49"/>
      <c r="G2801" s="49"/>
    </row>
    <row r="2802" spans="2:7" s="63" customFormat="1">
      <c r="B2802" s="49"/>
      <c r="C2802" s="49"/>
      <c r="D2802" s="49"/>
      <c r="E2802" s="49"/>
      <c r="F2802" s="49"/>
      <c r="G2802" s="49"/>
    </row>
    <row r="2803" spans="2:7" s="63" customFormat="1">
      <c r="B2803" s="49"/>
      <c r="C2803" s="49"/>
      <c r="D2803" s="49"/>
      <c r="E2803" s="49"/>
      <c r="F2803" s="49"/>
      <c r="G2803" s="49"/>
    </row>
    <row r="2804" spans="2:7" s="63" customFormat="1">
      <c r="B2804" s="49"/>
      <c r="C2804" s="49"/>
      <c r="D2804" s="49"/>
      <c r="E2804" s="49"/>
      <c r="F2804" s="49"/>
      <c r="G2804" s="49"/>
    </row>
    <row r="2805" spans="2:7" s="63" customFormat="1">
      <c r="B2805" s="49"/>
      <c r="C2805" s="49"/>
      <c r="D2805" s="49"/>
      <c r="E2805" s="49"/>
      <c r="F2805" s="49"/>
      <c r="G2805" s="49"/>
    </row>
    <row r="2806" spans="2:7" s="63" customFormat="1">
      <c r="B2806" s="49"/>
      <c r="C2806" s="49"/>
      <c r="D2806" s="49"/>
      <c r="E2806" s="49"/>
      <c r="F2806" s="49"/>
      <c r="G2806" s="49"/>
    </row>
    <row r="2807" spans="2:7" s="63" customFormat="1">
      <c r="B2807" s="49"/>
      <c r="C2807" s="49"/>
      <c r="D2807" s="49"/>
      <c r="E2807" s="49"/>
      <c r="F2807" s="49"/>
      <c r="G2807" s="49"/>
    </row>
    <row r="2808" spans="2:7" s="63" customFormat="1">
      <c r="B2808" s="49"/>
      <c r="C2808" s="49"/>
      <c r="D2808" s="49"/>
      <c r="E2808" s="49"/>
      <c r="F2808" s="49"/>
      <c r="G2808" s="49"/>
    </row>
    <row r="2809" spans="2:7" s="63" customFormat="1">
      <c r="B2809" s="49"/>
      <c r="C2809" s="49"/>
      <c r="D2809" s="49"/>
      <c r="E2809" s="49"/>
      <c r="F2809" s="49"/>
      <c r="G2809" s="49"/>
    </row>
    <row r="2810" spans="2:7" s="63" customFormat="1">
      <c r="B2810" s="49"/>
      <c r="C2810" s="49"/>
      <c r="D2810" s="49"/>
      <c r="E2810" s="49"/>
      <c r="F2810" s="49"/>
      <c r="G2810" s="49"/>
    </row>
    <row r="2811" spans="2:7" s="63" customFormat="1">
      <c r="B2811" s="49"/>
      <c r="C2811" s="49"/>
      <c r="D2811" s="49"/>
      <c r="E2811" s="49"/>
      <c r="F2811" s="49"/>
      <c r="G2811" s="49"/>
    </row>
    <row r="2812" spans="2:7" s="63" customFormat="1">
      <c r="B2812" s="49"/>
      <c r="C2812" s="49"/>
      <c r="D2812" s="49"/>
      <c r="E2812" s="49"/>
      <c r="F2812" s="49"/>
      <c r="G2812" s="49"/>
    </row>
    <row r="2813" spans="2:7" s="63" customFormat="1">
      <c r="B2813" s="49"/>
      <c r="C2813" s="49"/>
      <c r="D2813" s="49"/>
      <c r="E2813" s="49"/>
      <c r="F2813" s="49"/>
      <c r="G2813" s="49"/>
    </row>
    <row r="2814" spans="2:7" s="63" customFormat="1">
      <c r="B2814" s="49"/>
      <c r="C2814" s="49"/>
      <c r="D2814" s="49"/>
      <c r="E2814" s="49"/>
      <c r="F2814" s="49"/>
      <c r="G2814" s="49"/>
    </row>
    <row r="2815" spans="2:7" s="63" customFormat="1">
      <c r="B2815" s="49"/>
      <c r="C2815" s="49"/>
      <c r="D2815" s="49"/>
      <c r="E2815" s="49"/>
      <c r="F2815" s="49"/>
      <c r="G2815" s="49"/>
    </row>
    <row r="2816" spans="2:7" s="63" customFormat="1">
      <c r="B2816" s="49"/>
      <c r="C2816" s="49"/>
      <c r="D2816" s="49"/>
      <c r="E2816" s="49"/>
      <c r="F2816" s="49"/>
      <c r="G2816" s="49"/>
    </row>
    <row r="2817" spans="2:7" s="63" customFormat="1">
      <c r="B2817" s="49"/>
      <c r="C2817" s="49"/>
      <c r="D2817" s="49"/>
      <c r="E2817" s="49"/>
      <c r="F2817" s="49"/>
      <c r="G2817" s="49"/>
    </row>
    <row r="2818" spans="2:7" s="63" customFormat="1">
      <c r="B2818" s="49"/>
      <c r="C2818" s="49"/>
      <c r="D2818" s="49"/>
      <c r="E2818" s="49"/>
      <c r="F2818" s="49"/>
      <c r="G2818" s="49"/>
    </row>
    <row r="2819" spans="2:7" s="63" customFormat="1">
      <c r="B2819" s="49"/>
      <c r="C2819" s="49"/>
      <c r="D2819" s="49"/>
      <c r="E2819" s="49"/>
      <c r="F2819" s="49"/>
      <c r="G2819" s="49"/>
    </row>
    <row r="2820" spans="2:7" s="63" customFormat="1">
      <c r="B2820" s="49"/>
      <c r="C2820" s="49"/>
      <c r="D2820" s="49"/>
      <c r="E2820" s="49"/>
      <c r="F2820" s="49"/>
      <c r="G2820" s="49"/>
    </row>
    <row r="2821" spans="2:7" s="63" customFormat="1">
      <c r="B2821" s="49"/>
      <c r="C2821" s="49"/>
      <c r="D2821" s="49"/>
      <c r="E2821" s="49"/>
      <c r="F2821" s="49"/>
      <c r="G2821" s="49"/>
    </row>
    <row r="2822" spans="2:7" s="63" customFormat="1">
      <c r="B2822" s="49"/>
      <c r="C2822" s="49"/>
      <c r="D2822" s="49"/>
      <c r="E2822" s="49"/>
      <c r="F2822" s="49"/>
      <c r="G2822" s="49"/>
    </row>
    <row r="2823" spans="2:7" s="63" customFormat="1">
      <c r="B2823" s="49"/>
      <c r="C2823" s="49"/>
      <c r="D2823" s="49"/>
      <c r="E2823" s="49"/>
      <c r="F2823" s="49"/>
      <c r="G2823" s="49"/>
    </row>
    <row r="2824" spans="2:7" s="63" customFormat="1">
      <c r="B2824" s="49"/>
      <c r="C2824" s="49"/>
      <c r="D2824" s="49"/>
      <c r="E2824" s="49"/>
      <c r="F2824" s="49"/>
      <c r="G2824" s="49"/>
    </row>
    <row r="2825" spans="2:7" s="63" customFormat="1">
      <c r="B2825" s="49"/>
      <c r="C2825" s="49"/>
      <c r="D2825" s="49"/>
      <c r="E2825" s="49"/>
      <c r="F2825" s="49"/>
      <c r="G2825" s="49"/>
    </row>
    <row r="2826" spans="2:7" s="63" customFormat="1">
      <c r="B2826" s="49"/>
      <c r="C2826" s="49"/>
      <c r="D2826" s="49"/>
      <c r="E2826" s="49"/>
      <c r="F2826" s="49"/>
      <c r="G2826" s="49"/>
    </row>
    <row r="2827" spans="2:7" s="63" customFormat="1">
      <c r="B2827" s="49"/>
      <c r="C2827" s="49"/>
      <c r="D2827" s="49"/>
      <c r="E2827" s="49"/>
      <c r="F2827" s="49"/>
      <c r="G2827" s="49"/>
    </row>
    <row r="2828" spans="2:7" s="63" customFormat="1">
      <c r="B2828" s="49"/>
      <c r="C2828" s="49"/>
      <c r="D2828" s="49"/>
      <c r="E2828" s="49"/>
      <c r="F2828" s="49"/>
      <c r="G2828" s="49"/>
    </row>
    <row r="2829" spans="2:7" s="63" customFormat="1">
      <c r="B2829" s="49"/>
      <c r="C2829" s="49"/>
      <c r="D2829" s="49"/>
      <c r="E2829" s="49"/>
      <c r="F2829" s="49"/>
      <c r="G2829" s="49"/>
    </row>
    <row r="2830" spans="2:7" s="63" customFormat="1">
      <c r="B2830" s="49"/>
      <c r="C2830" s="49"/>
      <c r="D2830" s="49"/>
      <c r="E2830" s="49"/>
      <c r="F2830" s="49"/>
      <c r="G2830" s="49"/>
    </row>
    <row r="2831" spans="2:7" s="63" customFormat="1">
      <c r="B2831" s="49"/>
      <c r="C2831" s="49"/>
      <c r="D2831" s="49"/>
      <c r="E2831" s="49"/>
      <c r="F2831" s="49"/>
      <c r="G2831" s="49"/>
    </row>
    <row r="2832" spans="2:7" s="63" customFormat="1">
      <c r="B2832" s="49"/>
      <c r="C2832" s="49"/>
      <c r="D2832" s="49"/>
      <c r="E2832" s="49"/>
      <c r="F2832" s="49"/>
      <c r="G2832" s="49"/>
    </row>
    <row r="2833" spans="2:7" s="63" customFormat="1">
      <c r="B2833" s="49"/>
      <c r="C2833" s="49"/>
      <c r="D2833" s="49"/>
      <c r="E2833" s="49"/>
      <c r="F2833" s="49"/>
      <c r="G2833" s="49"/>
    </row>
    <row r="2834" spans="2:7" s="63" customFormat="1">
      <c r="B2834" s="49"/>
      <c r="C2834" s="49"/>
      <c r="D2834" s="49"/>
      <c r="E2834" s="49"/>
      <c r="F2834" s="49"/>
      <c r="G2834" s="49"/>
    </row>
    <row r="2835" spans="2:7" s="63" customFormat="1">
      <c r="B2835" s="49"/>
      <c r="C2835" s="49"/>
      <c r="D2835" s="49"/>
      <c r="E2835" s="49"/>
      <c r="F2835" s="49"/>
      <c r="G2835" s="49"/>
    </row>
    <row r="2836" spans="2:7" s="63" customFormat="1">
      <c r="B2836" s="49"/>
      <c r="C2836" s="49"/>
      <c r="D2836" s="49"/>
      <c r="E2836" s="49"/>
      <c r="F2836" s="49"/>
      <c r="G2836" s="49"/>
    </row>
    <row r="2837" spans="2:7" s="63" customFormat="1">
      <c r="B2837" s="49"/>
      <c r="C2837" s="49"/>
      <c r="D2837" s="49"/>
      <c r="E2837" s="49"/>
      <c r="F2837" s="49"/>
      <c r="G2837" s="49"/>
    </row>
    <row r="2838" spans="2:7" s="63" customFormat="1">
      <c r="B2838" s="49"/>
      <c r="C2838" s="49"/>
      <c r="D2838" s="49"/>
      <c r="E2838" s="49"/>
      <c r="F2838" s="49"/>
      <c r="G2838" s="49"/>
    </row>
    <row r="2839" spans="2:7" s="63" customFormat="1">
      <c r="B2839" s="49"/>
      <c r="C2839" s="49"/>
      <c r="D2839" s="49"/>
      <c r="E2839" s="49"/>
      <c r="F2839" s="49"/>
      <c r="G2839" s="49"/>
    </row>
    <row r="2840" spans="2:7" s="63" customFormat="1">
      <c r="B2840" s="49"/>
      <c r="C2840" s="49"/>
      <c r="D2840" s="49"/>
      <c r="E2840" s="49"/>
      <c r="F2840" s="49"/>
      <c r="G2840" s="49"/>
    </row>
    <row r="2841" spans="2:7" s="63" customFormat="1">
      <c r="B2841" s="49"/>
      <c r="C2841" s="49"/>
      <c r="D2841" s="49"/>
      <c r="E2841" s="49"/>
      <c r="F2841" s="49"/>
      <c r="G2841" s="49"/>
    </row>
    <row r="2842" spans="2:7" s="63" customFormat="1">
      <c r="B2842" s="49"/>
      <c r="C2842" s="49"/>
      <c r="D2842" s="49"/>
      <c r="E2842" s="49"/>
      <c r="F2842" s="49"/>
      <c r="G2842" s="49"/>
    </row>
    <row r="2843" spans="2:7" s="63" customFormat="1">
      <c r="B2843" s="49"/>
      <c r="C2843" s="49"/>
      <c r="D2843" s="49"/>
      <c r="E2843" s="49"/>
      <c r="F2843" s="49"/>
      <c r="G2843" s="49"/>
    </row>
    <row r="2844" spans="2:7" s="63" customFormat="1">
      <c r="B2844" s="49"/>
      <c r="C2844" s="49"/>
      <c r="D2844" s="49"/>
      <c r="E2844" s="49"/>
      <c r="F2844" s="49"/>
      <c r="G2844" s="49"/>
    </row>
    <row r="2845" spans="2:7" s="63" customFormat="1">
      <c r="B2845" s="49"/>
      <c r="C2845" s="49"/>
      <c r="D2845" s="49"/>
      <c r="E2845" s="49"/>
      <c r="F2845" s="49"/>
      <c r="G2845" s="49"/>
    </row>
    <row r="2846" spans="2:7" s="63" customFormat="1">
      <c r="B2846" s="49"/>
      <c r="C2846" s="49"/>
      <c r="D2846" s="49"/>
      <c r="E2846" s="49"/>
      <c r="F2846" s="49"/>
      <c r="G2846" s="49"/>
    </row>
    <row r="2847" spans="2:7" s="63" customFormat="1">
      <c r="B2847" s="49"/>
      <c r="C2847" s="49"/>
      <c r="D2847" s="49"/>
      <c r="E2847" s="49"/>
      <c r="F2847" s="49"/>
      <c r="G2847" s="49"/>
    </row>
    <row r="2848" spans="2:7" s="63" customFormat="1">
      <c r="B2848" s="49"/>
      <c r="C2848" s="49"/>
      <c r="D2848" s="49"/>
      <c r="E2848" s="49"/>
      <c r="F2848" s="49"/>
      <c r="G2848" s="49"/>
    </row>
    <row r="2849" spans="2:7" s="63" customFormat="1">
      <c r="B2849" s="49"/>
      <c r="C2849" s="49"/>
      <c r="D2849" s="49"/>
      <c r="E2849" s="49"/>
      <c r="F2849" s="49"/>
      <c r="G2849" s="49"/>
    </row>
    <row r="2850" spans="2:7" s="63" customFormat="1">
      <c r="B2850" s="49"/>
      <c r="C2850" s="49"/>
      <c r="D2850" s="49"/>
      <c r="E2850" s="49"/>
      <c r="F2850" s="49"/>
      <c r="G2850" s="49"/>
    </row>
    <row r="2851" spans="2:7" s="63" customFormat="1">
      <c r="B2851" s="49"/>
      <c r="C2851" s="49"/>
      <c r="D2851" s="49"/>
      <c r="E2851" s="49"/>
      <c r="F2851" s="49"/>
      <c r="G2851" s="49"/>
    </row>
    <row r="2852" spans="2:7" s="63" customFormat="1">
      <c r="B2852" s="49"/>
      <c r="C2852" s="49"/>
      <c r="D2852" s="49"/>
      <c r="E2852" s="49"/>
      <c r="F2852" s="49"/>
      <c r="G2852" s="49"/>
    </row>
    <row r="2853" spans="2:7" s="63" customFormat="1">
      <c r="B2853" s="49"/>
      <c r="C2853" s="49"/>
      <c r="D2853" s="49"/>
      <c r="E2853" s="49"/>
      <c r="F2853" s="49"/>
      <c r="G2853" s="49"/>
    </row>
    <row r="2854" spans="2:7" s="63" customFormat="1">
      <c r="B2854" s="49"/>
      <c r="C2854" s="49"/>
      <c r="D2854" s="49"/>
      <c r="E2854" s="49"/>
      <c r="F2854" s="49"/>
      <c r="G2854" s="49"/>
    </row>
    <row r="2855" spans="2:7" s="63" customFormat="1">
      <c r="B2855" s="49"/>
      <c r="C2855" s="49"/>
      <c r="D2855" s="49"/>
      <c r="E2855" s="49"/>
      <c r="F2855" s="49"/>
      <c r="G2855" s="49"/>
    </row>
    <row r="2856" spans="2:7" s="63" customFormat="1">
      <c r="B2856" s="49"/>
      <c r="C2856" s="49"/>
      <c r="D2856" s="49"/>
      <c r="E2856" s="49"/>
      <c r="F2856" s="49"/>
      <c r="G2856" s="49"/>
    </row>
    <row r="2857" spans="2:7" s="63" customFormat="1">
      <c r="B2857" s="49"/>
      <c r="C2857" s="49"/>
      <c r="D2857" s="49"/>
      <c r="E2857" s="49"/>
      <c r="F2857" s="49"/>
      <c r="G2857" s="49"/>
    </row>
    <row r="2858" spans="2:7" s="63" customFormat="1">
      <c r="B2858" s="49"/>
      <c r="C2858" s="49"/>
      <c r="D2858" s="49"/>
      <c r="E2858" s="49"/>
      <c r="F2858" s="49"/>
      <c r="G2858" s="49"/>
    </row>
    <row r="2859" spans="2:7" s="63" customFormat="1">
      <c r="B2859" s="49"/>
      <c r="C2859" s="49"/>
      <c r="D2859" s="49"/>
      <c r="E2859" s="49"/>
      <c r="F2859" s="49"/>
      <c r="G2859" s="49"/>
    </row>
    <row r="2860" spans="2:7" s="63" customFormat="1">
      <c r="B2860" s="49"/>
      <c r="C2860" s="49"/>
      <c r="D2860" s="49"/>
      <c r="E2860" s="49"/>
      <c r="F2860" s="49"/>
      <c r="G2860" s="49"/>
    </row>
    <row r="2861" spans="2:7" s="63" customFormat="1">
      <c r="B2861" s="49"/>
      <c r="C2861" s="49"/>
      <c r="D2861" s="49"/>
      <c r="E2861" s="49"/>
      <c r="F2861" s="49"/>
      <c r="G2861" s="49"/>
    </row>
    <row r="2862" spans="2:7" s="63" customFormat="1">
      <c r="B2862" s="49"/>
      <c r="C2862" s="49"/>
      <c r="D2862" s="49"/>
      <c r="E2862" s="49"/>
      <c r="F2862" s="49"/>
      <c r="G2862" s="49"/>
    </row>
    <row r="2863" spans="2:7" s="63" customFormat="1">
      <c r="B2863" s="49"/>
      <c r="C2863" s="49"/>
      <c r="D2863" s="49"/>
      <c r="E2863" s="49"/>
      <c r="F2863" s="49"/>
      <c r="G2863" s="49"/>
    </row>
    <row r="2864" spans="2:7" s="63" customFormat="1">
      <c r="B2864" s="49"/>
      <c r="C2864" s="49"/>
      <c r="D2864" s="49"/>
      <c r="E2864" s="49"/>
      <c r="F2864" s="49"/>
      <c r="G2864" s="49"/>
    </row>
    <row r="2865" spans="2:7" s="63" customFormat="1">
      <c r="B2865" s="49"/>
      <c r="C2865" s="49"/>
      <c r="D2865" s="49"/>
      <c r="E2865" s="49"/>
      <c r="F2865" s="49"/>
      <c r="G2865" s="49"/>
    </row>
    <row r="2866" spans="2:7" s="63" customFormat="1">
      <c r="B2866" s="49"/>
      <c r="C2866" s="49"/>
      <c r="D2866" s="49"/>
      <c r="E2866" s="49"/>
      <c r="F2866" s="49"/>
      <c r="G2866" s="49"/>
    </row>
    <row r="2867" spans="2:7" s="63" customFormat="1">
      <c r="B2867" s="49"/>
      <c r="C2867" s="49"/>
      <c r="D2867" s="49"/>
      <c r="E2867" s="49"/>
      <c r="F2867" s="49"/>
      <c r="G2867" s="49"/>
    </row>
    <row r="2868" spans="2:7" s="63" customFormat="1">
      <c r="B2868" s="49"/>
      <c r="C2868" s="49"/>
      <c r="D2868" s="49"/>
      <c r="E2868" s="49"/>
      <c r="F2868" s="49"/>
      <c r="G2868" s="49"/>
    </row>
    <row r="2869" spans="2:7" s="63" customFormat="1">
      <c r="B2869" s="49"/>
      <c r="C2869" s="49"/>
      <c r="D2869" s="49"/>
      <c r="E2869" s="49"/>
      <c r="F2869" s="49"/>
      <c r="G2869" s="49"/>
    </row>
    <row r="2870" spans="2:7" s="63" customFormat="1">
      <c r="B2870" s="49"/>
      <c r="C2870" s="49"/>
      <c r="D2870" s="49"/>
      <c r="E2870" s="49"/>
      <c r="F2870" s="49"/>
      <c r="G2870" s="49"/>
    </row>
    <row r="2871" spans="2:7" s="63" customFormat="1">
      <c r="B2871" s="49"/>
      <c r="C2871" s="49"/>
      <c r="D2871" s="49"/>
      <c r="E2871" s="49"/>
      <c r="F2871" s="49"/>
      <c r="G2871" s="49"/>
    </row>
    <row r="2872" spans="2:7" s="63" customFormat="1">
      <c r="B2872" s="49"/>
      <c r="C2872" s="49"/>
      <c r="D2872" s="49"/>
      <c r="E2872" s="49"/>
      <c r="F2872" s="49"/>
      <c r="G2872" s="49"/>
    </row>
    <row r="2873" spans="2:7" s="63" customFormat="1">
      <c r="B2873" s="49"/>
      <c r="C2873" s="49"/>
      <c r="D2873" s="49"/>
      <c r="E2873" s="49"/>
      <c r="F2873" s="49"/>
      <c r="G2873" s="49"/>
    </row>
    <row r="2874" spans="2:7" s="63" customFormat="1">
      <c r="B2874" s="49"/>
      <c r="C2874" s="49"/>
      <c r="D2874" s="49"/>
      <c r="E2874" s="49"/>
      <c r="F2874" s="49"/>
      <c r="G2874" s="49"/>
    </row>
    <row r="2875" spans="2:7" s="63" customFormat="1">
      <c r="B2875" s="49"/>
      <c r="C2875" s="49"/>
      <c r="D2875" s="49"/>
      <c r="E2875" s="49"/>
      <c r="F2875" s="49"/>
      <c r="G2875" s="49"/>
    </row>
    <row r="2876" spans="2:7" s="63" customFormat="1">
      <c r="B2876" s="49"/>
      <c r="C2876" s="49"/>
      <c r="D2876" s="49"/>
      <c r="E2876" s="49"/>
      <c r="F2876" s="49"/>
      <c r="G2876" s="49"/>
    </row>
    <row r="2877" spans="2:7" s="63" customFormat="1">
      <c r="B2877" s="49"/>
      <c r="C2877" s="49"/>
      <c r="D2877" s="49"/>
      <c r="E2877" s="49"/>
      <c r="F2877" s="49"/>
      <c r="G2877" s="49"/>
    </row>
    <row r="2878" spans="2:7" s="63" customFormat="1">
      <c r="B2878" s="49"/>
      <c r="C2878" s="49"/>
      <c r="D2878" s="49"/>
      <c r="E2878" s="49"/>
      <c r="F2878" s="49"/>
      <c r="G2878" s="49"/>
    </row>
    <row r="2879" spans="2:7" s="63" customFormat="1">
      <c r="B2879" s="49"/>
      <c r="C2879" s="49"/>
      <c r="D2879" s="49"/>
      <c r="E2879" s="49"/>
      <c r="F2879" s="49"/>
      <c r="G2879" s="49"/>
    </row>
    <row r="2880" spans="2:7" s="63" customFormat="1">
      <c r="B2880" s="49"/>
      <c r="C2880" s="49"/>
      <c r="D2880" s="49"/>
      <c r="E2880" s="49"/>
      <c r="F2880" s="49"/>
      <c r="G2880" s="49"/>
    </row>
    <row r="2881" spans="2:7" s="63" customFormat="1">
      <c r="B2881" s="49"/>
      <c r="C2881" s="49"/>
      <c r="D2881" s="49"/>
      <c r="E2881" s="49"/>
      <c r="F2881" s="49"/>
      <c r="G2881" s="49"/>
    </row>
    <row r="2882" spans="2:7" s="63" customFormat="1">
      <c r="B2882" s="49"/>
      <c r="C2882" s="49"/>
      <c r="D2882" s="49"/>
      <c r="E2882" s="49"/>
      <c r="F2882" s="49"/>
      <c r="G2882" s="49"/>
    </row>
    <row r="2883" spans="2:7" s="63" customFormat="1">
      <c r="B2883" s="49"/>
      <c r="C2883" s="49"/>
      <c r="D2883" s="49"/>
      <c r="E2883" s="49"/>
      <c r="F2883" s="49"/>
      <c r="G2883" s="49"/>
    </row>
    <row r="2884" spans="2:7" s="63" customFormat="1">
      <c r="B2884" s="49"/>
      <c r="C2884" s="49"/>
      <c r="D2884" s="49"/>
      <c r="E2884" s="49"/>
      <c r="F2884" s="49"/>
      <c r="G2884" s="49"/>
    </row>
    <row r="2885" spans="2:7" s="63" customFormat="1">
      <c r="B2885" s="49"/>
      <c r="C2885" s="49"/>
      <c r="D2885" s="49"/>
      <c r="E2885" s="49"/>
      <c r="F2885" s="49"/>
      <c r="G2885" s="49"/>
    </row>
    <row r="2886" spans="2:7" s="63" customFormat="1">
      <c r="B2886" s="49"/>
      <c r="C2886" s="49"/>
      <c r="D2886" s="49"/>
      <c r="E2886" s="49"/>
      <c r="F2886" s="49"/>
      <c r="G2886" s="49"/>
    </row>
    <row r="2887" spans="2:7" s="63" customFormat="1">
      <c r="B2887" s="49"/>
      <c r="C2887" s="49"/>
      <c r="D2887" s="49"/>
      <c r="E2887" s="49"/>
      <c r="F2887" s="49"/>
      <c r="G2887" s="49"/>
    </row>
    <row r="2888" spans="2:7" s="63" customFormat="1">
      <c r="B2888" s="49"/>
      <c r="C2888" s="49"/>
      <c r="D2888" s="49"/>
      <c r="E2888" s="49"/>
      <c r="F2888" s="49"/>
      <c r="G2888" s="49"/>
    </row>
    <row r="2889" spans="2:7" s="63" customFormat="1">
      <c r="B2889" s="49"/>
      <c r="C2889" s="49"/>
      <c r="D2889" s="49"/>
      <c r="E2889" s="49"/>
      <c r="F2889" s="49"/>
      <c r="G2889" s="49"/>
    </row>
    <row r="2890" spans="2:7" s="63" customFormat="1">
      <c r="B2890" s="49"/>
      <c r="C2890" s="49"/>
      <c r="D2890" s="49"/>
      <c r="E2890" s="49"/>
      <c r="F2890" s="49"/>
      <c r="G2890" s="49"/>
    </row>
    <row r="2891" spans="2:7" s="63" customFormat="1">
      <c r="B2891" s="49"/>
      <c r="C2891" s="49"/>
      <c r="D2891" s="49"/>
      <c r="E2891" s="49"/>
      <c r="F2891" s="49"/>
      <c r="G2891" s="49"/>
    </row>
    <row r="2892" spans="2:7" s="63" customFormat="1">
      <c r="B2892" s="49"/>
      <c r="C2892" s="49"/>
      <c r="D2892" s="49"/>
      <c r="E2892" s="49"/>
      <c r="F2892" s="49"/>
      <c r="G2892" s="49"/>
    </row>
    <row r="2893" spans="2:7" s="63" customFormat="1">
      <c r="B2893" s="49"/>
      <c r="C2893" s="49"/>
      <c r="D2893" s="49"/>
      <c r="E2893" s="49"/>
      <c r="F2893" s="49"/>
      <c r="G2893" s="49"/>
    </row>
    <row r="2894" spans="2:7" s="63" customFormat="1">
      <c r="B2894" s="49"/>
      <c r="C2894" s="49"/>
      <c r="D2894" s="49"/>
      <c r="E2894" s="49"/>
      <c r="F2894" s="49"/>
      <c r="G2894" s="49"/>
    </row>
    <row r="2895" spans="2:7" s="63" customFormat="1">
      <c r="B2895" s="49"/>
      <c r="C2895" s="49"/>
      <c r="D2895" s="49"/>
      <c r="E2895" s="49"/>
      <c r="F2895" s="49"/>
      <c r="G2895" s="49"/>
    </row>
    <row r="2896" spans="2:7" s="63" customFormat="1">
      <c r="B2896" s="49"/>
      <c r="C2896" s="49"/>
      <c r="D2896" s="49"/>
      <c r="E2896" s="49"/>
      <c r="F2896" s="49"/>
      <c r="G2896" s="49"/>
    </row>
    <row r="2897" spans="2:7" s="63" customFormat="1">
      <c r="B2897" s="49"/>
      <c r="C2897" s="49"/>
      <c r="D2897" s="49"/>
      <c r="E2897" s="49"/>
      <c r="F2897" s="49"/>
      <c r="G2897" s="49"/>
    </row>
    <row r="2898" spans="2:7" s="63" customFormat="1">
      <c r="B2898" s="49"/>
      <c r="C2898" s="49"/>
      <c r="D2898" s="49"/>
      <c r="E2898" s="49"/>
      <c r="F2898" s="49"/>
      <c r="G2898" s="49"/>
    </row>
    <row r="2899" spans="2:7" s="63" customFormat="1">
      <c r="B2899" s="49"/>
      <c r="C2899" s="49"/>
      <c r="D2899" s="49"/>
      <c r="E2899" s="49"/>
      <c r="F2899" s="49"/>
      <c r="G2899" s="49"/>
    </row>
    <row r="2900" spans="2:7" s="63" customFormat="1">
      <c r="B2900" s="49"/>
      <c r="C2900" s="49"/>
      <c r="D2900" s="49"/>
      <c r="E2900" s="49"/>
      <c r="F2900" s="49"/>
      <c r="G2900" s="49"/>
    </row>
    <row r="2901" spans="2:7" s="63" customFormat="1">
      <c r="B2901" s="49"/>
      <c r="C2901" s="49"/>
      <c r="D2901" s="49"/>
      <c r="E2901" s="49"/>
      <c r="F2901" s="49"/>
      <c r="G2901" s="49"/>
    </row>
    <row r="2902" spans="2:7" s="63" customFormat="1">
      <c r="B2902" s="49"/>
      <c r="C2902" s="49"/>
      <c r="D2902" s="49"/>
      <c r="E2902" s="49"/>
      <c r="F2902" s="49"/>
      <c r="G2902" s="49"/>
    </row>
    <row r="2903" spans="2:7" s="63" customFormat="1">
      <c r="B2903" s="49"/>
      <c r="C2903" s="49"/>
      <c r="D2903" s="49"/>
      <c r="E2903" s="49"/>
      <c r="F2903" s="49"/>
      <c r="G2903" s="49"/>
    </row>
    <row r="2904" spans="2:7" s="63" customFormat="1">
      <c r="B2904" s="49"/>
      <c r="C2904" s="49"/>
      <c r="D2904" s="49"/>
      <c r="E2904" s="49"/>
      <c r="F2904" s="49"/>
      <c r="G2904" s="49"/>
    </row>
    <row r="2905" spans="2:7" s="63" customFormat="1">
      <c r="B2905" s="49"/>
      <c r="C2905" s="49"/>
      <c r="D2905" s="49"/>
      <c r="E2905" s="49"/>
      <c r="F2905" s="49"/>
      <c r="G2905" s="49"/>
    </row>
    <row r="2906" spans="2:7" s="63" customFormat="1">
      <c r="B2906" s="49"/>
      <c r="C2906" s="49"/>
      <c r="D2906" s="49"/>
      <c r="E2906" s="49"/>
      <c r="F2906" s="49"/>
      <c r="G2906" s="49"/>
    </row>
    <row r="2907" spans="2:7" s="63" customFormat="1">
      <c r="B2907" s="49"/>
      <c r="C2907" s="49"/>
      <c r="D2907" s="49"/>
      <c r="E2907" s="49"/>
      <c r="F2907" s="49"/>
      <c r="G2907" s="49"/>
    </row>
    <row r="2908" spans="2:7" s="63" customFormat="1">
      <c r="B2908" s="49"/>
      <c r="C2908" s="49"/>
      <c r="D2908" s="49"/>
      <c r="E2908" s="49"/>
      <c r="F2908" s="49"/>
      <c r="G2908" s="49"/>
    </row>
    <row r="2909" spans="2:7" s="63" customFormat="1">
      <c r="B2909" s="49"/>
      <c r="C2909" s="49"/>
      <c r="D2909" s="49"/>
      <c r="E2909" s="49"/>
      <c r="F2909" s="49"/>
      <c r="G2909" s="49"/>
    </row>
    <row r="2910" spans="2:7" s="63" customFormat="1">
      <c r="B2910" s="49"/>
      <c r="C2910" s="49"/>
      <c r="D2910" s="49"/>
      <c r="E2910" s="49"/>
      <c r="F2910" s="49"/>
      <c r="G2910" s="49"/>
    </row>
    <row r="2911" spans="2:7" s="63" customFormat="1">
      <c r="B2911" s="49"/>
      <c r="C2911" s="49"/>
      <c r="D2911" s="49"/>
      <c r="E2911" s="49"/>
      <c r="F2911" s="49"/>
      <c r="G2911" s="49"/>
    </row>
    <row r="2912" spans="2:7" s="63" customFormat="1">
      <c r="B2912" s="49"/>
      <c r="C2912" s="49"/>
      <c r="D2912" s="49"/>
      <c r="E2912" s="49"/>
      <c r="F2912" s="49"/>
      <c r="G2912" s="49"/>
    </row>
    <row r="2913" spans="2:7" s="63" customFormat="1">
      <c r="B2913" s="49"/>
      <c r="C2913" s="49"/>
      <c r="D2913" s="49"/>
      <c r="E2913" s="49"/>
      <c r="F2913" s="49"/>
      <c r="G2913" s="49"/>
    </row>
    <row r="2914" spans="2:7" s="63" customFormat="1">
      <c r="B2914" s="49"/>
      <c r="C2914" s="49"/>
      <c r="D2914" s="49"/>
      <c r="E2914" s="49"/>
      <c r="F2914" s="49"/>
      <c r="G2914" s="49"/>
    </row>
    <row r="2915" spans="2:7" s="63" customFormat="1">
      <c r="B2915" s="49"/>
      <c r="C2915" s="49"/>
      <c r="D2915" s="49"/>
      <c r="E2915" s="49"/>
      <c r="F2915" s="49"/>
      <c r="G2915" s="49"/>
    </row>
    <row r="2916" spans="2:7" s="63" customFormat="1">
      <c r="B2916" s="49"/>
      <c r="C2916" s="49"/>
      <c r="D2916" s="49"/>
      <c r="E2916" s="49"/>
      <c r="F2916" s="49"/>
      <c r="G2916" s="49"/>
    </row>
    <row r="2917" spans="2:7" s="63" customFormat="1">
      <c r="B2917" s="49"/>
      <c r="C2917" s="49"/>
      <c r="D2917" s="49"/>
      <c r="E2917" s="49"/>
      <c r="F2917" s="49"/>
      <c r="G2917" s="49"/>
    </row>
    <row r="2918" spans="2:7" s="63" customFormat="1">
      <c r="B2918" s="49"/>
      <c r="C2918" s="49"/>
      <c r="D2918" s="49"/>
      <c r="E2918" s="49"/>
      <c r="F2918" s="49"/>
      <c r="G2918" s="49"/>
    </row>
    <row r="2919" spans="2:7" s="63" customFormat="1">
      <c r="B2919" s="49"/>
      <c r="C2919" s="49"/>
      <c r="D2919" s="49"/>
      <c r="E2919" s="49"/>
      <c r="F2919" s="49"/>
      <c r="G2919" s="49"/>
    </row>
    <row r="2920" spans="2:7" s="63" customFormat="1">
      <c r="B2920" s="49"/>
      <c r="C2920" s="49"/>
      <c r="D2920" s="49"/>
      <c r="E2920" s="49"/>
      <c r="F2920" s="49"/>
      <c r="G2920" s="49"/>
    </row>
    <row r="2921" spans="2:7" s="63" customFormat="1">
      <c r="B2921" s="49"/>
      <c r="C2921" s="49"/>
      <c r="D2921" s="49"/>
      <c r="E2921" s="49"/>
      <c r="F2921" s="49"/>
      <c r="G2921" s="49"/>
    </row>
    <row r="2922" spans="2:7" s="63" customFormat="1">
      <c r="B2922" s="49"/>
      <c r="C2922" s="49"/>
      <c r="D2922" s="49"/>
      <c r="E2922" s="49"/>
      <c r="F2922" s="49"/>
      <c r="G2922" s="49"/>
    </row>
    <row r="2923" spans="2:7" s="63" customFormat="1">
      <c r="B2923" s="49"/>
      <c r="C2923" s="49"/>
      <c r="D2923" s="49"/>
      <c r="E2923" s="49"/>
      <c r="F2923" s="49"/>
      <c r="G2923" s="49"/>
    </row>
    <row r="2924" spans="2:7" s="63" customFormat="1">
      <c r="B2924" s="49"/>
      <c r="C2924" s="49"/>
      <c r="D2924" s="49"/>
      <c r="E2924" s="49"/>
      <c r="F2924" s="49"/>
      <c r="G2924" s="49"/>
    </row>
    <row r="2925" spans="2:7" s="63" customFormat="1">
      <c r="B2925" s="49"/>
      <c r="C2925" s="49"/>
      <c r="D2925" s="49"/>
      <c r="E2925" s="49"/>
      <c r="F2925" s="49"/>
      <c r="G2925" s="49"/>
    </row>
    <row r="2926" spans="2:7" s="63" customFormat="1">
      <c r="B2926" s="49"/>
      <c r="C2926" s="49"/>
      <c r="D2926" s="49"/>
      <c r="E2926" s="49"/>
      <c r="F2926" s="49"/>
      <c r="G2926" s="49"/>
    </row>
    <row r="2927" spans="2:7" s="63" customFormat="1">
      <c r="B2927" s="49"/>
      <c r="C2927" s="49"/>
      <c r="D2927" s="49"/>
      <c r="E2927" s="49"/>
      <c r="F2927" s="49"/>
      <c r="G2927" s="49"/>
    </row>
    <row r="2928" spans="2:7" s="63" customFormat="1">
      <c r="B2928" s="49"/>
      <c r="C2928" s="49"/>
      <c r="D2928" s="49"/>
      <c r="E2928" s="49"/>
      <c r="F2928" s="49"/>
      <c r="G2928" s="49"/>
    </row>
    <row r="2929" spans="2:7" s="63" customFormat="1">
      <c r="B2929" s="49"/>
      <c r="C2929" s="49"/>
      <c r="D2929" s="49"/>
      <c r="E2929" s="49"/>
      <c r="F2929" s="49"/>
      <c r="G2929" s="49"/>
    </row>
    <row r="2930" spans="2:7" s="63" customFormat="1">
      <c r="B2930" s="49"/>
      <c r="C2930" s="49"/>
      <c r="D2930" s="49"/>
      <c r="E2930" s="49"/>
      <c r="F2930" s="49"/>
      <c r="G2930" s="49"/>
    </row>
    <row r="2931" spans="2:7" s="63" customFormat="1">
      <c r="B2931" s="49"/>
      <c r="C2931" s="49"/>
      <c r="D2931" s="49"/>
      <c r="E2931" s="49"/>
      <c r="F2931" s="49"/>
      <c r="G2931" s="49"/>
    </row>
    <row r="2932" spans="2:7" s="63" customFormat="1">
      <c r="B2932" s="49"/>
      <c r="C2932" s="49"/>
      <c r="D2932" s="49"/>
      <c r="E2932" s="49"/>
      <c r="F2932" s="49"/>
      <c r="G2932" s="49"/>
    </row>
    <row r="2933" spans="2:7" s="63" customFormat="1">
      <c r="B2933" s="49"/>
      <c r="C2933" s="49"/>
      <c r="D2933" s="49"/>
      <c r="E2933" s="49"/>
      <c r="F2933" s="49"/>
      <c r="G2933" s="49"/>
    </row>
    <row r="2934" spans="2:7" s="63" customFormat="1">
      <c r="B2934" s="49"/>
      <c r="C2934" s="49"/>
      <c r="D2934" s="49"/>
      <c r="E2934" s="49"/>
      <c r="F2934" s="49"/>
      <c r="G2934" s="49"/>
    </row>
    <row r="2935" spans="2:7" s="63" customFormat="1">
      <c r="B2935" s="49"/>
      <c r="C2935" s="49"/>
      <c r="D2935" s="49"/>
      <c r="E2935" s="49"/>
      <c r="F2935" s="49"/>
      <c r="G2935" s="49"/>
    </row>
    <row r="2936" spans="2:7" s="63" customFormat="1">
      <c r="B2936" s="49"/>
      <c r="C2936" s="49"/>
      <c r="D2936" s="49"/>
      <c r="E2936" s="49"/>
      <c r="F2936" s="49"/>
      <c r="G2936" s="49"/>
    </row>
    <row r="2937" spans="2:7" s="63" customFormat="1">
      <c r="B2937" s="49"/>
      <c r="C2937" s="49"/>
      <c r="D2937" s="49"/>
      <c r="E2937" s="49"/>
      <c r="F2937" s="49"/>
      <c r="G2937" s="49"/>
    </row>
    <row r="2938" spans="2:7" s="63" customFormat="1">
      <c r="B2938" s="49"/>
      <c r="C2938" s="49"/>
      <c r="D2938" s="49"/>
      <c r="E2938" s="49"/>
      <c r="F2938" s="49"/>
      <c r="G2938" s="49"/>
    </row>
    <row r="2939" spans="2:7" s="63" customFormat="1">
      <c r="B2939" s="49"/>
      <c r="C2939" s="49"/>
      <c r="D2939" s="49"/>
      <c r="E2939" s="49"/>
      <c r="F2939" s="49"/>
      <c r="G2939" s="49"/>
    </row>
    <row r="2940" spans="2:7" s="63" customFormat="1">
      <c r="B2940" s="49"/>
      <c r="C2940" s="49"/>
      <c r="D2940" s="49"/>
      <c r="E2940" s="49"/>
      <c r="F2940" s="49"/>
      <c r="G2940" s="49"/>
    </row>
    <row r="2941" spans="2:7" s="63" customFormat="1">
      <c r="B2941" s="49"/>
      <c r="C2941" s="49"/>
      <c r="D2941" s="49"/>
      <c r="E2941" s="49"/>
      <c r="F2941" s="49"/>
      <c r="G2941" s="49"/>
    </row>
    <row r="2942" spans="2:7" s="63" customFormat="1">
      <c r="B2942" s="49"/>
      <c r="C2942" s="49"/>
      <c r="D2942" s="49"/>
      <c r="E2942" s="49"/>
      <c r="F2942" s="49"/>
      <c r="G2942" s="49"/>
    </row>
    <row r="2943" spans="2:7" s="63" customFormat="1">
      <c r="B2943" s="49"/>
      <c r="C2943" s="49"/>
      <c r="D2943" s="49"/>
      <c r="E2943" s="49"/>
      <c r="F2943" s="49"/>
      <c r="G2943" s="49"/>
    </row>
    <row r="2944" spans="2:7" s="63" customFormat="1">
      <c r="B2944" s="49"/>
      <c r="C2944" s="49"/>
      <c r="D2944" s="49"/>
      <c r="E2944" s="49"/>
      <c r="F2944" s="49"/>
      <c r="G2944" s="49"/>
    </row>
    <row r="2945" spans="2:7" s="63" customFormat="1">
      <c r="B2945" s="49"/>
      <c r="C2945" s="49"/>
      <c r="D2945" s="49"/>
      <c r="E2945" s="49"/>
      <c r="F2945" s="49"/>
      <c r="G2945" s="49"/>
    </row>
    <row r="2946" spans="2:7" s="63" customFormat="1">
      <c r="B2946" s="49"/>
      <c r="C2946" s="49"/>
      <c r="D2946" s="49"/>
      <c r="E2946" s="49"/>
      <c r="F2946" s="49"/>
      <c r="G2946" s="49"/>
    </row>
    <row r="2947" spans="2:7" s="63" customFormat="1">
      <c r="B2947" s="49"/>
      <c r="C2947" s="49"/>
      <c r="D2947" s="49"/>
      <c r="E2947" s="49"/>
      <c r="F2947" s="49"/>
      <c r="G2947" s="49"/>
    </row>
    <row r="2948" spans="2:7" s="63" customFormat="1">
      <c r="B2948" s="49"/>
      <c r="C2948" s="49"/>
      <c r="D2948" s="49"/>
      <c r="E2948" s="49"/>
      <c r="F2948" s="49"/>
      <c r="G2948" s="49"/>
    </row>
    <row r="2949" spans="2:7" s="63" customFormat="1">
      <c r="B2949" s="49"/>
      <c r="C2949" s="49"/>
      <c r="D2949" s="49"/>
      <c r="E2949" s="49"/>
      <c r="F2949" s="49"/>
      <c r="G2949" s="49"/>
    </row>
    <row r="2950" spans="2:7" s="63" customFormat="1">
      <c r="B2950" s="49"/>
      <c r="C2950" s="49"/>
      <c r="D2950" s="49"/>
      <c r="E2950" s="49"/>
      <c r="F2950" s="49"/>
      <c r="G2950" s="49"/>
    </row>
    <row r="2951" spans="2:7" s="63" customFormat="1">
      <c r="B2951" s="49"/>
      <c r="C2951" s="49"/>
      <c r="D2951" s="49"/>
      <c r="E2951" s="49"/>
      <c r="F2951" s="49"/>
      <c r="G2951" s="49"/>
    </row>
    <row r="2952" spans="2:7" s="63" customFormat="1">
      <c r="B2952" s="49"/>
      <c r="C2952" s="49"/>
      <c r="D2952" s="49"/>
      <c r="E2952" s="49"/>
      <c r="F2952" s="49"/>
      <c r="G2952" s="49"/>
    </row>
    <row r="2953" spans="2:7" s="63" customFormat="1">
      <c r="B2953" s="49"/>
      <c r="C2953" s="49"/>
      <c r="D2953" s="49"/>
      <c r="E2953" s="49"/>
      <c r="F2953" s="49"/>
      <c r="G2953" s="49"/>
    </row>
    <row r="2954" spans="2:7" s="63" customFormat="1">
      <c r="B2954" s="49"/>
      <c r="C2954" s="49"/>
      <c r="D2954" s="49"/>
      <c r="E2954" s="49"/>
      <c r="F2954" s="49"/>
      <c r="G2954" s="49"/>
    </row>
    <row r="2955" spans="2:7" s="63" customFormat="1">
      <c r="B2955" s="49"/>
      <c r="C2955" s="49"/>
      <c r="D2955" s="49"/>
      <c r="E2955" s="49"/>
      <c r="F2955" s="49"/>
      <c r="G2955" s="49"/>
    </row>
    <row r="2956" spans="2:7" s="63" customFormat="1">
      <c r="B2956" s="49"/>
      <c r="C2956" s="49"/>
      <c r="D2956" s="49"/>
      <c r="E2956" s="49"/>
      <c r="F2956" s="49"/>
      <c r="G2956" s="49"/>
    </row>
    <row r="2957" spans="2:7" s="63" customFormat="1">
      <c r="B2957" s="49"/>
      <c r="C2957" s="49"/>
      <c r="D2957" s="49"/>
      <c r="E2957" s="49"/>
      <c r="F2957" s="49"/>
      <c r="G2957" s="49"/>
    </row>
    <row r="2958" spans="2:7" s="63" customFormat="1">
      <c r="B2958" s="49"/>
      <c r="C2958" s="49"/>
      <c r="D2958" s="49"/>
      <c r="E2958" s="49"/>
      <c r="F2958" s="49"/>
      <c r="G2958" s="49"/>
    </row>
    <row r="2959" spans="2:7" s="63" customFormat="1">
      <c r="B2959" s="49"/>
      <c r="C2959" s="49"/>
      <c r="D2959" s="49"/>
      <c r="E2959" s="49"/>
      <c r="F2959" s="49"/>
      <c r="G2959" s="49"/>
    </row>
    <row r="2960" spans="2:7" s="63" customFormat="1">
      <c r="B2960" s="49"/>
      <c r="C2960" s="49"/>
      <c r="D2960" s="49"/>
      <c r="E2960" s="49"/>
      <c r="F2960" s="49"/>
      <c r="G2960" s="49"/>
    </row>
    <row r="2961" spans="2:7" s="63" customFormat="1">
      <c r="B2961" s="49"/>
      <c r="C2961" s="49"/>
      <c r="D2961" s="49"/>
      <c r="E2961" s="49"/>
      <c r="F2961" s="49"/>
      <c r="G2961" s="49"/>
    </row>
    <row r="2962" spans="2:7" s="63" customFormat="1">
      <c r="B2962" s="49"/>
      <c r="C2962" s="49"/>
      <c r="D2962" s="49"/>
      <c r="E2962" s="49"/>
      <c r="F2962" s="49"/>
      <c r="G2962" s="49"/>
    </row>
    <row r="2963" spans="2:7" s="63" customFormat="1">
      <c r="B2963" s="49"/>
      <c r="C2963" s="49"/>
      <c r="D2963" s="49"/>
      <c r="E2963" s="49"/>
      <c r="F2963" s="49"/>
      <c r="G2963" s="49"/>
    </row>
    <row r="2964" spans="2:7" s="63" customFormat="1">
      <c r="B2964" s="49"/>
      <c r="C2964" s="49"/>
      <c r="D2964" s="49"/>
      <c r="E2964" s="49"/>
      <c r="F2964" s="49"/>
      <c r="G2964" s="49"/>
    </row>
    <row r="2965" spans="2:7" s="63" customFormat="1">
      <c r="B2965" s="49"/>
      <c r="C2965" s="49"/>
      <c r="D2965" s="49"/>
      <c r="E2965" s="49"/>
      <c r="F2965" s="49"/>
      <c r="G2965" s="49"/>
    </row>
    <row r="2966" spans="2:7" s="63" customFormat="1">
      <c r="B2966" s="49"/>
      <c r="C2966" s="49"/>
      <c r="D2966" s="49"/>
      <c r="E2966" s="49"/>
      <c r="F2966" s="49"/>
      <c r="G2966" s="49"/>
    </row>
    <row r="2967" spans="2:7" s="63" customFormat="1">
      <c r="B2967" s="49"/>
      <c r="C2967" s="49"/>
      <c r="D2967" s="49"/>
      <c r="E2967" s="49"/>
      <c r="F2967" s="49"/>
      <c r="G2967" s="49"/>
    </row>
    <row r="2968" spans="2:7" s="63" customFormat="1">
      <c r="B2968" s="49"/>
      <c r="C2968" s="49"/>
      <c r="D2968" s="49"/>
      <c r="E2968" s="49"/>
      <c r="F2968" s="49"/>
      <c r="G2968" s="49"/>
    </row>
    <row r="2969" spans="2:7" s="63" customFormat="1">
      <c r="B2969" s="49"/>
      <c r="C2969" s="49"/>
      <c r="D2969" s="49"/>
      <c r="E2969" s="49"/>
      <c r="F2969" s="49"/>
      <c r="G2969" s="49"/>
    </row>
    <row r="2970" spans="2:7" s="63" customFormat="1">
      <c r="B2970" s="49"/>
      <c r="C2970" s="49"/>
      <c r="D2970" s="49"/>
      <c r="E2970" s="49"/>
      <c r="F2970" s="49"/>
      <c r="G2970" s="49"/>
    </row>
    <row r="2971" spans="2:7" s="63" customFormat="1">
      <c r="B2971" s="49"/>
      <c r="C2971" s="49"/>
      <c r="D2971" s="49"/>
      <c r="E2971" s="49"/>
      <c r="F2971" s="49"/>
      <c r="G2971" s="49"/>
    </row>
    <row r="2972" spans="2:7" s="63" customFormat="1">
      <c r="B2972" s="49"/>
      <c r="C2972" s="49"/>
      <c r="D2972" s="49"/>
      <c r="E2972" s="49"/>
      <c r="F2972" s="49"/>
      <c r="G2972" s="49"/>
    </row>
    <row r="2973" spans="2:7" s="63" customFormat="1">
      <c r="B2973" s="49"/>
      <c r="C2973" s="49"/>
      <c r="D2973" s="49"/>
      <c r="E2973" s="49"/>
      <c r="F2973" s="49"/>
      <c r="G2973" s="49"/>
    </row>
    <row r="2974" spans="2:7" s="63" customFormat="1">
      <c r="B2974" s="49"/>
      <c r="C2974" s="49"/>
      <c r="D2974" s="49"/>
      <c r="E2974" s="49"/>
      <c r="F2974" s="49"/>
      <c r="G2974" s="49"/>
    </row>
    <row r="2975" spans="2:7" s="63" customFormat="1">
      <c r="B2975" s="49"/>
      <c r="C2975" s="49"/>
      <c r="D2975" s="49"/>
      <c r="E2975" s="49"/>
      <c r="F2975" s="49"/>
      <c r="G2975" s="49"/>
    </row>
    <row r="2976" spans="2:7" s="63" customFormat="1">
      <c r="B2976" s="49"/>
      <c r="C2976" s="49"/>
      <c r="D2976" s="49"/>
      <c r="E2976" s="49"/>
      <c r="F2976" s="49"/>
      <c r="G2976" s="49"/>
    </row>
    <row r="2977" spans="2:7" s="63" customFormat="1">
      <c r="B2977" s="49"/>
      <c r="C2977" s="49"/>
      <c r="D2977" s="49"/>
      <c r="E2977" s="49"/>
      <c r="F2977" s="49"/>
      <c r="G2977" s="49"/>
    </row>
    <row r="2978" spans="2:7" s="63" customFormat="1">
      <c r="B2978" s="49"/>
      <c r="C2978" s="49"/>
      <c r="D2978" s="49"/>
      <c r="E2978" s="49"/>
      <c r="F2978" s="49"/>
      <c r="G2978" s="49"/>
    </row>
    <row r="2979" spans="2:7" s="63" customFormat="1">
      <c r="B2979" s="49"/>
      <c r="C2979" s="49"/>
      <c r="D2979" s="49"/>
      <c r="E2979" s="49"/>
      <c r="F2979" s="49"/>
      <c r="G2979" s="49"/>
    </row>
    <row r="2980" spans="2:7" s="63" customFormat="1">
      <c r="B2980" s="49"/>
      <c r="C2980" s="49"/>
      <c r="D2980" s="49"/>
      <c r="E2980" s="49"/>
      <c r="F2980" s="49"/>
      <c r="G2980" s="49"/>
    </row>
    <row r="2981" spans="2:7" s="63" customFormat="1">
      <c r="B2981" s="49"/>
      <c r="C2981" s="49"/>
      <c r="D2981" s="49"/>
      <c r="E2981" s="49"/>
      <c r="F2981" s="49"/>
      <c r="G2981" s="49"/>
    </row>
    <row r="2982" spans="2:7" s="63" customFormat="1">
      <c r="B2982" s="49"/>
      <c r="C2982" s="49"/>
      <c r="D2982" s="49"/>
      <c r="E2982" s="49"/>
      <c r="F2982" s="49"/>
      <c r="G2982" s="49"/>
    </row>
    <row r="2983" spans="2:7" s="63" customFormat="1">
      <c r="B2983" s="49"/>
      <c r="C2983" s="49"/>
      <c r="D2983" s="49"/>
      <c r="E2983" s="49"/>
      <c r="F2983" s="49"/>
      <c r="G2983" s="49"/>
    </row>
    <row r="2984" spans="2:7" s="63" customFormat="1">
      <c r="B2984" s="49"/>
      <c r="C2984" s="49"/>
      <c r="D2984" s="49"/>
      <c r="E2984" s="49"/>
      <c r="F2984" s="49"/>
      <c r="G2984" s="49"/>
    </row>
    <row r="2985" spans="2:7" s="63" customFormat="1">
      <c r="B2985" s="49"/>
      <c r="C2985" s="49"/>
      <c r="D2985" s="49"/>
      <c r="E2985" s="49"/>
      <c r="F2985" s="49"/>
      <c r="G2985" s="49"/>
    </row>
    <row r="2986" spans="2:7" s="63" customFormat="1">
      <c r="B2986" s="49"/>
      <c r="C2986" s="49"/>
      <c r="D2986" s="49"/>
      <c r="E2986" s="49"/>
      <c r="F2986" s="49"/>
      <c r="G2986" s="49"/>
    </row>
    <row r="2987" spans="2:7" s="63" customFormat="1">
      <c r="B2987" s="49"/>
      <c r="C2987" s="49"/>
      <c r="D2987" s="49"/>
      <c r="E2987" s="49"/>
      <c r="F2987" s="49"/>
      <c r="G2987" s="49"/>
    </row>
    <row r="2988" spans="2:7" s="63" customFormat="1">
      <c r="B2988" s="49"/>
      <c r="C2988" s="49"/>
      <c r="D2988" s="49"/>
      <c r="E2988" s="49"/>
      <c r="F2988" s="49"/>
      <c r="G2988" s="49"/>
    </row>
    <row r="2989" spans="2:7" s="63" customFormat="1">
      <c r="B2989" s="49"/>
      <c r="C2989" s="49"/>
      <c r="D2989" s="49"/>
      <c r="E2989" s="49"/>
      <c r="F2989" s="49"/>
      <c r="G2989" s="49"/>
    </row>
    <row r="2990" spans="2:7" s="63" customFormat="1">
      <c r="B2990" s="49"/>
      <c r="C2990" s="49"/>
      <c r="D2990" s="49"/>
      <c r="E2990" s="49"/>
      <c r="F2990" s="49"/>
      <c r="G2990" s="49"/>
    </row>
    <row r="2991" spans="2:7" s="63" customFormat="1">
      <c r="B2991" s="49"/>
      <c r="C2991" s="49"/>
      <c r="D2991" s="49"/>
      <c r="E2991" s="49"/>
      <c r="F2991" s="49"/>
      <c r="G2991" s="49"/>
    </row>
    <row r="2992" spans="2:7" s="63" customFormat="1">
      <c r="B2992" s="49"/>
      <c r="C2992" s="49"/>
      <c r="D2992" s="49"/>
      <c r="E2992" s="49"/>
      <c r="F2992" s="49"/>
      <c r="G2992" s="49"/>
    </row>
    <row r="2993" spans="2:7" s="63" customFormat="1">
      <c r="B2993" s="49"/>
      <c r="C2993" s="49"/>
      <c r="D2993" s="49"/>
      <c r="E2993" s="49"/>
      <c r="F2993" s="49"/>
      <c r="G2993" s="49"/>
    </row>
    <row r="2994" spans="2:7" s="63" customFormat="1">
      <c r="B2994" s="49"/>
      <c r="C2994" s="49"/>
      <c r="D2994" s="49"/>
      <c r="E2994" s="49"/>
      <c r="F2994" s="49"/>
      <c r="G2994" s="49"/>
    </row>
    <row r="2995" spans="2:7" s="63" customFormat="1">
      <c r="B2995" s="49"/>
      <c r="C2995" s="49"/>
      <c r="D2995" s="49"/>
      <c r="E2995" s="49"/>
      <c r="F2995" s="49"/>
      <c r="G2995" s="49"/>
    </row>
    <row r="2996" spans="2:7" s="63" customFormat="1">
      <c r="B2996" s="49"/>
      <c r="C2996" s="49"/>
      <c r="D2996" s="49"/>
      <c r="E2996" s="49"/>
      <c r="F2996" s="49"/>
      <c r="G2996" s="49"/>
    </row>
    <row r="2997" spans="2:7" s="63" customFormat="1">
      <c r="B2997" s="49"/>
      <c r="C2997" s="49"/>
      <c r="D2997" s="49"/>
      <c r="E2997" s="49"/>
      <c r="F2997" s="49"/>
      <c r="G2997" s="49"/>
    </row>
    <row r="2998" spans="2:7" s="63" customFormat="1">
      <c r="B2998" s="49"/>
      <c r="C2998" s="49"/>
      <c r="D2998" s="49"/>
      <c r="E2998" s="49"/>
      <c r="F2998" s="49"/>
      <c r="G2998" s="49"/>
    </row>
    <row r="2999" spans="2:7" s="63" customFormat="1">
      <c r="B2999" s="49"/>
      <c r="C2999" s="49"/>
      <c r="D2999" s="49"/>
      <c r="E2999" s="49"/>
      <c r="F2999" s="49"/>
      <c r="G2999" s="49"/>
    </row>
    <row r="3000" spans="2:7" s="63" customFormat="1">
      <c r="B3000" s="49"/>
      <c r="C3000" s="49"/>
      <c r="D3000" s="49"/>
      <c r="E3000" s="49"/>
      <c r="F3000" s="49"/>
      <c r="G3000" s="49"/>
    </row>
    <row r="3001" spans="2:7" s="63" customFormat="1">
      <c r="B3001" s="49"/>
      <c r="C3001" s="49"/>
      <c r="D3001" s="49"/>
      <c r="E3001" s="49"/>
      <c r="F3001" s="49"/>
      <c r="G3001" s="49"/>
    </row>
    <row r="3002" spans="2:7" s="63" customFormat="1">
      <c r="B3002" s="49"/>
      <c r="C3002" s="49"/>
      <c r="D3002" s="49"/>
      <c r="E3002" s="49"/>
      <c r="F3002" s="49"/>
      <c r="G3002" s="49"/>
    </row>
    <row r="3003" spans="2:7" s="63" customFormat="1">
      <c r="B3003" s="49"/>
      <c r="C3003" s="49"/>
      <c r="D3003" s="49"/>
      <c r="E3003" s="49"/>
      <c r="F3003" s="49"/>
      <c r="G3003" s="49"/>
    </row>
    <row r="3004" spans="2:7" s="63" customFormat="1">
      <c r="B3004" s="49"/>
      <c r="C3004" s="49"/>
      <c r="D3004" s="49"/>
      <c r="E3004" s="49"/>
      <c r="F3004" s="49"/>
      <c r="G3004" s="49"/>
    </row>
    <row r="3005" spans="2:7" s="63" customFormat="1">
      <c r="B3005" s="49"/>
      <c r="C3005" s="49"/>
      <c r="D3005" s="49"/>
      <c r="E3005" s="49"/>
      <c r="F3005" s="49"/>
      <c r="G3005" s="49"/>
    </row>
    <row r="3006" spans="2:7" s="63" customFormat="1">
      <c r="B3006" s="49"/>
      <c r="C3006" s="49"/>
      <c r="D3006" s="49"/>
      <c r="E3006" s="49"/>
      <c r="F3006" s="49"/>
      <c r="G3006" s="49"/>
    </row>
    <row r="3007" spans="2:7" s="63" customFormat="1">
      <c r="B3007" s="49"/>
      <c r="C3007" s="49"/>
      <c r="D3007" s="49"/>
      <c r="E3007" s="49"/>
      <c r="F3007" s="49"/>
      <c r="G3007" s="49"/>
    </row>
    <row r="3008" spans="2:7" s="63" customFormat="1">
      <c r="B3008" s="49"/>
      <c r="C3008" s="49"/>
      <c r="D3008" s="49"/>
      <c r="E3008" s="49"/>
      <c r="F3008" s="49"/>
      <c r="G3008" s="49"/>
    </row>
    <row r="3009" spans="2:7" s="63" customFormat="1">
      <c r="B3009" s="49"/>
      <c r="C3009" s="49"/>
      <c r="D3009" s="49"/>
      <c r="E3009" s="49"/>
      <c r="F3009" s="49"/>
      <c r="G3009" s="49"/>
    </row>
    <row r="3010" spans="2:7" s="63" customFormat="1">
      <c r="B3010" s="49"/>
      <c r="C3010" s="49"/>
      <c r="D3010" s="49"/>
      <c r="E3010" s="49"/>
      <c r="F3010" s="49"/>
      <c r="G3010" s="49"/>
    </row>
    <row r="3011" spans="2:7" s="63" customFormat="1">
      <c r="B3011" s="49"/>
      <c r="C3011" s="49"/>
      <c r="D3011" s="49"/>
      <c r="E3011" s="49"/>
      <c r="F3011" s="49"/>
      <c r="G3011" s="49"/>
    </row>
    <row r="3012" spans="2:7" s="63" customFormat="1">
      <c r="B3012" s="49"/>
      <c r="C3012" s="49"/>
      <c r="D3012" s="49"/>
      <c r="E3012" s="49"/>
      <c r="F3012" s="49"/>
      <c r="G3012" s="49"/>
    </row>
    <row r="3013" spans="2:7" s="63" customFormat="1">
      <c r="B3013" s="49"/>
      <c r="C3013" s="49"/>
      <c r="D3013" s="49"/>
      <c r="E3013" s="49"/>
      <c r="F3013" s="49"/>
      <c r="G3013" s="49"/>
    </row>
    <row r="3014" spans="2:7" s="63" customFormat="1">
      <c r="B3014" s="49"/>
      <c r="C3014" s="49"/>
      <c r="D3014" s="49"/>
      <c r="E3014" s="49"/>
      <c r="F3014" s="49"/>
      <c r="G3014" s="49"/>
    </row>
    <row r="3015" spans="2:7" s="63" customFormat="1">
      <c r="B3015" s="49"/>
      <c r="C3015" s="49"/>
      <c r="D3015" s="49"/>
      <c r="E3015" s="49"/>
      <c r="F3015" s="49"/>
      <c r="G3015" s="49"/>
    </row>
    <row r="3016" spans="2:7" s="63" customFormat="1">
      <c r="B3016" s="49"/>
      <c r="C3016" s="49"/>
      <c r="D3016" s="49"/>
      <c r="E3016" s="49"/>
      <c r="F3016" s="49"/>
      <c r="G3016" s="49"/>
    </row>
    <row r="3017" spans="2:7" s="63" customFormat="1">
      <c r="B3017" s="49"/>
      <c r="C3017" s="49"/>
      <c r="D3017" s="49"/>
      <c r="E3017" s="49"/>
      <c r="F3017" s="49"/>
      <c r="G3017" s="49"/>
    </row>
    <row r="3018" spans="2:7" s="63" customFormat="1">
      <c r="B3018" s="49"/>
      <c r="C3018" s="49"/>
      <c r="D3018" s="49"/>
      <c r="E3018" s="49"/>
      <c r="F3018" s="49"/>
      <c r="G3018" s="49"/>
    </row>
    <row r="3019" spans="2:7" s="63" customFormat="1">
      <c r="B3019" s="49"/>
      <c r="C3019" s="49"/>
      <c r="D3019" s="49"/>
      <c r="E3019" s="49"/>
      <c r="F3019" s="49"/>
      <c r="G3019" s="49"/>
    </row>
    <row r="3020" spans="2:7" s="63" customFormat="1">
      <c r="B3020" s="49"/>
      <c r="C3020" s="49"/>
      <c r="D3020" s="49"/>
      <c r="E3020" s="49"/>
      <c r="F3020" s="49"/>
      <c r="G3020" s="49"/>
    </row>
    <row r="3021" spans="2:7" s="63" customFormat="1">
      <c r="B3021" s="49"/>
      <c r="C3021" s="49"/>
      <c r="D3021" s="49"/>
      <c r="E3021" s="49"/>
      <c r="F3021" s="49"/>
      <c r="G3021" s="49"/>
    </row>
    <row r="3022" spans="2:7" s="63" customFormat="1">
      <c r="B3022" s="49"/>
      <c r="C3022" s="49"/>
      <c r="D3022" s="49"/>
      <c r="E3022" s="49"/>
      <c r="F3022" s="49"/>
      <c r="G3022" s="49"/>
    </row>
    <row r="3023" spans="2:7" s="63" customFormat="1">
      <c r="B3023" s="49"/>
      <c r="C3023" s="49"/>
      <c r="D3023" s="49"/>
      <c r="E3023" s="49"/>
      <c r="F3023" s="49"/>
      <c r="G3023" s="49"/>
    </row>
    <row r="3024" spans="2:7" s="63" customFormat="1">
      <c r="B3024" s="49"/>
      <c r="C3024" s="49"/>
      <c r="D3024" s="49"/>
      <c r="E3024" s="49"/>
      <c r="F3024" s="49"/>
      <c r="G3024" s="49"/>
    </row>
    <row r="3025" spans="2:7" s="63" customFormat="1">
      <c r="B3025" s="49"/>
      <c r="C3025" s="49"/>
      <c r="D3025" s="49"/>
      <c r="E3025" s="49"/>
      <c r="F3025" s="49"/>
      <c r="G3025" s="49"/>
    </row>
    <row r="3026" spans="2:7" s="63" customFormat="1">
      <c r="B3026" s="49"/>
      <c r="C3026" s="49"/>
      <c r="D3026" s="49"/>
      <c r="E3026" s="49"/>
      <c r="F3026" s="49"/>
      <c r="G3026" s="49"/>
    </row>
    <row r="3027" spans="2:7" s="63" customFormat="1">
      <c r="B3027" s="49"/>
      <c r="C3027" s="49"/>
      <c r="D3027" s="49"/>
      <c r="E3027" s="49"/>
      <c r="F3027" s="49"/>
      <c r="G3027" s="49"/>
    </row>
    <row r="3028" spans="2:7" s="63" customFormat="1">
      <c r="B3028" s="49"/>
      <c r="C3028" s="49"/>
      <c r="D3028" s="49"/>
      <c r="E3028" s="49"/>
      <c r="F3028" s="49"/>
      <c r="G3028" s="49"/>
    </row>
    <row r="3029" spans="2:7" s="63" customFormat="1">
      <c r="B3029" s="49"/>
      <c r="C3029" s="49"/>
      <c r="D3029" s="49"/>
      <c r="E3029" s="49"/>
      <c r="F3029" s="49"/>
      <c r="G3029" s="49"/>
    </row>
    <row r="3030" spans="2:7" s="63" customFormat="1">
      <c r="B3030" s="49"/>
      <c r="C3030" s="49"/>
      <c r="D3030" s="49"/>
      <c r="E3030" s="49"/>
      <c r="F3030" s="49"/>
      <c r="G3030" s="49"/>
    </row>
    <row r="3031" spans="2:7" s="63" customFormat="1">
      <c r="B3031" s="49"/>
      <c r="C3031" s="49"/>
      <c r="D3031" s="49"/>
      <c r="E3031" s="49"/>
      <c r="F3031" s="49"/>
      <c r="G3031" s="49"/>
    </row>
    <row r="3032" spans="2:7" s="63" customFormat="1">
      <c r="B3032" s="49"/>
      <c r="C3032" s="49"/>
      <c r="D3032" s="49"/>
      <c r="E3032" s="49"/>
      <c r="F3032" s="49"/>
      <c r="G3032" s="49"/>
    </row>
    <row r="3033" spans="2:7" s="63" customFormat="1">
      <c r="B3033" s="49"/>
      <c r="C3033" s="49"/>
      <c r="D3033" s="49"/>
      <c r="E3033" s="49"/>
      <c r="F3033" s="49"/>
      <c r="G3033" s="49"/>
    </row>
    <row r="3034" spans="2:7" s="63" customFormat="1">
      <c r="B3034" s="49"/>
      <c r="C3034" s="49"/>
      <c r="D3034" s="49"/>
      <c r="E3034" s="49"/>
      <c r="F3034" s="49"/>
      <c r="G3034" s="49"/>
    </row>
    <row r="3035" spans="2:7" s="63" customFormat="1">
      <c r="B3035" s="49"/>
      <c r="C3035" s="49"/>
      <c r="D3035" s="49"/>
      <c r="E3035" s="49"/>
      <c r="F3035" s="49"/>
      <c r="G3035" s="49"/>
    </row>
    <row r="3036" spans="2:7" s="63" customFormat="1">
      <c r="B3036" s="49"/>
      <c r="C3036" s="49"/>
      <c r="D3036" s="49"/>
      <c r="E3036" s="49"/>
      <c r="F3036" s="49"/>
      <c r="G3036" s="49"/>
    </row>
    <row r="3037" spans="2:7" s="63" customFormat="1">
      <c r="B3037" s="49"/>
      <c r="C3037" s="49"/>
      <c r="D3037" s="49"/>
      <c r="E3037" s="49"/>
      <c r="F3037" s="49"/>
      <c r="G3037" s="49"/>
    </row>
    <row r="3038" spans="2:7" s="63" customFormat="1">
      <c r="B3038" s="49"/>
      <c r="C3038" s="49"/>
      <c r="D3038" s="49"/>
      <c r="E3038" s="49"/>
      <c r="F3038" s="49"/>
      <c r="G3038" s="49"/>
    </row>
    <row r="3039" spans="2:7" s="63" customFormat="1">
      <c r="B3039" s="49"/>
      <c r="C3039" s="49"/>
      <c r="D3039" s="49"/>
      <c r="E3039" s="49"/>
      <c r="F3039" s="49"/>
      <c r="G3039" s="49"/>
    </row>
    <row r="3040" spans="2:7" s="63" customFormat="1">
      <c r="B3040" s="49"/>
      <c r="C3040" s="49"/>
      <c r="D3040" s="49"/>
      <c r="E3040" s="49"/>
      <c r="F3040" s="49"/>
      <c r="G3040" s="49"/>
    </row>
    <row r="3041" spans="2:7" s="63" customFormat="1">
      <c r="B3041" s="49"/>
      <c r="C3041" s="49"/>
      <c r="D3041" s="49"/>
      <c r="E3041" s="49"/>
      <c r="F3041" s="49"/>
      <c r="G3041" s="49"/>
    </row>
    <row r="3042" spans="2:7" s="63" customFormat="1">
      <c r="B3042" s="49"/>
      <c r="C3042" s="49"/>
      <c r="D3042" s="49"/>
      <c r="E3042" s="49"/>
      <c r="F3042" s="49"/>
      <c r="G3042" s="49"/>
    </row>
    <row r="3043" spans="2:7" s="63" customFormat="1">
      <c r="B3043" s="49"/>
      <c r="C3043" s="49"/>
      <c r="D3043" s="49"/>
      <c r="E3043" s="49"/>
      <c r="F3043" s="49"/>
      <c r="G3043" s="49"/>
    </row>
    <row r="3044" spans="2:7" s="63" customFormat="1">
      <c r="B3044" s="49"/>
      <c r="C3044" s="49"/>
      <c r="D3044" s="49"/>
      <c r="E3044" s="49"/>
      <c r="F3044" s="49"/>
      <c r="G3044" s="49"/>
    </row>
    <row r="3045" spans="2:7" s="63" customFormat="1">
      <c r="B3045" s="49"/>
      <c r="C3045" s="49"/>
      <c r="D3045" s="49"/>
      <c r="E3045" s="49"/>
      <c r="F3045" s="49"/>
      <c r="G3045" s="49"/>
    </row>
    <row r="3046" spans="2:7" s="63" customFormat="1">
      <c r="B3046" s="49"/>
      <c r="C3046" s="49"/>
      <c r="D3046" s="49"/>
      <c r="E3046" s="49"/>
      <c r="F3046" s="49"/>
      <c r="G3046" s="49"/>
    </row>
    <row r="3047" spans="2:7" s="63" customFormat="1">
      <c r="B3047" s="49"/>
      <c r="C3047" s="49"/>
      <c r="D3047" s="49"/>
      <c r="E3047" s="49"/>
      <c r="F3047" s="49"/>
      <c r="G3047" s="49"/>
    </row>
    <row r="3048" spans="2:7" s="63" customFormat="1">
      <c r="B3048" s="49"/>
      <c r="C3048" s="49"/>
      <c r="D3048" s="49"/>
      <c r="E3048" s="49"/>
      <c r="F3048" s="49"/>
      <c r="G3048" s="49"/>
    </row>
    <row r="3049" spans="2:7" s="63" customFormat="1">
      <c r="B3049" s="49"/>
      <c r="C3049" s="49"/>
      <c r="D3049" s="49"/>
      <c r="E3049" s="49"/>
      <c r="F3049" s="49"/>
      <c r="G3049" s="49"/>
    </row>
    <row r="3050" spans="2:7" s="63" customFormat="1">
      <c r="B3050" s="49"/>
      <c r="C3050" s="49"/>
      <c r="D3050" s="49"/>
      <c r="E3050" s="49"/>
      <c r="F3050" s="49"/>
      <c r="G3050" s="49"/>
    </row>
    <row r="3051" spans="2:7" s="63" customFormat="1">
      <c r="B3051" s="49"/>
      <c r="C3051" s="49"/>
      <c r="D3051" s="49"/>
      <c r="E3051" s="49"/>
      <c r="F3051" s="49"/>
      <c r="G3051" s="49"/>
    </row>
    <row r="3052" spans="2:7" s="63" customFormat="1">
      <c r="B3052" s="49"/>
      <c r="C3052" s="49"/>
      <c r="D3052" s="49"/>
      <c r="E3052" s="49"/>
      <c r="F3052" s="49"/>
      <c r="G3052" s="49"/>
    </row>
    <row r="3053" spans="2:7" s="63" customFormat="1">
      <c r="B3053" s="49"/>
      <c r="C3053" s="49"/>
      <c r="D3053" s="49"/>
      <c r="E3053" s="49"/>
      <c r="F3053" s="49"/>
      <c r="G3053" s="49"/>
    </row>
    <row r="3054" spans="2:7" s="63" customFormat="1">
      <c r="B3054" s="49"/>
      <c r="C3054" s="49"/>
      <c r="D3054" s="49"/>
      <c r="E3054" s="49"/>
      <c r="F3054" s="49"/>
      <c r="G3054" s="49"/>
    </row>
    <row r="3055" spans="2:7" s="63" customFormat="1">
      <c r="B3055" s="49"/>
      <c r="C3055" s="49"/>
      <c r="D3055" s="49"/>
      <c r="E3055" s="49"/>
      <c r="F3055" s="49"/>
      <c r="G3055" s="49"/>
    </row>
    <row r="3056" spans="2:7" s="63" customFormat="1">
      <c r="B3056" s="49"/>
      <c r="C3056" s="49"/>
      <c r="D3056" s="49"/>
      <c r="E3056" s="49"/>
      <c r="F3056" s="49"/>
      <c r="G3056" s="49"/>
    </row>
    <row r="3057" spans="2:7" s="63" customFormat="1">
      <c r="B3057" s="49"/>
      <c r="C3057" s="49"/>
      <c r="D3057" s="49"/>
      <c r="E3057" s="49"/>
      <c r="F3057" s="49"/>
      <c r="G3057" s="49"/>
    </row>
    <row r="3058" spans="2:7" s="63" customFormat="1">
      <c r="B3058" s="49"/>
      <c r="C3058" s="49"/>
      <c r="D3058" s="49"/>
      <c r="E3058" s="49"/>
      <c r="F3058" s="49"/>
      <c r="G3058" s="49"/>
    </row>
    <row r="3059" spans="2:7" s="63" customFormat="1">
      <c r="B3059" s="49"/>
      <c r="C3059" s="49"/>
      <c r="D3059" s="49"/>
      <c r="E3059" s="49"/>
      <c r="F3059" s="49"/>
      <c r="G3059" s="49"/>
    </row>
    <row r="3060" spans="2:7" s="63" customFormat="1">
      <c r="B3060" s="49"/>
      <c r="C3060" s="49"/>
      <c r="D3060" s="49"/>
      <c r="E3060" s="49"/>
      <c r="F3060" s="49"/>
      <c r="G3060" s="49"/>
    </row>
    <row r="3061" spans="2:7" s="63" customFormat="1">
      <c r="B3061" s="49"/>
      <c r="C3061" s="49"/>
      <c r="D3061" s="49"/>
      <c r="E3061" s="49"/>
      <c r="F3061" s="49"/>
      <c r="G3061" s="49"/>
    </row>
    <row r="3062" spans="2:7" s="63" customFormat="1">
      <c r="B3062" s="49"/>
      <c r="C3062" s="49"/>
      <c r="D3062" s="49"/>
      <c r="E3062" s="49"/>
      <c r="F3062" s="49"/>
      <c r="G3062" s="49"/>
    </row>
    <row r="3063" spans="2:7" s="63" customFormat="1">
      <c r="B3063" s="49"/>
      <c r="C3063" s="49"/>
      <c r="D3063" s="49"/>
      <c r="E3063" s="49"/>
      <c r="F3063" s="49"/>
      <c r="G3063" s="49"/>
    </row>
    <row r="3064" spans="2:7" s="63" customFormat="1">
      <c r="B3064" s="49"/>
      <c r="C3064" s="49"/>
      <c r="D3064" s="49"/>
      <c r="E3064" s="49"/>
      <c r="F3064" s="49"/>
      <c r="G3064" s="49"/>
    </row>
    <row r="3065" spans="2:7" s="63" customFormat="1">
      <c r="B3065" s="49"/>
      <c r="C3065" s="49"/>
      <c r="D3065" s="49"/>
      <c r="E3065" s="49"/>
      <c r="F3065" s="49"/>
      <c r="G3065" s="49"/>
    </row>
    <row r="3066" spans="2:7" s="63" customFormat="1">
      <c r="B3066" s="49"/>
      <c r="C3066" s="49"/>
      <c r="D3066" s="49"/>
      <c r="E3066" s="49"/>
      <c r="F3066" s="49"/>
      <c r="G3066" s="49"/>
    </row>
    <row r="3067" spans="2:7" s="63" customFormat="1">
      <c r="B3067" s="49"/>
      <c r="C3067" s="49"/>
      <c r="D3067" s="49"/>
      <c r="E3067" s="49"/>
      <c r="F3067" s="49"/>
      <c r="G3067" s="49"/>
    </row>
    <row r="3068" spans="2:7" s="63" customFormat="1">
      <c r="B3068" s="49"/>
      <c r="C3068" s="49"/>
      <c r="D3068" s="49"/>
      <c r="E3068" s="49"/>
      <c r="F3068" s="49"/>
      <c r="G3068" s="49"/>
    </row>
    <row r="3069" spans="2:7" s="63" customFormat="1">
      <c r="B3069" s="49"/>
      <c r="C3069" s="49"/>
      <c r="D3069" s="49"/>
      <c r="E3069" s="49"/>
      <c r="F3069" s="49"/>
      <c r="G3069" s="49"/>
    </row>
    <row r="3070" spans="2:7" s="63" customFormat="1">
      <c r="B3070" s="49"/>
      <c r="C3070" s="49"/>
      <c r="D3070" s="49"/>
      <c r="E3070" s="49"/>
      <c r="F3070" s="49"/>
      <c r="G3070" s="49"/>
    </row>
    <row r="3071" spans="2:7" s="63" customFormat="1">
      <c r="B3071" s="49"/>
      <c r="C3071" s="49"/>
      <c r="D3071" s="49"/>
      <c r="E3071" s="49"/>
      <c r="F3071" s="49"/>
      <c r="G3071" s="49"/>
    </row>
    <row r="3072" spans="2:7" s="63" customFormat="1">
      <c r="B3072" s="49"/>
      <c r="C3072" s="49"/>
      <c r="D3072" s="49"/>
      <c r="E3072" s="49"/>
      <c r="F3072" s="49"/>
      <c r="G3072" s="49"/>
    </row>
    <row r="3073" spans="2:7" s="63" customFormat="1">
      <c r="B3073" s="49"/>
      <c r="C3073" s="49"/>
      <c r="D3073" s="49"/>
      <c r="E3073" s="49"/>
      <c r="F3073" s="49"/>
      <c r="G3073" s="49"/>
    </row>
    <row r="3074" spans="2:7" s="63" customFormat="1">
      <c r="B3074" s="49"/>
      <c r="C3074" s="49"/>
      <c r="D3074" s="49"/>
      <c r="E3074" s="49"/>
      <c r="F3074" s="49"/>
      <c r="G3074" s="49"/>
    </row>
    <row r="3075" spans="2:7" s="63" customFormat="1">
      <c r="B3075" s="49"/>
      <c r="C3075" s="49"/>
      <c r="D3075" s="49"/>
      <c r="E3075" s="49"/>
      <c r="F3075" s="49"/>
      <c r="G3075" s="49"/>
    </row>
    <row r="3076" spans="2:7" s="63" customFormat="1">
      <c r="B3076" s="49"/>
      <c r="C3076" s="49"/>
      <c r="D3076" s="49"/>
      <c r="E3076" s="49"/>
      <c r="F3076" s="49"/>
      <c r="G3076" s="49"/>
    </row>
    <row r="3077" spans="2:7" s="63" customFormat="1">
      <c r="B3077" s="49"/>
      <c r="C3077" s="49"/>
      <c r="D3077" s="49"/>
      <c r="E3077" s="49"/>
      <c r="F3077" s="49"/>
      <c r="G3077" s="49"/>
    </row>
    <row r="3078" spans="2:7" s="63" customFormat="1">
      <c r="B3078" s="49"/>
      <c r="C3078" s="49"/>
      <c r="D3078" s="49"/>
      <c r="E3078" s="49"/>
      <c r="F3078" s="49"/>
      <c r="G3078" s="49"/>
    </row>
    <row r="3079" spans="2:7" s="63" customFormat="1">
      <c r="B3079" s="49"/>
      <c r="C3079" s="49"/>
      <c r="D3079" s="49"/>
      <c r="E3079" s="49"/>
      <c r="F3079" s="49"/>
      <c r="G3079" s="49"/>
    </row>
    <row r="3080" spans="2:7" s="63" customFormat="1">
      <c r="B3080" s="49"/>
      <c r="C3080" s="49"/>
      <c r="D3080" s="49"/>
      <c r="E3080" s="49"/>
      <c r="F3080" s="49"/>
      <c r="G3080" s="49"/>
    </row>
    <row r="3081" spans="2:7" s="63" customFormat="1">
      <c r="B3081" s="49"/>
      <c r="C3081" s="49"/>
      <c r="D3081" s="49"/>
      <c r="E3081" s="49"/>
      <c r="F3081" s="49"/>
      <c r="G3081" s="49"/>
    </row>
    <row r="3082" spans="2:7" s="63" customFormat="1">
      <c r="B3082" s="49"/>
      <c r="C3082" s="49"/>
      <c r="D3082" s="49"/>
      <c r="E3082" s="49"/>
      <c r="F3082" s="49"/>
      <c r="G3082" s="49"/>
    </row>
    <row r="3083" spans="2:7" s="63" customFormat="1">
      <c r="B3083" s="49"/>
      <c r="C3083" s="49"/>
      <c r="D3083" s="49"/>
      <c r="E3083" s="49"/>
      <c r="F3083" s="49"/>
      <c r="G3083" s="49"/>
    </row>
    <row r="3084" spans="2:7" s="63" customFormat="1">
      <c r="B3084" s="49"/>
      <c r="C3084" s="49"/>
      <c r="D3084" s="49"/>
      <c r="E3084" s="49"/>
      <c r="F3084" s="49"/>
      <c r="G3084" s="49"/>
    </row>
    <row r="3085" spans="2:7" s="63" customFormat="1">
      <c r="B3085" s="49"/>
      <c r="C3085" s="49"/>
      <c r="D3085" s="49"/>
      <c r="E3085" s="49"/>
      <c r="F3085" s="49"/>
      <c r="G3085" s="49"/>
    </row>
    <row r="3086" spans="2:7" s="63" customFormat="1">
      <c r="B3086" s="49"/>
      <c r="C3086" s="49"/>
      <c r="D3086" s="49"/>
      <c r="E3086" s="49"/>
      <c r="F3086" s="49"/>
      <c r="G3086" s="49"/>
    </row>
    <row r="3087" spans="2:7" s="63" customFormat="1">
      <c r="B3087" s="49"/>
      <c r="C3087" s="49"/>
      <c r="D3087" s="49"/>
      <c r="E3087" s="49"/>
      <c r="F3087" s="49"/>
      <c r="G3087" s="49"/>
    </row>
    <row r="3088" spans="2:7" s="63" customFormat="1">
      <c r="B3088" s="49"/>
      <c r="C3088" s="49"/>
      <c r="D3088" s="49"/>
      <c r="E3088" s="49"/>
      <c r="F3088" s="49"/>
      <c r="G3088" s="49"/>
    </row>
    <row r="3089" spans="2:7" s="63" customFormat="1">
      <c r="B3089" s="49"/>
      <c r="C3089" s="49"/>
      <c r="D3089" s="49"/>
      <c r="E3089" s="49"/>
      <c r="F3089" s="49"/>
      <c r="G3089" s="49"/>
    </row>
    <row r="3090" spans="2:7" s="63" customFormat="1">
      <c r="B3090" s="49"/>
      <c r="C3090" s="49"/>
      <c r="D3090" s="49"/>
      <c r="E3090" s="49"/>
      <c r="F3090" s="49"/>
      <c r="G3090" s="49"/>
    </row>
    <row r="3091" spans="2:7" s="63" customFormat="1">
      <c r="B3091" s="49"/>
      <c r="C3091" s="49"/>
      <c r="D3091" s="49"/>
      <c r="E3091" s="49"/>
      <c r="F3091" s="49"/>
      <c r="G3091" s="49"/>
    </row>
    <row r="3092" spans="2:7" s="63" customFormat="1">
      <c r="B3092" s="49"/>
      <c r="C3092" s="49"/>
      <c r="D3092" s="49"/>
      <c r="E3092" s="49"/>
      <c r="F3092" s="49"/>
      <c r="G3092" s="49"/>
    </row>
    <row r="3093" spans="2:7" s="63" customFormat="1">
      <c r="B3093" s="49"/>
      <c r="C3093" s="49"/>
      <c r="D3093" s="49"/>
      <c r="E3093" s="49"/>
      <c r="F3093" s="49"/>
      <c r="G3093" s="49"/>
    </row>
    <row r="3094" spans="2:7" s="63" customFormat="1">
      <c r="B3094" s="49"/>
      <c r="C3094" s="49"/>
      <c r="D3094" s="49"/>
      <c r="E3094" s="49"/>
      <c r="F3094" s="49"/>
      <c r="G3094" s="49"/>
    </row>
    <row r="3095" spans="2:7" s="63" customFormat="1">
      <c r="B3095" s="49"/>
      <c r="C3095" s="49"/>
      <c r="D3095" s="49"/>
      <c r="E3095" s="49"/>
      <c r="F3095" s="49"/>
      <c r="G3095" s="49"/>
    </row>
    <row r="3096" spans="2:7" s="63" customFormat="1">
      <c r="B3096" s="49"/>
      <c r="C3096" s="49"/>
      <c r="D3096" s="49"/>
      <c r="E3096" s="49"/>
      <c r="F3096" s="49"/>
      <c r="G3096" s="49"/>
    </row>
    <row r="3097" spans="2:7" s="63" customFormat="1">
      <c r="B3097" s="49"/>
      <c r="C3097" s="49"/>
      <c r="D3097" s="49"/>
      <c r="E3097" s="49"/>
      <c r="F3097" s="49"/>
      <c r="G3097" s="49"/>
    </row>
    <row r="3098" spans="2:7" s="63" customFormat="1">
      <c r="B3098" s="49"/>
      <c r="C3098" s="49"/>
      <c r="D3098" s="49"/>
      <c r="E3098" s="49"/>
      <c r="F3098" s="49"/>
      <c r="G3098" s="49"/>
    </row>
    <row r="3099" spans="2:7" s="63" customFormat="1">
      <c r="B3099" s="49"/>
      <c r="C3099" s="49"/>
      <c r="D3099" s="49"/>
      <c r="E3099" s="49"/>
      <c r="F3099" s="49"/>
      <c r="G3099" s="49"/>
    </row>
    <row r="3100" spans="2:7" s="63" customFormat="1">
      <c r="B3100" s="49"/>
      <c r="C3100" s="49"/>
      <c r="D3100" s="49"/>
      <c r="E3100" s="49"/>
      <c r="F3100" s="49"/>
      <c r="G3100" s="49"/>
    </row>
    <row r="3101" spans="2:7" s="63" customFormat="1">
      <c r="B3101" s="49"/>
      <c r="C3101" s="49"/>
      <c r="D3101" s="49"/>
      <c r="E3101" s="49"/>
      <c r="F3101" s="49"/>
      <c r="G3101" s="49"/>
    </row>
    <row r="3102" spans="2:7" s="63" customFormat="1">
      <c r="B3102" s="49"/>
      <c r="C3102" s="49"/>
      <c r="D3102" s="49"/>
      <c r="E3102" s="49"/>
      <c r="F3102" s="49"/>
      <c r="G3102" s="49"/>
    </row>
    <row r="3103" spans="2:7" s="63" customFormat="1">
      <c r="B3103" s="49"/>
      <c r="C3103" s="49"/>
      <c r="D3103" s="49"/>
      <c r="E3103" s="49"/>
      <c r="F3103" s="49"/>
      <c r="G3103" s="49"/>
    </row>
    <row r="3104" spans="2:7" s="63" customFormat="1">
      <c r="B3104" s="49"/>
      <c r="C3104" s="49"/>
      <c r="D3104" s="49"/>
      <c r="E3104" s="49"/>
      <c r="F3104" s="49"/>
      <c r="G3104" s="49"/>
    </row>
    <row r="3105" spans="2:7" s="63" customFormat="1">
      <c r="B3105" s="49"/>
      <c r="C3105" s="49"/>
      <c r="D3105" s="49"/>
      <c r="E3105" s="49"/>
      <c r="F3105" s="49"/>
      <c r="G3105" s="49"/>
    </row>
    <row r="3106" spans="2:7" s="63" customFormat="1">
      <c r="B3106" s="49"/>
      <c r="C3106" s="49"/>
      <c r="D3106" s="49"/>
      <c r="E3106" s="49"/>
      <c r="F3106" s="49"/>
      <c r="G3106" s="49"/>
    </row>
    <row r="3107" spans="2:7" s="63" customFormat="1">
      <c r="B3107" s="49"/>
      <c r="C3107" s="49"/>
      <c r="D3107" s="49"/>
      <c r="E3107" s="49"/>
      <c r="F3107" s="49"/>
      <c r="G3107" s="49"/>
    </row>
    <row r="3108" spans="2:7" s="63" customFormat="1">
      <c r="B3108" s="49"/>
      <c r="C3108" s="49"/>
      <c r="D3108" s="49"/>
      <c r="E3108" s="49"/>
      <c r="F3108" s="49"/>
      <c r="G3108" s="49"/>
    </row>
    <row r="3109" spans="2:7" s="63" customFormat="1">
      <c r="B3109" s="49"/>
      <c r="C3109" s="49"/>
      <c r="D3109" s="49"/>
      <c r="E3109" s="49"/>
      <c r="F3109" s="49"/>
      <c r="G3109" s="49"/>
    </row>
    <row r="3110" spans="2:7" s="63" customFormat="1">
      <c r="B3110" s="49"/>
      <c r="C3110" s="49"/>
      <c r="D3110" s="49"/>
      <c r="E3110" s="49"/>
      <c r="F3110" s="49"/>
      <c r="G3110" s="49"/>
    </row>
    <row r="3111" spans="2:7" s="63" customFormat="1">
      <c r="B3111" s="49"/>
      <c r="C3111" s="49"/>
      <c r="D3111" s="49"/>
      <c r="E3111" s="49"/>
      <c r="F3111" s="49"/>
      <c r="G3111" s="49"/>
    </row>
    <row r="3112" spans="2:7" s="63" customFormat="1">
      <c r="B3112" s="49"/>
      <c r="C3112" s="49"/>
      <c r="D3112" s="49"/>
      <c r="E3112" s="49"/>
      <c r="F3112" s="49"/>
      <c r="G3112" s="49"/>
    </row>
    <row r="3113" spans="2:7" s="63" customFormat="1">
      <c r="B3113" s="49"/>
      <c r="C3113" s="49"/>
      <c r="D3113" s="49"/>
      <c r="E3113" s="49"/>
      <c r="F3113" s="49"/>
      <c r="G3113" s="49"/>
    </row>
    <row r="3114" spans="2:7" s="63" customFormat="1">
      <c r="B3114" s="49"/>
      <c r="C3114" s="49"/>
      <c r="D3114" s="49"/>
      <c r="E3114" s="49"/>
      <c r="F3114" s="49"/>
      <c r="G3114" s="49"/>
    </row>
    <row r="3115" spans="2:7" s="63" customFormat="1">
      <c r="B3115" s="49"/>
      <c r="C3115" s="49"/>
      <c r="D3115" s="49"/>
      <c r="E3115" s="49"/>
      <c r="F3115" s="49"/>
      <c r="G3115" s="49"/>
    </row>
    <row r="3116" spans="2:7" s="63" customFormat="1">
      <c r="B3116" s="49"/>
      <c r="C3116" s="49"/>
      <c r="D3116" s="49"/>
      <c r="E3116" s="49"/>
      <c r="F3116" s="49"/>
      <c r="G3116" s="49"/>
    </row>
    <row r="3117" spans="2:7" s="63" customFormat="1">
      <c r="B3117" s="49"/>
      <c r="C3117" s="49"/>
      <c r="D3117" s="49"/>
      <c r="E3117" s="49"/>
      <c r="F3117" s="49"/>
      <c r="G3117" s="49"/>
    </row>
    <row r="3118" spans="2:7" s="63" customFormat="1">
      <c r="B3118" s="49"/>
      <c r="C3118" s="49"/>
      <c r="D3118" s="49"/>
      <c r="E3118" s="49"/>
      <c r="F3118" s="49"/>
      <c r="G3118" s="49"/>
    </row>
    <row r="3119" spans="2:7" s="63" customFormat="1">
      <c r="B3119" s="49"/>
      <c r="C3119" s="49"/>
      <c r="D3119" s="49"/>
      <c r="E3119" s="49"/>
      <c r="F3119" s="49"/>
      <c r="G3119" s="49"/>
    </row>
    <row r="3120" spans="2:7" s="63" customFormat="1">
      <c r="B3120" s="49"/>
      <c r="C3120" s="49"/>
      <c r="D3120" s="49"/>
      <c r="E3120" s="49"/>
      <c r="F3120" s="49"/>
      <c r="G3120" s="49"/>
    </row>
    <row r="3121" spans="2:7" s="63" customFormat="1">
      <c r="B3121" s="49"/>
      <c r="C3121" s="49"/>
      <c r="D3121" s="49"/>
      <c r="E3121" s="49"/>
      <c r="F3121" s="49"/>
      <c r="G3121" s="49"/>
    </row>
    <row r="3122" spans="2:7" s="63" customFormat="1">
      <c r="B3122" s="49"/>
      <c r="C3122" s="49"/>
      <c r="D3122" s="49"/>
      <c r="E3122" s="49"/>
      <c r="F3122" s="49"/>
      <c r="G3122" s="49"/>
    </row>
    <row r="3123" spans="2:7" s="63" customFormat="1">
      <c r="B3123" s="49"/>
      <c r="C3123" s="49"/>
      <c r="D3123" s="49"/>
      <c r="E3123" s="49"/>
      <c r="F3123" s="49"/>
      <c r="G3123" s="49"/>
    </row>
    <row r="3124" spans="2:7" s="63" customFormat="1">
      <c r="B3124" s="49"/>
      <c r="C3124" s="49"/>
      <c r="D3124" s="49"/>
      <c r="E3124" s="49"/>
      <c r="F3124" s="49"/>
      <c r="G3124" s="49"/>
    </row>
    <row r="3125" spans="2:7" s="63" customFormat="1">
      <c r="B3125" s="49"/>
      <c r="C3125" s="49"/>
      <c r="D3125" s="49"/>
      <c r="E3125" s="49"/>
      <c r="F3125" s="49"/>
      <c r="G3125" s="49"/>
    </row>
    <row r="3126" spans="2:7" s="63" customFormat="1">
      <c r="B3126" s="49"/>
      <c r="C3126" s="49"/>
      <c r="D3126" s="49"/>
      <c r="E3126" s="49"/>
      <c r="F3126" s="49"/>
      <c r="G3126" s="49"/>
    </row>
    <row r="3127" spans="2:7" s="63" customFormat="1">
      <c r="B3127" s="49"/>
      <c r="C3127" s="49"/>
      <c r="D3127" s="49"/>
      <c r="E3127" s="49"/>
      <c r="F3127" s="49"/>
      <c r="G3127" s="49"/>
    </row>
    <row r="3128" spans="2:7" s="63" customFormat="1">
      <c r="B3128" s="49"/>
      <c r="C3128" s="49"/>
      <c r="D3128" s="49"/>
      <c r="E3128" s="49"/>
      <c r="F3128" s="49"/>
      <c r="G3128" s="49"/>
    </row>
    <row r="3129" spans="2:7" s="63" customFormat="1">
      <c r="B3129" s="49"/>
      <c r="C3129" s="49"/>
      <c r="D3129" s="49"/>
      <c r="E3129" s="49"/>
      <c r="F3129" s="49"/>
      <c r="G3129" s="49"/>
    </row>
    <row r="3130" spans="2:7" s="63" customFormat="1">
      <c r="B3130" s="49"/>
      <c r="C3130" s="49"/>
      <c r="D3130" s="49"/>
      <c r="E3130" s="49"/>
      <c r="F3130" s="49"/>
      <c r="G3130" s="49"/>
    </row>
    <row r="3131" spans="2:7" s="63" customFormat="1">
      <c r="B3131" s="49"/>
      <c r="C3131" s="49"/>
      <c r="D3131" s="49"/>
      <c r="E3131" s="49"/>
      <c r="F3131" s="49"/>
      <c r="G3131" s="49"/>
    </row>
    <row r="3132" spans="2:7" s="63" customFormat="1">
      <c r="B3132" s="49"/>
      <c r="C3132" s="49"/>
      <c r="D3132" s="49"/>
      <c r="E3132" s="49"/>
      <c r="F3132" s="49"/>
      <c r="G3132" s="49"/>
    </row>
    <row r="3133" spans="2:7" s="63" customFormat="1">
      <c r="B3133" s="49"/>
      <c r="C3133" s="49"/>
      <c r="D3133" s="49"/>
      <c r="E3133" s="49"/>
      <c r="F3133" s="49"/>
      <c r="G3133" s="49"/>
    </row>
    <row r="3134" spans="2:7" s="63" customFormat="1">
      <c r="B3134" s="49"/>
      <c r="C3134" s="49"/>
      <c r="D3134" s="49"/>
      <c r="E3134" s="49"/>
      <c r="F3134" s="49"/>
      <c r="G3134" s="49"/>
    </row>
    <row r="3135" spans="2:7" s="63" customFormat="1">
      <c r="B3135" s="49"/>
      <c r="C3135" s="49"/>
      <c r="D3135" s="49"/>
      <c r="E3135" s="49"/>
      <c r="F3135" s="49"/>
      <c r="G3135" s="49"/>
    </row>
    <row r="3136" spans="2:7" s="63" customFormat="1">
      <c r="B3136" s="49"/>
      <c r="C3136" s="49"/>
      <c r="D3136" s="49"/>
      <c r="E3136" s="49"/>
      <c r="F3136" s="49"/>
      <c r="G3136" s="49"/>
    </row>
    <row r="3137" spans="2:7" s="63" customFormat="1">
      <c r="B3137" s="49"/>
      <c r="C3137" s="49"/>
      <c r="D3137" s="49"/>
      <c r="E3137" s="49"/>
      <c r="F3137" s="49"/>
      <c r="G3137" s="49"/>
    </row>
    <row r="3138" spans="2:7" s="63" customFormat="1">
      <c r="B3138" s="49"/>
      <c r="C3138" s="49"/>
      <c r="D3138" s="49"/>
      <c r="E3138" s="49"/>
      <c r="F3138" s="49"/>
      <c r="G3138" s="49"/>
    </row>
    <row r="3139" spans="2:7" s="63" customFormat="1">
      <c r="B3139" s="49"/>
      <c r="C3139" s="49"/>
      <c r="D3139" s="49"/>
      <c r="E3139" s="49"/>
      <c r="F3139" s="49"/>
      <c r="G3139" s="49"/>
    </row>
    <row r="3140" spans="2:7" s="63" customFormat="1">
      <c r="B3140" s="49"/>
      <c r="C3140" s="49"/>
      <c r="D3140" s="49"/>
      <c r="E3140" s="49"/>
      <c r="F3140" s="49"/>
      <c r="G3140" s="49"/>
    </row>
    <row r="3141" spans="2:7" s="63" customFormat="1">
      <c r="B3141" s="49"/>
      <c r="C3141" s="49"/>
      <c r="D3141" s="49"/>
      <c r="E3141" s="49"/>
      <c r="F3141" s="49"/>
      <c r="G3141" s="49"/>
    </row>
    <row r="3142" spans="2:7" s="63" customFormat="1">
      <c r="B3142" s="49"/>
      <c r="C3142" s="49"/>
      <c r="D3142" s="49"/>
      <c r="E3142" s="49"/>
      <c r="F3142" s="49"/>
      <c r="G3142" s="49"/>
    </row>
    <row r="3143" spans="2:7" s="63" customFormat="1">
      <c r="B3143" s="49"/>
      <c r="C3143" s="49"/>
      <c r="D3143" s="49"/>
      <c r="E3143" s="49"/>
      <c r="F3143" s="49"/>
      <c r="G3143" s="49"/>
    </row>
    <row r="3144" spans="2:7" s="63" customFormat="1">
      <c r="B3144" s="49"/>
      <c r="C3144" s="49"/>
      <c r="D3144" s="49"/>
      <c r="E3144" s="49"/>
      <c r="F3144" s="49"/>
      <c r="G3144" s="49"/>
    </row>
    <row r="3145" spans="2:7" s="63" customFormat="1">
      <c r="B3145" s="49"/>
      <c r="C3145" s="49"/>
      <c r="D3145" s="49"/>
      <c r="E3145" s="49"/>
      <c r="F3145" s="49"/>
      <c r="G3145" s="49"/>
    </row>
    <row r="3146" spans="2:7" s="63" customFormat="1">
      <c r="B3146" s="49"/>
      <c r="C3146" s="49"/>
      <c r="D3146" s="49"/>
      <c r="E3146" s="49"/>
      <c r="F3146" s="49"/>
      <c r="G3146" s="49"/>
    </row>
    <row r="3147" spans="2:7" s="63" customFormat="1">
      <c r="B3147" s="49"/>
      <c r="C3147" s="49"/>
      <c r="D3147" s="49"/>
      <c r="E3147" s="49"/>
      <c r="F3147" s="49"/>
      <c r="G3147" s="49"/>
    </row>
    <row r="3148" spans="2:7" s="63" customFormat="1">
      <c r="B3148" s="49"/>
      <c r="C3148" s="49"/>
      <c r="D3148" s="49"/>
      <c r="E3148" s="49"/>
      <c r="F3148" s="49"/>
      <c r="G3148" s="49"/>
    </row>
    <row r="3149" spans="2:7" s="63" customFormat="1">
      <c r="B3149" s="49"/>
      <c r="C3149" s="49"/>
      <c r="D3149" s="49"/>
      <c r="E3149" s="49"/>
      <c r="F3149" s="49"/>
      <c r="G3149" s="49"/>
    </row>
    <row r="3150" spans="2:7" s="63" customFormat="1">
      <c r="B3150" s="49"/>
      <c r="C3150" s="49"/>
      <c r="D3150" s="49"/>
      <c r="E3150" s="49"/>
      <c r="F3150" s="49"/>
      <c r="G3150" s="49"/>
    </row>
    <row r="3151" spans="2:7" s="63" customFormat="1">
      <c r="B3151" s="49"/>
      <c r="C3151" s="49"/>
      <c r="D3151" s="49"/>
      <c r="E3151" s="49"/>
      <c r="F3151" s="49"/>
      <c r="G3151" s="49"/>
    </row>
    <row r="3152" spans="2:7" s="63" customFormat="1">
      <c r="B3152" s="49"/>
      <c r="C3152" s="49"/>
      <c r="D3152" s="49"/>
      <c r="E3152" s="49"/>
      <c r="F3152" s="49"/>
      <c r="G3152" s="49"/>
    </row>
    <row r="3153" spans="2:7" s="63" customFormat="1">
      <c r="B3153" s="49"/>
      <c r="C3153" s="49"/>
      <c r="D3153" s="49"/>
      <c r="E3153" s="49"/>
      <c r="F3153" s="49"/>
      <c r="G3153" s="49"/>
    </row>
    <row r="3154" spans="2:7" s="63" customFormat="1">
      <c r="B3154" s="49"/>
      <c r="C3154" s="49"/>
      <c r="D3154" s="49"/>
      <c r="E3154" s="49"/>
      <c r="F3154" s="49"/>
      <c r="G3154" s="49"/>
    </row>
    <row r="3155" spans="2:7" s="63" customFormat="1">
      <c r="B3155" s="49"/>
      <c r="C3155" s="49"/>
      <c r="D3155" s="49"/>
      <c r="E3155" s="49"/>
      <c r="F3155" s="49"/>
      <c r="G3155" s="49"/>
    </row>
    <row r="3156" spans="2:7" s="63" customFormat="1">
      <c r="B3156" s="49"/>
      <c r="C3156" s="49"/>
      <c r="D3156" s="49"/>
      <c r="E3156" s="49"/>
      <c r="F3156" s="49"/>
      <c r="G3156" s="49"/>
    </row>
    <row r="3157" spans="2:7" s="63" customFormat="1">
      <c r="B3157" s="49"/>
      <c r="C3157" s="49"/>
      <c r="D3157" s="49"/>
      <c r="E3157" s="49"/>
      <c r="F3157" s="49"/>
      <c r="G3157" s="49"/>
    </row>
    <row r="3158" spans="2:7" s="63" customFormat="1">
      <c r="B3158" s="49"/>
      <c r="C3158" s="49"/>
      <c r="D3158" s="49"/>
      <c r="E3158" s="49"/>
      <c r="F3158" s="49"/>
      <c r="G3158" s="49"/>
    </row>
    <row r="3159" spans="2:7" s="63" customFormat="1">
      <c r="B3159" s="49"/>
      <c r="C3159" s="49"/>
      <c r="D3159" s="49"/>
      <c r="E3159" s="49"/>
      <c r="F3159" s="49"/>
      <c r="G3159" s="49"/>
    </row>
    <row r="3160" spans="2:7" s="63" customFormat="1">
      <c r="B3160" s="49"/>
      <c r="C3160" s="49"/>
      <c r="D3160" s="49"/>
      <c r="E3160" s="49"/>
      <c r="F3160" s="49"/>
      <c r="G3160" s="49"/>
    </row>
    <row r="3161" spans="2:7" s="63" customFormat="1">
      <c r="B3161" s="49"/>
      <c r="C3161" s="49"/>
      <c r="D3161" s="49"/>
      <c r="E3161" s="49"/>
      <c r="F3161" s="49"/>
      <c r="G3161" s="49"/>
    </row>
    <row r="3162" spans="2:7" s="63" customFormat="1">
      <c r="B3162" s="49"/>
      <c r="C3162" s="49"/>
      <c r="D3162" s="49"/>
      <c r="E3162" s="49"/>
      <c r="F3162" s="49"/>
      <c r="G3162" s="49"/>
    </row>
    <row r="3163" spans="2:7" s="63" customFormat="1">
      <c r="B3163" s="49"/>
      <c r="C3163" s="49"/>
      <c r="D3163" s="49"/>
      <c r="E3163" s="49"/>
      <c r="F3163" s="49"/>
      <c r="G3163" s="49"/>
    </row>
    <row r="3164" spans="2:7" s="63" customFormat="1">
      <c r="B3164" s="49"/>
      <c r="C3164" s="49"/>
      <c r="D3164" s="49"/>
      <c r="E3164" s="49"/>
      <c r="F3164" s="49"/>
      <c r="G3164" s="49"/>
    </row>
    <row r="3165" spans="2:7" s="63" customFormat="1">
      <c r="B3165" s="49"/>
      <c r="C3165" s="49"/>
      <c r="D3165" s="49"/>
      <c r="E3165" s="49"/>
      <c r="F3165" s="49"/>
      <c r="G3165" s="49"/>
    </row>
    <row r="3166" spans="2:7" s="63" customFormat="1">
      <c r="B3166" s="49"/>
      <c r="C3166" s="49"/>
      <c r="D3166" s="49"/>
      <c r="E3166" s="49"/>
      <c r="F3166" s="49"/>
      <c r="G3166" s="49"/>
    </row>
    <row r="3167" spans="2:7" s="63" customFormat="1">
      <c r="B3167" s="49"/>
      <c r="C3167" s="49"/>
      <c r="D3167" s="49"/>
      <c r="E3167" s="49"/>
      <c r="F3167" s="49"/>
      <c r="G3167" s="49"/>
    </row>
    <row r="3168" spans="2:7" s="63" customFormat="1">
      <c r="B3168" s="49"/>
      <c r="C3168" s="49"/>
      <c r="D3168" s="49"/>
      <c r="E3168" s="49"/>
      <c r="F3168" s="49"/>
      <c r="G3168" s="49"/>
    </row>
    <row r="3169" spans="2:7" s="63" customFormat="1">
      <c r="B3169" s="49"/>
      <c r="C3169" s="49"/>
      <c r="D3169" s="49"/>
      <c r="E3169" s="49"/>
      <c r="F3169" s="49"/>
      <c r="G3169" s="49"/>
    </row>
    <row r="3170" spans="2:7" s="63" customFormat="1">
      <c r="B3170" s="49"/>
      <c r="C3170" s="49"/>
      <c r="D3170" s="49"/>
      <c r="E3170" s="49"/>
      <c r="F3170" s="49"/>
      <c r="G3170" s="49"/>
    </row>
    <row r="3171" spans="2:7" s="63" customFormat="1">
      <c r="B3171" s="49"/>
      <c r="C3171" s="49"/>
      <c r="D3171" s="49"/>
      <c r="E3171" s="49"/>
      <c r="F3171" s="49"/>
      <c r="G3171" s="49"/>
    </row>
    <row r="3172" spans="2:7" s="63" customFormat="1">
      <c r="B3172" s="49"/>
      <c r="C3172" s="49"/>
      <c r="D3172" s="49"/>
      <c r="E3172" s="49"/>
      <c r="F3172" s="49"/>
      <c r="G3172" s="49"/>
    </row>
    <row r="3173" spans="2:7" s="63" customFormat="1">
      <c r="B3173" s="49"/>
      <c r="C3173" s="49"/>
      <c r="D3173" s="49"/>
      <c r="E3173" s="49"/>
      <c r="F3173" s="49"/>
      <c r="G3173" s="49"/>
    </row>
    <row r="3174" spans="2:7" s="63" customFormat="1">
      <c r="B3174" s="49"/>
      <c r="C3174" s="49"/>
      <c r="D3174" s="49"/>
      <c r="E3174" s="49"/>
      <c r="F3174" s="49"/>
      <c r="G3174" s="49"/>
    </row>
    <row r="3175" spans="2:7" s="63" customFormat="1">
      <c r="B3175" s="49"/>
      <c r="C3175" s="49"/>
      <c r="D3175" s="49"/>
      <c r="E3175" s="49"/>
      <c r="F3175" s="49"/>
      <c r="G3175" s="49"/>
    </row>
    <row r="3176" spans="2:7" s="63" customFormat="1">
      <c r="B3176" s="49"/>
      <c r="C3176" s="49"/>
      <c r="D3176" s="49"/>
      <c r="E3176" s="49"/>
      <c r="F3176" s="49"/>
      <c r="G3176" s="49"/>
    </row>
    <row r="3177" spans="2:7" s="63" customFormat="1">
      <c r="B3177" s="49"/>
      <c r="C3177" s="49"/>
      <c r="D3177" s="49"/>
      <c r="E3177" s="49"/>
      <c r="F3177" s="49"/>
      <c r="G3177" s="49"/>
    </row>
    <row r="3178" spans="2:7" s="63" customFormat="1">
      <c r="B3178" s="49"/>
      <c r="C3178" s="49"/>
      <c r="D3178" s="49"/>
      <c r="E3178" s="49"/>
      <c r="F3178" s="49"/>
      <c r="G3178" s="49"/>
    </row>
    <row r="3179" spans="2:7" s="63" customFormat="1">
      <c r="B3179" s="49"/>
      <c r="C3179" s="49"/>
      <c r="D3179" s="49"/>
      <c r="E3179" s="49"/>
      <c r="F3179" s="49"/>
      <c r="G3179" s="49"/>
    </row>
    <row r="3180" spans="2:7" s="63" customFormat="1">
      <c r="B3180" s="49"/>
      <c r="C3180" s="49"/>
      <c r="D3180" s="49"/>
      <c r="E3180" s="49"/>
      <c r="F3180" s="49"/>
      <c r="G3180" s="49"/>
    </row>
    <row r="3181" spans="2:7" s="63" customFormat="1">
      <c r="B3181" s="49"/>
      <c r="C3181" s="49"/>
      <c r="D3181" s="49"/>
      <c r="E3181" s="49"/>
      <c r="F3181" s="49"/>
      <c r="G3181" s="49"/>
    </row>
    <row r="3182" spans="2:7" s="63" customFormat="1">
      <c r="B3182" s="49"/>
      <c r="C3182" s="49"/>
      <c r="D3182" s="49"/>
      <c r="E3182" s="49"/>
      <c r="F3182" s="49"/>
      <c r="G3182" s="49"/>
    </row>
    <row r="3183" spans="2:7" s="63" customFormat="1">
      <c r="B3183" s="49"/>
      <c r="C3183" s="49"/>
      <c r="D3183" s="49"/>
      <c r="E3183" s="49"/>
      <c r="F3183" s="49"/>
      <c r="G3183" s="49"/>
    </row>
    <row r="3184" spans="2:7" s="63" customFormat="1">
      <c r="B3184" s="49"/>
      <c r="C3184" s="49"/>
      <c r="D3184" s="49"/>
      <c r="E3184" s="49"/>
      <c r="F3184" s="49"/>
      <c r="G3184" s="49"/>
    </row>
    <row r="3185" spans="2:7" s="63" customFormat="1">
      <c r="B3185" s="49"/>
      <c r="C3185" s="49"/>
      <c r="D3185" s="49"/>
      <c r="E3185" s="49"/>
      <c r="F3185" s="49"/>
      <c r="G3185" s="49"/>
    </row>
    <row r="3186" spans="2:7" s="63" customFormat="1">
      <c r="B3186" s="49"/>
      <c r="C3186" s="49"/>
      <c r="D3186" s="49"/>
      <c r="E3186" s="49"/>
      <c r="F3186" s="49"/>
      <c r="G3186" s="49"/>
    </row>
    <row r="3187" spans="2:7" s="63" customFormat="1">
      <c r="B3187" s="49"/>
      <c r="C3187" s="49"/>
      <c r="D3187" s="49"/>
      <c r="E3187" s="49"/>
      <c r="F3187" s="49"/>
      <c r="G3187" s="49"/>
    </row>
    <row r="3188" spans="2:7" s="63" customFormat="1">
      <c r="B3188" s="49"/>
      <c r="C3188" s="49"/>
      <c r="D3188" s="49"/>
      <c r="E3188" s="49"/>
      <c r="F3188" s="49"/>
      <c r="G3188" s="49"/>
    </row>
    <row r="3189" spans="2:7" s="63" customFormat="1">
      <c r="B3189" s="49"/>
      <c r="C3189" s="49"/>
      <c r="D3189" s="49"/>
      <c r="E3189" s="49"/>
      <c r="F3189" s="49"/>
      <c r="G3189" s="49"/>
    </row>
    <row r="3190" spans="2:7" s="63" customFormat="1">
      <c r="B3190" s="49"/>
      <c r="C3190" s="49"/>
      <c r="D3190" s="49"/>
      <c r="E3190" s="49"/>
      <c r="F3190" s="49"/>
      <c r="G3190" s="49"/>
    </row>
    <row r="3191" spans="2:7" s="63" customFormat="1">
      <c r="B3191" s="49"/>
      <c r="C3191" s="49"/>
      <c r="D3191" s="49"/>
      <c r="E3191" s="49"/>
      <c r="F3191" s="49"/>
      <c r="G3191" s="49"/>
    </row>
    <row r="3192" spans="2:7" s="63" customFormat="1">
      <c r="B3192" s="49"/>
      <c r="C3192" s="49"/>
      <c r="D3192" s="49"/>
      <c r="E3192" s="49"/>
      <c r="F3192" s="49"/>
      <c r="G3192" s="49"/>
    </row>
    <row r="3193" spans="2:7" s="63" customFormat="1">
      <c r="B3193" s="49"/>
      <c r="C3193" s="49"/>
      <c r="D3193" s="49"/>
      <c r="E3193" s="49"/>
      <c r="F3193" s="49"/>
      <c r="G3193" s="49"/>
    </row>
    <row r="3194" spans="2:7" s="63" customFormat="1">
      <c r="B3194" s="49"/>
      <c r="C3194" s="49"/>
      <c r="D3194" s="49"/>
      <c r="E3194" s="49"/>
      <c r="F3194" s="49"/>
      <c r="G3194" s="49"/>
    </row>
    <row r="3195" spans="2:7" s="63" customFormat="1">
      <c r="B3195" s="49"/>
      <c r="C3195" s="49"/>
      <c r="D3195" s="49"/>
      <c r="E3195" s="49"/>
      <c r="F3195" s="49"/>
      <c r="G3195" s="49"/>
    </row>
    <row r="3196" spans="2:7" s="63" customFormat="1">
      <c r="B3196" s="49"/>
      <c r="C3196" s="49"/>
      <c r="D3196" s="49"/>
      <c r="E3196" s="49"/>
      <c r="F3196" s="49"/>
      <c r="G3196" s="49"/>
    </row>
    <row r="3197" spans="2:7" s="63" customFormat="1">
      <c r="B3197" s="49"/>
      <c r="C3197" s="49"/>
      <c r="D3197" s="49"/>
      <c r="E3197" s="49"/>
      <c r="F3197" s="49"/>
      <c r="G3197" s="49"/>
    </row>
    <row r="3198" spans="2:7" s="63" customFormat="1">
      <c r="B3198" s="49"/>
      <c r="C3198" s="49"/>
      <c r="D3198" s="49"/>
      <c r="E3198" s="49"/>
      <c r="F3198" s="49"/>
      <c r="G3198" s="49"/>
    </row>
    <row r="3199" spans="2:7" s="63" customFormat="1">
      <c r="B3199" s="49"/>
      <c r="C3199" s="49"/>
      <c r="D3199" s="49"/>
      <c r="E3199" s="49"/>
      <c r="F3199" s="49"/>
      <c r="G3199" s="49"/>
    </row>
    <row r="3200" spans="2:7" s="63" customFormat="1">
      <c r="B3200" s="49"/>
      <c r="C3200" s="49"/>
      <c r="D3200" s="49"/>
      <c r="E3200" s="49"/>
      <c r="F3200" s="49"/>
      <c r="G3200" s="49"/>
    </row>
    <row r="3201" spans="2:7" s="63" customFormat="1">
      <c r="B3201" s="49"/>
      <c r="C3201" s="49"/>
      <c r="D3201" s="49"/>
      <c r="E3201" s="49"/>
      <c r="F3201" s="49"/>
      <c r="G3201" s="49"/>
    </row>
    <row r="3202" spans="2:7" s="63" customFormat="1">
      <c r="B3202" s="49"/>
      <c r="C3202" s="49"/>
      <c r="D3202" s="49"/>
      <c r="E3202" s="49"/>
      <c r="F3202" s="49"/>
      <c r="G3202" s="49"/>
    </row>
    <row r="3203" spans="2:7" s="63" customFormat="1">
      <c r="B3203" s="49"/>
      <c r="C3203" s="49"/>
      <c r="D3203" s="49"/>
      <c r="E3203" s="49"/>
      <c r="F3203" s="49"/>
      <c r="G3203" s="49"/>
    </row>
    <row r="3204" spans="2:7" s="63" customFormat="1">
      <c r="B3204" s="49"/>
      <c r="C3204" s="49"/>
      <c r="D3204" s="49"/>
      <c r="E3204" s="49"/>
      <c r="F3204" s="49"/>
      <c r="G3204" s="49"/>
    </row>
    <row r="3205" spans="2:7" s="63" customFormat="1">
      <c r="B3205" s="49"/>
      <c r="C3205" s="49"/>
      <c r="D3205" s="49"/>
      <c r="E3205" s="49"/>
      <c r="F3205" s="49"/>
      <c r="G3205" s="49"/>
    </row>
    <row r="3206" spans="2:7" s="63" customFormat="1">
      <c r="B3206" s="49"/>
      <c r="C3206" s="49"/>
      <c r="D3206" s="49"/>
      <c r="E3206" s="49"/>
      <c r="F3206" s="49"/>
      <c r="G3206" s="49"/>
    </row>
    <row r="3207" spans="2:7" s="63" customFormat="1">
      <c r="B3207" s="49"/>
      <c r="C3207" s="49"/>
      <c r="D3207" s="49"/>
      <c r="E3207" s="49"/>
      <c r="F3207" s="49"/>
      <c r="G3207" s="49"/>
    </row>
    <row r="3208" spans="2:7" s="63" customFormat="1">
      <c r="B3208" s="49"/>
      <c r="C3208" s="49"/>
      <c r="D3208" s="49"/>
      <c r="E3208" s="49"/>
      <c r="F3208" s="49"/>
      <c r="G3208" s="49"/>
    </row>
    <row r="3209" spans="2:7" s="63" customFormat="1">
      <c r="B3209" s="49"/>
      <c r="C3209" s="49"/>
      <c r="D3209" s="49"/>
      <c r="E3209" s="49"/>
      <c r="F3209" s="49"/>
      <c r="G3209" s="49"/>
    </row>
    <row r="3210" spans="2:7" s="63" customFormat="1">
      <c r="B3210" s="49"/>
      <c r="C3210" s="49"/>
      <c r="D3210" s="49"/>
      <c r="E3210" s="49"/>
      <c r="F3210" s="49"/>
      <c r="G3210" s="49"/>
    </row>
    <row r="3211" spans="2:7" s="63" customFormat="1">
      <c r="B3211" s="49"/>
      <c r="C3211" s="49"/>
      <c r="D3211" s="49"/>
      <c r="E3211" s="49"/>
      <c r="F3211" s="49"/>
      <c r="G3211" s="49"/>
    </row>
    <row r="3212" spans="2:7" s="63" customFormat="1">
      <c r="B3212" s="49"/>
      <c r="C3212" s="49"/>
      <c r="D3212" s="49"/>
      <c r="E3212" s="49"/>
      <c r="F3212" s="49"/>
      <c r="G3212" s="49"/>
    </row>
    <row r="3213" spans="2:7" s="63" customFormat="1">
      <c r="B3213" s="49"/>
      <c r="C3213" s="49"/>
      <c r="D3213" s="49"/>
      <c r="E3213" s="49"/>
      <c r="F3213" s="49"/>
      <c r="G3213" s="49"/>
    </row>
    <row r="3214" spans="2:7" s="63" customFormat="1">
      <c r="B3214" s="49"/>
      <c r="C3214" s="49"/>
      <c r="D3214" s="49"/>
      <c r="E3214" s="49"/>
      <c r="F3214" s="49"/>
      <c r="G3214" s="49"/>
    </row>
    <row r="3215" spans="2:7" s="63" customFormat="1">
      <c r="B3215" s="49"/>
      <c r="C3215" s="49"/>
      <c r="D3215" s="49"/>
      <c r="E3215" s="49"/>
      <c r="F3215" s="49"/>
      <c r="G3215" s="49"/>
    </row>
    <row r="3216" spans="2:7" s="63" customFormat="1">
      <c r="B3216" s="49"/>
      <c r="C3216" s="49"/>
      <c r="D3216" s="49"/>
      <c r="E3216" s="49"/>
      <c r="F3216" s="49"/>
      <c r="G3216" s="49"/>
    </row>
    <row r="3217" spans="2:7" s="63" customFormat="1">
      <c r="B3217" s="49"/>
      <c r="C3217" s="49"/>
      <c r="D3217" s="49"/>
      <c r="E3217" s="49"/>
      <c r="F3217" s="49"/>
      <c r="G3217" s="49"/>
    </row>
    <row r="3218" spans="2:7" s="63" customFormat="1">
      <c r="B3218" s="49"/>
      <c r="C3218" s="49"/>
      <c r="D3218" s="49"/>
      <c r="E3218" s="49"/>
      <c r="F3218" s="49"/>
      <c r="G3218" s="49"/>
    </row>
    <row r="3219" spans="2:7" s="63" customFormat="1">
      <c r="B3219" s="49"/>
      <c r="C3219" s="49"/>
      <c r="D3219" s="49"/>
      <c r="E3219" s="49"/>
      <c r="F3219" s="49"/>
      <c r="G3219" s="49"/>
    </row>
    <row r="3220" spans="2:7" s="63" customFormat="1">
      <c r="B3220" s="49"/>
      <c r="C3220" s="49"/>
      <c r="D3220" s="49"/>
      <c r="E3220" s="49"/>
      <c r="F3220" s="49"/>
      <c r="G3220" s="49"/>
    </row>
    <row r="3221" spans="2:7" s="63" customFormat="1">
      <c r="B3221" s="49"/>
      <c r="C3221" s="49"/>
      <c r="D3221" s="49"/>
      <c r="E3221" s="49"/>
      <c r="F3221" s="49"/>
      <c r="G3221" s="49"/>
    </row>
    <row r="3222" spans="2:7" s="63" customFormat="1">
      <c r="B3222" s="49"/>
      <c r="C3222" s="49"/>
      <c r="D3222" s="49"/>
      <c r="E3222" s="49"/>
      <c r="F3222" s="49"/>
      <c r="G3222" s="49"/>
    </row>
    <row r="3223" spans="2:7" s="63" customFormat="1">
      <c r="B3223" s="49"/>
      <c r="C3223" s="49"/>
      <c r="D3223" s="49"/>
      <c r="E3223" s="49"/>
      <c r="F3223" s="49"/>
      <c r="G3223" s="49"/>
    </row>
    <row r="3224" spans="2:7" s="63" customFormat="1">
      <c r="B3224" s="49"/>
      <c r="C3224" s="49"/>
      <c r="D3224" s="49"/>
      <c r="E3224" s="49"/>
      <c r="F3224" s="49"/>
      <c r="G3224" s="49"/>
    </row>
    <row r="3225" spans="2:7" s="63" customFormat="1">
      <c r="B3225" s="49"/>
      <c r="C3225" s="49"/>
      <c r="D3225" s="49"/>
      <c r="E3225" s="49"/>
      <c r="F3225" s="49"/>
      <c r="G3225" s="49"/>
    </row>
    <row r="3226" spans="2:7" s="63" customFormat="1">
      <c r="B3226" s="49"/>
      <c r="C3226" s="49"/>
      <c r="D3226" s="49"/>
      <c r="E3226" s="49"/>
      <c r="F3226" s="49"/>
      <c r="G3226" s="49"/>
    </row>
    <row r="3227" spans="2:7" s="63" customFormat="1">
      <c r="B3227" s="49"/>
      <c r="C3227" s="49"/>
      <c r="D3227" s="49"/>
      <c r="E3227" s="49"/>
      <c r="F3227" s="49"/>
      <c r="G3227" s="49"/>
    </row>
    <row r="3228" spans="2:7" s="63" customFormat="1">
      <c r="B3228" s="49"/>
      <c r="C3228" s="49"/>
      <c r="D3228" s="49"/>
      <c r="E3228" s="49"/>
      <c r="F3228" s="49"/>
      <c r="G3228" s="49"/>
    </row>
    <row r="3229" spans="2:7" s="63" customFormat="1">
      <c r="B3229" s="49"/>
      <c r="C3229" s="49"/>
      <c r="D3229" s="49"/>
      <c r="E3229" s="49"/>
      <c r="F3229" s="49"/>
      <c r="G3229" s="49"/>
    </row>
    <row r="3230" spans="2:7" s="63" customFormat="1">
      <c r="B3230" s="49"/>
      <c r="C3230" s="49"/>
      <c r="D3230" s="49"/>
      <c r="E3230" s="49"/>
      <c r="F3230" s="49"/>
      <c r="G3230" s="49"/>
    </row>
    <row r="3231" spans="2:7" s="63" customFormat="1">
      <c r="B3231" s="49"/>
      <c r="C3231" s="49"/>
      <c r="D3231" s="49"/>
      <c r="E3231" s="49"/>
      <c r="F3231" s="49"/>
      <c r="G3231" s="49"/>
    </row>
    <row r="3232" spans="2:7" s="63" customFormat="1">
      <c r="B3232" s="49"/>
      <c r="C3232" s="49"/>
      <c r="D3232" s="49"/>
      <c r="E3232" s="49"/>
      <c r="F3232" s="49"/>
      <c r="G3232" s="49"/>
    </row>
    <row r="3233" spans="2:7" s="63" customFormat="1">
      <c r="B3233" s="49"/>
      <c r="C3233" s="49"/>
      <c r="D3233" s="49"/>
      <c r="E3233" s="49"/>
      <c r="F3233" s="49"/>
      <c r="G3233" s="49"/>
    </row>
    <row r="3234" spans="2:7" s="63" customFormat="1">
      <c r="B3234" s="49"/>
      <c r="C3234" s="49"/>
      <c r="D3234" s="49"/>
      <c r="E3234" s="49"/>
      <c r="F3234" s="49"/>
      <c r="G3234" s="49"/>
    </row>
    <row r="3235" spans="2:7" s="63" customFormat="1">
      <c r="B3235" s="49"/>
      <c r="C3235" s="49"/>
      <c r="D3235" s="49"/>
      <c r="E3235" s="49"/>
      <c r="F3235" s="49"/>
      <c r="G3235" s="49"/>
    </row>
    <row r="3236" spans="2:7" s="63" customFormat="1">
      <c r="B3236" s="49"/>
      <c r="C3236" s="49"/>
      <c r="D3236" s="49"/>
      <c r="E3236" s="49"/>
      <c r="F3236" s="49"/>
      <c r="G3236" s="49"/>
    </row>
    <row r="3237" spans="2:7" s="63" customFormat="1">
      <c r="B3237" s="49"/>
      <c r="C3237" s="49"/>
      <c r="D3237" s="49"/>
      <c r="E3237" s="49"/>
      <c r="F3237" s="49"/>
      <c r="G3237" s="49"/>
    </row>
    <row r="3238" spans="2:7" s="63" customFormat="1">
      <c r="B3238" s="49"/>
      <c r="C3238" s="49"/>
      <c r="D3238" s="49"/>
      <c r="E3238" s="49"/>
      <c r="F3238" s="49"/>
      <c r="G3238" s="49"/>
    </row>
    <row r="3239" spans="2:7" s="63" customFormat="1">
      <c r="B3239" s="49"/>
      <c r="C3239" s="49"/>
      <c r="D3239" s="49"/>
      <c r="E3239" s="49"/>
      <c r="F3239" s="49"/>
      <c r="G3239" s="49"/>
    </row>
    <row r="3240" spans="2:7" s="63" customFormat="1">
      <c r="B3240" s="49"/>
      <c r="C3240" s="49"/>
      <c r="D3240" s="49"/>
      <c r="E3240" s="49"/>
      <c r="F3240" s="49"/>
      <c r="G3240" s="49"/>
    </row>
    <row r="3241" spans="2:7" s="63" customFormat="1">
      <c r="B3241" s="49"/>
      <c r="C3241" s="49"/>
      <c r="D3241" s="49"/>
      <c r="E3241" s="49"/>
      <c r="F3241" s="49"/>
      <c r="G3241" s="49"/>
    </row>
    <row r="3242" spans="2:7" s="63" customFormat="1">
      <c r="B3242" s="49"/>
      <c r="C3242" s="49"/>
      <c r="D3242" s="49"/>
      <c r="E3242" s="49"/>
      <c r="F3242" s="49"/>
      <c r="G3242" s="49"/>
    </row>
    <row r="3243" spans="2:7" s="63" customFormat="1">
      <c r="B3243" s="49"/>
      <c r="C3243" s="49"/>
      <c r="D3243" s="49"/>
      <c r="E3243" s="49"/>
      <c r="F3243" s="49"/>
      <c r="G3243" s="49"/>
    </row>
    <row r="3244" spans="2:7" s="63" customFormat="1">
      <c r="B3244" s="49"/>
      <c r="C3244" s="49"/>
      <c r="D3244" s="49"/>
      <c r="E3244" s="49"/>
      <c r="F3244" s="49"/>
      <c r="G3244" s="49"/>
    </row>
    <row r="3245" spans="2:7" s="63" customFormat="1">
      <c r="B3245" s="49"/>
      <c r="C3245" s="49"/>
      <c r="D3245" s="49"/>
      <c r="E3245" s="49"/>
      <c r="F3245" s="49"/>
      <c r="G3245" s="49"/>
    </row>
    <row r="3246" spans="2:7" s="63" customFormat="1">
      <c r="B3246" s="49"/>
      <c r="C3246" s="49"/>
      <c r="D3246" s="49"/>
      <c r="E3246" s="49"/>
      <c r="F3246" s="49"/>
      <c r="G3246" s="49"/>
    </row>
    <row r="3247" spans="2:7" s="63" customFormat="1">
      <c r="B3247" s="49"/>
      <c r="C3247" s="49"/>
      <c r="D3247" s="49"/>
      <c r="E3247" s="49"/>
      <c r="F3247" s="49"/>
      <c r="G3247" s="49"/>
    </row>
    <row r="3248" spans="2:7" s="63" customFormat="1">
      <c r="B3248" s="49"/>
      <c r="C3248" s="49"/>
      <c r="D3248" s="49"/>
      <c r="E3248" s="49"/>
      <c r="F3248" s="49"/>
      <c r="G3248" s="49"/>
    </row>
    <row r="3249" spans="2:7" s="63" customFormat="1">
      <c r="B3249" s="49"/>
      <c r="C3249" s="49"/>
      <c r="D3249" s="49"/>
      <c r="E3249" s="49"/>
      <c r="F3249" s="49"/>
      <c r="G3249" s="49"/>
    </row>
    <row r="3250" spans="2:7" s="63" customFormat="1">
      <c r="B3250" s="49"/>
      <c r="C3250" s="49"/>
      <c r="D3250" s="49"/>
      <c r="E3250" s="49"/>
      <c r="F3250" s="49"/>
      <c r="G3250" s="49"/>
    </row>
    <row r="3251" spans="2:7" s="63" customFormat="1">
      <c r="B3251" s="49"/>
      <c r="C3251" s="49"/>
      <c r="D3251" s="49"/>
      <c r="E3251" s="49"/>
      <c r="F3251" s="49"/>
      <c r="G3251" s="49"/>
    </row>
    <row r="3252" spans="2:7" s="63" customFormat="1">
      <c r="B3252" s="49"/>
      <c r="C3252" s="49"/>
      <c r="D3252" s="49"/>
      <c r="E3252" s="49"/>
      <c r="F3252" s="49"/>
      <c r="G3252" s="49"/>
    </row>
    <row r="3253" spans="2:7" s="63" customFormat="1">
      <c r="B3253" s="49"/>
      <c r="C3253" s="49"/>
      <c r="D3253" s="49"/>
      <c r="E3253" s="49"/>
      <c r="F3253" s="49"/>
      <c r="G3253" s="49"/>
    </row>
    <row r="3254" spans="2:7" s="63" customFormat="1">
      <c r="B3254" s="49"/>
      <c r="C3254" s="49"/>
      <c r="D3254" s="49"/>
      <c r="E3254" s="49"/>
      <c r="F3254" s="49"/>
      <c r="G3254" s="49"/>
    </row>
    <row r="3255" spans="2:7" s="63" customFormat="1">
      <c r="B3255" s="49"/>
      <c r="C3255" s="49"/>
      <c r="D3255" s="49"/>
      <c r="E3255" s="49"/>
      <c r="F3255" s="49"/>
      <c r="G3255" s="49"/>
    </row>
    <row r="3256" spans="2:7" s="63" customFormat="1">
      <c r="B3256" s="49"/>
      <c r="C3256" s="49"/>
      <c r="D3256" s="49"/>
      <c r="E3256" s="49"/>
      <c r="F3256" s="49"/>
      <c r="G3256" s="49"/>
    </row>
    <row r="3257" spans="2:7" s="63" customFormat="1">
      <c r="B3257" s="49"/>
      <c r="C3257" s="49"/>
      <c r="D3257" s="49"/>
      <c r="E3257" s="49"/>
      <c r="F3257" s="49"/>
      <c r="G3257" s="49"/>
    </row>
    <row r="3258" spans="2:7" s="63" customFormat="1">
      <c r="B3258" s="49"/>
      <c r="C3258" s="49"/>
      <c r="D3258" s="49"/>
      <c r="E3258" s="49"/>
      <c r="F3258" s="49"/>
      <c r="G3258" s="49"/>
    </row>
    <row r="3259" spans="2:7" s="63" customFormat="1">
      <c r="B3259" s="49"/>
      <c r="C3259" s="49"/>
      <c r="D3259" s="49"/>
      <c r="E3259" s="49"/>
      <c r="F3259" s="49"/>
      <c r="G3259" s="49"/>
    </row>
    <row r="3260" spans="2:7" s="63" customFormat="1">
      <c r="B3260" s="49"/>
      <c r="C3260" s="49"/>
      <c r="D3260" s="49"/>
      <c r="E3260" s="49"/>
      <c r="F3260" s="49"/>
      <c r="G3260" s="49"/>
    </row>
    <row r="3261" spans="2:7" s="63" customFormat="1">
      <c r="B3261" s="49"/>
      <c r="C3261" s="49"/>
      <c r="D3261" s="49"/>
      <c r="E3261" s="49"/>
      <c r="F3261" s="49"/>
      <c r="G3261" s="49"/>
    </row>
    <row r="3262" spans="2:7" s="63" customFormat="1">
      <c r="B3262" s="49"/>
      <c r="C3262" s="49"/>
      <c r="D3262" s="49"/>
      <c r="E3262" s="49"/>
      <c r="F3262" s="49"/>
      <c r="G3262" s="49"/>
    </row>
    <row r="3263" spans="2:7" s="63" customFormat="1">
      <c r="B3263" s="49"/>
      <c r="C3263" s="49"/>
      <c r="D3263" s="49"/>
      <c r="E3263" s="49"/>
      <c r="F3263" s="49"/>
      <c r="G3263" s="49"/>
    </row>
    <row r="3264" spans="2:7" s="63" customFormat="1">
      <c r="B3264" s="49"/>
      <c r="C3264" s="49"/>
      <c r="D3264" s="49"/>
      <c r="E3264" s="49"/>
      <c r="F3264" s="49"/>
      <c r="G3264" s="49"/>
    </row>
    <row r="3265" spans="2:7" s="63" customFormat="1">
      <c r="B3265" s="49"/>
      <c r="C3265" s="49"/>
      <c r="D3265" s="49"/>
      <c r="E3265" s="49"/>
      <c r="F3265" s="49"/>
      <c r="G3265" s="49"/>
    </row>
    <row r="3266" spans="2:7" s="63" customFormat="1">
      <c r="B3266" s="49"/>
      <c r="C3266" s="49"/>
      <c r="D3266" s="49"/>
      <c r="E3266" s="49"/>
      <c r="F3266" s="49"/>
      <c r="G3266" s="49"/>
    </row>
    <row r="3267" spans="2:7" s="63" customFormat="1">
      <c r="B3267" s="49"/>
      <c r="C3267" s="49"/>
      <c r="D3267" s="49"/>
      <c r="E3267" s="49"/>
      <c r="F3267" s="49"/>
      <c r="G3267" s="49"/>
    </row>
    <row r="3268" spans="2:7" s="63" customFormat="1">
      <c r="B3268" s="49"/>
      <c r="C3268" s="49"/>
      <c r="D3268" s="49"/>
      <c r="E3268" s="49"/>
      <c r="F3268" s="49"/>
      <c r="G3268" s="49"/>
    </row>
    <row r="3269" spans="2:7" s="63" customFormat="1">
      <c r="B3269" s="49"/>
      <c r="C3269" s="49"/>
      <c r="D3269" s="49"/>
      <c r="E3269" s="49"/>
      <c r="F3269" s="49"/>
      <c r="G3269" s="49"/>
    </row>
    <row r="3270" spans="2:7" s="63" customFormat="1">
      <c r="B3270" s="49"/>
      <c r="C3270" s="49"/>
      <c r="D3270" s="49"/>
      <c r="E3270" s="49"/>
      <c r="F3270" s="49"/>
      <c r="G3270" s="49"/>
    </row>
    <row r="3271" spans="2:7" s="63" customFormat="1">
      <c r="B3271" s="49"/>
      <c r="C3271" s="49"/>
      <c r="D3271" s="49"/>
      <c r="E3271" s="49"/>
      <c r="F3271" s="49"/>
      <c r="G3271" s="49"/>
    </row>
    <row r="3272" spans="2:7" s="63" customFormat="1">
      <c r="B3272" s="49"/>
      <c r="C3272" s="49"/>
      <c r="D3272" s="49"/>
      <c r="E3272" s="49"/>
      <c r="F3272" s="49"/>
      <c r="G3272" s="49"/>
    </row>
    <row r="3273" spans="2:7" s="63" customFormat="1">
      <c r="B3273" s="49"/>
      <c r="C3273" s="49"/>
      <c r="D3273" s="49"/>
      <c r="E3273" s="49"/>
      <c r="F3273" s="49"/>
      <c r="G3273" s="49"/>
    </row>
    <row r="3274" spans="2:7" s="63" customFormat="1">
      <c r="B3274" s="49"/>
      <c r="C3274" s="49"/>
      <c r="D3274" s="49"/>
      <c r="E3274" s="49"/>
      <c r="F3274" s="49"/>
      <c r="G3274" s="49"/>
    </row>
    <row r="3275" spans="2:7" s="63" customFormat="1">
      <c r="B3275" s="49"/>
      <c r="C3275" s="49"/>
      <c r="D3275" s="49"/>
      <c r="E3275" s="49"/>
      <c r="F3275" s="49"/>
      <c r="G3275" s="49"/>
    </row>
    <row r="3276" spans="2:7" s="63" customFormat="1">
      <c r="B3276" s="49"/>
      <c r="C3276" s="49"/>
      <c r="D3276" s="49"/>
      <c r="E3276" s="49"/>
      <c r="F3276" s="49"/>
      <c r="G3276" s="49"/>
    </row>
    <row r="3277" spans="2:7" s="63" customFormat="1">
      <c r="B3277" s="49"/>
      <c r="C3277" s="49"/>
      <c r="D3277" s="49"/>
      <c r="E3277" s="49"/>
      <c r="F3277" s="49"/>
      <c r="G3277" s="49"/>
    </row>
    <row r="3278" spans="2:7" s="63" customFormat="1">
      <c r="B3278" s="49"/>
      <c r="C3278" s="49"/>
      <c r="D3278" s="49"/>
      <c r="E3278" s="49"/>
      <c r="F3278" s="49"/>
      <c r="G3278" s="49"/>
    </row>
    <row r="3279" spans="2:7" s="63" customFormat="1">
      <c r="B3279" s="49"/>
      <c r="C3279" s="49"/>
      <c r="D3279" s="49"/>
      <c r="E3279" s="49"/>
      <c r="F3279" s="49"/>
      <c r="G3279" s="49"/>
    </row>
    <row r="3280" spans="2:7" s="63" customFormat="1">
      <c r="B3280" s="49"/>
      <c r="C3280" s="49"/>
      <c r="D3280" s="49"/>
      <c r="E3280" s="49"/>
      <c r="F3280" s="49"/>
      <c r="G3280" s="49"/>
    </row>
    <row r="3281" spans="2:7" s="63" customFormat="1">
      <c r="B3281" s="49"/>
      <c r="C3281" s="49"/>
      <c r="D3281" s="49"/>
      <c r="E3281" s="49"/>
      <c r="F3281" s="49"/>
      <c r="G3281" s="49"/>
    </row>
    <row r="3282" spans="2:7" s="63" customFormat="1">
      <c r="B3282" s="49"/>
      <c r="C3282" s="49"/>
      <c r="D3282" s="49"/>
      <c r="E3282" s="49"/>
      <c r="F3282" s="49"/>
      <c r="G3282" s="49"/>
    </row>
    <row r="3283" spans="2:7" s="63" customFormat="1">
      <c r="B3283" s="49"/>
      <c r="C3283" s="49"/>
      <c r="D3283" s="49"/>
      <c r="E3283" s="49"/>
      <c r="F3283" s="49"/>
      <c r="G3283" s="49"/>
    </row>
    <row r="3284" spans="2:7" s="63" customFormat="1">
      <c r="B3284" s="49"/>
      <c r="C3284" s="49"/>
      <c r="D3284" s="49"/>
      <c r="E3284" s="49"/>
      <c r="F3284" s="49"/>
      <c r="G3284" s="49"/>
    </row>
    <row r="3285" spans="2:7" s="63" customFormat="1">
      <c r="B3285" s="49"/>
      <c r="C3285" s="49"/>
      <c r="D3285" s="49"/>
      <c r="E3285" s="49"/>
      <c r="F3285" s="49"/>
      <c r="G3285" s="49"/>
    </row>
    <row r="3286" spans="2:7" s="63" customFormat="1">
      <c r="B3286" s="49"/>
      <c r="C3286" s="49"/>
      <c r="D3286" s="49"/>
      <c r="E3286" s="49"/>
      <c r="F3286" s="49"/>
      <c r="G3286" s="49"/>
    </row>
    <row r="3287" spans="2:7" s="63" customFormat="1">
      <c r="B3287" s="49"/>
      <c r="C3287" s="49"/>
      <c r="D3287" s="49"/>
      <c r="E3287" s="49"/>
      <c r="F3287" s="49"/>
      <c r="G3287" s="49"/>
    </row>
    <row r="3288" spans="2:7" s="63" customFormat="1">
      <c r="B3288" s="49"/>
      <c r="C3288" s="49"/>
      <c r="D3288" s="49"/>
      <c r="E3288" s="49"/>
      <c r="F3288" s="49"/>
      <c r="G3288" s="49"/>
    </row>
    <row r="3289" spans="2:7" s="63" customFormat="1">
      <c r="B3289" s="49"/>
      <c r="C3289" s="49"/>
      <c r="D3289" s="49"/>
      <c r="E3289" s="49"/>
      <c r="F3289" s="49"/>
      <c r="G3289" s="49"/>
    </row>
    <row r="3290" spans="2:7" s="63" customFormat="1">
      <c r="B3290" s="49"/>
      <c r="C3290" s="49"/>
      <c r="D3290" s="49"/>
      <c r="E3290" s="49"/>
      <c r="F3290" s="49"/>
      <c r="G3290" s="49"/>
    </row>
    <row r="3291" spans="2:7" s="63" customFormat="1">
      <c r="B3291" s="49"/>
      <c r="C3291" s="49"/>
      <c r="D3291" s="49"/>
      <c r="E3291" s="49"/>
      <c r="F3291" s="49"/>
      <c r="G3291" s="49"/>
    </row>
    <row r="3292" spans="2:7" s="63" customFormat="1">
      <c r="B3292" s="49"/>
      <c r="C3292" s="49"/>
      <c r="D3292" s="49"/>
      <c r="E3292" s="49"/>
      <c r="F3292" s="49"/>
      <c r="G3292" s="49"/>
    </row>
    <row r="3293" spans="2:7" s="63" customFormat="1">
      <c r="B3293" s="49"/>
      <c r="C3293" s="49"/>
      <c r="D3293" s="49"/>
      <c r="E3293" s="49"/>
      <c r="F3293" s="49"/>
      <c r="G3293" s="49"/>
    </row>
    <row r="3294" spans="2:7" s="63" customFormat="1">
      <c r="B3294" s="49"/>
      <c r="C3294" s="49"/>
      <c r="D3294" s="49"/>
      <c r="E3294" s="49"/>
      <c r="F3294" s="49"/>
      <c r="G3294" s="49"/>
    </row>
    <row r="3295" spans="2:7" s="63" customFormat="1">
      <c r="B3295" s="49"/>
      <c r="C3295" s="49"/>
      <c r="D3295" s="49"/>
      <c r="E3295" s="49"/>
      <c r="F3295" s="49"/>
      <c r="G3295" s="49"/>
    </row>
    <row r="3296" spans="2:7" s="63" customFormat="1">
      <c r="B3296" s="49"/>
      <c r="C3296" s="49"/>
      <c r="D3296" s="49"/>
      <c r="E3296" s="49"/>
      <c r="F3296" s="49"/>
      <c r="G3296" s="49"/>
    </row>
    <row r="3297" spans="2:7" s="63" customFormat="1">
      <c r="B3297" s="49"/>
      <c r="C3297" s="49"/>
      <c r="D3297" s="49"/>
      <c r="E3297" s="49"/>
      <c r="F3297" s="49"/>
      <c r="G3297" s="49"/>
    </row>
    <row r="3298" spans="2:7" s="63" customFormat="1">
      <c r="B3298" s="49"/>
      <c r="C3298" s="49"/>
      <c r="D3298" s="49"/>
      <c r="E3298" s="49"/>
      <c r="F3298" s="49"/>
      <c r="G3298" s="49"/>
    </row>
    <row r="3299" spans="2:7" s="63" customFormat="1">
      <c r="B3299" s="49"/>
      <c r="C3299" s="49"/>
      <c r="D3299" s="49"/>
      <c r="E3299" s="49"/>
      <c r="F3299" s="49"/>
      <c r="G3299" s="49"/>
    </row>
    <row r="3300" spans="2:7" s="63" customFormat="1">
      <c r="B3300" s="49"/>
      <c r="C3300" s="49"/>
      <c r="D3300" s="49"/>
      <c r="E3300" s="49"/>
      <c r="F3300" s="49"/>
      <c r="G3300" s="49"/>
    </row>
    <row r="3301" spans="2:7" s="63" customFormat="1">
      <c r="B3301" s="49"/>
      <c r="C3301" s="49"/>
      <c r="D3301" s="49"/>
      <c r="E3301" s="49"/>
      <c r="F3301" s="49"/>
      <c r="G3301" s="49"/>
    </row>
    <row r="3302" spans="2:7" s="63" customFormat="1">
      <c r="B3302" s="49"/>
      <c r="C3302" s="49"/>
      <c r="D3302" s="49"/>
      <c r="E3302" s="49"/>
      <c r="F3302" s="49"/>
      <c r="G3302" s="49"/>
    </row>
    <row r="3303" spans="2:7" s="63" customFormat="1">
      <c r="B3303" s="49"/>
      <c r="C3303" s="49"/>
      <c r="D3303" s="49"/>
      <c r="E3303" s="49"/>
      <c r="F3303" s="49"/>
      <c r="G3303" s="49"/>
    </row>
    <row r="3304" spans="2:7" s="63" customFormat="1">
      <c r="B3304" s="49"/>
      <c r="C3304" s="49"/>
      <c r="D3304" s="49"/>
      <c r="E3304" s="49"/>
      <c r="F3304" s="49"/>
      <c r="G3304" s="49"/>
    </row>
    <row r="3305" spans="2:7" s="63" customFormat="1">
      <c r="B3305" s="49"/>
      <c r="C3305" s="49"/>
      <c r="D3305" s="49"/>
      <c r="E3305" s="49"/>
      <c r="F3305" s="49"/>
      <c r="G3305" s="49"/>
    </row>
    <row r="3306" spans="2:7" s="63" customFormat="1">
      <c r="B3306" s="49"/>
      <c r="C3306" s="49"/>
      <c r="D3306" s="49"/>
      <c r="E3306" s="49"/>
      <c r="F3306" s="49"/>
      <c r="G3306" s="49"/>
    </row>
    <row r="3307" spans="2:7" s="63" customFormat="1">
      <c r="B3307" s="49"/>
      <c r="C3307" s="49"/>
      <c r="D3307" s="49"/>
      <c r="E3307" s="49"/>
      <c r="F3307" s="49"/>
      <c r="G3307" s="49"/>
    </row>
    <row r="3308" spans="2:7" s="63" customFormat="1">
      <c r="B3308" s="49"/>
      <c r="C3308" s="49"/>
      <c r="D3308" s="49"/>
      <c r="E3308" s="49"/>
      <c r="F3308" s="49"/>
      <c r="G3308" s="49"/>
    </row>
    <row r="3309" spans="2:7" s="63" customFormat="1">
      <c r="B3309" s="49"/>
      <c r="C3309" s="49"/>
      <c r="D3309" s="49"/>
      <c r="E3309" s="49"/>
      <c r="F3309" s="49"/>
      <c r="G3309" s="49"/>
    </row>
    <row r="3310" spans="2:7" s="63" customFormat="1">
      <c r="B3310" s="49"/>
      <c r="C3310" s="49"/>
      <c r="D3310" s="49"/>
      <c r="E3310" s="49"/>
      <c r="F3310" s="49"/>
      <c r="G3310" s="49"/>
    </row>
    <row r="3311" spans="2:7" s="63" customFormat="1">
      <c r="B3311" s="49"/>
      <c r="C3311" s="49"/>
      <c r="D3311" s="49"/>
      <c r="E3311" s="49"/>
      <c r="F3311" s="49"/>
      <c r="G3311" s="49"/>
    </row>
    <row r="3312" spans="2:7" s="63" customFormat="1">
      <c r="B3312" s="49"/>
      <c r="C3312" s="49"/>
      <c r="D3312" s="49"/>
      <c r="E3312" s="49"/>
      <c r="F3312" s="49"/>
      <c r="G3312" s="49"/>
    </row>
    <row r="3313" spans="2:7" s="63" customFormat="1">
      <c r="B3313" s="49"/>
      <c r="C3313" s="49"/>
      <c r="D3313" s="49"/>
      <c r="E3313" s="49"/>
      <c r="F3313" s="49"/>
      <c r="G3313" s="49"/>
    </row>
    <row r="3314" spans="2:7" s="63" customFormat="1">
      <c r="B3314" s="49"/>
      <c r="C3314" s="49"/>
      <c r="D3314" s="49"/>
      <c r="E3314" s="49"/>
      <c r="F3314" s="49"/>
      <c r="G3314" s="49"/>
    </row>
    <row r="3315" spans="2:7" s="63" customFormat="1">
      <c r="B3315" s="49"/>
      <c r="C3315" s="49"/>
      <c r="D3315" s="49"/>
      <c r="E3315" s="49"/>
      <c r="F3315" s="49"/>
      <c r="G3315" s="49"/>
    </row>
    <row r="3316" spans="2:7" s="63" customFormat="1">
      <c r="B3316" s="49"/>
      <c r="C3316" s="49"/>
      <c r="D3316" s="49"/>
      <c r="E3316" s="49"/>
      <c r="F3316" s="49"/>
      <c r="G3316" s="49"/>
    </row>
    <row r="3317" spans="2:7" s="63" customFormat="1">
      <c r="B3317" s="49"/>
      <c r="C3317" s="49"/>
      <c r="D3317" s="49"/>
      <c r="E3317" s="49"/>
      <c r="F3317" s="49"/>
      <c r="G3317" s="49"/>
    </row>
    <row r="3318" spans="2:7" s="63" customFormat="1">
      <c r="B3318" s="49"/>
      <c r="C3318" s="49"/>
      <c r="D3318" s="49"/>
      <c r="E3318" s="49"/>
      <c r="F3318" s="49"/>
      <c r="G3318" s="49"/>
    </row>
    <row r="3319" spans="2:7" s="63" customFormat="1">
      <c r="B3319" s="49"/>
      <c r="C3319" s="49"/>
      <c r="D3319" s="49"/>
      <c r="E3319" s="49"/>
      <c r="F3319" s="49"/>
      <c r="G3319" s="49"/>
    </row>
    <row r="3320" spans="2:7" s="63" customFormat="1">
      <c r="B3320" s="49"/>
      <c r="C3320" s="49"/>
      <c r="D3320" s="49"/>
      <c r="E3320" s="49"/>
      <c r="F3320" s="49"/>
      <c r="G3320" s="49"/>
    </row>
    <row r="3321" spans="2:7" s="63" customFormat="1">
      <c r="B3321" s="49"/>
      <c r="C3321" s="49"/>
      <c r="D3321" s="49"/>
      <c r="E3321" s="49"/>
      <c r="F3321" s="49"/>
      <c r="G3321" s="49"/>
    </row>
    <row r="3322" spans="2:7" s="63" customFormat="1">
      <c r="B3322" s="49"/>
      <c r="C3322" s="49"/>
      <c r="D3322" s="49"/>
      <c r="E3322" s="49"/>
      <c r="F3322" s="49"/>
      <c r="G3322" s="49"/>
    </row>
    <row r="3323" spans="2:7" s="63" customFormat="1">
      <c r="B3323" s="49"/>
      <c r="C3323" s="49"/>
      <c r="D3323" s="49"/>
      <c r="E3323" s="49"/>
      <c r="F3323" s="49"/>
      <c r="G3323" s="49"/>
    </row>
    <row r="3324" spans="2:7" s="63" customFormat="1">
      <c r="B3324" s="49"/>
      <c r="C3324" s="49"/>
      <c r="D3324" s="49"/>
      <c r="E3324" s="49"/>
      <c r="F3324" s="49"/>
      <c r="G3324" s="49"/>
    </row>
    <row r="3325" spans="2:7" s="63" customFormat="1">
      <c r="B3325" s="49"/>
      <c r="C3325" s="49"/>
      <c r="D3325" s="49"/>
      <c r="E3325" s="49"/>
      <c r="F3325" s="49"/>
      <c r="G3325" s="49"/>
    </row>
    <row r="3326" spans="2:7" s="63" customFormat="1">
      <c r="B3326" s="49"/>
      <c r="C3326" s="49"/>
      <c r="D3326" s="49"/>
      <c r="E3326" s="49"/>
      <c r="F3326" s="49"/>
      <c r="G3326" s="49"/>
    </row>
    <row r="3327" spans="2:7" s="63" customFormat="1">
      <c r="B3327" s="49"/>
      <c r="C3327" s="49"/>
      <c r="D3327" s="49"/>
      <c r="E3327" s="49"/>
      <c r="F3327" s="49"/>
      <c r="G3327" s="49"/>
    </row>
    <row r="3328" spans="2:7" s="63" customFormat="1">
      <c r="B3328" s="49"/>
      <c r="C3328" s="49"/>
      <c r="D3328" s="49"/>
      <c r="E3328" s="49"/>
      <c r="F3328" s="49"/>
      <c r="G3328" s="49"/>
    </row>
    <row r="3329" spans="2:7" s="63" customFormat="1">
      <c r="B3329" s="49"/>
      <c r="C3329" s="49"/>
      <c r="D3329" s="49"/>
      <c r="E3329" s="49"/>
      <c r="F3329" s="49"/>
      <c r="G3329" s="49"/>
    </row>
    <row r="3330" spans="2:7" s="63" customFormat="1">
      <c r="B3330" s="49"/>
      <c r="C3330" s="49"/>
      <c r="D3330" s="49"/>
      <c r="E3330" s="49"/>
      <c r="F3330" s="49"/>
      <c r="G3330" s="49"/>
    </row>
    <row r="3331" spans="2:7" s="63" customFormat="1">
      <c r="B3331" s="49"/>
      <c r="C3331" s="49"/>
      <c r="D3331" s="49"/>
      <c r="E3331" s="49"/>
      <c r="F3331" s="49"/>
      <c r="G3331" s="49"/>
    </row>
    <row r="3332" spans="2:7" s="63" customFormat="1">
      <c r="B3332" s="49"/>
      <c r="C3332" s="49"/>
      <c r="D3332" s="49"/>
      <c r="E3332" s="49"/>
      <c r="F3332" s="49"/>
      <c r="G3332" s="49"/>
    </row>
    <row r="3333" spans="2:7" s="63" customFormat="1">
      <c r="B3333" s="49"/>
      <c r="C3333" s="49"/>
      <c r="D3333" s="49"/>
      <c r="E3333" s="49"/>
      <c r="F3333" s="49"/>
      <c r="G3333" s="49"/>
    </row>
    <row r="3334" spans="2:7" s="63" customFormat="1">
      <c r="B3334" s="49"/>
      <c r="C3334" s="49"/>
      <c r="D3334" s="49"/>
      <c r="E3334" s="49"/>
      <c r="F3334" s="49"/>
      <c r="G3334" s="49"/>
    </row>
    <row r="3335" spans="2:7" s="63" customFormat="1">
      <c r="B3335" s="49"/>
      <c r="C3335" s="49"/>
      <c r="D3335" s="49"/>
      <c r="E3335" s="49"/>
      <c r="F3335" s="49"/>
      <c r="G3335" s="49"/>
    </row>
    <row r="3336" spans="2:7" s="63" customFormat="1">
      <c r="B3336" s="49"/>
      <c r="C3336" s="49"/>
      <c r="D3336" s="49"/>
      <c r="E3336" s="49"/>
      <c r="F3336" s="49"/>
      <c r="G3336" s="49"/>
    </row>
    <row r="3337" spans="2:7" s="63" customFormat="1">
      <c r="B3337" s="49"/>
      <c r="C3337" s="49"/>
      <c r="D3337" s="49"/>
      <c r="E3337" s="49"/>
      <c r="F3337" s="49"/>
      <c r="G3337" s="49"/>
    </row>
    <row r="3338" spans="2:7" s="63" customFormat="1">
      <c r="B3338" s="49"/>
      <c r="C3338" s="49"/>
      <c r="D3338" s="49"/>
      <c r="E3338" s="49"/>
      <c r="F3338" s="49"/>
      <c r="G3338" s="49"/>
    </row>
    <row r="3339" spans="2:7" s="63" customFormat="1">
      <c r="B3339" s="49"/>
      <c r="C3339" s="49"/>
      <c r="D3339" s="49"/>
      <c r="E3339" s="49"/>
      <c r="F3339" s="49"/>
      <c r="G3339" s="49"/>
    </row>
    <row r="3340" spans="2:7" s="63" customFormat="1">
      <c r="B3340" s="49"/>
      <c r="C3340" s="49"/>
      <c r="D3340" s="49"/>
      <c r="E3340" s="49"/>
      <c r="F3340" s="49"/>
      <c r="G3340" s="49"/>
    </row>
    <row r="3341" spans="2:7" s="63" customFormat="1">
      <c r="B3341" s="49"/>
      <c r="C3341" s="49"/>
      <c r="D3341" s="49"/>
      <c r="E3341" s="49"/>
      <c r="F3341" s="49"/>
      <c r="G3341" s="49"/>
    </row>
    <row r="3342" spans="2:7" s="63" customFormat="1">
      <c r="B3342" s="49"/>
      <c r="C3342" s="49"/>
      <c r="D3342" s="49"/>
      <c r="E3342" s="49"/>
      <c r="F3342" s="49"/>
      <c r="G3342" s="49"/>
    </row>
    <row r="3343" spans="2:7" s="63" customFormat="1">
      <c r="B3343" s="49"/>
      <c r="C3343" s="49"/>
      <c r="D3343" s="49"/>
      <c r="E3343" s="49"/>
      <c r="F3343" s="49"/>
      <c r="G3343" s="49"/>
    </row>
    <row r="3344" spans="2:7" s="63" customFormat="1">
      <c r="B3344" s="49"/>
      <c r="C3344" s="49"/>
      <c r="D3344" s="49"/>
      <c r="E3344" s="49"/>
      <c r="F3344" s="49"/>
      <c r="G3344" s="49"/>
    </row>
    <row r="3345" spans="2:7" s="63" customFormat="1">
      <c r="B3345" s="49"/>
      <c r="C3345" s="49"/>
      <c r="D3345" s="49"/>
      <c r="E3345" s="49"/>
      <c r="F3345" s="49"/>
      <c r="G3345" s="49"/>
    </row>
    <row r="3346" spans="2:7" s="63" customFormat="1">
      <c r="B3346" s="49"/>
      <c r="C3346" s="49"/>
      <c r="D3346" s="49"/>
      <c r="E3346" s="49"/>
      <c r="F3346" s="49"/>
      <c r="G3346" s="49"/>
    </row>
    <row r="3347" spans="2:7" s="63" customFormat="1">
      <c r="B3347" s="49"/>
      <c r="C3347" s="49"/>
      <c r="D3347" s="49"/>
      <c r="E3347" s="49"/>
      <c r="F3347" s="49"/>
      <c r="G3347" s="49"/>
    </row>
    <row r="3348" spans="2:7" s="63" customFormat="1">
      <c r="B3348" s="49"/>
      <c r="C3348" s="49"/>
      <c r="D3348" s="49"/>
      <c r="E3348" s="49"/>
      <c r="F3348" s="49"/>
      <c r="G3348" s="49"/>
    </row>
    <row r="3349" spans="2:7" s="63" customFormat="1">
      <c r="B3349" s="49"/>
      <c r="C3349" s="49"/>
      <c r="D3349" s="49"/>
      <c r="E3349" s="49"/>
      <c r="F3349" s="49"/>
      <c r="G3349" s="49"/>
    </row>
    <row r="3350" spans="2:7" s="63" customFormat="1">
      <c r="B3350" s="49"/>
      <c r="C3350" s="49"/>
      <c r="D3350" s="49"/>
      <c r="E3350" s="49"/>
      <c r="F3350" s="49"/>
      <c r="G3350" s="49"/>
    </row>
    <row r="3351" spans="2:7" s="63" customFormat="1">
      <c r="B3351" s="49"/>
      <c r="C3351" s="49"/>
      <c r="D3351" s="49"/>
      <c r="E3351" s="49"/>
      <c r="F3351" s="49"/>
      <c r="G3351" s="49"/>
    </row>
    <row r="3352" spans="2:7" s="63" customFormat="1">
      <c r="B3352" s="49"/>
      <c r="C3352" s="49"/>
      <c r="D3352" s="49"/>
      <c r="E3352" s="49"/>
      <c r="F3352" s="49"/>
      <c r="G3352" s="49"/>
    </row>
    <row r="3353" spans="2:7" s="63" customFormat="1">
      <c r="B3353" s="49"/>
      <c r="C3353" s="49"/>
      <c r="D3353" s="49"/>
      <c r="E3353" s="49"/>
      <c r="F3353" s="49"/>
      <c r="G3353" s="49"/>
    </row>
    <row r="3354" spans="2:7" s="63" customFormat="1">
      <c r="B3354" s="49"/>
      <c r="C3354" s="49"/>
      <c r="D3354" s="49"/>
      <c r="E3354" s="49"/>
      <c r="F3354" s="49"/>
      <c r="G3354" s="49"/>
    </row>
    <row r="3355" spans="2:7" s="63" customFormat="1">
      <c r="B3355" s="49"/>
      <c r="C3355" s="49"/>
      <c r="D3355" s="49"/>
      <c r="E3355" s="49"/>
      <c r="F3355" s="49"/>
      <c r="G3355" s="49"/>
    </row>
    <row r="3356" spans="2:7" s="63" customFormat="1">
      <c r="B3356" s="49"/>
      <c r="C3356" s="49"/>
      <c r="D3356" s="49"/>
      <c r="E3356" s="49"/>
      <c r="F3356" s="49"/>
      <c r="G3356" s="49"/>
    </row>
    <row r="3357" spans="2:7" s="63" customFormat="1">
      <c r="B3357" s="49"/>
      <c r="C3357" s="49"/>
      <c r="D3357" s="49"/>
      <c r="E3357" s="49"/>
      <c r="F3357" s="49"/>
      <c r="G3357" s="49"/>
    </row>
    <row r="3358" spans="2:7" s="63" customFormat="1">
      <c r="B3358" s="49"/>
      <c r="C3358" s="49"/>
      <c r="D3358" s="49"/>
      <c r="E3358" s="49"/>
      <c r="F3358" s="49"/>
      <c r="G3358" s="49"/>
    </row>
    <row r="3359" spans="2:7" s="63" customFormat="1">
      <c r="B3359" s="49"/>
      <c r="C3359" s="49"/>
      <c r="D3359" s="49"/>
      <c r="E3359" s="49"/>
      <c r="F3359" s="49"/>
      <c r="G3359" s="49"/>
    </row>
    <row r="3360" spans="2:7" s="63" customFormat="1">
      <c r="B3360" s="49"/>
      <c r="C3360" s="49"/>
      <c r="D3360" s="49"/>
      <c r="E3360" s="49"/>
      <c r="F3360" s="49"/>
      <c r="G3360" s="49"/>
    </row>
    <row r="3361" spans="2:7" s="63" customFormat="1">
      <c r="B3361" s="49"/>
      <c r="C3361" s="49"/>
      <c r="D3361" s="49"/>
      <c r="E3361" s="49"/>
      <c r="F3361" s="49"/>
      <c r="G3361" s="49"/>
    </row>
    <row r="3362" spans="2:7" s="63" customFormat="1">
      <c r="B3362" s="49"/>
      <c r="C3362" s="49"/>
      <c r="D3362" s="49"/>
      <c r="E3362" s="49"/>
      <c r="F3362" s="49"/>
      <c r="G3362" s="49"/>
    </row>
    <row r="3363" spans="2:7" s="63" customFormat="1">
      <c r="B3363" s="49"/>
      <c r="C3363" s="49"/>
      <c r="D3363" s="49"/>
      <c r="E3363" s="49"/>
      <c r="F3363" s="49"/>
      <c r="G3363" s="49"/>
    </row>
    <row r="3364" spans="2:7" s="63" customFormat="1">
      <c r="B3364" s="49"/>
      <c r="C3364" s="49"/>
      <c r="D3364" s="49"/>
      <c r="E3364" s="49"/>
      <c r="F3364" s="49"/>
      <c r="G3364" s="49"/>
    </row>
    <row r="3365" spans="2:7" s="63" customFormat="1">
      <c r="B3365" s="49"/>
      <c r="C3365" s="49"/>
      <c r="D3365" s="49"/>
      <c r="E3365" s="49"/>
      <c r="F3365" s="49"/>
      <c r="G3365" s="49"/>
    </row>
    <row r="3366" spans="2:7" s="63" customFormat="1">
      <c r="B3366" s="49"/>
      <c r="C3366" s="49"/>
      <c r="D3366" s="49"/>
      <c r="E3366" s="49"/>
      <c r="F3366" s="49"/>
      <c r="G3366" s="49"/>
    </row>
    <row r="3367" spans="2:7" s="63" customFormat="1">
      <c r="B3367" s="49"/>
      <c r="C3367" s="49"/>
      <c r="D3367" s="49"/>
      <c r="E3367" s="49"/>
      <c r="F3367" s="49"/>
      <c r="G3367" s="49"/>
    </row>
    <row r="3368" spans="2:7" s="63" customFormat="1">
      <c r="B3368" s="49"/>
      <c r="C3368" s="49"/>
      <c r="D3368" s="49"/>
      <c r="E3368" s="49"/>
      <c r="F3368" s="49"/>
      <c r="G3368" s="49"/>
    </row>
    <row r="3369" spans="2:7" s="63" customFormat="1">
      <c r="B3369" s="49"/>
      <c r="C3369" s="49"/>
      <c r="D3369" s="49"/>
      <c r="E3369" s="49"/>
      <c r="F3369" s="49"/>
      <c r="G3369" s="49"/>
    </row>
    <row r="3370" spans="2:7" s="63" customFormat="1">
      <c r="B3370" s="49"/>
      <c r="C3370" s="49"/>
      <c r="D3370" s="49"/>
      <c r="E3370" s="49"/>
      <c r="F3370" s="49"/>
      <c r="G3370" s="49"/>
    </row>
    <row r="3371" spans="2:7" s="63" customFormat="1">
      <c r="B3371" s="49"/>
      <c r="C3371" s="49"/>
      <c r="D3371" s="49"/>
      <c r="E3371" s="49"/>
      <c r="F3371" s="49"/>
      <c r="G3371" s="49"/>
    </row>
    <row r="3372" spans="2:7" s="63" customFormat="1">
      <c r="B3372" s="49"/>
      <c r="C3372" s="49"/>
      <c r="D3372" s="49"/>
      <c r="E3372" s="49"/>
      <c r="F3372" s="49"/>
      <c r="G3372" s="49"/>
    </row>
    <row r="3373" spans="2:7" s="63" customFormat="1">
      <c r="B3373" s="49"/>
      <c r="C3373" s="49"/>
      <c r="D3373" s="49"/>
      <c r="E3373" s="49"/>
      <c r="F3373" s="49"/>
      <c r="G3373" s="49"/>
    </row>
    <row r="3374" spans="2:7" s="63" customFormat="1">
      <c r="B3374" s="49"/>
      <c r="C3374" s="49"/>
      <c r="D3374" s="49"/>
      <c r="E3374" s="49"/>
      <c r="F3374" s="49"/>
      <c r="G3374" s="49"/>
    </row>
    <row r="3375" spans="2:7" s="63" customFormat="1">
      <c r="B3375" s="49"/>
      <c r="C3375" s="49"/>
      <c r="D3375" s="49"/>
      <c r="E3375" s="49"/>
      <c r="F3375" s="49"/>
      <c r="G3375" s="49"/>
    </row>
    <row r="3376" spans="2:7" s="63" customFormat="1">
      <c r="B3376" s="49"/>
      <c r="C3376" s="49"/>
      <c r="D3376" s="49"/>
      <c r="E3376" s="49"/>
      <c r="F3376" s="49"/>
      <c r="G3376" s="49"/>
    </row>
    <row r="3377" spans="2:7" s="63" customFormat="1">
      <c r="B3377" s="49"/>
      <c r="C3377" s="49"/>
      <c r="D3377" s="49"/>
      <c r="E3377" s="49"/>
      <c r="F3377" s="49"/>
      <c r="G3377" s="49"/>
    </row>
    <row r="3378" spans="2:7" s="63" customFormat="1">
      <c r="B3378" s="49"/>
      <c r="C3378" s="49"/>
      <c r="D3378" s="49"/>
      <c r="E3378" s="49"/>
      <c r="F3378" s="49"/>
      <c r="G3378" s="49"/>
    </row>
    <row r="3379" spans="2:7" s="63" customFormat="1">
      <c r="B3379" s="49"/>
      <c r="C3379" s="49"/>
      <c r="D3379" s="49"/>
      <c r="E3379" s="49"/>
      <c r="F3379" s="49"/>
      <c r="G3379" s="49"/>
    </row>
    <row r="3380" spans="2:7" s="63" customFormat="1">
      <c r="B3380" s="49"/>
      <c r="C3380" s="49"/>
      <c r="D3380" s="49"/>
      <c r="E3380" s="49"/>
      <c r="F3380" s="49"/>
      <c r="G3380" s="49"/>
    </row>
    <row r="3381" spans="2:7" s="63" customFormat="1">
      <c r="B3381" s="49"/>
      <c r="C3381" s="49"/>
      <c r="D3381" s="49"/>
      <c r="E3381" s="49"/>
      <c r="F3381" s="49"/>
      <c r="G3381" s="49"/>
    </row>
    <row r="3382" spans="2:7" s="63" customFormat="1">
      <c r="B3382" s="49"/>
      <c r="C3382" s="49"/>
      <c r="D3382" s="49"/>
      <c r="E3382" s="49"/>
      <c r="F3382" s="49"/>
      <c r="G3382" s="49"/>
    </row>
    <row r="3383" spans="2:7" s="63" customFormat="1">
      <c r="B3383" s="49"/>
      <c r="C3383" s="49"/>
      <c r="D3383" s="49"/>
      <c r="E3383" s="49"/>
      <c r="F3383" s="49"/>
      <c r="G3383" s="49"/>
    </row>
    <row r="3384" spans="2:7" s="63" customFormat="1">
      <c r="B3384" s="49"/>
      <c r="C3384" s="49"/>
      <c r="D3384" s="49"/>
      <c r="E3384" s="49"/>
      <c r="F3384" s="49"/>
      <c r="G3384" s="49"/>
    </row>
    <row r="3385" spans="2:7" s="63" customFormat="1">
      <c r="B3385" s="49"/>
      <c r="C3385" s="49"/>
      <c r="D3385" s="49"/>
      <c r="E3385" s="49"/>
      <c r="F3385" s="49"/>
      <c r="G3385" s="49"/>
    </row>
    <row r="3386" spans="2:7" s="63" customFormat="1">
      <c r="B3386" s="49"/>
      <c r="C3386" s="49"/>
      <c r="D3386" s="49"/>
      <c r="E3386" s="49"/>
      <c r="F3386" s="49"/>
      <c r="G3386" s="49"/>
    </row>
    <row r="3387" spans="2:7" s="63" customFormat="1">
      <c r="B3387" s="49"/>
      <c r="C3387" s="49"/>
      <c r="D3387" s="49"/>
      <c r="E3387" s="49"/>
      <c r="F3387" s="49"/>
      <c r="G3387" s="49"/>
    </row>
    <row r="3388" spans="2:7" s="63" customFormat="1">
      <c r="B3388" s="49"/>
      <c r="C3388" s="49"/>
      <c r="D3388" s="49"/>
      <c r="E3388" s="49"/>
      <c r="F3388" s="49"/>
      <c r="G3388" s="49"/>
    </row>
    <row r="3389" spans="2:7" s="63" customFormat="1">
      <c r="B3389" s="49"/>
      <c r="C3389" s="49"/>
      <c r="D3389" s="49"/>
      <c r="E3389" s="49"/>
      <c r="F3389" s="49"/>
      <c r="G3389" s="49"/>
    </row>
    <row r="3390" spans="2:7" s="63" customFormat="1">
      <c r="B3390" s="49"/>
      <c r="C3390" s="49"/>
      <c r="D3390" s="49"/>
      <c r="E3390" s="49"/>
      <c r="F3390" s="49"/>
      <c r="G3390" s="49"/>
    </row>
    <row r="3391" spans="2:7" s="63" customFormat="1">
      <c r="B3391" s="49"/>
      <c r="C3391" s="49"/>
      <c r="D3391" s="49"/>
      <c r="E3391" s="49"/>
      <c r="F3391" s="49"/>
      <c r="G3391" s="49"/>
    </row>
    <row r="3392" spans="2:7" s="63" customFormat="1">
      <c r="B3392" s="49"/>
      <c r="C3392" s="49"/>
      <c r="D3392" s="49"/>
      <c r="E3392" s="49"/>
      <c r="F3392" s="49"/>
      <c r="G3392" s="49"/>
    </row>
    <row r="3393" spans="2:7" s="63" customFormat="1">
      <c r="B3393" s="49"/>
      <c r="C3393" s="49"/>
      <c r="D3393" s="49"/>
      <c r="E3393" s="49"/>
      <c r="F3393" s="49"/>
      <c r="G3393" s="49"/>
    </row>
    <row r="3394" spans="2:7" s="63" customFormat="1">
      <c r="B3394" s="49"/>
      <c r="C3394" s="49"/>
      <c r="D3394" s="49"/>
      <c r="E3394" s="49"/>
      <c r="F3394" s="49"/>
      <c r="G3394" s="49"/>
    </row>
    <row r="3395" spans="2:7" s="63" customFormat="1">
      <c r="B3395" s="49"/>
      <c r="C3395" s="49"/>
      <c r="D3395" s="49"/>
      <c r="E3395" s="49"/>
      <c r="F3395" s="49"/>
      <c r="G3395" s="49"/>
    </row>
    <row r="3396" spans="2:7" s="63" customFormat="1">
      <c r="B3396" s="49"/>
      <c r="C3396" s="49"/>
      <c r="D3396" s="49"/>
      <c r="E3396" s="49"/>
      <c r="F3396" s="49"/>
      <c r="G3396" s="49"/>
    </row>
    <row r="3397" spans="2:7" s="63" customFormat="1">
      <c r="B3397" s="49"/>
      <c r="C3397" s="49"/>
      <c r="D3397" s="49"/>
      <c r="E3397" s="49"/>
      <c r="F3397" s="49"/>
      <c r="G3397" s="49"/>
    </row>
    <row r="3398" spans="2:7" s="63" customFormat="1">
      <c r="B3398" s="49"/>
      <c r="C3398" s="49"/>
      <c r="D3398" s="49"/>
      <c r="E3398" s="49"/>
      <c r="F3398" s="49"/>
      <c r="G3398" s="49"/>
    </row>
    <row r="3399" spans="2:7" s="63" customFormat="1">
      <c r="B3399" s="49"/>
      <c r="C3399" s="49"/>
      <c r="D3399" s="49"/>
      <c r="E3399" s="49"/>
      <c r="F3399" s="49"/>
      <c r="G3399" s="49"/>
    </row>
    <row r="3400" spans="2:7" s="63" customFormat="1">
      <c r="B3400" s="49"/>
      <c r="C3400" s="49"/>
      <c r="D3400" s="49"/>
      <c r="E3400" s="49"/>
      <c r="F3400" s="49"/>
      <c r="G3400" s="49"/>
    </row>
    <row r="3401" spans="2:7" s="63" customFormat="1">
      <c r="B3401" s="49"/>
      <c r="C3401" s="49"/>
      <c r="D3401" s="49"/>
      <c r="E3401" s="49"/>
      <c r="F3401" s="49"/>
      <c r="G3401" s="49"/>
    </row>
    <row r="3402" spans="2:7" s="63" customFormat="1">
      <c r="B3402" s="49"/>
      <c r="C3402" s="49"/>
      <c r="D3402" s="49"/>
      <c r="E3402" s="49"/>
      <c r="F3402" s="49"/>
      <c r="G3402" s="49"/>
    </row>
    <row r="3403" spans="2:7" s="63" customFormat="1">
      <c r="B3403" s="49"/>
      <c r="C3403" s="49"/>
      <c r="D3403" s="49"/>
      <c r="E3403" s="49"/>
      <c r="F3403" s="49"/>
      <c r="G3403" s="49"/>
    </row>
    <row r="3404" spans="2:7" s="63" customFormat="1">
      <c r="B3404" s="49"/>
      <c r="C3404" s="49"/>
      <c r="D3404" s="49"/>
      <c r="E3404" s="49"/>
      <c r="F3404" s="49"/>
      <c r="G3404" s="49"/>
    </row>
    <row r="3405" spans="2:7" s="63" customFormat="1">
      <c r="B3405" s="49"/>
      <c r="C3405" s="49"/>
      <c r="D3405" s="49"/>
      <c r="E3405" s="49"/>
      <c r="F3405" s="49"/>
      <c r="G3405" s="49"/>
    </row>
    <row r="3406" spans="2:7" s="63" customFormat="1">
      <c r="B3406" s="49"/>
      <c r="C3406" s="49"/>
      <c r="D3406" s="49"/>
      <c r="E3406" s="49"/>
      <c r="F3406" s="49"/>
      <c r="G3406" s="49"/>
    </row>
    <row r="3407" spans="2:7" s="63" customFormat="1">
      <c r="B3407" s="49"/>
      <c r="C3407" s="49"/>
      <c r="D3407" s="49"/>
      <c r="E3407" s="49"/>
      <c r="F3407" s="49"/>
      <c r="G3407" s="49"/>
    </row>
    <row r="3408" spans="2:7" s="63" customFormat="1">
      <c r="B3408" s="49"/>
      <c r="C3408" s="49"/>
      <c r="D3408" s="49"/>
      <c r="E3408" s="49"/>
      <c r="F3408" s="49"/>
      <c r="G3408" s="49"/>
    </row>
    <row r="3409" spans="2:7" s="63" customFormat="1">
      <c r="B3409" s="49"/>
      <c r="C3409" s="49"/>
      <c r="D3409" s="49"/>
      <c r="E3409" s="49"/>
      <c r="F3409" s="49"/>
      <c r="G3409" s="49"/>
    </row>
    <row r="3410" spans="2:7" s="63" customFormat="1">
      <c r="B3410" s="49"/>
      <c r="C3410" s="49"/>
      <c r="D3410" s="49"/>
      <c r="E3410" s="49"/>
      <c r="F3410" s="49"/>
      <c r="G3410" s="49"/>
    </row>
    <row r="3411" spans="2:7" s="63" customFormat="1">
      <c r="B3411" s="49"/>
      <c r="C3411" s="49"/>
      <c r="D3411" s="49"/>
      <c r="E3411" s="49"/>
      <c r="F3411" s="49"/>
      <c r="G3411" s="49"/>
    </row>
    <row r="3412" spans="2:7" s="63" customFormat="1">
      <c r="B3412" s="49"/>
      <c r="C3412" s="49"/>
      <c r="D3412" s="49"/>
      <c r="E3412" s="49"/>
      <c r="F3412" s="49"/>
      <c r="G3412" s="49"/>
    </row>
    <row r="3413" spans="2:7" s="63" customFormat="1">
      <c r="B3413" s="49"/>
      <c r="C3413" s="49"/>
      <c r="D3413" s="49"/>
      <c r="E3413" s="49"/>
      <c r="F3413" s="49"/>
      <c r="G3413" s="49"/>
    </row>
    <row r="3414" spans="2:7" s="63" customFormat="1">
      <c r="B3414" s="49"/>
      <c r="C3414" s="49"/>
      <c r="D3414" s="49"/>
      <c r="E3414" s="49"/>
      <c r="F3414" s="49"/>
      <c r="G3414" s="49"/>
    </row>
    <row r="3415" spans="2:7" s="63" customFormat="1">
      <c r="B3415" s="49"/>
      <c r="C3415" s="49"/>
      <c r="D3415" s="49"/>
      <c r="E3415" s="49"/>
      <c r="F3415" s="49"/>
      <c r="G3415" s="49"/>
    </row>
    <row r="3416" spans="2:7" s="63" customFormat="1">
      <c r="B3416" s="49"/>
      <c r="C3416" s="49"/>
      <c r="D3416" s="49"/>
      <c r="E3416" s="49"/>
      <c r="F3416" s="49"/>
      <c r="G3416" s="49"/>
    </row>
    <row r="3417" spans="2:7" s="63" customFormat="1">
      <c r="B3417" s="49"/>
      <c r="C3417" s="49"/>
      <c r="D3417" s="49"/>
      <c r="E3417" s="49"/>
      <c r="F3417" s="49"/>
      <c r="G3417" s="49"/>
    </row>
    <row r="3418" spans="2:7" s="63" customFormat="1">
      <c r="B3418" s="49"/>
      <c r="C3418" s="49"/>
      <c r="D3418" s="49"/>
      <c r="E3418" s="49"/>
      <c r="F3418" s="49"/>
      <c r="G3418" s="49"/>
    </row>
    <row r="3419" spans="2:7" s="63" customFormat="1">
      <c r="B3419" s="49"/>
      <c r="C3419" s="49"/>
      <c r="D3419" s="49"/>
      <c r="E3419" s="49"/>
      <c r="F3419" s="49"/>
      <c r="G3419" s="49"/>
    </row>
    <row r="3420" spans="2:7" s="63" customFormat="1">
      <c r="B3420" s="49"/>
      <c r="C3420" s="49"/>
      <c r="D3420" s="49"/>
      <c r="E3420" s="49"/>
      <c r="F3420" s="49"/>
      <c r="G3420" s="49"/>
    </row>
    <row r="3421" spans="2:7" s="63" customFormat="1">
      <c r="B3421" s="49"/>
      <c r="C3421" s="49"/>
      <c r="D3421" s="49"/>
      <c r="E3421" s="49"/>
      <c r="F3421" s="49"/>
      <c r="G3421" s="49"/>
    </row>
    <row r="3422" spans="2:7" s="63" customFormat="1">
      <c r="B3422" s="49"/>
      <c r="C3422" s="49"/>
      <c r="D3422" s="49"/>
      <c r="E3422" s="49"/>
      <c r="F3422" s="49"/>
      <c r="G3422" s="49"/>
    </row>
    <row r="3423" spans="2:7" s="63" customFormat="1">
      <c r="B3423" s="49"/>
      <c r="C3423" s="49"/>
      <c r="D3423" s="49"/>
      <c r="E3423" s="49"/>
      <c r="F3423" s="49"/>
      <c r="G3423" s="49"/>
    </row>
    <row r="3424" spans="2:7" s="63" customFormat="1">
      <c r="B3424" s="49"/>
      <c r="C3424" s="49"/>
      <c r="D3424" s="49"/>
      <c r="E3424" s="49"/>
      <c r="F3424" s="49"/>
      <c r="G3424" s="49"/>
    </row>
    <row r="3425" spans="2:7" s="63" customFormat="1">
      <c r="B3425" s="49"/>
      <c r="C3425" s="49"/>
      <c r="D3425" s="49"/>
      <c r="E3425" s="49"/>
      <c r="F3425" s="49"/>
      <c r="G3425" s="49"/>
    </row>
    <row r="3426" spans="2:7" s="63" customFormat="1">
      <c r="B3426" s="49"/>
      <c r="C3426" s="49"/>
      <c r="D3426" s="49"/>
      <c r="E3426" s="49"/>
      <c r="F3426" s="49"/>
      <c r="G3426" s="49"/>
    </row>
    <row r="3427" spans="2:7" s="63" customFormat="1">
      <c r="B3427" s="49"/>
      <c r="C3427" s="49"/>
      <c r="D3427" s="49"/>
      <c r="E3427" s="49"/>
      <c r="F3427" s="49"/>
      <c r="G3427" s="49"/>
    </row>
    <row r="3428" spans="2:7" s="63" customFormat="1">
      <c r="B3428" s="49"/>
      <c r="C3428" s="49"/>
      <c r="D3428" s="49"/>
      <c r="E3428" s="49"/>
      <c r="F3428" s="49"/>
      <c r="G3428" s="49"/>
    </row>
    <row r="3429" spans="2:7" s="63" customFormat="1">
      <c r="B3429" s="49"/>
      <c r="C3429" s="49"/>
      <c r="D3429" s="49"/>
      <c r="E3429" s="49"/>
      <c r="F3429" s="49"/>
      <c r="G3429" s="49"/>
    </row>
    <row r="3430" spans="2:7" s="63" customFormat="1">
      <c r="B3430" s="49"/>
      <c r="C3430" s="49"/>
      <c r="D3430" s="49"/>
      <c r="E3430" s="49"/>
      <c r="F3430" s="49"/>
      <c r="G3430" s="49"/>
    </row>
    <row r="3431" spans="2:7" s="63" customFormat="1">
      <c r="B3431" s="49"/>
      <c r="C3431" s="49"/>
      <c r="D3431" s="49"/>
      <c r="E3431" s="49"/>
      <c r="F3431" s="49"/>
      <c r="G3431" s="49"/>
    </row>
    <row r="3432" spans="2:7" s="63" customFormat="1">
      <c r="B3432" s="49"/>
      <c r="C3432" s="49"/>
      <c r="D3432" s="49"/>
      <c r="E3432" s="49"/>
      <c r="F3432" s="49"/>
      <c r="G3432" s="49"/>
    </row>
    <row r="3433" spans="2:7" s="63" customFormat="1">
      <c r="B3433" s="49"/>
      <c r="C3433" s="49"/>
      <c r="D3433" s="49"/>
      <c r="E3433" s="49"/>
      <c r="F3433" s="49"/>
      <c r="G3433" s="49"/>
    </row>
    <row r="3434" spans="2:7" s="63" customFormat="1">
      <c r="B3434" s="49"/>
      <c r="C3434" s="49"/>
      <c r="D3434" s="49"/>
      <c r="E3434" s="49"/>
      <c r="F3434" s="49"/>
      <c r="G3434" s="49"/>
    </row>
    <row r="3435" spans="2:7" s="63" customFormat="1">
      <c r="B3435" s="49"/>
      <c r="C3435" s="49"/>
      <c r="D3435" s="49"/>
      <c r="E3435" s="49"/>
      <c r="F3435" s="49"/>
      <c r="G3435" s="49"/>
    </row>
    <row r="3436" spans="2:7" s="63" customFormat="1">
      <c r="B3436" s="49"/>
      <c r="C3436" s="49"/>
      <c r="D3436" s="49"/>
      <c r="E3436" s="49"/>
      <c r="F3436" s="49"/>
      <c r="G3436" s="49"/>
    </row>
    <row r="3437" spans="2:7" s="63" customFormat="1">
      <c r="B3437" s="49"/>
      <c r="C3437" s="49"/>
      <c r="D3437" s="49"/>
      <c r="E3437" s="49"/>
      <c r="F3437" s="49"/>
      <c r="G3437" s="49"/>
    </row>
    <row r="3438" spans="2:7" s="63" customFormat="1">
      <c r="B3438" s="49"/>
      <c r="C3438" s="49"/>
      <c r="D3438" s="49"/>
      <c r="E3438" s="49"/>
      <c r="F3438" s="49"/>
      <c r="G3438" s="49"/>
    </row>
    <row r="3439" spans="2:7" s="63" customFormat="1">
      <c r="B3439" s="49"/>
      <c r="C3439" s="49"/>
      <c r="D3439" s="49"/>
      <c r="E3439" s="49"/>
      <c r="F3439" s="49"/>
      <c r="G3439" s="49"/>
    </row>
    <row r="3440" spans="2:7" s="63" customFormat="1">
      <c r="B3440" s="49"/>
      <c r="C3440" s="49"/>
      <c r="D3440" s="49"/>
      <c r="E3440" s="49"/>
      <c r="F3440" s="49"/>
      <c r="G3440" s="49"/>
    </row>
    <row r="3441" spans="2:7" s="63" customFormat="1">
      <c r="B3441" s="49"/>
      <c r="C3441" s="49"/>
      <c r="D3441" s="49"/>
      <c r="E3441" s="49"/>
      <c r="F3441" s="49"/>
      <c r="G3441" s="49"/>
    </row>
    <row r="3442" spans="2:7" s="63" customFormat="1">
      <c r="B3442" s="49"/>
      <c r="C3442" s="49"/>
      <c r="D3442" s="49"/>
      <c r="E3442" s="49"/>
      <c r="F3442" s="49"/>
      <c r="G3442" s="49"/>
    </row>
    <row r="3443" spans="2:7" s="63" customFormat="1">
      <c r="B3443" s="49"/>
      <c r="C3443" s="49"/>
      <c r="D3443" s="49"/>
      <c r="E3443" s="49"/>
      <c r="F3443" s="49"/>
      <c r="G3443" s="49"/>
    </row>
    <row r="3444" spans="2:7" s="63" customFormat="1">
      <c r="B3444" s="49"/>
      <c r="C3444" s="49"/>
      <c r="D3444" s="49"/>
      <c r="E3444" s="49"/>
      <c r="F3444" s="49"/>
      <c r="G3444" s="49"/>
    </row>
    <row r="3445" spans="2:7" s="63" customFormat="1">
      <c r="B3445" s="49"/>
      <c r="C3445" s="49"/>
      <c r="D3445" s="49"/>
      <c r="E3445" s="49"/>
      <c r="F3445" s="49"/>
      <c r="G3445" s="49"/>
    </row>
    <row r="3446" spans="2:7" s="63" customFormat="1">
      <c r="B3446" s="49"/>
      <c r="C3446" s="49"/>
      <c r="D3446" s="49"/>
      <c r="E3446" s="49"/>
      <c r="F3446" s="49"/>
      <c r="G3446" s="49"/>
    </row>
    <row r="3447" spans="2:7" s="63" customFormat="1">
      <c r="B3447" s="49"/>
      <c r="C3447" s="49"/>
      <c r="D3447" s="49"/>
      <c r="E3447" s="49"/>
      <c r="F3447" s="49"/>
      <c r="G3447" s="49"/>
    </row>
    <row r="3448" spans="2:7" s="63" customFormat="1">
      <c r="B3448" s="49"/>
      <c r="C3448" s="49"/>
      <c r="D3448" s="49"/>
      <c r="E3448" s="49"/>
      <c r="F3448" s="49"/>
      <c r="G3448" s="49"/>
    </row>
    <row r="3449" spans="2:7" s="63" customFormat="1">
      <c r="B3449" s="49"/>
      <c r="C3449" s="49"/>
      <c r="D3449" s="49"/>
      <c r="E3449" s="49"/>
      <c r="F3449" s="49"/>
      <c r="G3449" s="49"/>
    </row>
    <row r="3450" spans="2:7" s="63" customFormat="1">
      <c r="B3450" s="49"/>
      <c r="C3450" s="49"/>
      <c r="D3450" s="49"/>
      <c r="E3450" s="49"/>
      <c r="F3450" s="49"/>
      <c r="G3450" s="49"/>
    </row>
    <row r="3451" spans="2:7" s="63" customFormat="1">
      <c r="B3451" s="49"/>
      <c r="C3451" s="49"/>
      <c r="D3451" s="49"/>
      <c r="E3451" s="49"/>
      <c r="F3451" s="49"/>
      <c r="G3451" s="49"/>
    </row>
    <row r="3452" spans="2:7" s="63" customFormat="1">
      <c r="B3452" s="49"/>
      <c r="C3452" s="49"/>
      <c r="D3452" s="49"/>
      <c r="E3452" s="49"/>
      <c r="F3452" s="49"/>
      <c r="G3452" s="49"/>
    </row>
    <row r="3453" spans="2:7" s="63" customFormat="1">
      <c r="B3453" s="49"/>
      <c r="C3453" s="49"/>
      <c r="D3453" s="49"/>
      <c r="E3453" s="49"/>
      <c r="F3453" s="49"/>
      <c r="G3453" s="49"/>
    </row>
    <row r="3454" spans="2:7" s="63" customFormat="1">
      <c r="B3454" s="49"/>
      <c r="C3454" s="49"/>
      <c r="D3454" s="49"/>
      <c r="E3454" s="49"/>
      <c r="F3454" s="49"/>
      <c r="G3454" s="49"/>
    </row>
    <row r="3455" spans="2:7" s="63" customFormat="1">
      <c r="B3455" s="49"/>
      <c r="C3455" s="49"/>
      <c r="D3455" s="49"/>
      <c r="E3455" s="49"/>
      <c r="F3455" s="49"/>
      <c r="G3455" s="49"/>
    </row>
    <row r="3456" spans="2:7" s="63" customFormat="1">
      <c r="B3456" s="49"/>
      <c r="C3456" s="49"/>
      <c r="D3456" s="49"/>
      <c r="E3456" s="49"/>
      <c r="F3456" s="49"/>
      <c r="G3456" s="49"/>
    </row>
    <row r="3457" spans="2:7" s="63" customFormat="1">
      <c r="B3457" s="49"/>
      <c r="C3457" s="49"/>
      <c r="D3457" s="49"/>
      <c r="E3457" s="49"/>
      <c r="F3457" s="49"/>
      <c r="G3457" s="49"/>
    </row>
    <row r="3458" spans="2:7" s="63" customFormat="1">
      <c r="B3458" s="49"/>
      <c r="C3458" s="49"/>
      <c r="D3458" s="49"/>
      <c r="E3458" s="49"/>
      <c r="F3458" s="49"/>
      <c r="G3458" s="49"/>
    </row>
    <row r="3459" spans="2:7" s="63" customFormat="1">
      <c r="B3459" s="49"/>
      <c r="C3459" s="49"/>
      <c r="D3459" s="49"/>
      <c r="E3459" s="49"/>
      <c r="F3459" s="49"/>
      <c r="G3459" s="49"/>
    </row>
    <row r="3460" spans="2:7" s="63" customFormat="1">
      <c r="B3460" s="49"/>
      <c r="C3460" s="49"/>
      <c r="D3460" s="49"/>
      <c r="E3460" s="49"/>
      <c r="F3460" s="49"/>
      <c r="G3460" s="49"/>
    </row>
    <row r="3461" spans="2:7" s="63" customFormat="1">
      <c r="B3461" s="49"/>
      <c r="C3461" s="49"/>
      <c r="D3461" s="49"/>
      <c r="E3461" s="49"/>
      <c r="F3461" s="49"/>
      <c r="G3461" s="49"/>
    </row>
    <row r="3462" spans="2:7" s="63" customFormat="1">
      <c r="B3462" s="49"/>
      <c r="C3462" s="49"/>
      <c r="D3462" s="49"/>
      <c r="E3462" s="49"/>
      <c r="F3462" s="49"/>
      <c r="G3462" s="49"/>
    </row>
    <row r="3463" spans="2:7" s="63" customFormat="1">
      <c r="B3463" s="49"/>
      <c r="C3463" s="49"/>
      <c r="D3463" s="49"/>
      <c r="E3463" s="49"/>
      <c r="F3463" s="49"/>
      <c r="G3463" s="49"/>
    </row>
    <row r="3464" spans="2:7" s="63" customFormat="1">
      <c r="B3464" s="49"/>
      <c r="C3464" s="49"/>
      <c r="D3464" s="49"/>
      <c r="E3464" s="49"/>
      <c r="F3464" s="49"/>
      <c r="G3464" s="49"/>
    </row>
    <row r="3465" spans="2:7" s="63" customFormat="1">
      <c r="B3465" s="49"/>
      <c r="C3465" s="49"/>
      <c r="D3465" s="49"/>
      <c r="E3465" s="49"/>
      <c r="F3465" s="49"/>
      <c r="G3465" s="49"/>
    </row>
    <row r="3466" spans="2:7" s="63" customFormat="1">
      <c r="B3466" s="49"/>
      <c r="C3466" s="49"/>
      <c r="D3466" s="49"/>
      <c r="E3466" s="49"/>
      <c r="F3466" s="49"/>
      <c r="G3466" s="49"/>
    </row>
    <row r="3467" spans="2:7" s="63" customFormat="1">
      <c r="B3467" s="49"/>
      <c r="C3467" s="49"/>
      <c r="D3467" s="49"/>
      <c r="E3467" s="49"/>
      <c r="F3467" s="49"/>
      <c r="G3467" s="49"/>
    </row>
    <row r="3468" spans="2:7" s="63" customFormat="1">
      <c r="B3468" s="49"/>
      <c r="C3468" s="49"/>
      <c r="D3468" s="49"/>
      <c r="E3468" s="49"/>
      <c r="F3468" s="49"/>
      <c r="G3468" s="49"/>
    </row>
    <row r="3469" spans="2:7" s="63" customFormat="1">
      <c r="B3469" s="49"/>
      <c r="C3469" s="49"/>
      <c r="D3469" s="49"/>
      <c r="E3469" s="49"/>
      <c r="F3469" s="49"/>
      <c r="G3469" s="49"/>
    </row>
    <row r="3470" spans="2:7" s="63" customFormat="1">
      <c r="B3470" s="49"/>
      <c r="C3470" s="49"/>
      <c r="D3470" s="49"/>
      <c r="E3470" s="49"/>
      <c r="F3470" s="49"/>
      <c r="G3470" s="49"/>
    </row>
    <row r="3471" spans="2:7" s="63" customFormat="1">
      <c r="B3471" s="49"/>
      <c r="C3471" s="49"/>
      <c r="D3471" s="49"/>
      <c r="E3471" s="49"/>
      <c r="F3471" s="49"/>
      <c r="G3471" s="49"/>
    </row>
    <row r="3472" spans="2:7" s="63" customFormat="1">
      <c r="B3472" s="49"/>
      <c r="C3472" s="49"/>
      <c r="D3472" s="49"/>
      <c r="E3472" s="49"/>
      <c r="F3472" s="49"/>
      <c r="G3472" s="49"/>
    </row>
    <row r="3473" spans="2:7" s="63" customFormat="1">
      <c r="B3473" s="49"/>
      <c r="C3473" s="49"/>
      <c r="D3473" s="49"/>
      <c r="E3473" s="49"/>
      <c r="F3473" s="49"/>
      <c r="G3473" s="49"/>
    </row>
    <row r="3474" spans="2:7" s="63" customFormat="1">
      <c r="B3474" s="49"/>
      <c r="C3474" s="49"/>
      <c r="D3474" s="49"/>
      <c r="E3474" s="49"/>
      <c r="F3474" s="49"/>
      <c r="G3474" s="49"/>
    </row>
    <row r="3475" spans="2:7" s="63" customFormat="1">
      <c r="B3475" s="49"/>
      <c r="C3475" s="49"/>
      <c r="D3475" s="49"/>
      <c r="E3475" s="49"/>
      <c r="F3475" s="49"/>
      <c r="G3475" s="49"/>
    </row>
    <row r="3476" spans="2:7" s="63" customFormat="1">
      <c r="B3476" s="49"/>
      <c r="C3476" s="49"/>
      <c r="D3476" s="49"/>
      <c r="E3476" s="49"/>
      <c r="F3476" s="49"/>
      <c r="G3476" s="49"/>
    </row>
    <row r="3477" spans="2:7" s="63" customFormat="1">
      <c r="B3477" s="49"/>
      <c r="C3477" s="49"/>
      <c r="D3477" s="49"/>
      <c r="E3477" s="49"/>
      <c r="F3477" s="49"/>
      <c r="G3477" s="49"/>
    </row>
    <row r="3478" spans="2:7" s="63" customFormat="1">
      <c r="B3478" s="49"/>
      <c r="C3478" s="49"/>
      <c r="D3478" s="49"/>
      <c r="E3478" s="49"/>
      <c r="F3478" s="49"/>
      <c r="G3478" s="49"/>
    </row>
    <row r="3479" spans="2:7" s="63" customFormat="1">
      <c r="B3479" s="49"/>
      <c r="C3479" s="49"/>
      <c r="D3479" s="49"/>
      <c r="E3479" s="49"/>
      <c r="F3479" s="49"/>
      <c r="G3479" s="49"/>
    </row>
    <row r="3480" spans="2:7" s="63" customFormat="1">
      <c r="B3480" s="49"/>
      <c r="C3480" s="49"/>
      <c r="D3480" s="49"/>
      <c r="E3480" s="49"/>
      <c r="F3480" s="49"/>
      <c r="G3480" s="49"/>
    </row>
    <row r="3481" spans="2:7" s="63" customFormat="1">
      <c r="B3481" s="49"/>
      <c r="C3481" s="49"/>
      <c r="D3481" s="49"/>
      <c r="E3481" s="49"/>
      <c r="F3481" s="49"/>
      <c r="G3481" s="49"/>
    </row>
    <row r="3482" spans="2:7" s="63" customFormat="1">
      <c r="B3482" s="49"/>
      <c r="C3482" s="49"/>
      <c r="D3482" s="49"/>
      <c r="E3482" s="49"/>
      <c r="F3482" s="49"/>
      <c r="G3482" s="49"/>
    </row>
    <row r="3483" spans="2:7" s="63" customFormat="1">
      <c r="B3483" s="49"/>
      <c r="C3483" s="49"/>
      <c r="D3483" s="49"/>
      <c r="E3483" s="49"/>
      <c r="F3483" s="49"/>
      <c r="G3483" s="49"/>
    </row>
    <row r="3484" spans="2:7" s="63" customFormat="1">
      <c r="B3484" s="49"/>
      <c r="C3484" s="49"/>
      <c r="D3484" s="49"/>
      <c r="E3484" s="49"/>
      <c r="F3484" s="49"/>
      <c r="G3484" s="49"/>
    </row>
    <row r="3485" spans="2:7" s="63" customFormat="1">
      <c r="B3485" s="49"/>
      <c r="C3485" s="49"/>
      <c r="D3485" s="49"/>
      <c r="E3485" s="49"/>
      <c r="F3485" s="49"/>
      <c r="G3485" s="49"/>
    </row>
    <row r="3486" spans="2:7" s="63" customFormat="1">
      <c r="B3486" s="49"/>
      <c r="C3486" s="49"/>
      <c r="D3486" s="49"/>
      <c r="E3486" s="49"/>
      <c r="F3486" s="49"/>
      <c r="G3486" s="49"/>
    </row>
    <row r="3487" spans="2:7" s="63" customFormat="1">
      <c r="B3487" s="49"/>
      <c r="C3487" s="49"/>
      <c r="D3487" s="49"/>
      <c r="E3487" s="49"/>
      <c r="F3487" s="49"/>
      <c r="G3487" s="49"/>
    </row>
    <row r="3488" spans="2:7" s="63" customFormat="1">
      <c r="B3488" s="49"/>
      <c r="C3488" s="49"/>
      <c r="D3488" s="49"/>
      <c r="E3488" s="49"/>
      <c r="F3488" s="49"/>
      <c r="G3488" s="49"/>
    </row>
    <row r="3489" spans="2:7" s="63" customFormat="1">
      <c r="B3489" s="49"/>
      <c r="C3489" s="49"/>
      <c r="D3489" s="49"/>
      <c r="E3489" s="49"/>
      <c r="F3489" s="49"/>
      <c r="G3489" s="49"/>
    </row>
    <row r="3490" spans="2:7" s="63" customFormat="1">
      <c r="B3490" s="49"/>
      <c r="C3490" s="49"/>
      <c r="D3490" s="49"/>
      <c r="E3490" s="49"/>
      <c r="F3490" s="49"/>
      <c r="G3490" s="49"/>
    </row>
    <row r="3491" spans="2:7" s="63" customFormat="1">
      <c r="B3491" s="49"/>
      <c r="C3491" s="49"/>
      <c r="D3491" s="49"/>
      <c r="E3491" s="49"/>
      <c r="F3491" s="49"/>
      <c r="G3491" s="49"/>
    </row>
    <row r="3492" spans="2:7" s="63" customFormat="1">
      <c r="B3492" s="49"/>
      <c r="C3492" s="49"/>
      <c r="D3492" s="49"/>
      <c r="E3492" s="49"/>
      <c r="F3492" s="49"/>
      <c r="G3492" s="49"/>
    </row>
    <row r="3493" spans="2:7" s="63" customFormat="1">
      <c r="B3493" s="49"/>
      <c r="C3493" s="49"/>
      <c r="D3493" s="49"/>
      <c r="E3493" s="49"/>
      <c r="F3493" s="49"/>
      <c r="G3493" s="49"/>
    </row>
    <row r="3494" spans="2:7" s="63" customFormat="1">
      <c r="B3494" s="49"/>
      <c r="C3494" s="49"/>
      <c r="D3494" s="49"/>
      <c r="E3494" s="49"/>
      <c r="F3494" s="49"/>
      <c r="G3494" s="49"/>
    </row>
    <row r="3495" spans="2:7" s="63" customFormat="1">
      <c r="B3495" s="49"/>
      <c r="C3495" s="49"/>
      <c r="D3495" s="49"/>
      <c r="E3495" s="49"/>
      <c r="F3495" s="49"/>
      <c r="G3495" s="49"/>
    </row>
    <row r="3496" spans="2:7" s="63" customFormat="1">
      <c r="B3496" s="49"/>
      <c r="C3496" s="49"/>
      <c r="D3496" s="49"/>
      <c r="E3496" s="49"/>
      <c r="F3496" s="49"/>
      <c r="G3496" s="49"/>
    </row>
    <row r="3497" spans="2:7" s="63" customFormat="1">
      <c r="B3497" s="49"/>
      <c r="C3497" s="49"/>
      <c r="D3497" s="49"/>
      <c r="E3497" s="49"/>
      <c r="F3497" s="49"/>
      <c r="G3497" s="49"/>
    </row>
    <row r="3498" spans="2:7" s="63" customFormat="1">
      <c r="B3498" s="49"/>
      <c r="C3498" s="49"/>
      <c r="D3498" s="49"/>
      <c r="E3498" s="49"/>
      <c r="F3498" s="49"/>
      <c r="G3498" s="49"/>
    </row>
    <row r="3499" spans="2:7" s="63" customFormat="1">
      <c r="B3499" s="49"/>
      <c r="C3499" s="49"/>
      <c r="D3499" s="49"/>
      <c r="E3499" s="49"/>
      <c r="F3499" s="49"/>
      <c r="G3499" s="49"/>
    </row>
    <row r="3500" spans="2:7" s="63" customFormat="1">
      <c r="B3500" s="49"/>
      <c r="C3500" s="49"/>
      <c r="D3500" s="49"/>
      <c r="E3500" s="49"/>
      <c r="F3500" s="49"/>
      <c r="G3500" s="49"/>
    </row>
    <row r="3501" spans="2:7" s="63" customFormat="1">
      <c r="B3501" s="49"/>
      <c r="C3501" s="49"/>
      <c r="D3501" s="49"/>
      <c r="E3501" s="49"/>
      <c r="F3501" s="49"/>
      <c r="G3501" s="49"/>
    </row>
    <row r="3502" spans="2:7" s="63" customFormat="1">
      <c r="B3502" s="49"/>
      <c r="C3502" s="49"/>
      <c r="D3502" s="49"/>
      <c r="E3502" s="49"/>
      <c r="F3502" s="49"/>
      <c r="G3502" s="49"/>
    </row>
    <row r="3503" spans="2:7" s="63" customFormat="1">
      <c r="B3503" s="49"/>
      <c r="C3503" s="49"/>
      <c r="D3503" s="49"/>
      <c r="E3503" s="49"/>
      <c r="F3503" s="49"/>
      <c r="G3503" s="49"/>
    </row>
    <row r="3504" spans="2:7" s="63" customFormat="1">
      <c r="B3504" s="49"/>
      <c r="C3504" s="49"/>
      <c r="D3504" s="49"/>
      <c r="E3504" s="49"/>
      <c r="F3504" s="49"/>
      <c r="G3504" s="49"/>
    </row>
    <row r="3505" spans="2:7" s="63" customFormat="1">
      <c r="B3505" s="49"/>
      <c r="C3505" s="49"/>
      <c r="D3505" s="49"/>
      <c r="E3505" s="49"/>
      <c r="F3505" s="49"/>
      <c r="G3505" s="49"/>
    </row>
    <row r="3506" spans="2:7" s="63" customFormat="1">
      <c r="B3506" s="49"/>
      <c r="C3506" s="49"/>
      <c r="D3506" s="49"/>
      <c r="E3506" s="49"/>
      <c r="F3506" s="49"/>
      <c r="G3506" s="49"/>
    </row>
    <row r="3507" spans="2:7" s="63" customFormat="1">
      <c r="B3507" s="49"/>
      <c r="C3507" s="49"/>
      <c r="D3507" s="49"/>
      <c r="E3507" s="49"/>
      <c r="F3507" s="49"/>
      <c r="G3507" s="49"/>
    </row>
    <row r="3508" spans="2:7" s="63" customFormat="1">
      <c r="B3508" s="49"/>
      <c r="C3508" s="49"/>
      <c r="D3508" s="49"/>
      <c r="E3508" s="49"/>
      <c r="F3508" s="49"/>
      <c r="G3508" s="49"/>
    </row>
    <row r="3509" spans="2:7" s="63" customFormat="1">
      <c r="B3509" s="49"/>
      <c r="C3509" s="49"/>
      <c r="D3509" s="49"/>
      <c r="E3509" s="49"/>
      <c r="F3509" s="49"/>
      <c r="G3509" s="49"/>
    </row>
    <row r="3510" spans="2:7" s="63" customFormat="1">
      <c r="B3510" s="49"/>
      <c r="C3510" s="49"/>
      <c r="D3510" s="49"/>
      <c r="E3510" s="49"/>
      <c r="F3510" s="49"/>
      <c r="G3510" s="49"/>
    </row>
    <row r="3511" spans="2:7" s="63" customFormat="1">
      <c r="B3511" s="49"/>
      <c r="C3511" s="49"/>
      <c r="D3511" s="49"/>
      <c r="E3511" s="49"/>
      <c r="F3511" s="49"/>
      <c r="G3511" s="49"/>
    </row>
    <row r="3512" spans="2:7" s="63" customFormat="1">
      <c r="B3512" s="49"/>
      <c r="C3512" s="49"/>
      <c r="D3512" s="49"/>
      <c r="E3512" s="49"/>
      <c r="F3512" s="49"/>
      <c r="G3512" s="49"/>
    </row>
    <row r="3513" spans="2:7" s="63" customFormat="1">
      <c r="B3513" s="49"/>
      <c r="C3513" s="49"/>
      <c r="D3513" s="49"/>
      <c r="E3513" s="49"/>
      <c r="F3513" s="49"/>
      <c r="G3513" s="49"/>
    </row>
    <row r="3514" spans="2:7" s="63" customFormat="1">
      <c r="B3514" s="49"/>
      <c r="C3514" s="49"/>
      <c r="D3514" s="49"/>
      <c r="E3514" s="49"/>
      <c r="F3514" s="49"/>
      <c r="G3514" s="49"/>
    </row>
    <row r="3515" spans="2:7" s="63" customFormat="1">
      <c r="B3515" s="49"/>
      <c r="C3515" s="49"/>
      <c r="D3515" s="49"/>
      <c r="E3515" s="49"/>
      <c r="F3515" s="49"/>
      <c r="G3515" s="49"/>
    </row>
    <row r="3516" spans="2:7" s="63" customFormat="1">
      <c r="B3516" s="49"/>
      <c r="C3516" s="49"/>
      <c r="D3516" s="49"/>
      <c r="E3516" s="49"/>
      <c r="F3516" s="49"/>
      <c r="G3516" s="49"/>
    </row>
    <row r="3517" spans="2:7" s="63" customFormat="1">
      <c r="B3517" s="49"/>
      <c r="C3517" s="49"/>
      <c r="D3517" s="49"/>
      <c r="E3517" s="49"/>
      <c r="F3517" s="49"/>
      <c r="G3517" s="49"/>
    </row>
    <row r="3518" spans="2:7" s="63" customFormat="1">
      <c r="B3518" s="49"/>
      <c r="C3518" s="49"/>
      <c r="D3518" s="49"/>
      <c r="E3518" s="49"/>
      <c r="F3518" s="49"/>
      <c r="G3518" s="49"/>
    </row>
    <row r="3519" spans="2:7" s="63" customFormat="1">
      <c r="B3519" s="49"/>
      <c r="C3519" s="49"/>
      <c r="D3519" s="49"/>
      <c r="E3519" s="49"/>
      <c r="F3519" s="49"/>
      <c r="G3519" s="49"/>
    </row>
    <row r="3520" spans="2:7" s="63" customFormat="1">
      <c r="B3520" s="49"/>
      <c r="C3520" s="49"/>
      <c r="D3520" s="49"/>
      <c r="E3520" s="49"/>
      <c r="F3520" s="49"/>
      <c r="G3520" s="49"/>
    </row>
    <row r="3521" spans="2:7" s="63" customFormat="1">
      <c r="B3521" s="49"/>
      <c r="C3521" s="49"/>
      <c r="D3521" s="49"/>
      <c r="E3521" s="49"/>
      <c r="F3521" s="49"/>
      <c r="G3521" s="49"/>
    </row>
    <row r="3522" spans="2:7" s="63" customFormat="1">
      <c r="B3522" s="49"/>
      <c r="C3522" s="49"/>
      <c r="D3522" s="49"/>
      <c r="E3522" s="49"/>
      <c r="F3522" s="49"/>
      <c r="G3522" s="49"/>
    </row>
    <row r="3523" spans="2:7" s="63" customFormat="1">
      <c r="B3523" s="49"/>
      <c r="C3523" s="49"/>
      <c r="D3523" s="49"/>
      <c r="E3523" s="49"/>
      <c r="F3523" s="49"/>
      <c r="G3523" s="49"/>
    </row>
    <row r="3524" spans="2:7" s="63" customFormat="1">
      <c r="B3524" s="49"/>
      <c r="C3524" s="49"/>
      <c r="D3524" s="49"/>
      <c r="E3524" s="49"/>
      <c r="F3524" s="49"/>
      <c r="G3524" s="49"/>
    </row>
    <row r="3525" spans="2:7" s="63" customFormat="1">
      <c r="B3525" s="49"/>
      <c r="C3525" s="49"/>
      <c r="D3525" s="49"/>
      <c r="E3525" s="49"/>
      <c r="F3525" s="49"/>
      <c r="G3525" s="49"/>
    </row>
    <row r="3526" spans="2:7" s="63" customFormat="1">
      <c r="B3526" s="49"/>
      <c r="C3526" s="49"/>
      <c r="D3526" s="49"/>
      <c r="E3526" s="49"/>
      <c r="F3526" s="49"/>
      <c r="G3526" s="49"/>
    </row>
    <row r="3527" spans="2:7" s="63" customFormat="1">
      <c r="B3527" s="49"/>
      <c r="C3527" s="49"/>
      <c r="D3527" s="49"/>
      <c r="E3527" s="49"/>
      <c r="F3527" s="49"/>
      <c r="G3527" s="49"/>
    </row>
    <row r="3528" spans="2:7" s="63" customFormat="1">
      <c r="B3528" s="49"/>
      <c r="C3528" s="49"/>
      <c r="D3528" s="49"/>
      <c r="E3528" s="49"/>
      <c r="F3528" s="49"/>
      <c r="G3528" s="49"/>
    </row>
    <row r="3529" spans="2:7" s="63" customFormat="1">
      <c r="B3529" s="49"/>
      <c r="C3529" s="49"/>
      <c r="D3529" s="49"/>
      <c r="E3529" s="49"/>
      <c r="F3529" s="49"/>
      <c r="G3529" s="49"/>
    </row>
    <row r="3530" spans="2:7" s="63" customFormat="1">
      <c r="B3530" s="49"/>
      <c r="C3530" s="49"/>
      <c r="D3530" s="49"/>
      <c r="E3530" s="49"/>
      <c r="F3530" s="49"/>
      <c r="G3530" s="49"/>
    </row>
    <row r="3531" spans="2:7" s="63" customFormat="1">
      <c r="B3531" s="49"/>
      <c r="C3531" s="49"/>
      <c r="D3531" s="49"/>
      <c r="E3531" s="49"/>
      <c r="F3531" s="49"/>
      <c r="G3531" s="49"/>
    </row>
    <row r="3532" spans="2:7" s="63" customFormat="1">
      <c r="B3532" s="49"/>
      <c r="C3532" s="49"/>
      <c r="D3532" s="49"/>
      <c r="E3532" s="49"/>
      <c r="F3532" s="49"/>
      <c r="G3532" s="49"/>
    </row>
    <row r="3533" spans="2:7" s="63" customFormat="1">
      <c r="B3533" s="49"/>
      <c r="C3533" s="49"/>
      <c r="D3533" s="49"/>
      <c r="E3533" s="49"/>
      <c r="F3533" s="49"/>
      <c r="G3533" s="49"/>
    </row>
    <row r="3534" spans="2:7" s="63" customFormat="1">
      <c r="B3534" s="49"/>
      <c r="C3534" s="49"/>
      <c r="D3534" s="49"/>
      <c r="E3534" s="49"/>
      <c r="F3534" s="49"/>
      <c r="G3534" s="49"/>
    </row>
    <row r="3535" spans="2:7" s="63" customFormat="1">
      <c r="B3535" s="49"/>
      <c r="C3535" s="49"/>
      <c r="D3535" s="49"/>
      <c r="E3535" s="49"/>
      <c r="F3535" s="49"/>
      <c r="G3535" s="49"/>
    </row>
    <row r="3536" spans="2:7" s="63" customFormat="1">
      <c r="B3536" s="49"/>
      <c r="C3536" s="49"/>
      <c r="D3536" s="49"/>
      <c r="E3536" s="49"/>
      <c r="F3536" s="49"/>
      <c r="G3536" s="49"/>
    </row>
    <row r="3537" spans="2:7" s="63" customFormat="1">
      <c r="B3537" s="49"/>
      <c r="C3537" s="49"/>
      <c r="D3537" s="49"/>
      <c r="E3537" s="49"/>
      <c r="F3537" s="49"/>
      <c r="G3537" s="49"/>
    </row>
    <row r="3538" spans="2:7" s="63" customFormat="1">
      <c r="B3538" s="49"/>
      <c r="C3538" s="49"/>
      <c r="D3538" s="49"/>
      <c r="E3538" s="49"/>
      <c r="F3538" s="49"/>
      <c r="G3538" s="49"/>
    </row>
    <row r="3539" spans="2:7" s="63" customFormat="1">
      <c r="B3539" s="49"/>
      <c r="C3539" s="49"/>
      <c r="D3539" s="49"/>
      <c r="E3539" s="49"/>
      <c r="F3539" s="49"/>
      <c r="G3539" s="49"/>
    </row>
    <row r="3540" spans="2:7" s="63" customFormat="1">
      <c r="B3540" s="49"/>
      <c r="C3540" s="49"/>
      <c r="D3540" s="49"/>
      <c r="E3540" s="49"/>
      <c r="F3540" s="49"/>
      <c r="G3540" s="49"/>
    </row>
    <row r="3541" spans="2:7" s="63" customFormat="1">
      <c r="B3541" s="49"/>
      <c r="C3541" s="49"/>
      <c r="D3541" s="49"/>
      <c r="E3541" s="49"/>
      <c r="F3541" s="49"/>
      <c r="G3541" s="49"/>
    </row>
    <row r="3542" spans="2:7" s="63" customFormat="1">
      <c r="B3542" s="49"/>
      <c r="C3542" s="49"/>
      <c r="D3542" s="49"/>
      <c r="E3542" s="49"/>
      <c r="F3542" s="49"/>
      <c r="G3542" s="49"/>
    </row>
    <row r="3543" spans="2:7" s="63" customFormat="1">
      <c r="B3543" s="49"/>
      <c r="C3543" s="49"/>
      <c r="D3543" s="49"/>
      <c r="E3543" s="49"/>
      <c r="F3543" s="49"/>
      <c r="G3543" s="49"/>
    </row>
    <row r="3544" spans="2:7" s="63" customFormat="1">
      <c r="B3544" s="49"/>
      <c r="C3544" s="49"/>
      <c r="D3544" s="49"/>
      <c r="E3544" s="49"/>
      <c r="F3544" s="49"/>
      <c r="G3544" s="49"/>
    </row>
    <row r="3545" spans="2:7" s="63" customFormat="1">
      <c r="B3545" s="49"/>
      <c r="C3545" s="49"/>
      <c r="D3545" s="49"/>
      <c r="E3545" s="49"/>
      <c r="F3545" s="49"/>
      <c r="G3545" s="49"/>
    </row>
    <row r="3546" spans="2:7" s="63" customFormat="1">
      <c r="B3546" s="49"/>
      <c r="C3546" s="49"/>
      <c r="D3546" s="49"/>
      <c r="E3546" s="49"/>
      <c r="F3546" s="49"/>
      <c r="G3546" s="49"/>
    </row>
    <row r="3547" spans="2:7" s="63" customFormat="1">
      <c r="B3547" s="49"/>
      <c r="C3547" s="49"/>
      <c r="D3547" s="49"/>
      <c r="E3547" s="49"/>
      <c r="F3547" s="49"/>
      <c r="G3547" s="49"/>
    </row>
    <row r="3548" spans="2:7" s="63" customFormat="1">
      <c r="B3548" s="49"/>
      <c r="C3548" s="49"/>
      <c r="D3548" s="49"/>
      <c r="E3548" s="49"/>
      <c r="F3548" s="49"/>
      <c r="G3548" s="49"/>
    </row>
    <row r="3549" spans="2:7" s="63" customFormat="1">
      <c r="B3549" s="49"/>
      <c r="C3549" s="49"/>
      <c r="D3549" s="49"/>
      <c r="E3549" s="49"/>
      <c r="F3549" s="49"/>
      <c r="G3549" s="49"/>
    </row>
    <row r="3550" spans="2:7" s="63" customFormat="1">
      <c r="B3550" s="49"/>
      <c r="C3550" s="49"/>
      <c r="D3550" s="49"/>
      <c r="E3550" s="49"/>
      <c r="F3550" s="49"/>
      <c r="G3550" s="49"/>
    </row>
    <row r="3551" spans="2:7" s="63" customFormat="1">
      <c r="B3551" s="49"/>
      <c r="C3551" s="49"/>
      <c r="D3551" s="49"/>
      <c r="E3551" s="49"/>
      <c r="F3551" s="49"/>
      <c r="G3551" s="49"/>
    </row>
    <row r="3552" spans="2:7" s="63" customFormat="1">
      <c r="B3552" s="49"/>
      <c r="C3552" s="49"/>
      <c r="D3552" s="49"/>
      <c r="E3552" s="49"/>
      <c r="F3552" s="49"/>
      <c r="G3552" s="49"/>
    </row>
    <row r="3553" spans="2:7" s="63" customFormat="1">
      <c r="B3553" s="49"/>
      <c r="C3553" s="49"/>
      <c r="D3553" s="49"/>
      <c r="E3553" s="49"/>
      <c r="F3553" s="49"/>
      <c r="G3553" s="49"/>
    </row>
    <row r="3554" spans="2:7" s="63" customFormat="1">
      <c r="B3554" s="49"/>
      <c r="C3554" s="49"/>
      <c r="D3554" s="49"/>
      <c r="E3554" s="49"/>
      <c r="F3554" s="49"/>
      <c r="G3554" s="49"/>
    </row>
    <row r="3555" spans="2:7" s="63" customFormat="1">
      <c r="B3555" s="49"/>
      <c r="C3555" s="49"/>
      <c r="D3555" s="49"/>
      <c r="E3555" s="49"/>
      <c r="F3555" s="49"/>
      <c r="G3555" s="49"/>
    </row>
    <row r="3556" spans="2:7" s="63" customFormat="1">
      <c r="B3556" s="49"/>
      <c r="C3556" s="49"/>
      <c r="D3556" s="49"/>
      <c r="E3556" s="49"/>
      <c r="F3556" s="49"/>
      <c r="G3556" s="49"/>
    </row>
    <row r="3557" spans="2:7" s="63" customFormat="1">
      <c r="B3557" s="49"/>
      <c r="C3557" s="49"/>
      <c r="D3557" s="49"/>
      <c r="E3557" s="49"/>
      <c r="F3557" s="49"/>
      <c r="G3557" s="49"/>
    </row>
    <row r="3558" spans="2:7" s="63" customFormat="1">
      <c r="B3558" s="49"/>
      <c r="C3558" s="49"/>
      <c r="D3558" s="49"/>
      <c r="E3558" s="49"/>
      <c r="F3558" s="49"/>
      <c r="G3558" s="49"/>
    </row>
    <row r="3559" spans="2:7" s="63" customFormat="1">
      <c r="B3559" s="49"/>
      <c r="C3559" s="49"/>
      <c r="D3559" s="49"/>
      <c r="E3559" s="49"/>
      <c r="F3559" s="49"/>
      <c r="G3559" s="49"/>
    </row>
    <row r="3560" spans="2:7" s="63" customFormat="1">
      <c r="B3560" s="49"/>
      <c r="C3560" s="49"/>
      <c r="D3560" s="49"/>
      <c r="E3560" s="49"/>
      <c r="F3560" s="49"/>
      <c r="G3560" s="49"/>
    </row>
    <row r="3561" spans="2:7" s="63" customFormat="1">
      <c r="B3561" s="49"/>
      <c r="C3561" s="49"/>
      <c r="D3561" s="49"/>
      <c r="E3561" s="49"/>
      <c r="F3561" s="49"/>
      <c r="G3561" s="49"/>
    </row>
    <row r="3562" spans="2:7" s="63" customFormat="1">
      <c r="B3562" s="49"/>
      <c r="C3562" s="49"/>
      <c r="D3562" s="49"/>
      <c r="E3562" s="49"/>
      <c r="F3562" s="49"/>
      <c r="G3562" s="49"/>
    </row>
    <row r="3563" spans="2:7" s="63" customFormat="1">
      <c r="B3563" s="49"/>
      <c r="C3563" s="49"/>
      <c r="D3563" s="49"/>
      <c r="E3563" s="49"/>
      <c r="F3563" s="49"/>
      <c r="G3563" s="49"/>
    </row>
    <row r="3564" spans="2:7" s="63" customFormat="1">
      <c r="B3564" s="49"/>
      <c r="C3564" s="49"/>
      <c r="D3564" s="49"/>
      <c r="E3564" s="49"/>
      <c r="F3564" s="49"/>
      <c r="G3564" s="49"/>
    </row>
    <row r="3565" spans="2:7" s="63" customFormat="1">
      <c r="B3565" s="49"/>
      <c r="C3565" s="49"/>
      <c r="D3565" s="49"/>
      <c r="E3565" s="49"/>
      <c r="F3565" s="49"/>
      <c r="G3565" s="49"/>
    </row>
    <row r="3566" spans="2:7" s="63" customFormat="1">
      <c r="B3566" s="49"/>
      <c r="C3566" s="49"/>
      <c r="D3566" s="49"/>
      <c r="E3566" s="49"/>
      <c r="F3566" s="49"/>
      <c r="G3566" s="49"/>
    </row>
    <row r="3567" spans="2:7" s="63" customFormat="1">
      <c r="B3567" s="49"/>
      <c r="C3567" s="49"/>
      <c r="D3567" s="49"/>
      <c r="E3567" s="49"/>
      <c r="F3567" s="49"/>
      <c r="G3567" s="49"/>
    </row>
    <row r="3568" spans="2:7" s="63" customFormat="1">
      <c r="B3568" s="49"/>
      <c r="C3568" s="49"/>
      <c r="D3568" s="49"/>
      <c r="E3568" s="49"/>
      <c r="F3568" s="49"/>
      <c r="G3568" s="49"/>
    </row>
    <row r="3569" spans="2:7" s="63" customFormat="1">
      <c r="B3569" s="49"/>
      <c r="C3569" s="49"/>
      <c r="D3569" s="49"/>
      <c r="E3569" s="49"/>
      <c r="F3569" s="49"/>
      <c r="G3569" s="49"/>
    </row>
    <row r="3570" spans="2:7" s="63" customFormat="1">
      <c r="B3570" s="49"/>
      <c r="C3570" s="49"/>
      <c r="D3570" s="49"/>
      <c r="E3570" s="49"/>
      <c r="F3570" s="49"/>
      <c r="G3570" s="49"/>
    </row>
    <row r="3571" spans="2:7" s="63" customFormat="1">
      <c r="B3571" s="49"/>
      <c r="C3571" s="49"/>
      <c r="D3571" s="49"/>
      <c r="E3571" s="49"/>
      <c r="F3571" s="49"/>
      <c r="G3571" s="49"/>
    </row>
    <row r="3572" spans="2:7" s="63" customFormat="1">
      <c r="B3572" s="49"/>
      <c r="C3572" s="49"/>
      <c r="D3572" s="49"/>
      <c r="E3572" s="49"/>
      <c r="F3572" s="49"/>
      <c r="G3572" s="49"/>
    </row>
    <row r="3573" spans="2:7" s="63" customFormat="1">
      <c r="B3573" s="49"/>
      <c r="C3573" s="49"/>
      <c r="D3573" s="49"/>
      <c r="E3573" s="49"/>
      <c r="F3573" s="49"/>
      <c r="G3573" s="49"/>
    </row>
    <row r="3574" spans="2:7" s="63" customFormat="1">
      <c r="B3574" s="49"/>
      <c r="C3574" s="49"/>
      <c r="D3574" s="49"/>
      <c r="E3574" s="49"/>
      <c r="F3574" s="49"/>
      <c r="G3574" s="49"/>
    </row>
    <row r="3575" spans="2:7" s="63" customFormat="1">
      <c r="B3575" s="49"/>
      <c r="C3575" s="49"/>
      <c r="D3575" s="49"/>
      <c r="E3575" s="49"/>
      <c r="F3575" s="49"/>
      <c r="G3575" s="49"/>
    </row>
    <row r="3576" spans="2:7" s="63" customFormat="1">
      <c r="B3576" s="49"/>
      <c r="C3576" s="49"/>
      <c r="D3576" s="49"/>
      <c r="E3576" s="49"/>
      <c r="F3576" s="49"/>
      <c r="G3576" s="49"/>
    </row>
    <row r="3577" spans="2:7" s="63" customFormat="1">
      <c r="B3577" s="49"/>
      <c r="C3577" s="49"/>
      <c r="D3577" s="49"/>
      <c r="E3577" s="49"/>
      <c r="F3577" s="49"/>
      <c r="G3577" s="49"/>
    </row>
    <row r="3578" spans="2:7" s="63" customFormat="1">
      <c r="B3578" s="49"/>
      <c r="C3578" s="49"/>
      <c r="D3578" s="49"/>
      <c r="E3578" s="49"/>
      <c r="F3578" s="49"/>
      <c r="G3578" s="49"/>
    </row>
    <row r="3579" spans="2:7" s="63" customFormat="1">
      <c r="B3579" s="49"/>
      <c r="C3579" s="49"/>
      <c r="D3579" s="49"/>
      <c r="E3579" s="49"/>
      <c r="F3579" s="49"/>
      <c r="G3579" s="49"/>
    </row>
    <row r="3580" spans="2:7" s="63" customFormat="1">
      <c r="B3580" s="49"/>
      <c r="C3580" s="49"/>
      <c r="D3580" s="49"/>
      <c r="E3580" s="49"/>
      <c r="F3580" s="49"/>
      <c r="G3580" s="49"/>
    </row>
    <row r="3581" spans="2:7" s="63" customFormat="1">
      <c r="B3581" s="49"/>
      <c r="C3581" s="49"/>
      <c r="D3581" s="49"/>
      <c r="E3581" s="49"/>
      <c r="F3581" s="49"/>
      <c r="G3581" s="49"/>
    </row>
    <row r="3582" spans="2:7" s="63" customFormat="1">
      <c r="B3582" s="49"/>
      <c r="C3582" s="49"/>
      <c r="D3582" s="49"/>
      <c r="E3582" s="49"/>
      <c r="F3582" s="49"/>
      <c r="G3582" s="49"/>
    </row>
    <row r="3583" spans="2:7" s="63" customFormat="1">
      <c r="B3583" s="49"/>
      <c r="C3583" s="49"/>
      <c r="D3583" s="49"/>
      <c r="E3583" s="49"/>
      <c r="F3583" s="49"/>
      <c r="G3583" s="49"/>
    </row>
    <row r="3584" spans="2:7" s="63" customFormat="1">
      <c r="B3584" s="49"/>
      <c r="C3584" s="49"/>
      <c r="D3584" s="49"/>
      <c r="E3584" s="49"/>
      <c r="F3584" s="49"/>
      <c r="G3584" s="49"/>
    </row>
    <row r="3585" spans="2:7" s="63" customFormat="1">
      <c r="B3585" s="49"/>
      <c r="C3585" s="49"/>
      <c r="D3585" s="49"/>
      <c r="E3585" s="49"/>
      <c r="F3585" s="49"/>
      <c r="G3585" s="49"/>
    </row>
    <row r="3586" spans="2:7" s="63" customFormat="1">
      <c r="B3586" s="49"/>
      <c r="C3586" s="49"/>
      <c r="D3586" s="49"/>
      <c r="E3586" s="49"/>
      <c r="F3586" s="49"/>
      <c r="G3586" s="49"/>
    </row>
    <row r="3587" spans="2:7" s="63" customFormat="1">
      <c r="B3587" s="49"/>
      <c r="C3587" s="49"/>
      <c r="D3587" s="49"/>
      <c r="E3587" s="49"/>
      <c r="F3587" s="49"/>
      <c r="G3587" s="49"/>
    </row>
    <row r="3588" spans="2:7" s="63" customFormat="1">
      <c r="B3588" s="49"/>
      <c r="C3588" s="49"/>
      <c r="D3588" s="49"/>
      <c r="E3588" s="49"/>
      <c r="F3588" s="49"/>
      <c r="G3588" s="49"/>
    </row>
    <row r="3589" spans="2:7" s="63" customFormat="1">
      <c r="B3589" s="49"/>
      <c r="C3589" s="49"/>
      <c r="D3589" s="49"/>
      <c r="E3589" s="49"/>
      <c r="F3589" s="49"/>
      <c r="G3589" s="49"/>
    </row>
    <row r="3590" spans="2:7" s="63" customFormat="1">
      <c r="B3590" s="49"/>
      <c r="C3590" s="49"/>
      <c r="D3590" s="49"/>
      <c r="E3590" s="49"/>
      <c r="F3590" s="49"/>
      <c r="G3590" s="49"/>
    </row>
    <row r="3591" spans="2:7" s="63" customFormat="1">
      <c r="B3591" s="49"/>
      <c r="C3591" s="49"/>
      <c r="D3591" s="49"/>
      <c r="E3591" s="49"/>
      <c r="F3591" s="49"/>
      <c r="G3591" s="49"/>
    </row>
    <row r="3592" spans="2:7" s="63" customFormat="1">
      <c r="B3592" s="49"/>
      <c r="C3592" s="49"/>
      <c r="D3592" s="49"/>
      <c r="E3592" s="49"/>
      <c r="F3592" s="49"/>
      <c r="G3592" s="49"/>
    </row>
    <row r="3593" spans="2:7" s="63" customFormat="1">
      <c r="B3593" s="49"/>
      <c r="C3593" s="49"/>
      <c r="D3593" s="49"/>
      <c r="E3593" s="49"/>
      <c r="F3593" s="49"/>
      <c r="G3593" s="49"/>
    </row>
    <row r="3594" spans="2:7" s="63" customFormat="1">
      <c r="B3594" s="49"/>
      <c r="C3594" s="49"/>
      <c r="D3594" s="49"/>
      <c r="E3594" s="49"/>
      <c r="F3594" s="49"/>
      <c r="G3594" s="49"/>
    </row>
    <row r="3595" spans="2:7" s="63" customFormat="1">
      <c r="B3595" s="49"/>
      <c r="C3595" s="49"/>
      <c r="D3595" s="49"/>
      <c r="E3595" s="49"/>
      <c r="F3595" s="49"/>
      <c r="G3595" s="49"/>
    </row>
    <row r="3596" spans="2:7" s="63" customFormat="1">
      <c r="B3596" s="49"/>
      <c r="C3596" s="49"/>
      <c r="D3596" s="49"/>
      <c r="E3596" s="49"/>
      <c r="F3596" s="49"/>
      <c r="G3596" s="49"/>
    </row>
    <row r="3597" spans="2:7" s="63" customFormat="1">
      <c r="B3597" s="49"/>
      <c r="C3597" s="49"/>
      <c r="D3597" s="49"/>
      <c r="E3597" s="49"/>
      <c r="F3597" s="49"/>
      <c r="G3597" s="49"/>
    </row>
    <row r="3598" spans="2:7" s="63" customFormat="1">
      <c r="B3598" s="49"/>
      <c r="C3598" s="49"/>
      <c r="D3598" s="49"/>
      <c r="E3598" s="49"/>
      <c r="F3598" s="49"/>
      <c r="G3598" s="49"/>
    </row>
    <row r="3599" spans="2:7" s="63" customFormat="1">
      <c r="B3599" s="49"/>
      <c r="C3599" s="49"/>
      <c r="D3599" s="49"/>
      <c r="E3599" s="49"/>
      <c r="F3599" s="49"/>
      <c r="G3599" s="49"/>
    </row>
    <row r="3600" spans="2:7" s="63" customFormat="1">
      <c r="B3600" s="49"/>
      <c r="C3600" s="49"/>
      <c r="D3600" s="49"/>
      <c r="E3600" s="49"/>
      <c r="F3600" s="49"/>
      <c r="G3600" s="49"/>
    </row>
    <row r="3601" spans="2:7" s="63" customFormat="1">
      <c r="B3601" s="49"/>
      <c r="C3601" s="49"/>
      <c r="D3601" s="49"/>
      <c r="E3601" s="49"/>
      <c r="F3601" s="49"/>
      <c r="G3601" s="49"/>
    </row>
    <row r="3602" spans="2:7" s="63" customFormat="1">
      <c r="B3602" s="49"/>
      <c r="C3602" s="49"/>
      <c r="D3602" s="49"/>
      <c r="E3602" s="49"/>
      <c r="F3602" s="49"/>
      <c r="G3602" s="49"/>
    </row>
    <row r="3603" spans="2:7" s="63" customFormat="1">
      <c r="B3603" s="49"/>
      <c r="C3603" s="49"/>
      <c r="D3603" s="49"/>
      <c r="E3603" s="49"/>
      <c r="F3603" s="49"/>
      <c r="G3603" s="49"/>
    </row>
    <row r="3604" spans="2:7" s="63" customFormat="1">
      <c r="B3604" s="49"/>
      <c r="C3604" s="49"/>
      <c r="D3604" s="49"/>
      <c r="E3604" s="49"/>
      <c r="F3604" s="49"/>
      <c r="G3604" s="49"/>
    </row>
    <row r="3605" spans="2:7" s="63" customFormat="1">
      <c r="B3605" s="49"/>
      <c r="C3605" s="49"/>
      <c r="D3605" s="49"/>
      <c r="E3605" s="49"/>
      <c r="F3605" s="49"/>
      <c r="G3605" s="49"/>
    </row>
    <row r="3606" spans="2:7" s="63" customFormat="1">
      <c r="B3606" s="49"/>
      <c r="C3606" s="49"/>
      <c r="D3606" s="49"/>
      <c r="E3606" s="49"/>
      <c r="F3606" s="49"/>
      <c r="G3606" s="49"/>
    </row>
    <row r="3607" spans="2:7" s="63" customFormat="1">
      <c r="B3607" s="49"/>
      <c r="C3607" s="49"/>
      <c r="D3607" s="49"/>
      <c r="E3607" s="49"/>
      <c r="F3607" s="49"/>
      <c r="G3607" s="49"/>
    </row>
    <row r="3608" spans="2:7" s="63" customFormat="1">
      <c r="B3608" s="49"/>
      <c r="C3608" s="49"/>
      <c r="D3608" s="49"/>
      <c r="E3608" s="49"/>
      <c r="F3608" s="49"/>
      <c r="G3608" s="49"/>
    </row>
    <row r="3609" spans="2:7" s="63" customFormat="1">
      <c r="B3609" s="49"/>
      <c r="C3609" s="49"/>
      <c r="D3609" s="49"/>
      <c r="E3609" s="49"/>
      <c r="F3609" s="49"/>
      <c r="G3609" s="49"/>
    </row>
    <row r="3610" spans="2:7" s="63" customFormat="1">
      <c r="B3610" s="49"/>
      <c r="C3610" s="49"/>
      <c r="D3610" s="49"/>
      <c r="E3610" s="49"/>
      <c r="F3610" s="49"/>
      <c r="G3610" s="49"/>
    </row>
    <row r="3611" spans="2:7" s="63" customFormat="1">
      <c r="B3611" s="49"/>
      <c r="C3611" s="49"/>
      <c r="D3611" s="49"/>
      <c r="E3611" s="49"/>
      <c r="F3611" s="49"/>
      <c r="G3611" s="49"/>
    </row>
    <row r="3612" spans="2:7" s="63" customFormat="1">
      <c r="B3612" s="49"/>
      <c r="C3612" s="49"/>
      <c r="D3612" s="49"/>
      <c r="E3612" s="49"/>
      <c r="F3612" s="49"/>
      <c r="G3612" s="49"/>
    </row>
    <row r="3613" spans="2:7" s="63" customFormat="1">
      <c r="B3613" s="49"/>
      <c r="C3613" s="49"/>
      <c r="D3613" s="49"/>
      <c r="E3613" s="49"/>
      <c r="F3613" s="49"/>
      <c r="G3613" s="49"/>
    </row>
    <row r="3614" spans="2:7" s="63" customFormat="1">
      <c r="B3614" s="49"/>
      <c r="C3614" s="49"/>
      <c r="D3614" s="49"/>
      <c r="E3614" s="49"/>
      <c r="F3614" s="49"/>
      <c r="G3614" s="49"/>
    </row>
    <row r="3615" spans="2:7" s="63" customFormat="1">
      <c r="B3615" s="49"/>
      <c r="C3615" s="49"/>
      <c r="D3615" s="49"/>
      <c r="E3615" s="49"/>
      <c r="F3615" s="49"/>
      <c r="G3615" s="49"/>
    </row>
    <row r="3616" spans="2:7" s="63" customFormat="1">
      <c r="B3616" s="49"/>
      <c r="C3616" s="49"/>
      <c r="D3616" s="49"/>
      <c r="E3616" s="49"/>
      <c r="F3616" s="49"/>
      <c r="G3616" s="49"/>
    </row>
    <row r="3617" spans="2:7" s="63" customFormat="1">
      <c r="B3617" s="49"/>
      <c r="C3617" s="49"/>
      <c r="D3617" s="49"/>
      <c r="E3617" s="49"/>
      <c r="F3617" s="49"/>
      <c r="G3617" s="49"/>
    </row>
    <row r="3618" spans="2:7" s="63" customFormat="1">
      <c r="B3618" s="49"/>
      <c r="C3618" s="49"/>
      <c r="D3618" s="49"/>
      <c r="E3618" s="49"/>
      <c r="F3618" s="49"/>
      <c r="G3618" s="49"/>
    </row>
    <row r="3619" spans="2:7" s="63" customFormat="1">
      <c r="B3619" s="49"/>
      <c r="C3619" s="49"/>
      <c r="D3619" s="49"/>
      <c r="E3619" s="49"/>
      <c r="F3619" s="49"/>
      <c r="G3619" s="49"/>
    </row>
    <row r="3620" spans="2:7" s="63" customFormat="1">
      <c r="B3620" s="49"/>
      <c r="C3620" s="49"/>
      <c r="D3620" s="49"/>
      <c r="E3620" s="49"/>
      <c r="F3620" s="49"/>
      <c r="G3620" s="49"/>
    </row>
    <row r="3621" spans="2:7" s="63" customFormat="1">
      <c r="B3621" s="49"/>
      <c r="C3621" s="49"/>
      <c r="D3621" s="49"/>
      <c r="E3621" s="49"/>
      <c r="F3621" s="49"/>
      <c r="G3621" s="49"/>
    </row>
    <row r="3622" spans="2:7" s="63" customFormat="1">
      <c r="B3622" s="49"/>
      <c r="C3622" s="49"/>
      <c r="D3622" s="49"/>
      <c r="E3622" s="49"/>
      <c r="F3622" s="49"/>
      <c r="G3622" s="49"/>
    </row>
    <row r="3623" spans="2:7" s="63" customFormat="1">
      <c r="B3623" s="49"/>
      <c r="C3623" s="49"/>
      <c r="D3623" s="49"/>
      <c r="E3623" s="49"/>
      <c r="F3623" s="49"/>
      <c r="G3623" s="49"/>
    </row>
    <row r="3624" spans="2:7" s="63" customFormat="1">
      <c r="B3624" s="49"/>
      <c r="C3624" s="49"/>
      <c r="D3624" s="49"/>
      <c r="E3624" s="49"/>
      <c r="F3624" s="49"/>
      <c r="G3624" s="49"/>
    </row>
    <row r="3625" spans="2:7" s="63" customFormat="1">
      <c r="B3625" s="49"/>
      <c r="C3625" s="49"/>
      <c r="D3625" s="49"/>
      <c r="E3625" s="49"/>
      <c r="F3625" s="49"/>
      <c r="G3625" s="49"/>
    </row>
    <row r="3626" spans="2:7" s="63" customFormat="1">
      <c r="B3626" s="49"/>
      <c r="C3626" s="49"/>
      <c r="D3626" s="49"/>
      <c r="E3626" s="49"/>
      <c r="F3626" s="49"/>
      <c r="G3626" s="49"/>
    </row>
    <row r="3627" spans="2:7" s="63" customFormat="1">
      <c r="B3627" s="49"/>
      <c r="C3627" s="49"/>
      <c r="D3627" s="49"/>
      <c r="E3627" s="49"/>
      <c r="F3627" s="49"/>
      <c r="G3627" s="49"/>
    </row>
    <row r="3628" spans="2:7" s="63" customFormat="1">
      <c r="B3628" s="49"/>
      <c r="C3628" s="49"/>
      <c r="D3628" s="49"/>
      <c r="E3628" s="49"/>
      <c r="F3628" s="49"/>
      <c r="G3628" s="49"/>
    </row>
    <row r="3629" spans="2:7" s="63" customFormat="1">
      <c r="B3629" s="49"/>
      <c r="C3629" s="49"/>
      <c r="D3629" s="49"/>
      <c r="E3629" s="49"/>
      <c r="F3629" s="49"/>
      <c r="G3629" s="49"/>
    </row>
    <row r="3630" spans="2:7" s="63" customFormat="1">
      <c r="B3630" s="49"/>
      <c r="C3630" s="49"/>
      <c r="D3630" s="49"/>
      <c r="E3630" s="49"/>
      <c r="F3630" s="49"/>
      <c r="G3630" s="49"/>
    </row>
    <row r="3631" spans="2:7" s="63" customFormat="1">
      <c r="B3631" s="49"/>
      <c r="C3631" s="49"/>
      <c r="D3631" s="49"/>
      <c r="E3631" s="49"/>
      <c r="F3631" s="49"/>
      <c r="G3631" s="49"/>
    </row>
    <row r="3632" spans="2:7" s="63" customFormat="1">
      <c r="B3632" s="49"/>
      <c r="C3632" s="49"/>
      <c r="D3632" s="49"/>
      <c r="E3632" s="49"/>
      <c r="F3632" s="49"/>
      <c r="G3632" s="49"/>
    </row>
    <row r="3633" spans="2:7" s="63" customFormat="1">
      <c r="B3633" s="49"/>
      <c r="C3633" s="49"/>
      <c r="D3633" s="49"/>
      <c r="E3633" s="49"/>
      <c r="F3633" s="49"/>
      <c r="G3633" s="49"/>
    </row>
    <row r="3634" spans="2:7" s="63" customFormat="1">
      <c r="B3634" s="49"/>
      <c r="C3634" s="49"/>
      <c r="D3634" s="49"/>
      <c r="E3634" s="49"/>
      <c r="F3634" s="49"/>
      <c r="G3634" s="49"/>
    </row>
    <row r="3635" spans="2:7" s="63" customFormat="1">
      <c r="B3635" s="49"/>
      <c r="C3635" s="49"/>
      <c r="D3635" s="49"/>
      <c r="E3635" s="49"/>
      <c r="F3635" s="49"/>
      <c r="G3635" s="49"/>
    </row>
    <row r="3636" spans="2:7" s="63" customFormat="1">
      <c r="B3636" s="49"/>
      <c r="C3636" s="49"/>
      <c r="D3636" s="49"/>
      <c r="E3636" s="49"/>
      <c r="F3636" s="49"/>
      <c r="G3636" s="49"/>
    </row>
    <row r="3637" spans="2:7" s="63" customFormat="1">
      <c r="B3637" s="49"/>
      <c r="C3637" s="49"/>
      <c r="D3637" s="49"/>
      <c r="E3637" s="49"/>
      <c r="F3637" s="49"/>
      <c r="G3637" s="49"/>
    </row>
    <row r="3638" spans="2:7" s="63" customFormat="1">
      <c r="B3638" s="49"/>
      <c r="C3638" s="49"/>
      <c r="D3638" s="49"/>
      <c r="E3638" s="49"/>
      <c r="F3638" s="49"/>
      <c r="G3638" s="49"/>
    </row>
    <row r="3639" spans="2:7" s="63" customFormat="1">
      <c r="B3639" s="49"/>
      <c r="C3639" s="49"/>
      <c r="D3639" s="49"/>
      <c r="E3639" s="49"/>
      <c r="F3639" s="49"/>
      <c r="G3639" s="49"/>
    </row>
    <row r="3640" spans="2:7" s="63" customFormat="1">
      <c r="B3640" s="49"/>
      <c r="C3640" s="49"/>
      <c r="D3640" s="49"/>
      <c r="E3640" s="49"/>
      <c r="F3640" s="49"/>
      <c r="G3640" s="49"/>
    </row>
    <row r="3641" spans="2:7" s="63" customFormat="1">
      <c r="B3641" s="49"/>
      <c r="C3641" s="49"/>
      <c r="D3641" s="49"/>
      <c r="E3641" s="49"/>
      <c r="F3641" s="49"/>
      <c r="G3641" s="49"/>
    </row>
    <row r="3642" spans="2:7" s="63" customFormat="1">
      <c r="B3642" s="49"/>
      <c r="C3642" s="49"/>
      <c r="D3642" s="49"/>
      <c r="E3642" s="49"/>
      <c r="F3642" s="49"/>
      <c r="G3642" s="49"/>
    </row>
    <row r="3643" spans="2:7" s="63" customFormat="1">
      <c r="B3643" s="49"/>
      <c r="C3643" s="49"/>
      <c r="D3643" s="49"/>
      <c r="E3643" s="49"/>
      <c r="F3643" s="49"/>
      <c r="G3643" s="49"/>
    </row>
    <row r="3644" spans="2:7" s="63" customFormat="1">
      <c r="B3644" s="49"/>
      <c r="C3644" s="49"/>
      <c r="D3644" s="49"/>
      <c r="E3644" s="49"/>
      <c r="F3644" s="49"/>
      <c r="G3644" s="49"/>
    </row>
    <row r="3645" spans="2:7" s="63" customFormat="1">
      <c r="B3645" s="49"/>
      <c r="C3645" s="49"/>
      <c r="D3645" s="49"/>
      <c r="E3645" s="49"/>
      <c r="F3645" s="49"/>
      <c r="G3645" s="49"/>
    </row>
    <row r="3646" spans="2:7" s="63" customFormat="1">
      <c r="B3646" s="49"/>
      <c r="C3646" s="49"/>
      <c r="D3646" s="49"/>
      <c r="E3646" s="49"/>
      <c r="F3646" s="49"/>
      <c r="G3646" s="49"/>
    </row>
    <row r="3647" spans="2:7" s="63" customFormat="1">
      <c r="B3647" s="49"/>
      <c r="C3647" s="49"/>
      <c r="D3647" s="49"/>
      <c r="E3647" s="49"/>
      <c r="F3647" s="49"/>
      <c r="G3647" s="49"/>
    </row>
    <row r="3648" spans="2:7" s="63" customFormat="1">
      <c r="B3648" s="49"/>
      <c r="C3648" s="49"/>
      <c r="D3648" s="49"/>
      <c r="E3648" s="49"/>
      <c r="F3648" s="49"/>
      <c r="G3648" s="49"/>
    </row>
    <row r="3649" spans="2:7" s="63" customFormat="1">
      <c r="B3649" s="49"/>
      <c r="C3649" s="49"/>
      <c r="D3649" s="49"/>
      <c r="E3649" s="49"/>
      <c r="F3649" s="49"/>
      <c r="G3649" s="49"/>
    </row>
    <row r="3650" spans="2:7" s="63" customFormat="1">
      <c r="B3650" s="49"/>
      <c r="C3650" s="49"/>
      <c r="D3650" s="49"/>
      <c r="E3650" s="49"/>
      <c r="F3650" s="49"/>
      <c r="G3650" s="49"/>
    </row>
    <row r="3651" spans="2:7" s="63" customFormat="1">
      <c r="B3651" s="49"/>
      <c r="C3651" s="49"/>
      <c r="D3651" s="49"/>
      <c r="E3651" s="49"/>
      <c r="F3651" s="49"/>
      <c r="G3651" s="49"/>
    </row>
    <row r="3652" spans="2:7" s="63" customFormat="1">
      <c r="B3652" s="49"/>
      <c r="C3652" s="49"/>
      <c r="D3652" s="49"/>
      <c r="E3652" s="49"/>
      <c r="F3652" s="49"/>
      <c r="G3652" s="49"/>
    </row>
    <row r="3653" spans="2:7" s="63" customFormat="1">
      <c r="B3653" s="49"/>
      <c r="C3653" s="49"/>
      <c r="D3653" s="49"/>
      <c r="E3653" s="49"/>
      <c r="F3653" s="49"/>
      <c r="G3653" s="49"/>
    </row>
    <row r="3654" spans="2:7" s="63" customFormat="1">
      <c r="B3654" s="49"/>
      <c r="C3654" s="49"/>
      <c r="D3654" s="49"/>
      <c r="E3654" s="49"/>
      <c r="F3654" s="49"/>
      <c r="G3654" s="49"/>
    </row>
    <row r="3655" spans="2:7" s="63" customFormat="1">
      <c r="B3655" s="49"/>
      <c r="C3655" s="49"/>
      <c r="D3655" s="49"/>
      <c r="E3655" s="49"/>
      <c r="F3655" s="49"/>
      <c r="G3655" s="49"/>
    </row>
    <row r="3656" spans="2:7" s="63" customFormat="1">
      <c r="B3656" s="49"/>
      <c r="C3656" s="49"/>
      <c r="D3656" s="49"/>
      <c r="E3656" s="49"/>
      <c r="F3656" s="49"/>
      <c r="G3656" s="49"/>
    </row>
    <row r="3657" spans="2:7" s="63" customFormat="1">
      <c r="B3657" s="49"/>
      <c r="C3657" s="49"/>
      <c r="D3657" s="49"/>
      <c r="E3657" s="49"/>
      <c r="F3657" s="49"/>
      <c r="G3657" s="49"/>
    </row>
    <row r="3658" spans="2:7" s="63" customFormat="1">
      <c r="B3658" s="49"/>
      <c r="C3658" s="49"/>
      <c r="D3658" s="49"/>
      <c r="E3658" s="49"/>
      <c r="F3658" s="49"/>
      <c r="G3658" s="49"/>
    </row>
    <row r="3659" spans="2:7" s="63" customFormat="1">
      <c r="B3659" s="49"/>
      <c r="C3659" s="49"/>
      <c r="D3659" s="49"/>
      <c r="E3659" s="49"/>
      <c r="F3659" s="49"/>
      <c r="G3659" s="49"/>
    </row>
    <row r="3660" spans="2:7" s="63" customFormat="1">
      <c r="B3660" s="49"/>
      <c r="C3660" s="49"/>
      <c r="D3660" s="49"/>
      <c r="E3660" s="49"/>
      <c r="F3660" s="49"/>
      <c r="G3660" s="49"/>
    </row>
    <row r="3661" spans="2:7" s="63" customFormat="1">
      <c r="B3661" s="49"/>
      <c r="C3661" s="49"/>
      <c r="D3661" s="49"/>
      <c r="E3661" s="49"/>
      <c r="F3661" s="49"/>
      <c r="G3661" s="49"/>
    </row>
    <row r="3662" spans="2:7" s="63" customFormat="1">
      <c r="B3662" s="49"/>
      <c r="C3662" s="49"/>
      <c r="D3662" s="49"/>
      <c r="E3662" s="49"/>
      <c r="F3662" s="49"/>
      <c r="G3662" s="49"/>
    </row>
    <row r="3663" spans="2:7" s="63" customFormat="1">
      <c r="B3663" s="49"/>
      <c r="C3663" s="49"/>
      <c r="D3663" s="49"/>
      <c r="E3663" s="49"/>
      <c r="F3663" s="49"/>
      <c r="G3663" s="49"/>
    </row>
    <row r="3664" spans="2:7" s="63" customFormat="1">
      <c r="B3664" s="49"/>
      <c r="C3664" s="49"/>
      <c r="D3664" s="49"/>
      <c r="E3664" s="49"/>
      <c r="F3664" s="49"/>
      <c r="G3664" s="49"/>
    </row>
    <row r="3665" spans="2:7" s="63" customFormat="1">
      <c r="B3665" s="49"/>
      <c r="C3665" s="49"/>
      <c r="D3665" s="49"/>
      <c r="E3665" s="49"/>
      <c r="F3665" s="49"/>
      <c r="G3665" s="49"/>
    </row>
    <row r="3666" spans="2:7" s="63" customFormat="1">
      <c r="B3666" s="49"/>
      <c r="C3666" s="49"/>
      <c r="D3666" s="49"/>
      <c r="E3666" s="49"/>
      <c r="F3666" s="49"/>
      <c r="G3666" s="49"/>
    </row>
    <row r="3667" spans="2:7" s="63" customFormat="1">
      <c r="B3667" s="49"/>
      <c r="C3667" s="49"/>
      <c r="D3667" s="49"/>
      <c r="E3667" s="49"/>
      <c r="F3667" s="49"/>
      <c r="G3667" s="49"/>
    </row>
    <row r="3668" spans="2:7" s="63" customFormat="1">
      <c r="B3668" s="49"/>
      <c r="C3668" s="49"/>
      <c r="D3668" s="49"/>
      <c r="E3668" s="49"/>
      <c r="F3668" s="49"/>
      <c r="G3668" s="49"/>
    </row>
    <row r="3669" spans="2:7" s="63" customFormat="1">
      <c r="B3669" s="49"/>
      <c r="C3669" s="49"/>
      <c r="D3669" s="49"/>
      <c r="E3669" s="49"/>
      <c r="F3669" s="49"/>
      <c r="G3669" s="49"/>
    </row>
    <row r="3670" spans="2:7" s="63" customFormat="1">
      <c r="B3670" s="49"/>
      <c r="C3670" s="49"/>
      <c r="D3670" s="49"/>
      <c r="E3670" s="49"/>
      <c r="F3670" s="49"/>
      <c r="G3670" s="49"/>
    </row>
    <row r="3671" spans="2:7" s="63" customFormat="1">
      <c r="B3671" s="49"/>
      <c r="C3671" s="49"/>
      <c r="D3671" s="49"/>
      <c r="E3671" s="49"/>
      <c r="F3671" s="49"/>
      <c r="G3671" s="49"/>
    </row>
    <row r="3672" spans="2:7" s="63" customFormat="1">
      <c r="B3672" s="49"/>
      <c r="C3672" s="49"/>
      <c r="D3672" s="49"/>
      <c r="E3672" s="49"/>
      <c r="F3672" s="49"/>
      <c r="G3672" s="49"/>
    </row>
    <row r="3673" spans="2:7" s="63" customFormat="1">
      <c r="B3673" s="49"/>
      <c r="C3673" s="49"/>
      <c r="D3673" s="49"/>
      <c r="E3673" s="49"/>
      <c r="F3673" s="49"/>
      <c r="G3673" s="49"/>
    </row>
    <row r="3674" spans="2:7" s="63" customFormat="1">
      <c r="B3674" s="49"/>
      <c r="C3674" s="49"/>
      <c r="D3674" s="49"/>
      <c r="E3674" s="49"/>
      <c r="F3674" s="49"/>
      <c r="G3674" s="49"/>
    </row>
    <row r="3675" spans="2:7" s="63" customFormat="1">
      <c r="B3675" s="49"/>
      <c r="C3675" s="49"/>
      <c r="D3675" s="49"/>
      <c r="E3675" s="49"/>
      <c r="F3675" s="49"/>
      <c r="G3675" s="49"/>
    </row>
    <row r="3676" spans="2:7" s="63" customFormat="1">
      <c r="B3676" s="49"/>
      <c r="C3676" s="49"/>
      <c r="D3676" s="49"/>
      <c r="E3676" s="49"/>
      <c r="F3676" s="49"/>
      <c r="G3676" s="49"/>
    </row>
    <row r="3677" spans="2:7" s="63" customFormat="1">
      <c r="B3677" s="49"/>
      <c r="C3677" s="49"/>
      <c r="D3677" s="49"/>
      <c r="E3677" s="49"/>
      <c r="F3677" s="49"/>
      <c r="G3677" s="49"/>
    </row>
    <row r="3678" spans="2:7" s="63" customFormat="1">
      <c r="B3678" s="49"/>
      <c r="C3678" s="49"/>
      <c r="D3678" s="49"/>
      <c r="E3678" s="49"/>
      <c r="F3678" s="49"/>
      <c r="G3678" s="49"/>
    </row>
    <row r="3679" spans="2:7" s="63" customFormat="1">
      <c r="B3679" s="49"/>
      <c r="C3679" s="49"/>
      <c r="D3679" s="49"/>
      <c r="E3679" s="49"/>
      <c r="F3679" s="49"/>
      <c r="G3679" s="49"/>
    </row>
    <row r="3680" spans="2:7" s="63" customFormat="1">
      <c r="B3680" s="49"/>
      <c r="C3680" s="49"/>
      <c r="D3680" s="49"/>
      <c r="E3680" s="49"/>
      <c r="F3680" s="49"/>
      <c r="G3680" s="49"/>
    </row>
    <row r="3681" spans="2:16" s="63" customFormat="1">
      <c r="B3681" s="49"/>
      <c r="C3681" s="49"/>
      <c r="D3681" s="49"/>
      <c r="E3681" s="49"/>
      <c r="F3681" s="49"/>
      <c r="G3681" s="49"/>
    </row>
    <row r="3682" spans="2:16" s="63" customFormat="1">
      <c r="B3682" s="49"/>
      <c r="C3682" s="49"/>
      <c r="D3682" s="49"/>
      <c r="E3682" s="49"/>
      <c r="F3682" s="49"/>
      <c r="G3682" s="49"/>
    </row>
    <row r="3683" spans="2:16" s="63" customFormat="1">
      <c r="B3683" s="49"/>
      <c r="C3683" s="49"/>
      <c r="D3683" s="49"/>
      <c r="E3683" s="49"/>
      <c r="F3683" s="49"/>
      <c r="G3683" s="49"/>
    </row>
    <row r="3684" spans="2:16" s="63" customFormat="1">
      <c r="B3684" s="49"/>
      <c r="C3684" s="49"/>
      <c r="D3684" s="49"/>
      <c r="E3684" s="49"/>
      <c r="F3684" s="49"/>
      <c r="G3684" s="49"/>
    </row>
    <row r="3685" spans="2:16" s="63" customFormat="1">
      <c r="B3685" s="49"/>
      <c r="C3685" s="49"/>
      <c r="D3685" s="49"/>
      <c r="E3685" s="49"/>
      <c r="F3685" s="49"/>
      <c r="G3685" s="49"/>
    </row>
    <row r="3686" spans="2:16" s="63" customFormat="1">
      <c r="B3686" s="49"/>
      <c r="C3686" s="49"/>
      <c r="D3686" s="49"/>
      <c r="E3686" s="49"/>
      <c r="F3686" s="49"/>
      <c r="G3686" s="49"/>
    </row>
    <row r="3687" spans="2:16" s="63" customFormat="1">
      <c r="B3687" s="49"/>
      <c r="C3687" s="49"/>
      <c r="D3687" s="49"/>
      <c r="E3687" s="49"/>
      <c r="F3687" s="49"/>
      <c r="G3687" s="49"/>
    </row>
    <row r="3688" spans="2:16" s="63" customFormat="1">
      <c r="B3688" s="49"/>
      <c r="C3688" s="49"/>
      <c r="D3688" s="49"/>
      <c r="E3688" s="49"/>
      <c r="F3688" s="49"/>
      <c r="G3688" s="49"/>
    </row>
    <row r="3689" spans="2:16" s="63" customFormat="1">
      <c r="B3689" s="49"/>
      <c r="C3689" s="49"/>
      <c r="D3689" s="49"/>
      <c r="E3689" s="49"/>
      <c r="F3689" s="49"/>
      <c r="G3689" s="49"/>
    </row>
    <row r="3690" spans="2:16" s="63" customFormat="1">
      <c r="B3690" s="49"/>
      <c r="C3690" s="49"/>
      <c r="D3690" s="49"/>
      <c r="E3690" s="49"/>
      <c r="F3690" s="49"/>
      <c r="G3690" s="49"/>
    </row>
    <row r="3691" spans="2:16" s="63" customFormat="1">
      <c r="B3691" s="49"/>
      <c r="C3691" s="49"/>
      <c r="D3691" s="49"/>
      <c r="E3691" s="49"/>
      <c r="F3691" s="49"/>
      <c r="G3691" s="49"/>
    </row>
    <row r="3692" spans="2:16" s="63" customFormat="1">
      <c r="B3692" s="49"/>
      <c r="C3692" s="49"/>
      <c r="D3692" s="49"/>
      <c r="E3692" s="49"/>
      <c r="F3692" s="49"/>
      <c r="G3692" s="49"/>
    </row>
    <row r="3693" spans="2:16" s="63" customFormat="1">
      <c r="B3693" s="49"/>
      <c r="C3693" s="49"/>
      <c r="D3693" s="49"/>
      <c r="E3693" s="49"/>
      <c r="F3693" s="49"/>
      <c r="G3693" s="49"/>
    </row>
    <row r="3694" spans="2:16" s="63" customFormat="1">
      <c r="B3694" s="49"/>
      <c r="C3694" s="49"/>
      <c r="D3694" s="49"/>
      <c r="E3694" s="49"/>
      <c r="F3694" s="49"/>
      <c r="G3694" s="49"/>
    </row>
    <row r="3695" spans="2:16">
      <c r="B3695" s="49"/>
      <c r="C3695" s="49"/>
      <c r="D3695" s="49"/>
      <c r="E3695" s="49"/>
      <c r="F3695" s="49"/>
      <c r="G3695" s="49"/>
      <c r="J3695" s="63"/>
      <c r="K3695" s="63"/>
      <c r="L3695" s="63"/>
      <c r="M3695" s="63"/>
      <c r="N3695" s="63"/>
      <c r="O3695" s="63"/>
      <c r="P3695" s="63"/>
    </row>
  </sheetData>
  <phoneticPr fontId="1" type="noConversion"/>
  <printOptions horizontalCentered="1"/>
  <pageMargins left="0.39370078740157483" right="0.39370078740157483" top="0.39370078740157483" bottom="0.39370078740157483" header="0.39370078740157483" footer="0.39370078740157483"/>
  <pageSetup paperSize="9" scale="3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DB</vt:lpstr>
      <vt:lpstr>P</vt:lpstr>
      <vt:lpstr>DB2</vt:lpstr>
      <vt:lpstr>P (2)</vt:lpstr>
      <vt:lpstr>CODE</vt:lpstr>
      <vt:lpstr>P (3)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</dc:creator>
  <cp:lastModifiedBy>RXK</cp:lastModifiedBy>
  <cp:lastPrinted>2013-07-01T00:21:05Z</cp:lastPrinted>
  <dcterms:created xsi:type="dcterms:W3CDTF">2013-05-29T01:22:42Z</dcterms:created>
  <dcterms:modified xsi:type="dcterms:W3CDTF">2013-07-15T04:18:45Z</dcterms:modified>
</cp:coreProperties>
</file>